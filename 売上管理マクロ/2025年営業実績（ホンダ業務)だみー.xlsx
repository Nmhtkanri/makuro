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A8848E38-0C2F-4A37-B091-CB0519329DAD}" xr6:coauthVersionLast="47" xr6:coauthVersionMax="47" xr10:uidLastSave="{00000000-0000-0000-0000-000000000000}"/>
  <bookViews>
    <workbookView xWindow="-110" yWindow="-110" windowWidth="25820" windowHeight="13900" tabRatio="790" activeTab="5" xr2:uid="{00000000-000D-0000-FFFF-FFFF00000000}"/>
  </bookViews>
  <sheets>
    <sheet name="まとめ" sheetId="23" r:id="rId1"/>
    <sheet name="TV_Web会議（HGT)" sheetId="15" r:id="rId2"/>
    <sheet name="OF（HGT)" sheetId="17" r:id="rId3"/>
    <sheet name="DC（さくら) " sheetId="18" r:id="rId4"/>
    <sheet name="NWサポート（HGT)" sheetId="19" r:id="rId5"/>
    <sheet name="スポット_定常外" sheetId="20" r:id="rId6"/>
  </sheets>
  <definedNames>
    <definedName name="_xlnm.Print_Area" localSheetId="3">'DC（さくら) '!$C$1:$W$71</definedName>
    <definedName name="_xlnm.Print_Area" localSheetId="4">'NWサポート（HGT)'!$C$1:$W$23</definedName>
    <definedName name="_xlnm.Print_Area" localSheetId="2">'OF（HGT)'!$C$1:$W$23</definedName>
    <definedName name="_xlnm.Print_Area" localSheetId="1">'TV_Web会議（HGT)'!$C$1:$W$39</definedName>
    <definedName name="_xlnm.Print_Area" localSheetId="5">スポット_定常外!$C$1:$W$34</definedName>
    <definedName name="_xlnm.Print_Area" localSheetId="0">まとめ!$A$1:$U$26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2" i="20" l="1"/>
  <c r="U21" i="20"/>
  <c r="T17" i="20"/>
  <c r="T22" i="20"/>
  <c r="W22" i="20" s="1"/>
  <c r="T21" i="20"/>
  <c r="S5" i="20"/>
  <c r="P22" i="20"/>
  <c r="P23" i="17" l="1"/>
  <c r="W70" i="18"/>
  <c r="W69" i="18"/>
  <c r="W68" i="18"/>
  <c r="W67" i="18"/>
  <c r="W66" i="18"/>
  <c r="W65" i="18"/>
  <c r="W64" i="18"/>
  <c r="B65" i="18"/>
  <c r="B66" i="18" s="1"/>
  <c r="B67" i="18" s="1"/>
  <c r="B68" i="18" s="1"/>
  <c r="B69" i="18" s="1"/>
  <c r="B70" i="18" s="1"/>
  <c r="A64" i="18"/>
  <c r="A65" i="18" s="1"/>
  <c r="A66" i="18" s="1"/>
  <c r="A67" i="18" s="1"/>
  <c r="A68" i="18" s="1"/>
  <c r="A69" i="18" s="1"/>
  <c r="A70" i="18" s="1"/>
  <c r="V63" i="18"/>
  <c r="U63" i="18"/>
  <c r="T63" i="18"/>
  <c r="S63" i="18"/>
  <c r="R63" i="18"/>
  <c r="Q63" i="18"/>
  <c r="P63" i="18"/>
  <c r="O63" i="18"/>
  <c r="N63" i="18"/>
  <c r="M63" i="18"/>
  <c r="L63" i="18"/>
  <c r="K63" i="18"/>
  <c r="P21" i="20"/>
  <c r="O21" i="20"/>
  <c r="O5" i="20"/>
  <c r="L5" i="18"/>
  <c r="M5" i="18"/>
  <c r="N5" i="18"/>
  <c r="O5" i="18"/>
  <c r="P5" i="18"/>
  <c r="Q5" i="18"/>
  <c r="R5" i="18"/>
  <c r="S5" i="18"/>
  <c r="T5" i="18"/>
  <c r="U5" i="18"/>
  <c r="V5" i="18"/>
  <c r="K5" i="18"/>
  <c r="K3" i="17"/>
  <c r="K2" i="17"/>
  <c r="L23" i="17"/>
  <c r="M23" i="17"/>
  <c r="V23" i="17"/>
  <c r="K23" i="17"/>
  <c r="W63" i="18" l="1"/>
  <c r="W17" i="20"/>
  <c r="W18" i="20"/>
  <c r="W19" i="20"/>
  <c r="W20" i="20"/>
  <c r="W21" i="20"/>
  <c r="W23" i="20"/>
  <c r="W24" i="20"/>
  <c r="W25" i="20"/>
  <c r="W26" i="20"/>
  <c r="W27" i="20"/>
  <c r="W28" i="20"/>
  <c r="W29" i="20"/>
  <c r="W30" i="20"/>
  <c r="W31" i="20"/>
  <c r="W32" i="20"/>
  <c r="W9" i="20"/>
  <c r="W10" i="20"/>
  <c r="W11" i="20"/>
  <c r="W12" i="20"/>
  <c r="W13" i="20"/>
  <c r="W14" i="20"/>
  <c r="W8" i="20"/>
  <c r="K15" i="20"/>
  <c r="L7" i="20"/>
  <c r="M7" i="20"/>
  <c r="N7" i="20"/>
  <c r="O7" i="20"/>
  <c r="P7" i="20"/>
  <c r="Q7" i="20"/>
  <c r="R7" i="20"/>
  <c r="S7" i="20"/>
  <c r="T7" i="20"/>
  <c r="U7" i="20"/>
  <c r="V7" i="20"/>
  <c r="K7" i="20"/>
  <c r="L33" i="20"/>
  <c r="L32" i="20"/>
  <c r="L15" i="20" s="1"/>
  <c r="L5" i="17"/>
  <c r="M5" i="17"/>
  <c r="N5" i="17"/>
  <c r="O5" i="17"/>
  <c r="P5" i="17"/>
  <c r="Q5" i="17"/>
  <c r="R5" i="17"/>
  <c r="S5" i="17"/>
  <c r="T5" i="17"/>
  <c r="U5" i="17"/>
  <c r="V5" i="17"/>
  <c r="K5" i="17"/>
  <c r="L5" i="20"/>
  <c r="K2" i="15"/>
  <c r="I5" i="23" s="1"/>
  <c r="K7" i="17" l="1"/>
  <c r="W25" i="15"/>
  <c r="W24" i="15"/>
  <c r="W22" i="15"/>
  <c r="W17" i="15"/>
  <c r="W16" i="15"/>
  <c r="W9" i="15"/>
  <c r="W10" i="15"/>
  <c r="W11" i="15"/>
  <c r="W12" i="15"/>
  <c r="W13" i="15"/>
  <c r="W14" i="15"/>
  <c r="W18" i="15"/>
  <c r="W19" i="15"/>
  <c r="W20" i="15"/>
  <c r="W26" i="15"/>
  <c r="W27" i="15"/>
  <c r="W28" i="15"/>
  <c r="W32" i="15"/>
  <c r="W33" i="15"/>
  <c r="W34" i="15"/>
  <c r="W35" i="15"/>
  <c r="W36" i="15"/>
  <c r="W37" i="15"/>
  <c r="W38" i="15"/>
  <c r="P2" i="18"/>
  <c r="W30" i="15" l="1"/>
  <c r="W29" i="15"/>
  <c r="W8" i="15"/>
  <c r="W21" i="15"/>
  <c r="O7" i="15" l="1"/>
  <c r="L34" i="20" l="1"/>
  <c r="W5" i="18"/>
  <c r="M55" i="18"/>
  <c r="M47" i="18"/>
  <c r="M39" i="18"/>
  <c r="M31" i="18"/>
  <c r="W33" i="20" l="1"/>
  <c r="W16" i="20"/>
  <c r="B16" i="19"/>
  <c r="B17" i="19" s="1"/>
  <c r="B18" i="19" s="1"/>
  <c r="B19" i="19" s="1"/>
  <c r="B20" i="19" s="1"/>
  <c r="B21" i="19" s="1"/>
  <c r="B22" i="19" s="1"/>
  <c r="A16" i="19"/>
  <c r="A17" i="19" s="1"/>
  <c r="A18" i="19" s="1"/>
  <c r="A19" i="19" s="1"/>
  <c r="A20" i="19" s="1"/>
  <c r="A21" i="19" s="1"/>
  <c r="A22" i="19" s="1"/>
  <c r="A9" i="19"/>
  <c r="A10" i="19"/>
  <c r="A11" i="19" s="1"/>
  <c r="A12" i="19" s="1"/>
  <c r="A13" i="19" s="1"/>
  <c r="A14" i="19" s="1"/>
  <c r="A8" i="19"/>
  <c r="A56" i="18"/>
  <c r="A57" i="18" s="1"/>
  <c r="A58" i="18" s="1"/>
  <c r="A59" i="18" s="1"/>
  <c r="A60" i="18" s="1"/>
  <c r="A61" i="18" s="1"/>
  <c r="A62" i="18" s="1"/>
  <c r="A48" i="18"/>
  <c r="A49" i="18" s="1"/>
  <c r="A50" i="18" s="1"/>
  <c r="A51" i="18" s="1"/>
  <c r="A52" i="18" s="1"/>
  <c r="A53" i="18" s="1"/>
  <c r="A54" i="18" s="1"/>
  <c r="A40" i="18"/>
  <c r="A41" i="18" s="1"/>
  <c r="A42" i="18" s="1"/>
  <c r="A43" i="18" s="1"/>
  <c r="A44" i="18" s="1"/>
  <c r="A45" i="18" s="1"/>
  <c r="A46" i="18" s="1"/>
  <c r="A32" i="18"/>
  <c r="A33" i="18" s="1"/>
  <c r="A34" i="18" s="1"/>
  <c r="A35" i="18" s="1"/>
  <c r="A36" i="18" s="1"/>
  <c r="A37" i="18" s="1"/>
  <c r="A38" i="18" s="1"/>
  <c r="A24" i="18"/>
  <c r="A25" i="18" s="1"/>
  <c r="A26" i="18" s="1"/>
  <c r="A27" i="18" s="1"/>
  <c r="A28" i="18" s="1"/>
  <c r="A29" i="18" s="1"/>
  <c r="A30" i="18" s="1"/>
  <c r="A16" i="18"/>
  <c r="A17" i="18" s="1"/>
  <c r="A18" i="18" s="1"/>
  <c r="A19" i="18" s="1"/>
  <c r="A20" i="18" s="1"/>
  <c r="A21" i="18" s="1"/>
  <c r="A22" i="18" s="1"/>
  <c r="A8" i="18"/>
  <c r="A9" i="18" s="1"/>
  <c r="A10" i="18" s="1"/>
  <c r="A11" i="18" s="1"/>
  <c r="A12" i="18" s="1"/>
  <c r="A13" i="18" s="1"/>
  <c r="A14" i="18" s="1"/>
  <c r="B17" i="17"/>
  <c r="B18" i="17" s="1"/>
  <c r="B19" i="17" s="1"/>
  <c r="B20" i="17" s="1"/>
  <c r="B21" i="17" s="1"/>
  <c r="B22" i="17" s="1"/>
  <c r="A16" i="17"/>
  <c r="A17" i="17" s="1"/>
  <c r="A18" i="17" s="1"/>
  <c r="A19" i="17" s="1"/>
  <c r="A20" i="17" s="1"/>
  <c r="A21" i="17" s="1"/>
  <c r="A22" i="17" s="1"/>
  <c r="A8" i="17"/>
  <c r="A9" i="17" s="1"/>
  <c r="A10" i="17" s="1"/>
  <c r="A11" i="17" s="1"/>
  <c r="A12" i="17" s="1"/>
  <c r="A13" i="17" s="1"/>
  <c r="A14" i="17" s="1"/>
  <c r="B32" i="15"/>
  <c r="B33" i="15" s="1"/>
  <c r="B34" i="15" s="1"/>
  <c r="B35" i="15" s="1"/>
  <c r="B36" i="15" s="1"/>
  <c r="B37" i="15" s="1"/>
  <c r="B38" i="15" s="1"/>
  <c r="A32" i="15"/>
  <c r="A33" i="15" s="1"/>
  <c r="A34" i="15" s="1"/>
  <c r="A35" i="15" s="1"/>
  <c r="A36" i="15" s="1"/>
  <c r="A37" i="15" s="1"/>
  <c r="A38" i="15" s="1"/>
  <c r="B24" i="15"/>
  <c r="B25" i="15" s="1"/>
  <c r="B26" i="15" s="1"/>
  <c r="B27" i="15" s="1"/>
  <c r="B28" i="15" s="1"/>
  <c r="B29" i="15" s="1"/>
  <c r="B30" i="15" s="1"/>
  <c r="A24" i="15"/>
  <c r="A25" i="15" s="1"/>
  <c r="A26" i="15" s="1"/>
  <c r="A27" i="15" s="1"/>
  <c r="A28" i="15" s="1"/>
  <c r="A29" i="15" s="1"/>
  <c r="A30" i="15" s="1"/>
  <c r="A16" i="15"/>
  <c r="A17" i="15" s="1"/>
  <c r="A18" i="15" s="1"/>
  <c r="A19" i="15" s="1"/>
  <c r="A20" i="15" s="1"/>
  <c r="A21" i="15" s="1"/>
  <c r="A22" i="15" s="1"/>
  <c r="A8" i="15"/>
  <c r="A9" i="15" s="1"/>
  <c r="A10" i="15" s="1"/>
  <c r="A11" i="15" s="1"/>
  <c r="A12" i="15" s="1"/>
  <c r="A13" i="15" s="1"/>
  <c r="A14" i="15" s="1"/>
  <c r="W62" i="18" l="1"/>
  <c r="W61" i="18"/>
  <c r="W60" i="18"/>
  <c r="W59" i="18"/>
  <c r="W58" i="18"/>
  <c r="W57" i="18"/>
  <c r="W56" i="18"/>
  <c r="V55" i="18"/>
  <c r="U55" i="18"/>
  <c r="T55" i="18"/>
  <c r="S55" i="18"/>
  <c r="R55" i="18"/>
  <c r="Q55" i="18"/>
  <c r="P55" i="18"/>
  <c r="O55" i="18"/>
  <c r="N55" i="18"/>
  <c r="L55" i="18"/>
  <c r="K55" i="18"/>
  <c r="W55" i="18" l="1"/>
  <c r="U15" i="19" l="1"/>
  <c r="T15" i="19"/>
  <c r="S15" i="19"/>
  <c r="R15" i="19"/>
  <c r="Q15" i="19"/>
  <c r="P15" i="19"/>
  <c r="O15" i="19"/>
  <c r="N15" i="19"/>
  <c r="M15" i="19"/>
  <c r="L15" i="19"/>
  <c r="K15" i="19"/>
  <c r="U7" i="19"/>
  <c r="T7" i="19"/>
  <c r="S7" i="19"/>
  <c r="R7" i="19"/>
  <c r="Q7" i="19"/>
  <c r="P7" i="19"/>
  <c r="O7" i="19"/>
  <c r="N7" i="19"/>
  <c r="M7" i="19"/>
  <c r="L7" i="19"/>
  <c r="K7" i="19"/>
  <c r="K23" i="19" s="1"/>
  <c r="T2" i="19"/>
  <c r="R14" i="23" s="1"/>
  <c r="N2" i="19"/>
  <c r="L14" i="23" s="1"/>
  <c r="L2" i="19"/>
  <c r="J14" i="23" s="1"/>
  <c r="U2" i="19"/>
  <c r="S14" i="23" s="1"/>
  <c r="S2" i="19"/>
  <c r="Q14" i="23" s="1"/>
  <c r="R2" i="19"/>
  <c r="P14" i="23" s="1"/>
  <c r="Q2" i="19"/>
  <c r="O14" i="23" s="1"/>
  <c r="P2" i="19"/>
  <c r="N14" i="23" s="1"/>
  <c r="O2" i="19"/>
  <c r="M14" i="23" s="1"/>
  <c r="M2" i="19"/>
  <c r="K14" i="23" s="1"/>
  <c r="K2" i="19"/>
  <c r="I14" i="23" s="1"/>
  <c r="U2" i="18"/>
  <c r="S11" i="23" s="1"/>
  <c r="T2" i="18"/>
  <c r="R11" i="23" s="1"/>
  <c r="S2" i="18"/>
  <c r="Q11" i="23" s="1"/>
  <c r="R2" i="18"/>
  <c r="P11" i="23" s="1"/>
  <c r="Q2" i="18"/>
  <c r="O11" i="23" s="1"/>
  <c r="N11" i="23"/>
  <c r="O2" i="18"/>
  <c r="M11" i="23" s="1"/>
  <c r="N2" i="18"/>
  <c r="L11" i="23" s="1"/>
  <c r="M2" i="18"/>
  <c r="K11" i="23" s="1"/>
  <c r="L2" i="18"/>
  <c r="J11" i="23" s="1"/>
  <c r="K2" i="18"/>
  <c r="I11" i="23" s="1"/>
  <c r="U47" i="18"/>
  <c r="T47" i="18"/>
  <c r="S47" i="18"/>
  <c r="R47" i="18"/>
  <c r="Q47" i="18"/>
  <c r="P47" i="18"/>
  <c r="O47" i="18"/>
  <c r="N47" i="18"/>
  <c r="L47" i="18"/>
  <c r="K47" i="18"/>
  <c r="U39" i="18"/>
  <c r="T39" i="18"/>
  <c r="S39" i="18"/>
  <c r="R39" i="18"/>
  <c r="Q39" i="18"/>
  <c r="P39" i="18"/>
  <c r="O39" i="18"/>
  <c r="N39" i="18"/>
  <c r="L39" i="18"/>
  <c r="K39" i="18"/>
  <c r="U31" i="18"/>
  <c r="T31" i="18"/>
  <c r="S31" i="18"/>
  <c r="R31" i="18"/>
  <c r="Q31" i="18"/>
  <c r="P31" i="18"/>
  <c r="O31" i="18"/>
  <c r="N31" i="18"/>
  <c r="L31" i="18"/>
  <c r="K31" i="18"/>
  <c r="U23" i="18"/>
  <c r="T23" i="18"/>
  <c r="S23" i="18"/>
  <c r="R23" i="18"/>
  <c r="Q23" i="18"/>
  <c r="P23" i="18"/>
  <c r="O23" i="18"/>
  <c r="N23" i="18"/>
  <c r="M23" i="18"/>
  <c r="L23" i="18"/>
  <c r="K23" i="18"/>
  <c r="U15" i="18"/>
  <c r="T15" i="18"/>
  <c r="S15" i="18"/>
  <c r="R15" i="18"/>
  <c r="Q15" i="18"/>
  <c r="P15" i="18"/>
  <c r="O15" i="18"/>
  <c r="N15" i="18"/>
  <c r="M15" i="18"/>
  <c r="L15" i="18"/>
  <c r="K15" i="18"/>
  <c r="U7" i="18"/>
  <c r="T7" i="18"/>
  <c r="S7" i="18"/>
  <c r="R7" i="18"/>
  <c r="Q7" i="18"/>
  <c r="P7" i="18"/>
  <c r="O7" i="18"/>
  <c r="N7" i="18"/>
  <c r="M7" i="18"/>
  <c r="L7" i="18"/>
  <c r="K7" i="18"/>
  <c r="U15" i="17"/>
  <c r="T15" i="17"/>
  <c r="S15" i="17"/>
  <c r="R15" i="17"/>
  <c r="Q15" i="17"/>
  <c r="P15" i="17"/>
  <c r="O15" i="17"/>
  <c r="N15" i="17"/>
  <c r="M15" i="17"/>
  <c r="L15" i="17"/>
  <c r="K15" i="17"/>
  <c r="U7" i="17"/>
  <c r="U23" i="17" s="1"/>
  <c r="T7" i="17"/>
  <c r="T23" i="17" s="1"/>
  <c r="S7" i="17"/>
  <c r="R7" i="17"/>
  <c r="Q7" i="17"/>
  <c r="P7" i="17"/>
  <c r="O7" i="17"/>
  <c r="N7" i="17"/>
  <c r="M7" i="17"/>
  <c r="L7" i="17"/>
  <c r="U2" i="17"/>
  <c r="S8" i="23" s="1"/>
  <c r="T2" i="17"/>
  <c r="R8" i="23" s="1"/>
  <c r="S2" i="17"/>
  <c r="Q8" i="23" s="1"/>
  <c r="R2" i="17"/>
  <c r="P8" i="23" s="1"/>
  <c r="Q2" i="17"/>
  <c r="O8" i="23" s="1"/>
  <c r="P2" i="17"/>
  <c r="N8" i="23" s="1"/>
  <c r="O2" i="17"/>
  <c r="M8" i="23" s="1"/>
  <c r="N2" i="17"/>
  <c r="L8" i="23" s="1"/>
  <c r="M2" i="17"/>
  <c r="K8" i="23" s="1"/>
  <c r="L2" i="17"/>
  <c r="J8" i="23" s="1"/>
  <c r="I8" i="23"/>
  <c r="L2" i="15"/>
  <c r="J5" i="23" s="1"/>
  <c r="M2" i="15"/>
  <c r="K5" i="23" s="1"/>
  <c r="N2" i="15"/>
  <c r="L5" i="23" s="1"/>
  <c r="O2" i="15"/>
  <c r="M5" i="23" s="1"/>
  <c r="P2" i="15"/>
  <c r="N5" i="23" s="1"/>
  <c r="Q2" i="15"/>
  <c r="O5" i="23" s="1"/>
  <c r="R2" i="15"/>
  <c r="P5" i="23" s="1"/>
  <c r="S2" i="15"/>
  <c r="Q5" i="23" s="1"/>
  <c r="T2" i="15"/>
  <c r="R5" i="23" s="1"/>
  <c r="U2" i="15"/>
  <c r="S5" i="23" s="1"/>
  <c r="U31" i="15"/>
  <c r="T31" i="15"/>
  <c r="S31" i="15"/>
  <c r="R31" i="15"/>
  <c r="Q31" i="15"/>
  <c r="P31" i="15"/>
  <c r="O31" i="15"/>
  <c r="N31" i="15"/>
  <c r="M31" i="15"/>
  <c r="L31" i="15"/>
  <c r="K31" i="15"/>
  <c r="U23" i="15"/>
  <c r="T23" i="15"/>
  <c r="S23" i="15"/>
  <c r="R23" i="15"/>
  <c r="Q23" i="15"/>
  <c r="P23" i="15"/>
  <c r="O23" i="15"/>
  <c r="N23" i="15"/>
  <c r="M23" i="15"/>
  <c r="L23" i="15"/>
  <c r="K23" i="15"/>
  <c r="U15" i="15"/>
  <c r="T15" i="15"/>
  <c r="S15" i="15"/>
  <c r="R15" i="15"/>
  <c r="Q15" i="15"/>
  <c r="P15" i="15"/>
  <c r="O15" i="15"/>
  <c r="N15" i="15"/>
  <c r="M15" i="15"/>
  <c r="L15" i="15"/>
  <c r="K15" i="15"/>
  <c r="U7" i="15"/>
  <c r="T7" i="15"/>
  <c r="S7" i="15"/>
  <c r="R7" i="15"/>
  <c r="Q7" i="15"/>
  <c r="P7" i="15"/>
  <c r="N7" i="15"/>
  <c r="M7" i="15"/>
  <c r="L7" i="15"/>
  <c r="K7" i="15"/>
  <c r="S23" i="17" l="1"/>
  <c r="R23" i="17"/>
  <c r="Q23" i="17"/>
  <c r="O23" i="17"/>
  <c r="N23" i="17"/>
  <c r="K71" i="18"/>
  <c r="T39" i="15"/>
  <c r="T3" i="15" s="1"/>
  <c r="T4" i="15" s="1"/>
  <c r="O39" i="15"/>
  <c r="M39" i="15"/>
  <c r="U39" i="15"/>
  <c r="P39" i="15"/>
  <c r="K39" i="15"/>
  <c r="L39" i="15"/>
  <c r="L3" i="15" s="1"/>
  <c r="L4" i="15" s="1"/>
  <c r="N39" i="15"/>
  <c r="Q39" i="15"/>
  <c r="R39" i="15"/>
  <c r="S39" i="15"/>
  <c r="S3" i="15"/>
  <c r="K3" i="15"/>
  <c r="K4" i="15" s="1"/>
  <c r="R23" i="19"/>
  <c r="Q23" i="19"/>
  <c r="P23" i="19"/>
  <c r="U3" i="17"/>
  <c r="S9" i="23" s="1"/>
  <c r="S10" i="23" s="1"/>
  <c r="M71" i="18"/>
  <c r="O23" i="19"/>
  <c r="S23" i="19"/>
  <c r="N71" i="18"/>
  <c r="L71" i="18"/>
  <c r="M3" i="15"/>
  <c r="L23" i="19"/>
  <c r="T23" i="19"/>
  <c r="M23" i="19"/>
  <c r="U23" i="19"/>
  <c r="N23" i="19"/>
  <c r="U3" i="15"/>
  <c r="O3" i="15"/>
  <c r="P3" i="15"/>
  <c r="N6" i="23" s="1"/>
  <c r="R3" i="15"/>
  <c r="Q71" i="18"/>
  <c r="R71" i="18"/>
  <c r="O71" i="18"/>
  <c r="T71" i="18"/>
  <c r="P71" i="18"/>
  <c r="S71" i="18"/>
  <c r="U71" i="18"/>
  <c r="N3" i="15" l="1"/>
  <c r="N4" i="15" s="1"/>
  <c r="N7" i="23"/>
  <c r="Q3" i="15"/>
  <c r="O6" i="23" s="1"/>
  <c r="R6" i="23"/>
  <c r="P4" i="15"/>
  <c r="J6" i="23"/>
  <c r="U4" i="17"/>
  <c r="O4" i="15"/>
  <c r="M6" i="23"/>
  <c r="M7" i="23" s="1"/>
  <c r="S4" i="15"/>
  <c r="Q6" i="23"/>
  <c r="U4" i="15"/>
  <c r="S6" i="23"/>
  <c r="M4" i="15"/>
  <c r="K6" i="23"/>
  <c r="R4" i="15"/>
  <c r="P6" i="23"/>
  <c r="I6" i="23"/>
  <c r="L6" i="23" l="1"/>
  <c r="L7" i="23" s="1"/>
  <c r="I7" i="23"/>
  <c r="Q4" i="15"/>
  <c r="S7" i="23"/>
  <c r="P7" i="23"/>
  <c r="O7" i="23"/>
  <c r="R7" i="23"/>
  <c r="Q7" i="23"/>
  <c r="J7" i="23"/>
  <c r="K7" i="23"/>
  <c r="P15" i="20"/>
  <c r="P34" i="20" l="1"/>
  <c r="K34" i="20"/>
  <c r="C7" i="18" l="1"/>
  <c r="Q15" i="20" l="1"/>
  <c r="Q34" i="20" s="1"/>
  <c r="V31" i="15" l="1"/>
  <c r="W31" i="15" s="1"/>
  <c r="V23" i="15"/>
  <c r="W23" i="15" s="1"/>
  <c r="V15" i="15"/>
  <c r="W15" i="15" s="1"/>
  <c r="V7" i="15"/>
  <c r="V39" i="15" s="1"/>
  <c r="W39" i="15" l="1"/>
  <c r="U15" i="20"/>
  <c r="T15" i="20"/>
  <c r="S15" i="20"/>
  <c r="R15" i="20"/>
  <c r="O15" i="20"/>
  <c r="O34" i="20" s="1"/>
  <c r="N15" i="20"/>
  <c r="M15" i="20"/>
  <c r="M34" i="20" s="1"/>
  <c r="V7" i="18"/>
  <c r="W14" i="18"/>
  <c r="W13" i="18"/>
  <c r="W12" i="18"/>
  <c r="W11" i="18"/>
  <c r="W10" i="18"/>
  <c r="W9" i="18"/>
  <c r="W8" i="18"/>
  <c r="N34" i="20" l="1"/>
  <c r="R34" i="20"/>
  <c r="S34" i="20"/>
  <c r="T34" i="20"/>
  <c r="U34" i="20"/>
  <c r="P3" i="18"/>
  <c r="O3" i="18"/>
  <c r="U3" i="18"/>
  <c r="T3" i="18"/>
  <c r="N3" i="18"/>
  <c r="M3" i="18"/>
  <c r="R3" i="18"/>
  <c r="S3" i="18"/>
  <c r="Q3" i="18"/>
  <c r="K3" i="18"/>
  <c r="L3" i="18"/>
  <c r="W7" i="18"/>
  <c r="R3" i="20" l="1"/>
  <c r="M4" i="18"/>
  <c r="K12" i="23"/>
  <c r="K13" i="23" s="1"/>
  <c r="L4" i="18"/>
  <c r="J12" i="23"/>
  <c r="J13" i="23" s="1"/>
  <c r="R4" i="18"/>
  <c r="P12" i="23"/>
  <c r="P13" i="23" s="1"/>
  <c r="N4" i="18"/>
  <c r="L12" i="23"/>
  <c r="L13" i="23" s="1"/>
  <c r="T4" i="18"/>
  <c r="R12" i="23"/>
  <c r="R13" i="23" s="1"/>
  <c r="Q4" i="18"/>
  <c r="O12" i="23"/>
  <c r="O13" i="23" s="1"/>
  <c r="U4" i="18"/>
  <c r="S12" i="23"/>
  <c r="O4" i="18"/>
  <c r="M12" i="23"/>
  <c r="S4" i="18"/>
  <c r="Q12" i="23"/>
  <c r="Q13" i="23" s="1"/>
  <c r="P4" i="18"/>
  <c r="N12" i="23"/>
  <c r="N13" i="23" s="1"/>
  <c r="K4" i="18"/>
  <c r="I12" i="23"/>
  <c r="I13" i="23" s="1"/>
  <c r="A17" i="23"/>
  <c r="A14" i="23"/>
  <c r="A11" i="23"/>
  <c r="A8" i="23"/>
  <c r="A5" i="23"/>
  <c r="M13" i="23" l="1"/>
  <c r="S13" i="23"/>
  <c r="N3" i="19" l="1"/>
  <c r="N4" i="19" l="1"/>
  <c r="L15" i="23"/>
  <c r="L16" i="23" s="1"/>
  <c r="K2" i="20"/>
  <c r="I17" i="23" s="1"/>
  <c r="I2" i="23" l="1"/>
  <c r="I20" i="23" l="1"/>
  <c r="W7" i="15"/>
  <c r="W22" i="17" l="1"/>
  <c r="W21" i="17"/>
  <c r="W20" i="17"/>
  <c r="W19" i="17"/>
  <c r="W18" i="17"/>
  <c r="W17" i="17"/>
  <c r="W16" i="17"/>
  <c r="V15" i="17"/>
  <c r="W15" i="17" l="1"/>
  <c r="V15" i="20" l="1"/>
  <c r="W15" i="20" s="1"/>
  <c r="V34" i="20"/>
  <c r="W6" i="20" s="1"/>
  <c r="C7" i="20"/>
  <c r="C15" i="20" s="1"/>
  <c r="W5" i="20"/>
  <c r="V2" i="20"/>
  <c r="T17" i="23" s="1"/>
  <c r="U2" i="20"/>
  <c r="S17" i="23" s="1"/>
  <c r="T2" i="20"/>
  <c r="R17" i="23" s="1"/>
  <c r="S2" i="20"/>
  <c r="Q17" i="23" s="1"/>
  <c r="R2" i="20"/>
  <c r="P17" i="23" s="1"/>
  <c r="Q2" i="20"/>
  <c r="O17" i="23" s="1"/>
  <c r="P2" i="20"/>
  <c r="N17" i="23" s="1"/>
  <c r="N2" i="23" s="1"/>
  <c r="O2" i="20"/>
  <c r="M17" i="23" s="1"/>
  <c r="N2" i="20"/>
  <c r="L17" i="23" s="1"/>
  <c r="M2" i="20"/>
  <c r="K17" i="23" s="1"/>
  <c r="K2" i="23" s="1"/>
  <c r="K20" i="23" s="1"/>
  <c r="L2" i="20"/>
  <c r="J17" i="23" s="1"/>
  <c r="S2" i="23" l="1"/>
  <c r="S20" i="23" s="1"/>
  <c r="R2" i="23"/>
  <c r="R20" i="23" s="1"/>
  <c r="Q2" i="23"/>
  <c r="Q20" i="23" s="1"/>
  <c r="P2" i="23"/>
  <c r="P20" i="23" s="1"/>
  <c r="M2" i="23"/>
  <c r="M20" i="23" s="1"/>
  <c r="L2" i="23"/>
  <c r="L20" i="23" s="1"/>
  <c r="J2" i="23"/>
  <c r="J20" i="23" s="1"/>
  <c r="O2" i="23"/>
  <c r="O20" i="23" s="1"/>
  <c r="W34" i="20"/>
  <c r="W7" i="20"/>
  <c r="N20" i="23"/>
  <c r="U17" i="23"/>
  <c r="K3" i="20"/>
  <c r="I18" i="23" s="1"/>
  <c r="I19" i="23" s="1"/>
  <c r="Q3" i="20"/>
  <c r="O18" i="23" s="1"/>
  <c r="O19" i="23" s="1"/>
  <c r="S3" i="20"/>
  <c r="Q18" i="23" s="1"/>
  <c r="Q19" i="23" s="1"/>
  <c r="O3" i="20"/>
  <c r="M18" i="23" s="1"/>
  <c r="M19" i="23" s="1"/>
  <c r="N3" i="20"/>
  <c r="L18" i="23" s="1"/>
  <c r="L19" i="23" s="1"/>
  <c r="P3" i="20"/>
  <c r="N18" i="23" s="1"/>
  <c r="N19" i="23" s="1"/>
  <c r="P18" i="23"/>
  <c r="P19" i="23" s="1"/>
  <c r="T3" i="20"/>
  <c r="R18" i="23" s="1"/>
  <c r="R19" i="23" s="1"/>
  <c r="V3" i="20"/>
  <c r="T18" i="23" s="1"/>
  <c r="T19" i="23" s="1"/>
  <c r="M3" i="20"/>
  <c r="K18" i="23" s="1"/>
  <c r="K19" i="23" s="1"/>
  <c r="L3" i="20"/>
  <c r="J18" i="23" s="1"/>
  <c r="J19" i="23" s="1"/>
  <c r="U3" i="20"/>
  <c r="S18" i="23" s="1"/>
  <c r="S19" i="23" s="1"/>
  <c r="W2" i="20"/>
  <c r="W22" i="19"/>
  <c r="W21" i="19"/>
  <c r="W20" i="19"/>
  <c r="W19" i="19"/>
  <c r="W18" i="19"/>
  <c r="W17" i="19"/>
  <c r="W16" i="19"/>
  <c r="V15" i="19"/>
  <c r="W14" i="19"/>
  <c r="W13" i="19"/>
  <c r="W12" i="19"/>
  <c r="W11" i="19"/>
  <c r="W10" i="19"/>
  <c r="W9" i="19"/>
  <c r="W8" i="19"/>
  <c r="V7" i="19"/>
  <c r="C7" i="19"/>
  <c r="C15" i="19" s="1"/>
  <c r="W6" i="19"/>
  <c r="W5" i="19"/>
  <c r="V2" i="19"/>
  <c r="T14" i="23" s="1"/>
  <c r="W54" i="18"/>
  <c r="W53" i="18"/>
  <c r="W52" i="18"/>
  <c r="W51" i="18"/>
  <c r="W50" i="18"/>
  <c r="W49" i="18"/>
  <c r="W48" i="18"/>
  <c r="V47" i="18"/>
  <c r="W46" i="18"/>
  <c r="W45" i="18"/>
  <c r="W44" i="18"/>
  <c r="W43" i="18"/>
  <c r="W42" i="18"/>
  <c r="W41" i="18"/>
  <c r="W40" i="18"/>
  <c r="V39" i="18"/>
  <c r="W38" i="18"/>
  <c r="W37" i="18"/>
  <c r="W36" i="18"/>
  <c r="W35" i="18"/>
  <c r="W34" i="18"/>
  <c r="W33" i="18"/>
  <c r="W32" i="18"/>
  <c r="V31" i="18"/>
  <c r="W30" i="18"/>
  <c r="W29" i="18"/>
  <c r="W28" i="18"/>
  <c r="W27" i="18"/>
  <c r="W26" i="18"/>
  <c r="W25" i="18"/>
  <c r="W24" i="18"/>
  <c r="V23" i="18"/>
  <c r="W22" i="18"/>
  <c r="W21" i="18"/>
  <c r="W20" i="18"/>
  <c r="W19" i="18"/>
  <c r="W18" i="18"/>
  <c r="W17" i="18"/>
  <c r="W16" i="18"/>
  <c r="V15" i="18"/>
  <c r="W6" i="18"/>
  <c r="V2" i="18"/>
  <c r="T11" i="23" s="1"/>
  <c r="W14" i="17"/>
  <c r="W13" i="17"/>
  <c r="W12" i="17"/>
  <c r="W11" i="17"/>
  <c r="W10" i="17"/>
  <c r="W9" i="17"/>
  <c r="W8" i="17"/>
  <c r="V7" i="17"/>
  <c r="T3" i="17"/>
  <c r="S3" i="17"/>
  <c r="R3" i="17"/>
  <c r="Q3" i="17"/>
  <c r="P3" i="17"/>
  <c r="O3" i="17"/>
  <c r="N3" i="17"/>
  <c r="M3" i="17"/>
  <c r="L3" i="17"/>
  <c r="C15" i="17"/>
  <c r="W6" i="17"/>
  <c r="W5" i="17"/>
  <c r="V2" i="17"/>
  <c r="T8" i="23" s="1"/>
  <c r="W23" i="17" l="1"/>
  <c r="V23" i="19"/>
  <c r="V3" i="19" s="1"/>
  <c r="T15" i="23" s="1"/>
  <c r="T16" i="23" s="1"/>
  <c r="V71" i="18"/>
  <c r="W71" i="18" s="1"/>
  <c r="M4" i="17"/>
  <c r="K9" i="23"/>
  <c r="L4" i="17"/>
  <c r="J9" i="23"/>
  <c r="N4" i="17"/>
  <c r="L9" i="23"/>
  <c r="L3" i="23" s="1"/>
  <c r="O4" i="17"/>
  <c r="M9" i="23"/>
  <c r="Q4" i="17"/>
  <c r="O9" i="23"/>
  <c r="P4" i="17"/>
  <c r="N9" i="23"/>
  <c r="R4" i="17"/>
  <c r="P9" i="23"/>
  <c r="T4" i="17"/>
  <c r="R9" i="23"/>
  <c r="S4" i="17"/>
  <c r="Q9" i="23"/>
  <c r="K4" i="17"/>
  <c r="I9" i="23"/>
  <c r="R3" i="19"/>
  <c r="U14" i="23"/>
  <c r="S4" i="20"/>
  <c r="C15" i="18"/>
  <c r="C23" i="18" s="1"/>
  <c r="C31" i="18" s="1"/>
  <c r="C39" i="18" s="1"/>
  <c r="C47" i="18" s="1"/>
  <c r="C55" i="18" s="1"/>
  <c r="C63" i="18" s="1"/>
  <c r="U11" i="23"/>
  <c r="U8" i="23"/>
  <c r="U18" i="23"/>
  <c r="U19" i="23" s="1"/>
  <c r="V3" i="17"/>
  <c r="T9" i="23" s="1"/>
  <c r="T10" i="23" s="1"/>
  <c r="K4" i="20"/>
  <c r="W15" i="19"/>
  <c r="R4" i="20"/>
  <c r="O4" i="20"/>
  <c r="W47" i="18"/>
  <c r="P4" i="20"/>
  <c r="L4" i="20"/>
  <c r="W7" i="17"/>
  <c r="W23" i="18"/>
  <c r="P3" i="19"/>
  <c r="N4" i="20"/>
  <c r="Q4" i="20"/>
  <c r="T4" i="20"/>
  <c r="V4" i="20"/>
  <c r="M4" i="20"/>
  <c r="U4" i="20"/>
  <c r="W3" i="20"/>
  <c r="O3" i="19"/>
  <c r="S3" i="19"/>
  <c r="K3" i="19"/>
  <c r="W2" i="19"/>
  <c r="W7" i="19"/>
  <c r="W39" i="18"/>
  <c r="W31" i="18"/>
  <c r="W15" i="18"/>
  <c r="W2" i="18"/>
  <c r="W2" i="17"/>
  <c r="V3" i="18" l="1"/>
  <c r="T12" i="23" s="1"/>
  <c r="T13" i="23" s="1"/>
  <c r="V4" i="19"/>
  <c r="S4" i="19"/>
  <c r="Q15" i="23"/>
  <c r="Q16" i="23" s="1"/>
  <c r="O4" i="19"/>
  <c r="M15" i="23"/>
  <c r="M16" i="23" s="1"/>
  <c r="R4" i="19"/>
  <c r="P15" i="23"/>
  <c r="P16" i="23" s="1"/>
  <c r="P4" i="19"/>
  <c r="N15" i="23"/>
  <c r="N16" i="23" s="1"/>
  <c r="K4" i="19"/>
  <c r="I15" i="23"/>
  <c r="I16" i="23" s="1"/>
  <c r="M10" i="23"/>
  <c r="L10" i="23"/>
  <c r="R10" i="23"/>
  <c r="P10" i="23"/>
  <c r="N10" i="23"/>
  <c r="J10" i="23"/>
  <c r="Q10" i="23"/>
  <c r="O10" i="23"/>
  <c r="K10" i="23"/>
  <c r="I10" i="23"/>
  <c r="U3" i="19"/>
  <c r="Q3" i="19"/>
  <c r="M3" i="19"/>
  <c r="L3" i="19"/>
  <c r="T3" i="19"/>
  <c r="W23" i="19"/>
  <c r="W4" i="20"/>
  <c r="V4" i="17"/>
  <c r="W6" i="15"/>
  <c r="W5" i="15"/>
  <c r="V2" i="15"/>
  <c r="T5" i="23" s="1"/>
  <c r="T2" i="23" s="1"/>
  <c r="V4" i="18" l="1"/>
  <c r="W4" i="18" s="1"/>
  <c r="I3" i="23"/>
  <c r="I4" i="23" s="1"/>
  <c r="M3" i="23"/>
  <c r="M21" i="23" s="1"/>
  <c r="M22" i="23" s="1"/>
  <c r="Q3" i="23"/>
  <c r="Q21" i="23" s="1"/>
  <c r="Q22" i="23" s="1"/>
  <c r="P3" i="23"/>
  <c r="P21" i="23" s="1"/>
  <c r="P22" i="23" s="1"/>
  <c r="N3" i="23"/>
  <c r="N21" i="23" s="1"/>
  <c r="N22" i="23" s="1"/>
  <c r="U4" i="19"/>
  <c r="S15" i="23"/>
  <c r="S3" i="23" s="1"/>
  <c r="Q4" i="19"/>
  <c r="O15" i="23"/>
  <c r="O3" i="23" s="1"/>
  <c r="T4" i="19"/>
  <c r="R15" i="23"/>
  <c r="R3" i="23" s="1"/>
  <c r="L4" i="19"/>
  <c r="J15" i="23"/>
  <c r="J3" i="23" s="1"/>
  <c r="M4" i="19"/>
  <c r="K15" i="23"/>
  <c r="K3" i="23" s="1"/>
  <c r="L21" i="23"/>
  <c r="L22" i="23" s="1"/>
  <c r="L24" i="23" s="1"/>
  <c r="L4" i="23"/>
  <c r="U9" i="23"/>
  <c r="U10" i="23" s="1"/>
  <c r="U5" i="23"/>
  <c r="U2" i="23" s="1"/>
  <c r="V3" i="15"/>
  <c r="T6" i="23" s="1"/>
  <c r="W3" i="17"/>
  <c r="W3" i="19"/>
  <c r="W4" i="17"/>
  <c r="W3" i="18"/>
  <c r="W2" i="15"/>
  <c r="M24" i="23" l="1"/>
  <c r="T7" i="23"/>
  <c r="T3" i="23"/>
  <c r="Q4" i="23"/>
  <c r="I21" i="23"/>
  <c r="I22" i="23" s="1"/>
  <c r="I23" i="23" s="1"/>
  <c r="M4" i="23"/>
  <c r="W4" i="19"/>
  <c r="P4" i="23"/>
  <c r="N4" i="23"/>
  <c r="K16" i="23"/>
  <c r="O16" i="23"/>
  <c r="R16" i="23"/>
  <c r="J16" i="23"/>
  <c r="S16" i="23"/>
  <c r="U15" i="23"/>
  <c r="U16" i="23" s="1"/>
  <c r="U12" i="23"/>
  <c r="U13" i="23" s="1"/>
  <c r="V4" i="15"/>
  <c r="R4" i="23" l="1"/>
  <c r="R21" i="23"/>
  <c r="R22" i="23" s="1"/>
  <c r="S4" i="23"/>
  <c r="S21" i="23"/>
  <c r="S22" i="23" s="1"/>
  <c r="O4" i="23"/>
  <c r="O21" i="23"/>
  <c r="O22" i="23" s="1"/>
  <c r="O24" i="23" s="1"/>
  <c r="K4" i="23"/>
  <c r="K21" i="23"/>
  <c r="K22" i="23" s="1"/>
  <c r="J21" i="23"/>
  <c r="J22" i="23" s="1"/>
  <c r="J23" i="23" s="1"/>
  <c r="J4" i="23"/>
  <c r="W3" i="15"/>
  <c r="T21" i="23"/>
  <c r="W4" i="15"/>
  <c r="K23" i="23" l="1"/>
  <c r="L23" i="23" s="1"/>
  <c r="U6" i="23"/>
  <c r="U7" i="23" l="1"/>
  <c r="U3" i="23"/>
  <c r="U21" i="23"/>
  <c r="J25" i="23" l="1"/>
  <c r="S25" i="23"/>
  <c r="P25" i="23"/>
  <c r="Q25" i="23" l="1"/>
  <c r="K25" i="23"/>
  <c r="N25" i="23"/>
  <c r="M25" i="23"/>
  <c r="T20" i="23"/>
  <c r="T4" i="23"/>
  <c r="T22" i="23" l="1"/>
  <c r="T25" i="23" s="1"/>
  <c r="U20" i="23"/>
  <c r="U4" i="23"/>
  <c r="R24" i="23"/>
  <c r="I25" i="23"/>
  <c r="M23" i="23"/>
  <c r="N23" i="23" s="1"/>
  <c r="I24" i="23"/>
  <c r="L25" i="23"/>
  <c r="N24" i="23"/>
  <c r="J24" i="23" l="1"/>
  <c r="K24" i="23" s="1"/>
  <c r="O23" i="23"/>
  <c r="P23" i="23" s="1"/>
  <c r="Q23" i="23" s="1"/>
  <c r="R23" i="23" s="1"/>
  <c r="S23" i="23" s="1"/>
  <c r="T23" i="23" s="1"/>
  <c r="S24" i="23"/>
  <c r="T24" i="23" s="1"/>
  <c r="R25" i="23"/>
  <c r="U22" i="23"/>
  <c r="U23" i="23" s="1"/>
  <c r="P24" i="23"/>
  <c r="Q24" i="23" s="1"/>
  <c r="O2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X5" authorId="0" shapeId="0" xr:uid="{FF7BA599-5350-4756-B34C-EC2F5818F20C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※削除していいか確認必要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O8" authorId="0" shapeId="0" xr:uid="{4F37B799-648E-4133-B215-2B7196528AA1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  <comment ref="P8" authorId="0" shapeId="0" xr:uid="{5507BC07-21F5-4064-A01D-F95AF8EF41FB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  <comment ref="R8" authorId="0" shapeId="0" xr:uid="{CE9B84A2-27D8-4574-AAD0-2EEA9D37CFE6}">
      <text>
        <r>
          <rPr>
            <sz val="9"/>
            <color indexed="81"/>
            <rFont val="MS P ゴシック"/>
            <family val="3"/>
            <charset val="128"/>
          </rPr>
          <t>定常外手当35,000円は含んでおりません。</t>
        </r>
      </text>
    </comment>
    <comment ref="T8" authorId="0" shapeId="0" xr:uid="{B6BBE957-A108-4195-89D7-CE98664F51F2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  <comment ref="U8" authorId="0" shapeId="0" xr:uid="{1816014A-2369-4DA1-B7BF-A143F1E1119B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P8" authorId="0" shapeId="0" xr:uid="{9F8B1D49-789F-4409-85FB-3C0D00880603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  <comment ref="T8" authorId="0" shapeId="0" xr:uid="{156B99D9-D289-46C0-8AC4-7A603299FFBF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  <comment ref="U8" authorId="0" shapeId="0" xr:uid="{F1F63374-D229-4D19-90B9-0E72CFF60C3E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  <comment ref="T16" authorId="0" shapeId="0" xr:uid="{FB96DC91-CDDB-4319-9761-BEBD56DCC4D7}">
      <text>
        <r>
          <rPr>
            <sz val="9"/>
            <color indexed="81"/>
            <rFont val="MS P ゴシック"/>
            <family val="3"/>
            <charset val="128"/>
          </rPr>
          <t>定常外手当70,000円は含んでおりません。</t>
        </r>
      </text>
    </comment>
  </commentList>
</comments>
</file>

<file path=xl/sharedStrings.xml><?xml version="1.0" encoding="utf-8"?>
<sst xmlns="http://schemas.openxmlformats.org/spreadsheetml/2006/main" count="379" uniqueCount="88">
  <si>
    <t>No</t>
    <phoneticPr fontId="6"/>
  </si>
  <si>
    <t>派遣/請負</t>
    <rPh sb="0" eb="2">
      <t>ハケン</t>
    </rPh>
    <rPh sb="3" eb="5">
      <t>ウケオイ</t>
    </rPh>
    <phoneticPr fontId="6"/>
  </si>
  <si>
    <t>担当</t>
    <rPh sb="0" eb="2">
      <t>タントウ</t>
    </rPh>
    <phoneticPr fontId="6"/>
  </si>
  <si>
    <t>氏名</t>
    <rPh sb="0" eb="2">
      <t>シメイ</t>
    </rPh>
    <phoneticPr fontId="6"/>
  </si>
  <si>
    <t>作業名</t>
    <rPh sb="0" eb="2">
      <t>サギョウ</t>
    </rPh>
    <rPh sb="2" eb="3">
      <t>メイ</t>
    </rPh>
    <phoneticPr fontId="6"/>
  </si>
  <si>
    <t>契約先</t>
    <rPh sb="0" eb="2">
      <t>ケイヤク</t>
    </rPh>
    <rPh sb="2" eb="3">
      <t>サキ</t>
    </rPh>
    <phoneticPr fontId="6"/>
  </si>
  <si>
    <t>外注会社</t>
    <rPh sb="0" eb="2">
      <t>ガイチュウ</t>
    </rPh>
    <rPh sb="2" eb="4">
      <t>ガイシャ</t>
    </rPh>
    <phoneticPr fontId="6"/>
  </si>
  <si>
    <t>売上単価
(支払単価）
【≒粗利】</t>
    <rPh sb="0" eb="2">
      <t>ウリアゲ</t>
    </rPh>
    <rPh sb="2" eb="4">
      <t>タンカ</t>
    </rPh>
    <rPh sb="6" eb="8">
      <t>シハラ</t>
    </rPh>
    <rPh sb="8" eb="10">
      <t>タンカ</t>
    </rPh>
    <phoneticPr fontId="6"/>
  </si>
  <si>
    <t>4月</t>
    <rPh sb="1" eb="2">
      <t>ガツ</t>
    </rPh>
    <phoneticPr fontId="6"/>
  </si>
  <si>
    <t>5月</t>
    <rPh sb="1" eb="2">
      <t>ガツ</t>
    </rPh>
    <phoneticPr fontId="6"/>
  </si>
  <si>
    <t>6月</t>
    <rPh sb="1" eb="2">
      <t>ガツ</t>
    </rPh>
    <phoneticPr fontId="6"/>
  </si>
  <si>
    <t>7月</t>
    <rPh sb="1" eb="2">
      <t>ガツ</t>
    </rPh>
    <phoneticPr fontId="6"/>
  </si>
  <si>
    <t>8月</t>
    <rPh sb="1" eb="2">
      <t>ガツ</t>
    </rPh>
    <phoneticPr fontId="6"/>
  </si>
  <si>
    <t>9月</t>
    <rPh sb="1" eb="2">
      <t>ガツ</t>
    </rPh>
    <phoneticPr fontId="6"/>
  </si>
  <si>
    <t>10月</t>
    <rPh sb="2" eb="3">
      <t>ガツ</t>
    </rPh>
    <phoneticPr fontId="6"/>
  </si>
  <si>
    <t>11月</t>
    <rPh sb="2" eb="3">
      <t>ガツ</t>
    </rPh>
    <phoneticPr fontId="6"/>
  </si>
  <si>
    <t>12月</t>
    <rPh sb="2" eb="3">
      <t>ガツ</t>
    </rPh>
    <phoneticPr fontId="6"/>
  </si>
  <si>
    <t>1月</t>
    <rPh sb="1" eb="2">
      <t>ガツ</t>
    </rPh>
    <phoneticPr fontId="6"/>
  </si>
  <si>
    <t>2月</t>
    <rPh sb="1" eb="2">
      <t>ガツ</t>
    </rPh>
    <phoneticPr fontId="6"/>
  </si>
  <si>
    <t>3月</t>
    <rPh sb="1" eb="2">
      <t>ガツ</t>
    </rPh>
    <phoneticPr fontId="6"/>
  </si>
  <si>
    <t>合計</t>
    <rPh sb="0" eb="2">
      <t>ゴウケイ</t>
    </rPh>
    <phoneticPr fontId="6"/>
  </si>
  <si>
    <t>売上</t>
    <rPh sb="0" eb="2">
      <t>ウリアゲ</t>
    </rPh>
    <phoneticPr fontId="4"/>
  </si>
  <si>
    <t>仕入</t>
    <rPh sb="0" eb="2">
      <t>シイレ</t>
    </rPh>
    <phoneticPr fontId="4"/>
  </si>
  <si>
    <t>粗利</t>
    <rPh sb="0" eb="2">
      <t>アラリ</t>
    </rPh>
    <phoneticPr fontId="4"/>
  </si>
  <si>
    <t>総経費</t>
    <rPh sb="0" eb="1">
      <t>ソウ</t>
    </rPh>
    <rPh sb="1" eb="3">
      <t>ケイヒ</t>
    </rPh>
    <phoneticPr fontId="6"/>
  </si>
  <si>
    <t>賃金</t>
    <rPh sb="0" eb="2">
      <t>チンギン</t>
    </rPh>
    <phoneticPr fontId="6"/>
  </si>
  <si>
    <t>健康保険</t>
    <rPh sb="0" eb="2">
      <t>ケンコウ</t>
    </rPh>
    <rPh sb="2" eb="4">
      <t>ホケン</t>
    </rPh>
    <phoneticPr fontId="6"/>
  </si>
  <si>
    <t>厚生年金</t>
    <rPh sb="0" eb="2">
      <t>コウセイ</t>
    </rPh>
    <rPh sb="2" eb="4">
      <t>ネンキン</t>
    </rPh>
    <phoneticPr fontId="6"/>
  </si>
  <si>
    <t>労災保険</t>
    <rPh sb="0" eb="2">
      <t>ロウサイ</t>
    </rPh>
    <rPh sb="2" eb="4">
      <t>ホケン</t>
    </rPh>
    <phoneticPr fontId="6"/>
  </si>
  <si>
    <t>雇用保険</t>
    <rPh sb="0" eb="2">
      <t>コヨウ</t>
    </rPh>
    <rPh sb="2" eb="4">
      <t>ホケン</t>
    </rPh>
    <phoneticPr fontId="6"/>
  </si>
  <si>
    <t>交通費その他</t>
    <rPh sb="0" eb="3">
      <t>コウツウヒ</t>
    </rPh>
    <rPh sb="5" eb="6">
      <t>タ</t>
    </rPh>
    <phoneticPr fontId="6"/>
  </si>
  <si>
    <t>社員</t>
    <rPh sb="0" eb="2">
      <t>シャイン</t>
    </rPh>
    <phoneticPr fontId="6"/>
  </si>
  <si>
    <t>総合計</t>
    <rPh sb="0" eb="3">
      <t>ソウゴウケイ</t>
    </rPh>
    <phoneticPr fontId="4"/>
  </si>
  <si>
    <t>介護保険</t>
    <rPh sb="0" eb="2">
      <t>カイゴ</t>
    </rPh>
    <rPh sb="2" eb="4">
      <t>ホケン</t>
    </rPh>
    <phoneticPr fontId="6"/>
  </si>
  <si>
    <t>社員</t>
    <rPh sb="0" eb="2">
      <t>シャイン</t>
    </rPh>
    <phoneticPr fontId="4"/>
  </si>
  <si>
    <t>粗利累計１</t>
    <rPh sb="0" eb="2">
      <t>アラリ</t>
    </rPh>
    <rPh sb="2" eb="4">
      <t>ルイケイ</t>
    </rPh>
    <phoneticPr fontId="4"/>
  </si>
  <si>
    <t>粗利累計２</t>
    <rPh sb="0" eb="2">
      <t>アラリ</t>
    </rPh>
    <rPh sb="2" eb="4">
      <t>ルイケイ</t>
    </rPh>
    <phoneticPr fontId="4"/>
  </si>
  <si>
    <t>月次粗利率</t>
    <rPh sb="0" eb="2">
      <t>ゲツジ</t>
    </rPh>
    <rPh sb="2" eb="4">
      <t>アラリ</t>
    </rPh>
    <rPh sb="4" eb="5">
      <t>リツ</t>
    </rPh>
    <phoneticPr fontId="4"/>
  </si>
  <si>
    <t>売上金額（ベース）</t>
    <rPh sb="0" eb="2">
      <t>ウリアゲ</t>
    </rPh>
    <rPh sb="2" eb="4">
      <t>キンガク</t>
    </rPh>
    <phoneticPr fontId="4"/>
  </si>
  <si>
    <t>売上金額（スポット）</t>
    <rPh sb="0" eb="2">
      <t>ウリアゲ</t>
    </rPh>
    <rPh sb="2" eb="4">
      <t>キンガク</t>
    </rPh>
    <phoneticPr fontId="4"/>
  </si>
  <si>
    <t>仕入合計</t>
    <rPh sb="0" eb="2">
      <t>シイレ</t>
    </rPh>
    <rPh sb="2" eb="4">
      <t>ゴウケイ</t>
    </rPh>
    <phoneticPr fontId="4"/>
  </si>
  <si>
    <t>TV/Web会議
HGT</t>
    <rPh sb="6" eb="8">
      <t>カイギ</t>
    </rPh>
    <phoneticPr fontId="4"/>
  </si>
  <si>
    <t>OF
HGT</t>
    <phoneticPr fontId="4"/>
  </si>
  <si>
    <t>OF（HGT)</t>
    <phoneticPr fontId="4"/>
  </si>
  <si>
    <t>DC(さくら）</t>
    <phoneticPr fontId="4"/>
  </si>
  <si>
    <t>NWサポート（HGT)</t>
    <phoneticPr fontId="4"/>
  </si>
  <si>
    <t>NWサポート
HGT</t>
    <phoneticPr fontId="4"/>
  </si>
  <si>
    <t>NWサポート
HGT</t>
    <phoneticPr fontId="4"/>
  </si>
  <si>
    <t>ホンダ業務委託総計</t>
    <rPh sb="3" eb="5">
      <t>ギョウム</t>
    </rPh>
    <rPh sb="5" eb="7">
      <t>イタク</t>
    </rPh>
    <rPh sb="7" eb="8">
      <t>ソウ</t>
    </rPh>
    <rPh sb="8" eb="9">
      <t>ケイ</t>
    </rPh>
    <phoneticPr fontId="4"/>
  </si>
  <si>
    <t>スポット/車両</t>
    <rPh sb="5" eb="7">
      <t>シャリョウ</t>
    </rPh>
    <phoneticPr fontId="4"/>
  </si>
  <si>
    <t>HGT</t>
    <phoneticPr fontId="4"/>
  </si>
  <si>
    <t>BS</t>
    <phoneticPr fontId="6"/>
  </si>
  <si>
    <t>NMHT</t>
    <phoneticPr fontId="6"/>
  </si>
  <si>
    <t>大坂</t>
    <rPh sb="0" eb="2">
      <t>オオサカ</t>
    </rPh>
    <phoneticPr fontId="4"/>
  </si>
  <si>
    <t>谷口</t>
    <rPh sb="0" eb="2">
      <t>ヤグチ</t>
    </rPh>
    <phoneticPr fontId="4"/>
  </si>
  <si>
    <t>小林</t>
    <rPh sb="0" eb="2">
      <t>コバヤシ</t>
    </rPh>
    <phoneticPr fontId="4"/>
  </si>
  <si>
    <t>大森</t>
    <rPh sb="0" eb="2">
      <t>オオモリ</t>
    </rPh>
    <phoneticPr fontId="4"/>
  </si>
  <si>
    <t>宮嵜</t>
    <rPh sb="0" eb="2">
      <t>ミヤザキ</t>
    </rPh>
    <phoneticPr fontId="4"/>
  </si>
  <si>
    <t>渡辺</t>
    <rPh sb="0" eb="2">
      <t>ワタナベ</t>
    </rPh>
    <phoneticPr fontId="4"/>
  </si>
  <si>
    <t>TV_Web会議(HGT)</t>
    <rPh sb="6" eb="8">
      <t>カイギ</t>
    </rPh>
    <phoneticPr fontId="4"/>
  </si>
  <si>
    <t>TV_Web会議(HGT)</t>
    <phoneticPr fontId="4"/>
  </si>
  <si>
    <t>車両リース</t>
    <rPh sb="0" eb="2">
      <t>シャリョウ</t>
    </rPh>
    <phoneticPr fontId="4"/>
  </si>
  <si>
    <t>売上金額（定常外）</t>
    <rPh sb="0" eb="2">
      <t>ウリアゲ</t>
    </rPh>
    <rPh sb="2" eb="4">
      <t>キンガク</t>
    </rPh>
    <rPh sb="5" eb="7">
      <t>テイジョウ</t>
    </rPh>
    <rPh sb="7" eb="8">
      <t>ガイ</t>
    </rPh>
    <phoneticPr fontId="4"/>
  </si>
  <si>
    <t>スポット</t>
    <phoneticPr fontId="4"/>
  </si>
  <si>
    <t>定常外</t>
    <rPh sb="0" eb="2">
      <t>テイジョウ</t>
    </rPh>
    <rPh sb="2" eb="3">
      <t>ガイ</t>
    </rPh>
    <phoneticPr fontId="4"/>
  </si>
  <si>
    <t>スポット/定常外</t>
    <rPh sb="5" eb="7">
      <t>テイジョウ</t>
    </rPh>
    <rPh sb="7" eb="8">
      <t>ガイ</t>
    </rPh>
    <phoneticPr fontId="4"/>
  </si>
  <si>
    <t>佐藤</t>
    <rPh sb="0" eb="2">
      <t>サトウ</t>
    </rPh>
    <phoneticPr fontId="4"/>
  </si>
  <si>
    <t>社員番号</t>
    <rPh sb="0" eb="2">
      <t>シャイン</t>
    </rPh>
    <rPh sb="2" eb="4">
      <t>バンゴウ</t>
    </rPh>
    <phoneticPr fontId="4"/>
  </si>
  <si>
    <t>氏名</t>
    <rPh sb="0" eb="2">
      <t>シメイ</t>
    </rPh>
    <phoneticPr fontId="4"/>
  </si>
  <si>
    <t>岩崎</t>
    <rPh sb="0" eb="2">
      <t>イワサキ</t>
    </rPh>
    <phoneticPr fontId="4"/>
  </si>
  <si>
    <t>有本</t>
    <rPh sb="0" eb="2">
      <t>アリモト</t>
    </rPh>
    <phoneticPr fontId="4"/>
  </si>
  <si>
    <t>定常外作業</t>
    <rPh sb="0" eb="2">
      <t>テイジョウ</t>
    </rPh>
    <rPh sb="2" eb="3">
      <t>ガイ</t>
    </rPh>
    <rPh sb="3" eb="5">
      <t>サギョウ</t>
    </rPh>
    <phoneticPr fontId="4"/>
  </si>
  <si>
    <t>山越</t>
    <rPh sb="0" eb="2">
      <t>ヤマコシ</t>
    </rPh>
    <phoneticPr fontId="4"/>
  </si>
  <si>
    <t>吉田</t>
    <rPh sb="0" eb="2">
      <t>ヨシダ</t>
    </rPh>
    <phoneticPr fontId="4"/>
  </si>
  <si>
    <t>菅原</t>
    <rPh sb="0" eb="2">
      <t>スガワラ</t>
    </rPh>
    <phoneticPr fontId="4"/>
  </si>
  <si>
    <t>土屋</t>
    <rPh sb="0" eb="2">
      <t>ツチヤ</t>
    </rPh>
    <phoneticPr fontId="4"/>
  </si>
  <si>
    <t>高岩</t>
    <rPh sb="0" eb="2">
      <t>タカイワ</t>
    </rPh>
    <phoneticPr fontId="4"/>
  </si>
  <si>
    <t>車両リース</t>
    <phoneticPr fontId="4"/>
  </si>
  <si>
    <t>河野</t>
    <rPh sb="0" eb="2">
      <t>カワノ</t>
    </rPh>
    <phoneticPr fontId="4"/>
  </si>
  <si>
    <t>&lt;-車両費用：￥50,000-/月含む</t>
    <rPh sb="2" eb="4">
      <t>シャリョウ</t>
    </rPh>
    <rPh sb="4" eb="6">
      <t>ヒヨウ</t>
    </rPh>
    <rPh sb="16" eb="17">
      <t>ツキ</t>
    </rPh>
    <rPh sb="17" eb="18">
      <t>フク</t>
    </rPh>
    <phoneticPr fontId="4"/>
  </si>
  <si>
    <t>【外注】</t>
    <rPh sb="1" eb="3">
      <t>ガイチュウ</t>
    </rPh>
    <phoneticPr fontId="4"/>
  </si>
  <si>
    <t>藤田</t>
    <rPh sb="0" eb="2">
      <t>フジタ</t>
    </rPh>
    <phoneticPr fontId="4"/>
  </si>
  <si>
    <t>粗利</t>
    <phoneticPr fontId="4"/>
  </si>
  <si>
    <t>本田さくらDC運用業務</t>
    <phoneticPr fontId="4"/>
  </si>
  <si>
    <t>本田ファシリティ運用業務</t>
    <phoneticPr fontId="4"/>
  </si>
  <si>
    <t>転出</t>
    <rPh sb="0" eb="2">
      <t>テンシュツ</t>
    </rPh>
    <phoneticPr fontId="6"/>
  </si>
  <si>
    <t>菅原</t>
    <rPh sb="0" eb="2">
      <t>スガハラ</t>
    </rPh>
    <phoneticPr fontId="4"/>
  </si>
  <si>
    <t>土屋</t>
    <rPh sb="0" eb="2">
      <t>ツチヤ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</si>
</sst>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¥&quot;#,##0_);[Red]\(&quot;¥&quot;#,##0\)"/>
  </numFmts>
  <fonts count="27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b/>
      <sz val="9"/>
      <color rgb="FF0000FF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18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tted">
        <color indexed="63"/>
      </left>
      <right style="dotted">
        <color indexed="63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dotted">
        <color indexed="63"/>
      </right>
      <top/>
      <bottom/>
      <diagonal/>
    </border>
    <border>
      <left style="dashed">
        <color indexed="64"/>
      </left>
      <right style="thin">
        <color indexed="64"/>
      </right>
      <top style="thin">
        <color indexed="22"/>
      </top>
      <bottom/>
      <diagonal/>
    </border>
    <border>
      <left style="dotted">
        <color indexed="63"/>
      </left>
      <right/>
      <top/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63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8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8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8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3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3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3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3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3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/>
      <diagonal/>
    </border>
    <border>
      <left style="thin">
        <color indexed="8"/>
      </left>
      <right style="thin">
        <color indexed="64"/>
      </right>
      <top style="double">
        <color indexed="63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dashed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indexed="64"/>
      </left>
      <right style="thin">
        <color indexed="64"/>
      </right>
      <top style="thin">
        <color theme="0" tint="-0.24994659260841701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indexed="64"/>
      </left>
      <right style="thin">
        <color theme="0" tint="-0.14999847407452621"/>
      </right>
      <top style="double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double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indexed="8"/>
      </right>
      <top style="double">
        <color indexed="6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22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/>
      <top style="double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dashed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dashed">
        <color indexed="64"/>
      </left>
      <right/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</borders>
  <cellStyleXfs count="218">
    <xf numFmtId="0" fontId="0" fillId="0" borderId="0"/>
    <xf numFmtId="0" fontId="11" fillId="0" borderId="0"/>
    <xf numFmtId="0" fontId="14" fillId="0" borderId="0"/>
    <xf numFmtId="38" fontId="14" fillId="0" borderId="0" applyFont="0" applyFill="0" applyBorder="0" applyAlignment="0" applyProtection="0"/>
    <xf numFmtId="0" fontId="14" fillId="0" borderId="0"/>
    <xf numFmtId="38" fontId="11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09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/>
    <xf numFmtId="0" fontId="5" fillId="0" borderId="3" xfId="0" applyFont="1" applyBorder="1"/>
    <xf numFmtId="0" fontId="5" fillId="0" borderId="8" xfId="0" applyFont="1" applyBorder="1"/>
    <xf numFmtId="0" fontId="12" fillId="7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0" fontId="12" fillId="0" borderId="0" xfId="0" applyNumberFormat="1" applyFont="1" applyAlignment="1">
      <alignment horizontal="center" vertical="center"/>
    </xf>
    <xf numFmtId="0" fontId="5" fillId="6" borderId="9" xfId="0" applyFont="1" applyFill="1" applyBorder="1" applyAlignment="1">
      <alignment horizontal="left" vertical="center" shrinkToFit="1"/>
    </xf>
    <xf numFmtId="0" fontId="5" fillId="5" borderId="5" xfId="0" applyFont="1" applyFill="1" applyBorder="1" applyAlignment="1">
      <alignment horizontal="right" vertical="center" shrinkToFit="1"/>
    </xf>
    <xf numFmtId="0" fontId="5" fillId="5" borderId="7" xfId="0" applyFont="1" applyFill="1" applyBorder="1" applyAlignment="1">
      <alignment horizontal="right" vertical="center" shrinkToFit="1"/>
    </xf>
    <xf numFmtId="0" fontId="5" fillId="5" borderId="11" xfId="0" applyFont="1" applyFill="1" applyBorder="1" applyAlignment="1">
      <alignment horizontal="right" vertical="center" shrinkToFit="1"/>
    </xf>
    <xf numFmtId="0" fontId="5" fillId="6" borderId="4" xfId="0" applyFont="1" applyFill="1" applyBorder="1" applyAlignment="1">
      <alignment horizontal="left" vertical="center" shrinkToFit="1"/>
    </xf>
    <xf numFmtId="0" fontId="9" fillId="0" borderId="0" xfId="4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0" borderId="0" xfId="4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15" fillId="0" borderId="0" xfId="0" applyFont="1"/>
    <xf numFmtId="0" fontId="7" fillId="4" borderId="16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shrinkToFit="1"/>
    </xf>
    <xf numFmtId="0" fontId="7" fillId="2" borderId="30" xfId="0" applyFont="1" applyFill="1" applyBorder="1" applyAlignment="1">
      <alignment horizontal="center" vertical="center" shrinkToFit="1"/>
    </xf>
    <xf numFmtId="0" fontId="12" fillId="7" borderId="20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5" fillId="0" borderId="18" xfId="0" applyFont="1" applyBorder="1"/>
    <xf numFmtId="0" fontId="5" fillId="0" borderId="19" xfId="0" applyFont="1" applyBorder="1"/>
    <xf numFmtId="0" fontId="9" fillId="2" borderId="47" xfId="0" applyFont="1" applyFill="1" applyBorder="1" applyAlignment="1">
      <alignment horizontal="center" vertical="center" shrinkToFit="1"/>
    </xf>
    <xf numFmtId="0" fontId="5" fillId="2" borderId="49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9" fillId="0" borderId="0" xfId="0" applyFont="1"/>
    <xf numFmtId="0" fontId="7" fillId="2" borderId="29" xfId="0" applyFont="1" applyFill="1" applyBorder="1" applyAlignment="1">
      <alignment horizontal="center" vertical="center" shrinkToFit="1"/>
    </xf>
    <xf numFmtId="176" fontId="12" fillId="4" borderId="48" xfId="0" applyNumberFormat="1" applyFont="1" applyFill="1" applyBorder="1" applyAlignment="1">
      <alignment horizontal="right" vertical="center" shrinkToFit="1"/>
    </xf>
    <xf numFmtId="176" fontId="12" fillId="4" borderId="47" xfId="0" applyNumberFormat="1" applyFont="1" applyFill="1" applyBorder="1" applyAlignment="1">
      <alignment horizontal="right" vertical="center" shrinkToFit="1"/>
    </xf>
    <xf numFmtId="0" fontId="9" fillId="2" borderId="48" xfId="0" applyFont="1" applyFill="1" applyBorder="1" applyAlignment="1">
      <alignment horizontal="center" vertical="center" shrinkToFit="1"/>
    </xf>
    <xf numFmtId="0" fontId="9" fillId="0" borderId="3" xfId="0" applyFont="1" applyBorder="1"/>
    <xf numFmtId="176" fontId="9" fillId="5" borderId="57" xfId="0" applyNumberFormat="1" applyFont="1" applyFill="1" applyBorder="1" applyAlignment="1">
      <alignment horizontal="right" vertical="center"/>
    </xf>
    <xf numFmtId="176" fontId="9" fillId="5" borderId="80" xfId="0" applyNumberFormat="1" applyFont="1" applyFill="1" applyBorder="1" applyAlignment="1">
      <alignment horizontal="right" vertical="center"/>
    </xf>
    <xf numFmtId="176" fontId="9" fillId="0" borderId="51" xfId="0" applyNumberFormat="1" applyFont="1" applyBorder="1" applyAlignment="1">
      <alignment horizontal="right" vertical="center" shrinkToFit="1"/>
    </xf>
    <xf numFmtId="176" fontId="9" fillId="0" borderId="54" xfId="0" applyNumberFormat="1" applyFont="1" applyBorder="1" applyAlignment="1">
      <alignment horizontal="right" vertical="center" shrinkToFit="1"/>
    </xf>
    <xf numFmtId="176" fontId="12" fillId="4" borderId="73" xfId="0" applyNumberFormat="1" applyFont="1" applyFill="1" applyBorder="1" applyAlignment="1">
      <alignment horizontal="right" vertical="center" shrinkToFit="1"/>
    </xf>
    <xf numFmtId="176" fontId="9" fillId="0" borderId="50" xfId="0" applyNumberFormat="1" applyFont="1" applyBorder="1" applyAlignment="1">
      <alignment horizontal="right" vertical="center" shrinkToFit="1"/>
    </xf>
    <xf numFmtId="176" fontId="9" fillId="0" borderId="53" xfId="0" applyNumberFormat="1" applyFont="1" applyBorder="1" applyAlignment="1">
      <alignment horizontal="right" vertical="center" shrinkToFit="1"/>
    </xf>
    <xf numFmtId="176" fontId="12" fillId="4" borderId="72" xfId="0" applyNumberFormat="1" applyFont="1" applyFill="1" applyBorder="1" applyAlignment="1">
      <alignment horizontal="right" vertical="center" shrinkToFit="1"/>
    </xf>
    <xf numFmtId="0" fontId="9" fillId="0" borderId="6" xfId="0" applyFont="1" applyBorder="1"/>
    <xf numFmtId="0" fontId="7" fillId="7" borderId="10" xfId="0" applyFont="1" applyFill="1" applyBorder="1" applyAlignment="1">
      <alignment horizontal="center" vertical="center" wrapText="1"/>
    </xf>
    <xf numFmtId="176" fontId="18" fillId="0" borderId="52" xfId="0" applyNumberFormat="1" applyFont="1" applyBorder="1" applyAlignment="1">
      <alignment horizontal="right" vertical="center" shrinkToFit="1"/>
    </xf>
    <xf numFmtId="176" fontId="17" fillId="0" borderId="20" xfId="0" applyNumberFormat="1" applyFont="1" applyBorder="1" applyAlignment="1">
      <alignment horizontal="right" vertical="center" shrinkToFit="1"/>
    </xf>
    <xf numFmtId="176" fontId="18" fillId="0" borderId="55" xfId="0" applyNumberFormat="1" applyFont="1" applyBorder="1" applyAlignment="1">
      <alignment horizontal="right" vertical="center" shrinkToFit="1"/>
    </xf>
    <xf numFmtId="176" fontId="17" fillId="0" borderId="2" xfId="0" applyNumberFormat="1" applyFont="1" applyBorder="1" applyAlignment="1">
      <alignment horizontal="right" vertical="center" shrinkToFit="1"/>
    </xf>
    <xf numFmtId="176" fontId="17" fillId="4" borderId="26" xfId="0" applyNumberFormat="1" applyFont="1" applyFill="1" applyBorder="1" applyAlignment="1">
      <alignment horizontal="right" vertical="center" shrinkToFit="1"/>
    </xf>
    <xf numFmtId="176" fontId="17" fillId="4" borderId="16" xfId="0" applyNumberFormat="1" applyFont="1" applyFill="1" applyBorder="1" applyAlignment="1">
      <alignment horizontal="right" vertical="center" shrinkToFit="1"/>
    </xf>
    <xf numFmtId="176" fontId="17" fillId="4" borderId="48" xfId="0" applyNumberFormat="1" applyFont="1" applyFill="1" applyBorder="1" applyAlignment="1">
      <alignment horizontal="right" vertical="center" shrinkToFit="1"/>
    </xf>
    <xf numFmtId="176" fontId="18" fillId="5" borderId="76" xfId="0" applyNumberFormat="1" applyFont="1" applyFill="1" applyBorder="1" applyAlignment="1">
      <alignment horizontal="right" vertical="center"/>
    </xf>
    <xf numFmtId="176" fontId="18" fillId="5" borderId="57" xfId="0" applyNumberFormat="1" applyFont="1" applyFill="1" applyBorder="1" applyAlignment="1">
      <alignment horizontal="right" vertical="center"/>
    </xf>
    <xf numFmtId="176" fontId="18" fillId="5" borderId="80" xfId="0" applyNumberFormat="1" applyFont="1" applyFill="1" applyBorder="1" applyAlignment="1">
      <alignment horizontal="right" vertical="center"/>
    </xf>
    <xf numFmtId="0" fontId="5" fillId="2" borderId="102" xfId="0" applyFont="1" applyFill="1" applyBorder="1" applyAlignment="1">
      <alignment horizontal="center" vertical="center" shrinkToFit="1"/>
    </xf>
    <xf numFmtId="176" fontId="17" fillId="4" borderId="73" xfId="0" applyNumberFormat="1" applyFont="1" applyFill="1" applyBorder="1" applyAlignment="1">
      <alignment horizontal="right" vertical="center" shrinkToFit="1"/>
    </xf>
    <xf numFmtId="176" fontId="17" fillId="4" borderId="101" xfId="0" applyNumberFormat="1" applyFont="1" applyFill="1" applyBorder="1" applyAlignment="1">
      <alignment horizontal="right" vertical="center" shrinkToFit="1"/>
    </xf>
    <xf numFmtId="176" fontId="17" fillId="4" borderId="102" xfId="0" applyNumberFormat="1" applyFont="1" applyFill="1" applyBorder="1" applyAlignment="1">
      <alignment horizontal="right" vertical="center" shrinkToFit="1"/>
    </xf>
    <xf numFmtId="176" fontId="18" fillId="5" borderId="79" xfId="0" applyNumberFormat="1" applyFont="1" applyFill="1" applyBorder="1" applyAlignment="1">
      <alignment horizontal="right" vertical="center"/>
    </xf>
    <xf numFmtId="176" fontId="9" fillId="5" borderId="107" xfId="0" applyNumberFormat="1" applyFont="1" applyFill="1" applyBorder="1" applyAlignment="1">
      <alignment horizontal="right" vertical="center"/>
    </xf>
    <xf numFmtId="176" fontId="9" fillId="5" borderId="116" xfId="0" applyNumberFormat="1" applyFont="1" applyFill="1" applyBorder="1" applyAlignment="1">
      <alignment horizontal="right" vertical="center"/>
    </xf>
    <xf numFmtId="0" fontId="7" fillId="7" borderId="15" xfId="0" applyFont="1" applyFill="1" applyBorder="1" applyAlignment="1">
      <alignment horizontal="center" vertical="center" wrapText="1"/>
    </xf>
    <xf numFmtId="176" fontId="17" fillId="7" borderId="15" xfId="0" applyNumberFormat="1" applyFont="1" applyFill="1" applyBorder="1" applyAlignment="1">
      <alignment horizontal="right" vertical="center" shrinkToFit="1"/>
    </xf>
    <xf numFmtId="0" fontId="5" fillId="5" borderId="117" xfId="0" applyFont="1" applyFill="1" applyBorder="1" applyAlignment="1">
      <alignment horizontal="right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2" borderId="47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2" borderId="102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 wrapText="1"/>
    </xf>
    <xf numFmtId="176" fontId="12" fillId="7" borderId="66" xfId="0" applyNumberFormat="1" applyFont="1" applyFill="1" applyBorder="1" applyAlignment="1">
      <alignment horizontal="right" vertical="center" shrinkToFit="1"/>
    </xf>
    <xf numFmtId="176" fontId="12" fillId="7" borderId="67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4" applyFont="1" applyAlignment="1">
      <alignment horizontal="right" vertical="center"/>
    </xf>
    <xf numFmtId="176" fontId="9" fillId="6" borderId="110" xfId="0" applyNumberFormat="1" applyFont="1" applyFill="1" applyBorder="1" applyAlignment="1">
      <alignment horizontal="right" vertical="center"/>
    </xf>
    <xf numFmtId="176" fontId="9" fillId="6" borderId="111" xfId="0" applyNumberFormat="1" applyFont="1" applyFill="1" applyBorder="1" applyAlignment="1">
      <alignment horizontal="right" vertical="center"/>
    </xf>
    <xf numFmtId="176" fontId="17" fillId="0" borderId="99" xfId="0" applyNumberFormat="1" applyFont="1" applyBorder="1" applyAlignment="1">
      <alignment horizontal="right" vertical="center" shrinkToFit="1"/>
    </xf>
    <xf numFmtId="176" fontId="17" fillId="0" borderId="98" xfId="0" applyNumberFormat="1" applyFont="1" applyBorder="1" applyAlignment="1">
      <alignment horizontal="right" vertical="center" shrinkToFit="1"/>
    </xf>
    <xf numFmtId="176" fontId="17" fillId="4" borderId="100" xfId="0" applyNumberFormat="1" applyFont="1" applyFill="1" applyBorder="1" applyAlignment="1">
      <alignment horizontal="right" vertical="center" shrinkToFit="1"/>
    </xf>
    <xf numFmtId="176" fontId="18" fillId="6" borderId="111" xfId="0" applyNumberFormat="1" applyFont="1" applyFill="1" applyBorder="1" applyAlignment="1">
      <alignment horizontal="right" vertical="center"/>
    </xf>
    <xf numFmtId="176" fontId="18" fillId="6" borderId="60" xfId="0" applyNumberFormat="1" applyFont="1" applyFill="1" applyBorder="1" applyAlignment="1">
      <alignment horizontal="right" vertical="center"/>
    </xf>
    <xf numFmtId="176" fontId="18" fillId="6" borderId="41" xfId="0" applyNumberFormat="1" applyFont="1" applyFill="1" applyBorder="1" applyAlignment="1">
      <alignment horizontal="right" vertical="center"/>
    </xf>
    <xf numFmtId="0" fontId="5" fillId="6" borderId="130" xfId="0" applyFont="1" applyFill="1" applyBorder="1" applyAlignment="1">
      <alignment horizontal="left" vertical="center" shrinkToFit="1"/>
    </xf>
    <xf numFmtId="176" fontId="18" fillId="6" borderId="131" xfId="0" applyNumberFormat="1" applyFont="1" applyFill="1" applyBorder="1" applyAlignment="1">
      <alignment horizontal="right" vertical="center"/>
    </xf>
    <xf numFmtId="176" fontId="18" fillId="5" borderId="133" xfId="0" applyNumberFormat="1" applyFont="1" applyFill="1" applyBorder="1" applyAlignment="1">
      <alignment horizontal="right" vertical="center"/>
    </xf>
    <xf numFmtId="176" fontId="9" fillId="0" borderId="107" xfId="0" applyNumberFormat="1" applyFont="1" applyBorder="1" applyAlignment="1">
      <alignment horizontal="right" vertical="center"/>
    </xf>
    <xf numFmtId="176" fontId="9" fillId="0" borderId="57" xfId="0" applyNumberFormat="1" applyFont="1" applyBorder="1" applyAlignment="1">
      <alignment horizontal="right" vertical="center"/>
    </xf>
    <xf numFmtId="176" fontId="18" fillId="0" borderId="57" xfId="0" applyNumberFormat="1" applyFont="1" applyBorder="1" applyAlignment="1">
      <alignment horizontal="right" vertical="center"/>
    </xf>
    <xf numFmtId="0" fontId="9" fillId="6" borderId="130" xfId="0" applyFont="1" applyFill="1" applyBorder="1" applyAlignment="1">
      <alignment horizontal="left" vertical="center"/>
    </xf>
    <xf numFmtId="176" fontId="17" fillId="7" borderId="25" xfId="0" applyNumberFormat="1" applyFont="1" applyFill="1" applyBorder="1" applyAlignment="1">
      <alignment horizontal="right" vertical="center" shrinkToFit="1"/>
    </xf>
    <xf numFmtId="176" fontId="9" fillId="0" borderId="114" xfId="0" applyNumberFormat="1" applyFont="1" applyBorder="1" applyAlignment="1">
      <alignment horizontal="right" vertical="center"/>
    </xf>
    <xf numFmtId="176" fontId="9" fillId="0" borderId="115" xfId="0" applyNumberFormat="1" applyFont="1" applyBorder="1" applyAlignment="1">
      <alignment horizontal="right" vertical="center"/>
    </xf>
    <xf numFmtId="176" fontId="18" fillId="0" borderId="115" xfId="0" applyNumberFormat="1" applyFont="1" applyBorder="1" applyAlignment="1">
      <alignment horizontal="right" vertical="center"/>
    </xf>
    <xf numFmtId="176" fontId="18" fillId="5" borderId="136" xfId="0" applyNumberFormat="1" applyFont="1" applyFill="1" applyBorder="1" applyAlignment="1">
      <alignment horizontal="right" vertical="center"/>
    </xf>
    <xf numFmtId="176" fontId="9" fillId="5" borderId="122" xfId="0" applyNumberFormat="1" applyFont="1" applyFill="1" applyBorder="1" applyAlignment="1">
      <alignment horizontal="right" vertical="center"/>
    </xf>
    <xf numFmtId="176" fontId="9" fillId="5" borderId="123" xfId="0" applyNumberFormat="1" applyFont="1" applyFill="1" applyBorder="1" applyAlignment="1">
      <alignment horizontal="right" vertical="center"/>
    </xf>
    <xf numFmtId="176" fontId="18" fillId="5" borderId="123" xfId="0" applyNumberFormat="1" applyFont="1" applyFill="1" applyBorder="1" applyAlignment="1">
      <alignment horizontal="right" vertical="center"/>
    </xf>
    <xf numFmtId="176" fontId="18" fillId="0" borderId="87" xfId="0" applyNumberFormat="1" applyFont="1" applyBorder="1" applyAlignment="1">
      <alignment horizontal="right" vertical="center" shrinkToFit="1"/>
    </xf>
    <xf numFmtId="176" fontId="18" fillId="0" borderId="88" xfId="0" applyNumberFormat="1" applyFont="1" applyBorder="1" applyAlignment="1">
      <alignment horizontal="right" vertical="center" shrinkToFit="1"/>
    </xf>
    <xf numFmtId="176" fontId="17" fillId="4" borderId="89" xfId="0" applyNumberFormat="1" applyFont="1" applyFill="1" applyBorder="1" applyAlignment="1">
      <alignment horizontal="right" vertical="center" shrinkToFit="1"/>
    </xf>
    <xf numFmtId="176" fontId="17" fillId="4" borderId="129" xfId="0" applyNumberFormat="1" applyFont="1" applyFill="1" applyBorder="1" applyAlignment="1">
      <alignment horizontal="right" vertical="center" shrinkToFit="1"/>
    </xf>
    <xf numFmtId="176" fontId="17" fillId="4" borderId="118" xfId="0" applyNumberFormat="1" applyFont="1" applyFill="1" applyBorder="1" applyAlignment="1">
      <alignment horizontal="right" vertical="center" shrinkToFit="1"/>
    </xf>
    <xf numFmtId="176" fontId="18" fillId="6" borderId="90" xfId="0" applyNumberFormat="1" applyFont="1" applyFill="1" applyBorder="1" applyAlignment="1">
      <alignment horizontal="right" vertical="center"/>
    </xf>
    <xf numFmtId="176" fontId="18" fillId="6" borderId="83" xfId="0" applyNumberFormat="1" applyFont="1" applyFill="1" applyBorder="1" applyAlignment="1">
      <alignment horizontal="right" vertical="center"/>
    </xf>
    <xf numFmtId="176" fontId="18" fillId="5" borderId="84" xfId="0" applyNumberFormat="1" applyFont="1" applyFill="1" applyBorder="1" applyAlignment="1">
      <alignment horizontal="right" vertical="center"/>
    </xf>
    <xf numFmtId="176" fontId="18" fillId="5" borderId="85" xfId="0" applyNumberFormat="1" applyFont="1" applyFill="1" applyBorder="1" applyAlignment="1">
      <alignment horizontal="right" vertical="center"/>
    </xf>
    <xf numFmtId="176" fontId="18" fillId="5" borderId="128" xfId="0" applyNumberFormat="1" applyFont="1" applyFill="1" applyBorder="1" applyAlignment="1">
      <alignment horizontal="right" vertical="center"/>
    </xf>
    <xf numFmtId="176" fontId="18" fillId="0" borderId="93" xfId="0" applyNumberFormat="1" applyFont="1" applyBorder="1" applyAlignment="1">
      <alignment horizontal="right" vertical="center" shrinkToFit="1"/>
    </xf>
    <xf numFmtId="176" fontId="17" fillId="0" borderId="21" xfId="0" applyNumberFormat="1" applyFont="1" applyBorder="1" applyAlignment="1">
      <alignment horizontal="right" vertical="center" shrinkToFit="1"/>
    </xf>
    <xf numFmtId="176" fontId="18" fillId="0" borderId="94" xfId="0" applyNumberFormat="1" applyFont="1" applyBorder="1" applyAlignment="1">
      <alignment horizontal="right" vertical="center" shrinkToFit="1"/>
    </xf>
    <xf numFmtId="176" fontId="17" fillId="0" borderId="23" xfId="0" applyNumberFormat="1" applyFont="1" applyBorder="1" applyAlignment="1">
      <alignment horizontal="right" vertical="center" shrinkToFit="1"/>
    </xf>
    <xf numFmtId="176" fontId="17" fillId="4" borderId="95" xfId="0" applyNumberFormat="1" applyFont="1" applyFill="1" applyBorder="1" applyAlignment="1">
      <alignment horizontal="right" vertical="center" shrinkToFit="1"/>
    </xf>
    <xf numFmtId="176" fontId="17" fillId="4" borderId="27" xfId="0" applyNumberFormat="1" applyFont="1" applyFill="1" applyBorder="1" applyAlignment="1">
      <alignment horizontal="right" vertical="center" shrinkToFit="1"/>
    </xf>
    <xf numFmtId="176" fontId="17" fillId="4" borderId="49" xfId="0" applyNumberFormat="1" applyFont="1" applyFill="1" applyBorder="1" applyAlignment="1">
      <alignment horizontal="right" vertical="center" shrinkToFit="1"/>
    </xf>
    <xf numFmtId="176" fontId="17" fillId="4" borderId="30" xfId="0" applyNumberFormat="1" applyFont="1" applyFill="1" applyBorder="1" applyAlignment="1">
      <alignment horizontal="right" vertical="center" shrinkToFit="1"/>
    </xf>
    <xf numFmtId="176" fontId="18" fillId="6" borderId="96" xfId="0" applyNumberFormat="1" applyFont="1" applyFill="1" applyBorder="1" applyAlignment="1">
      <alignment horizontal="right" vertical="center"/>
    </xf>
    <xf numFmtId="176" fontId="18" fillId="6" borderId="86" xfId="0" applyNumberFormat="1" applyFont="1" applyFill="1" applyBorder="1" applyAlignment="1">
      <alignment horizontal="right" vertical="center"/>
    </xf>
    <xf numFmtId="176" fontId="18" fillId="5" borderId="91" xfId="0" applyNumberFormat="1" applyFont="1" applyFill="1" applyBorder="1" applyAlignment="1">
      <alignment horizontal="right" vertical="center"/>
    </xf>
    <xf numFmtId="176" fontId="18" fillId="6" borderId="97" xfId="0" applyNumberFormat="1" applyFont="1" applyFill="1" applyBorder="1" applyAlignment="1">
      <alignment horizontal="right" vertical="center"/>
    </xf>
    <xf numFmtId="176" fontId="17" fillId="7" borderId="92" xfId="0" applyNumberFormat="1" applyFont="1" applyFill="1" applyBorder="1" applyAlignment="1">
      <alignment horizontal="right" vertical="center" shrinkToFit="1"/>
    </xf>
    <xf numFmtId="176" fontId="17" fillId="4" borderId="138" xfId="0" applyNumberFormat="1" applyFont="1" applyFill="1" applyBorder="1" applyAlignment="1">
      <alignment horizontal="right" vertical="center" shrinkToFit="1"/>
    </xf>
    <xf numFmtId="176" fontId="17" fillId="7" borderId="139" xfId="0" applyNumberFormat="1" applyFont="1" applyFill="1" applyBorder="1" applyAlignment="1">
      <alignment horizontal="right" vertical="center" shrinkToFit="1"/>
    </xf>
    <xf numFmtId="0" fontId="5" fillId="2" borderId="138" xfId="0" applyFont="1" applyFill="1" applyBorder="1" applyAlignment="1">
      <alignment horizontal="center" vertical="center" shrinkToFit="1"/>
    </xf>
    <xf numFmtId="176" fontId="9" fillId="5" borderId="76" xfId="0" applyNumberFormat="1" applyFont="1" applyFill="1" applyBorder="1" applyAlignment="1">
      <alignment horizontal="right" vertical="center"/>
    </xf>
    <xf numFmtId="176" fontId="9" fillId="6" borderId="78" xfId="0" applyNumberFormat="1" applyFont="1" applyFill="1" applyBorder="1" applyAlignment="1">
      <alignment horizontal="right" vertical="center"/>
    </xf>
    <xf numFmtId="0" fontId="5" fillId="0" borderId="6" xfId="0" applyFont="1" applyBorder="1"/>
    <xf numFmtId="176" fontId="5" fillId="0" borderId="0" xfId="0" applyNumberFormat="1" applyFont="1"/>
    <xf numFmtId="0" fontId="7" fillId="7" borderId="24" xfId="0" applyFont="1" applyFill="1" applyBorder="1" applyAlignment="1">
      <alignment horizontal="center" vertical="center" wrapText="1"/>
    </xf>
    <xf numFmtId="176" fontId="9" fillId="5" borderId="141" xfId="0" applyNumberFormat="1" applyFont="1" applyFill="1" applyBorder="1" applyAlignment="1">
      <alignment horizontal="right" vertical="center"/>
    </xf>
    <xf numFmtId="176" fontId="18" fillId="5" borderId="141" xfId="0" applyNumberFormat="1" applyFont="1" applyFill="1" applyBorder="1" applyAlignment="1">
      <alignment horizontal="right" vertical="center"/>
    </xf>
    <xf numFmtId="176" fontId="17" fillId="7" borderId="144" xfId="0" applyNumberFormat="1" applyFont="1" applyFill="1" applyBorder="1" applyAlignment="1">
      <alignment horizontal="right" vertical="center" shrinkToFit="1"/>
    </xf>
    <xf numFmtId="176" fontId="9" fillId="6" borderId="120" xfId="0" applyNumberFormat="1" applyFont="1" applyFill="1" applyBorder="1" applyAlignment="1">
      <alignment horizontal="right" vertical="center"/>
    </xf>
    <xf numFmtId="176" fontId="18" fillId="6" borderId="129" xfId="0" applyNumberFormat="1" applyFont="1" applyFill="1" applyBorder="1" applyAlignment="1">
      <alignment horizontal="right" vertical="center"/>
    </xf>
    <xf numFmtId="0" fontId="5" fillId="5" borderId="145" xfId="0" applyFont="1" applyFill="1" applyBorder="1" applyAlignment="1">
      <alignment horizontal="right" vertical="center" shrinkToFit="1"/>
    </xf>
    <xf numFmtId="176" fontId="18" fillId="0" borderId="146" xfId="0" applyNumberFormat="1" applyFont="1" applyBorder="1" applyAlignment="1">
      <alignment horizontal="right" vertical="center"/>
    </xf>
    <xf numFmtId="176" fontId="18" fillId="5" borderId="146" xfId="0" applyNumberFormat="1" applyFont="1" applyFill="1" applyBorder="1" applyAlignment="1">
      <alignment horizontal="right" vertical="center"/>
    </xf>
    <xf numFmtId="176" fontId="17" fillId="7" borderId="68" xfId="0" applyNumberFormat="1" applyFont="1" applyFill="1" applyBorder="1" applyAlignment="1">
      <alignment horizontal="right" vertical="center" shrinkToFit="1"/>
    </xf>
    <xf numFmtId="176" fontId="18" fillId="0" borderId="147" xfId="0" applyNumberFormat="1" applyFont="1" applyBorder="1" applyAlignment="1">
      <alignment horizontal="right" vertical="center"/>
    </xf>
    <xf numFmtId="0" fontId="5" fillId="6" borderId="150" xfId="0" applyFont="1" applyFill="1" applyBorder="1" applyAlignment="1">
      <alignment horizontal="center" vertical="center" shrinkToFit="1"/>
    </xf>
    <xf numFmtId="0" fontId="5" fillId="5" borderId="151" xfId="0" applyFont="1" applyFill="1" applyBorder="1" applyAlignment="1">
      <alignment horizontal="right" vertical="center" shrinkToFit="1"/>
    </xf>
    <xf numFmtId="0" fontId="5" fillId="5" borderId="152" xfId="0" applyFont="1" applyFill="1" applyBorder="1" applyAlignment="1">
      <alignment horizontal="right" vertical="center" shrinkToFit="1"/>
    </xf>
    <xf numFmtId="0" fontId="5" fillId="5" borderId="153" xfId="0" applyFont="1" applyFill="1" applyBorder="1" applyAlignment="1">
      <alignment horizontal="right" vertical="center" shrinkToFit="1"/>
    </xf>
    <xf numFmtId="176" fontId="18" fillId="5" borderId="149" xfId="0" applyNumberFormat="1" applyFont="1" applyFill="1" applyBorder="1" applyAlignment="1">
      <alignment horizontal="right" vertical="center"/>
    </xf>
    <xf numFmtId="0" fontId="5" fillId="5" borderId="154" xfId="0" applyFont="1" applyFill="1" applyBorder="1" applyAlignment="1">
      <alignment horizontal="right" vertical="center" shrinkToFit="1"/>
    </xf>
    <xf numFmtId="176" fontId="18" fillId="5" borderId="155" xfId="0" applyNumberFormat="1" applyFont="1" applyFill="1" applyBorder="1" applyAlignment="1">
      <alignment horizontal="right" vertical="center"/>
    </xf>
    <xf numFmtId="176" fontId="17" fillId="4" borderId="19" xfId="0" applyNumberFormat="1" applyFont="1" applyFill="1" applyBorder="1" applyAlignment="1">
      <alignment horizontal="right" vertical="center" shrinkToFit="1"/>
    </xf>
    <xf numFmtId="0" fontId="9" fillId="2" borderId="49" xfId="0" applyFont="1" applyFill="1" applyBorder="1" applyAlignment="1">
      <alignment horizontal="center" vertical="center" shrinkToFit="1"/>
    </xf>
    <xf numFmtId="0" fontId="12" fillId="2" borderId="30" xfId="0" applyFont="1" applyFill="1" applyBorder="1" applyAlignment="1">
      <alignment horizontal="center" vertical="center" shrinkToFit="1"/>
    </xf>
    <xf numFmtId="176" fontId="9" fillId="7" borderId="50" xfId="0" applyNumberFormat="1" applyFont="1" applyFill="1" applyBorder="1" applyAlignment="1">
      <alignment horizontal="right" vertical="center" shrinkToFit="1"/>
    </xf>
    <xf numFmtId="176" fontId="9" fillId="7" borderId="51" xfId="0" applyNumberFormat="1" applyFont="1" applyFill="1" applyBorder="1" applyAlignment="1">
      <alignment horizontal="right" vertical="center" shrinkToFit="1"/>
    </xf>
    <xf numFmtId="176" fontId="9" fillId="7" borderId="53" xfId="0" applyNumberFormat="1" applyFont="1" applyFill="1" applyBorder="1" applyAlignment="1">
      <alignment horizontal="right" vertical="center" shrinkToFit="1"/>
    </xf>
    <xf numFmtId="176" fontId="9" fillId="7" borderId="54" xfId="0" applyNumberFormat="1" applyFont="1" applyFill="1" applyBorder="1" applyAlignment="1">
      <alignment horizontal="right" vertical="center" shrinkToFit="1"/>
    </xf>
    <xf numFmtId="176" fontId="12" fillId="4" borderId="103" xfId="0" applyNumberFormat="1" applyFont="1" applyFill="1" applyBorder="1" applyAlignment="1">
      <alignment horizontal="right" vertical="center" shrinkToFit="1"/>
    </xf>
    <xf numFmtId="176" fontId="12" fillId="4" borderId="104" xfId="0" applyNumberFormat="1" applyFont="1" applyFill="1" applyBorder="1" applyAlignment="1">
      <alignment horizontal="right" vertical="center" shrinkToFit="1"/>
    </xf>
    <xf numFmtId="176" fontId="21" fillId="0" borderId="110" xfId="0" applyNumberFormat="1" applyFont="1" applyBorder="1" applyAlignment="1">
      <alignment horizontal="right" vertical="center" shrinkToFit="1"/>
    </xf>
    <xf numFmtId="176" fontId="21" fillId="0" borderId="111" xfId="0" applyNumberFormat="1" applyFont="1" applyBorder="1" applyAlignment="1">
      <alignment horizontal="right" vertical="center" shrinkToFit="1"/>
    </xf>
    <xf numFmtId="176" fontId="21" fillId="0" borderId="107" xfId="0" applyNumberFormat="1" applyFont="1" applyBorder="1" applyAlignment="1">
      <alignment horizontal="right" vertical="center" shrinkToFit="1"/>
    </xf>
    <xf numFmtId="176" fontId="21" fillId="0" borderId="57" xfId="0" applyNumberFormat="1" applyFont="1" applyBorder="1" applyAlignment="1">
      <alignment horizontal="right" vertical="center" shrinkToFit="1"/>
    </xf>
    <xf numFmtId="176" fontId="21" fillId="4" borderId="108" xfId="0" applyNumberFormat="1" applyFont="1" applyFill="1" applyBorder="1" applyAlignment="1">
      <alignment horizontal="right" vertical="center" shrinkToFit="1"/>
    </xf>
    <xf numFmtId="176" fontId="21" fillId="4" borderId="109" xfId="0" applyNumberFormat="1" applyFont="1" applyFill="1" applyBorder="1" applyAlignment="1">
      <alignment horizontal="right" vertical="center" shrinkToFit="1"/>
    </xf>
    <xf numFmtId="176" fontId="21" fillId="4" borderId="112" xfId="0" applyNumberFormat="1" applyFont="1" applyFill="1" applyBorder="1" applyAlignment="1">
      <alignment horizontal="right" vertical="center" shrinkToFit="1"/>
    </xf>
    <xf numFmtId="176" fontId="21" fillId="4" borderId="113" xfId="0" applyNumberFormat="1" applyFont="1" applyFill="1" applyBorder="1" applyAlignment="1">
      <alignment horizontal="right" vertical="center" shrinkToFit="1"/>
    </xf>
    <xf numFmtId="176" fontId="21" fillId="4" borderId="114" xfId="0" applyNumberFormat="1" applyFont="1" applyFill="1" applyBorder="1" applyAlignment="1">
      <alignment horizontal="right" vertical="center" shrinkToFit="1"/>
    </xf>
    <xf numFmtId="176" fontId="21" fillId="4" borderId="115" xfId="0" applyNumberFormat="1" applyFont="1" applyFill="1" applyBorder="1" applyAlignment="1">
      <alignment horizontal="right" vertical="center" shrinkToFit="1"/>
    </xf>
    <xf numFmtId="176" fontId="22" fillId="7" borderId="105" xfId="0" applyNumberFormat="1" applyFont="1" applyFill="1" applyBorder="1" applyAlignment="1">
      <alignment horizontal="right" vertical="center" shrinkToFit="1"/>
    </xf>
    <xf numFmtId="176" fontId="22" fillId="7" borderId="106" xfId="0" applyNumberFormat="1" applyFont="1" applyFill="1" applyBorder="1" applyAlignment="1">
      <alignment horizontal="right" vertical="center" shrinkToFit="1"/>
    </xf>
    <xf numFmtId="176" fontId="22" fillId="7" borderId="107" xfId="0" applyNumberFormat="1" applyFont="1" applyFill="1" applyBorder="1" applyAlignment="1">
      <alignment horizontal="right" vertical="center" shrinkToFit="1"/>
    </xf>
    <xf numFmtId="176" fontId="22" fillId="7" borderId="57" xfId="0" applyNumberFormat="1" applyFont="1" applyFill="1" applyBorder="1" applyAlignment="1">
      <alignment horizontal="right" vertical="center" shrinkToFit="1"/>
    </xf>
    <xf numFmtId="176" fontId="22" fillId="4" borderId="108" xfId="0" applyNumberFormat="1" applyFont="1" applyFill="1" applyBorder="1" applyAlignment="1">
      <alignment horizontal="right" vertical="center" shrinkToFit="1"/>
    </xf>
    <xf numFmtId="176" fontId="22" fillId="4" borderId="109" xfId="0" applyNumberFormat="1" applyFont="1" applyFill="1" applyBorder="1" applyAlignment="1">
      <alignment horizontal="right" vertical="center" shrinkToFit="1"/>
    </xf>
    <xf numFmtId="176" fontId="12" fillId="0" borderId="47" xfId="0" applyNumberFormat="1" applyFont="1" applyBorder="1" applyAlignment="1">
      <alignment horizontal="right" vertical="center"/>
    </xf>
    <xf numFmtId="176" fontId="12" fillId="0" borderId="48" xfId="0" applyNumberFormat="1" applyFont="1" applyBorder="1" applyAlignment="1">
      <alignment horizontal="right" vertical="center"/>
    </xf>
    <xf numFmtId="176" fontId="12" fillId="0" borderId="66" xfId="0" applyNumberFormat="1" applyFont="1" applyBorder="1" applyAlignment="1">
      <alignment horizontal="right" vertical="center"/>
    </xf>
    <xf numFmtId="176" fontId="12" fillId="0" borderId="67" xfId="0" applyNumberFormat="1" applyFont="1" applyBorder="1" applyAlignment="1">
      <alignment horizontal="right" vertical="center"/>
    </xf>
    <xf numFmtId="176" fontId="12" fillId="7" borderId="67" xfId="0" applyNumberFormat="1" applyFont="1" applyFill="1" applyBorder="1" applyAlignment="1">
      <alignment horizontal="right" vertical="center"/>
    </xf>
    <xf numFmtId="10" fontId="12" fillId="0" borderId="47" xfId="0" applyNumberFormat="1" applyFont="1" applyBorder="1" applyAlignment="1">
      <alignment horizontal="center" vertical="center"/>
    </xf>
    <xf numFmtId="10" fontId="12" fillId="0" borderId="48" xfId="0" applyNumberFormat="1" applyFont="1" applyBorder="1" applyAlignment="1">
      <alignment horizontal="center" vertical="center"/>
    </xf>
    <xf numFmtId="0" fontId="9" fillId="0" borderId="8" xfId="0" applyFont="1" applyBorder="1"/>
    <xf numFmtId="176" fontId="9" fillId="6" borderId="74" xfId="0" applyNumberFormat="1" applyFont="1" applyFill="1" applyBorder="1" applyAlignment="1">
      <alignment horizontal="right" vertical="center"/>
    </xf>
    <xf numFmtId="176" fontId="9" fillId="6" borderId="77" xfId="0" applyNumberFormat="1" applyFont="1" applyFill="1" applyBorder="1" applyAlignment="1">
      <alignment horizontal="right" vertical="center"/>
    </xf>
    <xf numFmtId="176" fontId="9" fillId="5" borderId="79" xfId="0" applyNumberFormat="1" applyFont="1" applyFill="1" applyBorder="1" applyAlignment="1">
      <alignment horizontal="right" vertical="center"/>
    </xf>
    <xf numFmtId="176" fontId="12" fillId="7" borderId="81" xfId="0" applyNumberFormat="1" applyFont="1" applyFill="1" applyBorder="1" applyAlignment="1">
      <alignment horizontal="right" vertical="center" shrinkToFit="1"/>
    </xf>
    <xf numFmtId="176" fontId="9" fillId="6" borderId="119" xfId="0" applyNumberFormat="1" applyFont="1" applyFill="1" applyBorder="1" applyAlignment="1">
      <alignment horizontal="right" vertical="center"/>
    </xf>
    <xf numFmtId="176" fontId="9" fillId="5" borderId="149" xfId="0" applyNumberFormat="1" applyFont="1" applyFill="1" applyBorder="1" applyAlignment="1">
      <alignment horizontal="right" vertical="center"/>
    </xf>
    <xf numFmtId="176" fontId="9" fillId="0" borderId="140" xfId="0" applyNumberFormat="1" applyFont="1" applyBorder="1" applyAlignment="1">
      <alignment horizontal="right" vertical="center"/>
    </xf>
    <xf numFmtId="176" fontId="9" fillId="5" borderId="140" xfId="0" applyNumberFormat="1" applyFont="1" applyFill="1" applyBorder="1" applyAlignment="1">
      <alignment horizontal="right" vertical="center"/>
    </xf>
    <xf numFmtId="176" fontId="9" fillId="0" borderId="148" xfId="0" applyNumberFormat="1" applyFont="1" applyBorder="1" applyAlignment="1">
      <alignment horizontal="right" vertical="center"/>
    </xf>
    <xf numFmtId="176" fontId="9" fillId="6" borderId="75" xfId="0" applyNumberFormat="1" applyFont="1" applyFill="1" applyBorder="1" applyAlignment="1">
      <alignment horizontal="right" vertical="center"/>
    </xf>
    <xf numFmtId="38" fontId="9" fillId="5" borderId="57" xfId="5" applyFont="1" applyFill="1" applyBorder="1" applyAlignment="1">
      <alignment horizontal="right" vertical="center"/>
    </xf>
    <xf numFmtId="38" fontId="9" fillId="5" borderId="107" xfId="5" applyFont="1" applyFill="1" applyBorder="1" applyAlignment="1">
      <alignment horizontal="right" vertical="center"/>
    </xf>
    <xf numFmtId="38" fontId="18" fillId="5" borderId="57" xfId="5" applyFont="1" applyFill="1" applyBorder="1" applyAlignment="1">
      <alignment horizontal="right" vertical="center" wrapText="1"/>
    </xf>
    <xf numFmtId="176" fontId="12" fillId="4" borderId="119" xfId="0" applyNumberFormat="1" applyFont="1" applyFill="1" applyBorder="1" applyAlignment="1">
      <alignment horizontal="right" vertical="center" shrinkToFit="1"/>
    </xf>
    <xf numFmtId="176" fontId="12" fillId="4" borderId="120" xfId="0" applyNumberFormat="1" applyFont="1" applyFill="1" applyBorder="1" applyAlignment="1">
      <alignment horizontal="right" vertical="center" shrinkToFit="1"/>
    </xf>
    <xf numFmtId="176" fontId="12" fillId="7" borderId="142" xfId="0" applyNumberFormat="1" applyFont="1" applyFill="1" applyBorder="1" applyAlignment="1">
      <alignment horizontal="right" vertical="center" shrinkToFit="1"/>
    </xf>
    <xf numFmtId="176" fontId="12" fillId="7" borderId="143" xfId="0" applyNumberFormat="1" applyFont="1" applyFill="1" applyBorder="1" applyAlignment="1">
      <alignment horizontal="right" vertical="center" shrinkToFit="1"/>
    </xf>
    <xf numFmtId="176" fontId="18" fillId="7" borderId="52" xfId="0" applyNumberFormat="1" applyFont="1" applyFill="1" applyBorder="1" applyAlignment="1">
      <alignment horizontal="right" vertical="center" shrinkToFit="1"/>
    </xf>
    <xf numFmtId="176" fontId="18" fillId="7" borderId="20" xfId="0" applyNumberFormat="1" applyFont="1" applyFill="1" applyBorder="1" applyAlignment="1">
      <alignment horizontal="right" vertical="center" shrinkToFit="1"/>
    </xf>
    <xf numFmtId="176" fontId="18" fillId="7" borderId="55" xfId="0" applyNumberFormat="1" applyFont="1" applyFill="1" applyBorder="1" applyAlignment="1">
      <alignment horizontal="right" vertical="center" shrinkToFit="1"/>
    </xf>
    <xf numFmtId="176" fontId="18" fillId="7" borderId="2" xfId="0" applyNumberFormat="1" applyFont="1" applyFill="1" applyBorder="1" applyAlignment="1">
      <alignment horizontal="right" vertical="center" shrinkToFit="1"/>
    </xf>
    <xf numFmtId="176" fontId="17" fillId="4" borderId="56" xfId="0" applyNumberFormat="1" applyFont="1" applyFill="1" applyBorder="1" applyAlignment="1">
      <alignment horizontal="right" vertical="center" shrinkToFit="1"/>
    </xf>
    <xf numFmtId="176" fontId="17" fillId="4" borderId="35" xfId="0" applyNumberFormat="1" applyFont="1" applyFill="1" applyBorder="1" applyAlignment="1">
      <alignment horizontal="right" vertical="center" shrinkToFit="1"/>
    </xf>
    <xf numFmtId="176" fontId="23" fillId="0" borderId="60" xfId="0" applyNumberFormat="1" applyFont="1" applyBorder="1" applyAlignment="1">
      <alignment horizontal="right" vertical="center" shrinkToFit="1"/>
    </xf>
    <xf numFmtId="176" fontId="23" fillId="0" borderId="42" xfId="0" applyNumberFormat="1" applyFont="1" applyBorder="1" applyAlignment="1">
      <alignment horizontal="right" vertical="center" shrinkToFit="1"/>
    </xf>
    <xf numFmtId="176" fontId="23" fillId="0" borderId="58" xfId="0" applyNumberFormat="1" applyFont="1" applyBorder="1" applyAlignment="1">
      <alignment horizontal="right" vertical="center" shrinkToFit="1"/>
    </xf>
    <xf numFmtId="176" fontId="23" fillId="0" borderId="38" xfId="0" applyNumberFormat="1" applyFont="1" applyBorder="1" applyAlignment="1">
      <alignment horizontal="right" vertical="center" shrinkToFit="1"/>
    </xf>
    <xf numFmtId="176" fontId="23" fillId="4" borderId="59" xfId="0" applyNumberFormat="1" applyFont="1" applyFill="1" applyBorder="1" applyAlignment="1">
      <alignment horizontal="right" vertical="center" shrinkToFit="1"/>
    </xf>
    <xf numFmtId="176" fontId="23" fillId="4" borderId="40" xfId="0" applyNumberFormat="1" applyFont="1" applyFill="1" applyBorder="1" applyAlignment="1">
      <alignment horizontal="right" vertical="center" shrinkToFit="1"/>
    </xf>
    <xf numFmtId="176" fontId="23" fillId="4" borderId="61" xfId="0" applyNumberFormat="1" applyFont="1" applyFill="1" applyBorder="1" applyAlignment="1">
      <alignment horizontal="right" vertical="center" shrinkToFit="1"/>
    </xf>
    <xf numFmtId="176" fontId="23" fillId="4" borderId="44" xfId="0" applyNumberFormat="1" applyFont="1" applyFill="1" applyBorder="1" applyAlignment="1">
      <alignment horizontal="right" vertical="center" shrinkToFit="1"/>
    </xf>
    <xf numFmtId="176" fontId="23" fillId="4" borderId="62" xfId="0" applyNumberFormat="1" applyFont="1" applyFill="1" applyBorder="1" applyAlignment="1">
      <alignment horizontal="right" vertical="center" shrinkToFit="1"/>
    </xf>
    <xf numFmtId="176" fontId="23" fillId="4" borderId="46" xfId="0" applyNumberFormat="1" applyFont="1" applyFill="1" applyBorder="1" applyAlignment="1">
      <alignment horizontal="right" vertical="center" shrinkToFit="1"/>
    </xf>
    <xf numFmtId="176" fontId="24" fillId="7" borderId="63" xfId="0" applyNumberFormat="1" applyFont="1" applyFill="1" applyBorder="1" applyAlignment="1">
      <alignment horizontal="right" vertical="center" shrinkToFit="1"/>
    </xf>
    <xf numFmtId="176" fontId="24" fillId="7" borderId="37" xfId="0" applyNumberFormat="1" applyFont="1" applyFill="1" applyBorder="1" applyAlignment="1">
      <alignment horizontal="right" vertical="center" shrinkToFit="1"/>
    </xf>
    <xf numFmtId="176" fontId="24" fillId="7" borderId="64" xfId="0" applyNumberFormat="1" applyFont="1" applyFill="1" applyBorder="1" applyAlignment="1">
      <alignment horizontal="right" vertical="center" shrinkToFit="1"/>
    </xf>
    <xf numFmtId="176" fontId="24" fillId="7" borderId="38" xfId="0" applyNumberFormat="1" applyFont="1" applyFill="1" applyBorder="1" applyAlignment="1">
      <alignment horizontal="right" vertical="center" shrinkToFit="1"/>
    </xf>
    <xf numFmtId="176" fontId="24" fillId="4" borderId="65" xfId="0" applyNumberFormat="1" applyFont="1" applyFill="1" applyBorder="1" applyAlignment="1">
      <alignment horizontal="right" vertical="center" shrinkToFit="1"/>
    </xf>
    <xf numFmtId="176" fontId="24" fillId="4" borderId="40" xfId="0" applyNumberFormat="1" applyFont="1" applyFill="1" applyBorder="1" applyAlignment="1">
      <alignment horizontal="right" vertical="center" shrinkToFit="1"/>
    </xf>
    <xf numFmtId="176" fontId="17" fillId="7" borderId="102" xfId="0" applyNumberFormat="1" applyFont="1" applyFill="1" applyBorder="1" applyAlignment="1">
      <alignment horizontal="right" vertical="center"/>
    </xf>
    <xf numFmtId="10" fontId="17" fillId="0" borderId="16" xfId="0" applyNumberFormat="1" applyFont="1" applyBorder="1" applyAlignment="1">
      <alignment horizontal="center" vertical="center"/>
    </xf>
    <xf numFmtId="176" fontId="17" fillId="7" borderId="68" xfId="0" applyNumberFormat="1" applyFont="1" applyFill="1" applyBorder="1" applyAlignment="1">
      <alignment horizontal="right" vertical="center"/>
    </xf>
    <xf numFmtId="10" fontId="17" fillId="0" borderId="102" xfId="0" applyNumberFormat="1" applyFont="1" applyBorder="1" applyAlignment="1">
      <alignment horizontal="center" vertical="center"/>
    </xf>
    <xf numFmtId="176" fontId="12" fillId="7" borderId="82" xfId="0" applyNumberFormat="1" applyFont="1" applyFill="1" applyBorder="1" applyAlignment="1">
      <alignment horizontal="right" vertical="center" shrinkToFit="1"/>
    </xf>
    <xf numFmtId="176" fontId="17" fillId="7" borderId="156" xfId="0" applyNumberFormat="1" applyFont="1" applyFill="1" applyBorder="1" applyAlignment="1">
      <alignment horizontal="right" vertical="center" shrinkToFit="1"/>
    </xf>
    <xf numFmtId="176" fontId="17" fillId="4" borderId="121" xfId="0" applyNumberFormat="1" applyFont="1" applyFill="1" applyBorder="1" applyAlignment="1">
      <alignment horizontal="right" vertical="center" shrinkToFit="1"/>
    </xf>
    <xf numFmtId="176" fontId="9" fillId="6" borderId="157" xfId="0" applyNumberFormat="1" applyFont="1" applyFill="1" applyBorder="1" applyAlignment="1">
      <alignment horizontal="right" vertical="center"/>
    </xf>
    <xf numFmtId="176" fontId="18" fillId="6" borderId="158" xfId="0" applyNumberFormat="1" applyFont="1" applyFill="1" applyBorder="1" applyAlignment="1">
      <alignment horizontal="right" vertical="center"/>
    </xf>
    <xf numFmtId="176" fontId="18" fillId="6" borderId="159" xfId="0" applyNumberFormat="1" applyFont="1" applyFill="1" applyBorder="1" applyAlignment="1">
      <alignment horizontal="right" vertical="center"/>
    </xf>
    <xf numFmtId="176" fontId="18" fillId="5" borderId="160" xfId="0" applyNumberFormat="1" applyFont="1" applyFill="1" applyBorder="1" applyAlignment="1">
      <alignment horizontal="right" vertical="center"/>
    </xf>
    <xf numFmtId="176" fontId="18" fillId="5" borderId="161" xfId="0" applyNumberFormat="1" applyFont="1" applyFill="1" applyBorder="1" applyAlignment="1">
      <alignment horizontal="right" vertical="center"/>
    </xf>
    <xf numFmtId="176" fontId="9" fillId="5" borderId="162" xfId="0" applyNumberFormat="1" applyFont="1" applyFill="1" applyBorder="1" applyAlignment="1">
      <alignment horizontal="right" vertical="center"/>
    </xf>
    <xf numFmtId="176" fontId="18" fillId="5" borderId="163" xfId="0" applyNumberFormat="1" applyFont="1" applyFill="1" applyBorder="1" applyAlignment="1">
      <alignment horizontal="right" vertical="center"/>
    </xf>
    <xf numFmtId="176" fontId="18" fillId="5" borderId="164" xfId="0" applyNumberFormat="1" applyFont="1" applyFill="1" applyBorder="1" applyAlignment="1">
      <alignment horizontal="right" vertical="center"/>
    </xf>
    <xf numFmtId="176" fontId="12" fillId="7" borderId="165" xfId="0" applyNumberFormat="1" applyFont="1" applyFill="1" applyBorder="1" applyAlignment="1">
      <alignment horizontal="right" vertical="center" shrinkToFit="1"/>
    </xf>
    <xf numFmtId="176" fontId="12" fillId="7" borderId="166" xfId="0" applyNumberFormat="1" applyFont="1" applyFill="1" applyBorder="1" applyAlignment="1">
      <alignment horizontal="right" vertical="center" shrinkToFit="1"/>
    </xf>
    <xf numFmtId="176" fontId="18" fillId="6" borderId="167" xfId="0" applyNumberFormat="1" applyFont="1" applyFill="1" applyBorder="1" applyAlignment="1">
      <alignment horizontal="right" vertical="center"/>
    </xf>
    <xf numFmtId="176" fontId="18" fillId="5" borderId="168" xfId="0" applyNumberFormat="1" applyFont="1" applyFill="1" applyBorder="1" applyAlignment="1">
      <alignment horizontal="right" vertical="center"/>
    </xf>
    <xf numFmtId="176" fontId="18" fillId="5" borderId="169" xfId="0" applyNumberFormat="1" applyFont="1" applyFill="1" applyBorder="1" applyAlignment="1">
      <alignment horizontal="right" vertical="center"/>
    </xf>
    <xf numFmtId="176" fontId="18" fillId="5" borderId="170" xfId="0" applyNumberFormat="1" applyFont="1" applyFill="1" applyBorder="1" applyAlignment="1">
      <alignment horizontal="right" vertical="center"/>
    </xf>
    <xf numFmtId="176" fontId="18" fillId="0" borderId="168" xfId="0" applyNumberFormat="1" applyFont="1" applyBorder="1" applyAlignment="1">
      <alignment horizontal="right" vertical="center"/>
    </xf>
    <xf numFmtId="176" fontId="18" fillId="0" borderId="171" xfId="0" applyNumberFormat="1" applyFont="1" applyBorder="1" applyAlignment="1">
      <alignment horizontal="right" vertical="center"/>
    </xf>
    <xf numFmtId="176" fontId="18" fillId="5" borderId="12" xfId="0" applyNumberFormat="1" applyFont="1" applyFill="1" applyBorder="1" applyAlignment="1">
      <alignment horizontal="right" vertical="center"/>
    </xf>
    <xf numFmtId="176" fontId="18" fillId="5" borderId="45" xfId="0" applyNumberFormat="1" applyFont="1" applyFill="1" applyBorder="1" applyAlignment="1">
      <alignment horizontal="right" vertical="center"/>
    </xf>
    <xf numFmtId="176" fontId="17" fillId="7" borderId="172" xfId="0" applyNumberFormat="1" applyFont="1" applyFill="1" applyBorder="1" applyAlignment="1">
      <alignment horizontal="right" vertical="center" shrinkToFit="1"/>
    </xf>
    <xf numFmtId="38" fontId="18" fillId="5" borderId="168" xfId="5" applyFont="1" applyFill="1" applyBorder="1" applyAlignment="1">
      <alignment horizontal="right" vertical="center"/>
    </xf>
    <xf numFmtId="176" fontId="9" fillId="5" borderId="173" xfId="0" applyNumberFormat="1" applyFont="1" applyFill="1" applyBorder="1" applyAlignment="1">
      <alignment horizontal="right" vertical="center"/>
    </xf>
    <xf numFmtId="176" fontId="18" fillId="5" borderId="173" xfId="0" applyNumberFormat="1" applyFont="1" applyFill="1" applyBorder="1" applyAlignment="1">
      <alignment horizontal="right" vertical="center"/>
    </xf>
    <xf numFmtId="176" fontId="18" fillId="6" borderId="174" xfId="0" applyNumberFormat="1" applyFont="1" applyFill="1" applyBorder="1" applyAlignment="1">
      <alignment horizontal="right" vertical="center"/>
    </xf>
    <xf numFmtId="0" fontId="5" fillId="5" borderId="175" xfId="0" applyFont="1" applyFill="1" applyBorder="1" applyAlignment="1">
      <alignment horizontal="right" vertical="center" shrinkToFit="1"/>
    </xf>
    <xf numFmtId="176" fontId="9" fillId="0" borderId="176" xfId="0" applyNumberFormat="1" applyFont="1" applyBorder="1" applyAlignment="1">
      <alignment horizontal="right" vertical="center"/>
    </xf>
    <xf numFmtId="176" fontId="18" fillId="0" borderId="177" xfId="0" applyNumberFormat="1" applyFont="1" applyBorder="1" applyAlignment="1">
      <alignment horizontal="right" vertical="center"/>
    </xf>
    <xf numFmtId="176" fontId="18" fillId="5" borderId="178" xfId="0" applyNumberFormat="1" applyFont="1" applyFill="1" applyBorder="1" applyAlignment="1">
      <alignment horizontal="right" vertical="center"/>
    </xf>
    <xf numFmtId="0" fontId="5" fillId="5" borderId="179" xfId="0" applyFont="1" applyFill="1" applyBorder="1" applyAlignment="1">
      <alignment horizontal="right" vertical="center" shrinkToFit="1"/>
    </xf>
    <xf numFmtId="0" fontId="25" fillId="2" borderId="48" xfId="0" applyFont="1" applyFill="1" applyBorder="1" applyAlignment="1">
      <alignment horizontal="center" vertical="center" shrinkToFit="1"/>
    </xf>
    <xf numFmtId="176" fontId="25" fillId="0" borderId="51" xfId="0" applyNumberFormat="1" applyFont="1" applyBorder="1" applyAlignment="1">
      <alignment horizontal="right" vertical="center" shrinkToFit="1"/>
    </xf>
    <xf numFmtId="176" fontId="25" fillId="0" borderId="54" xfId="0" applyNumberFormat="1" applyFont="1" applyBorder="1" applyAlignment="1">
      <alignment horizontal="right" vertical="center" shrinkToFit="1"/>
    </xf>
    <xf numFmtId="176" fontId="26" fillId="4" borderId="73" xfId="0" applyNumberFormat="1" applyFont="1" applyFill="1" applyBorder="1" applyAlignment="1">
      <alignment horizontal="right" vertical="center" shrinkToFit="1"/>
    </xf>
    <xf numFmtId="176" fontId="26" fillId="4" borderId="48" xfId="0" applyNumberFormat="1" applyFont="1" applyFill="1" applyBorder="1" applyAlignment="1">
      <alignment horizontal="right" vertical="center" shrinkToFit="1"/>
    </xf>
    <xf numFmtId="176" fontId="25" fillId="6" borderId="75" xfId="0" applyNumberFormat="1" applyFont="1" applyFill="1" applyBorder="1" applyAlignment="1">
      <alignment horizontal="right" vertical="center"/>
    </xf>
    <xf numFmtId="176" fontId="25" fillId="5" borderId="76" xfId="0" applyNumberFormat="1" applyFont="1" applyFill="1" applyBorder="1" applyAlignment="1">
      <alignment horizontal="right" vertical="center"/>
    </xf>
    <xf numFmtId="176" fontId="25" fillId="6" borderId="78" xfId="0" applyNumberFormat="1" applyFont="1" applyFill="1" applyBorder="1" applyAlignment="1">
      <alignment horizontal="right" vertical="center"/>
    </xf>
    <xf numFmtId="176" fontId="26" fillId="7" borderId="82" xfId="0" applyNumberFormat="1" applyFont="1" applyFill="1" applyBorder="1" applyAlignment="1">
      <alignment horizontal="right" vertical="center" shrinkToFit="1"/>
    </xf>
    <xf numFmtId="176" fontId="26" fillId="4" borderId="120" xfId="0" applyNumberFormat="1" applyFont="1" applyFill="1" applyBorder="1" applyAlignment="1">
      <alignment horizontal="right" vertical="center" shrinkToFit="1"/>
    </xf>
    <xf numFmtId="176" fontId="26" fillId="7" borderId="67" xfId="0" applyNumberFormat="1" applyFont="1" applyFill="1" applyBorder="1" applyAlignment="1">
      <alignment horizontal="right" vertical="center" shrinkToFit="1"/>
    </xf>
    <xf numFmtId="176" fontId="25" fillId="6" borderId="120" xfId="0" applyNumberFormat="1" applyFont="1" applyFill="1" applyBorder="1" applyAlignment="1">
      <alignment horizontal="right" vertical="center"/>
    </xf>
    <xf numFmtId="176" fontId="25" fillId="0" borderId="140" xfId="0" applyNumberFormat="1" applyFont="1" applyBorder="1" applyAlignment="1">
      <alignment horizontal="right" vertical="center"/>
    </xf>
    <xf numFmtId="176" fontId="25" fillId="0" borderId="176" xfId="0" applyNumberFormat="1" applyFont="1" applyBorder="1" applyAlignment="1">
      <alignment horizontal="right" vertical="center"/>
    </xf>
    <xf numFmtId="176" fontId="25" fillId="5" borderId="140" xfId="0" applyNumberFormat="1" applyFont="1" applyFill="1" applyBorder="1" applyAlignment="1">
      <alignment horizontal="right" vertical="center"/>
    </xf>
    <xf numFmtId="176" fontId="25" fillId="0" borderId="148" xfId="0" applyNumberFormat="1" applyFont="1" applyBorder="1" applyAlignment="1">
      <alignment horizontal="right" vertical="center"/>
    </xf>
    <xf numFmtId="176" fontId="18" fillId="5" borderId="180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76" fontId="18" fillId="5" borderId="181" xfId="0" applyNumberFormat="1" applyFont="1" applyFill="1" applyBorder="1" applyAlignment="1">
      <alignment horizontal="right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9" fillId="5" borderId="132" xfId="0" applyFont="1" applyFill="1" applyBorder="1" applyAlignment="1">
      <alignment horizontal="center" vertical="center" wrapText="1"/>
    </xf>
    <xf numFmtId="0" fontId="9" fillId="5" borderId="134" xfId="0" applyFont="1" applyFill="1" applyBorder="1" applyAlignment="1">
      <alignment horizontal="center" vertical="center" wrapText="1"/>
    </xf>
    <xf numFmtId="0" fontId="9" fillId="5" borderId="137" xfId="0" applyFont="1" applyFill="1" applyBorder="1" applyAlignment="1">
      <alignment horizontal="center" vertical="center" wrapText="1"/>
    </xf>
    <xf numFmtId="0" fontId="21" fillId="5" borderId="13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5" borderId="135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9" fillId="6" borderId="150" xfId="0" applyFont="1" applyFill="1" applyBorder="1" applyAlignment="1">
      <alignment horizontal="center" vertical="center" shrinkToFit="1"/>
    </xf>
    <xf numFmtId="176" fontId="9" fillId="6" borderId="158" xfId="0" applyNumberFormat="1" applyFont="1" applyFill="1" applyBorder="1" applyAlignment="1">
      <alignment horizontal="right" vertical="center"/>
    </xf>
    <xf numFmtId="176" fontId="9" fillId="6" borderId="159" xfId="0" applyNumberFormat="1" applyFont="1" applyFill="1" applyBorder="1" applyAlignment="1">
      <alignment horizontal="right" vertical="center"/>
    </xf>
    <xf numFmtId="0" fontId="9" fillId="5" borderId="151" xfId="0" applyFont="1" applyFill="1" applyBorder="1" applyAlignment="1">
      <alignment horizontal="right" vertical="center" shrinkToFit="1"/>
    </xf>
    <xf numFmtId="176" fontId="9" fillId="5" borderId="155" xfId="0" applyNumberFormat="1" applyFont="1" applyFill="1" applyBorder="1" applyAlignment="1">
      <alignment horizontal="right" vertical="center"/>
    </xf>
    <xf numFmtId="176" fontId="9" fillId="5" borderId="160" xfId="0" applyNumberFormat="1" applyFont="1" applyFill="1" applyBorder="1" applyAlignment="1">
      <alignment horizontal="right" vertical="center"/>
    </xf>
    <xf numFmtId="0" fontId="9" fillId="5" borderId="152" xfId="0" applyFont="1" applyFill="1" applyBorder="1" applyAlignment="1">
      <alignment horizontal="right" vertical="center" shrinkToFit="1"/>
    </xf>
    <xf numFmtId="176" fontId="9" fillId="5" borderId="161" xfId="0" applyNumberFormat="1" applyFont="1" applyFill="1" applyBorder="1" applyAlignment="1">
      <alignment horizontal="right" vertical="center"/>
    </xf>
    <xf numFmtId="0" fontId="9" fillId="5" borderId="154" xfId="0" applyFont="1" applyFill="1" applyBorder="1" applyAlignment="1">
      <alignment horizontal="right" vertical="center" shrinkToFit="1"/>
    </xf>
    <xf numFmtId="176" fontId="9" fillId="5" borderId="163" xfId="0" applyNumberFormat="1" applyFont="1" applyFill="1" applyBorder="1" applyAlignment="1">
      <alignment horizontal="right" vertical="center"/>
    </xf>
    <xf numFmtId="176" fontId="9" fillId="5" borderId="164" xfId="0" applyNumberFormat="1" applyFont="1" applyFill="1" applyBorder="1" applyAlignment="1">
      <alignment horizontal="right" vertical="center"/>
    </xf>
    <xf numFmtId="176" fontId="25" fillId="6" borderId="157" xfId="0" applyNumberFormat="1" applyFont="1" applyFill="1" applyBorder="1" applyAlignment="1">
      <alignment horizontal="right" vertical="center"/>
    </xf>
    <xf numFmtId="176" fontId="25" fillId="5" borderId="149" xfId="0" applyNumberFormat="1" applyFont="1" applyFill="1" applyBorder="1" applyAlignment="1">
      <alignment horizontal="right" vertical="center"/>
    </xf>
    <xf numFmtId="176" fontId="25" fillId="5" borderId="162" xfId="0" applyNumberFormat="1" applyFont="1" applyFill="1" applyBorder="1" applyAlignment="1">
      <alignment horizontal="right" vertical="center"/>
    </xf>
    <xf numFmtId="176" fontId="25" fillId="5" borderId="173" xfId="0" applyNumberFormat="1" applyFont="1" applyFill="1" applyBorder="1" applyAlignment="1">
      <alignment horizontal="right" vertical="center"/>
    </xf>
    <xf numFmtId="0" fontId="9" fillId="0" borderId="41" xfId="0" applyFont="1" applyBorder="1" applyAlignment="1">
      <alignment horizontal="center" vertical="center" wrapText="1"/>
    </xf>
    <xf numFmtId="0" fontId="9" fillId="4" borderId="39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4" borderId="39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13" fillId="0" borderId="120" xfId="0" applyFont="1" applyBorder="1" applyAlignment="1">
      <alignment horizontal="center" vertical="center" wrapText="1"/>
    </xf>
    <xf numFmtId="0" fontId="13" fillId="0" borderId="123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5" fillId="0" borderId="120" xfId="0" applyFont="1" applyBorder="1" applyAlignment="1">
      <alignment horizontal="center" vertical="center" wrapText="1"/>
    </xf>
    <xf numFmtId="0" fontId="5" fillId="0" borderId="123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5" fillId="5" borderId="121" xfId="0" applyFont="1" applyFill="1" applyBorder="1" applyAlignment="1">
      <alignment horizontal="center" vertical="center" wrapText="1"/>
    </xf>
    <xf numFmtId="0" fontId="5" fillId="5" borderId="124" xfId="0" applyFont="1" applyFill="1" applyBorder="1" applyAlignment="1">
      <alignment horizontal="center" vertical="center" wrapText="1"/>
    </xf>
    <xf numFmtId="0" fontId="5" fillId="5" borderId="68" xfId="0" applyFont="1" applyFill="1" applyBorder="1" applyAlignment="1">
      <alignment horizontal="center" vertical="center" wrapText="1"/>
    </xf>
    <xf numFmtId="0" fontId="5" fillId="0" borderId="119" xfId="0" applyFont="1" applyBorder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8" fillId="7" borderId="66" xfId="0" applyFont="1" applyFill="1" applyBorder="1" applyAlignment="1">
      <alignment horizontal="center" vertical="center"/>
    </xf>
    <xf numFmtId="0" fontId="8" fillId="7" borderId="67" xfId="0" applyFont="1" applyFill="1" applyBorder="1" applyAlignment="1">
      <alignment horizontal="center" vertical="center"/>
    </xf>
    <xf numFmtId="0" fontId="8" fillId="7" borderId="68" xfId="0" applyFont="1" applyFill="1" applyBorder="1" applyAlignment="1">
      <alignment horizontal="center" vertical="center"/>
    </xf>
    <xf numFmtId="0" fontId="5" fillId="0" borderId="125" xfId="0" applyFont="1" applyBorder="1" applyAlignment="1">
      <alignment horizontal="center" vertical="center"/>
    </xf>
    <xf numFmtId="0" fontId="5" fillId="0" borderId="126" xfId="0" applyFont="1" applyBorder="1" applyAlignment="1">
      <alignment horizontal="center" vertical="center" wrapText="1"/>
    </xf>
    <xf numFmtId="0" fontId="13" fillId="0" borderId="126" xfId="0" applyFont="1" applyBorder="1" applyAlignment="1">
      <alignment horizontal="center" vertical="center" wrapText="1"/>
    </xf>
    <xf numFmtId="0" fontId="5" fillId="5" borderId="127" xfId="0" applyFont="1" applyFill="1" applyBorder="1" applyAlignment="1">
      <alignment horizontal="center" vertical="center" wrapText="1"/>
    </xf>
    <xf numFmtId="0" fontId="8" fillId="7" borderId="69" xfId="0" applyFont="1" applyFill="1" applyBorder="1" applyAlignment="1">
      <alignment horizontal="center" vertical="center"/>
    </xf>
    <xf numFmtId="0" fontId="8" fillId="7" borderId="70" xfId="0" applyFont="1" applyFill="1" applyBorder="1" applyAlignment="1">
      <alignment horizontal="center" vertical="center"/>
    </xf>
    <xf numFmtId="0" fontId="8" fillId="7" borderId="71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 wrapText="1"/>
    </xf>
    <xf numFmtId="0" fontId="9" fillId="5" borderId="58" xfId="0" applyFont="1" applyFill="1" applyBorder="1" applyAlignment="1">
      <alignment horizontal="center" vertical="center" wrapText="1"/>
    </xf>
    <xf numFmtId="0" fontId="9" fillId="5" borderId="59" xfId="0" applyFont="1" applyFill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  <xf numFmtId="0" fontId="5" fillId="5" borderId="58" xfId="0" applyFont="1" applyFill="1" applyBorder="1" applyAlignment="1">
      <alignment horizontal="center" vertical="center" wrapText="1"/>
    </xf>
    <xf numFmtId="0" fontId="5" fillId="5" borderId="59" xfId="0" applyFont="1" applyFill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109" xfId="0" applyFont="1" applyBorder="1" applyAlignment="1">
      <alignment horizontal="center" vertical="center" wrapText="1"/>
    </xf>
    <xf numFmtId="0" fontId="5" fillId="0" borderId="110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13" fillId="0" borderId="111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 wrapText="1"/>
    </xf>
    <xf numFmtId="0" fontId="9" fillId="0" borderId="111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109" xfId="0" applyFont="1" applyBorder="1" applyAlignment="1">
      <alignment horizontal="center" vertical="center" wrapText="1"/>
    </xf>
    <xf numFmtId="0" fontId="9" fillId="0" borderId="110" xfId="0" applyFont="1" applyBorder="1" applyAlignment="1">
      <alignment horizontal="center" vertical="center"/>
    </xf>
    <xf numFmtId="0" fontId="9" fillId="0" borderId="107" xfId="0" applyFont="1" applyBorder="1" applyAlignment="1">
      <alignment horizontal="center" vertical="center"/>
    </xf>
    <xf numFmtId="0" fontId="9" fillId="0" borderId="108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0" borderId="109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5" borderId="62" xfId="0" applyFont="1" applyFill="1" applyBorder="1" applyAlignment="1">
      <alignment horizontal="center" vertical="center" wrapText="1"/>
    </xf>
    <xf numFmtId="0" fontId="5" fillId="0" borderId="115" xfId="0" applyFont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</cellXfs>
  <cellStyles count="218">
    <cellStyle name="パーセント 2" xfId="37" xr:uid="{F31EBF93-CE87-433C-9D49-3BE3188C0E57}"/>
    <cellStyle name="桁区切り" xfId="5" builtinId="6"/>
    <cellStyle name="桁区切り 2" xfId="3" xr:uid="{00000000-0005-0000-0000-000000000000}"/>
    <cellStyle name="桁区切り 2 2" xfId="6" xr:uid="{CE3ED267-D989-471A-A613-A9A08F2F5DE0}"/>
    <cellStyle name="桁区切り 3" xfId="7" xr:uid="{AE2B38AA-745C-44E2-97AC-80C965752305}"/>
    <cellStyle name="桁区切り 4" xfId="9" xr:uid="{B4EBC866-2F21-4BFA-8DCB-C0ACA3FA8AAE}"/>
    <cellStyle name="桁区切り 4 10" xfId="101" xr:uid="{E2ECCE17-1043-44EE-9B8F-9E76644FAB08}"/>
    <cellStyle name="桁区切り 4 11" xfId="59" xr:uid="{7C643F59-309C-4349-89A9-84F41251FC6A}"/>
    <cellStyle name="桁区切り 4 2" xfId="11" xr:uid="{A777E1B1-AF56-4CB3-9873-DE47CC155197}"/>
    <cellStyle name="桁区切り 4 2 2" xfId="15" xr:uid="{77C2C7FA-9986-44C7-B882-5ED1D507FA5B}"/>
    <cellStyle name="桁区切り 4 2 2 2" xfId="33" xr:uid="{26A3F9CA-8CF8-425F-92FA-70B8514E36B5}"/>
    <cellStyle name="桁区切り 4 2 2 2 2" xfId="55" xr:uid="{31EB532C-3869-4D70-9C14-5418067ACCC0}"/>
    <cellStyle name="桁区切り 4 2 2 2 2 2" xfId="175" xr:uid="{8C86FADD-83DC-4917-88E8-2EA4BBD7C746}"/>
    <cellStyle name="桁区切り 4 2 2 2 2 3" xfId="215" xr:uid="{7FC5A505-895B-4C21-89B4-6A836C54220E}"/>
    <cellStyle name="桁区切り 4 2 2 2 2 4" xfId="137" xr:uid="{FA2223D2-1C27-4D72-980D-2807C78D464B}"/>
    <cellStyle name="桁区切り 4 2 2 2 2 5" xfId="97" xr:uid="{8D361F6C-1C9E-48FB-9260-783C33912FE4}"/>
    <cellStyle name="桁区切り 4 2 2 2 3" xfId="153" xr:uid="{4F2874D4-C4FC-44A2-9093-C630CEE5BF7F}"/>
    <cellStyle name="桁区切り 4 2 2 2 4" xfId="195" xr:uid="{D626CA95-62B3-4359-9420-9AC2F6424277}"/>
    <cellStyle name="桁区切り 4 2 2 2 5" xfId="115" xr:uid="{BAE1EBC0-0BDA-438D-97B1-56A89F2C0A1B}"/>
    <cellStyle name="桁区切り 4 2 2 2 6" xfId="77" xr:uid="{5294D04B-D9AB-42D7-B9DE-9FEED9BE7863}"/>
    <cellStyle name="桁区切り 4 2 2 3" xfId="45" xr:uid="{25CD8258-1F96-4CB8-8D70-5D5002695D06}"/>
    <cellStyle name="桁区切り 4 2 2 3 2" xfId="165" xr:uid="{B8CE282C-4DE2-46AF-B7F7-1A1D556CAA91}"/>
    <cellStyle name="桁区切り 4 2 2 3 3" xfId="205" xr:uid="{9ADD7AA1-C4C7-479E-97CB-3E8F7499EC16}"/>
    <cellStyle name="桁区切り 4 2 2 3 4" xfId="127" xr:uid="{5CC5EAD7-A6D3-4903-9921-FAE9C75D1438}"/>
    <cellStyle name="桁区切り 4 2 2 3 5" xfId="87" xr:uid="{8006F252-B2D8-49DB-BB08-24BAC176213F}"/>
    <cellStyle name="桁区切り 4 2 2 4" xfId="23" xr:uid="{BF83D41B-A506-4CD5-B088-9F539565692B}"/>
    <cellStyle name="桁区切り 4 2 2 4 2" xfId="145" xr:uid="{AFD48EAC-EFDC-484E-994D-B881731D4A71}"/>
    <cellStyle name="桁区切り 4 2 2 5" xfId="185" xr:uid="{1D882955-EF02-4385-86AD-A6F2E9846C31}"/>
    <cellStyle name="桁区切り 4 2 2 6" xfId="107" xr:uid="{E4D68655-3637-43B4-BC77-5468CCBAF66A}"/>
    <cellStyle name="桁区切り 4 2 2 7" xfId="67" xr:uid="{A609DBAA-83CF-4E20-A1B0-722F33AE15F6}"/>
    <cellStyle name="桁区切り 4 2 3" xfId="29" xr:uid="{85FA27ED-7A8B-41C0-B8A5-E0262460CA80}"/>
    <cellStyle name="桁区切り 4 2 3 2" xfId="51" xr:uid="{F9C117CA-5C75-4AF0-B231-2DE2F4493833}"/>
    <cellStyle name="桁区切り 4 2 3 2 2" xfId="171" xr:uid="{136808F5-BC91-4C9A-BC71-B99B3B9A5137}"/>
    <cellStyle name="桁区切り 4 2 3 2 3" xfId="211" xr:uid="{2333A939-B809-4AAB-B753-58E793EB310D}"/>
    <cellStyle name="桁区切り 4 2 3 2 4" xfId="133" xr:uid="{C0EC776E-BF16-425D-BE73-AE3BD4140C5C}"/>
    <cellStyle name="桁区切り 4 2 3 2 5" xfId="93" xr:uid="{A454CBE0-71AD-49F5-A1C3-E1E812CEFAFB}"/>
    <cellStyle name="桁区切り 4 2 3 3" xfId="149" xr:uid="{42A8308F-C384-48ED-B022-55F4809DAE9A}"/>
    <cellStyle name="桁区切り 4 2 3 4" xfId="191" xr:uid="{C2478A74-F048-4FB1-B670-EF13C2125B01}"/>
    <cellStyle name="桁区切り 4 2 3 5" xfId="111" xr:uid="{85A69FA5-2A53-4350-8899-251DE32AA6D2}"/>
    <cellStyle name="桁区切り 4 2 3 6" xfId="73" xr:uid="{83418151-3927-49C0-BAFE-B7EFBEACB98B}"/>
    <cellStyle name="桁区切り 4 2 4" xfId="41" xr:uid="{C3FDFC0D-3E2A-4001-8519-45EF3183CC8B}"/>
    <cellStyle name="桁区切り 4 2 4 2" xfId="157" xr:uid="{A619E5C7-6135-4168-A75A-58B8FC8B1DFC}"/>
    <cellStyle name="桁区切り 4 2 4 3" xfId="201" xr:uid="{003A4D65-1F1D-4C51-A29A-31072BE4834F}"/>
    <cellStyle name="桁区切り 4 2 4 4" xfId="119" xr:uid="{A3A84F20-4BBE-4A6F-BA25-7C1A95BD9E07}"/>
    <cellStyle name="桁区切り 4 2 4 5" xfId="83" xr:uid="{5B983856-FF92-4BB5-B650-8BB5F0B5CD5F}"/>
    <cellStyle name="桁区切り 4 2 5" xfId="19" xr:uid="{F5F017C3-D8BF-4AB5-8947-C985D0A96C90}"/>
    <cellStyle name="桁区切り 4 2 5 2" xfId="161" xr:uid="{9790EC49-6739-4154-8E32-063832B6F5A5}"/>
    <cellStyle name="桁区切り 4 2 5 3" xfId="123" xr:uid="{0ABF9336-D626-4D29-9706-1ED27D8DA3BA}"/>
    <cellStyle name="桁区切り 4 2 6" xfId="141" xr:uid="{27FADA1A-4873-40C6-A486-361C48449133}"/>
    <cellStyle name="桁区切り 4 2 7" xfId="181" xr:uid="{46F550F2-203C-4E91-82BF-8C290D3EB858}"/>
    <cellStyle name="桁区切り 4 2 8" xfId="103" xr:uid="{11DD1657-16FB-426F-BCEC-93E0F0719E67}"/>
    <cellStyle name="桁区切り 4 2 9" xfId="63" xr:uid="{FE128DB8-4C1C-4BFA-8438-A994EA2A3688}"/>
    <cellStyle name="桁区切り 4 3" xfId="13" xr:uid="{11B51CAF-DFD6-46BE-866A-EDB81477108E}"/>
    <cellStyle name="桁区切り 4 3 2" xfId="31" xr:uid="{8D86B375-D92F-4C23-857F-326733FF8C70}"/>
    <cellStyle name="桁区切り 4 3 2 2" xfId="53" xr:uid="{8E094A5C-0727-453B-BFB5-5E98EB6E669A}"/>
    <cellStyle name="桁区切り 4 3 2 2 2" xfId="173" xr:uid="{4A7FB379-134C-4F0E-8AFD-FEF14FE1FFF5}"/>
    <cellStyle name="桁区切り 4 3 2 2 3" xfId="213" xr:uid="{8C4E44C0-6EC2-4EB3-8078-2247BD788D8B}"/>
    <cellStyle name="桁区切り 4 3 2 2 4" xfId="135" xr:uid="{61287F78-73EC-4EE9-8BEC-522D69FDC6E1}"/>
    <cellStyle name="桁区切り 4 3 2 2 5" xfId="95" xr:uid="{1BFAC476-E15A-46EB-B576-16A77FE45A21}"/>
    <cellStyle name="桁区切り 4 3 2 3" xfId="151" xr:uid="{DE628B96-E41C-42B1-AA4E-039731BA94C2}"/>
    <cellStyle name="桁区切り 4 3 2 4" xfId="193" xr:uid="{F4EC27AB-F4EE-42D9-8A63-B1617247DDDD}"/>
    <cellStyle name="桁区切り 4 3 2 5" xfId="113" xr:uid="{E6CBD485-B5F9-4D26-A895-BAE84EACA3B1}"/>
    <cellStyle name="桁区切り 4 3 2 6" xfId="75" xr:uid="{25D262BD-7CA9-445B-BE2C-C9FDF6B72A72}"/>
    <cellStyle name="桁区切り 4 3 3" xfId="43" xr:uid="{B8DE42DB-E6F3-4A0D-9484-7ED0EC703FE7}"/>
    <cellStyle name="桁区切り 4 3 3 2" xfId="163" xr:uid="{9185C579-2006-467D-B262-DD500C9609C6}"/>
    <cellStyle name="桁区切り 4 3 3 3" xfId="203" xr:uid="{696463DE-86F5-4562-9E2B-7F35801B1B4F}"/>
    <cellStyle name="桁区切り 4 3 3 4" xfId="125" xr:uid="{8FB27F96-68E8-4544-90AA-3C6B674D1015}"/>
    <cellStyle name="桁区切り 4 3 3 5" xfId="85" xr:uid="{8B57A3FB-3F03-4EF1-9D4D-93B31A9D8D0F}"/>
    <cellStyle name="桁区切り 4 3 4" xfId="21" xr:uid="{6218ADA7-7BF4-4CFC-ABFA-A03F4E37A880}"/>
    <cellStyle name="桁区切り 4 3 4 2" xfId="143" xr:uid="{F5DC4976-8DE6-4C80-A49E-4EB3688FB236}"/>
    <cellStyle name="桁区切り 4 3 5" xfId="183" xr:uid="{D444081B-55E9-4DD3-BF27-CA890173ACC8}"/>
    <cellStyle name="桁区切り 4 3 6" xfId="105" xr:uid="{966F964F-C32B-4D62-9440-7ECC4C77DDBE}"/>
    <cellStyle name="桁区切り 4 3 7" xfId="65" xr:uid="{0087C527-D1B9-486B-ADD1-679A318357B1}"/>
    <cellStyle name="桁区切り 4 4" xfId="25" xr:uid="{63838C68-AA56-48E6-A1B8-815770C4A742}"/>
    <cellStyle name="桁区切り 4 4 2" xfId="47" xr:uid="{A5A76539-B7B1-4B78-8B0C-91624DDD927E}"/>
    <cellStyle name="桁区切り 4 4 2 2" xfId="167" xr:uid="{47E656FB-069B-40DC-929A-71C749A0A7CD}"/>
    <cellStyle name="桁区切り 4 4 2 3" xfId="207" xr:uid="{BDE2DB83-18FA-4CC9-B333-C3C2A820CB9A}"/>
    <cellStyle name="桁区切り 4 4 2 4" xfId="129" xr:uid="{C385EF0F-8D2C-44F4-9F15-EC45C72391D1}"/>
    <cellStyle name="桁区切り 4 4 2 5" xfId="89" xr:uid="{176028E8-E342-409C-9270-4EE6E9EED2AE}"/>
    <cellStyle name="桁区切り 4 4 3" xfId="147" xr:uid="{EC44E897-C84F-454B-ADCD-4D2F83B83A8C}"/>
    <cellStyle name="桁区切り 4 4 4" xfId="187" xr:uid="{990C8FDC-954C-4FE3-9309-EA40124EACC4}"/>
    <cellStyle name="桁区切り 4 4 5" xfId="109" xr:uid="{82729FAC-EFAB-4C94-8995-B7DC556E0CB4}"/>
    <cellStyle name="桁区切り 4 4 6" xfId="69" xr:uid="{1C7E8DA3-9286-4ECC-BAD7-C6DB48056A48}"/>
    <cellStyle name="桁区切り 4 5" xfId="27" xr:uid="{F9254AE1-633C-4958-9739-D2D8C3F8A6D6}"/>
    <cellStyle name="桁区切り 4 5 2" xfId="49" xr:uid="{3981295A-0F78-40C3-BE48-F2BFD7BD7B6D}"/>
    <cellStyle name="桁区切り 4 5 2 2" xfId="169" xr:uid="{7ABD94C3-8EA4-4C81-B952-C3E731931F75}"/>
    <cellStyle name="桁区切り 4 5 2 3" xfId="209" xr:uid="{4AA331BA-6324-41DC-875D-16E03CB4BECF}"/>
    <cellStyle name="桁区切り 4 5 2 4" xfId="131" xr:uid="{B29A92EC-37B5-436F-8009-B02CD5AC1441}"/>
    <cellStyle name="桁区切り 4 5 2 5" xfId="91" xr:uid="{79AA80A0-3391-4219-B45A-72501647150D}"/>
    <cellStyle name="桁区切り 4 5 3" xfId="155" xr:uid="{5C09A70A-F1E5-49E7-92F9-D866F59FEC74}"/>
    <cellStyle name="桁区切り 4 5 4" xfId="189" xr:uid="{9E6DDFF4-B767-40B0-AE29-27DD0C02AF02}"/>
    <cellStyle name="桁区切り 4 5 5" xfId="117" xr:uid="{2182B936-3243-4E1D-8854-435B81003CD3}"/>
    <cellStyle name="桁区切り 4 5 6" xfId="71" xr:uid="{5F53C159-9683-44B5-BBA1-49F21F2444DD}"/>
    <cellStyle name="桁区切り 4 6" xfId="35" xr:uid="{3914CFDC-F355-4A1D-AB76-3FDF2201D697}"/>
    <cellStyle name="桁区切り 4 6 2" xfId="57" xr:uid="{74184894-C5E9-44AE-9164-05DFF1AD198C}"/>
    <cellStyle name="桁区切り 4 6 2 2" xfId="217" xr:uid="{F47AF8BA-5377-49A6-9FA4-08918772EBB9}"/>
    <cellStyle name="桁区切り 4 6 2 3" xfId="159" xr:uid="{39D66411-65D9-48A3-BD30-FB8B6A910421}"/>
    <cellStyle name="桁区切り 4 6 2 4" xfId="99" xr:uid="{71CC9E94-41AA-4D0B-B084-B1270E9EC54B}"/>
    <cellStyle name="桁区切り 4 6 3" xfId="197" xr:uid="{47D3B5A9-02CD-4047-B2BA-4C7CB496CA9D}"/>
    <cellStyle name="桁区切り 4 6 4" xfId="121" xr:uid="{D92CCF7E-CAA7-43C6-B7FC-6A360D50FAEF}"/>
    <cellStyle name="桁区切り 4 6 5" xfId="79" xr:uid="{7DA1AC0F-E76E-45B8-AACF-4A95E31BADB8}"/>
    <cellStyle name="桁区切り 4 7" xfId="39" xr:uid="{E478C353-55EA-44E8-AA11-1C470499ACDF}"/>
    <cellStyle name="桁区切り 4 7 2" xfId="199" xr:uid="{3692CA30-3187-4B71-9747-A0B0C75B1CF3}"/>
    <cellStyle name="桁区切り 4 7 3" xfId="139" xr:uid="{4D292B0C-F48E-4557-AC0A-CD4315C132E3}"/>
    <cellStyle name="桁区切り 4 7 4" xfId="81" xr:uid="{11FA3342-3CF5-4992-AD01-B8D345442E80}"/>
    <cellStyle name="桁区切り 4 8" xfId="17" xr:uid="{C88A9618-67A7-46D4-8BFA-5C475F9A06EB}"/>
    <cellStyle name="桁区切り 4 8 2" xfId="177" xr:uid="{DAE9236B-C95B-44F8-BFC0-DC8EFBDFBF4A}"/>
    <cellStyle name="桁区切り 4 8 3" xfId="61" xr:uid="{D23F177A-F3C0-49D3-9DFF-FBA64D9DCAD5}"/>
    <cellStyle name="桁区切り 4 9" xfId="179" xr:uid="{5110AE92-86F6-4182-BB27-C3787D91D5F0}"/>
    <cellStyle name="桁区切り 5" xfId="36" xr:uid="{7DC3AE47-4189-4B6E-8726-502F667FFD22}"/>
    <cellStyle name="標準" xfId="0" builtinId="0"/>
    <cellStyle name="標準 2" xfId="1" xr:uid="{00000000-0005-0000-0000-000002000000}"/>
    <cellStyle name="標準 2 2" xfId="4" xr:uid="{00000000-0005-0000-0000-000003000000}"/>
    <cellStyle name="標準 3" xfId="2" xr:uid="{00000000-0005-0000-0000-000004000000}"/>
    <cellStyle name="標準 4" xfId="8" xr:uid="{FC4F3E58-4915-41CD-BBFE-7207907F83B4}"/>
    <cellStyle name="標準 4 10" xfId="100" xr:uid="{03BEE2E1-0B6F-439D-A9C3-7962D144EB8A}"/>
    <cellStyle name="標準 4 11" xfId="58" xr:uid="{15F5E839-C694-4088-9F12-1AAB45CF05C5}"/>
    <cellStyle name="標準 4 2" xfId="10" xr:uid="{7FEA8632-3EFC-4A8C-B1B4-95DA6052E031}"/>
    <cellStyle name="標準 4 2 2" xfId="14" xr:uid="{CE38ACE1-3735-4991-8ED0-82B51D5DBB02}"/>
    <cellStyle name="標準 4 2 2 2" xfId="32" xr:uid="{32C37B88-5F0A-4C74-A0D9-8EEB4F138917}"/>
    <cellStyle name="標準 4 2 2 2 2" xfId="54" xr:uid="{C3545412-50D0-4B9A-8800-31C1E184FB08}"/>
    <cellStyle name="標準 4 2 2 2 2 2" xfId="174" xr:uid="{A14E012F-BCE5-4F0E-83D8-5EDB304821AD}"/>
    <cellStyle name="標準 4 2 2 2 2 3" xfId="214" xr:uid="{2027BE6B-F710-47EE-B2E8-C6D96B8BAD0A}"/>
    <cellStyle name="標準 4 2 2 2 2 4" xfId="136" xr:uid="{30E89D89-FAF4-41D5-BB5F-16141B358C1E}"/>
    <cellStyle name="標準 4 2 2 2 2 5" xfId="96" xr:uid="{C2D278B9-6C82-45C6-937F-92BC1C485752}"/>
    <cellStyle name="標準 4 2 2 2 3" xfId="152" xr:uid="{3092D7A4-E88B-4220-BAB1-581CC64A3B34}"/>
    <cellStyle name="標準 4 2 2 2 4" xfId="194" xr:uid="{048106F9-3616-4233-835A-225ECD042DFE}"/>
    <cellStyle name="標準 4 2 2 2 5" xfId="114" xr:uid="{F30E64F0-32DC-401A-B4EF-D0B6D6946D18}"/>
    <cellStyle name="標準 4 2 2 2 6" xfId="76" xr:uid="{B3933A9A-36A9-4CC5-BBB8-A67100EC7A58}"/>
    <cellStyle name="標準 4 2 2 3" xfId="44" xr:uid="{02953DCF-C022-4336-BBD8-73FC74ADDEB0}"/>
    <cellStyle name="標準 4 2 2 3 2" xfId="164" xr:uid="{EF3A5D92-CDFE-4803-9858-15E0CD4FA26C}"/>
    <cellStyle name="標準 4 2 2 3 3" xfId="204" xr:uid="{C6AC71FB-827F-48B9-AA33-741FC030E57B}"/>
    <cellStyle name="標準 4 2 2 3 4" xfId="126" xr:uid="{42606758-0DCB-4F50-BD91-93E93716BF99}"/>
    <cellStyle name="標準 4 2 2 3 5" xfId="86" xr:uid="{B85A2402-768C-4B4F-9641-6E4EAAFAA472}"/>
    <cellStyle name="標準 4 2 2 4" xfId="22" xr:uid="{C7982E60-7BB9-47BB-B671-DF55750D3CD8}"/>
    <cellStyle name="標準 4 2 2 4 2" xfId="144" xr:uid="{E2784A37-33AC-4797-A1C8-1158A1F030B7}"/>
    <cellStyle name="標準 4 2 2 5" xfId="184" xr:uid="{2F2383A7-AFC2-40AE-9D7D-475B22899812}"/>
    <cellStyle name="標準 4 2 2 6" xfId="106" xr:uid="{E864EA17-8F90-4658-B6BE-24CD4904713C}"/>
    <cellStyle name="標準 4 2 2 7" xfId="66" xr:uid="{9A68E814-C563-4973-92EE-25A75EAA2999}"/>
    <cellStyle name="標準 4 2 3" xfId="28" xr:uid="{2AA9509A-5081-4451-896A-C2156C1AE3C2}"/>
    <cellStyle name="標準 4 2 3 2" xfId="50" xr:uid="{09A552E7-9DA4-4CCF-9EF5-774F64BC4210}"/>
    <cellStyle name="標準 4 2 3 2 2" xfId="170" xr:uid="{DAEE5DEF-F1E5-4CAB-8D1F-5F006119DCF2}"/>
    <cellStyle name="標準 4 2 3 2 3" xfId="210" xr:uid="{AD3707B9-D622-4371-9354-958DECEFCF9F}"/>
    <cellStyle name="標準 4 2 3 2 4" xfId="132" xr:uid="{199DC4DE-D6B2-41EB-B556-BE74ABDEFE6E}"/>
    <cellStyle name="標準 4 2 3 2 5" xfId="92" xr:uid="{D097F7DC-8E05-4B60-A4DB-3481129918B4}"/>
    <cellStyle name="標準 4 2 3 3" xfId="148" xr:uid="{98A83CFA-7CB5-4CAC-93F5-1266E7347048}"/>
    <cellStyle name="標準 4 2 3 4" xfId="190" xr:uid="{1D2DE9C3-F002-4B77-8155-A26EEDB21368}"/>
    <cellStyle name="標準 4 2 3 5" xfId="110" xr:uid="{4157B5BF-ED8C-4670-B88A-46C5F0B2B73D}"/>
    <cellStyle name="標準 4 2 3 6" xfId="72" xr:uid="{7A0CC825-D354-4BA5-9C48-3F8B9B87B9C7}"/>
    <cellStyle name="標準 4 2 4" xfId="40" xr:uid="{74C9A4D0-8609-4D10-B91C-C293DCAC7C6C}"/>
    <cellStyle name="標準 4 2 4 2" xfId="156" xr:uid="{2EC24BBA-250E-4137-A67E-A67A60DA7975}"/>
    <cellStyle name="標準 4 2 4 3" xfId="200" xr:uid="{74B2B136-7F28-404C-A8FB-01935232C8EF}"/>
    <cellStyle name="標準 4 2 4 4" xfId="118" xr:uid="{C996EA30-6117-4069-AE03-C0107248F145}"/>
    <cellStyle name="標準 4 2 4 5" xfId="82" xr:uid="{C8AD339D-4553-49AA-A525-9388BC72E012}"/>
    <cellStyle name="標準 4 2 5" xfId="18" xr:uid="{886810A5-F05F-48E5-8962-F091E16589D3}"/>
    <cellStyle name="標準 4 2 5 2" xfId="160" xr:uid="{37B711FE-D6A7-461D-BFE0-67D7F03AB3DE}"/>
    <cellStyle name="標準 4 2 5 3" xfId="122" xr:uid="{5ABD0565-43F6-4E4B-9FF0-32F83FE715DA}"/>
    <cellStyle name="標準 4 2 6" xfId="140" xr:uid="{F9DE84A8-A104-45BF-9C39-7E99A27C9EE6}"/>
    <cellStyle name="標準 4 2 7" xfId="180" xr:uid="{AF605098-F551-400C-8CA6-722F29B48A87}"/>
    <cellStyle name="標準 4 2 8" xfId="102" xr:uid="{A47AA021-8673-4F20-9336-97811C76EFF5}"/>
    <cellStyle name="標準 4 2 9" xfId="62" xr:uid="{36126C01-6D5A-4ABC-AD11-C775F0F0F92F}"/>
    <cellStyle name="標準 4 3" xfId="12" xr:uid="{358793B4-2A22-4D82-A135-C8D6AB38F911}"/>
    <cellStyle name="標準 4 3 2" xfId="30" xr:uid="{52ED190B-8C9A-4712-8BE8-A476AC9CD46F}"/>
    <cellStyle name="標準 4 3 2 2" xfId="52" xr:uid="{E5B7A452-1291-4D3A-BE18-584C76FCD9FF}"/>
    <cellStyle name="標準 4 3 2 2 2" xfId="172" xr:uid="{25B830D6-0CBA-4424-B129-53C5F3656EE4}"/>
    <cellStyle name="標準 4 3 2 2 3" xfId="212" xr:uid="{E3E50D19-FFBF-47B0-917B-63477F75627D}"/>
    <cellStyle name="標準 4 3 2 2 4" xfId="134" xr:uid="{B6FD8552-5EFD-42D5-BC30-6C6350D06C48}"/>
    <cellStyle name="標準 4 3 2 2 5" xfId="94" xr:uid="{10C7339D-B110-45C6-8E1C-BCB1F69133F4}"/>
    <cellStyle name="標準 4 3 2 3" xfId="150" xr:uid="{D6792F13-E572-4A7B-AADF-B86CA0B6F1EC}"/>
    <cellStyle name="標準 4 3 2 4" xfId="192" xr:uid="{E5F3D31F-93F5-4CA3-A0E5-15D5BF4EF2DB}"/>
    <cellStyle name="標準 4 3 2 5" xfId="112" xr:uid="{0304969B-D84F-4AD5-81D9-FDB235FBE567}"/>
    <cellStyle name="標準 4 3 2 6" xfId="74" xr:uid="{D0A9F55A-B96A-4597-8E86-3D4CA139E48D}"/>
    <cellStyle name="標準 4 3 3" xfId="42" xr:uid="{CB2D453B-1B61-421E-B205-527CEB23FC5C}"/>
    <cellStyle name="標準 4 3 3 2" xfId="162" xr:uid="{5BB294ED-A42F-49CB-9AE3-B87182C39D49}"/>
    <cellStyle name="標準 4 3 3 3" xfId="202" xr:uid="{DEF28B74-6C6D-4256-9EFA-EEC93525EAD5}"/>
    <cellStyle name="標準 4 3 3 4" xfId="124" xr:uid="{74ED0486-48B7-41CA-BF05-C7B9F2BD62FB}"/>
    <cellStyle name="標準 4 3 3 5" xfId="84" xr:uid="{603BDE5E-C6C4-4FFF-B417-576151246C92}"/>
    <cellStyle name="標準 4 3 4" xfId="20" xr:uid="{04C139F8-112A-4C8A-BC11-3D214B83950B}"/>
    <cellStyle name="標準 4 3 4 2" xfId="142" xr:uid="{774D6662-CB43-4E83-9FB5-225944DCA60D}"/>
    <cellStyle name="標準 4 3 5" xfId="182" xr:uid="{9D55A862-986A-498B-9A6A-52D4EC85C4F6}"/>
    <cellStyle name="標準 4 3 6" xfId="104" xr:uid="{5D7A91A3-7A57-42A3-A9F1-27E9C114DB91}"/>
    <cellStyle name="標準 4 3 7" xfId="64" xr:uid="{E4C7227B-A73A-4E10-9462-92EDF407F28E}"/>
    <cellStyle name="標準 4 4" xfId="24" xr:uid="{5685E688-21F0-4FA5-85E2-5F3C59BC3ED3}"/>
    <cellStyle name="標準 4 4 2" xfId="46" xr:uid="{572AB834-055B-499F-91AA-DF7ABD7AE1FE}"/>
    <cellStyle name="標準 4 4 2 2" xfId="166" xr:uid="{DA272F6E-7AB1-48BD-892E-39EBD1FAE746}"/>
    <cellStyle name="標準 4 4 2 3" xfId="206" xr:uid="{6A21E322-449C-428B-8CFC-811E6ADC1B38}"/>
    <cellStyle name="標準 4 4 2 4" xfId="128" xr:uid="{4E352325-74B5-4554-9738-CF032D794131}"/>
    <cellStyle name="標準 4 4 2 5" xfId="88" xr:uid="{FB20037B-8165-4573-B679-D3E4C6326991}"/>
    <cellStyle name="標準 4 4 3" xfId="146" xr:uid="{2F02A205-065E-4D0B-8BF4-BEBAE07F0E7F}"/>
    <cellStyle name="標準 4 4 4" xfId="186" xr:uid="{D1A0654B-1EAC-435C-8077-BDDC8EECA158}"/>
    <cellStyle name="標準 4 4 5" xfId="108" xr:uid="{64AFC215-B48D-4D05-8FD7-88CC00DCF0A9}"/>
    <cellStyle name="標準 4 4 6" xfId="68" xr:uid="{B86E191C-9BF5-4A00-8871-BE778DF7E2A2}"/>
    <cellStyle name="標準 4 5" xfId="26" xr:uid="{6702C000-8DF4-4DF3-8E71-3765127EDC88}"/>
    <cellStyle name="標準 4 5 2" xfId="48" xr:uid="{7D90A011-A1EE-4395-A6EF-03BAB15B97B5}"/>
    <cellStyle name="標準 4 5 2 2" xfId="168" xr:uid="{EEF2C980-1934-4308-A586-4321A9747EE0}"/>
    <cellStyle name="標準 4 5 2 3" xfId="208" xr:uid="{5CEF8F1B-0C0B-471C-962B-21EB17E8DC6B}"/>
    <cellStyle name="標準 4 5 2 4" xfId="130" xr:uid="{3AC3519D-6CE8-4017-AECD-222A5E1B0E66}"/>
    <cellStyle name="標準 4 5 2 5" xfId="90" xr:uid="{347DD2EA-27A3-4C5E-98D8-334E463A95F9}"/>
    <cellStyle name="標準 4 5 3" xfId="154" xr:uid="{BB0351E6-8874-41AE-AE9D-9C00A49782CE}"/>
    <cellStyle name="標準 4 5 4" xfId="188" xr:uid="{A33C0AB0-F0FA-4F3C-8CFF-AF61F809A3F1}"/>
    <cellStyle name="標準 4 5 5" xfId="116" xr:uid="{7FA1B6AA-D531-4FE2-A634-624E7E0A0642}"/>
    <cellStyle name="標準 4 5 6" xfId="70" xr:uid="{5B5F6E7A-7E90-4CB5-866D-9A09FD8AF544}"/>
    <cellStyle name="標準 4 6" xfId="34" xr:uid="{71884DA7-8100-4D2C-AD15-E27A8803770D}"/>
    <cellStyle name="標準 4 6 2" xfId="56" xr:uid="{4BF0E192-CFA6-4622-A7E5-C3EE68FC2514}"/>
    <cellStyle name="標準 4 6 2 2" xfId="216" xr:uid="{33D8DAFB-83B7-4231-8679-88B6D9FC39A6}"/>
    <cellStyle name="標準 4 6 2 3" xfId="158" xr:uid="{859375C2-7924-416C-B18A-21372EA00905}"/>
    <cellStyle name="標準 4 6 2 4" xfId="98" xr:uid="{D0DAF655-AE1C-4AF6-BE52-ABBBCD427F36}"/>
    <cellStyle name="標準 4 6 3" xfId="196" xr:uid="{83F29FC8-4D98-49F0-987A-95C342B44223}"/>
    <cellStyle name="標準 4 6 4" xfId="120" xr:uid="{83E1A3D0-BE8D-46F3-80C9-2DE31F7E0886}"/>
    <cellStyle name="標準 4 6 5" xfId="78" xr:uid="{421A2D7B-719E-4A13-A920-3BF71B26C805}"/>
    <cellStyle name="標準 4 7" xfId="38" xr:uid="{87145FB3-5B16-4F5E-B2B7-EABDD8B6B949}"/>
    <cellStyle name="標準 4 7 2" xfId="198" xr:uid="{4815C94C-5E72-42AB-9299-FC6EF6E85ED5}"/>
    <cellStyle name="標準 4 7 3" xfId="138" xr:uid="{692BB772-E1DD-4236-9E7F-40A85A7106E2}"/>
    <cellStyle name="標準 4 7 4" xfId="80" xr:uid="{B514F615-2FCE-4E94-A2D2-F2D3FAF83116}"/>
    <cellStyle name="標準 4 8" xfId="16" xr:uid="{2CC1ABA2-0E03-4307-9EFF-305C70B3F9DF}"/>
    <cellStyle name="標準 4 8 2" xfId="176" xr:uid="{1FC3A39C-F477-4EBA-A2B3-3D1405DB412F}"/>
    <cellStyle name="標準 4 8 3" xfId="60" xr:uid="{D40E0BE0-D31D-48A0-96FD-0977CE8DADE9}"/>
    <cellStyle name="標準 4 9" xfId="178" xr:uid="{3AB50811-C986-4CE5-93D6-4EF8E246A2CC}"/>
  </cellStyles>
  <dxfs count="0"/>
  <tableStyles count="1" defaultTableStyle="TableStyleMedium2" defaultPivotStyle="PivotStyleMedium9">
    <tableStyle name="Invisible" pivot="0" table="0" count="0" xr9:uid="{8A330F02-3715-4446-8058-1BADBE8C60D8}"/>
  </tableStyles>
  <colors>
    <mruColors>
      <color rgb="FF0000FF"/>
      <color rgb="FFFFFF99"/>
      <color rgb="FF6F6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altLang="ja-JP"/>
              <a:t>FY2020_</a:t>
            </a:r>
            <a:r>
              <a:rPr lang="ja-JP" altLang="en-US"/>
              <a:t>ホンダ様業務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売上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B330-47F6-BD56-5015EB233C3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B330-47F6-BD56-5015EB233C3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B330-47F6-BD56-5015EB233C3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B330-47F6-BD56-5015EB233C3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598-47C2-B8BD-A9BEBCEE4AFA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598-47C2-B8BD-A9BEBCEE4AF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98-47C2-B8BD-A9BEBCEE4AF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98-47C2-B8BD-A9BEBCEE4AF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98-47C2-B8BD-A9BEBCEE4AF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598-47C2-B8BD-A9BEBCEE4AFA}"/>
              </c:ext>
            </c:extLst>
          </c:dPt>
          <c:cat>
            <c:strRef>
              <c:f>まとめ!$I$1:$T$1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まとめ!$I$2:$T$2</c:f>
              <c:numCache>
                <c:formatCode>"¥"#,##0_);[Red]\("¥"#,##0\)</c:formatCode>
                <c:ptCount val="12"/>
                <c:pt idx="0">
                  <c:v>6902400</c:v>
                </c:pt>
                <c:pt idx="1">
                  <c:v>7842400</c:v>
                </c:pt>
                <c:pt idx="2">
                  <c:v>6902400</c:v>
                </c:pt>
                <c:pt idx="3">
                  <c:v>6902400</c:v>
                </c:pt>
                <c:pt idx="4">
                  <c:v>7302400</c:v>
                </c:pt>
                <c:pt idx="5">
                  <c:v>6902400</c:v>
                </c:pt>
                <c:pt idx="6">
                  <c:v>7102400</c:v>
                </c:pt>
                <c:pt idx="7">
                  <c:v>6902400</c:v>
                </c:pt>
                <c:pt idx="8">
                  <c:v>7832400</c:v>
                </c:pt>
                <c:pt idx="9">
                  <c:v>6902400</c:v>
                </c:pt>
                <c:pt idx="10">
                  <c:v>6902400</c:v>
                </c:pt>
                <c:pt idx="11">
                  <c:v>6902400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E-4AEF-B6A2-360815F2D709}"/>
            </c:ext>
          </c:extLst>
        </c:ser>
        <c:ser>
          <c:idx val="1"/>
          <c:order val="1"/>
          <c:tx>
            <c:v>コスト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B330-47F6-BD56-5015EB233C3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B330-47F6-BD56-5015EB233C3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B330-47F6-BD56-5015EB233C3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B330-47F6-BD56-5015EB233C3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598-47C2-B8BD-A9BEBCEE4AFA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598-47C2-B8BD-A9BEBCEE4AF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598-47C2-B8BD-A9BEBCEE4AF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598-47C2-B8BD-A9BEBCEE4AF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598-47C2-B8BD-A9BEBCEE4AF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598-47C2-B8BD-A9BEBCEE4AFA}"/>
              </c:ext>
            </c:extLst>
          </c:dPt>
          <c:cat>
            <c:strRef>
              <c:f>まとめ!$I$1:$T$1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まとめ!$I$3:$T$3</c:f>
              <c:numCache>
                <c:formatCode>"¥"#,##0_);[Red]\("¥"#,##0\)</c:formatCode>
                <c:ptCount val="12"/>
                <c:pt idx="0">
                  <c:v>5662988</c:v>
                </c:pt>
                <c:pt idx="1">
                  <c:v>6003537</c:v>
                </c:pt>
                <c:pt idx="2">
                  <c:v>5658310</c:v>
                </c:pt>
                <c:pt idx="3">
                  <c:v>5827249</c:v>
                </c:pt>
                <c:pt idx="4">
                  <c:v>5672288</c:v>
                </c:pt>
                <c:pt idx="5">
                  <c:v>6028089</c:v>
                </c:pt>
                <c:pt idx="6">
                  <c:v>5387006</c:v>
                </c:pt>
                <c:pt idx="7">
                  <c:v>5242143</c:v>
                </c:pt>
                <c:pt idx="8">
                  <c:v>5402609</c:v>
                </c:pt>
                <c:pt idx="9">
                  <c:v>5465551</c:v>
                </c:pt>
                <c:pt idx="10">
                  <c:v>6948030</c:v>
                </c:pt>
                <c:pt idx="11">
                  <c:v>5208065.666666666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E-4AEF-B6A2-360815F2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493455"/>
        <c:axId val="400751807"/>
      </c:barChart>
      <c:lineChart>
        <c:grouping val="standard"/>
        <c:varyColors val="0"/>
        <c:ser>
          <c:idx val="2"/>
          <c:order val="2"/>
          <c:tx>
            <c:v>粗利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まとめ!$I$1:$T$1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まとめ!$I$4:$T$4</c:f>
              <c:numCache>
                <c:formatCode>"¥"#,##0_);[Red]\("¥"#,##0\)</c:formatCode>
                <c:ptCount val="12"/>
                <c:pt idx="0">
                  <c:v>1239412</c:v>
                </c:pt>
                <c:pt idx="1">
                  <c:v>1838863</c:v>
                </c:pt>
                <c:pt idx="2">
                  <c:v>1244090</c:v>
                </c:pt>
                <c:pt idx="3">
                  <c:v>1075151</c:v>
                </c:pt>
                <c:pt idx="4">
                  <c:v>1630112</c:v>
                </c:pt>
                <c:pt idx="5">
                  <c:v>874311</c:v>
                </c:pt>
                <c:pt idx="6">
                  <c:v>1715394</c:v>
                </c:pt>
                <c:pt idx="7">
                  <c:v>1660257</c:v>
                </c:pt>
                <c:pt idx="8">
                  <c:v>2429791</c:v>
                </c:pt>
                <c:pt idx="9">
                  <c:v>1436849</c:v>
                </c:pt>
                <c:pt idx="10">
                  <c:v>-45630</c:v>
                </c:pt>
                <c:pt idx="11">
                  <c:v>1694334.333333334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AE-4AEF-B6A2-360815F2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242223"/>
        <c:axId val="429422527"/>
      </c:lineChart>
      <c:catAx>
        <c:axId val="4004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751807"/>
        <c:crosses val="autoZero"/>
        <c:auto val="1"/>
        <c:lblAlgn val="ctr"/>
        <c:lblOffset val="100"/>
        <c:noMultiLvlLbl val="0"/>
      </c:catAx>
      <c:valAx>
        <c:axId val="40075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&quot;¥&quot;#,##0_);[Red]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493455"/>
        <c:crosses val="autoZero"/>
        <c:crossBetween val="between"/>
      </c:valAx>
      <c:valAx>
        <c:axId val="429422527"/>
        <c:scaling>
          <c:orientation val="minMax"/>
        </c:scaling>
        <c:delete val="0"/>
        <c:axPos val="r"/>
        <c:numFmt formatCode="&quot;¥&quot;#,##0_);[Red]\(&quot;¥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9242223"/>
        <c:crosses val="max"/>
        <c:crossBetween val="between"/>
      </c:valAx>
      <c:catAx>
        <c:axId val="439242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422527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51858</xdr:colOff>
      <xdr:row>26</xdr:row>
      <xdr:rowOff>89957</xdr:rowOff>
    </xdr:from>
    <xdr:to>
      <xdr:col>13</xdr:col>
      <xdr:colOff>224367</xdr:colOff>
      <xdr:row>56</xdr:row>
      <xdr:rowOff>98424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0DC3CB-78DC-47BD-B418-40ED48A39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15"/>
  <sheetViews>
    <sheetView showGridLines="0" zoomScale="85" zoomScaleNormal="85" zoomScaleSheetLayoutView="80" workbookViewId="0">
      <selection sqref="A1:G1"/>
    </sheetView>
  </sheetViews>
  <sheetFormatPr defaultRowHeight="12"/>
  <cols>
    <col min="1" max="7" width="4.453125" style="3" customWidth="1"/>
    <col min="8" max="8" width="10.90625" style="35" customWidth="1"/>
    <col min="9" max="12" width="13.90625" style="35" customWidth="1"/>
    <col min="13" max="13" width="13.90625" style="49" customWidth="1"/>
    <col min="14" max="20" width="13.90625" style="40" customWidth="1"/>
    <col min="21" max="21" width="16.453125" style="187" customWidth="1"/>
    <col min="22" max="248" width="9" style="3"/>
    <col min="249" max="249" width="9.90625" style="3" customWidth="1"/>
    <col min="250" max="251" width="5.08984375" style="3" customWidth="1"/>
    <col min="252" max="252" width="9.6328125" style="3" customWidth="1"/>
    <col min="253" max="254" width="11.90625" style="3" customWidth="1"/>
    <col min="255" max="255" width="15.36328125" style="3" customWidth="1"/>
    <col min="256" max="256" width="10.90625" style="3" customWidth="1"/>
    <col min="257" max="267" width="13.36328125" style="3" customWidth="1"/>
    <col min="268" max="268" width="13.90625" style="3" customWidth="1"/>
    <col min="269" max="269" width="16.453125" style="3" customWidth="1"/>
    <col min="270" max="504" width="9" style="3"/>
    <col min="505" max="505" width="9.90625" style="3" customWidth="1"/>
    <col min="506" max="507" width="5.08984375" style="3" customWidth="1"/>
    <col min="508" max="508" width="9.6328125" style="3" customWidth="1"/>
    <col min="509" max="510" width="11.90625" style="3" customWidth="1"/>
    <col min="511" max="511" width="15.36328125" style="3" customWidth="1"/>
    <col min="512" max="512" width="10.90625" style="3" customWidth="1"/>
    <col min="513" max="523" width="13.36328125" style="3" customWidth="1"/>
    <col min="524" max="524" width="13.90625" style="3" customWidth="1"/>
    <col min="525" max="525" width="16.453125" style="3" customWidth="1"/>
    <col min="526" max="760" width="9" style="3"/>
    <col min="761" max="761" width="9.90625" style="3" customWidth="1"/>
    <col min="762" max="763" width="5.08984375" style="3" customWidth="1"/>
    <col min="764" max="764" width="9.6328125" style="3" customWidth="1"/>
    <col min="765" max="766" width="11.90625" style="3" customWidth="1"/>
    <col min="767" max="767" width="15.36328125" style="3" customWidth="1"/>
    <col min="768" max="768" width="10.90625" style="3" customWidth="1"/>
    <col min="769" max="779" width="13.36328125" style="3" customWidth="1"/>
    <col min="780" max="780" width="13.90625" style="3" customWidth="1"/>
    <col min="781" max="781" width="16.453125" style="3" customWidth="1"/>
    <col min="782" max="1016" width="9" style="3"/>
    <col min="1017" max="1017" width="9.90625" style="3" customWidth="1"/>
    <col min="1018" max="1019" width="5.08984375" style="3" customWidth="1"/>
    <col min="1020" max="1020" width="9.6328125" style="3" customWidth="1"/>
    <col min="1021" max="1022" width="11.90625" style="3" customWidth="1"/>
    <col min="1023" max="1023" width="15.36328125" style="3" customWidth="1"/>
    <col min="1024" max="1024" width="10.90625" style="3" customWidth="1"/>
    <col min="1025" max="1035" width="13.36328125" style="3" customWidth="1"/>
    <col min="1036" max="1036" width="13.90625" style="3" customWidth="1"/>
    <col min="1037" max="1037" width="16.453125" style="3" customWidth="1"/>
    <col min="1038" max="1272" width="9" style="3"/>
    <col min="1273" max="1273" width="9.90625" style="3" customWidth="1"/>
    <col min="1274" max="1275" width="5.08984375" style="3" customWidth="1"/>
    <col min="1276" max="1276" width="9.6328125" style="3" customWidth="1"/>
    <col min="1277" max="1278" width="11.90625" style="3" customWidth="1"/>
    <col min="1279" max="1279" width="15.36328125" style="3" customWidth="1"/>
    <col min="1280" max="1280" width="10.90625" style="3" customWidth="1"/>
    <col min="1281" max="1291" width="13.36328125" style="3" customWidth="1"/>
    <col min="1292" max="1292" width="13.90625" style="3" customWidth="1"/>
    <col min="1293" max="1293" width="16.453125" style="3" customWidth="1"/>
    <col min="1294" max="1528" width="9" style="3"/>
    <col min="1529" max="1529" width="9.90625" style="3" customWidth="1"/>
    <col min="1530" max="1531" width="5.08984375" style="3" customWidth="1"/>
    <col min="1532" max="1532" width="9.6328125" style="3" customWidth="1"/>
    <col min="1533" max="1534" width="11.90625" style="3" customWidth="1"/>
    <col min="1535" max="1535" width="15.36328125" style="3" customWidth="1"/>
    <col min="1536" max="1536" width="10.90625" style="3" customWidth="1"/>
    <col min="1537" max="1547" width="13.36328125" style="3" customWidth="1"/>
    <col min="1548" max="1548" width="13.90625" style="3" customWidth="1"/>
    <col min="1549" max="1549" width="16.453125" style="3" customWidth="1"/>
    <col min="1550" max="1784" width="9" style="3"/>
    <col min="1785" max="1785" width="9.90625" style="3" customWidth="1"/>
    <col min="1786" max="1787" width="5.08984375" style="3" customWidth="1"/>
    <col min="1788" max="1788" width="9.6328125" style="3" customWidth="1"/>
    <col min="1789" max="1790" width="11.90625" style="3" customWidth="1"/>
    <col min="1791" max="1791" width="15.36328125" style="3" customWidth="1"/>
    <col min="1792" max="1792" width="10.90625" style="3" customWidth="1"/>
    <col min="1793" max="1803" width="13.36328125" style="3" customWidth="1"/>
    <col min="1804" max="1804" width="13.90625" style="3" customWidth="1"/>
    <col min="1805" max="1805" width="16.453125" style="3" customWidth="1"/>
    <col min="1806" max="2040" width="9" style="3"/>
    <col min="2041" max="2041" width="9.90625" style="3" customWidth="1"/>
    <col min="2042" max="2043" width="5.08984375" style="3" customWidth="1"/>
    <col min="2044" max="2044" width="9.6328125" style="3" customWidth="1"/>
    <col min="2045" max="2046" width="11.90625" style="3" customWidth="1"/>
    <col min="2047" max="2047" width="15.36328125" style="3" customWidth="1"/>
    <col min="2048" max="2048" width="10.90625" style="3" customWidth="1"/>
    <col min="2049" max="2059" width="13.36328125" style="3" customWidth="1"/>
    <col min="2060" max="2060" width="13.90625" style="3" customWidth="1"/>
    <col min="2061" max="2061" width="16.453125" style="3" customWidth="1"/>
    <col min="2062" max="2296" width="9" style="3"/>
    <col min="2297" max="2297" width="9.90625" style="3" customWidth="1"/>
    <col min="2298" max="2299" width="5.08984375" style="3" customWidth="1"/>
    <col min="2300" max="2300" width="9.6328125" style="3" customWidth="1"/>
    <col min="2301" max="2302" width="11.90625" style="3" customWidth="1"/>
    <col min="2303" max="2303" width="15.36328125" style="3" customWidth="1"/>
    <col min="2304" max="2304" width="10.90625" style="3" customWidth="1"/>
    <col min="2305" max="2315" width="13.36328125" style="3" customWidth="1"/>
    <col min="2316" max="2316" width="13.90625" style="3" customWidth="1"/>
    <col min="2317" max="2317" width="16.453125" style="3" customWidth="1"/>
    <col min="2318" max="2552" width="9" style="3"/>
    <col min="2553" max="2553" width="9.90625" style="3" customWidth="1"/>
    <col min="2554" max="2555" width="5.08984375" style="3" customWidth="1"/>
    <col min="2556" max="2556" width="9.6328125" style="3" customWidth="1"/>
    <col min="2557" max="2558" width="11.90625" style="3" customWidth="1"/>
    <col min="2559" max="2559" width="15.36328125" style="3" customWidth="1"/>
    <col min="2560" max="2560" width="10.90625" style="3" customWidth="1"/>
    <col min="2561" max="2571" width="13.36328125" style="3" customWidth="1"/>
    <col min="2572" max="2572" width="13.90625" style="3" customWidth="1"/>
    <col min="2573" max="2573" width="16.453125" style="3" customWidth="1"/>
    <col min="2574" max="2808" width="9" style="3"/>
    <col min="2809" max="2809" width="9.90625" style="3" customWidth="1"/>
    <col min="2810" max="2811" width="5.08984375" style="3" customWidth="1"/>
    <col min="2812" max="2812" width="9.6328125" style="3" customWidth="1"/>
    <col min="2813" max="2814" width="11.90625" style="3" customWidth="1"/>
    <col min="2815" max="2815" width="15.36328125" style="3" customWidth="1"/>
    <col min="2816" max="2816" width="10.90625" style="3" customWidth="1"/>
    <col min="2817" max="2827" width="13.36328125" style="3" customWidth="1"/>
    <col min="2828" max="2828" width="13.90625" style="3" customWidth="1"/>
    <col min="2829" max="2829" width="16.453125" style="3" customWidth="1"/>
    <col min="2830" max="3064" width="9" style="3"/>
    <col min="3065" max="3065" width="9.90625" style="3" customWidth="1"/>
    <col min="3066" max="3067" width="5.08984375" style="3" customWidth="1"/>
    <col min="3068" max="3068" width="9.6328125" style="3" customWidth="1"/>
    <col min="3069" max="3070" width="11.90625" style="3" customWidth="1"/>
    <col min="3071" max="3071" width="15.36328125" style="3" customWidth="1"/>
    <col min="3072" max="3072" width="10.90625" style="3" customWidth="1"/>
    <col min="3073" max="3083" width="13.36328125" style="3" customWidth="1"/>
    <col min="3084" max="3084" width="13.90625" style="3" customWidth="1"/>
    <col min="3085" max="3085" width="16.453125" style="3" customWidth="1"/>
    <col min="3086" max="3320" width="9" style="3"/>
    <col min="3321" max="3321" width="9.90625" style="3" customWidth="1"/>
    <col min="3322" max="3323" width="5.08984375" style="3" customWidth="1"/>
    <col min="3324" max="3324" width="9.6328125" style="3" customWidth="1"/>
    <col min="3325" max="3326" width="11.90625" style="3" customWidth="1"/>
    <col min="3327" max="3327" width="15.36328125" style="3" customWidth="1"/>
    <col min="3328" max="3328" width="10.90625" style="3" customWidth="1"/>
    <col min="3329" max="3339" width="13.36328125" style="3" customWidth="1"/>
    <col min="3340" max="3340" width="13.90625" style="3" customWidth="1"/>
    <col min="3341" max="3341" width="16.453125" style="3" customWidth="1"/>
    <col min="3342" max="3576" width="9" style="3"/>
    <col min="3577" max="3577" width="9.90625" style="3" customWidth="1"/>
    <col min="3578" max="3579" width="5.08984375" style="3" customWidth="1"/>
    <col min="3580" max="3580" width="9.6328125" style="3" customWidth="1"/>
    <col min="3581" max="3582" width="11.90625" style="3" customWidth="1"/>
    <col min="3583" max="3583" width="15.36328125" style="3" customWidth="1"/>
    <col min="3584" max="3584" width="10.90625" style="3" customWidth="1"/>
    <col min="3585" max="3595" width="13.36328125" style="3" customWidth="1"/>
    <col min="3596" max="3596" width="13.90625" style="3" customWidth="1"/>
    <col min="3597" max="3597" width="16.453125" style="3" customWidth="1"/>
    <col min="3598" max="3832" width="9" style="3"/>
    <col min="3833" max="3833" width="9.90625" style="3" customWidth="1"/>
    <col min="3834" max="3835" width="5.08984375" style="3" customWidth="1"/>
    <col min="3836" max="3836" width="9.6328125" style="3" customWidth="1"/>
    <col min="3837" max="3838" width="11.90625" style="3" customWidth="1"/>
    <col min="3839" max="3839" width="15.36328125" style="3" customWidth="1"/>
    <col min="3840" max="3840" width="10.90625" style="3" customWidth="1"/>
    <col min="3841" max="3851" width="13.36328125" style="3" customWidth="1"/>
    <col min="3852" max="3852" width="13.90625" style="3" customWidth="1"/>
    <col min="3853" max="3853" width="16.453125" style="3" customWidth="1"/>
    <col min="3854" max="4088" width="9" style="3"/>
    <col min="4089" max="4089" width="9.90625" style="3" customWidth="1"/>
    <col min="4090" max="4091" width="5.08984375" style="3" customWidth="1"/>
    <col min="4092" max="4092" width="9.6328125" style="3" customWidth="1"/>
    <col min="4093" max="4094" width="11.90625" style="3" customWidth="1"/>
    <col min="4095" max="4095" width="15.36328125" style="3" customWidth="1"/>
    <col min="4096" max="4096" width="10.90625" style="3" customWidth="1"/>
    <col min="4097" max="4107" width="13.36328125" style="3" customWidth="1"/>
    <col min="4108" max="4108" width="13.90625" style="3" customWidth="1"/>
    <col min="4109" max="4109" width="16.453125" style="3" customWidth="1"/>
    <col min="4110" max="4344" width="9" style="3"/>
    <col min="4345" max="4345" width="9.90625" style="3" customWidth="1"/>
    <col min="4346" max="4347" width="5.08984375" style="3" customWidth="1"/>
    <col min="4348" max="4348" width="9.6328125" style="3" customWidth="1"/>
    <col min="4349" max="4350" width="11.90625" style="3" customWidth="1"/>
    <col min="4351" max="4351" width="15.36328125" style="3" customWidth="1"/>
    <col min="4352" max="4352" width="10.90625" style="3" customWidth="1"/>
    <col min="4353" max="4363" width="13.36328125" style="3" customWidth="1"/>
    <col min="4364" max="4364" width="13.90625" style="3" customWidth="1"/>
    <col min="4365" max="4365" width="16.453125" style="3" customWidth="1"/>
    <col min="4366" max="4600" width="9" style="3"/>
    <col min="4601" max="4601" width="9.90625" style="3" customWidth="1"/>
    <col min="4602" max="4603" width="5.08984375" style="3" customWidth="1"/>
    <col min="4604" max="4604" width="9.6328125" style="3" customWidth="1"/>
    <col min="4605" max="4606" width="11.90625" style="3" customWidth="1"/>
    <col min="4607" max="4607" width="15.36328125" style="3" customWidth="1"/>
    <col min="4608" max="4608" width="10.90625" style="3" customWidth="1"/>
    <col min="4609" max="4619" width="13.36328125" style="3" customWidth="1"/>
    <col min="4620" max="4620" width="13.90625" style="3" customWidth="1"/>
    <col min="4621" max="4621" width="16.453125" style="3" customWidth="1"/>
    <col min="4622" max="4856" width="9" style="3"/>
    <col min="4857" max="4857" width="9.90625" style="3" customWidth="1"/>
    <col min="4858" max="4859" width="5.08984375" style="3" customWidth="1"/>
    <col min="4860" max="4860" width="9.6328125" style="3" customWidth="1"/>
    <col min="4861" max="4862" width="11.90625" style="3" customWidth="1"/>
    <col min="4863" max="4863" width="15.36328125" style="3" customWidth="1"/>
    <col min="4864" max="4864" width="10.90625" style="3" customWidth="1"/>
    <col min="4865" max="4875" width="13.36328125" style="3" customWidth="1"/>
    <col min="4876" max="4876" width="13.90625" style="3" customWidth="1"/>
    <col min="4877" max="4877" width="16.453125" style="3" customWidth="1"/>
    <col min="4878" max="5112" width="9" style="3"/>
    <col min="5113" max="5113" width="9.90625" style="3" customWidth="1"/>
    <col min="5114" max="5115" width="5.08984375" style="3" customWidth="1"/>
    <col min="5116" max="5116" width="9.6328125" style="3" customWidth="1"/>
    <col min="5117" max="5118" width="11.90625" style="3" customWidth="1"/>
    <col min="5119" max="5119" width="15.36328125" style="3" customWidth="1"/>
    <col min="5120" max="5120" width="10.90625" style="3" customWidth="1"/>
    <col min="5121" max="5131" width="13.36328125" style="3" customWidth="1"/>
    <col min="5132" max="5132" width="13.90625" style="3" customWidth="1"/>
    <col min="5133" max="5133" width="16.453125" style="3" customWidth="1"/>
    <col min="5134" max="5368" width="9" style="3"/>
    <col min="5369" max="5369" width="9.90625" style="3" customWidth="1"/>
    <col min="5370" max="5371" width="5.08984375" style="3" customWidth="1"/>
    <col min="5372" max="5372" width="9.6328125" style="3" customWidth="1"/>
    <col min="5373" max="5374" width="11.90625" style="3" customWidth="1"/>
    <col min="5375" max="5375" width="15.36328125" style="3" customWidth="1"/>
    <col min="5376" max="5376" width="10.90625" style="3" customWidth="1"/>
    <col min="5377" max="5387" width="13.36328125" style="3" customWidth="1"/>
    <col min="5388" max="5388" width="13.90625" style="3" customWidth="1"/>
    <col min="5389" max="5389" width="16.453125" style="3" customWidth="1"/>
    <col min="5390" max="5624" width="9" style="3"/>
    <col min="5625" max="5625" width="9.90625" style="3" customWidth="1"/>
    <col min="5626" max="5627" width="5.08984375" style="3" customWidth="1"/>
    <col min="5628" max="5628" width="9.6328125" style="3" customWidth="1"/>
    <col min="5629" max="5630" width="11.90625" style="3" customWidth="1"/>
    <col min="5631" max="5631" width="15.36328125" style="3" customWidth="1"/>
    <col min="5632" max="5632" width="10.90625" style="3" customWidth="1"/>
    <col min="5633" max="5643" width="13.36328125" style="3" customWidth="1"/>
    <col min="5644" max="5644" width="13.90625" style="3" customWidth="1"/>
    <col min="5645" max="5645" width="16.453125" style="3" customWidth="1"/>
    <col min="5646" max="5880" width="9" style="3"/>
    <col min="5881" max="5881" width="9.90625" style="3" customWidth="1"/>
    <col min="5882" max="5883" width="5.08984375" style="3" customWidth="1"/>
    <col min="5884" max="5884" width="9.6328125" style="3" customWidth="1"/>
    <col min="5885" max="5886" width="11.90625" style="3" customWidth="1"/>
    <col min="5887" max="5887" width="15.36328125" style="3" customWidth="1"/>
    <col min="5888" max="5888" width="10.90625" style="3" customWidth="1"/>
    <col min="5889" max="5899" width="13.36328125" style="3" customWidth="1"/>
    <col min="5900" max="5900" width="13.90625" style="3" customWidth="1"/>
    <col min="5901" max="5901" width="16.453125" style="3" customWidth="1"/>
    <col min="5902" max="6136" width="9" style="3"/>
    <col min="6137" max="6137" width="9.90625" style="3" customWidth="1"/>
    <col min="6138" max="6139" width="5.08984375" style="3" customWidth="1"/>
    <col min="6140" max="6140" width="9.6328125" style="3" customWidth="1"/>
    <col min="6141" max="6142" width="11.90625" style="3" customWidth="1"/>
    <col min="6143" max="6143" width="15.36328125" style="3" customWidth="1"/>
    <col min="6144" max="6144" width="10.90625" style="3" customWidth="1"/>
    <col min="6145" max="6155" width="13.36328125" style="3" customWidth="1"/>
    <col min="6156" max="6156" width="13.90625" style="3" customWidth="1"/>
    <col min="6157" max="6157" width="16.453125" style="3" customWidth="1"/>
    <col min="6158" max="6392" width="9" style="3"/>
    <col min="6393" max="6393" width="9.90625" style="3" customWidth="1"/>
    <col min="6394" max="6395" width="5.08984375" style="3" customWidth="1"/>
    <col min="6396" max="6396" width="9.6328125" style="3" customWidth="1"/>
    <col min="6397" max="6398" width="11.90625" style="3" customWidth="1"/>
    <col min="6399" max="6399" width="15.36328125" style="3" customWidth="1"/>
    <col min="6400" max="6400" width="10.90625" style="3" customWidth="1"/>
    <col min="6401" max="6411" width="13.36328125" style="3" customWidth="1"/>
    <col min="6412" max="6412" width="13.90625" style="3" customWidth="1"/>
    <col min="6413" max="6413" width="16.453125" style="3" customWidth="1"/>
    <col min="6414" max="6648" width="9" style="3"/>
    <col min="6649" max="6649" width="9.90625" style="3" customWidth="1"/>
    <col min="6650" max="6651" width="5.08984375" style="3" customWidth="1"/>
    <col min="6652" max="6652" width="9.6328125" style="3" customWidth="1"/>
    <col min="6653" max="6654" width="11.90625" style="3" customWidth="1"/>
    <col min="6655" max="6655" width="15.36328125" style="3" customWidth="1"/>
    <col min="6656" max="6656" width="10.90625" style="3" customWidth="1"/>
    <col min="6657" max="6667" width="13.36328125" style="3" customWidth="1"/>
    <col min="6668" max="6668" width="13.90625" style="3" customWidth="1"/>
    <col min="6669" max="6669" width="16.453125" style="3" customWidth="1"/>
    <col min="6670" max="6904" width="9" style="3"/>
    <col min="6905" max="6905" width="9.90625" style="3" customWidth="1"/>
    <col min="6906" max="6907" width="5.08984375" style="3" customWidth="1"/>
    <col min="6908" max="6908" width="9.6328125" style="3" customWidth="1"/>
    <col min="6909" max="6910" width="11.90625" style="3" customWidth="1"/>
    <col min="6911" max="6911" width="15.36328125" style="3" customWidth="1"/>
    <col min="6912" max="6912" width="10.90625" style="3" customWidth="1"/>
    <col min="6913" max="6923" width="13.36328125" style="3" customWidth="1"/>
    <col min="6924" max="6924" width="13.90625" style="3" customWidth="1"/>
    <col min="6925" max="6925" width="16.453125" style="3" customWidth="1"/>
    <col min="6926" max="7160" width="9" style="3"/>
    <col min="7161" max="7161" width="9.90625" style="3" customWidth="1"/>
    <col min="7162" max="7163" width="5.08984375" style="3" customWidth="1"/>
    <col min="7164" max="7164" width="9.6328125" style="3" customWidth="1"/>
    <col min="7165" max="7166" width="11.90625" style="3" customWidth="1"/>
    <col min="7167" max="7167" width="15.36328125" style="3" customWidth="1"/>
    <col min="7168" max="7168" width="10.90625" style="3" customWidth="1"/>
    <col min="7169" max="7179" width="13.36328125" style="3" customWidth="1"/>
    <col min="7180" max="7180" width="13.90625" style="3" customWidth="1"/>
    <col min="7181" max="7181" width="16.453125" style="3" customWidth="1"/>
    <col min="7182" max="7416" width="9" style="3"/>
    <col min="7417" max="7417" width="9.90625" style="3" customWidth="1"/>
    <col min="7418" max="7419" width="5.08984375" style="3" customWidth="1"/>
    <col min="7420" max="7420" width="9.6328125" style="3" customWidth="1"/>
    <col min="7421" max="7422" width="11.90625" style="3" customWidth="1"/>
    <col min="7423" max="7423" width="15.36328125" style="3" customWidth="1"/>
    <col min="7424" max="7424" width="10.90625" style="3" customWidth="1"/>
    <col min="7425" max="7435" width="13.36328125" style="3" customWidth="1"/>
    <col min="7436" max="7436" width="13.90625" style="3" customWidth="1"/>
    <col min="7437" max="7437" width="16.453125" style="3" customWidth="1"/>
    <col min="7438" max="7672" width="9" style="3"/>
    <col min="7673" max="7673" width="9.90625" style="3" customWidth="1"/>
    <col min="7674" max="7675" width="5.08984375" style="3" customWidth="1"/>
    <col min="7676" max="7676" width="9.6328125" style="3" customWidth="1"/>
    <col min="7677" max="7678" width="11.90625" style="3" customWidth="1"/>
    <col min="7679" max="7679" width="15.36328125" style="3" customWidth="1"/>
    <col min="7680" max="7680" width="10.90625" style="3" customWidth="1"/>
    <col min="7681" max="7691" width="13.36328125" style="3" customWidth="1"/>
    <col min="7692" max="7692" width="13.90625" style="3" customWidth="1"/>
    <col min="7693" max="7693" width="16.453125" style="3" customWidth="1"/>
    <col min="7694" max="7928" width="9" style="3"/>
    <col min="7929" max="7929" width="9.90625" style="3" customWidth="1"/>
    <col min="7930" max="7931" width="5.08984375" style="3" customWidth="1"/>
    <col min="7932" max="7932" width="9.6328125" style="3" customWidth="1"/>
    <col min="7933" max="7934" width="11.90625" style="3" customWidth="1"/>
    <col min="7935" max="7935" width="15.36328125" style="3" customWidth="1"/>
    <col min="7936" max="7936" width="10.90625" style="3" customWidth="1"/>
    <col min="7937" max="7947" width="13.36328125" style="3" customWidth="1"/>
    <col min="7948" max="7948" width="13.90625" style="3" customWidth="1"/>
    <col min="7949" max="7949" width="16.453125" style="3" customWidth="1"/>
    <col min="7950" max="8184" width="9" style="3"/>
    <col min="8185" max="8185" width="9.90625" style="3" customWidth="1"/>
    <col min="8186" max="8187" width="5.08984375" style="3" customWidth="1"/>
    <col min="8188" max="8188" width="9.6328125" style="3" customWidth="1"/>
    <col min="8189" max="8190" width="11.90625" style="3" customWidth="1"/>
    <col min="8191" max="8191" width="15.36328125" style="3" customWidth="1"/>
    <col min="8192" max="8192" width="10.90625" style="3" customWidth="1"/>
    <col min="8193" max="8203" width="13.36328125" style="3" customWidth="1"/>
    <col min="8204" max="8204" width="13.90625" style="3" customWidth="1"/>
    <col min="8205" max="8205" width="16.453125" style="3" customWidth="1"/>
    <col min="8206" max="8440" width="9" style="3"/>
    <col min="8441" max="8441" width="9.90625" style="3" customWidth="1"/>
    <col min="8442" max="8443" width="5.08984375" style="3" customWidth="1"/>
    <col min="8444" max="8444" width="9.6328125" style="3" customWidth="1"/>
    <col min="8445" max="8446" width="11.90625" style="3" customWidth="1"/>
    <col min="8447" max="8447" width="15.36328125" style="3" customWidth="1"/>
    <col min="8448" max="8448" width="10.90625" style="3" customWidth="1"/>
    <col min="8449" max="8459" width="13.36328125" style="3" customWidth="1"/>
    <col min="8460" max="8460" width="13.90625" style="3" customWidth="1"/>
    <col min="8461" max="8461" width="16.453125" style="3" customWidth="1"/>
    <col min="8462" max="8696" width="9" style="3"/>
    <col min="8697" max="8697" width="9.90625" style="3" customWidth="1"/>
    <col min="8698" max="8699" width="5.08984375" style="3" customWidth="1"/>
    <col min="8700" max="8700" width="9.6328125" style="3" customWidth="1"/>
    <col min="8701" max="8702" width="11.90625" style="3" customWidth="1"/>
    <col min="8703" max="8703" width="15.36328125" style="3" customWidth="1"/>
    <col min="8704" max="8704" width="10.90625" style="3" customWidth="1"/>
    <col min="8705" max="8715" width="13.36328125" style="3" customWidth="1"/>
    <col min="8716" max="8716" width="13.90625" style="3" customWidth="1"/>
    <col min="8717" max="8717" width="16.453125" style="3" customWidth="1"/>
    <col min="8718" max="8952" width="9" style="3"/>
    <col min="8953" max="8953" width="9.90625" style="3" customWidth="1"/>
    <col min="8954" max="8955" width="5.08984375" style="3" customWidth="1"/>
    <col min="8956" max="8956" width="9.6328125" style="3" customWidth="1"/>
    <col min="8957" max="8958" width="11.90625" style="3" customWidth="1"/>
    <col min="8959" max="8959" width="15.36328125" style="3" customWidth="1"/>
    <col min="8960" max="8960" width="10.90625" style="3" customWidth="1"/>
    <col min="8961" max="8971" width="13.36328125" style="3" customWidth="1"/>
    <col min="8972" max="8972" width="13.90625" style="3" customWidth="1"/>
    <col min="8973" max="8973" width="16.453125" style="3" customWidth="1"/>
    <col min="8974" max="9208" width="9" style="3"/>
    <col min="9209" max="9209" width="9.90625" style="3" customWidth="1"/>
    <col min="9210" max="9211" width="5.08984375" style="3" customWidth="1"/>
    <col min="9212" max="9212" width="9.6328125" style="3" customWidth="1"/>
    <col min="9213" max="9214" width="11.90625" style="3" customWidth="1"/>
    <col min="9215" max="9215" width="15.36328125" style="3" customWidth="1"/>
    <col min="9216" max="9216" width="10.90625" style="3" customWidth="1"/>
    <col min="9217" max="9227" width="13.36328125" style="3" customWidth="1"/>
    <col min="9228" max="9228" width="13.90625" style="3" customWidth="1"/>
    <col min="9229" max="9229" width="16.453125" style="3" customWidth="1"/>
    <col min="9230" max="9464" width="9" style="3"/>
    <col min="9465" max="9465" width="9.90625" style="3" customWidth="1"/>
    <col min="9466" max="9467" width="5.08984375" style="3" customWidth="1"/>
    <col min="9468" max="9468" width="9.6328125" style="3" customWidth="1"/>
    <col min="9469" max="9470" width="11.90625" style="3" customWidth="1"/>
    <col min="9471" max="9471" width="15.36328125" style="3" customWidth="1"/>
    <col min="9472" max="9472" width="10.90625" style="3" customWidth="1"/>
    <col min="9473" max="9483" width="13.36328125" style="3" customWidth="1"/>
    <col min="9484" max="9484" width="13.90625" style="3" customWidth="1"/>
    <col min="9485" max="9485" width="16.453125" style="3" customWidth="1"/>
    <col min="9486" max="9720" width="9" style="3"/>
    <col min="9721" max="9721" width="9.90625" style="3" customWidth="1"/>
    <col min="9722" max="9723" width="5.08984375" style="3" customWidth="1"/>
    <col min="9724" max="9724" width="9.6328125" style="3" customWidth="1"/>
    <col min="9725" max="9726" width="11.90625" style="3" customWidth="1"/>
    <col min="9727" max="9727" width="15.36328125" style="3" customWidth="1"/>
    <col min="9728" max="9728" width="10.90625" style="3" customWidth="1"/>
    <col min="9729" max="9739" width="13.36328125" style="3" customWidth="1"/>
    <col min="9740" max="9740" width="13.90625" style="3" customWidth="1"/>
    <col min="9741" max="9741" width="16.453125" style="3" customWidth="1"/>
    <col min="9742" max="9976" width="9" style="3"/>
    <col min="9977" max="9977" width="9.90625" style="3" customWidth="1"/>
    <col min="9978" max="9979" width="5.08984375" style="3" customWidth="1"/>
    <col min="9980" max="9980" width="9.6328125" style="3" customWidth="1"/>
    <col min="9981" max="9982" width="11.90625" style="3" customWidth="1"/>
    <col min="9983" max="9983" width="15.36328125" style="3" customWidth="1"/>
    <col min="9984" max="9984" width="10.90625" style="3" customWidth="1"/>
    <col min="9985" max="9995" width="13.36328125" style="3" customWidth="1"/>
    <col min="9996" max="9996" width="13.90625" style="3" customWidth="1"/>
    <col min="9997" max="9997" width="16.453125" style="3" customWidth="1"/>
    <col min="9998" max="10232" width="9" style="3"/>
    <col min="10233" max="10233" width="9.90625" style="3" customWidth="1"/>
    <col min="10234" max="10235" width="5.08984375" style="3" customWidth="1"/>
    <col min="10236" max="10236" width="9.6328125" style="3" customWidth="1"/>
    <col min="10237" max="10238" width="11.90625" style="3" customWidth="1"/>
    <col min="10239" max="10239" width="15.36328125" style="3" customWidth="1"/>
    <col min="10240" max="10240" width="10.90625" style="3" customWidth="1"/>
    <col min="10241" max="10251" width="13.36328125" style="3" customWidth="1"/>
    <col min="10252" max="10252" width="13.90625" style="3" customWidth="1"/>
    <col min="10253" max="10253" width="16.453125" style="3" customWidth="1"/>
    <col min="10254" max="10488" width="9" style="3"/>
    <col min="10489" max="10489" width="9.90625" style="3" customWidth="1"/>
    <col min="10490" max="10491" width="5.08984375" style="3" customWidth="1"/>
    <col min="10492" max="10492" width="9.6328125" style="3" customWidth="1"/>
    <col min="10493" max="10494" width="11.90625" style="3" customWidth="1"/>
    <col min="10495" max="10495" width="15.36328125" style="3" customWidth="1"/>
    <col min="10496" max="10496" width="10.90625" style="3" customWidth="1"/>
    <col min="10497" max="10507" width="13.36328125" style="3" customWidth="1"/>
    <col min="10508" max="10508" width="13.90625" style="3" customWidth="1"/>
    <col min="10509" max="10509" width="16.453125" style="3" customWidth="1"/>
    <col min="10510" max="10744" width="9" style="3"/>
    <col min="10745" max="10745" width="9.90625" style="3" customWidth="1"/>
    <col min="10746" max="10747" width="5.08984375" style="3" customWidth="1"/>
    <col min="10748" max="10748" width="9.6328125" style="3" customWidth="1"/>
    <col min="10749" max="10750" width="11.90625" style="3" customWidth="1"/>
    <col min="10751" max="10751" width="15.36328125" style="3" customWidth="1"/>
    <col min="10752" max="10752" width="10.90625" style="3" customWidth="1"/>
    <col min="10753" max="10763" width="13.36328125" style="3" customWidth="1"/>
    <col min="10764" max="10764" width="13.90625" style="3" customWidth="1"/>
    <col min="10765" max="10765" width="16.453125" style="3" customWidth="1"/>
    <col min="10766" max="11000" width="9" style="3"/>
    <col min="11001" max="11001" width="9.90625" style="3" customWidth="1"/>
    <col min="11002" max="11003" width="5.08984375" style="3" customWidth="1"/>
    <col min="11004" max="11004" width="9.6328125" style="3" customWidth="1"/>
    <col min="11005" max="11006" width="11.90625" style="3" customWidth="1"/>
    <col min="11007" max="11007" width="15.36328125" style="3" customWidth="1"/>
    <col min="11008" max="11008" width="10.90625" style="3" customWidth="1"/>
    <col min="11009" max="11019" width="13.36328125" style="3" customWidth="1"/>
    <col min="11020" max="11020" width="13.90625" style="3" customWidth="1"/>
    <col min="11021" max="11021" width="16.453125" style="3" customWidth="1"/>
    <col min="11022" max="11256" width="9" style="3"/>
    <col min="11257" max="11257" width="9.90625" style="3" customWidth="1"/>
    <col min="11258" max="11259" width="5.08984375" style="3" customWidth="1"/>
    <col min="11260" max="11260" width="9.6328125" style="3" customWidth="1"/>
    <col min="11261" max="11262" width="11.90625" style="3" customWidth="1"/>
    <col min="11263" max="11263" width="15.36328125" style="3" customWidth="1"/>
    <col min="11264" max="11264" width="10.90625" style="3" customWidth="1"/>
    <col min="11265" max="11275" width="13.36328125" style="3" customWidth="1"/>
    <col min="11276" max="11276" width="13.90625" style="3" customWidth="1"/>
    <col min="11277" max="11277" width="16.453125" style="3" customWidth="1"/>
    <col min="11278" max="11512" width="9" style="3"/>
    <col min="11513" max="11513" width="9.90625" style="3" customWidth="1"/>
    <col min="11514" max="11515" width="5.08984375" style="3" customWidth="1"/>
    <col min="11516" max="11516" width="9.6328125" style="3" customWidth="1"/>
    <col min="11517" max="11518" width="11.90625" style="3" customWidth="1"/>
    <col min="11519" max="11519" width="15.36328125" style="3" customWidth="1"/>
    <col min="11520" max="11520" width="10.90625" style="3" customWidth="1"/>
    <col min="11521" max="11531" width="13.36328125" style="3" customWidth="1"/>
    <col min="11532" max="11532" width="13.90625" style="3" customWidth="1"/>
    <col min="11533" max="11533" width="16.453125" style="3" customWidth="1"/>
    <col min="11534" max="11768" width="9" style="3"/>
    <col min="11769" max="11769" width="9.90625" style="3" customWidth="1"/>
    <col min="11770" max="11771" width="5.08984375" style="3" customWidth="1"/>
    <col min="11772" max="11772" width="9.6328125" style="3" customWidth="1"/>
    <col min="11773" max="11774" width="11.90625" style="3" customWidth="1"/>
    <col min="11775" max="11775" width="15.36328125" style="3" customWidth="1"/>
    <col min="11776" max="11776" width="10.90625" style="3" customWidth="1"/>
    <col min="11777" max="11787" width="13.36328125" style="3" customWidth="1"/>
    <col min="11788" max="11788" width="13.90625" style="3" customWidth="1"/>
    <col min="11789" max="11789" width="16.453125" style="3" customWidth="1"/>
    <col min="11790" max="12024" width="9" style="3"/>
    <col min="12025" max="12025" width="9.90625" style="3" customWidth="1"/>
    <col min="12026" max="12027" width="5.08984375" style="3" customWidth="1"/>
    <col min="12028" max="12028" width="9.6328125" style="3" customWidth="1"/>
    <col min="12029" max="12030" width="11.90625" style="3" customWidth="1"/>
    <col min="12031" max="12031" width="15.36328125" style="3" customWidth="1"/>
    <col min="12032" max="12032" width="10.90625" style="3" customWidth="1"/>
    <col min="12033" max="12043" width="13.36328125" style="3" customWidth="1"/>
    <col min="12044" max="12044" width="13.90625" style="3" customWidth="1"/>
    <col min="12045" max="12045" width="16.453125" style="3" customWidth="1"/>
    <col min="12046" max="12280" width="9" style="3"/>
    <col min="12281" max="12281" width="9.90625" style="3" customWidth="1"/>
    <col min="12282" max="12283" width="5.08984375" style="3" customWidth="1"/>
    <col min="12284" max="12284" width="9.6328125" style="3" customWidth="1"/>
    <col min="12285" max="12286" width="11.90625" style="3" customWidth="1"/>
    <col min="12287" max="12287" width="15.36328125" style="3" customWidth="1"/>
    <col min="12288" max="12288" width="10.90625" style="3" customWidth="1"/>
    <col min="12289" max="12299" width="13.36328125" style="3" customWidth="1"/>
    <col min="12300" max="12300" width="13.90625" style="3" customWidth="1"/>
    <col min="12301" max="12301" width="16.453125" style="3" customWidth="1"/>
    <col min="12302" max="12536" width="9" style="3"/>
    <col min="12537" max="12537" width="9.90625" style="3" customWidth="1"/>
    <col min="12538" max="12539" width="5.08984375" style="3" customWidth="1"/>
    <col min="12540" max="12540" width="9.6328125" style="3" customWidth="1"/>
    <col min="12541" max="12542" width="11.90625" style="3" customWidth="1"/>
    <col min="12543" max="12543" width="15.36328125" style="3" customWidth="1"/>
    <col min="12544" max="12544" width="10.90625" style="3" customWidth="1"/>
    <col min="12545" max="12555" width="13.36328125" style="3" customWidth="1"/>
    <col min="12556" max="12556" width="13.90625" style="3" customWidth="1"/>
    <col min="12557" max="12557" width="16.453125" style="3" customWidth="1"/>
    <col min="12558" max="12792" width="9" style="3"/>
    <col min="12793" max="12793" width="9.90625" style="3" customWidth="1"/>
    <col min="12794" max="12795" width="5.08984375" style="3" customWidth="1"/>
    <col min="12796" max="12796" width="9.6328125" style="3" customWidth="1"/>
    <col min="12797" max="12798" width="11.90625" style="3" customWidth="1"/>
    <col min="12799" max="12799" width="15.36328125" style="3" customWidth="1"/>
    <col min="12800" max="12800" width="10.90625" style="3" customWidth="1"/>
    <col min="12801" max="12811" width="13.36328125" style="3" customWidth="1"/>
    <col min="12812" max="12812" width="13.90625" style="3" customWidth="1"/>
    <col min="12813" max="12813" width="16.453125" style="3" customWidth="1"/>
    <col min="12814" max="13048" width="9" style="3"/>
    <col min="13049" max="13049" width="9.90625" style="3" customWidth="1"/>
    <col min="13050" max="13051" width="5.08984375" style="3" customWidth="1"/>
    <col min="13052" max="13052" width="9.6328125" style="3" customWidth="1"/>
    <col min="13053" max="13054" width="11.90625" style="3" customWidth="1"/>
    <col min="13055" max="13055" width="15.36328125" style="3" customWidth="1"/>
    <col min="13056" max="13056" width="10.90625" style="3" customWidth="1"/>
    <col min="13057" max="13067" width="13.36328125" style="3" customWidth="1"/>
    <col min="13068" max="13068" width="13.90625" style="3" customWidth="1"/>
    <col min="13069" max="13069" width="16.453125" style="3" customWidth="1"/>
    <col min="13070" max="13304" width="9" style="3"/>
    <col min="13305" max="13305" width="9.90625" style="3" customWidth="1"/>
    <col min="13306" max="13307" width="5.08984375" style="3" customWidth="1"/>
    <col min="13308" max="13308" width="9.6328125" style="3" customWidth="1"/>
    <col min="13309" max="13310" width="11.90625" style="3" customWidth="1"/>
    <col min="13311" max="13311" width="15.36328125" style="3" customWidth="1"/>
    <col min="13312" max="13312" width="10.90625" style="3" customWidth="1"/>
    <col min="13313" max="13323" width="13.36328125" style="3" customWidth="1"/>
    <col min="13324" max="13324" width="13.90625" style="3" customWidth="1"/>
    <col min="13325" max="13325" width="16.453125" style="3" customWidth="1"/>
    <col min="13326" max="13560" width="9" style="3"/>
    <col min="13561" max="13561" width="9.90625" style="3" customWidth="1"/>
    <col min="13562" max="13563" width="5.08984375" style="3" customWidth="1"/>
    <col min="13564" max="13564" width="9.6328125" style="3" customWidth="1"/>
    <col min="13565" max="13566" width="11.90625" style="3" customWidth="1"/>
    <col min="13567" max="13567" width="15.36328125" style="3" customWidth="1"/>
    <col min="13568" max="13568" width="10.90625" style="3" customWidth="1"/>
    <col min="13569" max="13579" width="13.36328125" style="3" customWidth="1"/>
    <col min="13580" max="13580" width="13.90625" style="3" customWidth="1"/>
    <col min="13581" max="13581" width="16.453125" style="3" customWidth="1"/>
    <col min="13582" max="13816" width="9" style="3"/>
    <col min="13817" max="13817" width="9.90625" style="3" customWidth="1"/>
    <col min="13818" max="13819" width="5.08984375" style="3" customWidth="1"/>
    <col min="13820" max="13820" width="9.6328125" style="3" customWidth="1"/>
    <col min="13821" max="13822" width="11.90625" style="3" customWidth="1"/>
    <col min="13823" max="13823" width="15.36328125" style="3" customWidth="1"/>
    <col min="13824" max="13824" width="10.90625" style="3" customWidth="1"/>
    <col min="13825" max="13835" width="13.36328125" style="3" customWidth="1"/>
    <col min="13836" max="13836" width="13.90625" style="3" customWidth="1"/>
    <col min="13837" max="13837" width="16.453125" style="3" customWidth="1"/>
    <col min="13838" max="14072" width="9" style="3"/>
    <col min="14073" max="14073" width="9.90625" style="3" customWidth="1"/>
    <col min="14074" max="14075" width="5.08984375" style="3" customWidth="1"/>
    <col min="14076" max="14076" width="9.6328125" style="3" customWidth="1"/>
    <col min="14077" max="14078" width="11.90625" style="3" customWidth="1"/>
    <col min="14079" max="14079" width="15.36328125" style="3" customWidth="1"/>
    <col min="14080" max="14080" width="10.90625" style="3" customWidth="1"/>
    <col min="14081" max="14091" width="13.36328125" style="3" customWidth="1"/>
    <col min="14092" max="14092" width="13.90625" style="3" customWidth="1"/>
    <col min="14093" max="14093" width="16.453125" style="3" customWidth="1"/>
    <col min="14094" max="14328" width="9" style="3"/>
    <col min="14329" max="14329" width="9.90625" style="3" customWidth="1"/>
    <col min="14330" max="14331" width="5.08984375" style="3" customWidth="1"/>
    <col min="14332" max="14332" width="9.6328125" style="3" customWidth="1"/>
    <col min="14333" max="14334" width="11.90625" style="3" customWidth="1"/>
    <col min="14335" max="14335" width="15.36328125" style="3" customWidth="1"/>
    <col min="14336" max="14336" width="10.90625" style="3" customWidth="1"/>
    <col min="14337" max="14347" width="13.36328125" style="3" customWidth="1"/>
    <col min="14348" max="14348" width="13.90625" style="3" customWidth="1"/>
    <col min="14349" max="14349" width="16.453125" style="3" customWidth="1"/>
    <col min="14350" max="14584" width="9" style="3"/>
    <col min="14585" max="14585" width="9.90625" style="3" customWidth="1"/>
    <col min="14586" max="14587" width="5.08984375" style="3" customWidth="1"/>
    <col min="14588" max="14588" width="9.6328125" style="3" customWidth="1"/>
    <col min="14589" max="14590" width="11.90625" style="3" customWidth="1"/>
    <col min="14591" max="14591" width="15.36328125" style="3" customWidth="1"/>
    <col min="14592" max="14592" width="10.90625" style="3" customWidth="1"/>
    <col min="14593" max="14603" width="13.36328125" style="3" customWidth="1"/>
    <col min="14604" max="14604" width="13.90625" style="3" customWidth="1"/>
    <col min="14605" max="14605" width="16.453125" style="3" customWidth="1"/>
    <col min="14606" max="14840" width="9" style="3"/>
    <col min="14841" max="14841" width="9.90625" style="3" customWidth="1"/>
    <col min="14842" max="14843" width="5.08984375" style="3" customWidth="1"/>
    <col min="14844" max="14844" width="9.6328125" style="3" customWidth="1"/>
    <col min="14845" max="14846" width="11.90625" style="3" customWidth="1"/>
    <col min="14847" max="14847" width="15.36328125" style="3" customWidth="1"/>
    <col min="14848" max="14848" width="10.90625" style="3" customWidth="1"/>
    <col min="14849" max="14859" width="13.36328125" style="3" customWidth="1"/>
    <col min="14860" max="14860" width="13.90625" style="3" customWidth="1"/>
    <col min="14861" max="14861" width="16.453125" style="3" customWidth="1"/>
    <col min="14862" max="15096" width="9" style="3"/>
    <col min="15097" max="15097" width="9.90625" style="3" customWidth="1"/>
    <col min="15098" max="15099" width="5.08984375" style="3" customWidth="1"/>
    <col min="15100" max="15100" width="9.6328125" style="3" customWidth="1"/>
    <col min="15101" max="15102" width="11.90625" style="3" customWidth="1"/>
    <col min="15103" max="15103" width="15.36328125" style="3" customWidth="1"/>
    <col min="15104" max="15104" width="10.90625" style="3" customWidth="1"/>
    <col min="15105" max="15115" width="13.36328125" style="3" customWidth="1"/>
    <col min="15116" max="15116" width="13.90625" style="3" customWidth="1"/>
    <col min="15117" max="15117" width="16.453125" style="3" customWidth="1"/>
    <col min="15118" max="15352" width="9" style="3"/>
    <col min="15353" max="15353" width="9.90625" style="3" customWidth="1"/>
    <col min="15354" max="15355" width="5.08984375" style="3" customWidth="1"/>
    <col min="15356" max="15356" width="9.6328125" style="3" customWidth="1"/>
    <col min="15357" max="15358" width="11.90625" style="3" customWidth="1"/>
    <col min="15359" max="15359" width="15.36328125" style="3" customWidth="1"/>
    <col min="15360" max="15360" width="10.90625" style="3" customWidth="1"/>
    <col min="15361" max="15371" width="13.36328125" style="3" customWidth="1"/>
    <col min="15372" max="15372" width="13.90625" style="3" customWidth="1"/>
    <col min="15373" max="15373" width="16.453125" style="3" customWidth="1"/>
    <col min="15374" max="15608" width="9" style="3"/>
    <col min="15609" max="15609" width="9.90625" style="3" customWidth="1"/>
    <col min="15610" max="15611" width="5.08984375" style="3" customWidth="1"/>
    <col min="15612" max="15612" width="9.6328125" style="3" customWidth="1"/>
    <col min="15613" max="15614" width="11.90625" style="3" customWidth="1"/>
    <col min="15615" max="15615" width="15.36328125" style="3" customWidth="1"/>
    <col min="15616" max="15616" width="10.90625" style="3" customWidth="1"/>
    <col min="15617" max="15627" width="13.36328125" style="3" customWidth="1"/>
    <col min="15628" max="15628" width="13.90625" style="3" customWidth="1"/>
    <col min="15629" max="15629" width="16.453125" style="3" customWidth="1"/>
    <col min="15630" max="15864" width="9" style="3"/>
    <col min="15865" max="15865" width="9.90625" style="3" customWidth="1"/>
    <col min="15866" max="15867" width="5.08984375" style="3" customWidth="1"/>
    <col min="15868" max="15868" width="9.6328125" style="3" customWidth="1"/>
    <col min="15869" max="15870" width="11.90625" style="3" customWidth="1"/>
    <col min="15871" max="15871" width="15.36328125" style="3" customWidth="1"/>
    <col min="15872" max="15872" width="10.90625" style="3" customWidth="1"/>
    <col min="15873" max="15883" width="13.36328125" style="3" customWidth="1"/>
    <col min="15884" max="15884" width="13.90625" style="3" customWidth="1"/>
    <col min="15885" max="15885" width="16.453125" style="3" customWidth="1"/>
    <col min="15886" max="16120" width="9" style="3"/>
    <col min="16121" max="16121" width="9.90625" style="3" customWidth="1"/>
    <col min="16122" max="16123" width="5.08984375" style="3" customWidth="1"/>
    <col min="16124" max="16124" width="9.6328125" style="3" customWidth="1"/>
    <col min="16125" max="16126" width="11.90625" style="3" customWidth="1"/>
    <col min="16127" max="16127" width="15.36328125" style="3" customWidth="1"/>
    <col min="16128" max="16128" width="10.90625" style="3" customWidth="1"/>
    <col min="16129" max="16139" width="13.36328125" style="3" customWidth="1"/>
    <col min="16140" max="16140" width="13.90625" style="3" customWidth="1"/>
    <col min="16141" max="16141" width="16.453125" style="3" customWidth="1"/>
    <col min="16142" max="16372" width="9" style="3"/>
    <col min="16373" max="16384" width="9" style="3" customWidth="1"/>
  </cols>
  <sheetData>
    <row r="1" spans="1:21" s="1" customFormat="1" ht="36">
      <c r="A1" s="338"/>
      <c r="B1" s="339"/>
      <c r="C1" s="339"/>
      <c r="D1" s="339"/>
      <c r="E1" s="339"/>
      <c r="F1" s="339"/>
      <c r="G1" s="340"/>
      <c r="H1" s="22" t="s">
        <v>7</v>
      </c>
      <c r="I1" s="2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156" t="s">
        <v>19</v>
      </c>
      <c r="U1" s="157" t="s">
        <v>20</v>
      </c>
    </row>
    <row r="2" spans="1:21" s="1" customFormat="1">
      <c r="A2" s="341" t="s">
        <v>48</v>
      </c>
      <c r="B2" s="342"/>
      <c r="C2" s="342"/>
      <c r="D2" s="342"/>
      <c r="E2" s="342"/>
      <c r="F2" s="342"/>
      <c r="G2" s="343"/>
      <c r="H2" s="25" t="s">
        <v>21</v>
      </c>
      <c r="I2" s="158">
        <f t="shared" ref="I2:U2" si="0">I5+I8+I11+I14+I17</f>
        <v>6902400</v>
      </c>
      <c r="J2" s="159">
        <f t="shared" si="0"/>
        <v>7842400</v>
      </c>
      <c r="K2" s="159">
        <f t="shared" si="0"/>
        <v>6902400</v>
      </c>
      <c r="L2" s="159">
        <f t="shared" si="0"/>
        <v>6902400</v>
      </c>
      <c r="M2" s="159">
        <f t="shared" si="0"/>
        <v>7302400</v>
      </c>
      <c r="N2" s="159">
        <f t="shared" si="0"/>
        <v>6902400</v>
      </c>
      <c r="O2" s="159">
        <f t="shared" si="0"/>
        <v>7102400</v>
      </c>
      <c r="P2" s="159">
        <f t="shared" si="0"/>
        <v>6902400</v>
      </c>
      <c r="Q2" s="159">
        <f t="shared" si="0"/>
        <v>7832400</v>
      </c>
      <c r="R2" s="159">
        <f t="shared" si="0"/>
        <v>6902400</v>
      </c>
      <c r="S2" s="159">
        <f t="shared" si="0"/>
        <v>6902400</v>
      </c>
      <c r="T2" s="205">
        <f t="shared" si="0"/>
        <v>6902400</v>
      </c>
      <c r="U2" s="206">
        <f t="shared" si="0"/>
        <v>85298800</v>
      </c>
    </row>
    <row r="3" spans="1:21" s="1" customFormat="1">
      <c r="A3" s="332"/>
      <c r="B3" s="333"/>
      <c r="C3" s="333"/>
      <c r="D3" s="333"/>
      <c r="E3" s="333"/>
      <c r="F3" s="333"/>
      <c r="G3" s="334"/>
      <c r="H3" s="6" t="s">
        <v>22</v>
      </c>
      <c r="I3" s="160">
        <f t="shared" ref="I3:U3" si="1">I6+I9+I12+I15+I18</f>
        <v>5662988</v>
      </c>
      <c r="J3" s="161">
        <f t="shared" si="1"/>
        <v>6003537</v>
      </c>
      <c r="K3" s="161">
        <f t="shared" si="1"/>
        <v>5658310</v>
      </c>
      <c r="L3" s="161">
        <f t="shared" si="1"/>
        <v>5827249</v>
      </c>
      <c r="M3" s="161">
        <f t="shared" si="1"/>
        <v>5672288</v>
      </c>
      <c r="N3" s="161">
        <f t="shared" si="1"/>
        <v>6028089</v>
      </c>
      <c r="O3" s="161">
        <f t="shared" si="1"/>
        <v>5387006</v>
      </c>
      <c r="P3" s="161">
        <f t="shared" si="1"/>
        <v>5242143</v>
      </c>
      <c r="Q3" s="161">
        <f t="shared" si="1"/>
        <v>5402609</v>
      </c>
      <c r="R3" s="161">
        <f t="shared" si="1"/>
        <v>5465551</v>
      </c>
      <c r="S3" s="161">
        <f t="shared" si="1"/>
        <v>6948030</v>
      </c>
      <c r="T3" s="207">
        <f t="shared" si="1"/>
        <v>5208065.666666666</v>
      </c>
      <c r="U3" s="208">
        <f t="shared" si="1"/>
        <v>68505865.666666657</v>
      </c>
    </row>
    <row r="4" spans="1:21" s="1" customFormat="1" ht="12.5" thickBot="1">
      <c r="A4" s="344"/>
      <c r="B4" s="345"/>
      <c r="C4" s="345"/>
      <c r="D4" s="345"/>
      <c r="E4" s="345"/>
      <c r="F4" s="345"/>
      <c r="G4" s="346"/>
      <c r="H4" s="26" t="s">
        <v>23</v>
      </c>
      <c r="I4" s="162">
        <f>I2-I3</f>
        <v>1239412</v>
      </c>
      <c r="J4" s="163">
        <f t="shared" ref="J4:S4" si="2">J2-J3</f>
        <v>1838863</v>
      </c>
      <c r="K4" s="163">
        <f t="shared" si="2"/>
        <v>1244090</v>
      </c>
      <c r="L4" s="163">
        <f t="shared" si="2"/>
        <v>1075151</v>
      </c>
      <c r="M4" s="163">
        <f t="shared" si="2"/>
        <v>1630112</v>
      </c>
      <c r="N4" s="163">
        <f t="shared" si="2"/>
        <v>874311</v>
      </c>
      <c r="O4" s="163">
        <f t="shared" si="2"/>
        <v>1715394</v>
      </c>
      <c r="P4" s="163">
        <f t="shared" si="2"/>
        <v>1660257</v>
      </c>
      <c r="Q4" s="163">
        <f t="shared" si="2"/>
        <v>2429791</v>
      </c>
      <c r="R4" s="163">
        <f t="shared" si="2"/>
        <v>1436849</v>
      </c>
      <c r="S4" s="163">
        <f t="shared" si="2"/>
        <v>-45630</v>
      </c>
      <c r="T4" s="209">
        <f t="shared" ref="T4" si="3">T2-T3</f>
        <v>1694334.333333334</v>
      </c>
      <c r="U4" s="210">
        <f>SUM(I4:T4)</f>
        <v>16792934.333333336</v>
      </c>
    </row>
    <row r="5" spans="1:21" s="1" customFormat="1" ht="12.75" customHeight="1" thickTop="1">
      <c r="A5" s="320" t="str">
        <f>'TV_Web会議（HGT)'!$C$2</f>
        <v>TV_Web会議(HGT)</v>
      </c>
      <c r="B5" s="321"/>
      <c r="C5" s="321"/>
      <c r="D5" s="321"/>
      <c r="E5" s="321"/>
      <c r="F5" s="321"/>
      <c r="G5" s="322"/>
      <c r="H5" s="309" t="s">
        <v>21</v>
      </c>
      <c r="I5" s="164">
        <f>'TV_Web会議（HGT)'!K2</f>
        <v>0</v>
      </c>
      <c r="J5" s="165">
        <f>'TV_Web会議（HGT)'!L2</f>
        <v>0</v>
      </c>
      <c r="K5" s="165">
        <f>'TV_Web会議（HGT)'!M2</f>
        <v>0</v>
      </c>
      <c r="L5" s="165">
        <f>'TV_Web会議（HGT)'!N2</f>
        <v>0</v>
      </c>
      <c r="M5" s="165">
        <f>'TV_Web会議（HGT)'!O2</f>
        <v>0</v>
      </c>
      <c r="N5" s="165">
        <f>'TV_Web会議（HGT)'!P2</f>
        <v>0</v>
      </c>
      <c r="O5" s="165">
        <f>'TV_Web会議（HGT)'!Q2</f>
        <v>0</v>
      </c>
      <c r="P5" s="165">
        <f>'TV_Web会議（HGT)'!R2</f>
        <v>0</v>
      </c>
      <c r="Q5" s="165">
        <f>'TV_Web会議（HGT)'!S2</f>
        <v>0</v>
      </c>
      <c r="R5" s="165">
        <f>'TV_Web会議（HGT)'!T2</f>
        <v>0</v>
      </c>
      <c r="S5" s="165">
        <f>'TV_Web会議（HGT)'!U2</f>
        <v>0</v>
      </c>
      <c r="T5" s="211">
        <f>'TV_Web会議（HGT)'!V2</f>
        <v>0</v>
      </c>
      <c r="U5" s="212">
        <f>SUM(I5:T5)</f>
        <v>0</v>
      </c>
    </row>
    <row r="6" spans="1:21" s="1" customFormat="1" ht="12" customHeight="1">
      <c r="A6" s="323"/>
      <c r="B6" s="324"/>
      <c r="C6" s="324"/>
      <c r="D6" s="324"/>
      <c r="E6" s="324"/>
      <c r="F6" s="324"/>
      <c r="G6" s="325"/>
      <c r="H6" s="291" t="s">
        <v>22</v>
      </c>
      <c r="I6" s="166">
        <f>'TV_Web会議（HGT)'!K3</f>
        <v>0</v>
      </c>
      <c r="J6" s="167">
        <f>'TV_Web会議（HGT)'!L3</f>
        <v>0</v>
      </c>
      <c r="K6" s="167">
        <f>'TV_Web会議（HGT)'!M3</f>
        <v>0</v>
      </c>
      <c r="L6" s="167">
        <f>'TV_Web会議（HGT)'!N3</f>
        <v>0</v>
      </c>
      <c r="M6" s="167">
        <f>'TV_Web会議（HGT)'!O3</f>
        <v>0</v>
      </c>
      <c r="N6" s="167">
        <f>'TV_Web会議（HGT)'!P3</f>
        <v>0</v>
      </c>
      <c r="O6" s="167">
        <f>'TV_Web会議（HGT)'!Q3</f>
        <v>0</v>
      </c>
      <c r="P6" s="167">
        <f>'TV_Web会議（HGT)'!R3</f>
        <v>0</v>
      </c>
      <c r="Q6" s="167">
        <f>'TV_Web会議（HGT)'!S3</f>
        <v>0</v>
      </c>
      <c r="R6" s="167">
        <f>'TV_Web会議（HGT)'!T3</f>
        <v>0</v>
      </c>
      <c r="S6" s="167">
        <f>'TV_Web会議（HGT)'!U3</f>
        <v>0</v>
      </c>
      <c r="T6" s="213">
        <f>'TV_Web会議（HGT)'!V3</f>
        <v>0</v>
      </c>
      <c r="U6" s="214">
        <f>SUM(I6:T6)</f>
        <v>0</v>
      </c>
    </row>
    <row r="7" spans="1:21" s="1" customFormat="1" ht="12.75" customHeight="1">
      <c r="A7" s="326"/>
      <c r="B7" s="327"/>
      <c r="C7" s="327"/>
      <c r="D7" s="327"/>
      <c r="E7" s="327"/>
      <c r="F7" s="327"/>
      <c r="G7" s="328"/>
      <c r="H7" s="310" t="s">
        <v>23</v>
      </c>
      <c r="I7" s="168">
        <f>I5-I6</f>
        <v>0</v>
      </c>
      <c r="J7" s="169">
        <f t="shared" ref="J7:T7" si="4">J5-J6</f>
        <v>0</v>
      </c>
      <c r="K7" s="169">
        <f t="shared" si="4"/>
        <v>0</v>
      </c>
      <c r="L7" s="169">
        <f t="shared" si="4"/>
        <v>0</v>
      </c>
      <c r="M7" s="169">
        <f t="shared" si="4"/>
        <v>0</v>
      </c>
      <c r="N7" s="169">
        <f t="shared" si="4"/>
        <v>0</v>
      </c>
      <c r="O7" s="169">
        <f t="shared" si="4"/>
        <v>0</v>
      </c>
      <c r="P7" s="169">
        <f t="shared" si="4"/>
        <v>0</v>
      </c>
      <c r="Q7" s="169">
        <f t="shared" si="4"/>
        <v>0</v>
      </c>
      <c r="R7" s="169">
        <f t="shared" si="4"/>
        <v>0</v>
      </c>
      <c r="S7" s="169">
        <f t="shared" si="4"/>
        <v>0</v>
      </c>
      <c r="T7" s="215">
        <f t="shared" si="4"/>
        <v>0</v>
      </c>
      <c r="U7" s="216">
        <f>U5-U6</f>
        <v>0</v>
      </c>
    </row>
    <row r="8" spans="1:21" s="1" customFormat="1">
      <c r="A8" s="320" t="str">
        <f>'OF（HGT)'!$C$2</f>
        <v>OF（HGT)</v>
      </c>
      <c r="B8" s="321"/>
      <c r="C8" s="321"/>
      <c r="D8" s="321"/>
      <c r="E8" s="321"/>
      <c r="F8" s="321"/>
      <c r="G8" s="322"/>
      <c r="H8" s="309" t="s">
        <v>21</v>
      </c>
      <c r="I8" s="164">
        <f>'OF（HGT)'!K2</f>
        <v>918000</v>
      </c>
      <c r="J8" s="165">
        <f>'OF（HGT)'!L2</f>
        <v>918000</v>
      </c>
      <c r="K8" s="165">
        <f>'OF（HGT)'!M2</f>
        <v>918000</v>
      </c>
      <c r="L8" s="165">
        <f>'OF（HGT)'!N2</f>
        <v>918000</v>
      </c>
      <c r="M8" s="165">
        <f>'OF（HGT)'!O2</f>
        <v>918000</v>
      </c>
      <c r="N8" s="165">
        <f>'OF（HGT)'!P2</f>
        <v>918000</v>
      </c>
      <c r="O8" s="165">
        <f>'OF（HGT)'!Q2</f>
        <v>918000</v>
      </c>
      <c r="P8" s="165">
        <f>'OF（HGT)'!R2</f>
        <v>918000</v>
      </c>
      <c r="Q8" s="165">
        <f>'OF（HGT)'!S2</f>
        <v>918000</v>
      </c>
      <c r="R8" s="165">
        <f>'OF（HGT)'!T2</f>
        <v>918000</v>
      </c>
      <c r="S8" s="165">
        <f>'OF（HGT)'!U2</f>
        <v>918000</v>
      </c>
      <c r="T8" s="211">
        <f>'OF（HGT)'!V2</f>
        <v>918000</v>
      </c>
      <c r="U8" s="212">
        <f>SUM(I8:T8)</f>
        <v>11016000</v>
      </c>
    </row>
    <row r="9" spans="1:21" s="1" customFormat="1">
      <c r="A9" s="323"/>
      <c r="B9" s="324"/>
      <c r="C9" s="324"/>
      <c r="D9" s="324"/>
      <c r="E9" s="324"/>
      <c r="F9" s="324"/>
      <c r="G9" s="325"/>
      <c r="H9" s="291" t="s">
        <v>22</v>
      </c>
      <c r="I9" s="166">
        <f>'OF（HGT)'!K3</f>
        <v>747037</v>
      </c>
      <c r="J9" s="167">
        <f>'OF（HGT)'!L3</f>
        <v>758768</v>
      </c>
      <c r="K9" s="167">
        <f>'OF（HGT)'!M3</f>
        <v>765312</v>
      </c>
      <c r="L9" s="167">
        <f>'OF（HGT)'!N3</f>
        <v>768881</v>
      </c>
      <c r="M9" s="167">
        <f>'OF（HGT)'!O3</f>
        <v>752412</v>
      </c>
      <c r="N9" s="167">
        <f>'OF（HGT)'!P3</f>
        <v>774698</v>
      </c>
      <c r="O9" s="167">
        <f>'OF（HGT)'!Q3</f>
        <v>792321</v>
      </c>
      <c r="P9" s="167">
        <f>'OF（HGT)'!R3</f>
        <v>755372</v>
      </c>
      <c r="Q9" s="167">
        <f>'OF（HGT)'!S3</f>
        <v>761713</v>
      </c>
      <c r="R9" s="167">
        <f>'OF（HGT)'!T3</f>
        <v>755372</v>
      </c>
      <c r="S9" s="167">
        <f>'OF（HGT)'!U3</f>
        <v>755738</v>
      </c>
      <c r="T9" s="213">
        <f>'OF（HGT)'!V3</f>
        <v>741758.88888888899</v>
      </c>
      <c r="U9" s="214">
        <f>SUM(I9:T9)</f>
        <v>9129382.8888888881</v>
      </c>
    </row>
    <row r="10" spans="1:21" s="1" customFormat="1">
      <c r="A10" s="326"/>
      <c r="B10" s="327"/>
      <c r="C10" s="327"/>
      <c r="D10" s="327"/>
      <c r="E10" s="327"/>
      <c r="F10" s="327"/>
      <c r="G10" s="328"/>
      <c r="H10" s="310" t="s">
        <v>23</v>
      </c>
      <c r="I10" s="168">
        <f>I8-I9</f>
        <v>170963</v>
      </c>
      <c r="J10" s="169">
        <f t="shared" ref="J10:T10" si="5">J8-J9</f>
        <v>159232</v>
      </c>
      <c r="K10" s="169">
        <f t="shared" si="5"/>
        <v>152688</v>
      </c>
      <c r="L10" s="169">
        <f t="shared" si="5"/>
        <v>149119</v>
      </c>
      <c r="M10" s="169">
        <f t="shared" si="5"/>
        <v>165588</v>
      </c>
      <c r="N10" s="169">
        <f t="shared" si="5"/>
        <v>143302</v>
      </c>
      <c r="O10" s="169">
        <f t="shared" si="5"/>
        <v>125679</v>
      </c>
      <c r="P10" s="169">
        <f t="shared" si="5"/>
        <v>162628</v>
      </c>
      <c r="Q10" s="169">
        <f t="shared" si="5"/>
        <v>156287</v>
      </c>
      <c r="R10" s="169">
        <f t="shared" si="5"/>
        <v>162628</v>
      </c>
      <c r="S10" s="169">
        <f t="shared" si="5"/>
        <v>162262</v>
      </c>
      <c r="T10" s="215">
        <f t="shared" si="5"/>
        <v>176241.11111111101</v>
      </c>
      <c r="U10" s="216">
        <f>U8-U9</f>
        <v>1886617.1111111119</v>
      </c>
    </row>
    <row r="11" spans="1:21" s="1" customFormat="1">
      <c r="A11" s="320" t="str">
        <f>'DC（さくら) '!$C$2</f>
        <v>DC(さくら）</v>
      </c>
      <c r="B11" s="321"/>
      <c r="C11" s="321"/>
      <c r="D11" s="321"/>
      <c r="E11" s="321"/>
      <c r="F11" s="321"/>
      <c r="G11" s="322"/>
      <c r="H11" s="309" t="s">
        <v>21</v>
      </c>
      <c r="I11" s="164">
        <f>'DC（さくら) '!K2</f>
        <v>4350000</v>
      </c>
      <c r="J11" s="165">
        <f>'DC（さくら) '!L2</f>
        <v>4350000</v>
      </c>
      <c r="K11" s="165">
        <f>'DC（さくら) '!M2</f>
        <v>4350000</v>
      </c>
      <c r="L11" s="165">
        <f>'DC（さくら) '!N2</f>
        <v>4350000</v>
      </c>
      <c r="M11" s="165">
        <f>'DC（さくら) '!O2</f>
        <v>4350000</v>
      </c>
      <c r="N11" s="165">
        <f>'DC（さくら) '!P2</f>
        <v>4350000</v>
      </c>
      <c r="O11" s="165">
        <f>'DC（さくら) '!Q2</f>
        <v>4350000</v>
      </c>
      <c r="P11" s="165">
        <f>'DC（さくら) '!R2</f>
        <v>4350000</v>
      </c>
      <c r="Q11" s="165">
        <f>'DC（さくら) '!S2</f>
        <v>4350000</v>
      </c>
      <c r="R11" s="165">
        <f>'DC（さくら) '!T2</f>
        <v>4350000</v>
      </c>
      <c r="S11" s="165">
        <f>'DC（さくら) '!U2</f>
        <v>4350000</v>
      </c>
      <c r="T11" s="211">
        <f>'DC（さくら) '!V2</f>
        <v>4350000</v>
      </c>
      <c r="U11" s="212">
        <f>SUM(I11:T11)</f>
        <v>52200000</v>
      </c>
    </row>
    <row r="12" spans="1:21" s="1" customFormat="1">
      <c r="A12" s="323"/>
      <c r="B12" s="324"/>
      <c r="C12" s="324"/>
      <c r="D12" s="324"/>
      <c r="E12" s="324"/>
      <c r="F12" s="324"/>
      <c r="G12" s="325"/>
      <c r="H12" s="291" t="s">
        <v>22</v>
      </c>
      <c r="I12" s="166">
        <f>'DC（さくら) '!K3</f>
        <v>3546531</v>
      </c>
      <c r="J12" s="167">
        <f>'DC（さくら) '!L3</f>
        <v>3689099</v>
      </c>
      <c r="K12" s="167">
        <f>'DC（さくら) '!M3</f>
        <v>3528578</v>
      </c>
      <c r="L12" s="167">
        <f>'DC（さくら) '!N3</f>
        <v>3687404</v>
      </c>
      <c r="M12" s="167">
        <f>'DC（さくら) '!O3</f>
        <v>3504175</v>
      </c>
      <c r="N12" s="167">
        <f>'DC（さくら) '!P3</f>
        <v>3701272</v>
      </c>
      <c r="O12" s="167">
        <f>'DC（さくら) '!Q3</f>
        <v>3164984</v>
      </c>
      <c r="P12" s="167">
        <f>'DC（さくら) '!R3</f>
        <v>3113280</v>
      </c>
      <c r="Q12" s="167">
        <f>'DC（さくら) '!S3</f>
        <v>3262353</v>
      </c>
      <c r="R12" s="167">
        <f>'DC（さくら) '!T3</f>
        <v>3120166</v>
      </c>
      <c r="S12" s="167">
        <f>'DC（さくら) '!U3</f>
        <v>4684018</v>
      </c>
      <c r="T12" s="213">
        <f>'DC（さくら) '!V3</f>
        <v>3123396.7777777775</v>
      </c>
      <c r="U12" s="214">
        <f>SUM(I12:T12)</f>
        <v>42125256.777777776</v>
      </c>
    </row>
    <row r="13" spans="1:21" s="1" customFormat="1">
      <c r="A13" s="323"/>
      <c r="B13" s="324"/>
      <c r="C13" s="324"/>
      <c r="D13" s="324"/>
      <c r="E13" s="324"/>
      <c r="F13" s="324"/>
      <c r="G13" s="325"/>
      <c r="H13" s="311" t="s">
        <v>23</v>
      </c>
      <c r="I13" s="170">
        <f>I11-I12</f>
        <v>803469</v>
      </c>
      <c r="J13" s="171">
        <f t="shared" ref="J13:T13" si="6">J11-J12</f>
        <v>660901</v>
      </c>
      <c r="K13" s="171">
        <f t="shared" si="6"/>
        <v>821422</v>
      </c>
      <c r="L13" s="171">
        <f t="shared" si="6"/>
        <v>662596</v>
      </c>
      <c r="M13" s="171">
        <f t="shared" si="6"/>
        <v>845825</v>
      </c>
      <c r="N13" s="171">
        <f t="shared" si="6"/>
        <v>648728</v>
      </c>
      <c r="O13" s="171">
        <f t="shared" si="6"/>
        <v>1185016</v>
      </c>
      <c r="P13" s="171">
        <f t="shared" si="6"/>
        <v>1236720</v>
      </c>
      <c r="Q13" s="171">
        <f t="shared" si="6"/>
        <v>1087647</v>
      </c>
      <c r="R13" s="171">
        <f t="shared" si="6"/>
        <v>1229834</v>
      </c>
      <c r="S13" s="171">
        <f t="shared" si="6"/>
        <v>-334018</v>
      </c>
      <c r="T13" s="217">
        <f t="shared" si="6"/>
        <v>1226603.2222222225</v>
      </c>
      <c r="U13" s="218">
        <f>U11-U12</f>
        <v>10074743.222222224</v>
      </c>
    </row>
    <row r="14" spans="1:21" s="1" customFormat="1">
      <c r="A14" s="320" t="str">
        <f>'NWサポート（HGT)'!$C$2</f>
        <v>NWサポート（HGT)</v>
      </c>
      <c r="B14" s="321"/>
      <c r="C14" s="321"/>
      <c r="D14" s="321"/>
      <c r="E14" s="321"/>
      <c r="F14" s="321"/>
      <c r="G14" s="322"/>
      <c r="H14" s="309" t="s">
        <v>21</v>
      </c>
      <c r="I14" s="164">
        <f>'NWサポート（HGT)'!K2</f>
        <v>1584000</v>
      </c>
      <c r="J14" s="165">
        <f>'NWサポート（HGT)'!L2</f>
        <v>1584000</v>
      </c>
      <c r="K14" s="165">
        <f>'NWサポート（HGT)'!M2</f>
        <v>1584000</v>
      </c>
      <c r="L14" s="165">
        <f>'NWサポート（HGT)'!N2</f>
        <v>1584000</v>
      </c>
      <c r="M14" s="165">
        <f>'NWサポート（HGT)'!O2</f>
        <v>1584000</v>
      </c>
      <c r="N14" s="165">
        <f>'NWサポート（HGT)'!P2</f>
        <v>1584000</v>
      </c>
      <c r="O14" s="165">
        <f>'NWサポート（HGT)'!Q2</f>
        <v>1584000</v>
      </c>
      <c r="P14" s="165">
        <f>'NWサポート（HGT)'!R2</f>
        <v>1584000</v>
      </c>
      <c r="Q14" s="165">
        <f>'NWサポート（HGT)'!S2</f>
        <v>1584000</v>
      </c>
      <c r="R14" s="165">
        <f>'NWサポート（HGT)'!T2</f>
        <v>1584000</v>
      </c>
      <c r="S14" s="165">
        <f>'NWサポート（HGT)'!U2</f>
        <v>1584000</v>
      </c>
      <c r="T14" s="211">
        <f>'NWサポート（HGT)'!V2</f>
        <v>1584000</v>
      </c>
      <c r="U14" s="212">
        <f>SUM(I14:T14)</f>
        <v>19008000</v>
      </c>
    </row>
    <row r="15" spans="1:21" s="1" customFormat="1">
      <c r="A15" s="323"/>
      <c r="B15" s="324"/>
      <c r="C15" s="324"/>
      <c r="D15" s="324"/>
      <c r="E15" s="324"/>
      <c r="F15" s="324"/>
      <c r="G15" s="325"/>
      <c r="H15" s="291" t="s">
        <v>22</v>
      </c>
      <c r="I15" s="166">
        <f>'NWサポート（HGT)'!K3</f>
        <v>1369420</v>
      </c>
      <c r="J15" s="167">
        <f>'NWサポート（HGT)'!L3</f>
        <v>1375670</v>
      </c>
      <c r="K15" s="167">
        <f>'NWサポート（HGT)'!M3</f>
        <v>1364420</v>
      </c>
      <c r="L15" s="167">
        <f>'NWサポート（HGT)'!N3</f>
        <v>1370964</v>
      </c>
      <c r="M15" s="167">
        <f>'NWサポート（HGT)'!O3</f>
        <v>1345701</v>
      </c>
      <c r="N15" s="167">
        <f>'NWサポート（HGT)'!P3</f>
        <v>1412119</v>
      </c>
      <c r="O15" s="167">
        <f>'NWサポート（HGT)'!Q3</f>
        <v>1369701</v>
      </c>
      <c r="P15" s="167">
        <f>'NWサポート（HGT)'!R3</f>
        <v>1373491</v>
      </c>
      <c r="Q15" s="167">
        <f>'NWサポート（HGT)'!S3</f>
        <v>1378543</v>
      </c>
      <c r="R15" s="167">
        <f>'NWサポート（HGT)'!T3</f>
        <v>1380013</v>
      </c>
      <c r="S15" s="167">
        <f>'NWサポート（HGT)'!U3</f>
        <v>1368274</v>
      </c>
      <c r="T15" s="213">
        <f>'NWサポート（HGT)'!V3</f>
        <v>1342910</v>
      </c>
      <c r="U15" s="214">
        <f>SUM(I15:T15)</f>
        <v>16451226</v>
      </c>
    </row>
    <row r="16" spans="1:21" s="1" customFormat="1">
      <c r="A16" s="326"/>
      <c r="B16" s="327"/>
      <c r="C16" s="327"/>
      <c r="D16" s="327"/>
      <c r="E16" s="327"/>
      <c r="F16" s="327"/>
      <c r="G16" s="328"/>
      <c r="H16" s="310" t="s">
        <v>23</v>
      </c>
      <c r="I16" s="168">
        <f>I14-I15</f>
        <v>214580</v>
      </c>
      <c r="J16" s="169">
        <f t="shared" ref="J16:T16" si="7">J14-J15</f>
        <v>208330</v>
      </c>
      <c r="K16" s="169">
        <f t="shared" si="7"/>
        <v>219580</v>
      </c>
      <c r="L16" s="169">
        <f t="shared" si="7"/>
        <v>213036</v>
      </c>
      <c r="M16" s="169">
        <f t="shared" si="7"/>
        <v>238299</v>
      </c>
      <c r="N16" s="169">
        <f t="shared" si="7"/>
        <v>171881</v>
      </c>
      <c r="O16" s="169">
        <f t="shared" si="7"/>
        <v>214299</v>
      </c>
      <c r="P16" s="169">
        <f t="shared" si="7"/>
        <v>210509</v>
      </c>
      <c r="Q16" s="169">
        <f t="shared" si="7"/>
        <v>205457</v>
      </c>
      <c r="R16" s="169">
        <f t="shared" si="7"/>
        <v>203987</v>
      </c>
      <c r="S16" s="169">
        <f t="shared" si="7"/>
        <v>215726</v>
      </c>
      <c r="T16" s="215">
        <f t="shared" si="7"/>
        <v>241090</v>
      </c>
      <c r="U16" s="216">
        <f>U14-U15</f>
        <v>2556774</v>
      </c>
    </row>
    <row r="17" spans="1:21" s="1" customFormat="1">
      <c r="A17" s="320" t="str">
        <f>スポット_定常外!$C$2</f>
        <v>スポット/定常外</v>
      </c>
      <c r="B17" s="321"/>
      <c r="C17" s="321"/>
      <c r="D17" s="321"/>
      <c r="E17" s="321"/>
      <c r="F17" s="321"/>
      <c r="G17" s="322"/>
      <c r="H17" s="309" t="s">
        <v>21</v>
      </c>
      <c r="I17" s="164">
        <f>スポット_定常外!K2</f>
        <v>50400</v>
      </c>
      <c r="J17" s="165">
        <f>スポット_定常外!L2</f>
        <v>990400</v>
      </c>
      <c r="K17" s="165">
        <f>スポット_定常外!M2</f>
        <v>50400</v>
      </c>
      <c r="L17" s="165">
        <f>スポット_定常外!N2</f>
        <v>50400</v>
      </c>
      <c r="M17" s="165">
        <f>スポット_定常外!O2</f>
        <v>450400</v>
      </c>
      <c r="N17" s="165">
        <f>スポット_定常外!P2</f>
        <v>50400</v>
      </c>
      <c r="O17" s="165">
        <f>スポット_定常外!Q2</f>
        <v>250400</v>
      </c>
      <c r="P17" s="165">
        <f>スポット_定常外!R2</f>
        <v>50400</v>
      </c>
      <c r="Q17" s="165">
        <f>スポット_定常外!S2</f>
        <v>980400</v>
      </c>
      <c r="R17" s="165">
        <f>スポット_定常外!T2</f>
        <v>50400</v>
      </c>
      <c r="S17" s="165">
        <f>スポット_定常外!U2</f>
        <v>50400</v>
      </c>
      <c r="T17" s="211">
        <f>スポット_定常外!V2</f>
        <v>50400</v>
      </c>
      <c r="U17" s="212">
        <f>SUM(I17:T17)</f>
        <v>3074800</v>
      </c>
    </row>
    <row r="18" spans="1:21" s="1" customFormat="1">
      <c r="A18" s="323"/>
      <c r="B18" s="324"/>
      <c r="C18" s="324"/>
      <c r="D18" s="324"/>
      <c r="E18" s="324"/>
      <c r="F18" s="324"/>
      <c r="G18" s="325"/>
      <c r="H18" s="291" t="s">
        <v>22</v>
      </c>
      <c r="I18" s="166">
        <f>スポット_定常外!K3</f>
        <v>0</v>
      </c>
      <c r="J18" s="167">
        <f>スポット_定常外!L3</f>
        <v>180000</v>
      </c>
      <c r="K18" s="167">
        <f>スポット_定常外!M3</f>
        <v>0</v>
      </c>
      <c r="L18" s="167">
        <f>スポット_定常外!N3</f>
        <v>0</v>
      </c>
      <c r="M18" s="167">
        <f>スポット_定常外!O3</f>
        <v>70000</v>
      </c>
      <c r="N18" s="167">
        <f>スポット_定常外!P3</f>
        <v>140000</v>
      </c>
      <c r="O18" s="167">
        <f>スポット_定常外!Q3</f>
        <v>60000</v>
      </c>
      <c r="P18" s="167">
        <f>スポット_定常外!R3</f>
        <v>0</v>
      </c>
      <c r="Q18" s="167">
        <f>スポット_定常外!S3</f>
        <v>0</v>
      </c>
      <c r="R18" s="167">
        <f>スポット_定常外!T3</f>
        <v>210000</v>
      </c>
      <c r="S18" s="167">
        <f>スポット_定常外!U3</f>
        <v>140000</v>
      </c>
      <c r="T18" s="213">
        <f>スポット_定常外!V3</f>
        <v>0</v>
      </c>
      <c r="U18" s="214">
        <f>SUM(I18:T18)</f>
        <v>800000</v>
      </c>
    </row>
    <row r="19" spans="1:21" s="1" customFormat="1" ht="12.5" thickBot="1">
      <c r="A19" s="329"/>
      <c r="B19" s="330"/>
      <c r="C19" s="330"/>
      <c r="D19" s="330"/>
      <c r="E19" s="330"/>
      <c r="F19" s="330"/>
      <c r="G19" s="331"/>
      <c r="H19" s="312" t="s">
        <v>23</v>
      </c>
      <c r="I19" s="172">
        <f>I17-I18</f>
        <v>50400</v>
      </c>
      <c r="J19" s="173">
        <f t="shared" ref="J19:T19" si="8">J17-J18</f>
        <v>810400</v>
      </c>
      <c r="K19" s="173">
        <f t="shared" si="8"/>
        <v>50400</v>
      </c>
      <c r="L19" s="173">
        <f t="shared" si="8"/>
        <v>50400</v>
      </c>
      <c r="M19" s="173">
        <f t="shared" si="8"/>
        <v>380400</v>
      </c>
      <c r="N19" s="173">
        <f t="shared" si="8"/>
        <v>-89600</v>
      </c>
      <c r="O19" s="173">
        <f t="shared" si="8"/>
        <v>190400</v>
      </c>
      <c r="P19" s="173">
        <f t="shared" si="8"/>
        <v>50400</v>
      </c>
      <c r="Q19" s="173">
        <f t="shared" si="8"/>
        <v>980400</v>
      </c>
      <c r="R19" s="173">
        <f t="shared" si="8"/>
        <v>-159600</v>
      </c>
      <c r="S19" s="173">
        <f t="shared" si="8"/>
        <v>-89600</v>
      </c>
      <c r="T19" s="219">
        <f t="shared" si="8"/>
        <v>50400</v>
      </c>
      <c r="U19" s="220">
        <f>U17-U18</f>
        <v>2274800</v>
      </c>
    </row>
    <row r="20" spans="1:21" s="1" customFormat="1" ht="12.75" customHeight="1" thickTop="1">
      <c r="A20" s="332" t="s">
        <v>32</v>
      </c>
      <c r="B20" s="333"/>
      <c r="C20" s="333"/>
      <c r="D20" s="333"/>
      <c r="E20" s="333"/>
      <c r="F20" s="333"/>
      <c r="G20" s="334"/>
      <c r="H20" s="313" t="s">
        <v>21</v>
      </c>
      <c r="I20" s="174">
        <f t="shared" ref="I20:T20" si="9">I2</f>
        <v>6902400</v>
      </c>
      <c r="J20" s="175">
        <f t="shared" si="9"/>
        <v>7842400</v>
      </c>
      <c r="K20" s="175">
        <f t="shared" si="9"/>
        <v>6902400</v>
      </c>
      <c r="L20" s="175">
        <f t="shared" si="9"/>
        <v>6902400</v>
      </c>
      <c r="M20" s="175">
        <f t="shared" si="9"/>
        <v>7302400</v>
      </c>
      <c r="N20" s="175">
        <f t="shared" si="9"/>
        <v>6902400</v>
      </c>
      <c r="O20" s="175">
        <f t="shared" si="9"/>
        <v>7102400</v>
      </c>
      <c r="P20" s="175">
        <f t="shared" si="9"/>
        <v>6902400</v>
      </c>
      <c r="Q20" s="175">
        <f t="shared" si="9"/>
        <v>7832400</v>
      </c>
      <c r="R20" s="175">
        <f t="shared" si="9"/>
        <v>6902400</v>
      </c>
      <c r="S20" s="175">
        <f t="shared" si="9"/>
        <v>6902400</v>
      </c>
      <c r="T20" s="221">
        <f t="shared" si="9"/>
        <v>6902400</v>
      </c>
      <c r="U20" s="222">
        <f>SUM(I20:T20)</f>
        <v>85298800</v>
      </c>
    </row>
    <row r="21" spans="1:21" s="1" customFormat="1" ht="12" customHeight="1">
      <c r="A21" s="332"/>
      <c r="B21" s="333"/>
      <c r="C21" s="333"/>
      <c r="D21" s="333"/>
      <c r="E21" s="333"/>
      <c r="F21" s="333"/>
      <c r="G21" s="334"/>
      <c r="H21" s="314" t="s">
        <v>22</v>
      </c>
      <c r="I21" s="176">
        <f t="shared" ref="I21:T21" si="10">I3</f>
        <v>5662988</v>
      </c>
      <c r="J21" s="177">
        <f t="shared" si="10"/>
        <v>6003537</v>
      </c>
      <c r="K21" s="177">
        <f t="shared" si="10"/>
        <v>5658310</v>
      </c>
      <c r="L21" s="177">
        <f t="shared" si="10"/>
        <v>5827249</v>
      </c>
      <c r="M21" s="177">
        <f t="shared" si="10"/>
        <v>5672288</v>
      </c>
      <c r="N21" s="177">
        <f t="shared" si="10"/>
        <v>6028089</v>
      </c>
      <c r="O21" s="177">
        <f t="shared" si="10"/>
        <v>5387006</v>
      </c>
      <c r="P21" s="177">
        <f t="shared" si="10"/>
        <v>5242143</v>
      </c>
      <c r="Q21" s="177">
        <f t="shared" si="10"/>
        <v>5402609</v>
      </c>
      <c r="R21" s="177">
        <f t="shared" si="10"/>
        <v>5465551</v>
      </c>
      <c r="S21" s="177">
        <f t="shared" si="10"/>
        <v>6948030</v>
      </c>
      <c r="T21" s="223">
        <f t="shared" si="10"/>
        <v>5208065.666666666</v>
      </c>
      <c r="U21" s="224">
        <f>SUM(I21:T21)</f>
        <v>68505865.666666672</v>
      </c>
    </row>
    <row r="22" spans="1:21" s="1" customFormat="1" ht="12.75" customHeight="1">
      <c r="A22" s="335"/>
      <c r="B22" s="336"/>
      <c r="C22" s="336"/>
      <c r="D22" s="336"/>
      <c r="E22" s="336"/>
      <c r="F22" s="336"/>
      <c r="G22" s="337"/>
      <c r="H22" s="315" t="s">
        <v>23</v>
      </c>
      <c r="I22" s="178">
        <f>I20-I21</f>
        <v>1239412</v>
      </c>
      <c r="J22" s="179">
        <f t="shared" ref="J22:S22" si="11">J20-J21</f>
        <v>1838863</v>
      </c>
      <c r="K22" s="179">
        <f t="shared" si="11"/>
        <v>1244090</v>
      </c>
      <c r="L22" s="179">
        <f t="shared" si="11"/>
        <v>1075151</v>
      </c>
      <c r="M22" s="179">
        <f t="shared" si="11"/>
        <v>1630112</v>
      </c>
      <c r="N22" s="179">
        <f t="shared" si="11"/>
        <v>874311</v>
      </c>
      <c r="O22" s="179">
        <f t="shared" si="11"/>
        <v>1715394</v>
      </c>
      <c r="P22" s="179">
        <f t="shared" si="11"/>
        <v>1660257</v>
      </c>
      <c r="Q22" s="179">
        <f t="shared" si="11"/>
        <v>2429791</v>
      </c>
      <c r="R22" s="179">
        <f t="shared" si="11"/>
        <v>1436849</v>
      </c>
      <c r="S22" s="179">
        <f t="shared" si="11"/>
        <v>-45630</v>
      </c>
      <c r="T22" s="225">
        <f>T20-T21</f>
        <v>1694334.333333334</v>
      </c>
      <c r="U22" s="226">
        <f>SUM(I22:T22)</f>
        <v>16792934.333333336</v>
      </c>
    </row>
    <row r="23" spans="1:21" s="1" customFormat="1" ht="22.5" customHeight="1">
      <c r="A23" s="27"/>
      <c r="B23" s="27"/>
      <c r="C23" s="27"/>
      <c r="D23" s="27"/>
      <c r="E23" s="27"/>
      <c r="F23" s="27"/>
      <c r="G23" s="28"/>
      <c r="H23" s="316" t="s">
        <v>35</v>
      </c>
      <c r="I23" s="180">
        <f>I22</f>
        <v>1239412</v>
      </c>
      <c r="J23" s="181">
        <f>I23+J22</f>
        <v>3078275</v>
      </c>
      <c r="K23" s="181">
        <f>J23+K22</f>
        <v>4322365</v>
      </c>
      <c r="L23" s="181">
        <f>K23+L22</f>
        <v>5397516</v>
      </c>
      <c r="M23" s="181">
        <f t="shared" ref="M23:S23" si="12">L23+M22</f>
        <v>7027628</v>
      </c>
      <c r="N23" s="181">
        <f t="shared" si="12"/>
        <v>7901939</v>
      </c>
      <c r="O23" s="181">
        <f t="shared" si="12"/>
        <v>9617333</v>
      </c>
      <c r="P23" s="181">
        <f t="shared" si="12"/>
        <v>11277590</v>
      </c>
      <c r="Q23" s="181">
        <f t="shared" si="12"/>
        <v>13707381</v>
      </c>
      <c r="R23" s="181">
        <f t="shared" si="12"/>
        <v>15144230</v>
      </c>
      <c r="S23" s="181">
        <f t="shared" si="12"/>
        <v>15098600</v>
      </c>
      <c r="T23" s="227">
        <f>S23+T22</f>
        <v>16792934.333333336</v>
      </c>
      <c r="U23" s="228">
        <f>U22/U20</f>
        <v>0.19687187080396601</v>
      </c>
    </row>
    <row r="24" spans="1:21" s="1" customFormat="1" ht="22.5" customHeight="1">
      <c r="A24" s="3"/>
      <c r="B24" s="3"/>
      <c r="C24" s="3"/>
      <c r="D24" s="3"/>
      <c r="E24" s="3"/>
      <c r="F24" s="3"/>
      <c r="G24" s="3"/>
      <c r="H24" s="317" t="s">
        <v>36</v>
      </c>
      <c r="I24" s="182">
        <f>I22</f>
        <v>1239412</v>
      </c>
      <c r="J24" s="183">
        <f>I24+J22</f>
        <v>3078275</v>
      </c>
      <c r="K24" s="184">
        <f>J24+K22</f>
        <v>4322365</v>
      </c>
      <c r="L24" s="183">
        <f>L22</f>
        <v>1075151</v>
      </c>
      <c r="M24" s="183">
        <f>L24+M22</f>
        <v>2705263</v>
      </c>
      <c r="N24" s="184">
        <f>M24+N22</f>
        <v>3579574</v>
      </c>
      <c r="O24" s="183">
        <f>O22</f>
        <v>1715394</v>
      </c>
      <c r="P24" s="183">
        <f>O24+P22</f>
        <v>3375651</v>
      </c>
      <c r="Q24" s="184">
        <f>P24+Q22</f>
        <v>5805442</v>
      </c>
      <c r="R24" s="183">
        <f>R22</f>
        <v>1436849</v>
      </c>
      <c r="S24" s="183">
        <f>R24+S22</f>
        <v>1391219</v>
      </c>
      <c r="T24" s="229">
        <f>S24+T22</f>
        <v>3085553.333333334</v>
      </c>
      <c r="U24" s="35"/>
    </row>
    <row r="25" spans="1:21" s="1" customFormat="1" ht="22.5" customHeight="1">
      <c r="A25" s="3"/>
      <c r="B25" s="3"/>
      <c r="C25" s="3"/>
      <c r="D25" s="3"/>
      <c r="E25" s="3"/>
      <c r="F25" s="3"/>
      <c r="G25" s="3"/>
      <c r="H25" s="316" t="s">
        <v>37</v>
      </c>
      <c r="I25" s="185">
        <f>I22/I20</f>
        <v>0.17956247102457115</v>
      </c>
      <c r="J25" s="186">
        <f>J22/J20</f>
        <v>0.23447707334489443</v>
      </c>
      <c r="K25" s="186">
        <f>K22/K20</f>
        <v>0.1802402063050533</v>
      </c>
      <c r="L25" s="186">
        <f>L22/L20</f>
        <v>0.15576480644413537</v>
      </c>
      <c r="M25" s="186">
        <f>M22/M20</f>
        <v>0.22322962313759859</v>
      </c>
      <c r="N25" s="186">
        <f t="shared" ref="N25:T25" si="13">N22/N20</f>
        <v>0.12666768080667593</v>
      </c>
      <c r="O25" s="186">
        <f t="shared" si="13"/>
        <v>0.24152314710520387</v>
      </c>
      <c r="P25" s="186">
        <f t="shared" si="13"/>
        <v>0.24053329276773297</v>
      </c>
      <c r="Q25" s="186">
        <f t="shared" si="13"/>
        <v>0.31022304785251009</v>
      </c>
      <c r="R25" s="186">
        <f t="shared" si="13"/>
        <v>0.20816657974038016</v>
      </c>
      <c r="S25" s="186">
        <f t="shared" si="13"/>
        <v>-6.610744089012517E-3</v>
      </c>
      <c r="T25" s="230">
        <f t="shared" si="13"/>
        <v>0.2454703195023954</v>
      </c>
      <c r="U25" s="35"/>
    </row>
    <row r="26" spans="1:21" s="1" customFormat="1" ht="22.5" customHeight="1">
      <c r="A26" s="3"/>
      <c r="B26" s="3"/>
      <c r="C26" s="3"/>
      <c r="D26" s="3"/>
      <c r="E26" s="3"/>
      <c r="F26" s="3"/>
      <c r="G26" s="3"/>
      <c r="H26" s="31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35"/>
    </row>
    <row r="27" spans="1:21">
      <c r="M27" s="35"/>
      <c r="N27" s="35"/>
      <c r="O27" s="35"/>
      <c r="P27" s="35"/>
      <c r="Q27" s="35"/>
      <c r="R27" s="35"/>
      <c r="S27" s="35"/>
      <c r="T27" s="35"/>
      <c r="U27" s="35"/>
    </row>
    <row r="28" spans="1:21">
      <c r="M28" s="35"/>
      <c r="N28" s="35"/>
      <c r="O28" s="35"/>
      <c r="P28" s="35"/>
      <c r="Q28" s="35"/>
      <c r="R28" s="35"/>
      <c r="S28" s="35"/>
      <c r="T28" s="35"/>
      <c r="U28" s="35"/>
    </row>
    <row r="29" spans="1:21">
      <c r="M29" s="35"/>
      <c r="N29" s="35"/>
      <c r="O29" s="35"/>
      <c r="P29" s="35"/>
      <c r="Q29" s="35"/>
      <c r="R29" s="35"/>
      <c r="S29" s="35"/>
      <c r="T29" s="35"/>
      <c r="U29" s="35"/>
    </row>
    <row r="30" spans="1:21">
      <c r="M30" s="35"/>
      <c r="N30" s="35"/>
      <c r="O30" s="35"/>
      <c r="P30" s="35"/>
      <c r="Q30" s="35"/>
      <c r="R30" s="35"/>
      <c r="S30" s="35"/>
      <c r="T30" s="35"/>
      <c r="U30" s="35"/>
    </row>
    <row r="31" spans="1:21">
      <c r="M31" s="35"/>
      <c r="N31" s="35"/>
      <c r="O31" s="35"/>
      <c r="P31" s="35"/>
      <c r="Q31" s="35"/>
      <c r="R31" s="35"/>
      <c r="S31" s="35"/>
      <c r="T31" s="35"/>
      <c r="U31" s="35"/>
    </row>
    <row r="32" spans="1:21">
      <c r="M32" s="35"/>
      <c r="N32" s="35"/>
      <c r="O32" s="35"/>
      <c r="P32" s="35"/>
      <c r="Q32" s="35"/>
      <c r="R32" s="35"/>
      <c r="S32" s="35"/>
      <c r="T32" s="35"/>
      <c r="U32" s="35"/>
    </row>
    <row r="33" spans="13:21">
      <c r="M33" s="35"/>
      <c r="N33" s="35"/>
      <c r="O33" s="35"/>
      <c r="P33" s="35"/>
      <c r="Q33" s="35"/>
      <c r="R33" s="35"/>
      <c r="S33" s="35"/>
      <c r="T33" s="35"/>
      <c r="U33" s="35"/>
    </row>
    <row r="34" spans="13:21">
      <c r="M34" s="35"/>
      <c r="N34" s="35"/>
      <c r="O34" s="35"/>
      <c r="P34" s="35"/>
      <c r="Q34" s="35"/>
      <c r="R34" s="35"/>
      <c r="S34" s="35"/>
      <c r="T34" s="35"/>
      <c r="U34" s="35"/>
    </row>
    <row r="35" spans="13:21">
      <c r="M35" s="35"/>
      <c r="N35" s="35"/>
      <c r="O35" s="35"/>
      <c r="P35" s="35"/>
      <c r="Q35" s="35"/>
      <c r="R35" s="35"/>
      <c r="S35" s="35"/>
      <c r="T35" s="35"/>
      <c r="U35" s="35"/>
    </row>
    <row r="36" spans="13:21">
      <c r="M36" s="35"/>
      <c r="N36" s="35"/>
      <c r="O36" s="35"/>
      <c r="P36" s="35"/>
      <c r="Q36" s="35"/>
      <c r="R36" s="35"/>
      <c r="S36" s="35"/>
      <c r="T36" s="35"/>
      <c r="U36" s="35"/>
    </row>
    <row r="37" spans="13:21">
      <c r="M37" s="35"/>
      <c r="N37" s="35"/>
      <c r="O37" s="35"/>
      <c r="P37" s="35"/>
      <c r="Q37" s="35"/>
      <c r="R37" s="35"/>
      <c r="S37" s="35"/>
      <c r="T37" s="35"/>
      <c r="U37" s="35"/>
    </row>
    <row r="38" spans="13:21">
      <c r="M38" s="35"/>
      <c r="N38" s="35"/>
      <c r="O38" s="35"/>
      <c r="P38" s="35"/>
      <c r="Q38" s="35"/>
      <c r="R38" s="35"/>
      <c r="S38" s="35"/>
      <c r="T38" s="35"/>
      <c r="U38" s="35"/>
    </row>
    <row r="39" spans="13:21">
      <c r="M39" s="35"/>
      <c r="N39" s="35"/>
      <c r="O39" s="35"/>
      <c r="P39" s="35"/>
      <c r="Q39" s="35"/>
      <c r="R39" s="35"/>
      <c r="S39" s="35"/>
      <c r="T39" s="35"/>
      <c r="U39" s="35"/>
    </row>
    <row r="40" spans="13:21">
      <c r="M40" s="35"/>
      <c r="N40" s="35"/>
      <c r="O40" s="35"/>
      <c r="P40" s="35"/>
      <c r="Q40" s="35"/>
      <c r="R40" s="35"/>
      <c r="S40" s="35"/>
      <c r="T40" s="35"/>
      <c r="U40" s="35"/>
    </row>
    <row r="41" spans="13:21">
      <c r="M41" s="35"/>
      <c r="N41" s="35"/>
      <c r="O41" s="35"/>
      <c r="P41" s="35"/>
      <c r="Q41" s="35"/>
      <c r="R41" s="35"/>
      <c r="S41" s="35"/>
      <c r="T41" s="35"/>
      <c r="U41" s="35"/>
    </row>
    <row r="42" spans="13:21">
      <c r="M42" s="35"/>
      <c r="N42" s="35"/>
      <c r="O42" s="35"/>
      <c r="P42" s="35"/>
      <c r="Q42" s="35"/>
      <c r="R42" s="35"/>
      <c r="S42" s="35"/>
      <c r="T42" s="35"/>
      <c r="U42" s="35"/>
    </row>
    <row r="43" spans="13:21">
      <c r="M43" s="35"/>
      <c r="N43" s="35"/>
      <c r="O43" s="35"/>
      <c r="P43" s="35"/>
      <c r="Q43" s="35"/>
      <c r="R43" s="35"/>
      <c r="S43" s="35"/>
      <c r="T43" s="35"/>
      <c r="U43" s="35"/>
    </row>
    <row r="44" spans="13:21">
      <c r="M44" s="35"/>
      <c r="N44" s="35"/>
      <c r="O44" s="35"/>
      <c r="P44" s="35"/>
      <c r="Q44" s="35"/>
      <c r="R44" s="35"/>
      <c r="S44" s="35"/>
      <c r="T44" s="35"/>
      <c r="U44" s="35"/>
    </row>
    <row r="45" spans="13:21">
      <c r="M45" s="35"/>
      <c r="N45" s="35"/>
      <c r="O45" s="35"/>
      <c r="P45" s="35"/>
      <c r="Q45" s="35"/>
      <c r="R45" s="35"/>
      <c r="S45" s="35"/>
      <c r="T45" s="35"/>
      <c r="U45" s="35"/>
    </row>
    <row r="46" spans="13:21">
      <c r="M46" s="35"/>
      <c r="N46" s="35"/>
      <c r="O46" s="35"/>
      <c r="P46" s="35"/>
      <c r="Q46" s="35"/>
      <c r="R46" s="35"/>
      <c r="S46" s="35"/>
      <c r="T46" s="35"/>
      <c r="U46" s="35"/>
    </row>
    <row r="47" spans="13:21">
      <c r="M47" s="35"/>
      <c r="N47" s="35"/>
      <c r="O47" s="35"/>
      <c r="P47" s="35"/>
      <c r="Q47" s="35"/>
      <c r="R47" s="35"/>
      <c r="S47" s="35"/>
      <c r="T47" s="35"/>
      <c r="U47" s="35"/>
    </row>
    <row r="48" spans="13:21">
      <c r="M48" s="35"/>
      <c r="N48" s="35"/>
      <c r="O48" s="35"/>
      <c r="P48" s="35"/>
      <c r="Q48" s="35"/>
      <c r="R48" s="35"/>
      <c r="S48" s="35"/>
      <c r="T48" s="35"/>
      <c r="U48" s="35"/>
    </row>
    <row r="49" spans="13:21">
      <c r="M49" s="35"/>
      <c r="N49" s="35"/>
      <c r="O49" s="35"/>
      <c r="P49" s="35"/>
      <c r="Q49" s="35"/>
      <c r="R49" s="35"/>
      <c r="S49" s="35"/>
      <c r="T49" s="35"/>
      <c r="U49" s="35"/>
    </row>
    <row r="50" spans="13:21">
      <c r="M50" s="35"/>
      <c r="N50" s="35"/>
      <c r="O50" s="35"/>
      <c r="P50" s="35"/>
      <c r="Q50" s="35"/>
      <c r="R50" s="35"/>
      <c r="S50" s="35"/>
      <c r="T50" s="35"/>
      <c r="U50" s="35"/>
    </row>
    <row r="51" spans="13:21">
      <c r="M51" s="35"/>
      <c r="N51" s="35"/>
      <c r="O51" s="35"/>
      <c r="P51" s="35"/>
      <c r="Q51" s="35"/>
      <c r="R51" s="35"/>
      <c r="S51" s="35"/>
      <c r="T51" s="35"/>
      <c r="U51" s="35"/>
    </row>
    <row r="52" spans="13:21">
      <c r="M52" s="35"/>
      <c r="N52" s="35"/>
      <c r="O52" s="35"/>
      <c r="P52" s="35"/>
      <c r="Q52" s="35"/>
      <c r="R52" s="35"/>
      <c r="S52" s="35"/>
      <c r="T52" s="35"/>
      <c r="U52" s="35"/>
    </row>
    <row r="53" spans="13:21">
      <c r="M53" s="35"/>
      <c r="N53" s="35"/>
      <c r="O53" s="35"/>
      <c r="P53" s="35"/>
      <c r="Q53" s="35"/>
      <c r="R53" s="35"/>
      <c r="S53" s="35"/>
      <c r="T53" s="35"/>
      <c r="U53" s="35"/>
    </row>
    <row r="54" spans="13:21">
      <c r="M54" s="35"/>
      <c r="N54" s="35"/>
      <c r="O54" s="35"/>
      <c r="P54" s="35"/>
      <c r="Q54" s="35"/>
      <c r="R54" s="35"/>
      <c r="S54" s="35"/>
      <c r="T54" s="35"/>
      <c r="U54" s="35"/>
    </row>
    <row r="55" spans="13:21">
      <c r="M55" s="35"/>
      <c r="N55" s="35"/>
      <c r="O55" s="35"/>
      <c r="P55" s="35"/>
      <c r="Q55" s="35"/>
      <c r="R55" s="35"/>
      <c r="S55" s="35"/>
      <c r="T55" s="35"/>
      <c r="U55" s="35"/>
    </row>
    <row r="56" spans="13:21">
      <c r="M56" s="35"/>
      <c r="N56" s="35"/>
      <c r="O56" s="35"/>
      <c r="P56" s="35"/>
      <c r="Q56" s="35"/>
      <c r="R56" s="35"/>
      <c r="S56" s="35"/>
      <c r="T56" s="35"/>
      <c r="U56" s="35"/>
    </row>
    <row r="57" spans="13:21">
      <c r="M57" s="35"/>
      <c r="N57" s="35"/>
      <c r="O57" s="35"/>
      <c r="P57" s="35"/>
      <c r="Q57" s="35"/>
      <c r="R57" s="35"/>
      <c r="S57" s="35"/>
      <c r="T57" s="35"/>
      <c r="U57" s="35"/>
    </row>
    <row r="58" spans="13:21">
      <c r="M58" s="35"/>
      <c r="N58" s="35"/>
      <c r="O58" s="35"/>
      <c r="P58" s="35"/>
      <c r="Q58" s="35"/>
      <c r="R58" s="35"/>
      <c r="S58" s="35"/>
      <c r="T58" s="35"/>
      <c r="U58" s="35"/>
    </row>
    <row r="59" spans="13:21">
      <c r="M59" s="35"/>
      <c r="N59" s="35"/>
      <c r="O59" s="35"/>
      <c r="P59" s="35"/>
      <c r="Q59" s="35"/>
      <c r="R59" s="35"/>
      <c r="S59" s="35"/>
      <c r="T59" s="35"/>
      <c r="U59" s="35"/>
    </row>
    <row r="60" spans="13:21">
      <c r="M60" s="35"/>
      <c r="N60" s="35"/>
      <c r="O60" s="35"/>
      <c r="P60" s="35"/>
      <c r="Q60" s="35"/>
      <c r="R60" s="35"/>
      <c r="S60" s="35"/>
      <c r="T60" s="35"/>
      <c r="U60" s="35"/>
    </row>
    <row r="61" spans="13:21">
      <c r="M61" s="35"/>
      <c r="N61" s="35"/>
      <c r="O61" s="35"/>
      <c r="P61" s="35"/>
      <c r="Q61" s="35"/>
      <c r="R61" s="35"/>
      <c r="S61" s="35"/>
      <c r="T61" s="35"/>
      <c r="U61" s="35"/>
    </row>
    <row r="62" spans="13:21">
      <c r="M62" s="35"/>
      <c r="N62" s="35"/>
      <c r="O62" s="35"/>
      <c r="P62" s="35"/>
      <c r="Q62" s="35"/>
      <c r="R62" s="35"/>
      <c r="S62" s="35"/>
      <c r="T62" s="35"/>
      <c r="U62" s="35"/>
    </row>
    <row r="63" spans="13:21">
      <c r="M63" s="35"/>
      <c r="N63" s="35"/>
      <c r="O63" s="35"/>
      <c r="P63" s="35"/>
      <c r="Q63" s="35"/>
      <c r="R63" s="35"/>
      <c r="S63" s="35"/>
      <c r="T63" s="35"/>
      <c r="U63" s="35"/>
    </row>
    <row r="64" spans="13:21">
      <c r="M64" s="35"/>
      <c r="N64" s="35"/>
      <c r="O64" s="35"/>
      <c r="P64" s="35"/>
      <c r="Q64" s="35"/>
      <c r="R64" s="35"/>
      <c r="S64" s="35"/>
      <c r="T64" s="35"/>
      <c r="U64" s="35"/>
    </row>
    <row r="65" spans="13:21">
      <c r="M65" s="35"/>
      <c r="N65" s="35"/>
      <c r="O65" s="35"/>
      <c r="P65" s="35"/>
      <c r="Q65" s="35"/>
      <c r="R65" s="35"/>
      <c r="S65" s="35"/>
      <c r="T65" s="35"/>
      <c r="U65" s="35"/>
    </row>
    <row r="66" spans="13:21">
      <c r="M66" s="35"/>
      <c r="N66" s="35"/>
      <c r="O66" s="35"/>
      <c r="P66" s="35"/>
      <c r="Q66" s="35"/>
      <c r="R66" s="35"/>
      <c r="S66" s="35"/>
      <c r="T66" s="35"/>
      <c r="U66" s="35"/>
    </row>
    <row r="67" spans="13:21">
      <c r="M67" s="35"/>
      <c r="N67" s="35"/>
      <c r="O67" s="35"/>
      <c r="P67" s="35"/>
      <c r="Q67" s="35"/>
      <c r="R67" s="35"/>
      <c r="S67" s="35"/>
      <c r="T67" s="35"/>
      <c r="U67" s="35"/>
    </row>
    <row r="68" spans="13:21">
      <c r="M68" s="35"/>
      <c r="N68" s="35"/>
      <c r="O68" s="35"/>
      <c r="P68" s="35"/>
      <c r="Q68" s="35"/>
      <c r="R68" s="35"/>
      <c r="S68" s="35"/>
      <c r="T68" s="35"/>
      <c r="U68" s="35"/>
    </row>
    <row r="69" spans="13:21">
      <c r="M69" s="35"/>
      <c r="N69" s="35"/>
      <c r="O69" s="35"/>
      <c r="P69" s="35"/>
      <c r="Q69" s="35"/>
      <c r="R69" s="35"/>
      <c r="S69" s="35"/>
      <c r="T69" s="35"/>
      <c r="U69" s="35"/>
    </row>
    <row r="70" spans="13:21">
      <c r="M70" s="35"/>
      <c r="N70" s="35"/>
      <c r="O70" s="35"/>
      <c r="P70" s="35"/>
      <c r="Q70" s="35"/>
      <c r="R70" s="35"/>
      <c r="S70" s="35"/>
      <c r="T70" s="35"/>
      <c r="U70" s="35"/>
    </row>
    <row r="71" spans="13:21">
      <c r="M71" s="35"/>
      <c r="N71" s="35"/>
      <c r="O71" s="35"/>
      <c r="P71" s="35"/>
      <c r="Q71" s="35"/>
      <c r="R71" s="35"/>
      <c r="S71" s="35"/>
      <c r="T71" s="35"/>
      <c r="U71" s="35"/>
    </row>
    <row r="72" spans="13:21">
      <c r="M72" s="35"/>
      <c r="N72" s="35"/>
      <c r="O72" s="35"/>
      <c r="P72" s="35"/>
      <c r="Q72" s="35"/>
      <c r="R72" s="35"/>
      <c r="S72" s="35"/>
      <c r="T72" s="35"/>
      <c r="U72" s="35"/>
    </row>
    <row r="73" spans="13:21">
      <c r="M73" s="35"/>
      <c r="N73" s="35"/>
      <c r="O73" s="35"/>
      <c r="P73" s="35"/>
      <c r="Q73" s="35"/>
      <c r="R73" s="35"/>
      <c r="S73" s="35"/>
      <c r="T73" s="35"/>
      <c r="U73" s="35"/>
    </row>
    <row r="74" spans="13:21">
      <c r="M74" s="35"/>
      <c r="N74" s="35"/>
      <c r="O74" s="35"/>
      <c r="P74" s="35"/>
      <c r="Q74" s="35"/>
      <c r="R74" s="35"/>
      <c r="S74" s="35"/>
      <c r="T74" s="35"/>
      <c r="U74" s="35"/>
    </row>
    <row r="75" spans="13:21">
      <c r="M75" s="35"/>
      <c r="N75" s="35"/>
      <c r="O75" s="35"/>
      <c r="P75" s="35"/>
      <c r="Q75" s="35"/>
      <c r="R75" s="35"/>
      <c r="S75" s="35"/>
      <c r="T75" s="35"/>
      <c r="U75" s="35"/>
    </row>
    <row r="76" spans="13:21">
      <c r="M76" s="35"/>
      <c r="N76" s="35"/>
      <c r="O76" s="35"/>
      <c r="P76" s="35"/>
      <c r="Q76" s="35"/>
      <c r="R76" s="35"/>
      <c r="S76" s="35"/>
      <c r="T76" s="35"/>
      <c r="U76" s="35"/>
    </row>
    <row r="77" spans="13:21">
      <c r="M77" s="35"/>
      <c r="N77" s="35"/>
      <c r="O77" s="35"/>
      <c r="P77" s="35"/>
      <c r="Q77" s="35"/>
      <c r="R77" s="35"/>
      <c r="S77" s="35"/>
      <c r="T77" s="35"/>
      <c r="U77" s="35"/>
    </row>
    <row r="78" spans="13:21">
      <c r="M78" s="35"/>
      <c r="N78" s="35"/>
      <c r="O78" s="35"/>
      <c r="P78" s="35"/>
      <c r="Q78" s="35"/>
      <c r="R78" s="35"/>
      <c r="S78" s="35"/>
      <c r="T78" s="35"/>
      <c r="U78" s="35"/>
    </row>
    <row r="79" spans="13:21">
      <c r="M79" s="35"/>
      <c r="N79" s="35"/>
      <c r="O79" s="35"/>
      <c r="P79" s="35"/>
      <c r="Q79" s="35"/>
      <c r="R79" s="35"/>
      <c r="S79" s="35"/>
      <c r="T79" s="35"/>
      <c r="U79" s="35"/>
    </row>
    <row r="80" spans="13:21">
      <c r="M80" s="35"/>
      <c r="N80" s="35"/>
      <c r="O80" s="35"/>
      <c r="P80" s="35"/>
      <c r="Q80" s="35"/>
      <c r="R80" s="35"/>
      <c r="S80" s="35"/>
      <c r="T80" s="35"/>
      <c r="U80" s="35"/>
    </row>
    <row r="81" spans="13:21">
      <c r="M81" s="35"/>
      <c r="N81" s="35"/>
      <c r="O81" s="35"/>
      <c r="P81" s="35"/>
      <c r="Q81" s="35"/>
      <c r="R81" s="35"/>
      <c r="S81" s="35"/>
      <c r="T81" s="35"/>
      <c r="U81" s="35"/>
    </row>
    <row r="82" spans="13:21">
      <c r="M82" s="35"/>
      <c r="N82" s="35"/>
      <c r="O82" s="35"/>
      <c r="P82" s="35"/>
      <c r="Q82" s="35"/>
      <c r="R82" s="35"/>
      <c r="S82" s="35"/>
      <c r="T82" s="35"/>
      <c r="U82" s="35"/>
    </row>
    <row r="83" spans="13:21">
      <c r="M83" s="35"/>
      <c r="N83" s="35"/>
      <c r="O83" s="35"/>
      <c r="P83" s="35"/>
      <c r="Q83" s="35"/>
      <c r="R83" s="35"/>
      <c r="S83" s="35"/>
      <c r="T83" s="35"/>
      <c r="U83" s="35"/>
    </row>
    <row r="84" spans="13:21">
      <c r="M84" s="35"/>
      <c r="N84" s="35"/>
      <c r="O84" s="35"/>
      <c r="P84" s="35"/>
      <c r="Q84" s="35"/>
      <c r="R84" s="35"/>
      <c r="S84" s="35"/>
      <c r="T84" s="35"/>
      <c r="U84" s="35"/>
    </row>
    <row r="85" spans="13:21">
      <c r="M85" s="35"/>
      <c r="N85" s="35"/>
      <c r="O85" s="35"/>
      <c r="P85" s="35"/>
      <c r="Q85" s="35"/>
      <c r="R85" s="35"/>
      <c r="S85" s="35"/>
      <c r="T85" s="35"/>
      <c r="U85" s="35"/>
    </row>
    <row r="86" spans="13:21">
      <c r="M86" s="35"/>
      <c r="N86" s="35"/>
      <c r="O86" s="35"/>
      <c r="P86" s="35"/>
      <c r="Q86" s="35"/>
      <c r="R86" s="35"/>
      <c r="S86" s="35"/>
      <c r="T86" s="35"/>
      <c r="U86" s="35"/>
    </row>
    <row r="87" spans="13:21">
      <c r="M87" s="35"/>
      <c r="N87" s="35"/>
      <c r="O87" s="35"/>
      <c r="P87" s="35"/>
      <c r="Q87" s="35"/>
      <c r="R87" s="35"/>
      <c r="S87" s="35"/>
      <c r="T87" s="35"/>
      <c r="U87" s="35"/>
    </row>
    <row r="88" spans="13:21">
      <c r="M88" s="35"/>
      <c r="N88" s="35"/>
      <c r="O88" s="35"/>
      <c r="P88" s="35"/>
      <c r="Q88" s="35"/>
      <c r="R88" s="35"/>
      <c r="S88" s="35"/>
      <c r="T88" s="35"/>
      <c r="U88" s="35"/>
    </row>
    <row r="89" spans="13:21">
      <c r="M89" s="35"/>
      <c r="N89" s="35"/>
      <c r="O89" s="35"/>
      <c r="P89" s="35"/>
      <c r="Q89" s="35"/>
      <c r="R89" s="35"/>
      <c r="S89" s="35"/>
      <c r="T89" s="35"/>
      <c r="U89" s="35"/>
    </row>
    <row r="90" spans="13:21">
      <c r="M90" s="35"/>
      <c r="N90" s="35"/>
      <c r="O90" s="35"/>
      <c r="P90" s="35"/>
      <c r="Q90" s="35"/>
      <c r="R90" s="35"/>
      <c r="S90" s="35"/>
      <c r="T90" s="35"/>
      <c r="U90" s="35"/>
    </row>
    <row r="91" spans="13:21">
      <c r="M91" s="35"/>
      <c r="N91" s="35"/>
      <c r="O91" s="35"/>
      <c r="P91" s="35"/>
      <c r="Q91" s="35"/>
      <c r="R91" s="35"/>
      <c r="S91" s="35"/>
      <c r="T91" s="35"/>
      <c r="U91" s="35"/>
    </row>
    <row r="92" spans="13:21">
      <c r="M92" s="35"/>
      <c r="N92" s="35"/>
      <c r="O92" s="35"/>
      <c r="P92" s="35"/>
      <c r="Q92" s="35"/>
      <c r="R92" s="35"/>
      <c r="S92" s="35"/>
      <c r="T92" s="35"/>
      <c r="U92" s="35"/>
    </row>
    <row r="93" spans="13:21">
      <c r="M93" s="35"/>
      <c r="N93" s="35"/>
      <c r="O93" s="35"/>
      <c r="P93" s="35"/>
      <c r="Q93" s="35"/>
      <c r="R93" s="35"/>
      <c r="S93" s="35"/>
      <c r="T93" s="35"/>
      <c r="U93" s="35"/>
    </row>
    <row r="94" spans="13:21">
      <c r="M94" s="35"/>
      <c r="N94" s="35"/>
      <c r="O94" s="35"/>
      <c r="P94" s="35"/>
      <c r="Q94" s="35"/>
      <c r="R94" s="35"/>
      <c r="S94" s="35"/>
      <c r="T94" s="35"/>
      <c r="U94" s="35"/>
    </row>
    <row r="95" spans="13:21">
      <c r="M95" s="35"/>
      <c r="N95" s="35"/>
      <c r="O95" s="35"/>
      <c r="P95" s="35"/>
      <c r="Q95" s="35"/>
      <c r="R95" s="35"/>
      <c r="S95" s="35"/>
      <c r="T95" s="35"/>
      <c r="U95" s="35"/>
    </row>
    <row r="96" spans="13:21">
      <c r="M96" s="35"/>
      <c r="N96" s="35"/>
      <c r="O96" s="35"/>
      <c r="P96" s="35"/>
      <c r="Q96" s="35"/>
      <c r="R96" s="35"/>
      <c r="S96" s="35"/>
      <c r="T96" s="35"/>
      <c r="U96" s="35"/>
    </row>
    <row r="97" spans="13:21">
      <c r="M97" s="35"/>
      <c r="N97" s="35"/>
      <c r="O97" s="35"/>
      <c r="P97" s="35"/>
      <c r="Q97" s="35"/>
      <c r="R97" s="35"/>
      <c r="S97" s="35"/>
      <c r="T97" s="35"/>
      <c r="U97" s="35"/>
    </row>
    <row r="98" spans="13:21">
      <c r="M98" s="35"/>
      <c r="N98" s="35"/>
      <c r="O98" s="35"/>
      <c r="P98" s="35"/>
      <c r="Q98" s="35"/>
      <c r="R98" s="35"/>
      <c r="S98" s="35"/>
      <c r="T98" s="35"/>
      <c r="U98" s="35"/>
    </row>
    <row r="99" spans="13:21">
      <c r="M99" s="35"/>
      <c r="N99" s="35"/>
      <c r="O99" s="35"/>
      <c r="P99" s="35"/>
      <c r="Q99" s="35"/>
      <c r="R99" s="35"/>
      <c r="S99" s="35"/>
      <c r="T99" s="35"/>
      <c r="U99" s="35"/>
    </row>
    <row r="100" spans="13:21"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13:21"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13:21"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13:21">
      <c r="M103" s="35"/>
      <c r="N103" s="35"/>
      <c r="O103" s="35"/>
      <c r="P103" s="35"/>
      <c r="Q103" s="35"/>
      <c r="R103" s="35"/>
      <c r="S103" s="35"/>
      <c r="T103" s="35"/>
      <c r="U103" s="35"/>
    </row>
    <row r="104" spans="13:21">
      <c r="M104" s="35"/>
      <c r="N104" s="35"/>
      <c r="O104" s="35"/>
      <c r="P104" s="35"/>
      <c r="Q104" s="35"/>
      <c r="R104" s="35"/>
      <c r="S104" s="35"/>
      <c r="T104" s="35"/>
      <c r="U104" s="35"/>
    </row>
    <row r="105" spans="13:21"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13:21">
      <c r="M106" s="35"/>
      <c r="N106" s="35"/>
      <c r="O106" s="35"/>
      <c r="P106" s="35"/>
      <c r="Q106" s="35"/>
      <c r="R106" s="35"/>
      <c r="S106" s="35"/>
      <c r="T106" s="35"/>
      <c r="U106" s="35"/>
    </row>
    <row r="107" spans="13:21">
      <c r="M107" s="35"/>
      <c r="N107" s="35"/>
      <c r="O107" s="35"/>
      <c r="P107" s="35"/>
      <c r="Q107" s="35"/>
      <c r="R107" s="35"/>
      <c r="S107" s="35"/>
      <c r="T107" s="35"/>
      <c r="U107" s="35"/>
    </row>
    <row r="108" spans="13:21">
      <c r="M108" s="35"/>
      <c r="N108" s="35"/>
      <c r="O108" s="35"/>
      <c r="P108" s="35"/>
      <c r="Q108" s="35"/>
      <c r="R108" s="35"/>
      <c r="S108" s="35"/>
      <c r="T108" s="35"/>
      <c r="U108" s="35"/>
    </row>
    <row r="109" spans="13:21">
      <c r="M109" s="35"/>
      <c r="N109" s="35"/>
      <c r="O109" s="35"/>
      <c r="P109" s="35"/>
      <c r="Q109" s="35"/>
      <c r="R109" s="35"/>
      <c r="S109" s="35"/>
      <c r="T109" s="35"/>
      <c r="U109" s="35"/>
    </row>
    <row r="110" spans="13:21">
      <c r="M110" s="35"/>
      <c r="N110" s="35"/>
      <c r="O110" s="35"/>
      <c r="P110" s="35"/>
      <c r="Q110" s="35"/>
      <c r="R110" s="35"/>
      <c r="S110" s="35"/>
      <c r="T110" s="35"/>
      <c r="U110" s="35"/>
    </row>
    <row r="111" spans="13:21">
      <c r="M111" s="35"/>
      <c r="N111" s="35"/>
      <c r="O111" s="35"/>
      <c r="P111" s="35"/>
      <c r="Q111" s="35"/>
      <c r="R111" s="35"/>
      <c r="S111" s="35"/>
      <c r="T111" s="35"/>
      <c r="U111" s="35"/>
    </row>
    <row r="112" spans="13:21">
      <c r="M112" s="35"/>
      <c r="N112" s="35"/>
      <c r="O112" s="35"/>
      <c r="P112" s="35"/>
      <c r="Q112" s="35"/>
      <c r="R112" s="35"/>
      <c r="S112" s="35"/>
      <c r="T112" s="35"/>
      <c r="U112" s="35"/>
    </row>
    <row r="113" spans="13:21">
      <c r="M113" s="35"/>
      <c r="N113" s="35"/>
      <c r="O113" s="35"/>
      <c r="P113" s="35"/>
      <c r="Q113" s="35"/>
      <c r="R113" s="35"/>
      <c r="S113" s="35"/>
      <c r="T113" s="35"/>
      <c r="U113" s="35"/>
    </row>
    <row r="114" spans="13:21">
      <c r="M114" s="35"/>
      <c r="N114" s="35"/>
      <c r="O114" s="35"/>
      <c r="P114" s="35"/>
      <c r="Q114" s="35"/>
      <c r="R114" s="35"/>
      <c r="S114" s="35"/>
      <c r="T114" s="35"/>
      <c r="U114" s="35"/>
    </row>
    <row r="115" spans="13:21">
      <c r="M115" s="35"/>
      <c r="N115" s="35"/>
      <c r="O115" s="35"/>
      <c r="P115" s="35"/>
      <c r="Q115" s="35"/>
      <c r="R115" s="35"/>
      <c r="S115" s="35"/>
      <c r="T115" s="35"/>
      <c r="U115" s="35"/>
    </row>
  </sheetData>
  <mergeCells count="8">
    <mergeCell ref="A14:G16"/>
    <mergeCell ref="A17:G19"/>
    <mergeCell ref="A20:G22"/>
    <mergeCell ref="A8:G10"/>
    <mergeCell ref="A1:G1"/>
    <mergeCell ref="A2:G4"/>
    <mergeCell ref="A5:G7"/>
    <mergeCell ref="A11:G13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landscape" r:id="rId1"/>
  <ignoredErrors>
    <ignoredError sqref="U5:U1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X673"/>
  <sheetViews>
    <sheetView showGridLines="0" zoomScale="80" zoomScaleNormal="80" zoomScaleSheetLayoutView="70" workbookViewId="0">
      <pane xSplit="10" ySplit="1" topLeftCell="K2" activePane="bottomRight" state="frozen"/>
      <selection activeCell="O18" sqref="O18"/>
      <selection pane="topRight" activeCell="O18" sqref="O18"/>
      <selection pane="bottomLeft" activeCell="O18" sqref="O18"/>
      <selection pane="bottomRight" activeCell="B7" sqref="B7:B23"/>
    </sheetView>
  </sheetViews>
  <sheetFormatPr defaultRowHeight="12"/>
  <cols>
    <col min="1" max="1" width="9.08984375" style="3" bestFit="1" customWidth="1"/>
    <col min="2" max="2" width="11.08984375" style="3" bestFit="1" customWidth="1"/>
    <col min="3" max="3" width="4.90625" style="3" customWidth="1"/>
    <col min="4" max="5" width="5.08984375" style="3" customWidth="1"/>
    <col min="6" max="6" width="9.6328125" style="3" customWidth="1"/>
    <col min="7" max="8" width="11.90625" style="3" customWidth="1"/>
    <col min="9" max="9" width="9.08984375" style="3" customWidth="1"/>
    <col min="10" max="10" width="10.90625" style="3" customWidth="1"/>
    <col min="11" max="14" width="13.36328125" style="35" customWidth="1"/>
    <col min="15" max="15" width="13.36328125" style="49" customWidth="1"/>
    <col min="16" max="21" width="13.36328125" style="40" customWidth="1"/>
    <col min="22" max="22" width="13.90625" style="4" customWidth="1"/>
    <col min="23" max="23" width="16.453125" style="5" customWidth="1"/>
    <col min="24" max="25" width="9" style="3"/>
    <col min="26" max="26" width="11.36328125" style="3" customWidth="1"/>
    <col min="27" max="258" width="9" style="3"/>
    <col min="259" max="259" width="9.90625" style="3" customWidth="1"/>
    <col min="260" max="261" width="5.08984375" style="3" customWidth="1"/>
    <col min="262" max="262" width="9.6328125" style="3" customWidth="1"/>
    <col min="263" max="264" width="11.90625" style="3" customWidth="1"/>
    <col min="265" max="265" width="15.36328125" style="3" customWidth="1"/>
    <col min="266" max="266" width="10.90625" style="3" customWidth="1"/>
    <col min="267" max="277" width="13.36328125" style="3" customWidth="1"/>
    <col min="278" max="278" width="13.90625" style="3" customWidth="1"/>
    <col min="279" max="279" width="16.453125" style="3" customWidth="1"/>
    <col min="280" max="514" width="9" style="3"/>
    <col min="515" max="515" width="9.90625" style="3" customWidth="1"/>
    <col min="516" max="517" width="5.08984375" style="3" customWidth="1"/>
    <col min="518" max="518" width="9.6328125" style="3" customWidth="1"/>
    <col min="519" max="520" width="11.90625" style="3" customWidth="1"/>
    <col min="521" max="521" width="15.36328125" style="3" customWidth="1"/>
    <col min="522" max="522" width="10.90625" style="3" customWidth="1"/>
    <col min="523" max="533" width="13.36328125" style="3" customWidth="1"/>
    <col min="534" max="534" width="13.90625" style="3" customWidth="1"/>
    <col min="535" max="535" width="16.453125" style="3" customWidth="1"/>
    <col min="536" max="770" width="9" style="3"/>
    <col min="771" max="771" width="9.90625" style="3" customWidth="1"/>
    <col min="772" max="773" width="5.08984375" style="3" customWidth="1"/>
    <col min="774" max="774" width="9.6328125" style="3" customWidth="1"/>
    <col min="775" max="776" width="11.90625" style="3" customWidth="1"/>
    <col min="777" max="777" width="15.36328125" style="3" customWidth="1"/>
    <col min="778" max="778" width="10.90625" style="3" customWidth="1"/>
    <col min="779" max="789" width="13.36328125" style="3" customWidth="1"/>
    <col min="790" max="790" width="13.90625" style="3" customWidth="1"/>
    <col min="791" max="791" width="16.453125" style="3" customWidth="1"/>
    <col min="792" max="1026" width="9" style="3"/>
    <col min="1027" max="1027" width="9.90625" style="3" customWidth="1"/>
    <col min="1028" max="1029" width="5.08984375" style="3" customWidth="1"/>
    <col min="1030" max="1030" width="9.6328125" style="3" customWidth="1"/>
    <col min="1031" max="1032" width="11.90625" style="3" customWidth="1"/>
    <col min="1033" max="1033" width="15.36328125" style="3" customWidth="1"/>
    <col min="1034" max="1034" width="10.90625" style="3" customWidth="1"/>
    <col min="1035" max="1045" width="13.36328125" style="3" customWidth="1"/>
    <col min="1046" max="1046" width="13.90625" style="3" customWidth="1"/>
    <col min="1047" max="1047" width="16.453125" style="3" customWidth="1"/>
    <col min="1048" max="1282" width="9" style="3"/>
    <col min="1283" max="1283" width="9.90625" style="3" customWidth="1"/>
    <col min="1284" max="1285" width="5.08984375" style="3" customWidth="1"/>
    <col min="1286" max="1286" width="9.6328125" style="3" customWidth="1"/>
    <col min="1287" max="1288" width="11.90625" style="3" customWidth="1"/>
    <col min="1289" max="1289" width="15.36328125" style="3" customWidth="1"/>
    <col min="1290" max="1290" width="10.90625" style="3" customWidth="1"/>
    <col min="1291" max="1301" width="13.36328125" style="3" customWidth="1"/>
    <col min="1302" max="1302" width="13.90625" style="3" customWidth="1"/>
    <col min="1303" max="1303" width="16.453125" style="3" customWidth="1"/>
    <col min="1304" max="1538" width="9" style="3"/>
    <col min="1539" max="1539" width="9.90625" style="3" customWidth="1"/>
    <col min="1540" max="1541" width="5.08984375" style="3" customWidth="1"/>
    <col min="1542" max="1542" width="9.6328125" style="3" customWidth="1"/>
    <col min="1543" max="1544" width="11.90625" style="3" customWidth="1"/>
    <col min="1545" max="1545" width="15.36328125" style="3" customWidth="1"/>
    <col min="1546" max="1546" width="10.90625" style="3" customWidth="1"/>
    <col min="1547" max="1557" width="13.36328125" style="3" customWidth="1"/>
    <col min="1558" max="1558" width="13.90625" style="3" customWidth="1"/>
    <col min="1559" max="1559" width="16.453125" style="3" customWidth="1"/>
    <col min="1560" max="1794" width="9" style="3"/>
    <col min="1795" max="1795" width="9.90625" style="3" customWidth="1"/>
    <col min="1796" max="1797" width="5.08984375" style="3" customWidth="1"/>
    <col min="1798" max="1798" width="9.6328125" style="3" customWidth="1"/>
    <col min="1799" max="1800" width="11.90625" style="3" customWidth="1"/>
    <col min="1801" max="1801" width="15.36328125" style="3" customWidth="1"/>
    <col min="1802" max="1802" width="10.90625" style="3" customWidth="1"/>
    <col min="1803" max="1813" width="13.36328125" style="3" customWidth="1"/>
    <col min="1814" max="1814" width="13.90625" style="3" customWidth="1"/>
    <col min="1815" max="1815" width="16.453125" style="3" customWidth="1"/>
    <col min="1816" max="2050" width="9" style="3"/>
    <col min="2051" max="2051" width="9.90625" style="3" customWidth="1"/>
    <col min="2052" max="2053" width="5.08984375" style="3" customWidth="1"/>
    <col min="2054" max="2054" width="9.6328125" style="3" customWidth="1"/>
    <col min="2055" max="2056" width="11.90625" style="3" customWidth="1"/>
    <col min="2057" max="2057" width="15.36328125" style="3" customWidth="1"/>
    <col min="2058" max="2058" width="10.90625" style="3" customWidth="1"/>
    <col min="2059" max="2069" width="13.36328125" style="3" customWidth="1"/>
    <col min="2070" max="2070" width="13.90625" style="3" customWidth="1"/>
    <col min="2071" max="2071" width="16.453125" style="3" customWidth="1"/>
    <col min="2072" max="2306" width="9" style="3"/>
    <col min="2307" max="2307" width="9.90625" style="3" customWidth="1"/>
    <col min="2308" max="2309" width="5.08984375" style="3" customWidth="1"/>
    <col min="2310" max="2310" width="9.6328125" style="3" customWidth="1"/>
    <col min="2311" max="2312" width="11.90625" style="3" customWidth="1"/>
    <col min="2313" max="2313" width="15.36328125" style="3" customWidth="1"/>
    <col min="2314" max="2314" width="10.90625" style="3" customWidth="1"/>
    <col min="2315" max="2325" width="13.36328125" style="3" customWidth="1"/>
    <col min="2326" max="2326" width="13.90625" style="3" customWidth="1"/>
    <col min="2327" max="2327" width="16.453125" style="3" customWidth="1"/>
    <col min="2328" max="2562" width="9" style="3"/>
    <col min="2563" max="2563" width="9.90625" style="3" customWidth="1"/>
    <col min="2564" max="2565" width="5.08984375" style="3" customWidth="1"/>
    <col min="2566" max="2566" width="9.6328125" style="3" customWidth="1"/>
    <col min="2567" max="2568" width="11.90625" style="3" customWidth="1"/>
    <col min="2569" max="2569" width="15.36328125" style="3" customWidth="1"/>
    <col min="2570" max="2570" width="10.90625" style="3" customWidth="1"/>
    <col min="2571" max="2581" width="13.36328125" style="3" customWidth="1"/>
    <col min="2582" max="2582" width="13.90625" style="3" customWidth="1"/>
    <col min="2583" max="2583" width="16.453125" style="3" customWidth="1"/>
    <col min="2584" max="2818" width="9" style="3"/>
    <col min="2819" max="2819" width="9.90625" style="3" customWidth="1"/>
    <col min="2820" max="2821" width="5.08984375" style="3" customWidth="1"/>
    <col min="2822" max="2822" width="9.6328125" style="3" customWidth="1"/>
    <col min="2823" max="2824" width="11.90625" style="3" customWidth="1"/>
    <col min="2825" max="2825" width="15.36328125" style="3" customWidth="1"/>
    <col min="2826" max="2826" width="10.90625" style="3" customWidth="1"/>
    <col min="2827" max="2837" width="13.36328125" style="3" customWidth="1"/>
    <col min="2838" max="2838" width="13.90625" style="3" customWidth="1"/>
    <col min="2839" max="2839" width="16.453125" style="3" customWidth="1"/>
    <col min="2840" max="3074" width="9" style="3"/>
    <col min="3075" max="3075" width="9.90625" style="3" customWidth="1"/>
    <col min="3076" max="3077" width="5.08984375" style="3" customWidth="1"/>
    <col min="3078" max="3078" width="9.6328125" style="3" customWidth="1"/>
    <col min="3079" max="3080" width="11.90625" style="3" customWidth="1"/>
    <col min="3081" max="3081" width="15.36328125" style="3" customWidth="1"/>
    <col min="3082" max="3082" width="10.90625" style="3" customWidth="1"/>
    <col min="3083" max="3093" width="13.36328125" style="3" customWidth="1"/>
    <col min="3094" max="3094" width="13.90625" style="3" customWidth="1"/>
    <col min="3095" max="3095" width="16.453125" style="3" customWidth="1"/>
    <col min="3096" max="3330" width="9" style="3"/>
    <col min="3331" max="3331" width="9.90625" style="3" customWidth="1"/>
    <col min="3332" max="3333" width="5.08984375" style="3" customWidth="1"/>
    <col min="3334" max="3334" width="9.6328125" style="3" customWidth="1"/>
    <col min="3335" max="3336" width="11.90625" style="3" customWidth="1"/>
    <col min="3337" max="3337" width="15.36328125" style="3" customWidth="1"/>
    <col min="3338" max="3338" width="10.90625" style="3" customWidth="1"/>
    <col min="3339" max="3349" width="13.36328125" style="3" customWidth="1"/>
    <col min="3350" max="3350" width="13.90625" style="3" customWidth="1"/>
    <col min="3351" max="3351" width="16.453125" style="3" customWidth="1"/>
    <col min="3352" max="3586" width="9" style="3"/>
    <col min="3587" max="3587" width="9.90625" style="3" customWidth="1"/>
    <col min="3588" max="3589" width="5.08984375" style="3" customWidth="1"/>
    <col min="3590" max="3590" width="9.6328125" style="3" customWidth="1"/>
    <col min="3591" max="3592" width="11.90625" style="3" customWidth="1"/>
    <col min="3593" max="3593" width="15.36328125" style="3" customWidth="1"/>
    <col min="3594" max="3594" width="10.90625" style="3" customWidth="1"/>
    <col min="3595" max="3605" width="13.36328125" style="3" customWidth="1"/>
    <col min="3606" max="3606" width="13.90625" style="3" customWidth="1"/>
    <col min="3607" max="3607" width="16.453125" style="3" customWidth="1"/>
    <col min="3608" max="3842" width="9" style="3"/>
    <col min="3843" max="3843" width="9.90625" style="3" customWidth="1"/>
    <col min="3844" max="3845" width="5.08984375" style="3" customWidth="1"/>
    <col min="3846" max="3846" width="9.6328125" style="3" customWidth="1"/>
    <col min="3847" max="3848" width="11.90625" style="3" customWidth="1"/>
    <col min="3849" max="3849" width="15.36328125" style="3" customWidth="1"/>
    <col min="3850" max="3850" width="10.90625" style="3" customWidth="1"/>
    <col min="3851" max="3861" width="13.36328125" style="3" customWidth="1"/>
    <col min="3862" max="3862" width="13.90625" style="3" customWidth="1"/>
    <col min="3863" max="3863" width="16.453125" style="3" customWidth="1"/>
    <col min="3864" max="4098" width="9" style="3"/>
    <col min="4099" max="4099" width="9.90625" style="3" customWidth="1"/>
    <col min="4100" max="4101" width="5.08984375" style="3" customWidth="1"/>
    <col min="4102" max="4102" width="9.6328125" style="3" customWidth="1"/>
    <col min="4103" max="4104" width="11.90625" style="3" customWidth="1"/>
    <col min="4105" max="4105" width="15.36328125" style="3" customWidth="1"/>
    <col min="4106" max="4106" width="10.90625" style="3" customWidth="1"/>
    <col min="4107" max="4117" width="13.36328125" style="3" customWidth="1"/>
    <col min="4118" max="4118" width="13.90625" style="3" customWidth="1"/>
    <col min="4119" max="4119" width="16.453125" style="3" customWidth="1"/>
    <col min="4120" max="4354" width="9" style="3"/>
    <col min="4355" max="4355" width="9.90625" style="3" customWidth="1"/>
    <col min="4356" max="4357" width="5.08984375" style="3" customWidth="1"/>
    <col min="4358" max="4358" width="9.6328125" style="3" customWidth="1"/>
    <col min="4359" max="4360" width="11.90625" style="3" customWidth="1"/>
    <col min="4361" max="4361" width="15.36328125" style="3" customWidth="1"/>
    <col min="4362" max="4362" width="10.90625" style="3" customWidth="1"/>
    <col min="4363" max="4373" width="13.36328125" style="3" customWidth="1"/>
    <col min="4374" max="4374" width="13.90625" style="3" customWidth="1"/>
    <col min="4375" max="4375" width="16.453125" style="3" customWidth="1"/>
    <col min="4376" max="4610" width="9" style="3"/>
    <col min="4611" max="4611" width="9.90625" style="3" customWidth="1"/>
    <col min="4612" max="4613" width="5.08984375" style="3" customWidth="1"/>
    <col min="4614" max="4614" width="9.6328125" style="3" customWidth="1"/>
    <col min="4615" max="4616" width="11.90625" style="3" customWidth="1"/>
    <col min="4617" max="4617" width="15.36328125" style="3" customWidth="1"/>
    <col min="4618" max="4618" width="10.90625" style="3" customWidth="1"/>
    <col min="4619" max="4629" width="13.36328125" style="3" customWidth="1"/>
    <col min="4630" max="4630" width="13.90625" style="3" customWidth="1"/>
    <col min="4631" max="4631" width="16.453125" style="3" customWidth="1"/>
    <col min="4632" max="4866" width="9" style="3"/>
    <col min="4867" max="4867" width="9.90625" style="3" customWidth="1"/>
    <col min="4868" max="4869" width="5.08984375" style="3" customWidth="1"/>
    <col min="4870" max="4870" width="9.6328125" style="3" customWidth="1"/>
    <col min="4871" max="4872" width="11.90625" style="3" customWidth="1"/>
    <col min="4873" max="4873" width="15.36328125" style="3" customWidth="1"/>
    <col min="4874" max="4874" width="10.90625" style="3" customWidth="1"/>
    <col min="4875" max="4885" width="13.36328125" style="3" customWidth="1"/>
    <col min="4886" max="4886" width="13.90625" style="3" customWidth="1"/>
    <col min="4887" max="4887" width="16.453125" style="3" customWidth="1"/>
    <col min="4888" max="5122" width="9" style="3"/>
    <col min="5123" max="5123" width="9.90625" style="3" customWidth="1"/>
    <col min="5124" max="5125" width="5.08984375" style="3" customWidth="1"/>
    <col min="5126" max="5126" width="9.6328125" style="3" customWidth="1"/>
    <col min="5127" max="5128" width="11.90625" style="3" customWidth="1"/>
    <col min="5129" max="5129" width="15.36328125" style="3" customWidth="1"/>
    <col min="5130" max="5130" width="10.90625" style="3" customWidth="1"/>
    <col min="5131" max="5141" width="13.36328125" style="3" customWidth="1"/>
    <col min="5142" max="5142" width="13.90625" style="3" customWidth="1"/>
    <col min="5143" max="5143" width="16.453125" style="3" customWidth="1"/>
    <col min="5144" max="5378" width="9" style="3"/>
    <col min="5379" max="5379" width="9.90625" style="3" customWidth="1"/>
    <col min="5380" max="5381" width="5.08984375" style="3" customWidth="1"/>
    <col min="5382" max="5382" width="9.6328125" style="3" customWidth="1"/>
    <col min="5383" max="5384" width="11.90625" style="3" customWidth="1"/>
    <col min="5385" max="5385" width="15.36328125" style="3" customWidth="1"/>
    <col min="5386" max="5386" width="10.90625" style="3" customWidth="1"/>
    <col min="5387" max="5397" width="13.36328125" style="3" customWidth="1"/>
    <col min="5398" max="5398" width="13.90625" style="3" customWidth="1"/>
    <col min="5399" max="5399" width="16.453125" style="3" customWidth="1"/>
    <col min="5400" max="5634" width="9" style="3"/>
    <col min="5635" max="5635" width="9.90625" style="3" customWidth="1"/>
    <col min="5636" max="5637" width="5.08984375" style="3" customWidth="1"/>
    <col min="5638" max="5638" width="9.6328125" style="3" customWidth="1"/>
    <col min="5639" max="5640" width="11.90625" style="3" customWidth="1"/>
    <col min="5641" max="5641" width="15.36328125" style="3" customWidth="1"/>
    <col min="5642" max="5642" width="10.90625" style="3" customWidth="1"/>
    <col min="5643" max="5653" width="13.36328125" style="3" customWidth="1"/>
    <col min="5654" max="5654" width="13.90625" style="3" customWidth="1"/>
    <col min="5655" max="5655" width="16.453125" style="3" customWidth="1"/>
    <col min="5656" max="5890" width="9" style="3"/>
    <col min="5891" max="5891" width="9.90625" style="3" customWidth="1"/>
    <col min="5892" max="5893" width="5.08984375" style="3" customWidth="1"/>
    <col min="5894" max="5894" width="9.6328125" style="3" customWidth="1"/>
    <col min="5895" max="5896" width="11.90625" style="3" customWidth="1"/>
    <col min="5897" max="5897" width="15.36328125" style="3" customWidth="1"/>
    <col min="5898" max="5898" width="10.90625" style="3" customWidth="1"/>
    <col min="5899" max="5909" width="13.36328125" style="3" customWidth="1"/>
    <col min="5910" max="5910" width="13.90625" style="3" customWidth="1"/>
    <col min="5911" max="5911" width="16.453125" style="3" customWidth="1"/>
    <col min="5912" max="6146" width="9" style="3"/>
    <col min="6147" max="6147" width="9.90625" style="3" customWidth="1"/>
    <col min="6148" max="6149" width="5.08984375" style="3" customWidth="1"/>
    <col min="6150" max="6150" width="9.6328125" style="3" customWidth="1"/>
    <col min="6151" max="6152" width="11.90625" style="3" customWidth="1"/>
    <col min="6153" max="6153" width="15.36328125" style="3" customWidth="1"/>
    <col min="6154" max="6154" width="10.90625" style="3" customWidth="1"/>
    <col min="6155" max="6165" width="13.36328125" style="3" customWidth="1"/>
    <col min="6166" max="6166" width="13.90625" style="3" customWidth="1"/>
    <col min="6167" max="6167" width="16.453125" style="3" customWidth="1"/>
    <col min="6168" max="6402" width="9" style="3"/>
    <col min="6403" max="6403" width="9.90625" style="3" customWidth="1"/>
    <col min="6404" max="6405" width="5.08984375" style="3" customWidth="1"/>
    <col min="6406" max="6406" width="9.6328125" style="3" customWidth="1"/>
    <col min="6407" max="6408" width="11.90625" style="3" customWidth="1"/>
    <col min="6409" max="6409" width="15.36328125" style="3" customWidth="1"/>
    <col min="6410" max="6410" width="10.90625" style="3" customWidth="1"/>
    <col min="6411" max="6421" width="13.36328125" style="3" customWidth="1"/>
    <col min="6422" max="6422" width="13.90625" style="3" customWidth="1"/>
    <col min="6423" max="6423" width="16.453125" style="3" customWidth="1"/>
    <col min="6424" max="6658" width="9" style="3"/>
    <col min="6659" max="6659" width="9.90625" style="3" customWidth="1"/>
    <col min="6660" max="6661" width="5.08984375" style="3" customWidth="1"/>
    <col min="6662" max="6662" width="9.6328125" style="3" customWidth="1"/>
    <col min="6663" max="6664" width="11.90625" style="3" customWidth="1"/>
    <col min="6665" max="6665" width="15.36328125" style="3" customWidth="1"/>
    <col min="6666" max="6666" width="10.90625" style="3" customWidth="1"/>
    <col min="6667" max="6677" width="13.36328125" style="3" customWidth="1"/>
    <col min="6678" max="6678" width="13.90625" style="3" customWidth="1"/>
    <col min="6679" max="6679" width="16.453125" style="3" customWidth="1"/>
    <col min="6680" max="6914" width="9" style="3"/>
    <col min="6915" max="6915" width="9.90625" style="3" customWidth="1"/>
    <col min="6916" max="6917" width="5.08984375" style="3" customWidth="1"/>
    <col min="6918" max="6918" width="9.6328125" style="3" customWidth="1"/>
    <col min="6919" max="6920" width="11.90625" style="3" customWidth="1"/>
    <col min="6921" max="6921" width="15.36328125" style="3" customWidth="1"/>
    <col min="6922" max="6922" width="10.90625" style="3" customWidth="1"/>
    <col min="6923" max="6933" width="13.36328125" style="3" customWidth="1"/>
    <col min="6934" max="6934" width="13.90625" style="3" customWidth="1"/>
    <col min="6935" max="6935" width="16.453125" style="3" customWidth="1"/>
    <col min="6936" max="7170" width="9" style="3"/>
    <col min="7171" max="7171" width="9.90625" style="3" customWidth="1"/>
    <col min="7172" max="7173" width="5.08984375" style="3" customWidth="1"/>
    <col min="7174" max="7174" width="9.6328125" style="3" customWidth="1"/>
    <col min="7175" max="7176" width="11.90625" style="3" customWidth="1"/>
    <col min="7177" max="7177" width="15.36328125" style="3" customWidth="1"/>
    <col min="7178" max="7178" width="10.90625" style="3" customWidth="1"/>
    <col min="7179" max="7189" width="13.36328125" style="3" customWidth="1"/>
    <col min="7190" max="7190" width="13.90625" style="3" customWidth="1"/>
    <col min="7191" max="7191" width="16.453125" style="3" customWidth="1"/>
    <col min="7192" max="7426" width="9" style="3"/>
    <col min="7427" max="7427" width="9.90625" style="3" customWidth="1"/>
    <col min="7428" max="7429" width="5.08984375" style="3" customWidth="1"/>
    <col min="7430" max="7430" width="9.6328125" style="3" customWidth="1"/>
    <col min="7431" max="7432" width="11.90625" style="3" customWidth="1"/>
    <col min="7433" max="7433" width="15.36328125" style="3" customWidth="1"/>
    <col min="7434" max="7434" width="10.90625" style="3" customWidth="1"/>
    <col min="7435" max="7445" width="13.36328125" style="3" customWidth="1"/>
    <col min="7446" max="7446" width="13.90625" style="3" customWidth="1"/>
    <col min="7447" max="7447" width="16.453125" style="3" customWidth="1"/>
    <col min="7448" max="7682" width="9" style="3"/>
    <col min="7683" max="7683" width="9.90625" style="3" customWidth="1"/>
    <col min="7684" max="7685" width="5.08984375" style="3" customWidth="1"/>
    <col min="7686" max="7686" width="9.6328125" style="3" customWidth="1"/>
    <col min="7687" max="7688" width="11.90625" style="3" customWidth="1"/>
    <col min="7689" max="7689" width="15.36328125" style="3" customWidth="1"/>
    <col min="7690" max="7690" width="10.90625" style="3" customWidth="1"/>
    <col min="7691" max="7701" width="13.36328125" style="3" customWidth="1"/>
    <col min="7702" max="7702" width="13.90625" style="3" customWidth="1"/>
    <col min="7703" max="7703" width="16.453125" style="3" customWidth="1"/>
    <col min="7704" max="7938" width="9" style="3"/>
    <col min="7939" max="7939" width="9.90625" style="3" customWidth="1"/>
    <col min="7940" max="7941" width="5.08984375" style="3" customWidth="1"/>
    <col min="7942" max="7942" width="9.6328125" style="3" customWidth="1"/>
    <col min="7943" max="7944" width="11.90625" style="3" customWidth="1"/>
    <col min="7945" max="7945" width="15.36328125" style="3" customWidth="1"/>
    <col min="7946" max="7946" width="10.90625" style="3" customWidth="1"/>
    <col min="7947" max="7957" width="13.36328125" style="3" customWidth="1"/>
    <col min="7958" max="7958" width="13.90625" style="3" customWidth="1"/>
    <col min="7959" max="7959" width="16.453125" style="3" customWidth="1"/>
    <col min="7960" max="8194" width="9" style="3"/>
    <col min="8195" max="8195" width="9.90625" style="3" customWidth="1"/>
    <col min="8196" max="8197" width="5.08984375" style="3" customWidth="1"/>
    <col min="8198" max="8198" width="9.6328125" style="3" customWidth="1"/>
    <col min="8199" max="8200" width="11.90625" style="3" customWidth="1"/>
    <col min="8201" max="8201" width="15.36328125" style="3" customWidth="1"/>
    <col min="8202" max="8202" width="10.90625" style="3" customWidth="1"/>
    <col min="8203" max="8213" width="13.36328125" style="3" customWidth="1"/>
    <col min="8214" max="8214" width="13.90625" style="3" customWidth="1"/>
    <col min="8215" max="8215" width="16.453125" style="3" customWidth="1"/>
    <col min="8216" max="8450" width="9" style="3"/>
    <col min="8451" max="8451" width="9.90625" style="3" customWidth="1"/>
    <col min="8452" max="8453" width="5.08984375" style="3" customWidth="1"/>
    <col min="8454" max="8454" width="9.6328125" style="3" customWidth="1"/>
    <col min="8455" max="8456" width="11.90625" style="3" customWidth="1"/>
    <col min="8457" max="8457" width="15.36328125" style="3" customWidth="1"/>
    <col min="8458" max="8458" width="10.90625" style="3" customWidth="1"/>
    <col min="8459" max="8469" width="13.36328125" style="3" customWidth="1"/>
    <col min="8470" max="8470" width="13.90625" style="3" customWidth="1"/>
    <col min="8471" max="8471" width="16.453125" style="3" customWidth="1"/>
    <col min="8472" max="8706" width="9" style="3"/>
    <col min="8707" max="8707" width="9.90625" style="3" customWidth="1"/>
    <col min="8708" max="8709" width="5.08984375" style="3" customWidth="1"/>
    <col min="8710" max="8710" width="9.6328125" style="3" customWidth="1"/>
    <col min="8711" max="8712" width="11.90625" style="3" customWidth="1"/>
    <col min="8713" max="8713" width="15.36328125" style="3" customWidth="1"/>
    <col min="8714" max="8714" width="10.90625" style="3" customWidth="1"/>
    <col min="8715" max="8725" width="13.36328125" style="3" customWidth="1"/>
    <col min="8726" max="8726" width="13.90625" style="3" customWidth="1"/>
    <col min="8727" max="8727" width="16.453125" style="3" customWidth="1"/>
    <col min="8728" max="8962" width="9" style="3"/>
    <col min="8963" max="8963" width="9.90625" style="3" customWidth="1"/>
    <col min="8964" max="8965" width="5.08984375" style="3" customWidth="1"/>
    <col min="8966" max="8966" width="9.6328125" style="3" customWidth="1"/>
    <col min="8967" max="8968" width="11.90625" style="3" customWidth="1"/>
    <col min="8969" max="8969" width="15.36328125" style="3" customWidth="1"/>
    <col min="8970" max="8970" width="10.90625" style="3" customWidth="1"/>
    <col min="8971" max="8981" width="13.36328125" style="3" customWidth="1"/>
    <col min="8982" max="8982" width="13.90625" style="3" customWidth="1"/>
    <col min="8983" max="8983" width="16.453125" style="3" customWidth="1"/>
    <col min="8984" max="9218" width="9" style="3"/>
    <col min="9219" max="9219" width="9.90625" style="3" customWidth="1"/>
    <col min="9220" max="9221" width="5.08984375" style="3" customWidth="1"/>
    <col min="9222" max="9222" width="9.6328125" style="3" customWidth="1"/>
    <col min="9223" max="9224" width="11.90625" style="3" customWidth="1"/>
    <col min="9225" max="9225" width="15.36328125" style="3" customWidth="1"/>
    <col min="9226" max="9226" width="10.90625" style="3" customWidth="1"/>
    <col min="9227" max="9237" width="13.36328125" style="3" customWidth="1"/>
    <col min="9238" max="9238" width="13.90625" style="3" customWidth="1"/>
    <col min="9239" max="9239" width="16.453125" style="3" customWidth="1"/>
    <col min="9240" max="9474" width="9" style="3"/>
    <col min="9475" max="9475" width="9.90625" style="3" customWidth="1"/>
    <col min="9476" max="9477" width="5.08984375" style="3" customWidth="1"/>
    <col min="9478" max="9478" width="9.6328125" style="3" customWidth="1"/>
    <col min="9479" max="9480" width="11.90625" style="3" customWidth="1"/>
    <col min="9481" max="9481" width="15.36328125" style="3" customWidth="1"/>
    <col min="9482" max="9482" width="10.90625" style="3" customWidth="1"/>
    <col min="9483" max="9493" width="13.36328125" style="3" customWidth="1"/>
    <col min="9494" max="9494" width="13.90625" style="3" customWidth="1"/>
    <col min="9495" max="9495" width="16.453125" style="3" customWidth="1"/>
    <col min="9496" max="9730" width="9" style="3"/>
    <col min="9731" max="9731" width="9.90625" style="3" customWidth="1"/>
    <col min="9732" max="9733" width="5.08984375" style="3" customWidth="1"/>
    <col min="9734" max="9734" width="9.6328125" style="3" customWidth="1"/>
    <col min="9735" max="9736" width="11.90625" style="3" customWidth="1"/>
    <col min="9737" max="9737" width="15.36328125" style="3" customWidth="1"/>
    <col min="9738" max="9738" width="10.90625" style="3" customWidth="1"/>
    <col min="9739" max="9749" width="13.36328125" style="3" customWidth="1"/>
    <col min="9750" max="9750" width="13.90625" style="3" customWidth="1"/>
    <col min="9751" max="9751" width="16.453125" style="3" customWidth="1"/>
    <col min="9752" max="9986" width="9" style="3"/>
    <col min="9987" max="9987" width="9.90625" style="3" customWidth="1"/>
    <col min="9988" max="9989" width="5.08984375" style="3" customWidth="1"/>
    <col min="9990" max="9990" width="9.6328125" style="3" customWidth="1"/>
    <col min="9991" max="9992" width="11.90625" style="3" customWidth="1"/>
    <col min="9993" max="9993" width="15.36328125" style="3" customWidth="1"/>
    <col min="9994" max="9994" width="10.90625" style="3" customWidth="1"/>
    <col min="9995" max="10005" width="13.36328125" style="3" customWidth="1"/>
    <col min="10006" max="10006" width="13.90625" style="3" customWidth="1"/>
    <col min="10007" max="10007" width="16.453125" style="3" customWidth="1"/>
    <col min="10008" max="10242" width="9" style="3"/>
    <col min="10243" max="10243" width="9.90625" style="3" customWidth="1"/>
    <col min="10244" max="10245" width="5.08984375" style="3" customWidth="1"/>
    <col min="10246" max="10246" width="9.6328125" style="3" customWidth="1"/>
    <col min="10247" max="10248" width="11.90625" style="3" customWidth="1"/>
    <col min="10249" max="10249" width="15.36328125" style="3" customWidth="1"/>
    <col min="10250" max="10250" width="10.90625" style="3" customWidth="1"/>
    <col min="10251" max="10261" width="13.36328125" style="3" customWidth="1"/>
    <col min="10262" max="10262" width="13.90625" style="3" customWidth="1"/>
    <col min="10263" max="10263" width="16.453125" style="3" customWidth="1"/>
    <col min="10264" max="10498" width="9" style="3"/>
    <col min="10499" max="10499" width="9.90625" style="3" customWidth="1"/>
    <col min="10500" max="10501" width="5.08984375" style="3" customWidth="1"/>
    <col min="10502" max="10502" width="9.6328125" style="3" customWidth="1"/>
    <col min="10503" max="10504" width="11.90625" style="3" customWidth="1"/>
    <col min="10505" max="10505" width="15.36328125" style="3" customWidth="1"/>
    <col min="10506" max="10506" width="10.90625" style="3" customWidth="1"/>
    <col min="10507" max="10517" width="13.36328125" style="3" customWidth="1"/>
    <col min="10518" max="10518" width="13.90625" style="3" customWidth="1"/>
    <col min="10519" max="10519" width="16.453125" style="3" customWidth="1"/>
    <col min="10520" max="10754" width="9" style="3"/>
    <col min="10755" max="10755" width="9.90625" style="3" customWidth="1"/>
    <col min="10756" max="10757" width="5.08984375" style="3" customWidth="1"/>
    <col min="10758" max="10758" width="9.6328125" style="3" customWidth="1"/>
    <col min="10759" max="10760" width="11.90625" style="3" customWidth="1"/>
    <col min="10761" max="10761" width="15.36328125" style="3" customWidth="1"/>
    <col min="10762" max="10762" width="10.90625" style="3" customWidth="1"/>
    <col min="10763" max="10773" width="13.36328125" style="3" customWidth="1"/>
    <col min="10774" max="10774" width="13.90625" style="3" customWidth="1"/>
    <col min="10775" max="10775" width="16.453125" style="3" customWidth="1"/>
    <col min="10776" max="11010" width="9" style="3"/>
    <col min="11011" max="11011" width="9.90625" style="3" customWidth="1"/>
    <col min="11012" max="11013" width="5.08984375" style="3" customWidth="1"/>
    <col min="11014" max="11014" width="9.6328125" style="3" customWidth="1"/>
    <col min="11015" max="11016" width="11.90625" style="3" customWidth="1"/>
    <col min="11017" max="11017" width="15.36328125" style="3" customWidth="1"/>
    <col min="11018" max="11018" width="10.90625" style="3" customWidth="1"/>
    <col min="11019" max="11029" width="13.36328125" style="3" customWidth="1"/>
    <col min="11030" max="11030" width="13.90625" style="3" customWidth="1"/>
    <col min="11031" max="11031" width="16.453125" style="3" customWidth="1"/>
    <col min="11032" max="11266" width="9" style="3"/>
    <col min="11267" max="11267" width="9.90625" style="3" customWidth="1"/>
    <col min="11268" max="11269" width="5.08984375" style="3" customWidth="1"/>
    <col min="11270" max="11270" width="9.6328125" style="3" customWidth="1"/>
    <col min="11271" max="11272" width="11.90625" style="3" customWidth="1"/>
    <col min="11273" max="11273" width="15.36328125" style="3" customWidth="1"/>
    <col min="11274" max="11274" width="10.90625" style="3" customWidth="1"/>
    <col min="11275" max="11285" width="13.36328125" style="3" customWidth="1"/>
    <col min="11286" max="11286" width="13.90625" style="3" customWidth="1"/>
    <col min="11287" max="11287" width="16.453125" style="3" customWidth="1"/>
    <col min="11288" max="11522" width="9" style="3"/>
    <col min="11523" max="11523" width="9.90625" style="3" customWidth="1"/>
    <col min="11524" max="11525" width="5.08984375" style="3" customWidth="1"/>
    <col min="11526" max="11526" width="9.6328125" style="3" customWidth="1"/>
    <col min="11527" max="11528" width="11.90625" style="3" customWidth="1"/>
    <col min="11529" max="11529" width="15.36328125" style="3" customWidth="1"/>
    <col min="11530" max="11530" width="10.90625" style="3" customWidth="1"/>
    <col min="11531" max="11541" width="13.36328125" style="3" customWidth="1"/>
    <col min="11542" max="11542" width="13.90625" style="3" customWidth="1"/>
    <col min="11543" max="11543" width="16.453125" style="3" customWidth="1"/>
    <col min="11544" max="11778" width="9" style="3"/>
    <col min="11779" max="11779" width="9.90625" style="3" customWidth="1"/>
    <col min="11780" max="11781" width="5.08984375" style="3" customWidth="1"/>
    <col min="11782" max="11782" width="9.6328125" style="3" customWidth="1"/>
    <col min="11783" max="11784" width="11.90625" style="3" customWidth="1"/>
    <col min="11785" max="11785" width="15.36328125" style="3" customWidth="1"/>
    <col min="11786" max="11786" width="10.90625" style="3" customWidth="1"/>
    <col min="11787" max="11797" width="13.36328125" style="3" customWidth="1"/>
    <col min="11798" max="11798" width="13.90625" style="3" customWidth="1"/>
    <col min="11799" max="11799" width="16.453125" style="3" customWidth="1"/>
    <col min="11800" max="12034" width="9" style="3"/>
    <col min="12035" max="12035" width="9.90625" style="3" customWidth="1"/>
    <col min="12036" max="12037" width="5.08984375" style="3" customWidth="1"/>
    <col min="12038" max="12038" width="9.6328125" style="3" customWidth="1"/>
    <col min="12039" max="12040" width="11.90625" style="3" customWidth="1"/>
    <col min="12041" max="12041" width="15.36328125" style="3" customWidth="1"/>
    <col min="12042" max="12042" width="10.90625" style="3" customWidth="1"/>
    <col min="12043" max="12053" width="13.36328125" style="3" customWidth="1"/>
    <col min="12054" max="12054" width="13.90625" style="3" customWidth="1"/>
    <col min="12055" max="12055" width="16.453125" style="3" customWidth="1"/>
    <col min="12056" max="12290" width="9" style="3"/>
    <col min="12291" max="12291" width="9.90625" style="3" customWidth="1"/>
    <col min="12292" max="12293" width="5.08984375" style="3" customWidth="1"/>
    <col min="12294" max="12294" width="9.6328125" style="3" customWidth="1"/>
    <col min="12295" max="12296" width="11.90625" style="3" customWidth="1"/>
    <col min="12297" max="12297" width="15.36328125" style="3" customWidth="1"/>
    <col min="12298" max="12298" width="10.90625" style="3" customWidth="1"/>
    <col min="12299" max="12309" width="13.36328125" style="3" customWidth="1"/>
    <col min="12310" max="12310" width="13.90625" style="3" customWidth="1"/>
    <col min="12311" max="12311" width="16.453125" style="3" customWidth="1"/>
    <col min="12312" max="12546" width="9" style="3"/>
    <col min="12547" max="12547" width="9.90625" style="3" customWidth="1"/>
    <col min="12548" max="12549" width="5.08984375" style="3" customWidth="1"/>
    <col min="12550" max="12550" width="9.6328125" style="3" customWidth="1"/>
    <col min="12551" max="12552" width="11.90625" style="3" customWidth="1"/>
    <col min="12553" max="12553" width="15.36328125" style="3" customWidth="1"/>
    <col min="12554" max="12554" width="10.90625" style="3" customWidth="1"/>
    <col min="12555" max="12565" width="13.36328125" style="3" customWidth="1"/>
    <col min="12566" max="12566" width="13.90625" style="3" customWidth="1"/>
    <col min="12567" max="12567" width="16.453125" style="3" customWidth="1"/>
    <col min="12568" max="12802" width="9" style="3"/>
    <col min="12803" max="12803" width="9.90625" style="3" customWidth="1"/>
    <col min="12804" max="12805" width="5.08984375" style="3" customWidth="1"/>
    <col min="12806" max="12806" width="9.6328125" style="3" customWidth="1"/>
    <col min="12807" max="12808" width="11.90625" style="3" customWidth="1"/>
    <col min="12809" max="12809" width="15.36328125" style="3" customWidth="1"/>
    <col min="12810" max="12810" width="10.90625" style="3" customWidth="1"/>
    <col min="12811" max="12821" width="13.36328125" style="3" customWidth="1"/>
    <col min="12822" max="12822" width="13.90625" style="3" customWidth="1"/>
    <col min="12823" max="12823" width="16.453125" style="3" customWidth="1"/>
    <col min="12824" max="13058" width="9" style="3"/>
    <col min="13059" max="13059" width="9.90625" style="3" customWidth="1"/>
    <col min="13060" max="13061" width="5.08984375" style="3" customWidth="1"/>
    <col min="13062" max="13062" width="9.6328125" style="3" customWidth="1"/>
    <col min="13063" max="13064" width="11.90625" style="3" customWidth="1"/>
    <col min="13065" max="13065" width="15.36328125" style="3" customWidth="1"/>
    <col min="13066" max="13066" width="10.90625" style="3" customWidth="1"/>
    <col min="13067" max="13077" width="13.36328125" style="3" customWidth="1"/>
    <col min="13078" max="13078" width="13.90625" style="3" customWidth="1"/>
    <col min="13079" max="13079" width="16.453125" style="3" customWidth="1"/>
    <col min="13080" max="13314" width="9" style="3"/>
    <col min="13315" max="13315" width="9.90625" style="3" customWidth="1"/>
    <col min="13316" max="13317" width="5.08984375" style="3" customWidth="1"/>
    <col min="13318" max="13318" width="9.6328125" style="3" customWidth="1"/>
    <col min="13319" max="13320" width="11.90625" style="3" customWidth="1"/>
    <col min="13321" max="13321" width="15.36328125" style="3" customWidth="1"/>
    <col min="13322" max="13322" width="10.90625" style="3" customWidth="1"/>
    <col min="13323" max="13333" width="13.36328125" style="3" customWidth="1"/>
    <col min="13334" max="13334" width="13.90625" style="3" customWidth="1"/>
    <col min="13335" max="13335" width="16.453125" style="3" customWidth="1"/>
    <col min="13336" max="13570" width="9" style="3"/>
    <col min="13571" max="13571" width="9.90625" style="3" customWidth="1"/>
    <col min="13572" max="13573" width="5.08984375" style="3" customWidth="1"/>
    <col min="13574" max="13574" width="9.6328125" style="3" customWidth="1"/>
    <col min="13575" max="13576" width="11.90625" style="3" customWidth="1"/>
    <col min="13577" max="13577" width="15.36328125" style="3" customWidth="1"/>
    <col min="13578" max="13578" width="10.90625" style="3" customWidth="1"/>
    <col min="13579" max="13589" width="13.36328125" style="3" customWidth="1"/>
    <col min="13590" max="13590" width="13.90625" style="3" customWidth="1"/>
    <col min="13591" max="13591" width="16.453125" style="3" customWidth="1"/>
    <col min="13592" max="13826" width="9" style="3"/>
    <col min="13827" max="13827" width="9.90625" style="3" customWidth="1"/>
    <col min="13828" max="13829" width="5.08984375" style="3" customWidth="1"/>
    <col min="13830" max="13830" width="9.6328125" style="3" customWidth="1"/>
    <col min="13831" max="13832" width="11.90625" style="3" customWidth="1"/>
    <col min="13833" max="13833" width="15.36328125" style="3" customWidth="1"/>
    <col min="13834" max="13834" width="10.90625" style="3" customWidth="1"/>
    <col min="13835" max="13845" width="13.36328125" style="3" customWidth="1"/>
    <col min="13846" max="13846" width="13.90625" style="3" customWidth="1"/>
    <col min="13847" max="13847" width="16.453125" style="3" customWidth="1"/>
    <col min="13848" max="14082" width="9" style="3"/>
    <col min="14083" max="14083" width="9.90625" style="3" customWidth="1"/>
    <col min="14084" max="14085" width="5.08984375" style="3" customWidth="1"/>
    <col min="14086" max="14086" width="9.6328125" style="3" customWidth="1"/>
    <col min="14087" max="14088" width="11.90625" style="3" customWidth="1"/>
    <col min="14089" max="14089" width="15.36328125" style="3" customWidth="1"/>
    <col min="14090" max="14090" width="10.90625" style="3" customWidth="1"/>
    <col min="14091" max="14101" width="13.36328125" style="3" customWidth="1"/>
    <col min="14102" max="14102" width="13.90625" style="3" customWidth="1"/>
    <col min="14103" max="14103" width="16.453125" style="3" customWidth="1"/>
    <col min="14104" max="14338" width="9" style="3"/>
    <col min="14339" max="14339" width="9.90625" style="3" customWidth="1"/>
    <col min="14340" max="14341" width="5.08984375" style="3" customWidth="1"/>
    <col min="14342" max="14342" width="9.6328125" style="3" customWidth="1"/>
    <col min="14343" max="14344" width="11.90625" style="3" customWidth="1"/>
    <col min="14345" max="14345" width="15.36328125" style="3" customWidth="1"/>
    <col min="14346" max="14346" width="10.90625" style="3" customWidth="1"/>
    <col min="14347" max="14357" width="13.36328125" style="3" customWidth="1"/>
    <col min="14358" max="14358" width="13.90625" style="3" customWidth="1"/>
    <col min="14359" max="14359" width="16.453125" style="3" customWidth="1"/>
    <col min="14360" max="14594" width="9" style="3"/>
    <col min="14595" max="14595" width="9.90625" style="3" customWidth="1"/>
    <col min="14596" max="14597" width="5.08984375" style="3" customWidth="1"/>
    <col min="14598" max="14598" width="9.6328125" style="3" customWidth="1"/>
    <col min="14599" max="14600" width="11.90625" style="3" customWidth="1"/>
    <col min="14601" max="14601" width="15.36328125" style="3" customWidth="1"/>
    <col min="14602" max="14602" width="10.90625" style="3" customWidth="1"/>
    <col min="14603" max="14613" width="13.36328125" style="3" customWidth="1"/>
    <col min="14614" max="14614" width="13.90625" style="3" customWidth="1"/>
    <col min="14615" max="14615" width="16.453125" style="3" customWidth="1"/>
    <col min="14616" max="14850" width="9" style="3"/>
    <col min="14851" max="14851" width="9.90625" style="3" customWidth="1"/>
    <col min="14852" max="14853" width="5.08984375" style="3" customWidth="1"/>
    <col min="14854" max="14854" width="9.6328125" style="3" customWidth="1"/>
    <col min="14855" max="14856" width="11.90625" style="3" customWidth="1"/>
    <col min="14857" max="14857" width="15.36328125" style="3" customWidth="1"/>
    <col min="14858" max="14858" width="10.90625" style="3" customWidth="1"/>
    <col min="14859" max="14869" width="13.36328125" style="3" customWidth="1"/>
    <col min="14870" max="14870" width="13.90625" style="3" customWidth="1"/>
    <col min="14871" max="14871" width="16.453125" style="3" customWidth="1"/>
    <col min="14872" max="15106" width="9" style="3"/>
    <col min="15107" max="15107" width="9.90625" style="3" customWidth="1"/>
    <col min="15108" max="15109" width="5.08984375" style="3" customWidth="1"/>
    <col min="15110" max="15110" width="9.6328125" style="3" customWidth="1"/>
    <col min="15111" max="15112" width="11.90625" style="3" customWidth="1"/>
    <col min="15113" max="15113" width="15.36328125" style="3" customWidth="1"/>
    <col min="15114" max="15114" width="10.90625" style="3" customWidth="1"/>
    <col min="15115" max="15125" width="13.36328125" style="3" customWidth="1"/>
    <col min="15126" max="15126" width="13.90625" style="3" customWidth="1"/>
    <col min="15127" max="15127" width="16.453125" style="3" customWidth="1"/>
    <col min="15128" max="15362" width="9" style="3"/>
    <col min="15363" max="15363" width="9.90625" style="3" customWidth="1"/>
    <col min="15364" max="15365" width="5.08984375" style="3" customWidth="1"/>
    <col min="15366" max="15366" width="9.6328125" style="3" customWidth="1"/>
    <col min="15367" max="15368" width="11.90625" style="3" customWidth="1"/>
    <col min="15369" max="15369" width="15.36328125" style="3" customWidth="1"/>
    <col min="15370" max="15370" width="10.90625" style="3" customWidth="1"/>
    <col min="15371" max="15381" width="13.36328125" style="3" customWidth="1"/>
    <col min="15382" max="15382" width="13.90625" style="3" customWidth="1"/>
    <col min="15383" max="15383" width="16.453125" style="3" customWidth="1"/>
    <col min="15384" max="15618" width="9" style="3"/>
    <col min="15619" max="15619" width="9.90625" style="3" customWidth="1"/>
    <col min="15620" max="15621" width="5.08984375" style="3" customWidth="1"/>
    <col min="15622" max="15622" width="9.6328125" style="3" customWidth="1"/>
    <col min="15623" max="15624" width="11.90625" style="3" customWidth="1"/>
    <col min="15625" max="15625" width="15.36328125" style="3" customWidth="1"/>
    <col min="15626" max="15626" width="10.90625" style="3" customWidth="1"/>
    <col min="15627" max="15637" width="13.36328125" style="3" customWidth="1"/>
    <col min="15638" max="15638" width="13.90625" style="3" customWidth="1"/>
    <col min="15639" max="15639" width="16.453125" style="3" customWidth="1"/>
    <col min="15640" max="15874" width="9" style="3"/>
    <col min="15875" max="15875" width="9.90625" style="3" customWidth="1"/>
    <col min="15876" max="15877" width="5.08984375" style="3" customWidth="1"/>
    <col min="15878" max="15878" width="9.6328125" style="3" customWidth="1"/>
    <col min="15879" max="15880" width="11.90625" style="3" customWidth="1"/>
    <col min="15881" max="15881" width="15.36328125" style="3" customWidth="1"/>
    <col min="15882" max="15882" width="10.90625" style="3" customWidth="1"/>
    <col min="15883" max="15893" width="13.36328125" style="3" customWidth="1"/>
    <col min="15894" max="15894" width="13.90625" style="3" customWidth="1"/>
    <col min="15895" max="15895" width="16.453125" style="3" customWidth="1"/>
    <col min="15896" max="16130" width="9" style="3"/>
    <col min="16131" max="16131" width="9.90625" style="3" customWidth="1"/>
    <col min="16132" max="16133" width="5.08984375" style="3" customWidth="1"/>
    <col min="16134" max="16134" width="9.6328125" style="3" customWidth="1"/>
    <col min="16135" max="16136" width="11.90625" style="3" customWidth="1"/>
    <col min="16137" max="16137" width="15.36328125" style="3" customWidth="1"/>
    <col min="16138" max="16138" width="10.90625" style="3" customWidth="1"/>
    <col min="16139" max="16149" width="13.36328125" style="3" customWidth="1"/>
    <col min="16150" max="16150" width="13.90625" style="3" customWidth="1"/>
    <col min="16151" max="16151" width="16.453125" style="3" customWidth="1"/>
    <col min="16152" max="16384" width="9" style="3"/>
  </cols>
  <sheetData>
    <row r="1" spans="1:24" s="1" customFormat="1" ht="36">
      <c r="A1" s="1" t="s">
        <v>67</v>
      </c>
      <c r="B1" s="1" t="s">
        <v>68</v>
      </c>
      <c r="C1" s="72" t="s">
        <v>0</v>
      </c>
      <c r="D1" s="73" t="s">
        <v>1</v>
      </c>
      <c r="E1" s="73" t="s">
        <v>2</v>
      </c>
      <c r="F1" s="74" t="s">
        <v>3</v>
      </c>
      <c r="G1" s="74" t="s">
        <v>4</v>
      </c>
      <c r="H1" s="75" t="s">
        <v>5</v>
      </c>
      <c r="I1" s="76" t="s">
        <v>6</v>
      </c>
      <c r="J1" s="34" t="s">
        <v>7</v>
      </c>
      <c r="K1" s="29" t="s">
        <v>8</v>
      </c>
      <c r="L1" s="39" t="s">
        <v>9</v>
      </c>
      <c r="M1" s="39" t="s">
        <v>10</v>
      </c>
      <c r="N1" s="39" t="s">
        <v>11</v>
      </c>
      <c r="O1" s="39" t="s">
        <v>12</v>
      </c>
      <c r="P1" s="39" t="s">
        <v>13</v>
      </c>
      <c r="Q1" s="39" t="s">
        <v>14</v>
      </c>
      <c r="R1" s="39" t="s">
        <v>15</v>
      </c>
      <c r="S1" s="39" t="s">
        <v>16</v>
      </c>
      <c r="T1" s="39" t="s">
        <v>17</v>
      </c>
      <c r="U1" s="39" t="s">
        <v>18</v>
      </c>
      <c r="V1" s="30" t="s">
        <v>19</v>
      </c>
      <c r="W1" s="24" t="s">
        <v>20</v>
      </c>
    </row>
    <row r="2" spans="1:24" s="1" customFormat="1">
      <c r="C2" s="353" t="s">
        <v>60</v>
      </c>
      <c r="D2" s="354"/>
      <c r="E2" s="354"/>
      <c r="F2" s="354"/>
      <c r="G2" s="354"/>
      <c r="H2" s="354"/>
      <c r="I2" s="355"/>
      <c r="J2" s="31" t="s">
        <v>21</v>
      </c>
      <c r="K2" s="46">
        <f>K5+K6</f>
        <v>0</v>
      </c>
      <c r="L2" s="43">
        <f t="shared" ref="L2:V2" si="0">L5+L6</f>
        <v>0</v>
      </c>
      <c r="M2" s="43">
        <f t="shared" si="0"/>
        <v>0</v>
      </c>
      <c r="N2" s="43">
        <f t="shared" si="0"/>
        <v>0</v>
      </c>
      <c r="O2" s="43">
        <f t="shared" si="0"/>
        <v>0</v>
      </c>
      <c r="P2" s="43">
        <f t="shared" si="0"/>
        <v>0</v>
      </c>
      <c r="Q2" s="43">
        <f t="shared" si="0"/>
        <v>0</v>
      </c>
      <c r="R2" s="43">
        <f t="shared" si="0"/>
        <v>0</v>
      </c>
      <c r="S2" s="43">
        <f t="shared" si="0"/>
        <v>0</v>
      </c>
      <c r="T2" s="43">
        <f t="shared" si="0"/>
        <v>0</v>
      </c>
      <c r="U2" s="43">
        <f t="shared" si="0"/>
        <v>0</v>
      </c>
      <c r="V2" s="107">
        <f t="shared" si="0"/>
        <v>0</v>
      </c>
      <c r="W2" s="52">
        <f>SUM(K2:V2)</f>
        <v>0</v>
      </c>
    </row>
    <row r="3" spans="1:24" s="1" customFormat="1">
      <c r="C3" s="356"/>
      <c r="D3" s="357"/>
      <c r="E3" s="357"/>
      <c r="F3" s="357"/>
      <c r="G3" s="357"/>
      <c r="H3" s="357"/>
      <c r="I3" s="358"/>
      <c r="J3" s="2" t="s">
        <v>22</v>
      </c>
      <c r="K3" s="47">
        <f>K39</f>
        <v>0</v>
      </c>
      <c r="L3" s="44">
        <f t="shared" ref="L3:V3" si="1">L39</f>
        <v>0</v>
      </c>
      <c r="M3" s="44">
        <f t="shared" si="1"/>
        <v>0</v>
      </c>
      <c r="N3" s="44">
        <f t="shared" si="1"/>
        <v>0</v>
      </c>
      <c r="O3" s="44">
        <f t="shared" si="1"/>
        <v>0</v>
      </c>
      <c r="P3" s="44">
        <f t="shared" si="1"/>
        <v>0</v>
      </c>
      <c r="Q3" s="44">
        <f t="shared" si="1"/>
        <v>0</v>
      </c>
      <c r="R3" s="44">
        <f t="shared" si="1"/>
        <v>0</v>
      </c>
      <c r="S3" s="44">
        <f t="shared" si="1"/>
        <v>0</v>
      </c>
      <c r="T3" s="44">
        <f t="shared" si="1"/>
        <v>0</v>
      </c>
      <c r="U3" s="44">
        <f t="shared" si="1"/>
        <v>0</v>
      </c>
      <c r="V3" s="108">
        <f t="shared" si="1"/>
        <v>0</v>
      </c>
      <c r="W3" s="54">
        <f>SUM(K3:V3)</f>
        <v>0</v>
      </c>
    </row>
    <row r="4" spans="1:24" s="1" customFormat="1" ht="26.25" customHeight="1">
      <c r="C4" s="359"/>
      <c r="D4" s="360"/>
      <c r="E4" s="360"/>
      <c r="F4" s="360"/>
      <c r="G4" s="360"/>
      <c r="H4" s="360"/>
      <c r="I4" s="361"/>
      <c r="J4" s="32" t="s">
        <v>23</v>
      </c>
      <c r="K4" s="48">
        <f>K2-K3</f>
        <v>0</v>
      </c>
      <c r="L4" s="45">
        <f>L2-L3</f>
        <v>0</v>
      </c>
      <c r="M4" s="45">
        <f t="shared" ref="M4:V4" si="2">M2-M3</f>
        <v>0</v>
      </c>
      <c r="N4" s="45">
        <f t="shared" si="2"/>
        <v>0</v>
      </c>
      <c r="O4" s="45">
        <f t="shared" si="2"/>
        <v>0</v>
      </c>
      <c r="P4" s="45">
        <f t="shared" si="2"/>
        <v>0</v>
      </c>
      <c r="Q4" s="45">
        <f t="shared" si="2"/>
        <v>0</v>
      </c>
      <c r="R4" s="45">
        <f t="shared" si="2"/>
        <v>0</v>
      </c>
      <c r="S4" s="45">
        <f t="shared" si="2"/>
        <v>0</v>
      </c>
      <c r="T4" s="45">
        <f>T2-T3</f>
        <v>0</v>
      </c>
      <c r="U4" s="45">
        <f>U2-U3</f>
        <v>0</v>
      </c>
      <c r="V4" s="109">
        <f t="shared" si="2"/>
        <v>0</v>
      </c>
      <c r="W4" s="55">
        <f>SUM(K4:V4)</f>
        <v>0</v>
      </c>
    </row>
    <row r="5" spans="1:24" s="1" customFormat="1" ht="27.75" customHeight="1">
      <c r="C5" s="362" t="s">
        <v>38</v>
      </c>
      <c r="D5" s="363"/>
      <c r="E5" s="363"/>
      <c r="F5" s="363"/>
      <c r="G5" s="363"/>
      <c r="H5" s="363"/>
      <c r="I5" s="364"/>
      <c r="J5" s="21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64"/>
      <c r="W5" s="56">
        <f>SUM(K5:V5)</f>
        <v>0</v>
      </c>
      <c r="X5" s="7" t="s">
        <v>79</v>
      </c>
    </row>
    <row r="6" spans="1:24" s="1" customFormat="1" ht="27.75" customHeight="1">
      <c r="C6" s="353" t="s">
        <v>39</v>
      </c>
      <c r="D6" s="354"/>
      <c r="E6" s="354"/>
      <c r="F6" s="354"/>
      <c r="G6" s="354"/>
      <c r="H6" s="354"/>
      <c r="I6" s="355"/>
      <c r="J6" s="77"/>
      <c r="K6" s="201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110"/>
      <c r="W6" s="111">
        <f>SUM(K6:V6)</f>
        <v>0</v>
      </c>
    </row>
    <row r="7" spans="1:24" ht="13.4" customHeight="1">
      <c r="A7" s="3">
        <v>2017026</v>
      </c>
      <c r="C7" s="368">
        <v>2</v>
      </c>
      <c r="D7" s="350"/>
      <c r="E7" s="350"/>
      <c r="F7" s="347"/>
      <c r="G7" s="350" t="s">
        <v>41</v>
      </c>
      <c r="H7" s="350"/>
      <c r="I7" s="365" t="s">
        <v>34</v>
      </c>
      <c r="J7" s="71" t="s">
        <v>24</v>
      </c>
      <c r="K7" s="189">
        <f t="shared" ref="K7:U7" si="3">SUM(K8:K14)</f>
        <v>0</v>
      </c>
      <c r="L7" s="134">
        <f t="shared" si="3"/>
        <v>0</v>
      </c>
      <c r="M7" s="134">
        <f t="shared" si="3"/>
        <v>0</v>
      </c>
      <c r="N7" s="134">
        <f t="shared" si="3"/>
        <v>0</v>
      </c>
      <c r="O7" s="134">
        <f>SUM(O8:O14)</f>
        <v>0</v>
      </c>
      <c r="P7" s="134">
        <f t="shared" si="3"/>
        <v>0</v>
      </c>
      <c r="Q7" s="134">
        <f t="shared" si="3"/>
        <v>0</v>
      </c>
      <c r="R7" s="134">
        <f t="shared" si="3"/>
        <v>0</v>
      </c>
      <c r="S7" s="134">
        <f t="shared" si="3"/>
        <v>0</v>
      </c>
      <c r="T7" s="134">
        <f t="shared" si="3"/>
        <v>0</v>
      </c>
      <c r="U7" s="134">
        <f t="shared" si="3"/>
        <v>0</v>
      </c>
      <c r="V7" s="112">
        <f t="shared" ref="V7" si="4">SUM(V8:V14)</f>
        <v>0</v>
      </c>
      <c r="W7" s="113">
        <f t="shared" ref="W7:W30" si="5">SUM(K7:V7)</f>
        <v>0</v>
      </c>
    </row>
    <row r="8" spans="1:24">
      <c r="A8" s="20">
        <f>A7</f>
        <v>2017026</v>
      </c>
      <c r="B8" s="20"/>
      <c r="C8" s="369"/>
      <c r="D8" s="351"/>
      <c r="E8" s="351"/>
      <c r="F8" s="348"/>
      <c r="G8" s="351"/>
      <c r="H8" s="351"/>
      <c r="I8" s="366"/>
      <c r="J8" s="10" t="s">
        <v>25</v>
      </c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58"/>
      <c r="W8" s="114">
        <f t="shared" si="5"/>
        <v>0</v>
      </c>
      <c r="X8" s="136"/>
    </row>
    <row r="9" spans="1:24">
      <c r="A9" s="20">
        <f t="shared" ref="A9:A14" si="6">A8</f>
        <v>2017026</v>
      </c>
      <c r="B9" s="20"/>
      <c r="C9" s="369"/>
      <c r="D9" s="351"/>
      <c r="E9" s="351"/>
      <c r="F9" s="348"/>
      <c r="G9" s="351"/>
      <c r="H9" s="351"/>
      <c r="I9" s="366"/>
      <c r="J9" s="10" t="s">
        <v>30</v>
      </c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58"/>
      <c r="W9" s="114">
        <f t="shared" si="5"/>
        <v>0</v>
      </c>
      <c r="X9" s="136"/>
    </row>
    <row r="10" spans="1:24">
      <c r="A10" s="20">
        <f t="shared" si="6"/>
        <v>2017026</v>
      </c>
      <c r="B10" s="20"/>
      <c r="C10" s="369"/>
      <c r="D10" s="351"/>
      <c r="E10" s="351"/>
      <c r="F10" s="348"/>
      <c r="G10" s="351"/>
      <c r="H10" s="351"/>
      <c r="I10" s="366"/>
      <c r="J10" s="10" t="s">
        <v>33</v>
      </c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58"/>
      <c r="W10" s="114">
        <f t="shared" si="5"/>
        <v>0</v>
      </c>
      <c r="X10" s="136"/>
    </row>
    <row r="11" spans="1:24">
      <c r="A11" s="20">
        <f t="shared" si="6"/>
        <v>2017026</v>
      </c>
      <c r="B11" s="20"/>
      <c r="C11" s="369"/>
      <c r="D11" s="351"/>
      <c r="E11" s="351"/>
      <c r="F11" s="348"/>
      <c r="G11" s="351"/>
      <c r="H11" s="351"/>
      <c r="I11" s="366"/>
      <c r="J11" s="10" t="s">
        <v>26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58"/>
      <c r="W11" s="114">
        <f t="shared" si="5"/>
        <v>0</v>
      </c>
      <c r="X11" s="136"/>
    </row>
    <row r="12" spans="1:24">
      <c r="A12" s="20">
        <f t="shared" si="6"/>
        <v>2017026</v>
      </c>
      <c r="B12" s="20"/>
      <c r="C12" s="369"/>
      <c r="D12" s="351"/>
      <c r="E12" s="351"/>
      <c r="F12" s="348"/>
      <c r="G12" s="351"/>
      <c r="H12" s="351"/>
      <c r="I12" s="366"/>
      <c r="J12" s="10" t="s">
        <v>27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58"/>
      <c r="W12" s="114">
        <f t="shared" si="5"/>
        <v>0</v>
      </c>
      <c r="X12" s="136"/>
    </row>
    <row r="13" spans="1:24">
      <c r="A13" s="20">
        <f t="shared" si="6"/>
        <v>2017026</v>
      </c>
      <c r="B13" s="20"/>
      <c r="C13" s="369"/>
      <c r="D13" s="351"/>
      <c r="E13" s="351"/>
      <c r="F13" s="348"/>
      <c r="G13" s="351"/>
      <c r="H13" s="351"/>
      <c r="I13" s="366"/>
      <c r="J13" s="10" t="s">
        <v>28</v>
      </c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58"/>
      <c r="W13" s="114">
        <f t="shared" si="5"/>
        <v>0</v>
      </c>
      <c r="X13" s="136"/>
    </row>
    <row r="14" spans="1:24">
      <c r="A14" s="20">
        <f t="shared" si="6"/>
        <v>2017026</v>
      </c>
      <c r="B14" s="20"/>
      <c r="C14" s="370"/>
      <c r="D14" s="352"/>
      <c r="E14" s="352"/>
      <c r="F14" s="349"/>
      <c r="G14" s="352"/>
      <c r="H14" s="352"/>
      <c r="I14" s="367"/>
      <c r="J14" s="12" t="s">
        <v>29</v>
      </c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65"/>
      <c r="W14" s="115">
        <f t="shared" si="5"/>
        <v>0</v>
      </c>
      <c r="X14" s="136"/>
    </row>
    <row r="15" spans="1:24" ht="13.4" customHeight="1">
      <c r="A15" s="14">
        <v>2024009</v>
      </c>
      <c r="C15" s="368">
        <v>3</v>
      </c>
      <c r="D15" s="350"/>
      <c r="E15" s="350"/>
      <c r="F15" s="347"/>
      <c r="G15" s="350" t="s">
        <v>41</v>
      </c>
      <c r="H15" s="350"/>
      <c r="I15" s="365" t="s">
        <v>34</v>
      </c>
      <c r="J15" s="71" t="s">
        <v>24</v>
      </c>
      <c r="K15" s="189">
        <f t="shared" ref="K15:U15" si="7">SUM(K16:K22)</f>
        <v>0</v>
      </c>
      <c r="L15" s="134">
        <f t="shared" si="7"/>
        <v>0</v>
      </c>
      <c r="M15" s="134">
        <f t="shared" si="7"/>
        <v>0</v>
      </c>
      <c r="N15" s="134">
        <f t="shared" si="7"/>
        <v>0</v>
      </c>
      <c r="O15" s="134">
        <f t="shared" si="7"/>
        <v>0</v>
      </c>
      <c r="P15" s="134">
        <f t="shared" si="7"/>
        <v>0</v>
      </c>
      <c r="Q15" s="134">
        <f t="shared" si="7"/>
        <v>0</v>
      </c>
      <c r="R15" s="134">
        <f t="shared" si="7"/>
        <v>0</v>
      </c>
      <c r="S15" s="134">
        <f t="shared" si="7"/>
        <v>0</v>
      </c>
      <c r="T15" s="134">
        <f t="shared" si="7"/>
        <v>0</v>
      </c>
      <c r="U15" s="134">
        <f t="shared" si="7"/>
        <v>0</v>
      </c>
      <c r="V15" s="112">
        <f t="shared" ref="V15" si="8">SUM(V16:V22)</f>
        <v>0</v>
      </c>
      <c r="W15" s="113">
        <f t="shared" si="5"/>
        <v>0</v>
      </c>
    </row>
    <row r="16" spans="1:24">
      <c r="A16" s="20">
        <f>A15</f>
        <v>2024009</v>
      </c>
      <c r="B16" s="20"/>
      <c r="C16" s="369"/>
      <c r="D16" s="351"/>
      <c r="E16" s="351"/>
      <c r="F16" s="348"/>
      <c r="G16" s="351"/>
      <c r="H16" s="351"/>
      <c r="I16" s="366"/>
      <c r="J16" s="10" t="s">
        <v>25</v>
      </c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58"/>
      <c r="W16" s="114">
        <f t="shared" si="5"/>
        <v>0</v>
      </c>
      <c r="X16" s="136"/>
    </row>
    <row r="17" spans="1:24">
      <c r="A17" s="20">
        <f t="shared" ref="A17:A22" si="9">A16</f>
        <v>2024009</v>
      </c>
      <c r="B17" s="20"/>
      <c r="C17" s="369"/>
      <c r="D17" s="351"/>
      <c r="E17" s="351"/>
      <c r="F17" s="348"/>
      <c r="G17" s="351"/>
      <c r="H17" s="351"/>
      <c r="I17" s="366"/>
      <c r="J17" s="10" t="s">
        <v>30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58"/>
      <c r="W17" s="114">
        <f t="shared" si="5"/>
        <v>0</v>
      </c>
      <c r="X17" s="136"/>
    </row>
    <row r="18" spans="1:24">
      <c r="A18" s="20">
        <f t="shared" si="9"/>
        <v>2024009</v>
      </c>
      <c r="B18" s="20"/>
      <c r="C18" s="369"/>
      <c r="D18" s="351"/>
      <c r="E18" s="351"/>
      <c r="F18" s="348"/>
      <c r="G18" s="351"/>
      <c r="H18" s="351"/>
      <c r="I18" s="366"/>
      <c r="J18" s="10" t="s">
        <v>33</v>
      </c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58"/>
      <c r="W18" s="114">
        <f t="shared" si="5"/>
        <v>0</v>
      </c>
      <c r="X18" s="136"/>
    </row>
    <row r="19" spans="1:24">
      <c r="A19" s="20">
        <f t="shared" si="9"/>
        <v>2024009</v>
      </c>
      <c r="B19" s="20"/>
      <c r="C19" s="369"/>
      <c r="D19" s="351"/>
      <c r="E19" s="351"/>
      <c r="F19" s="348"/>
      <c r="G19" s="351"/>
      <c r="H19" s="351"/>
      <c r="I19" s="366"/>
      <c r="J19" s="10" t="s">
        <v>26</v>
      </c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58"/>
      <c r="W19" s="114">
        <f t="shared" si="5"/>
        <v>0</v>
      </c>
      <c r="X19" s="136"/>
    </row>
    <row r="20" spans="1:24">
      <c r="A20" s="20">
        <f t="shared" si="9"/>
        <v>2024009</v>
      </c>
      <c r="B20" s="20"/>
      <c r="C20" s="369"/>
      <c r="D20" s="351"/>
      <c r="E20" s="351"/>
      <c r="F20" s="348"/>
      <c r="G20" s="351"/>
      <c r="H20" s="351"/>
      <c r="I20" s="366"/>
      <c r="J20" s="10" t="s">
        <v>27</v>
      </c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58"/>
      <c r="W20" s="114">
        <f t="shared" si="5"/>
        <v>0</v>
      </c>
      <c r="X20" s="136"/>
    </row>
    <row r="21" spans="1:24">
      <c r="A21" s="20">
        <f t="shared" si="9"/>
        <v>2024009</v>
      </c>
      <c r="B21" s="20"/>
      <c r="C21" s="369"/>
      <c r="D21" s="351"/>
      <c r="E21" s="351"/>
      <c r="F21" s="348"/>
      <c r="G21" s="351"/>
      <c r="H21" s="351"/>
      <c r="I21" s="366"/>
      <c r="J21" s="10" t="s">
        <v>28</v>
      </c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58"/>
      <c r="W21" s="114">
        <f t="shared" si="5"/>
        <v>0</v>
      </c>
      <c r="X21" s="136"/>
    </row>
    <row r="22" spans="1:24">
      <c r="A22" s="20">
        <f t="shared" si="9"/>
        <v>2024009</v>
      </c>
      <c r="B22" s="20"/>
      <c r="C22" s="370"/>
      <c r="D22" s="352"/>
      <c r="E22" s="352"/>
      <c r="F22" s="349"/>
      <c r="G22" s="352"/>
      <c r="H22" s="352"/>
      <c r="I22" s="367"/>
      <c r="J22" s="12" t="s">
        <v>29</v>
      </c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65"/>
      <c r="W22" s="115">
        <f t="shared" si="5"/>
        <v>0</v>
      </c>
      <c r="X22" s="136"/>
    </row>
    <row r="23" spans="1:24">
      <c r="A23" s="3">
        <v>2024001</v>
      </c>
      <c r="C23" s="368">
        <v>4</v>
      </c>
      <c r="D23" s="350"/>
      <c r="E23" s="350"/>
      <c r="F23" s="347"/>
      <c r="G23" s="350" t="s">
        <v>41</v>
      </c>
      <c r="H23" s="350"/>
      <c r="I23" s="365" t="s">
        <v>34</v>
      </c>
      <c r="J23" s="71" t="s">
        <v>24</v>
      </c>
      <c r="K23" s="189">
        <f t="shared" ref="K23:U23" si="10">SUM(K24:K30)</f>
        <v>0</v>
      </c>
      <c r="L23" s="134">
        <f t="shared" si="10"/>
        <v>0</v>
      </c>
      <c r="M23" s="134">
        <f t="shared" si="10"/>
        <v>0</v>
      </c>
      <c r="N23" s="134">
        <f t="shared" si="10"/>
        <v>0</v>
      </c>
      <c r="O23" s="134">
        <f t="shared" si="10"/>
        <v>0</v>
      </c>
      <c r="P23" s="134">
        <f t="shared" si="10"/>
        <v>0</v>
      </c>
      <c r="Q23" s="134">
        <f t="shared" si="10"/>
        <v>0</v>
      </c>
      <c r="R23" s="134">
        <f t="shared" si="10"/>
        <v>0</v>
      </c>
      <c r="S23" s="134">
        <f t="shared" si="10"/>
        <v>0</v>
      </c>
      <c r="T23" s="134">
        <f t="shared" si="10"/>
        <v>0</v>
      </c>
      <c r="U23" s="134">
        <f t="shared" si="10"/>
        <v>0</v>
      </c>
      <c r="V23" s="112">
        <f t="shared" ref="V23" si="11">SUM(V24:V30)</f>
        <v>0</v>
      </c>
      <c r="W23" s="113">
        <f t="shared" si="5"/>
        <v>0</v>
      </c>
    </row>
    <row r="24" spans="1:24">
      <c r="A24" s="20">
        <f>A23</f>
        <v>2024001</v>
      </c>
      <c r="B24" s="20">
        <f>B23</f>
        <v>0</v>
      </c>
      <c r="C24" s="369"/>
      <c r="D24" s="351"/>
      <c r="E24" s="351"/>
      <c r="F24" s="348"/>
      <c r="G24" s="351"/>
      <c r="H24" s="351"/>
      <c r="I24" s="366"/>
      <c r="J24" s="10" t="s">
        <v>25</v>
      </c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58"/>
      <c r="W24" s="114">
        <f t="shared" si="5"/>
        <v>0</v>
      </c>
      <c r="X24" s="136"/>
    </row>
    <row r="25" spans="1:24">
      <c r="A25" s="20">
        <f t="shared" ref="A25:A30" si="12">A24</f>
        <v>2024001</v>
      </c>
      <c r="B25" s="20">
        <f t="shared" ref="B25:B30" si="13">B24</f>
        <v>0</v>
      </c>
      <c r="C25" s="369"/>
      <c r="D25" s="351"/>
      <c r="E25" s="351"/>
      <c r="F25" s="348"/>
      <c r="G25" s="351"/>
      <c r="H25" s="351"/>
      <c r="I25" s="366"/>
      <c r="J25" s="10" t="s">
        <v>30</v>
      </c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58"/>
      <c r="W25" s="114">
        <f t="shared" si="5"/>
        <v>0</v>
      </c>
      <c r="X25" s="136"/>
    </row>
    <row r="26" spans="1:24">
      <c r="A26" s="20">
        <f t="shared" si="12"/>
        <v>2024001</v>
      </c>
      <c r="B26" s="20">
        <f t="shared" si="13"/>
        <v>0</v>
      </c>
      <c r="C26" s="369"/>
      <c r="D26" s="351"/>
      <c r="E26" s="351"/>
      <c r="F26" s="348"/>
      <c r="G26" s="351"/>
      <c r="H26" s="351"/>
      <c r="I26" s="366"/>
      <c r="J26" s="10" t="s">
        <v>33</v>
      </c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58"/>
      <c r="W26" s="114">
        <f t="shared" si="5"/>
        <v>0</v>
      </c>
      <c r="X26" s="136"/>
    </row>
    <row r="27" spans="1:24">
      <c r="A27" s="20">
        <f t="shared" si="12"/>
        <v>2024001</v>
      </c>
      <c r="B27" s="20">
        <f t="shared" si="13"/>
        <v>0</v>
      </c>
      <c r="C27" s="369"/>
      <c r="D27" s="351"/>
      <c r="E27" s="351"/>
      <c r="F27" s="348"/>
      <c r="G27" s="351"/>
      <c r="H27" s="351"/>
      <c r="I27" s="366"/>
      <c r="J27" s="10" t="s">
        <v>26</v>
      </c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58"/>
      <c r="W27" s="114">
        <f t="shared" si="5"/>
        <v>0</v>
      </c>
      <c r="X27" s="136"/>
    </row>
    <row r="28" spans="1:24">
      <c r="A28" s="20">
        <f t="shared" si="12"/>
        <v>2024001</v>
      </c>
      <c r="B28" s="20">
        <f t="shared" si="13"/>
        <v>0</v>
      </c>
      <c r="C28" s="369"/>
      <c r="D28" s="351"/>
      <c r="E28" s="351"/>
      <c r="F28" s="348"/>
      <c r="G28" s="351"/>
      <c r="H28" s="351"/>
      <c r="I28" s="366"/>
      <c r="J28" s="10" t="s">
        <v>27</v>
      </c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58"/>
      <c r="W28" s="114">
        <f t="shared" si="5"/>
        <v>0</v>
      </c>
      <c r="X28" s="136"/>
    </row>
    <row r="29" spans="1:24">
      <c r="A29" s="20">
        <f t="shared" si="12"/>
        <v>2024001</v>
      </c>
      <c r="B29" s="20">
        <f t="shared" si="13"/>
        <v>0</v>
      </c>
      <c r="C29" s="369"/>
      <c r="D29" s="351"/>
      <c r="E29" s="351"/>
      <c r="F29" s="348"/>
      <c r="G29" s="351"/>
      <c r="H29" s="351"/>
      <c r="I29" s="366"/>
      <c r="J29" s="10" t="s">
        <v>28</v>
      </c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58"/>
      <c r="W29" s="114">
        <f t="shared" si="5"/>
        <v>0</v>
      </c>
      <c r="X29" s="136"/>
    </row>
    <row r="30" spans="1:24">
      <c r="A30" s="20">
        <f t="shared" si="12"/>
        <v>2024001</v>
      </c>
      <c r="B30" s="20">
        <f t="shared" si="13"/>
        <v>0</v>
      </c>
      <c r="C30" s="370"/>
      <c r="D30" s="352"/>
      <c r="E30" s="352"/>
      <c r="F30" s="349"/>
      <c r="G30" s="352"/>
      <c r="H30" s="352"/>
      <c r="I30" s="367"/>
      <c r="J30" s="12" t="s">
        <v>29</v>
      </c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65"/>
      <c r="W30" s="115">
        <f t="shared" si="5"/>
        <v>0</v>
      </c>
      <c r="X30" s="136"/>
    </row>
    <row r="31" spans="1:24">
      <c r="A31" s="14">
        <v>2000011</v>
      </c>
      <c r="B31" s="35" t="s">
        <v>77</v>
      </c>
      <c r="C31" s="368">
        <v>5</v>
      </c>
      <c r="D31" s="350"/>
      <c r="E31" s="350"/>
      <c r="F31" s="347" t="s">
        <v>61</v>
      </c>
      <c r="G31" s="350"/>
      <c r="H31" s="350"/>
      <c r="I31" s="365"/>
      <c r="J31" s="71" t="s">
        <v>24</v>
      </c>
      <c r="K31" s="189">
        <f t="shared" ref="K31:U31" si="14">SUM(K32:K38)</f>
        <v>0</v>
      </c>
      <c r="L31" s="134">
        <f t="shared" si="14"/>
        <v>0</v>
      </c>
      <c r="M31" s="134">
        <f t="shared" si="14"/>
        <v>0</v>
      </c>
      <c r="N31" s="134">
        <f t="shared" si="14"/>
        <v>0</v>
      </c>
      <c r="O31" s="134">
        <f t="shared" si="14"/>
        <v>0</v>
      </c>
      <c r="P31" s="134">
        <f t="shared" si="14"/>
        <v>0</v>
      </c>
      <c r="Q31" s="134">
        <f t="shared" si="14"/>
        <v>0</v>
      </c>
      <c r="R31" s="134">
        <f t="shared" si="14"/>
        <v>0</v>
      </c>
      <c r="S31" s="134">
        <f t="shared" si="14"/>
        <v>0</v>
      </c>
      <c r="T31" s="134">
        <f t="shared" si="14"/>
        <v>0</v>
      </c>
      <c r="U31" s="134">
        <f t="shared" si="14"/>
        <v>0</v>
      </c>
      <c r="V31" s="112">
        <f t="shared" ref="V31" si="15">SUM(V32:V38)</f>
        <v>0</v>
      </c>
      <c r="W31" s="113">
        <f t="shared" ref="W31:W38" si="16">SUM(K31:V31)</f>
        <v>0</v>
      </c>
    </row>
    <row r="32" spans="1:24" ht="13.4" customHeight="1">
      <c r="A32" s="20">
        <f>A31</f>
        <v>2000011</v>
      </c>
      <c r="B32" s="20" t="str">
        <f>B31</f>
        <v>車両リース</v>
      </c>
      <c r="C32" s="369"/>
      <c r="D32" s="351"/>
      <c r="E32" s="351"/>
      <c r="F32" s="348"/>
      <c r="G32" s="351"/>
      <c r="H32" s="351"/>
      <c r="I32" s="366"/>
      <c r="J32" s="10" t="s">
        <v>25</v>
      </c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58"/>
      <c r="W32" s="114">
        <f t="shared" si="16"/>
        <v>0</v>
      </c>
      <c r="X32" s="136"/>
    </row>
    <row r="33" spans="1:24" ht="13.4" customHeight="1">
      <c r="A33" s="20">
        <f t="shared" ref="A33:A38" si="17">A32</f>
        <v>2000011</v>
      </c>
      <c r="B33" s="20" t="str">
        <f t="shared" ref="B33:B38" si="18">B32</f>
        <v>車両リース</v>
      </c>
      <c r="C33" s="369"/>
      <c r="D33" s="351"/>
      <c r="E33" s="351"/>
      <c r="F33" s="348"/>
      <c r="G33" s="351"/>
      <c r="H33" s="351"/>
      <c r="I33" s="366"/>
      <c r="J33" s="10" t="s">
        <v>30</v>
      </c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58"/>
      <c r="W33" s="114">
        <f t="shared" si="16"/>
        <v>0</v>
      </c>
      <c r="X33" s="136"/>
    </row>
    <row r="34" spans="1:24" ht="13.4" customHeight="1">
      <c r="A34" s="20">
        <f t="shared" si="17"/>
        <v>2000011</v>
      </c>
      <c r="B34" s="20" t="str">
        <f t="shared" si="18"/>
        <v>車両リース</v>
      </c>
      <c r="C34" s="369"/>
      <c r="D34" s="351"/>
      <c r="E34" s="351"/>
      <c r="F34" s="348"/>
      <c r="G34" s="351"/>
      <c r="H34" s="351"/>
      <c r="I34" s="366"/>
      <c r="J34" s="10" t="s">
        <v>33</v>
      </c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58"/>
      <c r="W34" s="114">
        <f t="shared" si="16"/>
        <v>0</v>
      </c>
      <c r="X34" s="136"/>
    </row>
    <row r="35" spans="1:24" ht="13.4" customHeight="1">
      <c r="A35" s="20">
        <f t="shared" si="17"/>
        <v>2000011</v>
      </c>
      <c r="B35" s="20" t="str">
        <f t="shared" si="18"/>
        <v>車両リース</v>
      </c>
      <c r="C35" s="369"/>
      <c r="D35" s="351"/>
      <c r="E35" s="351"/>
      <c r="F35" s="348"/>
      <c r="G35" s="351"/>
      <c r="H35" s="351"/>
      <c r="I35" s="366"/>
      <c r="J35" s="10" t="s">
        <v>26</v>
      </c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58"/>
      <c r="W35" s="114">
        <f t="shared" si="16"/>
        <v>0</v>
      </c>
      <c r="X35" s="136"/>
    </row>
    <row r="36" spans="1:24" ht="13.4" customHeight="1">
      <c r="A36" s="20">
        <f t="shared" si="17"/>
        <v>2000011</v>
      </c>
      <c r="B36" s="20" t="str">
        <f t="shared" si="18"/>
        <v>車両リース</v>
      </c>
      <c r="C36" s="369"/>
      <c r="D36" s="351"/>
      <c r="E36" s="351"/>
      <c r="F36" s="348"/>
      <c r="G36" s="351"/>
      <c r="H36" s="351"/>
      <c r="I36" s="366"/>
      <c r="J36" s="10" t="s">
        <v>27</v>
      </c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58"/>
      <c r="W36" s="114">
        <f t="shared" si="16"/>
        <v>0</v>
      </c>
      <c r="X36" s="136"/>
    </row>
    <row r="37" spans="1:24" ht="13.4" customHeight="1">
      <c r="A37" s="20">
        <f t="shared" si="17"/>
        <v>2000011</v>
      </c>
      <c r="B37" s="20" t="str">
        <f t="shared" si="18"/>
        <v>車両リース</v>
      </c>
      <c r="C37" s="369"/>
      <c r="D37" s="351"/>
      <c r="E37" s="351"/>
      <c r="F37" s="348"/>
      <c r="G37" s="351"/>
      <c r="H37" s="351"/>
      <c r="I37" s="366"/>
      <c r="J37" s="10" t="s">
        <v>28</v>
      </c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58"/>
      <c r="W37" s="114">
        <f t="shared" si="16"/>
        <v>0</v>
      </c>
      <c r="X37" s="136"/>
    </row>
    <row r="38" spans="1:24" ht="14.15" customHeight="1" thickBot="1">
      <c r="A38" s="20">
        <f t="shared" si="17"/>
        <v>2000011</v>
      </c>
      <c r="B38" s="20" t="str">
        <f t="shared" si="18"/>
        <v>車両リース</v>
      </c>
      <c r="C38" s="374"/>
      <c r="D38" s="375"/>
      <c r="E38" s="375"/>
      <c r="F38" s="376"/>
      <c r="G38" s="375"/>
      <c r="H38" s="375"/>
      <c r="I38" s="377"/>
      <c r="J38" s="70" t="s">
        <v>29</v>
      </c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9"/>
      <c r="W38" s="116">
        <f t="shared" si="16"/>
        <v>0</v>
      </c>
      <c r="X38" s="136"/>
    </row>
    <row r="39" spans="1:24" s="1" customFormat="1" ht="34.4" customHeight="1" thickTop="1">
      <c r="C39" s="371" t="s">
        <v>59</v>
      </c>
      <c r="D39" s="372"/>
      <c r="E39" s="372"/>
      <c r="F39" s="372"/>
      <c r="G39" s="372"/>
      <c r="H39" s="372"/>
      <c r="I39" s="373"/>
      <c r="J39" s="137" t="s">
        <v>40</v>
      </c>
      <c r="K39" s="203">
        <f>+K7+K15+K23+K31</f>
        <v>0</v>
      </c>
      <c r="L39" s="204">
        <f t="shared" ref="L39:V39" si="19">+L7+L15+L23+L31</f>
        <v>0</v>
      </c>
      <c r="M39" s="204">
        <f t="shared" si="19"/>
        <v>0</v>
      </c>
      <c r="N39" s="204">
        <f t="shared" si="19"/>
        <v>0</v>
      </c>
      <c r="O39" s="204">
        <f t="shared" si="19"/>
        <v>0</v>
      </c>
      <c r="P39" s="204">
        <f t="shared" si="19"/>
        <v>0</v>
      </c>
      <c r="Q39" s="204">
        <f t="shared" si="19"/>
        <v>0</v>
      </c>
      <c r="R39" s="204">
        <f t="shared" si="19"/>
        <v>0</v>
      </c>
      <c r="S39" s="204">
        <f t="shared" si="19"/>
        <v>0</v>
      </c>
      <c r="T39" s="204">
        <f t="shared" si="19"/>
        <v>0</v>
      </c>
      <c r="U39" s="204">
        <f t="shared" si="19"/>
        <v>0</v>
      </c>
      <c r="V39" s="140">
        <f t="shared" si="19"/>
        <v>0</v>
      </c>
      <c r="W39" s="99">
        <f>SUM(N39:V39)</f>
        <v>0</v>
      </c>
    </row>
    <row r="40" spans="1:24">
      <c r="O40" s="35"/>
      <c r="P40" s="35"/>
      <c r="Q40" s="35"/>
      <c r="R40" s="35"/>
      <c r="S40" s="35"/>
      <c r="T40" s="35"/>
      <c r="U40" s="35"/>
      <c r="V40" s="3"/>
      <c r="W40" s="3"/>
    </row>
    <row r="41" spans="1:24">
      <c r="O41" s="35"/>
      <c r="P41" s="35"/>
      <c r="Q41" s="35"/>
      <c r="R41" s="35"/>
      <c r="S41" s="35"/>
      <c r="T41" s="35"/>
      <c r="U41" s="35"/>
      <c r="V41" s="3"/>
      <c r="W41" s="3"/>
    </row>
    <row r="42" spans="1:24">
      <c r="O42" s="35"/>
      <c r="P42" s="35"/>
      <c r="Q42" s="35"/>
      <c r="R42" s="35"/>
      <c r="S42" s="35"/>
      <c r="T42" s="35"/>
      <c r="U42" s="35"/>
      <c r="V42" s="3"/>
      <c r="W42" s="3"/>
    </row>
    <row r="43" spans="1:24">
      <c r="O43" s="35"/>
      <c r="P43" s="35"/>
      <c r="Q43" s="35"/>
      <c r="R43" s="35"/>
      <c r="S43" s="35"/>
      <c r="T43" s="35"/>
      <c r="U43" s="35"/>
      <c r="V43" s="3"/>
      <c r="W43" s="3"/>
    </row>
    <row r="44" spans="1:24">
      <c r="O44" s="35"/>
      <c r="P44" s="35"/>
      <c r="Q44" s="35"/>
      <c r="R44" s="35"/>
      <c r="S44" s="35"/>
      <c r="T44" s="35"/>
      <c r="U44" s="35"/>
      <c r="V44" s="3"/>
      <c r="W44" s="3"/>
    </row>
    <row r="45" spans="1:24">
      <c r="O45" s="35"/>
      <c r="P45" s="35"/>
      <c r="Q45" s="35"/>
      <c r="R45" s="35"/>
      <c r="S45" s="35"/>
      <c r="T45" s="35"/>
      <c r="U45" s="35"/>
      <c r="V45" s="3"/>
      <c r="W45" s="3"/>
    </row>
    <row r="46" spans="1:24">
      <c r="O46" s="35"/>
      <c r="P46" s="35"/>
      <c r="Q46" s="35"/>
      <c r="R46" s="35"/>
      <c r="S46" s="35"/>
      <c r="T46" s="35"/>
      <c r="U46" s="35"/>
      <c r="V46" s="3"/>
      <c r="W46" s="3"/>
    </row>
    <row r="47" spans="1:24">
      <c r="O47" s="35"/>
      <c r="P47" s="35"/>
      <c r="Q47" s="35"/>
      <c r="R47" s="35"/>
      <c r="S47" s="35"/>
      <c r="T47" s="35"/>
      <c r="U47" s="35"/>
      <c r="V47" s="3"/>
      <c r="W47" s="3"/>
    </row>
    <row r="48" spans="1:24">
      <c r="O48" s="35"/>
      <c r="P48" s="35"/>
      <c r="Q48" s="35"/>
      <c r="R48" s="35"/>
      <c r="S48" s="35"/>
      <c r="T48" s="35"/>
      <c r="U48" s="35"/>
      <c r="V48" s="3"/>
      <c r="W48" s="3"/>
    </row>
    <row r="49" spans="15:23">
      <c r="O49" s="35"/>
      <c r="P49" s="35"/>
      <c r="Q49" s="35"/>
      <c r="R49" s="35"/>
      <c r="S49" s="35"/>
      <c r="T49" s="35"/>
      <c r="U49" s="35"/>
      <c r="V49" s="3"/>
      <c r="W49" s="3"/>
    </row>
    <row r="50" spans="15:23">
      <c r="O50" s="35"/>
      <c r="P50" s="35"/>
      <c r="Q50" s="35"/>
      <c r="R50" s="35"/>
      <c r="S50" s="35"/>
      <c r="T50" s="35"/>
      <c r="U50" s="35"/>
      <c r="V50" s="3"/>
      <c r="W50" s="3"/>
    </row>
    <row r="51" spans="15:23">
      <c r="O51" s="35"/>
      <c r="P51" s="35"/>
      <c r="Q51" s="35"/>
      <c r="R51" s="35"/>
      <c r="S51" s="35"/>
      <c r="T51" s="35"/>
      <c r="U51" s="35"/>
      <c r="V51" s="3"/>
      <c r="W51" s="3"/>
    </row>
    <row r="52" spans="15:23">
      <c r="O52" s="35"/>
      <c r="P52" s="35"/>
      <c r="Q52" s="35"/>
      <c r="R52" s="35"/>
      <c r="S52" s="35"/>
      <c r="T52" s="35"/>
      <c r="U52" s="35"/>
      <c r="V52" s="3"/>
      <c r="W52" s="3"/>
    </row>
    <row r="53" spans="15:23">
      <c r="O53" s="35"/>
      <c r="P53" s="35"/>
      <c r="Q53" s="35"/>
      <c r="R53" s="35"/>
      <c r="S53" s="35"/>
      <c r="T53" s="35"/>
      <c r="U53" s="35"/>
      <c r="V53" s="3"/>
      <c r="W53" s="3"/>
    </row>
    <row r="54" spans="15:23">
      <c r="O54" s="35"/>
      <c r="P54" s="35"/>
      <c r="Q54" s="35"/>
      <c r="R54" s="35"/>
      <c r="S54" s="35"/>
      <c r="T54" s="35"/>
      <c r="U54" s="35"/>
      <c r="V54" s="3"/>
      <c r="W54" s="3"/>
    </row>
    <row r="55" spans="15:23">
      <c r="O55" s="35"/>
      <c r="P55" s="35"/>
      <c r="Q55" s="35"/>
      <c r="R55" s="35"/>
      <c r="S55" s="35"/>
      <c r="T55" s="35"/>
      <c r="U55" s="35"/>
      <c r="V55" s="3"/>
      <c r="W55" s="3"/>
    </row>
    <row r="56" spans="15:23">
      <c r="O56" s="35"/>
      <c r="P56" s="35"/>
      <c r="Q56" s="35"/>
      <c r="R56" s="35"/>
      <c r="S56" s="35"/>
      <c r="T56" s="35"/>
      <c r="U56" s="35"/>
      <c r="V56" s="3"/>
      <c r="W56" s="3"/>
    </row>
    <row r="57" spans="15:23">
      <c r="O57" s="35"/>
      <c r="P57" s="35"/>
      <c r="Q57" s="35"/>
      <c r="R57" s="35"/>
      <c r="S57" s="35"/>
      <c r="T57" s="35"/>
      <c r="U57" s="35"/>
      <c r="V57" s="3"/>
      <c r="W57" s="3"/>
    </row>
    <row r="58" spans="15:23">
      <c r="O58" s="35"/>
      <c r="P58" s="35"/>
      <c r="Q58" s="35"/>
      <c r="R58" s="35"/>
      <c r="S58" s="35"/>
      <c r="T58" s="35"/>
      <c r="U58" s="35"/>
      <c r="V58" s="3"/>
      <c r="W58" s="3"/>
    </row>
    <row r="59" spans="15:23">
      <c r="O59" s="35"/>
      <c r="P59" s="35"/>
      <c r="Q59" s="35"/>
      <c r="R59" s="35"/>
      <c r="S59" s="35"/>
      <c r="T59" s="35"/>
      <c r="U59" s="35"/>
      <c r="V59" s="3"/>
      <c r="W59" s="3"/>
    </row>
    <row r="60" spans="15:23">
      <c r="O60" s="35"/>
      <c r="P60" s="35"/>
      <c r="Q60" s="35"/>
      <c r="R60" s="35"/>
      <c r="S60" s="35"/>
      <c r="T60" s="35"/>
      <c r="U60" s="35"/>
      <c r="V60" s="3"/>
      <c r="W60" s="3"/>
    </row>
    <row r="61" spans="15:23">
      <c r="O61" s="35"/>
      <c r="P61" s="35"/>
      <c r="Q61" s="35"/>
      <c r="R61" s="35"/>
      <c r="S61" s="35"/>
      <c r="T61" s="35"/>
      <c r="U61" s="35"/>
      <c r="V61" s="3"/>
      <c r="W61" s="3"/>
    </row>
    <row r="62" spans="15:23">
      <c r="O62" s="35"/>
      <c r="P62" s="35"/>
      <c r="Q62" s="35"/>
      <c r="R62" s="35"/>
      <c r="S62" s="35"/>
      <c r="T62" s="35"/>
      <c r="U62" s="35"/>
      <c r="V62" s="3"/>
      <c r="W62" s="3"/>
    </row>
    <row r="63" spans="15:23">
      <c r="O63" s="35"/>
      <c r="P63" s="35"/>
      <c r="Q63" s="35"/>
      <c r="R63" s="35"/>
      <c r="S63" s="35"/>
      <c r="T63" s="35"/>
      <c r="U63" s="35"/>
      <c r="V63" s="3"/>
      <c r="W63" s="3"/>
    </row>
    <row r="64" spans="15:23">
      <c r="O64" s="35"/>
      <c r="P64" s="35"/>
      <c r="Q64" s="35"/>
      <c r="R64" s="35"/>
      <c r="S64" s="35"/>
      <c r="T64" s="35"/>
      <c r="U64" s="35"/>
      <c r="V64" s="3"/>
      <c r="W64" s="3"/>
    </row>
    <row r="65" spans="15:23">
      <c r="O65" s="35"/>
      <c r="P65" s="35"/>
      <c r="Q65" s="35"/>
      <c r="R65" s="35"/>
      <c r="S65" s="35"/>
      <c r="T65" s="35"/>
      <c r="U65" s="35"/>
      <c r="V65" s="3"/>
      <c r="W65" s="3"/>
    </row>
    <row r="66" spans="15:23">
      <c r="O66" s="35"/>
      <c r="P66" s="35"/>
      <c r="Q66" s="35"/>
      <c r="R66" s="35"/>
      <c r="S66" s="35"/>
      <c r="T66" s="35"/>
      <c r="U66" s="35"/>
      <c r="V66" s="3"/>
      <c r="W66" s="3"/>
    </row>
    <row r="67" spans="15:23">
      <c r="O67" s="35"/>
      <c r="P67" s="35"/>
      <c r="Q67" s="35"/>
      <c r="R67" s="35"/>
      <c r="S67" s="35"/>
      <c r="T67" s="35"/>
      <c r="U67" s="35"/>
      <c r="V67" s="3"/>
      <c r="W67" s="3"/>
    </row>
    <row r="68" spans="15:23">
      <c r="O68" s="35"/>
      <c r="P68" s="35"/>
      <c r="Q68" s="35"/>
      <c r="R68" s="35"/>
      <c r="S68" s="35"/>
      <c r="T68" s="35"/>
      <c r="U68" s="35"/>
      <c r="V68" s="3"/>
      <c r="W68" s="3"/>
    </row>
    <row r="69" spans="15:23">
      <c r="O69" s="35"/>
      <c r="P69" s="35"/>
      <c r="Q69" s="35"/>
      <c r="R69" s="35"/>
      <c r="S69" s="35"/>
      <c r="T69" s="35"/>
      <c r="U69" s="35"/>
      <c r="V69" s="3"/>
      <c r="W69" s="3"/>
    </row>
    <row r="70" spans="15:23">
      <c r="O70" s="35"/>
      <c r="P70" s="35"/>
      <c r="Q70" s="35"/>
      <c r="R70" s="35"/>
      <c r="S70" s="35"/>
      <c r="T70" s="35"/>
      <c r="U70" s="35"/>
      <c r="V70" s="3"/>
      <c r="W70" s="3"/>
    </row>
    <row r="71" spans="15:23">
      <c r="O71" s="35"/>
      <c r="P71" s="35"/>
      <c r="Q71" s="35"/>
      <c r="R71" s="35"/>
      <c r="S71" s="35"/>
      <c r="T71" s="35"/>
      <c r="U71" s="35"/>
      <c r="V71" s="3"/>
      <c r="W71" s="3"/>
    </row>
    <row r="72" spans="15:23">
      <c r="O72" s="35"/>
      <c r="P72" s="35"/>
      <c r="Q72" s="35"/>
      <c r="R72" s="35"/>
      <c r="S72" s="35"/>
      <c r="T72" s="35"/>
      <c r="U72" s="35"/>
      <c r="V72" s="3"/>
      <c r="W72" s="3"/>
    </row>
    <row r="73" spans="15:23">
      <c r="O73" s="35"/>
      <c r="P73" s="35"/>
      <c r="Q73" s="35"/>
      <c r="R73" s="35"/>
      <c r="S73" s="35"/>
      <c r="T73" s="35"/>
      <c r="U73" s="35"/>
      <c r="V73" s="3"/>
      <c r="W73" s="3"/>
    </row>
    <row r="74" spans="15:23">
      <c r="O74" s="35"/>
      <c r="P74" s="35"/>
      <c r="Q74" s="35"/>
      <c r="R74" s="35"/>
      <c r="S74" s="35"/>
      <c r="T74" s="35"/>
      <c r="U74" s="35"/>
      <c r="V74" s="3"/>
      <c r="W74" s="3"/>
    </row>
    <row r="75" spans="15:23">
      <c r="O75" s="35"/>
      <c r="P75" s="35"/>
      <c r="Q75" s="35"/>
      <c r="R75" s="35"/>
      <c r="S75" s="35"/>
      <c r="T75" s="35"/>
      <c r="U75" s="35"/>
      <c r="V75" s="3"/>
      <c r="W75" s="3"/>
    </row>
    <row r="76" spans="15:23">
      <c r="O76" s="35"/>
      <c r="P76" s="35"/>
      <c r="Q76" s="35"/>
      <c r="R76" s="35"/>
      <c r="S76" s="35"/>
      <c r="T76" s="35"/>
      <c r="U76" s="35"/>
      <c r="V76" s="3"/>
      <c r="W76" s="3"/>
    </row>
    <row r="77" spans="15:23">
      <c r="O77" s="35"/>
      <c r="P77" s="35"/>
      <c r="Q77" s="35"/>
      <c r="R77" s="35"/>
      <c r="S77" s="35"/>
      <c r="T77" s="35"/>
      <c r="U77" s="35"/>
      <c r="V77" s="3"/>
      <c r="W77" s="3"/>
    </row>
    <row r="78" spans="15:23">
      <c r="O78" s="35"/>
      <c r="P78" s="35"/>
      <c r="Q78" s="35"/>
      <c r="R78" s="35"/>
      <c r="S78" s="35"/>
      <c r="T78" s="35"/>
      <c r="U78" s="35"/>
      <c r="V78" s="3"/>
      <c r="W78" s="3"/>
    </row>
    <row r="79" spans="15:23">
      <c r="O79" s="35"/>
      <c r="P79" s="35"/>
      <c r="Q79" s="35"/>
      <c r="R79" s="35"/>
      <c r="S79" s="35"/>
      <c r="T79" s="35"/>
      <c r="U79" s="35"/>
      <c r="V79" s="3"/>
      <c r="W79" s="3"/>
    </row>
    <row r="80" spans="15:23">
      <c r="O80" s="35"/>
      <c r="P80" s="35"/>
      <c r="Q80" s="35"/>
      <c r="R80" s="35"/>
      <c r="S80" s="35"/>
      <c r="T80" s="35"/>
      <c r="U80" s="35"/>
      <c r="V80" s="3"/>
      <c r="W80" s="3"/>
    </row>
    <row r="81" spans="15:23">
      <c r="O81" s="35"/>
      <c r="P81" s="35"/>
      <c r="Q81" s="35"/>
      <c r="R81" s="35"/>
      <c r="S81" s="35"/>
      <c r="T81" s="35"/>
      <c r="U81" s="35"/>
      <c r="V81" s="3"/>
      <c r="W81" s="3"/>
    </row>
    <row r="82" spans="15:23">
      <c r="O82" s="35"/>
      <c r="P82" s="35"/>
      <c r="Q82" s="35"/>
      <c r="R82" s="35"/>
      <c r="S82" s="35"/>
      <c r="T82" s="35"/>
      <c r="U82" s="35"/>
      <c r="V82" s="3"/>
      <c r="W82" s="3"/>
    </row>
    <row r="83" spans="15:23">
      <c r="O83" s="35"/>
      <c r="P83" s="35"/>
      <c r="Q83" s="35"/>
      <c r="R83" s="35"/>
      <c r="S83" s="35"/>
      <c r="T83" s="35"/>
      <c r="U83" s="35"/>
      <c r="V83" s="3"/>
      <c r="W83" s="3"/>
    </row>
    <row r="84" spans="15:23">
      <c r="O84" s="35"/>
      <c r="P84" s="35"/>
      <c r="Q84" s="35"/>
      <c r="R84" s="35"/>
      <c r="S84" s="35"/>
      <c r="T84" s="35"/>
      <c r="U84" s="35"/>
      <c r="V84" s="3"/>
      <c r="W84" s="3"/>
    </row>
    <row r="85" spans="15:23">
      <c r="O85" s="35"/>
      <c r="P85" s="35"/>
      <c r="Q85" s="35"/>
      <c r="R85" s="35"/>
      <c r="S85" s="35"/>
      <c r="T85" s="35"/>
      <c r="U85" s="35"/>
      <c r="V85" s="3"/>
      <c r="W85" s="3"/>
    </row>
    <row r="86" spans="15:23">
      <c r="O86" s="35"/>
      <c r="P86" s="35"/>
      <c r="Q86" s="35"/>
      <c r="R86" s="35"/>
      <c r="S86" s="35"/>
      <c r="T86" s="35"/>
      <c r="U86" s="35"/>
      <c r="V86" s="3"/>
      <c r="W86" s="3"/>
    </row>
    <row r="87" spans="15:23">
      <c r="O87" s="35"/>
      <c r="P87" s="35"/>
      <c r="Q87" s="35"/>
      <c r="R87" s="35"/>
      <c r="S87" s="35"/>
      <c r="T87" s="35"/>
      <c r="U87" s="35"/>
      <c r="V87" s="3"/>
      <c r="W87" s="3"/>
    </row>
    <row r="88" spans="15:23">
      <c r="O88" s="35"/>
      <c r="P88" s="35"/>
      <c r="Q88" s="35"/>
      <c r="R88" s="35"/>
      <c r="S88" s="35"/>
      <c r="T88" s="35"/>
      <c r="U88" s="35"/>
      <c r="V88" s="3"/>
      <c r="W88" s="3"/>
    </row>
    <row r="89" spans="15:23">
      <c r="O89" s="35"/>
      <c r="P89" s="35"/>
      <c r="Q89" s="35"/>
      <c r="R89" s="35"/>
      <c r="S89" s="35"/>
      <c r="T89" s="35"/>
      <c r="U89" s="35"/>
      <c r="V89" s="3"/>
      <c r="W89" s="3"/>
    </row>
    <row r="90" spans="15:23">
      <c r="O90" s="35"/>
      <c r="P90" s="35"/>
      <c r="Q90" s="35"/>
      <c r="R90" s="35"/>
      <c r="S90" s="35"/>
      <c r="T90" s="35"/>
      <c r="U90" s="35"/>
      <c r="V90" s="3"/>
      <c r="W90" s="3"/>
    </row>
    <row r="91" spans="15:23">
      <c r="O91" s="35"/>
      <c r="P91" s="35"/>
      <c r="Q91" s="35"/>
      <c r="R91" s="35"/>
      <c r="S91" s="35"/>
      <c r="T91" s="35"/>
      <c r="U91" s="35"/>
      <c r="V91" s="3"/>
      <c r="W91" s="3"/>
    </row>
    <row r="92" spans="15:23">
      <c r="O92" s="35"/>
      <c r="P92" s="35"/>
      <c r="Q92" s="35"/>
      <c r="R92" s="35"/>
      <c r="S92" s="35"/>
      <c r="T92" s="35"/>
      <c r="U92" s="35"/>
      <c r="V92" s="3"/>
      <c r="W92" s="3"/>
    </row>
    <row r="93" spans="15:23">
      <c r="O93" s="35"/>
      <c r="P93" s="35"/>
      <c r="Q93" s="35"/>
      <c r="R93" s="35"/>
      <c r="S93" s="35"/>
      <c r="T93" s="35"/>
      <c r="U93" s="35"/>
      <c r="V93" s="3"/>
      <c r="W93" s="3"/>
    </row>
    <row r="94" spans="15:23">
      <c r="O94" s="35"/>
      <c r="P94" s="35"/>
      <c r="Q94" s="35"/>
      <c r="R94" s="35"/>
      <c r="S94" s="35"/>
      <c r="T94" s="35"/>
      <c r="U94" s="35"/>
      <c r="V94" s="3"/>
      <c r="W94" s="3"/>
    </row>
    <row r="95" spans="15:23">
      <c r="O95" s="35"/>
      <c r="P95" s="35"/>
      <c r="Q95" s="35"/>
      <c r="R95" s="35"/>
      <c r="S95" s="35"/>
      <c r="T95" s="35"/>
      <c r="U95" s="35"/>
      <c r="V95" s="3"/>
      <c r="W95" s="3"/>
    </row>
    <row r="96" spans="15:23">
      <c r="O96" s="35"/>
      <c r="P96" s="35"/>
      <c r="Q96" s="35"/>
      <c r="R96" s="35"/>
      <c r="S96" s="35"/>
      <c r="T96" s="35"/>
      <c r="U96" s="35"/>
      <c r="V96" s="3"/>
      <c r="W96" s="3"/>
    </row>
    <row r="97" spans="15:23">
      <c r="O97" s="35"/>
      <c r="P97" s="35"/>
      <c r="Q97" s="35"/>
      <c r="R97" s="35"/>
      <c r="S97" s="35"/>
      <c r="T97" s="35"/>
      <c r="U97" s="35"/>
      <c r="V97" s="3"/>
      <c r="W97" s="3"/>
    </row>
    <row r="98" spans="15:23">
      <c r="O98" s="35"/>
      <c r="P98" s="35"/>
      <c r="Q98" s="35"/>
      <c r="R98" s="35"/>
      <c r="S98" s="35"/>
      <c r="T98" s="35"/>
      <c r="U98" s="35"/>
      <c r="V98" s="3"/>
      <c r="W98" s="3"/>
    </row>
    <row r="99" spans="15:23">
      <c r="O99" s="35"/>
      <c r="P99" s="35"/>
      <c r="Q99" s="35"/>
      <c r="R99" s="35"/>
      <c r="S99" s="35"/>
      <c r="T99" s="35"/>
      <c r="U99" s="35"/>
      <c r="V99" s="3"/>
      <c r="W99" s="3"/>
    </row>
    <row r="100" spans="15:23">
      <c r="O100" s="35"/>
      <c r="P100" s="35"/>
      <c r="Q100" s="35"/>
      <c r="R100" s="35"/>
      <c r="S100" s="35"/>
      <c r="T100" s="35"/>
      <c r="U100" s="35"/>
      <c r="V100" s="3"/>
      <c r="W100" s="3"/>
    </row>
    <row r="101" spans="15:23">
      <c r="O101" s="35"/>
      <c r="P101" s="35"/>
      <c r="Q101" s="35"/>
      <c r="R101" s="35"/>
      <c r="S101" s="35"/>
      <c r="T101" s="35"/>
      <c r="U101" s="35"/>
      <c r="V101" s="3"/>
      <c r="W101" s="3"/>
    </row>
    <row r="102" spans="15:23">
      <c r="O102" s="35"/>
      <c r="P102" s="35"/>
      <c r="Q102" s="35"/>
      <c r="R102" s="35"/>
      <c r="S102" s="35"/>
      <c r="T102" s="35"/>
      <c r="U102" s="35"/>
      <c r="V102" s="3"/>
      <c r="W102" s="3"/>
    </row>
    <row r="103" spans="15:23">
      <c r="O103" s="35"/>
      <c r="P103" s="35"/>
      <c r="Q103" s="35"/>
      <c r="R103" s="35"/>
      <c r="S103" s="35"/>
      <c r="T103" s="35"/>
      <c r="U103" s="35"/>
      <c r="V103" s="3"/>
      <c r="W103" s="3"/>
    </row>
    <row r="104" spans="15:23">
      <c r="O104" s="35"/>
      <c r="P104" s="35"/>
      <c r="Q104" s="35"/>
      <c r="R104" s="35"/>
      <c r="S104" s="35"/>
      <c r="T104" s="35"/>
      <c r="U104" s="35"/>
      <c r="V104" s="3"/>
      <c r="W104" s="3"/>
    </row>
    <row r="105" spans="15:23">
      <c r="O105" s="35"/>
      <c r="P105" s="35"/>
      <c r="Q105" s="35"/>
      <c r="R105" s="35"/>
      <c r="S105" s="35"/>
      <c r="T105" s="35"/>
      <c r="U105" s="35"/>
      <c r="V105" s="3"/>
      <c r="W105" s="3"/>
    </row>
    <row r="106" spans="15:23">
      <c r="O106" s="35"/>
      <c r="P106" s="35"/>
      <c r="Q106" s="35"/>
      <c r="R106" s="35"/>
      <c r="S106" s="35"/>
      <c r="T106" s="35"/>
      <c r="U106" s="35"/>
      <c r="V106" s="3"/>
      <c r="W106" s="3"/>
    </row>
    <row r="107" spans="15:23">
      <c r="O107" s="35"/>
      <c r="P107" s="35"/>
      <c r="Q107" s="35"/>
      <c r="R107" s="35"/>
      <c r="S107" s="35"/>
      <c r="T107" s="35"/>
      <c r="U107" s="35"/>
      <c r="V107" s="3"/>
      <c r="W107" s="3"/>
    </row>
    <row r="108" spans="15:23">
      <c r="O108" s="35"/>
      <c r="P108" s="35"/>
      <c r="Q108" s="35"/>
      <c r="R108" s="35"/>
      <c r="S108" s="35"/>
      <c r="T108" s="35"/>
      <c r="U108" s="35"/>
      <c r="V108" s="3"/>
      <c r="W108" s="3"/>
    </row>
    <row r="109" spans="15:23">
      <c r="O109" s="35"/>
      <c r="P109" s="35"/>
      <c r="Q109" s="35"/>
      <c r="R109" s="35"/>
      <c r="S109" s="35"/>
      <c r="T109" s="35"/>
      <c r="U109" s="35"/>
      <c r="V109" s="3"/>
      <c r="W109" s="3"/>
    </row>
    <row r="110" spans="15:23">
      <c r="O110" s="35"/>
      <c r="P110" s="35"/>
      <c r="Q110" s="35"/>
      <c r="R110" s="35"/>
      <c r="S110" s="35"/>
      <c r="T110" s="35"/>
      <c r="U110" s="35"/>
      <c r="V110" s="3"/>
      <c r="W110" s="3"/>
    </row>
    <row r="111" spans="15:23">
      <c r="O111" s="35"/>
      <c r="P111" s="35"/>
      <c r="Q111" s="35"/>
      <c r="R111" s="35"/>
      <c r="S111" s="35"/>
      <c r="T111" s="35"/>
      <c r="U111" s="35"/>
      <c r="V111" s="3"/>
      <c r="W111" s="3"/>
    </row>
    <row r="112" spans="15:23">
      <c r="O112" s="35"/>
      <c r="P112" s="35"/>
      <c r="Q112" s="35"/>
      <c r="R112" s="35"/>
      <c r="S112" s="35"/>
      <c r="T112" s="35"/>
      <c r="U112" s="35"/>
      <c r="V112" s="3"/>
      <c r="W112" s="3"/>
    </row>
    <row r="113" spans="15:23">
      <c r="O113" s="35"/>
      <c r="P113" s="35"/>
      <c r="Q113" s="35"/>
      <c r="R113" s="35"/>
      <c r="S113" s="35"/>
      <c r="T113" s="35"/>
      <c r="U113" s="35"/>
      <c r="V113" s="3"/>
      <c r="W113" s="3"/>
    </row>
    <row r="114" spans="15:23">
      <c r="O114" s="35"/>
      <c r="P114" s="35"/>
      <c r="Q114" s="35"/>
      <c r="R114" s="35"/>
      <c r="S114" s="35"/>
      <c r="T114" s="35"/>
      <c r="U114" s="35"/>
      <c r="V114" s="3"/>
      <c r="W114" s="3"/>
    </row>
    <row r="115" spans="15:23">
      <c r="O115" s="35"/>
      <c r="P115" s="35"/>
      <c r="Q115" s="35"/>
      <c r="R115" s="35"/>
      <c r="S115" s="35"/>
      <c r="T115" s="35"/>
      <c r="U115" s="35"/>
      <c r="V115" s="3"/>
      <c r="W115" s="3"/>
    </row>
    <row r="116" spans="15:23">
      <c r="O116" s="35"/>
      <c r="P116" s="35"/>
      <c r="Q116" s="35"/>
      <c r="R116" s="35"/>
      <c r="S116" s="35"/>
      <c r="T116" s="35"/>
      <c r="U116" s="35"/>
      <c r="V116" s="3"/>
      <c r="W116" s="3"/>
    </row>
    <row r="117" spans="15:23">
      <c r="O117" s="35"/>
      <c r="P117" s="35"/>
      <c r="Q117" s="35"/>
      <c r="R117" s="35"/>
      <c r="S117" s="35"/>
      <c r="T117" s="35"/>
      <c r="U117" s="35"/>
      <c r="V117" s="3"/>
      <c r="W117" s="3"/>
    </row>
    <row r="118" spans="15:23">
      <c r="O118" s="35"/>
      <c r="P118" s="35"/>
      <c r="Q118" s="35"/>
      <c r="R118" s="35"/>
      <c r="S118" s="35"/>
      <c r="T118" s="35"/>
      <c r="U118" s="35"/>
      <c r="V118" s="3"/>
      <c r="W118" s="3"/>
    </row>
    <row r="119" spans="15:23">
      <c r="O119" s="35"/>
      <c r="P119" s="35"/>
      <c r="Q119" s="35"/>
      <c r="R119" s="35"/>
      <c r="S119" s="35"/>
      <c r="T119" s="35"/>
      <c r="U119" s="35"/>
      <c r="V119" s="3"/>
      <c r="W119" s="3"/>
    </row>
    <row r="120" spans="15:23">
      <c r="O120" s="35"/>
      <c r="P120" s="35"/>
      <c r="Q120" s="35"/>
      <c r="R120" s="35"/>
      <c r="S120" s="35"/>
      <c r="T120" s="35"/>
      <c r="U120" s="35"/>
      <c r="V120" s="3"/>
      <c r="W120" s="3"/>
    </row>
    <row r="121" spans="15:23">
      <c r="O121" s="35"/>
      <c r="P121" s="35"/>
      <c r="Q121" s="35"/>
      <c r="R121" s="35"/>
      <c r="S121" s="35"/>
      <c r="T121" s="35"/>
      <c r="U121" s="35"/>
      <c r="V121" s="3"/>
      <c r="W121" s="3"/>
    </row>
    <row r="122" spans="15:23">
      <c r="O122" s="35"/>
      <c r="P122" s="35"/>
      <c r="Q122" s="35"/>
      <c r="R122" s="35"/>
      <c r="S122" s="35"/>
      <c r="T122" s="35"/>
      <c r="U122" s="35"/>
      <c r="V122" s="3"/>
      <c r="W122" s="3"/>
    </row>
    <row r="123" spans="15:23">
      <c r="O123" s="35"/>
      <c r="P123" s="35"/>
      <c r="Q123" s="35"/>
      <c r="R123" s="35"/>
      <c r="S123" s="35"/>
      <c r="T123" s="35"/>
      <c r="U123" s="35"/>
      <c r="V123" s="3"/>
      <c r="W123" s="3"/>
    </row>
    <row r="124" spans="15:23">
      <c r="O124" s="35"/>
      <c r="P124" s="35"/>
      <c r="Q124" s="35"/>
      <c r="R124" s="35"/>
      <c r="S124" s="35"/>
      <c r="T124" s="35"/>
      <c r="U124" s="35"/>
      <c r="V124" s="3"/>
      <c r="W124" s="3"/>
    </row>
    <row r="125" spans="15:23">
      <c r="O125" s="35"/>
      <c r="P125" s="35"/>
      <c r="Q125" s="35"/>
      <c r="R125" s="35"/>
      <c r="S125" s="35"/>
      <c r="T125" s="35"/>
      <c r="U125" s="35"/>
      <c r="V125" s="3"/>
      <c r="W125" s="3"/>
    </row>
    <row r="126" spans="15:23">
      <c r="O126" s="35"/>
      <c r="P126" s="35"/>
      <c r="Q126" s="35"/>
      <c r="R126" s="35"/>
      <c r="S126" s="35"/>
      <c r="T126" s="35"/>
      <c r="U126" s="35"/>
      <c r="V126" s="3"/>
      <c r="W126" s="3"/>
    </row>
    <row r="127" spans="15:23">
      <c r="O127" s="35"/>
      <c r="P127" s="35"/>
      <c r="Q127" s="35"/>
      <c r="R127" s="35"/>
      <c r="S127" s="35"/>
      <c r="T127" s="35"/>
      <c r="U127" s="35"/>
      <c r="V127" s="3"/>
      <c r="W127" s="3"/>
    </row>
    <row r="128" spans="15:23">
      <c r="O128" s="35"/>
      <c r="P128" s="35"/>
      <c r="Q128" s="35"/>
      <c r="R128" s="35"/>
      <c r="S128" s="35"/>
      <c r="T128" s="35"/>
      <c r="U128" s="35"/>
      <c r="V128" s="3"/>
      <c r="W128" s="3"/>
    </row>
    <row r="129" spans="15:23">
      <c r="O129" s="35"/>
      <c r="P129" s="35"/>
      <c r="Q129" s="35"/>
      <c r="R129" s="35"/>
      <c r="S129" s="35"/>
      <c r="T129" s="35"/>
      <c r="U129" s="35"/>
      <c r="V129" s="3"/>
      <c r="W129" s="3"/>
    </row>
    <row r="130" spans="15:23">
      <c r="O130" s="35"/>
      <c r="P130" s="35"/>
      <c r="Q130" s="35"/>
      <c r="R130" s="35"/>
      <c r="S130" s="35"/>
      <c r="T130" s="35"/>
      <c r="U130" s="35"/>
      <c r="V130" s="3"/>
      <c r="W130" s="3"/>
    </row>
    <row r="131" spans="15:23">
      <c r="O131" s="35"/>
      <c r="P131" s="35"/>
      <c r="Q131" s="35"/>
      <c r="R131" s="35"/>
      <c r="S131" s="35"/>
      <c r="T131" s="35"/>
      <c r="U131" s="35"/>
      <c r="V131" s="3"/>
      <c r="W131" s="3"/>
    </row>
    <row r="132" spans="15:23">
      <c r="O132" s="35"/>
      <c r="P132" s="35"/>
      <c r="Q132" s="35"/>
      <c r="R132" s="35"/>
      <c r="S132" s="35"/>
      <c r="T132" s="35"/>
      <c r="U132" s="35"/>
      <c r="V132" s="3"/>
      <c r="W132" s="3"/>
    </row>
    <row r="133" spans="15:23">
      <c r="O133" s="35"/>
      <c r="P133" s="35"/>
      <c r="Q133" s="35"/>
      <c r="R133" s="35"/>
      <c r="S133" s="35"/>
      <c r="T133" s="35"/>
      <c r="U133" s="35"/>
      <c r="V133" s="3"/>
      <c r="W133" s="3"/>
    </row>
    <row r="134" spans="15:23">
      <c r="O134" s="35"/>
      <c r="P134" s="35"/>
      <c r="Q134" s="35"/>
      <c r="R134" s="35"/>
      <c r="S134" s="35"/>
      <c r="T134" s="35"/>
      <c r="U134" s="35"/>
      <c r="V134" s="3"/>
      <c r="W134" s="3"/>
    </row>
    <row r="135" spans="15:23">
      <c r="O135" s="35"/>
      <c r="P135" s="35"/>
      <c r="Q135" s="35"/>
      <c r="R135" s="35"/>
      <c r="S135" s="35"/>
      <c r="T135" s="35"/>
      <c r="U135" s="35"/>
      <c r="V135" s="3"/>
      <c r="W135" s="3"/>
    </row>
    <row r="136" spans="15:23">
      <c r="O136" s="35"/>
      <c r="P136" s="35"/>
      <c r="Q136" s="35"/>
      <c r="R136" s="35"/>
      <c r="S136" s="35"/>
      <c r="T136" s="35"/>
      <c r="U136" s="35"/>
      <c r="V136" s="3"/>
      <c r="W136" s="3"/>
    </row>
    <row r="137" spans="15:23">
      <c r="O137" s="35"/>
      <c r="P137" s="35"/>
      <c r="Q137" s="35"/>
      <c r="R137" s="35"/>
      <c r="S137" s="35"/>
      <c r="T137" s="35"/>
      <c r="U137" s="35"/>
      <c r="V137" s="3"/>
      <c r="W137" s="3"/>
    </row>
    <row r="138" spans="15:23">
      <c r="O138" s="35"/>
      <c r="P138" s="35"/>
      <c r="Q138" s="35"/>
      <c r="R138" s="35"/>
      <c r="S138" s="35"/>
      <c r="T138" s="35"/>
      <c r="U138" s="35"/>
      <c r="V138" s="3"/>
      <c r="W138" s="3"/>
    </row>
    <row r="139" spans="15:23">
      <c r="O139" s="35"/>
      <c r="P139" s="35"/>
      <c r="Q139" s="35"/>
      <c r="R139" s="35"/>
      <c r="S139" s="35"/>
      <c r="T139" s="35"/>
      <c r="U139" s="35"/>
      <c r="V139" s="3"/>
      <c r="W139" s="3"/>
    </row>
    <row r="140" spans="15:23">
      <c r="O140" s="35"/>
      <c r="P140" s="35"/>
      <c r="Q140" s="35"/>
      <c r="R140" s="35"/>
      <c r="S140" s="35"/>
      <c r="T140" s="35"/>
      <c r="U140" s="35"/>
      <c r="V140" s="3"/>
      <c r="W140" s="3"/>
    </row>
    <row r="141" spans="15:23">
      <c r="O141" s="35"/>
      <c r="P141" s="35"/>
      <c r="Q141" s="35"/>
      <c r="R141" s="35"/>
      <c r="S141" s="35"/>
      <c r="T141" s="35"/>
      <c r="U141" s="35"/>
      <c r="V141" s="3"/>
      <c r="W141" s="3"/>
    </row>
    <row r="142" spans="15:23">
      <c r="O142" s="35"/>
      <c r="P142" s="35"/>
      <c r="Q142" s="35"/>
      <c r="R142" s="35"/>
      <c r="S142" s="35"/>
      <c r="T142" s="35"/>
      <c r="U142" s="35"/>
      <c r="V142" s="3"/>
      <c r="W142" s="3"/>
    </row>
    <row r="143" spans="15:23">
      <c r="O143" s="35"/>
      <c r="P143" s="35"/>
      <c r="Q143" s="35"/>
      <c r="R143" s="35"/>
      <c r="S143" s="35"/>
      <c r="T143" s="35"/>
      <c r="U143" s="35"/>
      <c r="V143" s="3"/>
      <c r="W143" s="3"/>
    </row>
    <row r="144" spans="15:23">
      <c r="O144" s="35"/>
      <c r="P144" s="35"/>
      <c r="Q144" s="35"/>
      <c r="R144" s="35"/>
      <c r="S144" s="35"/>
      <c r="T144" s="35"/>
      <c r="U144" s="35"/>
      <c r="V144" s="3"/>
      <c r="W144" s="3"/>
    </row>
    <row r="145" spans="15:23">
      <c r="O145" s="35"/>
      <c r="P145" s="35"/>
      <c r="Q145" s="35"/>
      <c r="R145" s="35"/>
      <c r="S145" s="35"/>
      <c r="T145" s="35"/>
      <c r="U145" s="35"/>
      <c r="V145" s="3"/>
      <c r="W145" s="3"/>
    </row>
    <row r="146" spans="15:23">
      <c r="O146" s="35"/>
      <c r="P146" s="35"/>
      <c r="Q146" s="35"/>
      <c r="R146" s="35"/>
      <c r="S146" s="35"/>
      <c r="T146" s="35"/>
      <c r="U146" s="35"/>
      <c r="V146" s="3"/>
      <c r="W146" s="3"/>
    </row>
    <row r="147" spans="15:23">
      <c r="O147" s="35"/>
      <c r="P147" s="35"/>
      <c r="Q147" s="35"/>
      <c r="R147" s="35"/>
      <c r="S147" s="35"/>
      <c r="T147" s="35"/>
      <c r="U147" s="35"/>
      <c r="V147" s="3"/>
      <c r="W147" s="3"/>
    </row>
    <row r="148" spans="15:23">
      <c r="O148" s="35"/>
      <c r="P148" s="35"/>
      <c r="Q148" s="35"/>
      <c r="R148" s="35"/>
      <c r="S148" s="35"/>
      <c r="T148" s="35"/>
      <c r="U148" s="35"/>
      <c r="V148" s="3"/>
      <c r="W148" s="3"/>
    </row>
    <row r="149" spans="15:23">
      <c r="O149" s="35"/>
      <c r="P149" s="35"/>
      <c r="Q149" s="35"/>
      <c r="R149" s="35"/>
      <c r="S149" s="35"/>
      <c r="T149" s="35"/>
      <c r="U149" s="35"/>
      <c r="V149" s="3"/>
      <c r="W149" s="3"/>
    </row>
    <row r="150" spans="15:23">
      <c r="O150" s="35"/>
      <c r="P150" s="35"/>
      <c r="Q150" s="35"/>
      <c r="R150" s="35"/>
      <c r="S150" s="35"/>
      <c r="T150" s="35"/>
      <c r="U150" s="35"/>
      <c r="V150" s="3"/>
      <c r="W150" s="3"/>
    </row>
    <row r="151" spans="15:23">
      <c r="O151" s="35"/>
      <c r="P151" s="35"/>
      <c r="Q151" s="35"/>
      <c r="R151" s="35"/>
      <c r="S151" s="35"/>
      <c r="T151" s="35"/>
      <c r="U151" s="35"/>
      <c r="V151" s="3"/>
      <c r="W151" s="3"/>
    </row>
    <row r="152" spans="15:23">
      <c r="O152" s="35"/>
      <c r="P152" s="35"/>
      <c r="Q152" s="35"/>
      <c r="R152" s="35"/>
      <c r="S152" s="35"/>
      <c r="T152" s="35"/>
      <c r="U152" s="35"/>
      <c r="V152" s="3"/>
      <c r="W152" s="3"/>
    </row>
    <row r="153" spans="15:23">
      <c r="O153" s="35"/>
      <c r="P153" s="35"/>
      <c r="Q153" s="35"/>
      <c r="R153" s="35"/>
      <c r="S153" s="35"/>
      <c r="T153" s="35"/>
      <c r="U153" s="35"/>
      <c r="V153" s="3"/>
      <c r="W153" s="3"/>
    </row>
    <row r="154" spans="15:23">
      <c r="O154" s="35"/>
      <c r="P154" s="35"/>
      <c r="Q154" s="35"/>
      <c r="R154" s="35"/>
      <c r="S154" s="35"/>
      <c r="T154" s="35"/>
      <c r="U154" s="35"/>
      <c r="V154" s="3"/>
      <c r="W154" s="3"/>
    </row>
    <row r="155" spans="15:23">
      <c r="O155" s="35"/>
      <c r="P155" s="35"/>
      <c r="Q155" s="35"/>
      <c r="R155" s="35"/>
      <c r="S155" s="35"/>
      <c r="T155" s="35"/>
      <c r="U155" s="35"/>
      <c r="V155" s="3"/>
      <c r="W155" s="3"/>
    </row>
    <row r="156" spans="15:23">
      <c r="O156" s="35"/>
      <c r="P156" s="35"/>
      <c r="Q156" s="35"/>
      <c r="R156" s="35"/>
      <c r="S156" s="35"/>
      <c r="T156" s="35"/>
      <c r="U156" s="35"/>
      <c r="V156" s="3"/>
      <c r="W156" s="3"/>
    </row>
    <row r="157" spans="15:23">
      <c r="O157" s="35"/>
      <c r="P157" s="35"/>
      <c r="Q157" s="35"/>
      <c r="R157" s="35"/>
      <c r="S157" s="35"/>
      <c r="T157" s="35"/>
      <c r="U157" s="35"/>
      <c r="V157" s="3"/>
      <c r="W157" s="3"/>
    </row>
    <row r="158" spans="15:23">
      <c r="O158" s="35"/>
      <c r="P158" s="35"/>
      <c r="Q158" s="35"/>
      <c r="R158" s="35"/>
      <c r="S158" s="35"/>
      <c r="T158" s="35"/>
      <c r="U158" s="35"/>
      <c r="V158" s="3"/>
      <c r="W158" s="3"/>
    </row>
    <row r="159" spans="15:23">
      <c r="O159" s="35"/>
      <c r="P159" s="35"/>
      <c r="Q159" s="35"/>
      <c r="R159" s="35"/>
      <c r="S159" s="35"/>
      <c r="T159" s="35"/>
      <c r="U159" s="35"/>
      <c r="V159" s="3"/>
      <c r="W159" s="3"/>
    </row>
    <row r="160" spans="15:23">
      <c r="O160" s="35"/>
      <c r="P160" s="35"/>
      <c r="Q160" s="35"/>
      <c r="R160" s="35"/>
      <c r="S160" s="35"/>
      <c r="T160" s="35"/>
      <c r="U160" s="35"/>
      <c r="V160" s="3"/>
      <c r="W160" s="3"/>
    </row>
    <row r="161" spans="15:23">
      <c r="O161" s="35"/>
      <c r="P161" s="35"/>
      <c r="Q161" s="35"/>
      <c r="R161" s="35"/>
      <c r="S161" s="35"/>
      <c r="T161" s="35"/>
      <c r="U161" s="35"/>
      <c r="V161" s="3"/>
      <c r="W161" s="3"/>
    </row>
    <row r="162" spans="15:23">
      <c r="O162" s="35"/>
      <c r="P162" s="35"/>
      <c r="Q162" s="35"/>
      <c r="R162" s="35"/>
      <c r="S162" s="35"/>
      <c r="T162" s="35"/>
      <c r="U162" s="35"/>
      <c r="V162" s="3"/>
      <c r="W162" s="3"/>
    </row>
    <row r="163" spans="15:23">
      <c r="O163" s="35"/>
      <c r="P163" s="35"/>
      <c r="Q163" s="35"/>
      <c r="R163" s="35"/>
      <c r="S163" s="35"/>
      <c r="T163" s="35"/>
      <c r="U163" s="35"/>
      <c r="V163" s="3"/>
      <c r="W163" s="3"/>
    </row>
    <row r="164" spans="15:23">
      <c r="O164" s="35"/>
      <c r="P164" s="35"/>
      <c r="Q164" s="35"/>
      <c r="R164" s="35"/>
      <c r="S164" s="35"/>
      <c r="T164" s="35"/>
      <c r="U164" s="35"/>
      <c r="V164" s="3"/>
      <c r="W164" s="3"/>
    </row>
    <row r="165" spans="15:23">
      <c r="O165" s="35"/>
      <c r="P165" s="35"/>
      <c r="Q165" s="35"/>
      <c r="R165" s="35"/>
      <c r="S165" s="35"/>
      <c r="T165" s="35"/>
      <c r="U165" s="35"/>
      <c r="V165" s="3"/>
      <c r="W165" s="3"/>
    </row>
    <row r="166" spans="15:23">
      <c r="O166" s="35"/>
      <c r="P166" s="35"/>
      <c r="Q166" s="35"/>
      <c r="R166" s="35"/>
      <c r="S166" s="35"/>
      <c r="T166" s="35"/>
      <c r="U166" s="35"/>
      <c r="V166" s="3"/>
      <c r="W166" s="3"/>
    </row>
    <row r="167" spans="15:23">
      <c r="O167" s="35"/>
      <c r="P167" s="35"/>
      <c r="Q167" s="35"/>
      <c r="R167" s="35"/>
      <c r="S167" s="35"/>
      <c r="T167" s="35"/>
      <c r="U167" s="35"/>
      <c r="V167" s="3"/>
      <c r="W167" s="3"/>
    </row>
    <row r="168" spans="15:23">
      <c r="O168" s="35"/>
      <c r="P168" s="35"/>
      <c r="Q168" s="35"/>
      <c r="R168" s="35"/>
      <c r="S168" s="35"/>
      <c r="T168" s="35"/>
      <c r="U168" s="35"/>
      <c r="V168" s="3"/>
      <c r="W168" s="3"/>
    </row>
    <row r="169" spans="15:23">
      <c r="O169" s="35"/>
      <c r="P169" s="35"/>
      <c r="Q169" s="35"/>
      <c r="R169" s="35"/>
      <c r="S169" s="35"/>
      <c r="T169" s="35"/>
      <c r="U169" s="35"/>
      <c r="V169" s="3"/>
      <c r="W169" s="3"/>
    </row>
    <row r="170" spans="15:23">
      <c r="O170" s="35"/>
      <c r="P170" s="35"/>
      <c r="Q170" s="35"/>
      <c r="R170" s="35"/>
      <c r="S170" s="35"/>
      <c r="T170" s="35"/>
      <c r="U170" s="35"/>
      <c r="V170" s="3"/>
      <c r="W170" s="3"/>
    </row>
    <row r="171" spans="15:23">
      <c r="O171" s="35"/>
      <c r="P171" s="35"/>
      <c r="Q171" s="35"/>
      <c r="R171" s="35"/>
      <c r="S171" s="35"/>
      <c r="T171" s="35"/>
      <c r="U171" s="35"/>
      <c r="V171" s="3"/>
      <c r="W171" s="3"/>
    </row>
    <row r="172" spans="15:23">
      <c r="O172" s="35"/>
      <c r="P172" s="35"/>
      <c r="Q172" s="35"/>
      <c r="R172" s="35"/>
      <c r="S172" s="35"/>
      <c r="T172" s="35"/>
      <c r="U172" s="35"/>
      <c r="V172" s="3"/>
      <c r="W172" s="3"/>
    </row>
    <row r="173" spans="15:23">
      <c r="O173" s="35"/>
      <c r="P173" s="35"/>
      <c r="Q173" s="35"/>
      <c r="R173" s="35"/>
      <c r="S173" s="35"/>
      <c r="T173" s="35"/>
      <c r="U173" s="35"/>
      <c r="V173" s="3"/>
      <c r="W173" s="3"/>
    </row>
    <row r="174" spans="15:23">
      <c r="O174" s="35"/>
      <c r="P174" s="35"/>
      <c r="Q174" s="35"/>
      <c r="R174" s="35"/>
      <c r="S174" s="35"/>
      <c r="T174" s="35"/>
      <c r="U174" s="35"/>
      <c r="V174" s="3"/>
      <c r="W174" s="3"/>
    </row>
    <row r="175" spans="15:23">
      <c r="O175" s="35"/>
      <c r="P175" s="35"/>
      <c r="Q175" s="35"/>
      <c r="R175" s="35"/>
      <c r="S175" s="35"/>
      <c r="T175" s="35"/>
      <c r="U175" s="35"/>
      <c r="V175" s="3"/>
      <c r="W175" s="3"/>
    </row>
    <row r="176" spans="15:23">
      <c r="O176" s="35"/>
      <c r="P176" s="35"/>
      <c r="Q176" s="35"/>
      <c r="R176" s="35"/>
      <c r="S176" s="35"/>
      <c r="T176" s="35"/>
      <c r="U176" s="35"/>
      <c r="V176" s="3"/>
      <c r="W176" s="3"/>
    </row>
    <row r="177" spans="15:23">
      <c r="O177" s="35"/>
      <c r="P177" s="35"/>
      <c r="Q177" s="35"/>
      <c r="R177" s="35"/>
      <c r="S177" s="35"/>
      <c r="T177" s="35"/>
      <c r="U177" s="35"/>
      <c r="V177" s="3"/>
      <c r="W177" s="3"/>
    </row>
    <row r="178" spans="15:23">
      <c r="O178" s="35"/>
      <c r="P178" s="35"/>
      <c r="Q178" s="35"/>
      <c r="R178" s="35"/>
      <c r="S178" s="35"/>
      <c r="T178" s="35"/>
      <c r="U178" s="35"/>
      <c r="V178" s="3"/>
      <c r="W178" s="3"/>
    </row>
    <row r="179" spans="15:23">
      <c r="O179" s="35"/>
      <c r="P179" s="35"/>
      <c r="Q179" s="35"/>
      <c r="R179" s="35"/>
      <c r="S179" s="35"/>
      <c r="T179" s="35"/>
      <c r="U179" s="35"/>
      <c r="V179" s="3"/>
      <c r="W179" s="3"/>
    </row>
    <row r="180" spans="15:23">
      <c r="O180" s="35"/>
      <c r="P180" s="35"/>
      <c r="Q180" s="35"/>
      <c r="R180" s="35"/>
      <c r="S180" s="35"/>
      <c r="T180" s="35"/>
      <c r="U180" s="35"/>
      <c r="V180" s="3"/>
      <c r="W180" s="3"/>
    </row>
    <row r="181" spans="15:23">
      <c r="O181" s="35"/>
      <c r="P181" s="35"/>
      <c r="Q181" s="35"/>
      <c r="R181" s="35"/>
      <c r="S181" s="35"/>
      <c r="T181" s="35"/>
      <c r="U181" s="35"/>
      <c r="V181" s="3"/>
      <c r="W181" s="3"/>
    </row>
    <row r="182" spans="15:23">
      <c r="O182" s="35"/>
      <c r="P182" s="35"/>
      <c r="Q182" s="35"/>
      <c r="R182" s="35"/>
      <c r="S182" s="35"/>
      <c r="T182" s="35"/>
      <c r="U182" s="35"/>
      <c r="V182" s="3"/>
      <c r="W182" s="3"/>
    </row>
    <row r="183" spans="15:23">
      <c r="O183" s="35"/>
      <c r="P183" s="35"/>
      <c r="Q183" s="35"/>
      <c r="R183" s="35"/>
      <c r="S183" s="35"/>
      <c r="T183" s="35"/>
      <c r="U183" s="35"/>
      <c r="V183" s="3"/>
      <c r="W183" s="3"/>
    </row>
    <row r="184" spans="15:23">
      <c r="O184" s="35"/>
      <c r="P184" s="35"/>
      <c r="Q184" s="35"/>
      <c r="R184" s="35"/>
      <c r="S184" s="35"/>
      <c r="T184" s="35"/>
      <c r="U184" s="35"/>
      <c r="V184" s="3"/>
      <c r="W184" s="3"/>
    </row>
    <row r="185" spans="15:23">
      <c r="O185" s="35"/>
      <c r="P185" s="35"/>
      <c r="Q185" s="35"/>
      <c r="R185" s="35"/>
      <c r="S185" s="35"/>
      <c r="T185" s="35"/>
      <c r="U185" s="35"/>
      <c r="V185" s="3"/>
      <c r="W185" s="3"/>
    </row>
    <row r="186" spans="15:23">
      <c r="O186" s="35"/>
      <c r="P186" s="35"/>
      <c r="Q186" s="35"/>
      <c r="R186" s="35"/>
      <c r="S186" s="35"/>
      <c r="T186" s="35"/>
      <c r="U186" s="35"/>
      <c r="V186" s="3"/>
      <c r="W186" s="3"/>
    </row>
    <row r="187" spans="15:23">
      <c r="O187" s="35"/>
      <c r="P187" s="35"/>
      <c r="Q187" s="35"/>
      <c r="R187" s="35"/>
      <c r="S187" s="35"/>
      <c r="T187" s="35"/>
      <c r="U187" s="35"/>
      <c r="V187" s="3"/>
      <c r="W187" s="3"/>
    </row>
    <row r="188" spans="15:23">
      <c r="O188" s="35"/>
      <c r="P188" s="35"/>
      <c r="Q188" s="35"/>
      <c r="R188" s="35"/>
      <c r="S188" s="35"/>
      <c r="T188" s="35"/>
      <c r="U188" s="35"/>
      <c r="V188" s="3"/>
      <c r="W188" s="3"/>
    </row>
    <row r="189" spans="15:23">
      <c r="O189" s="35"/>
      <c r="P189" s="35"/>
      <c r="Q189" s="35"/>
      <c r="R189" s="35"/>
      <c r="S189" s="35"/>
      <c r="T189" s="35"/>
      <c r="U189" s="35"/>
      <c r="V189" s="3"/>
      <c r="W189" s="3"/>
    </row>
    <row r="190" spans="15:23">
      <c r="O190" s="35"/>
      <c r="P190" s="35"/>
      <c r="Q190" s="35"/>
      <c r="R190" s="35"/>
      <c r="S190" s="35"/>
      <c r="T190" s="35"/>
      <c r="U190" s="35"/>
      <c r="V190" s="3"/>
      <c r="W190" s="3"/>
    </row>
    <row r="191" spans="15:23">
      <c r="O191" s="35"/>
      <c r="P191" s="35"/>
      <c r="Q191" s="35"/>
      <c r="R191" s="35"/>
      <c r="S191" s="35"/>
      <c r="T191" s="35"/>
      <c r="U191" s="35"/>
      <c r="V191" s="3"/>
      <c r="W191" s="3"/>
    </row>
    <row r="192" spans="15:23">
      <c r="O192" s="35"/>
      <c r="P192" s="35"/>
      <c r="Q192" s="35"/>
      <c r="R192" s="35"/>
      <c r="S192" s="35"/>
      <c r="T192" s="35"/>
      <c r="U192" s="35"/>
      <c r="V192" s="3"/>
      <c r="W192" s="3"/>
    </row>
    <row r="193" spans="15:23">
      <c r="O193" s="35"/>
      <c r="P193" s="35"/>
      <c r="Q193" s="35"/>
      <c r="R193" s="35"/>
      <c r="S193" s="35"/>
      <c r="T193" s="35"/>
      <c r="U193" s="35"/>
      <c r="V193" s="3"/>
      <c r="W193" s="3"/>
    </row>
    <row r="194" spans="15:23">
      <c r="O194" s="35"/>
      <c r="P194" s="35"/>
      <c r="Q194" s="35"/>
      <c r="R194" s="35"/>
      <c r="S194" s="35"/>
      <c r="T194" s="35"/>
      <c r="U194" s="35"/>
      <c r="V194" s="3"/>
      <c r="W194" s="3"/>
    </row>
    <row r="195" spans="15:23">
      <c r="O195" s="35"/>
      <c r="P195" s="35"/>
      <c r="Q195" s="35"/>
      <c r="R195" s="35"/>
      <c r="S195" s="35"/>
      <c r="T195" s="35"/>
      <c r="U195" s="35"/>
      <c r="V195" s="3"/>
      <c r="W195" s="3"/>
    </row>
    <row r="196" spans="15:23">
      <c r="O196" s="35"/>
      <c r="P196" s="35"/>
      <c r="Q196" s="35"/>
      <c r="R196" s="35"/>
      <c r="S196" s="35"/>
      <c r="T196" s="35"/>
      <c r="U196" s="35"/>
      <c r="V196" s="3"/>
      <c r="W196" s="3"/>
    </row>
    <row r="197" spans="15:23">
      <c r="O197" s="35"/>
      <c r="P197" s="35"/>
      <c r="Q197" s="35"/>
      <c r="R197" s="35"/>
      <c r="S197" s="35"/>
      <c r="T197" s="35"/>
      <c r="U197" s="35"/>
      <c r="V197" s="3"/>
      <c r="W197" s="3"/>
    </row>
    <row r="198" spans="15:23">
      <c r="O198" s="35"/>
      <c r="P198" s="35"/>
      <c r="Q198" s="35"/>
      <c r="R198" s="35"/>
      <c r="S198" s="35"/>
      <c r="T198" s="35"/>
      <c r="U198" s="35"/>
      <c r="V198" s="3"/>
      <c r="W198" s="3"/>
    </row>
    <row r="199" spans="15:23">
      <c r="O199" s="35"/>
      <c r="P199" s="35"/>
      <c r="Q199" s="35"/>
      <c r="R199" s="35"/>
      <c r="S199" s="35"/>
      <c r="T199" s="35"/>
      <c r="U199" s="35"/>
      <c r="V199" s="3"/>
      <c r="W199" s="3"/>
    </row>
    <row r="200" spans="15:23">
      <c r="O200" s="35"/>
      <c r="P200" s="35"/>
      <c r="Q200" s="35"/>
      <c r="R200" s="35"/>
      <c r="S200" s="35"/>
      <c r="T200" s="35"/>
      <c r="U200" s="35"/>
      <c r="V200" s="3"/>
      <c r="W200" s="3"/>
    </row>
    <row r="201" spans="15:23">
      <c r="O201" s="35"/>
      <c r="P201" s="35"/>
      <c r="Q201" s="35"/>
      <c r="R201" s="35"/>
      <c r="S201" s="35"/>
      <c r="T201" s="35"/>
      <c r="U201" s="35"/>
      <c r="V201" s="3"/>
      <c r="W201" s="3"/>
    </row>
    <row r="202" spans="15:23">
      <c r="O202" s="35"/>
      <c r="P202" s="35"/>
      <c r="Q202" s="35"/>
      <c r="R202" s="35"/>
      <c r="S202" s="35"/>
      <c r="T202" s="35"/>
      <c r="U202" s="35"/>
      <c r="V202" s="3"/>
      <c r="W202" s="3"/>
    </row>
    <row r="203" spans="15:23">
      <c r="O203" s="35"/>
      <c r="P203" s="35"/>
      <c r="Q203" s="35"/>
      <c r="R203" s="35"/>
      <c r="S203" s="35"/>
      <c r="T203" s="35"/>
      <c r="U203" s="35"/>
      <c r="V203" s="3"/>
      <c r="W203" s="3"/>
    </row>
    <row r="204" spans="15:23">
      <c r="O204" s="35"/>
      <c r="P204" s="35"/>
      <c r="Q204" s="35"/>
      <c r="R204" s="35"/>
      <c r="S204" s="35"/>
      <c r="T204" s="35"/>
      <c r="U204" s="35"/>
      <c r="V204" s="3"/>
      <c r="W204" s="3"/>
    </row>
    <row r="205" spans="15:23">
      <c r="O205" s="35"/>
      <c r="P205" s="35"/>
      <c r="Q205" s="35"/>
      <c r="R205" s="35"/>
      <c r="S205" s="35"/>
      <c r="T205" s="35"/>
      <c r="U205" s="35"/>
      <c r="V205" s="3"/>
      <c r="W205" s="3"/>
    </row>
    <row r="206" spans="15:23">
      <c r="O206" s="35"/>
      <c r="P206" s="35"/>
      <c r="Q206" s="35"/>
      <c r="R206" s="35"/>
      <c r="S206" s="35"/>
      <c r="T206" s="35"/>
      <c r="U206" s="35"/>
      <c r="V206" s="3"/>
      <c r="W206" s="3"/>
    </row>
    <row r="207" spans="15:23">
      <c r="O207" s="35"/>
      <c r="P207" s="35"/>
      <c r="Q207" s="35"/>
      <c r="R207" s="35"/>
      <c r="S207" s="35"/>
      <c r="T207" s="35"/>
      <c r="U207" s="35"/>
      <c r="V207" s="3"/>
      <c r="W207" s="3"/>
    </row>
    <row r="208" spans="15:23">
      <c r="O208" s="35"/>
      <c r="P208" s="35"/>
      <c r="Q208" s="35"/>
      <c r="R208" s="35"/>
      <c r="S208" s="35"/>
      <c r="T208" s="35"/>
      <c r="U208" s="35"/>
      <c r="V208" s="3"/>
      <c r="W208" s="3"/>
    </row>
    <row r="209" spans="15:23">
      <c r="O209" s="35"/>
      <c r="P209" s="35"/>
      <c r="Q209" s="35"/>
      <c r="R209" s="35"/>
      <c r="S209" s="35"/>
      <c r="T209" s="35"/>
      <c r="U209" s="35"/>
      <c r="V209" s="3"/>
      <c r="W209" s="3"/>
    </row>
    <row r="210" spans="15:23">
      <c r="O210" s="35"/>
      <c r="P210" s="35"/>
      <c r="Q210" s="35"/>
      <c r="R210" s="35"/>
      <c r="S210" s="35"/>
      <c r="T210" s="35"/>
      <c r="U210" s="35"/>
      <c r="V210" s="3"/>
      <c r="W210" s="3"/>
    </row>
    <row r="211" spans="15:23">
      <c r="O211" s="35"/>
      <c r="P211" s="35"/>
      <c r="Q211" s="35"/>
      <c r="R211" s="35"/>
      <c r="S211" s="35"/>
      <c r="T211" s="35"/>
      <c r="U211" s="35"/>
      <c r="V211" s="3"/>
      <c r="W211" s="3"/>
    </row>
    <row r="212" spans="15:23">
      <c r="O212" s="35"/>
      <c r="P212" s="35"/>
      <c r="Q212" s="35"/>
      <c r="R212" s="35"/>
      <c r="S212" s="35"/>
      <c r="T212" s="35"/>
      <c r="U212" s="35"/>
      <c r="V212" s="3"/>
      <c r="W212" s="3"/>
    </row>
    <row r="213" spans="15:23">
      <c r="O213" s="35"/>
      <c r="P213" s="35"/>
      <c r="Q213" s="35"/>
      <c r="R213" s="35"/>
      <c r="S213" s="35"/>
      <c r="T213" s="35"/>
      <c r="U213" s="35"/>
      <c r="V213" s="3"/>
      <c r="W213" s="3"/>
    </row>
    <row r="214" spans="15:23">
      <c r="O214" s="35"/>
      <c r="P214" s="35"/>
      <c r="Q214" s="35"/>
      <c r="R214" s="35"/>
      <c r="S214" s="35"/>
      <c r="T214" s="35"/>
      <c r="U214" s="35"/>
      <c r="V214" s="3"/>
      <c r="W214" s="3"/>
    </row>
    <row r="215" spans="15:23">
      <c r="O215" s="35"/>
      <c r="P215" s="35"/>
      <c r="Q215" s="35"/>
      <c r="R215" s="35"/>
      <c r="S215" s="35"/>
      <c r="T215" s="35"/>
      <c r="U215" s="35"/>
      <c r="V215" s="3"/>
      <c r="W215" s="3"/>
    </row>
    <row r="216" spans="15:23">
      <c r="O216" s="35"/>
      <c r="P216" s="35"/>
      <c r="Q216" s="35"/>
      <c r="R216" s="35"/>
      <c r="S216" s="35"/>
      <c r="T216" s="35"/>
      <c r="U216" s="35"/>
      <c r="V216" s="3"/>
      <c r="W216" s="3"/>
    </row>
    <row r="217" spans="15:23">
      <c r="O217" s="35"/>
      <c r="P217" s="35"/>
      <c r="Q217" s="35"/>
      <c r="R217" s="35"/>
      <c r="S217" s="35"/>
      <c r="T217" s="35"/>
      <c r="U217" s="35"/>
      <c r="V217" s="3"/>
      <c r="W217" s="3"/>
    </row>
    <row r="218" spans="15:23">
      <c r="O218" s="35"/>
      <c r="P218" s="35"/>
      <c r="Q218" s="35"/>
      <c r="R218" s="35"/>
      <c r="S218" s="35"/>
      <c r="T218" s="35"/>
      <c r="U218" s="35"/>
      <c r="V218" s="3"/>
      <c r="W218" s="3"/>
    </row>
    <row r="219" spans="15:23">
      <c r="O219" s="35"/>
      <c r="P219" s="35"/>
      <c r="Q219" s="35"/>
      <c r="R219" s="35"/>
      <c r="S219" s="35"/>
      <c r="T219" s="35"/>
      <c r="U219" s="35"/>
      <c r="V219" s="3"/>
      <c r="W219" s="3"/>
    </row>
    <row r="220" spans="15:23">
      <c r="O220" s="35"/>
      <c r="P220" s="35"/>
      <c r="Q220" s="35"/>
      <c r="R220" s="35"/>
      <c r="S220" s="35"/>
      <c r="T220" s="35"/>
      <c r="U220" s="35"/>
      <c r="V220" s="3"/>
      <c r="W220" s="3"/>
    </row>
    <row r="221" spans="15:23">
      <c r="O221" s="35"/>
      <c r="P221" s="35"/>
      <c r="Q221" s="35"/>
      <c r="R221" s="35"/>
      <c r="S221" s="35"/>
      <c r="T221" s="35"/>
      <c r="U221" s="35"/>
      <c r="V221" s="3"/>
      <c r="W221" s="3"/>
    </row>
    <row r="222" spans="15:23">
      <c r="O222" s="35"/>
      <c r="P222" s="35"/>
      <c r="Q222" s="35"/>
      <c r="R222" s="35"/>
      <c r="S222" s="35"/>
      <c r="T222" s="35"/>
      <c r="U222" s="35"/>
      <c r="V222" s="3"/>
      <c r="W222" s="3"/>
    </row>
    <row r="223" spans="15:23">
      <c r="O223" s="35"/>
      <c r="P223" s="35"/>
      <c r="Q223" s="35"/>
      <c r="R223" s="35"/>
      <c r="S223" s="35"/>
      <c r="T223" s="35"/>
      <c r="U223" s="35"/>
      <c r="V223" s="3"/>
      <c r="W223" s="3"/>
    </row>
    <row r="224" spans="15:23">
      <c r="O224" s="35"/>
      <c r="P224" s="35"/>
      <c r="Q224" s="35"/>
      <c r="R224" s="35"/>
      <c r="S224" s="35"/>
      <c r="T224" s="35"/>
      <c r="U224" s="35"/>
      <c r="V224" s="3"/>
      <c r="W224" s="3"/>
    </row>
    <row r="225" spans="15:23">
      <c r="O225" s="35"/>
      <c r="P225" s="35"/>
      <c r="Q225" s="35"/>
      <c r="R225" s="35"/>
      <c r="S225" s="35"/>
      <c r="T225" s="35"/>
      <c r="U225" s="35"/>
      <c r="V225" s="3"/>
      <c r="W225" s="3"/>
    </row>
    <row r="226" spans="15:23">
      <c r="O226" s="35"/>
      <c r="P226" s="35"/>
      <c r="Q226" s="35"/>
      <c r="R226" s="35"/>
      <c r="S226" s="35"/>
      <c r="T226" s="35"/>
      <c r="U226" s="35"/>
      <c r="V226" s="3"/>
      <c r="W226" s="3"/>
    </row>
    <row r="227" spans="15:23">
      <c r="O227" s="35"/>
      <c r="P227" s="35"/>
      <c r="Q227" s="35"/>
      <c r="R227" s="35"/>
      <c r="S227" s="35"/>
      <c r="T227" s="35"/>
      <c r="U227" s="35"/>
      <c r="V227" s="3"/>
      <c r="W227" s="3"/>
    </row>
    <row r="228" spans="15:23">
      <c r="O228" s="35"/>
      <c r="P228" s="35"/>
      <c r="Q228" s="35"/>
      <c r="R228" s="35"/>
      <c r="S228" s="35"/>
      <c r="T228" s="35"/>
      <c r="U228" s="35"/>
      <c r="V228" s="3"/>
      <c r="W228" s="3"/>
    </row>
    <row r="229" spans="15:23">
      <c r="O229" s="35"/>
      <c r="P229" s="35"/>
      <c r="Q229" s="35"/>
      <c r="R229" s="35"/>
      <c r="S229" s="35"/>
      <c r="T229" s="35"/>
      <c r="U229" s="35"/>
      <c r="V229" s="3"/>
      <c r="W229" s="3"/>
    </row>
    <row r="230" spans="15:23">
      <c r="O230" s="35"/>
      <c r="P230" s="35"/>
      <c r="Q230" s="35"/>
      <c r="R230" s="35"/>
      <c r="S230" s="35"/>
      <c r="T230" s="35"/>
      <c r="U230" s="35"/>
      <c r="V230" s="3"/>
      <c r="W230" s="3"/>
    </row>
    <row r="231" spans="15:23">
      <c r="O231" s="35"/>
      <c r="P231" s="35"/>
      <c r="Q231" s="35"/>
      <c r="R231" s="35"/>
      <c r="S231" s="35"/>
      <c r="T231" s="35"/>
      <c r="U231" s="35"/>
      <c r="V231" s="3"/>
      <c r="W231" s="3"/>
    </row>
    <row r="232" spans="15:23">
      <c r="O232" s="35"/>
      <c r="P232" s="35"/>
      <c r="Q232" s="35"/>
      <c r="R232" s="35"/>
      <c r="S232" s="35"/>
      <c r="T232" s="35"/>
      <c r="U232" s="35"/>
      <c r="V232" s="3"/>
      <c r="W232" s="3"/>
    </row>
    <row r="233" spans="15:23">
      <c r="O233" s="35"/>
      <c r="P233" s="35"/>
      <c r="Q233" s="35"/>
      <c r="R233" s="35"/>
      <c r="S233" s="35"/>
      <c r="T233" s="35"/>
      <c r="U233" s="35"/>
      <c r="V233" s="3"/>
      <c r="W233" s="3"/>
    </row>
    <row r="234" spans="15:23">
      <c r="O234" s="35"/>
      <c r="P234" s="35"/>
      <c r="Q234" s="35"/>
      <c r="R234" s="35"/>
      <c r="S234" s="35"/>
      <c r="T234" s="35"/>
      <c r="U234" s="35"/>
      <c r="V234" s="3"/>
      <c r="W234" s="3"/>
    </row>
    <row r="235" spans="15:23">
      <c r="O235" s="35"/>
      <c r="P235" s="35"/>
      <c r="Q235" s="35"/>
      <c r="R235" s="35"/>
      <c r="S235" s="35"/>
      <c r="T235" s="35"/>
      <c r="U235" s="35"/>
      <c r="V235" s="3"/>
      <c r="W235" s="3"/>
    </row>
    <row r="236" spans="15:23">
      <c r="O236" s="35"/>
      <c r="P236" s="35"/>
      <c r="Q236" s="35"/>
      <c r="R236" s="35"/>
      <c r="S236" s="35"/>
      <c r="T236" s="35"/>
      <c r="U236" s="35"/>
      <c r="V236" s="3"/>
      <c r="W236" s="3"/>
    </row>
    <row r="237" spans="15:23">
      <c r="O237" s="35"/>
      <c r="P237" s="35"/>
      <c r="Q237" s="35"/>
      <c r="R237" s="35"/>
      <c r="S237" s="35"/>
      <c r="T237" s="35"/>
      <c r="U237" s="35"/>
      <c r="V237" s="3"/>
      <c r="W237" s="3"/>
    </row>
    <row r="238" spans="15:23">
      <c r="O238" s="35"/>
      <c r="P238" s="35"/>
      <c r="Q238" s="35"/>
      <c r="R238" s="35"/>
      <c r="S238" s="35"/>
      <c r="T238" s="35"/>
      <c r="U238" s="35"/>
      <c r="V238" s="3"/>
      <c r="W238" s="3"/>
    </row>
    <row r="239" spans="15:23">
      <c r="O239" s="35"/>
      <c r="P239" s="35"/>
      <c r="Q239" s="35"/>
      <c r="R239" s="35"/>
      <c r="S239" s="35"/>
      <c r="T239" s="35"/>
      <c r="U239" s="35"/>
      <c r="V239" s="3"/>
      <c r="W239" s="3"/>
    </row>
    <row r="240" spans="15:23">
      <c r="O240" s="35"/>
      <c r="P240" s="35"/>
      <c r="Q240" s="35"/>
      <c r="R240" s="35"/>
      <c r="S240" s="35"/>
      <c r="T240" s="35"/>
      <c r="U240" s="35"/>
      <c r="V240" s="3"/>
      <c r="W240" s="3"/>
    </row>
    <row r="241" spans="15:23">
      <c r="O241" s="35"/>
      <c r="P241" s="35"/>
      <c r="Q241" s="35"/>
      <c r="R241" s="35"/>
      <c r="S241" s="35"/>
      <c r="T241" s="35"/>
      <c r="U241" s="35"/>
      <c r="V241" s="3"/>
      <c r="W241" s="3"/>
    </row>
    <row r="242" spans="15:23">
      <c r="O242" s="35"/>
      <c r="P242" s="35"/>
      <c r="Q242" s="35"/>
      <c r="R242" s="35"/>
      <c r="S242" s="35"/>
      <c r="T242" s="35"/>
      <c r="U242" s="35"/>
      <c r="V242" s="3"/>
      <c r="W242" s="3"/>
    </row>
    <row r="243" spans="15:23">
      <c r="O243" s="35"/>
      <c r="P243" s="35"/>
      <c r="Q243" s="35"/>
      <c r="R243" s="35"/>
      <c r="S243" s="35"/>
      <c r="T243" s="35"/>
      <c r="U243" s="35"/>
      <c r="V243" s="3"/>
      <c r="W243" s="3"/>
    </row>
    <row r="244" spans="15:23">
      <c r="O244" s="35"/>
      <c r="P244" s="35"/>
      <c r="Q244" s="35"/>
      <c r="R244" s="35"/>
      <c r="S244" s="35"/>
      <c r="T244" s="35"/>
      <c r="U244" s="35"/>
      <c r="V244" s="3"/>
      <c r="W244" s="3"/>
    </row>
    <row r="245" spans="15:23">
      <c r="O245" s="35"/>
      <c r="P245" s="35"/>
      <c r="Q245" s="35"/>
      <c r="R245" s="35"/>
      <c r="S245" s="35"/>
      <c r="T245" s="35"/>
      <c r="U245" s="35"/>
      <c r="V245" s="3"/>
      <c r="W245" s="3"/>
    </row>
    <row r="246" spans="15:23">
      <c r="O246" s="35"/>
      <c r="P246" s="35"/>
      <c r="Q246" s="35"/>
      <c r="R246" s="35"/>
      <c r="S246" s="35"/>
      <c r="T246" s="35"/>
      <c r="U246" s="35"/>
      <c r="V246" s="3"/>
      <c r="W246" s="3"/>
    </row>
    <row r="247" spans="15:23">
      <c r="O247" s="35"/>
      <c r="P247" s="35"/>
      <c r="Q247" s="35"/>
      <c r="R247" s="35"/>
      <c r="S247" s="35"/>
      <c r="T247" s="35"/>
      <c r="U247" s="35"/>
      <c r="V247" s="3"/>
      <c r="W247" s="3"/>
    </row>
    <row r="248" spans="15:23">
      <c r="O248" s="35"/>
      <c r="P248" s="35"/>
      <c r="Q248" s="35"/>
      <c r="R248" s="35"/>
      <c r="S248" s="35"/>
      <c r="T248" s="35"/>
      <c r="U248" s="35"/>
      <c r="V248" s="3"/>
      <c r="W248" s="3"/>
    </row>
    <row r="249" spans="15:23">
      <c r="O249" s="35"/>
      <c r="P249" s="35"/>
      <c r="Q249" s="35"/>
      <c r="R249" s="35"/>
      <c r="S249" s="35"/>
      <c r="T249" s="35"/>
      <c r="U249" s="35"/>
      <c r="V249" s="3"/>
      <c r="W249" s="3"/>
    </row>
    <row r="250" spans="15:23">
      <c r="O250" s="35"/>
      <c r="P250" s="35"/>
      <c r="Q250" s="35"/>
      <c r="R250" s="35"/>
      <c r="S250" s="35"/>
      <c r="T250" s="35"/>
      <c r="U250" s="35"/>
      <c r="V250" s="3"/>
      <c r="W250" s="3"/>
    </row>
    <row r="251" spans="15:23">
      <c r="O251" s="35"/>
      <c r="P251" s="35"/>
      <c r="Q251" s="35"/>
      <c r="R251" s="35"/>
      <c r="S251" s="35"/>
      <c r="T251" s="35"/>
      <c r="U251" s="35"/>
      <c r="V251" s="3"/>
      <c r="W251" s="3"/>
    </row>
    <row r="252" spans="15:23">
      <c r="O252" s="35"/>
      <c r="P252" s="35"/>
      <c r="Q252" s="35"/>
      <c r="R252" s="35"/>
      <c r="S252" s="35"/>
      <c r="T252" s="35"/>
      <c r="U252" s="35"/>
      <c r="V252" s="3"/>
      <c r="W252" s="3"/>
    </row>
    <row r="253" spans="15:23">
      <c r="O253" s="35"/>
      <c r="P253" s="35"/>
      <c r="Q253" s="35"/>
      <c r="R253" s="35"/>
      <c r="S253" s="35"/>
      <c r="T253" s="35"/>
      <c r="U253" s="35"/>
      <c r="V253" s="3"/>
      <c r="W253" s="3"/>
    </row>
    <row r="254" spans="15:23">
      <c r="O254" s="35"/>
      <c r="P254" s="35"/>
      <c r="Q254" s="35"/>
      <c r="R254" s="35"/>
      <c r="S254" s="35"/>
      <c r="T254" s="35"/>
      <c r="U254" s="35"/>
      <c r="V254" s="3"/>
      <c r="W254" s="3"/>
    </row>
    <row r="255" spans="15:23">
      <c r="O255" s="35"/>
      <c r="P255" s="35"/>
      <c r="Q255" s="35"/>
      <c r="R255" s="35"/>
      <c r="S255" s="35"/>
      <c r="T255" s="35"/>
      <c r="U255" s="35"/>
      <c r="V255" s="3"/>
      <c r="W255" s="3"/>
    </row>
    <row r="256" spans="15:23">
      <c r="O256" s="35"/>
      <c r="P256" s="35"/>
      <c r="Q256" s="35"/>
      <c r="R256" s="35"/>
      <c r="S256" s="35"/>
      <c r="T256" s="35"/>
      <c r="U256" s="35"/>
      <c r="V256" s="3"/>
      <c r="W256" s="3"/>
    </row>
    <row r="257" spans="15:23">
      <c r="O257" s="35"/>
      <c r="P257" s="35"/>
      <c r="Q257" s="35"/>
      <c r="R257" s="35"/>
      <c r="S257" s="35"/>
      <c r="T257" s="35"/>
      <c r="U257" s="35"/>
      <c r="V257" s="3"/>
      <c r="W257" s="3"/>
    </row>
    <row r="258" spans="15:23">
      <c r="O258" s="35"/>
      <c r="P258" s="35"/>
      <c r="Q258" s="35"/>
      <c r="R258" s="35"/>
      <c r="S258" s="35"/>
      <c r="T258" s="35"/>
      <c r="U258" s="35"/>
      <c r="V258" s="3"/>
      <c r="W258" s="3"/>
    </row>
    <row r="259" spans="15:23">
      <c r="O259" s="35"/>
      <c r="P259" s="35"/>
      <c r="Q259" s="35"/>
      <c r="R259" s="35"/>
      <c r="S259" s="35"/>
      <c r="T259" s="35"/>
      <c r="U259" s="35"/>
      <c r="V259" s="3"/>
      <c r="W259" s="3"/>
    </row>
    <row r="260" spans="15:23">
      <c r="O260" s="35"/>
      <c r="P260" s="35"/>
      <c r="Q260" s="35"/>
      <c r="R260" s="35"/>
      <c r="S260" s="35"/>
      <c r="T260" s="35"/>
      <c r="U260" s="35"/>
      <c r="V260" s="3"/>
      <c r="W260" s="3"/>
    </row>
    <row r="261" spans="15:23">
      <c r="O261" s="35"/>
      <c r="P261" s="35"/>
      <c r="Q261" s="35"/>
      <c r="R261" s="35"/>
      <c r="S261" s="35"/>
      <c r="T261" s="35"/>
      <c r="U261" s="35"/>
      <c r="V261" s="3"/>
      <c r="W261" s="3"/>
    </row>
    <row r="262" spans="15:23">
      <c r="O262" s="35"/>
      <c r="P262" s="35"/>
      <c r="Q262" s="35"/>
      <c r="R262" s="35"/>
      <c r="S262" s="35"/>
      <c r="T262" s="35"/>
      <c r="U262" s="35"/>
      <c r="V262" s="3"/>
      <c r="W262" s="3"/>
    </row>
    <row r="263" spans="15:23">
      <c r="O263" s="35"/>
      <c r="P263" s="35"/>
      <c r="Q263" s="35"/>
      <c r="R263" s="35"/>
      <c r="S263" s="35"/>
      <c r="T263" s="35"/>
      <c r="U263" s="35"/>
      <c r="V263" s="3"/>
      <c r="W263" s="3"/>
    </row>
    <row r="264" spans="15:23">
      <c r="O264" s="35"/>
      <c r="P264" s="35"/>
      <c r="Q264" s="35"/>
      <c r="R264" s="35"/>
      <c r="S264" s="35"/>
      <c r="T264" s="35"/>
      <c r="U264" s="35"/>
      <c r="V264" s="3"/>
      <c r="W264" s="3"/>
    </row>
    <row r="265" spans="15:23">
      <c r="O265" s="35"/>
      <c r="P265" s="35"/>
      <c r="Q265" s="35"/>
      <c r="R265" s="35"/>
      <c r="S265" s="35"/>
      <c r="T265" s="35"/>
      <c r="U265" s="35"/>
      <c r="V265" s="3"/>
      <c r="W265" s="3"/>
    </row>
    <row r="266" spans="15:23">
      <c r="O266" s="35"/>
      <c r="P266" s="35"/>
      <c r="Q266" s="35"/>
      <c r="R266" s="35"/>
      <c r="S266" s="35"/>
      <c r="T266" s="35"/>
      <c r="U266" s="35"/>
      <c r="V266" s="3"/>
      <c r="W266" s="3"/>
    </row>
    <row r="267" spans="15:23">
      <c r="O267" s="35"/>
      <c r="P267" s="35"/>
      <c r="Q267" s="35"/>
      <c r="R267" s="35"/>
      <c r="S267" s="35"/>
      <c r="T267" s="35"/>
      <c r="U267" s="35"/>
      <c r="V267" s="3"/>
      <c r="W267" s="3"/>
    </row>
    <row r="268" spans="15:23">
      <c r="O268" s="35"/>
      <c r="P268" s="35"/>
      <c r="Q268" s="35"/>
      <c r="R268" s="35"/>
      <c r="S268" s="35"/>
      <c r="T268" s="35"/>
      <c r="U268" s="35"/>
      <c r="V268" s="3"/>
      <c r="W268" s="3"/>
    </row>
    <row r="269" spans="15:23">
      <c r="O269" s="35"/>
      <c r="P269" s="35"/>
      <c r="Q269" s="35"/>
      <c r="R269" s="35"/>
      <c r="S269" s="35"/>
      <c r="T269" s="35"/>
      <c r="U269" s="35"/>
      <c r="V269" s="3"/>
      <c r="W269" s="3"/>
    </row>
    <row r="270" spans="15:23">
      <c r="O270" s="35"/>
      <c r="P270" s="35"/>
      <c r="Q270" s="35"/>
      <c r="R270" s="35"/>
      <c r="S270" s="35"/>
      <c r="T270" s="35"/>
      <c r="U270" s="35"/>
      <c r="V270" s="3"/>
      <c r="W270" s="3"/>
    </row>
    <row r="271" spans="15:23">
      <c r="O271" s="35"/>
      <c r="P271" s="35"/>
      <c r="Q271" s="35"/>
      <c r="R271" s="35"/>
      <c r="S271" s="35"/>
      <c r="T271" s="35"/>
      <c r="U271" s="35"/>
      <c r="V271" s="3"/>
      <c r="W271" s="3"/>
    </row>
    <row r="272" spans="15:23">
      <c r="O272" s="35"/>
      <c r="P272" s="35"/>
      <c r="Q272" s="35"/>
      <c r="R272" s="35"/>
      <c r="S272" s="35"/>
      <c r="T272" s="35"/>
      <c r="U272" s="35"/>
      <c r="V272" s="3"/>
      <c r="W272" s="3"/>
    </row>
    <row r="273" spans="15:23">
      <c r="O273" s="35"/>
      <c r="P273" s="35"/>
      <c r="Q273" s="35"/>
      <c r="R273" s="35"/>
      <c r="S273" s="35"/>
      <c r="T273" s="35"/>
      <c r="U273" s="35"/>
      <c r="V273" s="3"/>
      <c r="W273" s="3"/>
    </row>
    <row r="274" spans="15:23">
      <c r="O274" s="35"/>
      <c r="P274" s="35"/>
      <c r="Q274" s="35"/>
      <c r="R274" s="35"/>
      <c r="S274" s="35"/>
      <c r="T274" s="35"/>
      <c r="U274" s="35"/>
      <c r="V274" s="3"/>
      <c r="W274" s="3"/>
    </row>
    <row r="275" spans="15:23">
      <c r="O275" s="35"/>
      <c r="P275" s="35"/>
      <c r="Q275" s="35"/>
      <c r="R275" s="35"/>
      <c r="S275" s="35"/>
      <c r="T275" s="35"/>
      <c r="U275" s="35"/>
      <c r="V275" s="3"/>
      <c r="W275" s="3"/>
    </row>
    <row r="276" spans="15:23">
      <c r="O276" s="35"/>
      <c r="P276" s="35"/>
      <c r="Q276" s="35"/>
      <c r="R276" s="35"/>
      <c r="S276" s="35"/>
      <c r="T276" s="35"/>
      <c r="U276" s="35"/>
      <c r="V276" s="3"/>
      <c r="W276" s="3"/>
    </row>
    <row r="277" spans="15:23">
      <c r="O277" s="35"/>
      <c r="P277" s="35"/>
      <c r="Q277" s="35"/>
      <c r="R277" s="35"/>
      <c r="S277" s="35"/>
      <c r="T277" s="35"/>
      <c r="U277" s="35"/>
      <c r="V277" s="3"/>
      <c r="W277" s="3"/>
    </row>
    <row r="278" spans="15:23">
      <c r="O278" s="35"/>
      <c r="P278" s="35"/>
      <c r="Q278" s="35"/>
      <c r="R278" s="35"/>
      <c r="S278" s="35"/>
      <c r="T278" s="35"/>
      <c r="U278" s="35"/>
      <c r="V278" s="3"/>
      <c r="W278" s="3"/>
    </row>
    <row r="279" spans="15:23">
      <c r="O279" s="35"/>
      <c r="P279" s="35"/>
      <c r="Q279" s="35"/>
      <c r="R279" s="35"/>
      <c r="S279" s="35"/>
      <c r="T279" s="35"/>
      <c r="U279" s="35"/>
      <c r="V279" s="3"/>
      <c r="W279" s="3"/>
    </row>
    <row r="280" spans="15:23">
      <c r="O280" s="35"/>
      <c r="P280" s="35"/>
      <c r="Q280" s="35"/>
      <c r="R280" s="35"/>
      <c r="S280" s="35"/>
      <c r="T280" s="35"/>
      <c r="U280" s="35"/>
      <c r="V280" s="3"/>
      <c r="W280" s="3"/>
    </row>
    <row r="281" spans="15:23">
      <c r="O281" s="35"/>
      <c r="P281" s="35"/>
      <c r="Q281" s="35"/>
      <c r="R281" s="35"/>
      <c r="S281" s="35"/>
      <c r="T281" s="35"/>
      <c r="U281" s="35"/>
      <c r="V281" s="3"/>
      <c r="W281" s="3"/>
    </row>
    <row r="282" spans="15:23">
      <c r="O282" s="35"/>
      <c r="P282" s="35"/>
      <c r="Q282" s="35"/>
      <c r="R282" s="35"/>
      <c r="S282" s="35"/>
      <c r="T282" s="35"/>
      <c r="U282" s="35"/>
      <c r="V282" s="3"/>
      <c r="W282" s="3"/>
    </row>
    <row r="283" spans="15:23">
      <c r="O283" s="35"/>
      <c r="P283" s="35"/>
      <c r="Q283" s="35"/>
      <c r="R283" s="35"/>
      <c r="S283" s="35"/>
      <c r="T283" s="35"/>
      <c r="U283" s="35"/>
      <c r="V283" s="3"/>
      <c r="W283" s="3"/>
    </row>
    <row r="284" spans="15:23">
      <c r="O284" s="35"/>
      <c r="P284" s="35"/>
      <c r="Q284" s="35"/>
      <c r="R284" s="35"/>
      <c r="S284" s="35"/>
      <c r="T284" s="35"/>
      <c r="U284" s="35"/>
      <c r="V284" s="3"/>
      <c r="W284" s="3"/>
    </row>
    <row r="285" spans="15:23">
      <c r="O285" s="35"/>
      <c r="P285" s="35"/>
      <c r="Q285" s="35"/>
      <c r="R285" s="35"/>
      <c r="S285" s="35"/>
      <c r="T285" s="35"/>
      <c r="U285" s="35"/>
      <c r="V285" s="3"/>
      <c r="W285" s="3"/>
    </row>
    <row r="286" spans="15:23">
      <c r="O286" s="35"/>
      <c r="P286" s="35"/>
      <c r="Q286" s="35"/>
      <c r="R286" s="35"/>
      <c r="S286" s="35"/>
      <c r="T286" s="35"/>
      <c r="U286" s="35"/>
      <c r="V286" s="3"/>
      <c r="W286" s="3"/>
    </row>
    <row r="287" spans="15:23">
      <c r="O287" s="35"/>
      <c r="P287" s="35"/>
      <c r="Q287" s="35"/>
      <c r="R287" s="35"/>
      <c r="S287" s="35"/>
      <c r="T287" s="35"/>
      <c r="U287" s="35"/>
      <c r="V287" s="3"/>
      <c r="W287" s="3"/>
    </row>
    <row r="288" spans="15:23">
      <c r="O288" s="35"/>
      <c r="P288" s="35"/>
      <c r="Q288" s="35"/>
      <c r="R288" s="35"/>
      <c r="S288" s="35"/>
      <c r="T288" s="35"/>
      <c r="U288" s="35"/>
      <c r="V288" s="3"/>
      <c r="W288" s="3"/>
    </row>
    <row r="289" spans="15:23">
      <c r="O289" s="35"/>
      <c r="P289" s="35"/>
      <c r="Q289" s="35"/>
      <c r="R289" s="35"/>
      <c r="S289" s="35"/>
      <c r="T289" s="35"/>
      <c r="U289" s="35"/>
      <c r="V289" s="3"/>
      <c r="W289" s="3"/>
    </row>
    <row r="290" spans="15:23">
      <c r="O290" s="35"/>
      <c r="P290" s="35"/>
      <c r="Q290" s="35"/>
      <c r="R290" s="35"/>
      <c r="S290" s="35"/>
      <c r="T290" s="35"/>
      <c r="U290" s="35"/>
      <c r="V290" s="3"/>
      <c r="W290" s="3"/>
    </row>
    <row r="291" spans="15:23">
      <c r="O291" s="35"/>
      <c r="P291" s="35"/>
      <c r="Q291" s="35"/>
      <c r="R291" s="35"/>
      <c r="S291" s="35"/>
      <c r="T291" s="35"/>
      <c r="U291" s="35"/>
      <c r="V291" s="3"/>
      <c r="W291" s="3"/>
    </row>
    <row r="292" spans="15:23">
      <c r="O292" s="35"/>
      <c r="P292" s="35"/>
      <c r="Q292" s="35"/>
      <c r="R292" s="35"/>
      <c r="S292" s="35"/>
      <c r="T292" s="35"/>
      <c r="U292" s="35"/>
      <c r="V292" s="3"/>
      <c r="W292" s="3"/>
    </row>
    <row r="293" spans="15:23">
      <c r="O293" s="35"/>
      <c r="P293" s="35"/>
      <c r="Q293" s="35"/>
      <c r="R293" s="35"/>
      <c r="S293" s="35"/>
      <c r="T293" s="35"/>
      <c r="U293" s="35"/>
      <c r="V293" s="3"/>
      <c r="W293" s="3"/>
    </row>
    <row r="294" spans="15:23">
      <c r="O294" s="35"/>
      <c r="P294" s="35"/>
      <c r="Q294" s="35"/>
      <c r="R294" s="35"/>
      <c r="S294" s="35"/>
      <c r="T294" s="35"/>
      <c r="U294" s="35"/>
      <c r="V294" s="3"/>
      <c r="W294" s="3"/>
    </row>
    <row r="295" spans="15:23">
      <c r="O295" s="35"/>
      <c r="P295" s="35"/>
      <c r="Q295" s="35"/>
      <c r="R295" s="35"/>
      <c r="S295" s="35"/>
      <c r="T295" s="35"/>
      <c r="U295" s="35"/>
      <c r="V295" s="3"/>
      <c r="W295" s="3"/>
    </row>
    <row r="296" spans="15:23">
      <c r="O296" s="35"/>
      <c r="P296" s="35"/>
      <c r="Q296" s="35"/>
      <c r="R296" s="35"/>
      <c r="S296" s="35"/>
      <c r="T296" s="35"/>
      <c r="U296" s="35"/>
      <c r="V296" s="3"/>
      <c r="W296" s="3"/>
    </row>
    <row r="297" spans="15:23">
      <c r="O297" s="35"/>
      <c r="P297" s="35"/>
      <c r="Q297" s="35"/>
      <c r="R297" s="35"/>
      <c r="S297" s="35"/>
      <c r="T297" s="35"/>
      <c r="U297" s="35"/>
      <c r="V297" s="3"/>
      <c r="W297" s="3"/>
    </row>
    <row r="298" spans="15:23">
      <c r="O298" s="35"/>
      <c r="P298" s="35"/>
      <c r="Q298" s="35"/>
      <c r="R298" s="35"/>
      <c r="S298" s="35"/>
      <c r="T298" s="35"/>
      <c r="U298" s="35"/>
      <c r="V298" s="3"/>
      <c r="W298" s="3"/>
    </row>
    <row r="299" spans="15:23">
      <c r="O299" s="35"/>
      <c r="P299" s="35"/>
      <c r="Q299" s="35"/>
      <c r="R299" s="35"/>
      <c r="S299" s="35"/>
      <c r="T299" s="35"/>
      <c r="U299" s="35"/>
      <c r="V299" s="3"/>
      <c r="W299" s="3"/>
    </row>
    <row r="300" spans="15:23">
      <c r="O300" s="35"/>
      <c r="P300" s="35"/>
      <c r="Q300" s="35"/>
      <c r="R300" s="35"/>
      <c r="S300" s="35"/>
      <c r="T300" s="35"/>
      <c r="U300" s="35"/>
      <c r="V300" s="3"/>
      <c r="W300" s="3"/>
    </row>
    <row r="301" spans="15:23">
      <c r="O301" s="35"/>
      <c r="P301" s="35"/>
      <c r="Q301" s="35"/>
      <c r="R301" s="35"/>
      <c r="S301" s="35"/>
      <c r="T301" s="35"/>
      <c r="U301" s="35"/>
      <c r="V301" s="3"/>
      <c r="W301" s="3"/>
    </row>
    <row r="302" spans="15:23">
      <c r="O302" s="35"/>
      <c r="P302" s="35"/>
      <c r="Q302" s="35"/>
      <c r="R302" s="35"/>
      <c r="S302" s="35"/>
      <c r="T302" s="35"/>
      <c r="U302" s="35"/>
      <c r="V302" s="3"/>
      <c r="W302" s="3"/>
    </row>
    <row r="303" spans="15:23">
      <c r="O303" s="35"/>
      <c r="P303" s="35"/>
      <c r="Q303" s="35"/>
      <c r="R303" s="35"/>
      <c r="S303" s="35"/>
      <c r="T303" s="35"/>
      <c r="U303" s="35"/>
      <c r="V303" s="3"/>
      <c r="W303" s="3"/>
    </row>
    <row r="304" spans="15:23">
      <c r="O304" s="35"/>
      <c r="P304" s="35"/>
      <c r="Q304" s="35"/>
      <c r="R304" s="35"/>
      <c r="S304" s="35"/>
      <c r="T304" s="35"/>
      <c r="U304" s="35"/>
      <c r="V304" s="3"/>
      <c r="W304" s="3"/>
    </row>
    <row r="305" spans="15:23">
      <c r="O305" s="35"/>
      <c r="P305" s="35"/>
      <c r="Q305" s="35"/>
      <c r="R305" s="35"/>
      <c r="S305" s="35"/>
      <c r="T305" s="35"/>
      <c r="U305" s="35"/>
      <c r="V305" s="3"/>
      <c r="W305" s="3"/>
    </row>
    <row r="306" spans="15:23">
      <c r="O306" s="35"/>
      <c r="P306" s="35"/>
      <c r="Q306" s="35"/>
      <c r="R306" s="35"/>
      <c r="S306" s="35"/>
      <c r="T306" s="35"/>
      <c r="U306" s="35"/>
      <c r="V306" s="3"/>
      <c r="W306" s="3"/>
    </row>
    <row r="307" spans="15:23">
      <c r="O307" s="35"/>
      <c r="P307" s="35"/>
      <c r="Q307" s="35"/>
      <c r="R307" s="35"/>
      <c r="S307" s="35"/>
      <c r="T307" s="35"/>
      <c r="U307" s="35"/>
      <c r="V307" s="3"/>
      <c r="W307" s="3"/>
    </row>
    <row r="308" spans="15:23">
      <c r="O308" s="35"/>
      <c r="P308" s="35"/>
      <c r="Q308" s="35"/>
      <c r="R308" s="35"/>
      <c r="S308" s="35"/>
      <c r="T308" s="35"/>
      <c r="U308" s="35"/>
      <c r="V308" s="3"/>
      <c r="W308" s="3"/>
    </row>
    <row r="309" spans="15:23">
      <c r="O309" s="35"/>
      <c r="P309" s="35"/>
      <c r="Q309" s="35"/>
      <c r="R309" s="35"/>
      <c r="S309" s="35"/>
      <c r="T309" s="35"/>
      <c r="U309" s="35"/>
      <c r="V309" s="3"/>
      <c r="W309" s="3"/>
    </row>
    <row r="310" spans="15:23">
      <c r="O310" s="35"/>
      <c r="P310" s="35"/>
      <c r="Q310" s="35"/>
      <c r="R310" s="35"/>
      <c r="S310" s="35"/>
      <c r="T310" s="35"/>
      <c r="U310" s="35"/>
      <c r="V310" s="3"/>
      <c r="W310" s="3"/>
    </row>
    <row r="311" spans="15:23">
      <c r="O311" s="35"/>
      <c r="P311" s="35"/>
      <c r="Q311" s="35"/>
      <c r="R311" s="35"/>
      <c r="S311" s="35"/>
      <c r="T311" s="35"/>
      <c r="U311" s="35"/>
      <c r="V311" s="3"/>
      <c r="W311" s="3"/>
    </row>
    <row r="312" spans="15:23">
      <c r="O312" s="35"/>
      <c r="P312" s="35"/>
      <c r="Q312" s="35"/>
      <c r="R312" s="35"/>
      <c r="S312" s="35"/>
      <c r="T312" s="35"/>
      <c r="U312" s="35"/>
      <c r="V312" s="3"/>
      <c r="W312" s="3"/>
    </row>
    <row r="313" spans="15:23">
      <c r="O313" s="35"/>
      <c r="P313" s="35"/>
      <c r="Q313" s="35"/>
      <c r="R313" s="35"/>
      <c r="S313" s="35"/>
      <c r="T313" s="35"/>
      <c r="U313" s="35"/>
      <c r="V313" s="3"/>
      <c r="W313" s="3"/>
    </row>
    <row r="314" spans="15:23">
      <c r="O314" s="35"/>
      <c r="P314" s="35"/>
      <c r="Q314" s="35"/>
      <c r="R314" s="35"/>
      <c r="S314" s="35"/>
      <c r="T314" s="35"/>
      <c r="U314" s="35"/>
      <c r="V314" s="3"/>
      <c r="W314" s="3"/>
    </row>
    <row r="315" spans="15:23">
      <c r="O315" s="35"/>
      <c r="P315" s="35"/>
      <c r="Q315" s="35"/>
      <c r="R315" s="35"/>
      <c r="S315" s="35"/>
      <c r="T315" s="35"/>
      <c r="U315" s="35"/>
      <c r="V315" s="3"/>
      <c r="W315" s="3"/>
    </row>
    <row r="316" spans="15:23">
      <c r="O316" s="35"/>
      <c r="P316" s="35"/>
      <c r="Q316" s="35"/>
      <c r="R316" s="35"/>
      <c r="S316" s="35"/>
      <c r="T316" s="35"/>
      <c r="U316" s="35"/>
      <c r="V316" s="3"/>
      <c r="W316" s="3"/>
    </row>
    <row r="317" spans="15:23">
      <c r="O317" s="35"/>
      <c r="P317" s="35"/>
      <c r="Q317" s="35"/>
      <c r="R317" s="35"/>
      <c r="S317" s="35"/>
      <c r="T317" s="35"/>
      <c r="U317" s="35"/>
      <c r="V317" s="3"/>
      <c r="W317" s="3"/>
    </row>
    <row r="318" spans="15:23">
      <c r="O318" s="35"/>
      <c r="P318" s="35"/>
      <c r="Q318" s="35"/>
      <c r="R318" s="35"/>
      <c r="S318" s="35"/>
      <c r="T318" s="35"/>
      <c r="U318" s="35"/>
      <c r="V318" s="3"/>
      <c r="W318" s="3"/>
    </row>
    <row r="319" spans="15:23">
      <c r="O319" s="35"/>
      <c r="P319" s="35"/>
      <c r="Q319" s="35"/>
      <c r="R319" s="35"/>
      <c r="S319" s="35"/>
      <c r="T319" s="35"/>
      <c r="U319" s="35"/>
      <c r="V319" s="3"/>
      <c r="W319" s="3"/>
    </row>
    <row r="320" spans="15:23">
      <c r="O320" s="35"/>
      <c r="P320" s="35"/>
      <c r="Q320" s="35"/>
      <c r="R320" s="35"/>
      <c r="S320" s="35"/>
      <c r="T320" s="35"/>
      <c r="U320" s="35"/>
      <c r="V320" s="3"/>
      <c r="W320" s="3"/>
    </row>
    <row r="321" spans="15:23">
      <c r="O321" s="35"/>
      <c r="P321" s="35"/>
      <c r="Q321" s="35"/>
      <c r="R321" s="35"/>
      <c r="S321" s="35"/>
      <c r="T321" s="35"/>
      <c r="U321" s="35"/>
      <c r="V321" s="3"/>
      <c r="W321" s="3"/>
    </row>
    <row r="322" spans="15:23">
      <c r="O322" s="35"/>
      <c r="P322" s="35"/>
      <c r="Q322" s="35"/>
      <c r="R322" s="35"/>
      <c r="S322" s="35"/>
      <c r="T322" s="35"/>
      <c r="U322" s="35"/>
      <c r="V322" s="3"/>
      <c r="W322" s="3"/>
    </row>
    <row r="323" spans="15:23">
      <c r="O323" s="35"/>
      <c r="P323" s="35"/>
      <c r="Q323" s="35"/>
      <c r="R323" s="35"/>
      <c r="S323" s="35"/>
      <c r="T323" s="35"/>
      <c r="U323" s="35"/>
      <c r="V323" s="3"/>
      <c r="W323" s="3"/>
    </row>
    <row r="324" spans="15:23">
      <c r="O324" s="35"/>
      <c r="P324" s="35"/>
      <c r="Q324" s="35"/>
      <c r="R324" s="35"/>
      <c r="S324" s="35"/>
      <c r="T324" s="35"/>
      <c r="U324" s="35"/>
      <c r="V324" s="3"/>
      <c r="W324" s="3"/>
    </row>
    <row r="325" spans="15:23">
      <c r="O325" s="35"/>
      <c r="P325" s="35"/>
      <c r="Q325" s="35"/>
      <c r="R325" s="35"/>
      <c r="S325" s="35"/>
      <c r="T325" s="35"/>
      <c r="U325" s="35"/>
      <c r="V325" s="3"/>
      <c r="W325" s="3"/>
    </row>
    <row r="326" spans="15:23">
      <c r="O326" s="35"/>
      <c r="P326" s="35"/>
      <c r="Q326" s="35"/>
      <c r="R326" s="35"/>
      <c r="S326" s="35"/>
      <c r="T326" s="35"/>
      <c r="U326" s="35"/>
      <c r="V326" s="3"/>
      <c r="W326" s="3"/>
    </row>
    <row r="327" spans="15:23">
      <c r="O327" s="35"/>
      <c r="P327" s="35"/>
      <c r="Q327" s="35"/>
      <c r="R327" s="35"/>
      <c r="S327" s="35"/>
      <c r="T327" s="35"/>
      <c r="U327" s="35"/>
      <c r="V327" s="3"/>
      <c r="W327" s="3"/>
    </row>
    <row r="328" spans="15:23">
      <c r="O328" s="35"/>
      <c r="P328" s="35"/>
      <c r="Q328" s="35"/>
      <c r="R328" s="35"/>
      <c r="S328" s="35"/>
      <c r="T328" s="35"/>
      <c r="U328" s="35"/>
      <c r="V328" s="3"/>
      <c r="W328" s="3"/>
    </row>
    <row r="329" spans="15:23">
      <c r="O329" s="35"/>
      <c r="P329" s="35"/>
      <c r="Q329" s="35"/>
      <c r="R329" s="35"/>
      <c r="S329" s="35"/>
      <c r="T329" s="35"/>
      <c r="U329" s="35"/>
      <c r="V329" s="3"/>
      <c r="W329" s="3"/>
    </row>
    <row r="330" spans="15:23">
      <c r="O330" s="35"/>
      <c r="P330" s="35"/>
      <c r="Q330" s="35"/>
      <c r="R330" s="35"/>
      <c r="S330" s="35"/>
      <c r="T330" s="35"/>
      <c r="U330" s="35"/>
      <c r="V330" s="3"/>
      <c r="W330" s="3"/>
    </row>
    <row r="331" spans="15:23">
      <c r="O331" s="35"/>
      <c r="P331" s="35"/>
      <c r="Q331" s="35"/>
      <c r="R331" s="35"/>
      <c r="S331" s="35"/>
      <c r="T331" s="35"/>
      <c r="U331" s="35"/>
      <c r="V331" s="3"/>
      <c r="W331" s="3"/>
    </row>
    <row r="332" spans="15:23">
      <c r="O332" s="35"/>
      <c r="P332" s="35"/>
      <c r="Q332" s="35"/>
      <c r="R332" s="35"/>
      <c r="S332" s="35"/>
      <c r="T332" s="35"/>
      <c r="U332" s="35"/>
      <c r="V332" s="3"/>
      <c r="W332" s="3"/>
    </row>
    <row r="333" spans="15:23">
      <c r="O333" s="35"/>
      <c r="P333" s="35"/>
      <c r="Q333" s="35"/>
      <c r="R333" s="35"/>
      <c r="S333" s="35"/>
      <c r="T333" s="35"/>
      <c r="U333" s="35"/>
      <c r="V333" s="3"/>
      <c r="W333" s="3"/>
    </row>
    <row r="334" spans="15:23">
      <c r="O334" s="35"/>
      <c r="P334" s="35"/>
      <c r="Q334" s="35"/>
      <c r="R334" s="35"/>
      <c r="S334" s="35"/>
      <c r="T334" s="35"/>
      <c r="U334" s="35"/>
      <c r="V334" s="3"/>
      <c r="W334" s="3"/>
    </row>
    <row r="335" spans="15:23">
      <c r="O335" s="35"/>
      <c r="P335" s="35"/>
      <c r="Q335" s="35"/>
      <c r="R335" s="35"/>
      <c r="S335" s="35"/>
      <c r="T335" s="35"/>
      <c r="U335" s="35"/>
      <c r="V335" s="3"/>
      <c r="W335" s="3"/>
    </row>
    <row r="336" spans="15:23">
      <c r="O336" s="35"/>
      <c r="P336" s="35"/>
      <c r="Q336" s="35"/>
      <c r="R336" s="35"/>
      <c r="S336" s="35"/>
      <c r="T336" s="35"/>
      <c r="U336" s="35"/>
      <c r="V336" s="3"/>
      <c r="W336" s="3"/>
    </row>
    <row r="337" spans="15:23">
      <c r="O337" s="35"/>
      <c r="P337" s="35"/>
      <c r="Q337" s="35"/>
      <c r="R337" s="35"/>
      <c r="S337" s="35"/>
      <c r="T337" s="35"/>
      <c r="U337" s="35"/>
      <c r="V337" s="3"/>
      <c r="W337" s="3"/>
    </row>
    <row r="338" spans="15:23">
      <c r="O338" s="35"/>
      <c r="P338" s="35"/>
      <c r="Q338" s="35"/>
      <c r="R338" s="35"/>
      <c r="S338" s="35"/>
      <c r="T338" s="35"/>
      <c r="U338" s="35"/>
      <c r="V338" s="3"/>
      <c r="W338" s="3"/>
    </row>
    <row r="339" spans="15:23">
      <c r="O339" s="35"/>
      <c r="P339" s="35"/>
      <c r="Q339" s="35"/>
      <c r="R339" s="35"/>
      <c r="S339" s="35"/>
      <c r="T339" s="35"/>
      <c r="U339" s="35"/>
      <c r="V339" s="3"/>
      <c r="W339" s="3"/>
    </row>
    <row r="340" spans="15:23">
      <c r="O340" s="35"/>
      <c r="P340" s="35"/>
      <c r="Q340" s="35"/>
      <c r="R340" s="35"/>
      <c r="S340" s="35"/>
      <c r="T340" s="35"/>
      <c r="U340" s="35"/>
      <c r="V340" s="3"/>
      <c r="W340" s="3"/>
    </row>
    <row r="341" spans="15:23">
      <c r="O341" s="35"/>
      <c r="P341" s="35"/>
      <c r="Q341" s="35"/>
      <c r="R341" s="35"/>
      <c r="S341" s="35"/>
      <c r="T341" s="35"/>
      <c r="U341" s="35"/>
      <c r="V341" s="3"/>
      <c r="W341" s="3"/>
    </row>
    <row r="342" spans="15:23">
      <c r="O342" s="35"/>
      <c r="P342" s="35"/>
      <c r="Q342" s="35"/>
      <c r="R342" s="35"/>
      <c r="S342" s="35"/>
      <c r="T342" s="35"/>
      <c r="U342" s="35"/>
      <c r="V342" s="3"/>
      <c r="W342" s="3"/>
    </row>
    <row r="343" spans="15:23">
      <c r="O343" s="35"/>
      <c r="P343" s="35"/>
      <c r="Q343" s="35"/>
      <c r="R343" s="35"/>
      <c r="S343" s="35"/>
      <c r="T343" s="35"/>
      <c r="U343" s="35"/>
      <c r="V343" s="3"/>
      <c r="W343" s="3"/>
    </row>
    <row r="344" spans="15:23">
      <c r="O344" s="35"/>
      <c r="P344" s="35"/>
      <c r="Q344" s="35"/>
      <c r="R344" s="35"/>
      <c r="S344" s="35"/>
      <c r="T344" s="35"/>
      <c r="U344" s="35"/>
      <c r="V344" s="3"/>
      <c r="W344" s="3"/>
    </row>
    <row r="345" spans="15:23">
      <c r="O345" s="35"/>
      <c r="P345" s="35"/>
      <c r="Q345" s="35"/>
      <c r="R345" s="35"/>
      <c r="S345" s="35"/>
      <c r="T345" s="35"/>
      <c r="U345" s="35"/>
      <c r="V345" s="3"/>
      <c r="W345" s="3"/>
    </row>
    <row r="346" spans="15:23">
      <c r="O346" s="35"/>
      <c r="P346" s="35"/>
      <c r="Q346" s="35"/>
      <c r="R346" s="35"/>
      <c r="S346" s="35"/>
      <c r="T346" s="35"/>
      <c r="U346" s="35"/>
      <c r="V346" s="3"/>
      <c r="W346" s="3"/>
    </row>
    <row r="347" spans="15:23">
      <c r="O347" s="35"/>
      <c r="P347" s="35"/>
      <c r="Q347" s="35"/>
      <c r="R347" s="35"/>
      <c r="S347" s="35"/>
      <c r="T347" s="35"/>
      <c r="U347" s="35"/>
      <c r="V347" s="3"/>
      <c r="W347" s="3"/>
    </row>
    <row r="348" spans="15:23">
      <c r="O348" s="35"/>
      <c r="P348" s="35"/>
      <c r="Q348" s="35"/>
      <c r="R348" s="35"/>
      <c r="S348" s="35"/>
      <c r="T348" s="35"/>
      <c r="U348" s="35"/>
      <c r="V348" s="3"/>
      <c r="W348" s="3"/>
    </row>
    <row r="349" spans="15:23">
      <c r="O349" s="35"/>
      <c r="P349" s="35"/>
      <c r="Q349" s="35"/>
      <c r="R349" s="35"/>
      <c r="S349" s="35"/>
      <c r="T349" s="35"/>
      <c r="U349" s="35"/>
      <c r="V349" s="3"/>
      <c r="W349" s="3"/>
    </row>
    <row r="350" spans="15:23">
      <c r="O350" s="35"/>
      <c r="P350" s="35"/>
      <c r="Q350" s="35"/>
      <c r="R350" s="35"/>
      <c r="S350" s="35"/>
      <c r="T350" s="35"/>
      <c r="U350" s="35"/>
      <c r="V350" s="3"/>
      <c r="W350" s="3"/>
    </row>
    <row r="351" spans="15:23">
      <c r="O351" s="35"/>
      <c r="P351" s="35"/>
      <c r="Q351" s="35"/>
      <c r="R351" s="35"/>
      <c r="S351" s="35"/>
      <c r="T351" s="35"/>
      <c r="U351" s="35"/>
      <c r="V351" s="3"/>
      <c r="W351" s="3"/>
    </row>
    <row r="352" spans="15:23">
      <c r="O352" s="35"/>
      <c r="P352" s="35"/>
      <c r="Q352" s="35"/>
      <c r="R352" s="35"/>
      <c r="S352" s="35"/>
      <c r="T352" s="35"/>
      <c r="U352" s="35"/>
      <c r="V352" s="3"/>
      <c r="W352" s="3"/>
    </row>
    <row r="353" spans="15:23">
      <c r="O353" s="35"/>
      <c r="P353" s="35"/>
      <c r="Q353" s="35"/>
      <c r="R353" s="35"/>
      <c r="S353" s="35"/>
      <c r="T353" s="35"/>
      <c r="U353" s="35"/>
      <c r="V353" s="3"/>
      <c r="W353" s="3"/>
    </row>
    <row r="354" spans="15:23">
      <c r="O354" s="35"/>
      <c r="P354" s="35"/>
      <c r="Q354" s="35"/>
      <c r="R354" s="35"/>
      <c r="S354" s="35"/>
      <c r="T354" s="35"/>
      <c r="U354" s="35"/>
      <c r="V354" s="3"/>
      <c r="W354" s="3"/>
    </row>
    <row r="355" spans="15:23">
      <c r="O355" s="35"/>
      <c r="P355" s="35"/>
      <c r="Q355" s="35"/>
      <c r="R355" s="35"/>
      <c r="S355" s="35"/>
      <c r="T355" s="35"/>
      <c r="U355" s="35"/>
      <c r="V355" s="3"/>
      <c r="W355" s="3"/>
    </row>
    <row r="356" spans="15:23">
      <c r="O356" s="35"/>
      <c r="P356" s="35"/>
      <c r="Q356" s="35"/>
      <c r="R356" s="35"/>
      <c r="S356" s="35"/>
      <c r="T356" s="35"/>
      <c r="U356" s="35"/>
      <c r="V356" s="3"/>
      <c r="W356" s="3"/>
    </row>
    <row r="357" spans="15:23">
      <c r="O357" s="35"/>
      <c r="P357" s="35"/>
      <c r="Q357" s="35"/>
      <c r="R357" s="35"/>
      <c r="S357" s="35"/>
      <c r="T357" s="35"/>
      <c r="U357" s="35"/>
      <c r="V357" s="3"/>
      <c r="W357" s="3"/>
    </row>
    <row r="358" spans="15:23">
      <c r="O358" s="35"/>
      <c r="P358" s="35"/>
      <c r="Q358" s="35"/>
      <c r="R358" s="35"/>
      <c r="S358" s="35"/>
      <c r="T358" s="35"/>
      <c r="U358" s="35"/>
      <c r="V358" s="3"/>
      <c r="W358" s="3"/>
    </row>
    <row r="359" spans="15:23">
      <c r="O359" s="35"/>
      <c r="P359" s="35"/>
      <c r="Q359" s="35"/>
      <c r="R359" s="35"/>
      <c r="S359" s="35"/>
      <c r="T359" s="35"/>
      <c r="U359" s="35"/>
      <c r="V359" s="3"/>
      <c r="W359" s="3"/>
    </row>
    <row r="360" spans="15:23">
      <c r="O360" s="35"/>
      <c r="P360" s="35"/>
      <c r="Q360" s="35"/>
      <c r="R360" s="35"/>
      <c r="S360" s="35"/>
      <c r="T360" s="35"/>
      <c r="U360" s="35"/>
      <c r="V360" s="3"/>
      <c r="W360" s="3"/>
    </row>
    <row r="361" spans="15:23">
      <c r="O361" s="35"/>
      <c r="P361" s="35"/>
      <c r="Q361" s="35"/>
      <c r="R361" s="35"/>
      <c r="S361" s="35"/>
      <c r="T361" s="35"/>
      <c r="U361" s="35"/>
      <c r="V361" s="3"/>
      <c r="W361" s="3"/>
    </row>
    <row r="362" spans="15:23">
      <c r="O362" s="35"/>
      <c r="P362" s="35"/>
      <c r="Q362" s="35"/>
      <c r="R362" s="35"/>
      <c r="S362" s="35"/>
      <c r="T362" s="35"/>
      <c r="U362" s="35"/>
      <c r="V362" s="3"/>
      <c r="W362" s="3"/>
    </row>
    <row r="363" spans="15:23">
      <c r="O363" s="35"/>
      <c r="P363" s="35"/>
      <c r="Q363" s="35"/>
      <c r="R363" s="35"/>
      <c r="S363" s="35"/>
      <c r="T363" s="35"/>
      <c r="U363" s="35"/>
      <c r="V363" s="3"/>
      <c r="W363" s="3"/>
    </row>
    <row r="364" spans="15:23">
      <c r="O364" s="35"/>
      <c r="P364" s="35"/>
      <c r="Q364" s="35"/>
      <c r="R364" s="35"/>
      <c r="S364" s="35"/>
      <c r="T364" s="35"/>
      <c r="U364" s="35"/>
      <c r="V364" s="3"/>
      <c r="W364" s="3"/>
    </row>
    <row r="365" spans="15:23">
      <c r="O365" s="35"/>
      <c r="P365" s="35"/>
      <c r="Q365" s="35"/>
      <c r="R365" s="35"/>
      <c r="S365" s="35"/>
      <c r="T365" s="35"/>
      <c r="U365" s="35"/>
      <c r="V365" s="3"/>
      <c r="W365" s="3"/>
    </row>
    <row r="366" spans="15:23">
      <c r="O366" s="35"/>
      <c r="P366" s="35"/>
      <c r="Q366" s="35"/>
      <c r="R366" s="35"/>
      <c r="S366" s="35"/>
      <c r="T366" s="35"/>
      <c r="U366" s="35"/>
      <c r="V366" s="3"/>
      <c r="W366" s="3"/>
    </row>
    <row r="367" spans="15:23">
      <c r="O367" s="35"/>
      <c r="P367" s="35"/>
      <c r="Q367" s="35"/>
      <c r="R367" s="35"/>
      <c r="S367" s="35"/>
      <c r="T367" s="35"/>
      <c r="U367" s="35"/>
      <c r="V367" s="3"/>
      <c r="W367" s="3"/>
    </row>
    <row r="368" spans="15:23">
      <c r="O368" s="35"/>
      <c r="P368" s="35"/>
      <c r="Q368" s="35"/>
      <c r="R368" s="35"/>
      <c r="S368" s="35"/>
      <c r="T368" s="35"/>
      <c r="U368" s="35"/>
      <c r="V368" s="3"/>
      <c r="W368" s="3"/>
    </row>
    <row r="369" spans="15:23">
      <c r="O369" s="35"/>
      <c r="P369" s="35"/>
      <c r="Q369" s="35"/>
      <c r="R369" s="35"/>
      <c r="S369" s="35"/>
      <c r="T369" s="35"/>
      <c r="U369" s="35"/>
      <c r="V369" s="3"/>
      <c r="W369" s="3"/>
    </row>
    <row r="370" spans="15:23">
      <c r="O370" s="35"/>
      <c r="P370" s="35"/>
      <c r="Q370" s="35"/>
      <c r="R370" s="35"/>
      <c r="S370" s="35"/>
      <c r="T370" s="35"/>
      <c r="U370" s="35"/>
      <c r="V370" s="3"/>
      <c r="W370" s="3"/>
    </row>
    <row r="371" spans="15:23">
      <c r="O371" s="35"/>
      <c r="P371" s="35"/>
      <c r="Q371" s="35"/>
      <c r="R371" s="35"/>
      <c r="S371" s="35"/>
      <c r="T371" s="35"/>
      <c r="U371" s="35"/>
      <c r="V371" s="3"/>
      <c r="W371" s="3"/>
    </row>
    <row r="372" spans="15:23">
      <c r="O372" s="35"/>
      <c r="P372" s="35"/>
      <c r="Q372" s="35"/>
      <c r="R372" s="35"/>
      <c r="S372" s="35"/>
      <c r="T372" s="35"/>
      <c r="U372" s="35"/>
      <c r="V372" s="3"/>
      <c r="W372" s="3"/>
    </row>
    <row r="373" spans="15:23">
      <c r="O373" s="35"/>
      <c r="P373" s="35"/>
      <c r="Q373" s="35"/>
      <c r="R373" s="35"/>
      <c r="S373" s="35"/>
      <c r="T373" s="35"/>
      <c r="U373" s="35"/>
      <c r="V373" s="3"/>
      <c r="W373" s="3"/>
    </row>
    <row r="374" spans="15:23">
      <c r="O374" s="35"/>
      <c r="P374" s="35"/>
      <c r="Q374" s="35"/>
      <c r="R374" s="35"/>
      <c r="S374" s="35"/>
      <c r="T374" s="35"/>
      <c r="U374" s="35"/>
      <c r="V374" s="3"/>
      <c r="W374" s="3"/>
    </row>
    <row r="375" spans="15:23">
      <c r="O375" s="35"/>
      <c r="P375" s="35"/>
      <c r="Q375" s="35"/>
      <c r="R375" s="35"/>
      <c r="S375" s="35"/>
      <c r="T375" s="35"/>
      <c r="U375" s="35"/>
      <c r="V375" s="3"/>
      <c r="W375" s="3"/>
    </row>
    <row r="376" spans="15:23">
      <c r="O376" s="35"/>
      <c r="P376" s="35"/>
      <c r="Q376" s="35"/>
      <c r="R376" s="35"/>
      <c r="S376" s="35"/>
      <c r="T376" s="35"/>
      <c r="U376" s="35"/>
      <c r="V376" s="3"/>
      <c r="W376" s="3"/>
    </row>
    <row r="377" spans="15:23">
      <c r="O377" s="35"/>
      <c r="P377" s="35"/>
      <c r="Q377" s="35"/>
      <c r="R377" s="35"/>
      <c r="S377" s="35"/>
      <c r="T377" s="35"/>
      <c r="U377" s="35"/>
      <c r="V377" s="3"/>
      <c r="W377" s="3"/>
    </row>
    <row r="378" spans="15:23">
      <c r="O378" s="35"/>
      <c r="P378" s="35"/>
      <c r="Q378" s="35"/>
      <c r="R378" s="35"/>
      <c r="S378" s="35"/>
      <c r="T378" s="35"/>
      <c r="U378" s="35"/>
      <c r="V378" s="3"/>
      <c r="W378" s="3"/>
    </row>
    <row r="379" spans="15:23">
      <c r="O379" s="35"/>
      <c r="P379" s="35"/>
      <c r="Q379" s="35"/>
      <c r="R379" s="35"/>
      <c r="S379" s="35"/>
      <c r="T379" s="35"/>
      <c r="U379" s="35"/>
      <c r="V379" s="3"/>
      <c r="W379" s="3"/>
    </row>
    <row r="380" spans="15:23">
      <c r="O380" s="35"/>
      <c r="P380" s="35"/>
      <c r="Q380" s="35"/>
      <c r="R380" s="35"/>
      <c r="S380" s="35"/>
      <c r="T380" s="35"/>
      <c r="U380" s="35"/>
      <c r="V380" s="3"/>
      <c r="W380" s="3"/>
    </row>
    <row r="381" spans="15:23">
      <c r="O381" s="35"/>
      <c r="P381" s="35"/>
      <c r="Q381" s="35"/>
      <c r="R381" s="35"/>
      <c r="S381" s="35"/>
      <c r="T381" s="35"/>
      <c r="U381" s="35"/>
      <c r="V381" s="3"/>
      <c r="W381" s="3"/>
    </row>
    <row r="382" spans="15:23">
      <c r="O382" s="35"/>
      <c r="P382" s="35"/>
      <c r="Q382" s="35"/>
      <c r="R382" s="35"/>
      <c r="S382" s="35"/>
      <c r="T382" s="35"/>
      <c r="U382" s="35"/>
      <c r="V382" s="3"/>
      <c r="W382" s="3"/>
    </row>
    <row r="383" spans="15:23">
      <c r="O383" s="35"/>
      <c r="P383" s="35"/>
      <c r="Q383" s="35"/>
      <c r="R383" s="35"/>
      <c r="S383" s="35"/>
      <c r="T383" s="35"/>
      <c r="U383" s="35"/>
      <c r="V383" s="3"/>
      <c r="W383" s="3"/>
    </row>
    <row r="384" spans="15:23">
      <c r="O384" s="35"/>
      <c r="P384" s="35"/>
      <c r="Q384" s="35"/>
      <c r="R384" s="35"/>
      <c r="S384" s="35"/>
      <c r="T384" s="35"/>
      <c r="U384" s="35"/>
      <c r="V384" s="3"/>
      <c r="W384" s="3"/>
    </row>
    <row r="385" spans="15:23">
      <c r="O385" s="35"/>
      <c r="P385" s="35"/>
      <c r="Q385" s="35"/>
      <c r="R385" s="35"/>
      <c r="S385" s="35"/>
      <c r="T385" s="35"/>
      <c r="U385" s="35"/>
      <c r="V385" s="3"/>
      <c r="W385" s="3"/>
    </row>
    <row r="386" spans="15:23">
      <c r="O386" s="35"/>
      <c r="P386" s="35"/>
      <c r="Q386" s="35"/>
      <c r="R386" s="35"/>
      <c r="S386" s="35"/>
      <c r="T386" s="35"/>
      <c r="U386" s="35"/>
      <c r="V386" s="3"/>
      <c r="W386" s="3"/>
    </row>
    <row r="387" spans="15:23">
      <c r="O387" s="35"/>
      <c r="P387" s="35"/>
      <c r="Q387" s="35"/>
      <c r="R387" s="35"/>
      <c r="S387" s="35"/>
      <c r="T387" s="35"/>
      <c r="U387" s="35"/>
      <c r="V387" s="3"/>
      <c r="W387" s="3"/>
    </row>
    <row r="388" spans="15:23">
      <c r="O388" s="35"/>
      <c r="P388" s="35"/>
      <c r="Q388" s="35"/>
      <c r="R388" s="35"/>
      <c r="S388" s="35"/>
      <c r="T388" s="35"/>
      <c r="U388" s="35"/>
      <c r="V388" s="3"/>
      <c r="W388" s="3"/>
    </row>
    <row r="389" spans="15:23">
      <c r="O389" s="35"/>
      <c r="P389" s="35"/>
      <c r="Q389" s="35"/>
      <c r="R389" s="35"/>
      <c r="S389" s="35"/>
      <c r="T389" s="35"/>
      <c r="U389" s="35"/>
      <c r="V389" s="3"/>
      <c r="W389" s="3"/>
    </row>
    <row r="390" spans="15:23">
      <c r="O390" s="35"/>
      <c r="P390" s="35"/>
      <c r="Q390" s="35"/>
      <c r="R390" s="35"/>
      <c r="S390" s="35"/>
      <c r="T390" s="35"/>
      <c r="U390" s="35"/>
      <c r="V390" s="3"/>
      <c r="W390" s="3"/>
    </row>
    <row r="391" spans="15:23">
      <c r="O391" s="35"/>
      <c r="P391" s="35"/>
      <c r="Q391" s="35"/>
      <c r="R391" s="35"/>
      <c r="S391" s="35"/>
      <c r="T391" s="35"/>
      <c r="U391" s="35"/>
      <c r="V391" s="3"/>
      <c r="W391" s="3"/>
    </row>
    <row r="392" spans="15:23">
      <c r="O392" s="35"/>
      <c r="P392" s="35"/>
      <c r="Q392" s="35"/>
      <c r="R392" s="35"/>
      <c r="S392" s="35"/>
      <c r="T392" s="35"/>
      <c r="U392" s="35"/>
      <c r="V392" s="3"/>
      <c r="W392" s="3"/>
    </row>
    <row r="393" spans="15:23">
      <c r="O393" s="35"/>
      <c r="P393" s="35"/>
      <c r="Q393" s="35"/>
      <c r="R393" s="35"/>
      <c r="S393" s="35"/>
      <c r="T393" s="35"/>
      <c r="U393" s="35"/>
      <c r="V393" s="3"/>
      <c r="W393" s="3"/>
    </row>
    <row r="394" spans="15:23">
      <c r="O394" s="35"/>
      <c r="P394" s="35"/>
      <c r="Q394" s="35"/>
      <c r="R394" s="35"/>
      <c r="S394" s="35"/>
      <c r="T394" s="35"/>
      <c r="U394" s="35"/>
      <c r="V394" s="3"/>
      <c r="W394" s="3"/>
    </row>
    <row r="395" spans="15:23">
      <c r="O395" s="35"/>
      <c r="P395" s="35"/>
      <c r="Q395" s="35"/>
      <c r="R395" s="35"/>
      <c r="S395" s="35"/>
      <c r="T395" s="35"/>
      <c r="U395" s="35"/>
      <c r="V395" s="3"/>
      <c r="W395" s="3"/>
    </row>
    <row r="396" spans="15:23">
      <c r="O396" s="35"/>
      <c r="P396" s="35"/>
      <c r="Q396" s="35"/>
      <c r="R396" s="35"/>
      <c r="S396" s="35"/>
      <c r="T396" s="35"/>
      <c r="U396" s="35"/>
      <c r="V396" s="3"/>
      <c r="W396" s="3"/>
    </row>
    <row r="397" spans="15:23">
      <c r="O397" s="35"/>
      <c r="P397" s="35"/>
      <c r="Q397" s="35"/>
      <c r="R397" s="35"/>
      <c r="S397" s="35"/>
      <c r="T397" s="35"/>
      <c r="U397" s="35"/>
      <c r="V397" s="3"/>
      <c r="W397" s="3"/>
    </row>
    <row r="398" spans="15:23">
      <c r="O398" s="35"/>
      <c r="P398" s="35"/>
      <c r="Q398" s="35"/>
      <c r="R398" s="35"/>
      <c r="S398" s="35"/>
      <c r="T398" s="35"/>
      <c r="U398" s="35"/>
      <c r="V398" s="3"/>
      <c r="W398" s="3"/>
    </row>
    <row r="399" spans="15:23">
      <c r="O399" s="35"/>
      <c r="P399" s="35"/>
      <c r="Q399" s="35"/>
      <c r="R399" s="35"/>
      <c r="S399" s="35"/>
      <c r="T399" s="35"/>
      <c r="U399" s="35"/>
      <c r="V399" s="3"/>
      <c r="W399" s="3"/>
    </row>
    <row r="400" spans="15:23">
      <c r="O400" s="35"/>
      <c r="P400" s="35"/>
      <c r="Q400" s="35"/>
      <c r="R400" s="35"/>
      <c r="S400" s="35"/>
      <c r="T400" s="35"/>
      <c r="U400" s="35"/>
      <c r="V400" s="3"/>
      <c r="W400" s="3"/>
    </row>
    <row r="401" spans="15:23">
      <c r="O401" s="35"/>
      <c r="P401" s="35"/>
      <c r="Q401" s="35"/>
      <c r="R401" s="35"/>
      <c r="S401" s="35"/>
      <c r="T401" s="35"/>
      <c r="U401" s="35"/>
      <c r="V401" s="3"/>
      <c r="W401" s="3"/>
    </row>
    <row r="402" spans="15:23">
      <c r="O402" s="35"/>
      <c r="P402" s="35"/>
      <c r="Q402" s="35"/>
      <c r="R402" s="35"/>
      <c r="S402" s="35"/>
      <c r="T402" s="35"/>
      <c r="U402" s="35"/>
      <c r="V402" s="3"/>
      <c r="W402" s="3"/>
    </row>
    <row r="403" spans="15:23">
      <c r="O403" s="35"/>
      <c r="P403" s="35"/>
      <c r="Q403" s="35"/>
      <c r="R403" s="35"/>
      <c r="S403" s="35"/>
      <c r="T403" s="35"/>
      <c r="U403" s="35"/>
      <c r="V403" s="3"/>
      <c r="W403" s="3"/>
    </row>
    <row r="404" spans="15:23">
      <c r="O404" s="35"/>
      <c r="P404" s="35"/>
      <c r="Q404" s="35"/>
      <c r="R404" s="35"/>
      <c r="S404" s="35"/>
      <c r="T404" s="35"/>
      <c r="U404" s="35"/>
      <c r="V404" s="3"/>
      <c r="W404" s="3"/>
    </row>
    <row r="405" spans="15:23">
      <c r="O405" s="35"/>
      <c r="P405" s="35"/>
      <c r="Q405" s="35"/>
      <c r="R405" s="35"/>
      <c r="S405" s="35"/>
      <c r="T405" s="35"/>
      <c r="U405" s="35"/>
      <c r="V405" s="3"/>
      <c r="W405" s="3"/>
    </row>
    <row r="406" spans="15:23">
      <c r="O406" s="35"/>
      <c r="P406" s="35"/>
      <c r="Q406" s="35"/>
      <c r="R406" s="35"/>
      <c r="S406" s="35"/>
      <c r="T406" s="35"/>
      <c r="U406" s="35"/>
      <c r="V406" s="3"/>
      <c r="W406" s="3"/>
    </row>
    <row r="407" spans="15:23">
      <c r="O407" s="35"/>
      <c r="P407" s="35"/>
      <c r="Q407" s="35"/>
      <c r="R407" s="35"/>
      <c r="S407" s="35"/>
      <c r="T407" s="35"/>
      <c r="U407" s="35"/>
      <c r="V407" s="3"/>
      <c r="W407" s="3"/>
    </row>
    <row r="408" spans="15:23">
      <c r="O408" s="35"/>
      <c r="P408" s="35"/>
      <c r="Q408" s="35"/>
      <c r="R408" s="35"/>
      <c r="S408" s="35"/>
      <c r="T408" s="35"/>
      <c r="U408" s="35"/>
      <c r="V408" s="3"/>
      <c r="W408" s="3"/>
    </row>
    <row r="409" spans="15:23">
      <c r="O409" s="35"/>
      <c r="P409" s="35"/>
      <c r="Q409" s="35"/>
      <c r="R409" s="35"/>
      <c r="S409" s="35"/>
      <c r="T409" s="35"/>
      <c r="U409" s="35"/>
      <c r="V409" s="3"/>
      <c r="W409" s="3"/>
    </row>
    <row r="410" spans="15:23">
      <c r="O410" s="35"/>
      <c r="P410" s="35"/>
      <c r="Q410" s="35"/>
      <c r="R410" s="35"/>
      <c r="S410" s="35"/>
      <c r="T410" s="35"/>
      <c r="U410" s="35"/>
      <c r="V410" s="3"/>
      <c r="W410" s="3"/>
    </row>
    <row r="411" spans="15:23">
      <c r="O411" s="35"/>
      <c r="P411" s="35"/>
      <c r="Q411" s="35"/>
      <c r="R411" s="35"/>
      <c r="S411" s="35"/>
      <c r="T411" s="35"/>
      <c r="U411" s="35"/>
      <c r="V411" s="3"/>
      <c r="W411" s="3"/>
    </row>
    <row r="412" spans="15:23">
      <c r="O412" s="35"/>
      <c r="P412" s="35"/>
      <c r="Q412" s="35"/>
      <c r="R412" s="35"/>
      <c r="S412" s="35"/>
      <c r="T412" s="35"/>
      <c r="U412" s="35"/>
      <c r="V412" s="3"/>
      <c r="W412" s="3"/>
    </row>
    <row r="413" spans="15:23">
      <c r="O413" s="35"/>
      <c r="P413" s="35"/>
      <c r="Q413" s="35"/>
      <c r="R413" s="35"/>
      <c r="S413" s="35"/>
      <c r="T413" s="35"/>
      <c r="U413" s="35"/>
      <c r="V413" s="3"/>
      <c r="W413" s="3"/>
    </row>
    <row r="414" spans="15:23">
      <c r="O414" s="35"/>
      <c r="P414" s="35"/>
      <c r="Q414" s="35"/>
      <c r="R414" s="35"/>
      <c r="S414" s="35"/>
      <c r="T414" s="35"/>
      <c r="U414" s="35"/>
      <c r="V414" s="3"/>
      <c r="W414" s="3"/>
    </row>
    <row r="415" spans="15:23">
      <c r="O415" s="35"/>
      <c r="P415" s="35"/>
      <c r="Q415" s="35"/>
      <c r="R415" s="35"/>
      <c r="S415" s="35"/>
      <c r="T415" s="35"/>
      <c r="U415" s="35"/>
      <c r="V415" s="3"/>
      <c r="W415" s="3"/>
    </row>
    <row r="416" spans="15:23">
      <c r="O416" s="35"/>
      <c r="P416" s="35"/>
      <c r="Q416" s="35"/>
      <c r="R416" s="35"/>
      <c r="S416" s="35"/>
      <c r="T416" s="35"/>
      <c r="U416" s="35"/>
      <c r="V416" s="3"/>
      <c r="W416" s="3"/>
    </row>
    <row r="417" spans="15:23">
      <c r="O417" s="35"/>
      <c r="P417" s="35"/>
      <c r="Q417" s="35"/>
      <c r="R417" s="35"/>
      <c r="S417" s="35"/>
      <c r="T417" s="35"/>
      <c r="U417" s="35"/>
      <c r="V417" s="3"/>
      <c r="W417" s="3"/>
    </row>
    <row r="418" spans="15:23">
      <c r="O418" s="35"/>
      <c r="P418" s="35"/>
      <c r="Q418" s="35"/>
      <c r="R418" s="35"/>
      <c r="S418" s="35"/>
      <c r="T418" s="35"/>
      <c r="U418" s="35"/>
      <c r="V418" s="3"/>
      <c r="W418" s="3"/>
    </row>
    <row r="419" spans="15:23">
      <c r="O419" s="35"/>
      <c r="P419" s="35"/>
      <c r="Q419" s="35"/>
      <c r="R419" s="35"/>
      <c r="S419" s="35"/>
      <c r="T419" s="35"/>
      <c r="U419" s="35"/>
      <c r="V419" s="3"/>
      <c r="W419" s="3"/>
    </row>
    <row r="420" spans="15:23">
      <c r="O420" s="35"/>
      <c r="P420" s="35"/>
      <c r="Q420" s="35"/>
      <c r="R420" s="35"/>
      <c r="S420" s="35"/>
      <c r="T420" s="35"/>
      <c r="U420" s="35"/>
      <c r="V420" s="3"/>
      <c r="W420" s="3"/>
    </row>
    <row r="421" spans="15:23">
      <c r="O421" s="35"/>
      <c r="P421" s="35"/>
      <c r="Q421" s="35"/>
      <c r="R421" s="35"/>
      <c r="S421" s="35"/>
      <c r="T421" s="35"/>
      <c r="U421" s="35"/>
      <c r="V421" s="3"/>
      <c r="W421" s="3"/>
    </row>
    <row r="422" spans="15:23">
      <c r="O422" s="35"/>
      <c r="P422" s="35"/>
      <c r="Q422" s="35"/>
      <c r="R422" s="35"/>
      <c r="S422" s="35"/>
      <c r="T422" s="35"/>
      <c r="U422" s="35"/>
      <c r="V422" s="3"/>
      <c r="W422" s="3"/>
    </row>
    <row r="423" spans="15:23">
      <c r="O423" s="35"/>
      <c r="P423" s="35"/>
      <c r="Q423" s="35"/>
      <c r="R423" s="35"/>
      <c r="S423" s="35"/>
      <c r="T423" s="35"/>
      <c r="U423" s="35"/>
      <c r="V423" s="3"/>
      <c r="W423" s="3"/>
    </row>
    <row r="424" spans="15:23">
      <c r="O424" s="35"/>
      <c r="P424" s="35"/>
      <c r="Q424" s="35"/>
      <c r="R424" s="35"/>
      <c r="S424" s="35"/>
      <c r="T424" s="35"/>
      <c r="U424" s="35"/>
      <c r="V424" s="3"/>
      <c r="W424" s="3"/>
    </row>
    <row r="425" spans="15:23">
      <c r="O425" s="35"/>
      <c r="P425" s="35"/>
      <c r="Q425" s="35"/>
      <c r="R425" s="35"/>
      <c r="S425" s="35"/>
      <c r="T425" s="35"/>
      <c r="U425" s="35"/>
      <c r="V425" s="3"/>
      <c r="W425" s="3"/>
    </row>
    <row r="426" spans="15:23">
      <c r="O426" s="35"/>
      <c r="P426" s="35"/>
      <c r="Q426" s="35"/>
      <c r="R426" s="35"/>
      <c r="S426" s="35"/>
      <c r="T426" s="35"/>
      <c r="U426" s="35"/>
      <c r="V426" s="3"/>
      <c r="W426" s="3"/>
    </row>
    <row r="427" spans="15:23">
      <c r="O427" s="35"/>
      <c r="P427" s="35"/>
      <c r="Q427" s="35"/>
      <c r="R427" s="35"/>
      <c r="S427" s="35"/>
      <c r="T427" s="35"/>
      <c r="U427" s="35"/>
      <c r="V427" s="3"/>
      <c r="W427" s="3"/>
    </row>
    <row r="428" spans="15:23">
      <c r="O428" s="35"/>
      <c r="P428" s="35"/>
      <c r="Q428" s="35"/>
      <c r="R428" s="35"/>
      <c r="S428" s="35"/>
      <c r="T428" s="35"/>
      <c r="U428" s="35"/>
      <c r="V428" s="3"/>
      <c r="W428" s="3"/>
    </row>
    <row r="429" spans="15:23">
      <c r="O429" s="35"/>
      <c r="P429" s="35"/>
      <c r="Q429" s="35"/>
      <c r="R429" s="35"/>
      <c r="S429" s="35"/>
      <c r="T429" s="35"/>
      <c r="U429" s="35"/>
      <c r="V429" s="3"/>
      <c r="W429" s="3"/>
    </row>
    <row r="430" spans="15:23">
      <c r="O430" s="35"/>
      <c r="P430" s="35"/>
      <c r="Q430" s="35"/>
      <c r="R430" s="35"/>
      <c r="S430" s="35"/>
      <c r="T430" s="35"/>
      <c r="U430" s="35"/>
      <c r="V430" s="3"/>
      <c r="W430" s="3"/>
    </row>
    <row r="431" spans="15:23">
      <c r="O431" s="35"/>
      <c r="P431" s="35"/>
      <c r="Q431" s="35"/>
      <c r="R431" s="35"/>
      <c r="S431" s="35"/>
      <c r="T431" s="35"/>
      <c r="U431" s="35"/>
      <c r="V431" s="3"/>
      <c r="W431" s="3"/>
    </row>
    <row r="432" spans="15:23">
      <c r="O432" s="35"/>
      <c r="P432" s="35"/>
      <c r="Q432" s="35"/>
      <c r="R432" s="35"/>
      <c r="S432" s="35"/>
      <c r="T432" s="35"/>
      <c r="U432" s="35"/>
      <c r="V432" s="3"/>
      <c r="W432" s="3"/>
    </row>
    <row r="433" spans="15:23">
      <c r="O433" s="35"/>
      <c r="P433" s="35"/>
      <c r="Q433" s="35"/>
      <c r="R433" s="35"/>
      <c r="S433" s="35"/>
      <c r="T433" s="35"/>
      <c r="U433" s="35"/>
      <c r="V433" s="3"/>
      <c r="W433" s="3"/>
    </row>
    <row r="434" spans="15:23">
      <c r="O434" s="35"/>
      <c r="P434" s="35"/>
      <c r="Q434" s="35"/>
      <c r="R434" s="35"/>
      <c r="S434" s="35"/>
      <c r="T434" s="35"/>
      <c r="U434" s="35"/>
      <c r="V434" s="3"/>
      <c r="W434" s="3"/>
    </row>
    <row r="435" spans="15:23">
      <c r="O435" s="35"/>
      <c r="P435" s="35"/>
      <c r="Q435" s="35"/>
      <c r="R435" s="35"/>
      <c r="S435" s="35"/>
      <c r="T435" s="35"/>
      <c r="U435" s="35"/>
      <c r="V435" s="3"/>
      <c r="W435" s="3"/>
    </row>
    <row r="436" spans="15:23">
      <c r="O436" s="35"/>
      <c r="P436" s="35"/>
      <c r="Q436" s="35"/>
      <c r="R436" s="35"/>
      <c r="S436" s="35"/>
      <c r="T436" s="35"/>
      <c r="U436" s="35"/>
      <c r="V436" s="3"/>
      <c r="W436" s="3"/>
    </row>
    <row r="437" spans="15:23">
      <c r="O437" s="35"/>
      <c r="P437" s="35"/>
      <c r="Q437" s="35"/>
      <c r="R437" s="35"/>
      <c r="S437" s="35"/>
      <c r="T437" s="35"/>
      <c r="U437" s="35"/>
      <c r="V437" s="3"/>
      <c r="W437" s="3"/>
    </row>
    <row r="438" spans="15:23">
      <c r="O438" s="35"/>
      <c r="P438" s="35"/>
      <c r="Q438" s="35"/>
      <c r="R438" s="35"/>
      <c r="S438" s="35"/>
      <c r="T438" s="35"/>
      <c r="U438" s="35"/>
      <c r="V438" s="3"/>
      <c r="W438" s="3"/>
    </row>
    <row r="439" spans="15:23">
      <c r="O439" s="35"/>
      <c r="P439" s="35"/>
      <c r="Q439" s="35"/>
      <c r="R439" s="35"/>
      <c r="S439" s="35"/>
      <c r="T439" s="35"/>
      <c r="U439" s="35"/>
      <c r="V439" s="3"/>
      <c r="W439" s="3"/>
    </row>
    <row r="440" spans="15:23">
      <c r="O440" s="35"/>
      <c r="P440" s="35"/>
      <c r="Q440" s="35"/>
      <c r="R440" s="35"/>
      <c r="S440" s="35"/>
      <c r="T440" s="35"/>
      <c r="U440" s="35"/>
      <c r="V440" s="3"/>
      <c r="W440" s="3"/>
    </row>
    <row r="441" spans="15:23">
      <c r="O441" s="35"/>
      <c r="P441" s="35"/>
      <c r="Q441" s="35"/>
      <c r="R441" s="35"/>
      <c r="S441" s="35"/>
      <c r="T441" s="35"/>
      <c r="U441" s="35"/>
      <c r="V441" s="3"/>
      <c r="W441" s="3"/>
    </row>
    <row r="442" spans="15:23">
      <c r="O442" s="35"/>
      <c r="P442" s="35"/>
      <c r="Q442" s="35"/>
      <c r="R442" s="35"/>
      <c r="S442" s="35"/>
      <c r="T442" s="35"/>
      <c r="U442" s="35"/>
      <c r="V442" s="3"/>
      <c r="W442" s="3"/>
    </row>
    <row r="443" spans="15:23">
      <c r="O443" s="35"/>
      <c r="P443" s="35"/>
      <c r="Q443" s="35"/>
      <c r="R443" s="35"/>
      <c r="S443" s="35"/>
      <c r="T443" s="35"/>
      <c r="U443" s="35"/>
      <c r="V443" s="3"/>
      <c r="W443" s="3"/>
    </row>
    <row r="444" spans="15:23">
      <c r="O444" s="35"/>
      <c r="P444" s="35"/>
      <c r="Q444" s="35"/>
      <c r="R444" s="35"/>
      <c r="S444" s="35"/>
      <c r="T444" s="35"/>
      <c r="U444" s="35"/>
      <c r="V444" s="3"/>
      <c r="W444" s="3"/>
    </row>
    <row r="445" spans="15:23">
      <c r="O445" s="35"/>
      <c r="P445" s="35"/>
      <c r="Q445" s="35"/>
      <c r="R445" s="35"/>
      <c r="S445" s="35"/>
      <c r="T445" s="35"/>
      <c r="U445" s="35"/>
      <c r="V445" s="3"/>
      <c r="W445" s="3"/>
    </row>
    <row r="446" spans="15:23">
      <c r="O446" s="35"/>
      <c r="P446" s="35"/>
      <c r="Q446" s="35"/>
      <c r="R446" s="35"/>
      <c r="S446" s="35"/>
      <c r="T446" s="35"/>
      <c r="U446" s="35"/>
      <c r="V446" s="3"/>
      <c r="W446" s="3"/>
    </row>
    <row r="447" spans="15:23">
      <c r="O447" s="35"/>
      <c r="P447" s="35"/>
      <c r="Q447" s="35"/>
      <c r="R447" s="35"/>
      <c r="S447" s="35"/>
      <c r="T447" s="35"/>
      <c r="U447" s="35"/>
      <c r="V447" s="3"/>
      <c r="W447" s="3"/>
    </row>
    <row r="448" spans="15:23">
      <c r="O448" s="35"/>
      <c r="P448" s="35"/>
      <c r="Q448" s="35"/>
      <c r="R448" s="35"/>
      <c r="S448" s="35"/>
      <c r="T448" s="35"/>
      <c r="U448" s="35"/>
      <c r="V448" s="3"/>
      <c r="W448" s="3"/>
    </row>
    <row r="449" spans="15:23">
      <c r="O449" s="35"/>
      <c r="P449" s="35"/>
      <c r="Q449" s="35"/>
      <c r="R449" s="35"/>
      <c r="S449" s="35"/>
      <c r="T449" s="35"/>
      <c r="U449" s="35"/>
      <c r="V449" s="3"/>
      <c r="W449" s="3"/>
    </row>
    <row r="450" spans="15:23">
      <c r="O450" s="35"/>
      <c r="P450" s="35"/>
      <c r="Q450" s="35"/>
      <c r="R450" s="35"/>
      <c r="S450" s="35"/>
      <c r="T450" s="35"/>
      <c r="U450" s="35"/>
      <c r="V450" s="3"/>
      <c r="W450" s="3"/>
    </row>
    <row r="451" spans="15:23">
      <c r="O451" s="35"/>
      <c r="P451" s="35"/>
      <c r="Q451" s="35"/>
      <c r="R451" s="35"/>
      <c r="S451" s="35"/>
      <c r="T451" s="35"/>
      <c r="U451" s="35"/>
      <c r="V451" s="3"/>
      <c r="W451" s="3"/>
    </row>
    <row r="452" spans="15:23">
      <c r="O452" s="35"/>
      <c r="P452" s="35"/>
      <c r="Q452" s="35"/>
      <c r="R452" s="35"/>
      <c r="S452" s="35"/>
      <c r="T452" s="35"/>
      <c r="U452" s="35"/>
      <c r="V452" s="3"/>
      <c r="W452" s="3"/>
    </row>
    <row r="453" spans="15:23">
      <c r="O453" s="35"/>
      <c r="P453" s="35"/>
      <c r="Q453" s="35"/>
      <c r="R453" s="35"/>
      <c r="S453" s="35"/>
      <c r="T453" s="35"/>
      <c r="U453" s="35"/>
      <c r="V453" s="3"/>
      <c r="W453" s="3"/>
    </row>
    <row r="454" spans="15:23">
      <c r="O454" s="35"/>
      <c r="P454" s="35"/>
      <c r="Q454" s="35"/>
      <c r="R454" s="35"/>
      <c r="S454" s="35"/>
      <c r="T454" s="35"/>
      <c r="U454" s="35"/>
      <c r="V454" s="3"/>
      <c r="W454" s="3"/>
    </row>
    <row r="455" spans="15:23">
      <c r="O455" s="35"/>
      <c r="P455" s="35"/>
      <c r="Q455" s="35"/>
      <c r="R455" s="35"/>
      <c r="S455" s="35"/>
      <c r="T455" s="35"/>
      <c r="U455" s="35"/>
      <c r="V455" s="3"/>
      <c r="W455" s="3"/>
    </row>
    <row r="456" spans="15:23">
      <c r="O456" s="35"/>
      <c r="P456" s="35"/>
      <c r="Q456" s="35"/>
      <c r="R456" s="35"/>
      <c r="S456" s="35"/>
      <c r="T456" s="35"/>
      <c r="U456" s="35"/>
      <c r="V456" s="3"/>
      <c r="W456" s="3"/>
    </row>
    <row r="457" spans="15:23">
      <c r="O457" s="35"/>
      <c r="P457" s="35"/>
      <c r="Q457" s="35"/>
      <c r="R457" s="35"/>
      <c r="S457" s="35"/>
      <c r="T457" s="35"/>
      <c r="U457" s="35"/>
      <c r="V457" s="3"/>
      <c r="W457" s="3"/>
    </row>
    <row r="458" spans="15:23">
      <c r="O458" s="35"/>
      <c r="P458" s="35"/>
      <c r="Q458" s="35"/>
      <c r="R458" s="35"/>
      <c r="S458" s="35"/>
      <c r="T458" s="35"/>
      <c r="U458" s="35"/>
      <c r="V458" s="3"/>
      <c r="W458" s="3"/>
    </row>
    <row r="459" spans="15:23">
      <c r="O459" s="35"/>
      <c r="P459" s="35"/>
      <c r="Q459" s="35"/>
      <c r="R459" s="35"/>
      <c r="S459" s="35"/>
      <c r="T459" s="35"/>
      <c r="U459" s="35"/>
      <c r="V459" s="3"/>
      <c r="W459" s="3"/>
    </row>
    <row r="460" spans="15:23">
      <c r="O460" s="35"/>
      <c r="P460" s="35"/>
      <c r="Q460" s="35"/>
      <c r="R460" s="35"/>
      <c r="S460" s="35"/>
      <c r="T460" s="35"/>
      <c r="U460" s="35"/>
      <c r="V460" s="3"/>
      <c r="W460" s="3"/>
    </row>
    <row r="461" spans="15:23">
      <c r="O461" s="35"/>
      <c r="P461" s="35"/>
      <c r="Q461" s="35"/>
      <c r="R461" s="35"/>
      <c r="S461" s="35"/>
      <c r="T461" s="35"/>
      <c r="U461" s="35"/>
      <c r="V461" s="3"/>
      <c r="W461" s="3"/>
    </row>
    <row r="462" spans="15:23">
      <c r="O462" s="35"/>
      <c r="P462" s="35"/>
      <c r="Q462" s="35"/>
      <c r="R462" s="35"/>
      <c r="S462" s="35"/>
      <c r="T462" s="35"/>
      <c r="U462" s="35"/>
      <c r="V462" s="3"/>
      <c r="W462" s="3"/>
    </row>
    <row r="463" spans="15:23">
      <c r="O463" s="35"/>
      <c r="P463" s="35"/>
      <c r="Q463" s="35"/>
      <c r="R463" s="35"/>
      <c r="S463" s="35"/>
      <c r="T463" s="35"/>
      <c r="U463" s="35"/>
      <c r="V463" s="3"/>
      <c r="W463" s="3"/>
    </row>
    <row r="464" spans="15:23">
      <c r="O464" s="35"/>
      <c r="P464" s="35"/>
      <c r="Q464" s="35"/>
      <c r="R464" s="35"/>
      <c r="S464" s="35"/>
      <c r="T464" s="35"/>
      <c r="U464" s="35"/>
      <c r="V464" s="3"/>
      <c r="W464" s="3"/>
    </row>
    <row r="465" spans="15:23">
      <c r="O465" s="35"/>
      <c r="P465" s="35"/>
      <c r="Q465" s="35"/>
      <c r="R465" s="35"/>
      <c r="S465" s="35"/>
      <c r="T465" s="35"/>
      <c r="U465" s="35"/>
      <c r="V465" s="3"/>
      <c r="W465" s="3"/>
    </row>
    <row r="466" spans="15:23">
      <c r="O466" s="35"/>
      <c r="P466" s="35"/>
      <c r="Q466" s="35"/>
      <c r="R466" s="35"/>
      <c r="S466" s="35"/>
      <c r="T466" s="35"/>
      <c r="U466" s="35"/>
      <c r="V466" s="3"/>
      <c r="W466" s="3"/>
    </row>
    <row r="467" spans="15:23">
      <c r="O467" s="35"/>
      <c r="P467" s="35"/>
      <c r="Q467" s="35"/>
      <c r="R467" s="35"/>
      <c r="S467" s="35"/>
      <c r="T467" s="35"/>
      <c r="U467" s="35"/>
      <c r="V467" s="3"/>
      <c r="W467" s="3"/>
    </row>
    <row r="468" spans="15:23">
      <c r="O468" s="35"/>
      <c r="P468" s="35"/>
      <c r="Q468" s="35"/>
      <c r="R468" s="35"/>
      <c r="S468" s="35"/>
      <c r="T468" s="35"/>
      <c r="U468" s="35"/>
      <c r="V468" s="3"/>
      <c r="W468" s="3"/>
    </row>
    <row r="469" spans="15:23">
      <c r="O469" s="35"/>
      <c r="P469" s="35"/>
      <c r="Q469" s="35"/>
      <c r="R469" s="35"/>
      <c r="S469" s="35"/>
      <c r="T469" s="35"/>
      <c r="U469" s="35"/>
      <c r="V469" s="3"/>
      <c r="W469" s="3"/>
    </row>
    <row r="470" spans="15:23">
      <c r="O470" s="35"/>
      <c r="P470" s="35"/>
      <c r="Q470" s="35"/>
      <c r="R470" s="35"/>
      <c r="S470" s="35"/>
      <c r="T470" s="35"/>
      <c r="U470" s="35"/>
      <c r="V470" s="3"/>
      <c r="W470" s="3"/>
    </row>
    <row r="471" spans="15:23">
      <c r="O471" s="35"/>
      <c r="P471" s="35"/>
      <c r="Q471" s="35"/>
      <c r="R471" s="35"/>
      <c r="S471" s="35"/>
      <c r="T471" s="35"/>
      <c r="U471" s="35"/>
      <c r="V471" s="3"/>
      <c r="W471" s="3"/>
    </row>
    <row r="472" spans="15:23">
      <c r="O472" s="35"/>
      <c r="P472" s="35"/>
      <c r="Q472" s="35"/>
      <c r="R472" s="35"/>
      <c r="S472" s="35"/>
      <c r="T472" s="35"/>
      <c r="U472" s="35"/>
      <c r="V472" s="3"/>
      <c r="W472" s="3"/>
    </row>
    <row r="473" spans="15:23">
      <c r="O473" s="35"/>
      <c r="P473" s="35"/>
      <c r="Q473" s="35"/>
      <c r="R473" s="35"/>
      <c r="S473" s="35"/>
      <c r="T473" s="35"/>
      <c r="U473" s="35"/>
      <c r="V473" s="3"/>
      <c r="W473" s="3"/>
    </row>
    <row r="474" spans="15:23">
      <c r="O474" s="35"/>
      <c r="P474" s="35"/>
      <c r="Q474" s="35"/>
      <c r="R474" s="35"/>
      <c r="S474" s="35"/>
      <c r="T474" s="35"/>
      <c r="U474" s="35"/>
      <c r="V474" s="3"/>
      <c r="W474" s="3"/>
    </row>
    <row r="475" spans="15:23">
      <c r="O475" s="35"/>
      <c r="P475" s="35"/>
      <c r="Q475" s="35"/>
      <c r="R475" s="35"/>
      <c r="S475" s="35"/>
      <c r="T475" s="35"/>
      <c r="U475" s="35"/>
      <c r="V475" s="3"/>
      <c r="W475" s="3"/>
    </row>
    <row r="476" spans="15:23">
      <c r="O476" s="35"/>
      <c r="P476" s="35"/>
      <c r="Q476" s="35"/>
      <c r="R476" s="35"/>
      <c r="S476" s="35"/>
      <c r="T476" s="35"/>
      <c r="U476" s="35"/>
      <c r="V476" s="3"/>
      <c r="W476" s="3"/>
    </row>
    <row r="477" spans="15:23">
      <c r="O477" s="35"/>
      <c r="P477" s="35"/>
      <c r="Q477" s="35"/>
      <c r="R477" s="35"/>
      <c r="S477" s="35"/>
      <c r="T477" s="35"/>
      <c r="U477" s="35"/>
      <c r="V477" s="3"/>
      <c r="W477" s="3"/>
    </row>
    <row r="478" spans="15:23">
      <c r="O478" s="35"/>
      <c r="P478" s="35"/>
      <c r="Q478" s="35"/>
      <c r="R478" s="35"/>
      <c r="S478" s="35"/>
      <c r="T478" s="35"/>
      <c r="U478" s="35"/>
      <c r="V478" s="3"/>
      <c r="W478" s="3"/>
    </row>
    <row r="479" spans="15:23">
      <c r="O479" s="35"/>
      <c r="P479" s="35"/>
      <c r="Q479" s="35"/>
      <c r="R479" s="35"/>
      <c r="S479" s="35"/>
      <c r="T479" s="35"/>
      <c r="U479" s="35"/>
      <c r="V479" s="3"/>
      <c r="W479" s="3"/>
    </row>
    <row r="480" spans="15:23">
      <c r="O480" s="35"/>
      <c r="P480" s="35"/>
      <c r="Q480" s="35"/>
      <c r="R480" s="35"/>
      <c r="S480" s="35"/>
      <c r="T480" s="35"/>
      <c r="U480" s="35"/>
      <c r="V480" s="3"/>
      <c r="W480" s="3"/>
    </row>
    <row r="481" spans="15:23">
      <c r="O481" s="35"/>
      <c r="P481" s="35"/>
      <c r="Q481" s="35"/>
      <c r="R481" s="35"/>
      <c r="S481" s="35"/>
      <c r="T481" s="35"/>
      <c r="U481" s="35"/>
      <c r="V481" s="3"/>
      <c r="W481" s="3"/>
    </row>
    <row r="482" spans="15:23">
      <c r="O482" s="35"/>
      <c r="P482" s="35"/>
      <c r="Q482" s="35"/>
      <c r="R482" s="35"/>
      <c r="S482" s="35"/>
      <c r="T482" s="35"/>
      <c r="U482" s="35"/>
      <c r="V482" s="3"/>
      <c r="W482" s="3"/>
    </row>
    <row r="483" spans="15:23">
      <c r="O483" s="35"/>
      <c r="P483" s="35"/>
      <c r="Q483" s="35"/>
      <c r="R483" s="35"/>
      <c r="S483" s="35"/>
      <c r="T483" s="35"/>
      <c r="U483" s="35"/>
      <c r="V483" s="3"/>
      <c r="W483" s="3"/>
    </row>
    <row r="484" spans="15:23">
      <c r="O484" s="35"/>
      <c r="P484" s="35"/>
      <c r="Q484" s="35"/>
      <c r="R484" s="35"/>
      <c r="S484" s="35"/>
      <c r="T484" s="35"/>
      <c r="U484" s="35"/>
      <c r="V484" s="3"/>
      <c r="W484" s="3"/>
    </row>
    <row r="485" spans="15:23">
      <c r="O485" s="35"/>
      <c r="P485" s="35"/>
      <c r="Q485" s="35"/>
      <c r="R485" s="35"/>
      <c r="S485" s="35"/>
      <c r="T485" s="35"/>
      <c r="U485" s="35"/>
      <c r="V485" s="3"/>
      <c r="W485" s="3"/>
    </row>
    <row r="486" spans="15:23">
      <c r="O486" s="35"/>
      <c r="P486" s="35"/>
      <c r="Q486" s="35"/>
      <c r="R486" s="35"/>
      <c r="S486" s="35"/>
      <c r="T486" s="35"/>
      <c r="U486" s="35"/>
      <c r="V486" s="3"/>
      <c r="W486" s="3"/>
    </row>
    <row r="487" spans="15:23">
      <c r="O487" s="35"/>
      <c r="P487" s="35"/>
      <c r="Q487" s="35"/>
      <c r="R487" s="35"/>
      <c r="S487" s="35"/>
      <c r="T487" s="35"/>
      <c r="U487" s="35"/>
      <c r="V487" s="3"/>
      <c r="W487" s="3"/>
    </row>
    <row r="488" spans="15:23">
      <c r="O488" s="35"/>
      <c r="P488" s="35"/>
      <c r="Q488" s="35"/>
      <c r="R488" s="35"/>
      <c r="S488" s="35"/>
      <c r="T488" s="35"/>
      <c r="U488" s="35"/>
      <c r="V488" s="3"/>
      <c r="W488" s="3"/>
    </row>
    <row r="489" spans="15:23">
      <c r="O489" s="35"/>
      <c r="P489" s="35"/>
      <c r="Q489" s="35"/>
      <c r="R489" s="35"/>
      <c r="S489" s="35"/>
      <c r="T489" s="35"/>
      <c r="U489" s="35"/>
      <c r="V489" s="3"/>
      <c r="W489" s="3"/>
    </row>
    <row r="490" spans="15:23">
      <c r="O490" s="35"/>
      <c r="P490" s="35"/>
      <c r="Q490" s="35"/>
      <c r="R490" s="35"/>
      <c r="S490" s="35"/>
      <c r="T490" s="35"/>
      <c r="U490" s="35"/>
      <c r="V490" s="3"/>
      <c r="W490" s="3"/>
    </row>
    <row r="491" spans="15:23">
      <c r="O491" s="35"/>
      <c r="P491" s="35"/>
      <c r="Q491" s="35"/>
      <c r="R491" s="35"/>
      <c r="S491" s="35"/>
      <c r="T491" s="35"/>
      <c r="U491" s="35"/>
      <c r="V491" s="3"/>
      <c r="W491" s="3"/>
    </row>
    <row r="492" spans="15:23">
      <c r="O492" s="35"/>
      <c r="P492" s="35"/>
      <c r="Q492" s="35"/>
      <c r="R492" s="35"/>
      <c r="S492" s="35"/>
      <c r="T492" s="35"/>
      <c r="U492" s="35"/>
      <c r="V492" s="3"/>
      <c r="W492" s="3"/>
    </row>
    <row r="493" spans="15:23">
      <c r="O493" s="35"/>
      <c r="P493" s="35"/>
      <c r="Q493" s="35"/>
      <c r="R493" s="35"/>
      <c r="S493" s="35"/>
      <c r="T493" s="35"/>
      <c r="U493" s="35"/>
      <c r="V493" s="3"/>
      <c r="W493" s="3"/>
    </row>
    <row r="494" spans="15:23">
      <c r="O494" s="35"/>
      <c r="P494" s="35"/>
      <c r="Q494" s="35"/>
      <c r="R494" s="35"/>
      <c r="S494" s="35"/>
      <c r="T494" s="35"/>
      <c r="U494" s="35"/>
      <c r="V494" s="3"/>
      <c r="W494" s="3"/>
    </row>
    <row r="495" spans="15:23">
      <c r="O495" s="35"/>
      <c r="P495" s="35"/>
      <c r="Q495" s="35"/>
      <c r="R495" s="35"/>
      <c r="S495" s="35"/>
      <c r="T495" s="35"/>
      <c r="U495" s="35"/>
      <c r="V495" s="3"/>
      <c r="W495" s="3"/>
    </row>
    <row r="496" spans="15:23">
      <c r="O496" s="35"/>
      <c r="P496" s="35"/>
      <c r="Q496" s="35"/>
      <c r="R496" s="35"/>
      <c r="S496" s="35"/>
      <c r="T496" s="35"/>
      <c r="U496" s="35"/>
      <c r="V496" s="3"/>
      <c r="W496" s="3"/>
    </row>
    <row r="497" spans="15:23">
      <c r="O497" s="35"/>
      <c r="P497" s="35"/>
      <c r="Q497" s="35"/>
      <c r="R497" s="35"/>
      <c r="S497" s="35"/>
      <c r="T497" s="35"/>
      <c r="U497" s="35"/>
      <c r="V497" s="3"/>
      <c r="W497" s="3"/>
    </row>
    <row r="498" spans="15:23">
      <c r="O498" s="35"/>
      <c r="P498" s="35"/>
      <c r="Q498" s="35"/>
      <c r="R498" s="35"/>
      <c r="S498" s="35"/>
      <c r="T498" s="35"/>
      <c r="U498" s="35"/>
      <c r="V498" s="3"/>
      <c r="W498" s="3"/>
    </row>
    <row r="499" spans="15:23">
      <c r="O499" s="35"/>
      <c r="P499" s="35"/>
      <c r="Q499" s="35"/>
      <c r="R499" s="35"/>
      <c r="S499" s="35"/>
      <c r="T499" s="35"/>
      <c r="U499" s="35"/>
      <c r="V499" s="3"/>
      <c r="W499" s="3"/>
    </row>
    <row r="500" spans="15:23">
      <c r="O500" s="35"/>
      <c r="P500" s="35"/>
      <c r="Q500" s="35"/>
      <c r="R500" s="35"/>
      <c r="S500" s="35"/>
      <c r="T500" s="35"/>
      <c r="U500" s="35"/>
      <c r="V500" s="3"/>
      <c r="W500" s="3"/>
    </row>
    <row r="501" spans="15:23">
      <c r="O501" s="35"/>
      <c r="P501" s="35"/>
      <c r="Q501" s="35"/>
      <c r="R501" s="35"/>
      <c r="S501" s="35"/>
      <c r="T501" s="35"/>
      <c r="U501" s="35"/>
      <c r="V501" s="3"/>
      <c r="W501" s="3"/>
    </row>
    <row r="502" spans="15:23">
      <c r="O502" s="35"/>
      <c r="P502" s="35"/>
      <c r="Q502" s="35"/>
      <c r="R502" s="35"/>
      <c r="S502" s="35"/>
      <c r="T502" s="35"/>
      <c r="U502" s="35"/>
      <c r="V502" s="3"/>
      <c r="W502" s="3"/>
    </row>
    <row r="503" spans="15:23">
      <c r="O503" s="35"/>
      <c r="P503" s="35"/>
      <c r="Q503" s="35"/>
      <c r="R503" s="35"/>
      <c r="S503" s="35"/>
      <c r="T503" s="35"/>
      <c r="U503" s="35"/>
      <c r="V503" s="3"/>
      <c r="W503" s="3"/>
    </row>
    <row r="504" spans="15:23">
      <c r="O504" s="35"/>
      <c r="P504" s="35"/>
      <c r="Q504" s="35"/>
      <c r="R504" s="35"/>
      <c r="S504" s="35"/>
      <c r="T504" s="35"/>
      <c r="U504" s="35"/>
      <c r="V504" s="3"/>
      <c r="W504" s="3"/>
    </row>
    <row r="505" spans="15:23">
      <c r="O505" s="35"/>
      <c r="P505" s="35"/>
      <c r="Q505" s="35"/>
      <c r="R505" s="35"/>
      <c r="S505" s="35"/>
      <c r="T505" s="35"/>
      <c r="U505" s="35"/>
      <c r="V505" s="3"/>
      <c r="W505" s="3"/>
    </row>
    <row r="506" spans="15:23">
      <c r="O506" s="35"/>
      <c r="P506" s="35"/>
      <c r="Q506" s="35"/>
      <c r="R506" s="35"/>
      <c r="S506" s="35"/>
      <c r="T506" s="35"/>
      <c r="U506" s="35"/>
      <c r="V506" s="3"/>
      <c r="W506" s="3"/>
    </row>
    <row r="507" spans="15:23">
      <c r="O507" s="35"/>
      <c r="P507" s="35"/>
      <c r="Q507" s="35"/>
      <c r="R507" s="35"/>
      <c r="S507" s="35"/>
      <c r="T507" s="35"/>
      <c r="U507" s="35"/>
      <c r="V507" s="3"/>
      <c r="W507" s="3"/>
    </row>
    <row r="508" spans="15:23">
      <c r="O508" s="35"/>
      <c r="P508" s="35"/>
      <c r="Q508" s="35"/>
      <c r="R508" s="35"/>
      <c r="S508" s="35"/>
      <c r="T508" s="35"/>
      <c r="U508" s="35"/>
      <c r="V508" s="3"/>
      <c r="W508" s="3"/>
    </row>
    <row r="509" spans="15:23">
      <c r="O509" s="35"/>
      <c r="P509" s="35"/>
      <c r="Q509" s="35"/>
      <c r="R509" s="35"/>
      <c r="S509" s="35"/>
      <c r="T509" s="35"/>
      <c r="U509" s="35"/>
      <c r="V509" s="3"/>
      <c r="W509" s="3"/>
    </row>
    <row r="510" spans="15:23">
      <c r="O510" s="35"/>
      <c r="P510" s="35"/>
      <c r="Q510" s="35"/>
      <c r="R510" s="35"/>
      <c r="S510" s="35"/>
      <c r="T510" s="35"/>
      <c r="U510" s="35"/>
      <c r="V510" s="3"/>
      <c r="W510" s="3"/>
    </row>
    <row r="511" spans="15:23">
      <c r="O511" s="35"/>
      <c r="P511" s="35"/>
      <c r="Q511" s="35"/>
      <c r="R511" s="35"/>
      <c r="S511" s="35"/>
      <c r="T511" s="35"/>
      <c r="U511" s="35"/>
      <c r="V511" s="3"/>
      <c r="W511" s="3"/>
    </row>
    <row r="512" spans="15:23">
      <c r="O512" s="35"/>
      <c r="P512" s="35"/>
      <c r="Q512" s="35"/>
      <c r="R512" s="35"/>
      <c r="S512" s="35"/>
      <c r="T512" s="35"/>
      <c r="U512" s="35"/>
      <c r="V512" s="3"/>
      <c r="W512" s="3"/>
    </row>
    <row r="513" spans="15:23">
      <c r="O513" s="35"/>
      <c r="P513" s="35"/>
      <c r="Q513" s="35"/>
      <c r="R513" s="35"/>
      <c r="S513" s="35"/>
      <c r="T513" s="35"/>
      <c r="U513" s="35"/>
      <c r="V513" s="3"/>
      <c r="W513" s="3"/>
    </row>
    <row r="514" spans="15:23">
      <c r="O514" s="35"/>
      <c r="P514" s="35"/>
      <c r="Q514" s="35"/>
      <c r="R514" s="35"/>
      <c r="S514" s="35"/>
      <c r="T514" s="35"/>
      <c r="U514" s="35"/>
      <c r="V514" s="3"/>
      <c r="W514" s="3"/>
    </row>
    <row r="515" spans="15:23">
      <c r="O515" s="35"/>
      <c r="P515" s="35"/>
      <c r="Q515" s="35"/>
      <c r="R515" s="35"/>
      <c r="S515" s="35"/>
      <c r="T515" s="35"/>
      <c r="U515" s="35"/>
      <c r="V515" s="3"/>
      <c r="W515" s="3"/>
    </row>
    <row r="516" spans="15:23">
      <c r="O516" s="35"/>
      <c r="P516" s="35"/>
      <c r="Q516" s="35"/>
      <c r="R516" s="35"/>
      <c r="S516" s="35"/>
      <c r="T516" s="35"/>
      <c r="U516" s="35"/>
      <c r="V516" s="3"/>
      <c r="W516" s="3"/>
    </row>
    <row r="517" spans="15:23">
      <c r="O517" s="35"/>
      <c r="P517" s="35"/>
      <c r="Q517" s="35"/>
      <c r="R517" s="35"/>
      <c r="S517" s="35"/>
      <c r="T517" s="35"/>
      <c r="U517" s="35"/>
      <c r="V517" s="3"/>
      <c r="W517" s="3"/>
    </row>
    <row r="518" spans="15:23">
      <c r="O518" s="35"/>
      <c r="P518" s="35"/>
      <c r="Q518" s="35"/>
      <c r="R518" s="35"/>
      <c r="S518" s="35"/>
      <c r="T518" s="35"/>
      <c r="U518" s="35"/>
      <c r="V518" s="3"/>
      <c r="W518" s="3"/>
    </row>
    <row r="519" spans="15:23">
      <c r="O519" s="35"/>
      <c r="P519" s="35"/>
      <c r="Q519" s="35"/>
      <c r="R519" s="35"/>
      <c r="S519" s="35"/>
      <c r="T519" s="35"/>
      <c r="U519" s="35"/>
      <c r="V519" s="3"/>
      <c r="W519" s="3"/>
    </row>
    <row r="520" spans="15:23">
      <c r="O520" s="35"/>
      <c r="P520" s="35"/>
      <c r="Q520" s="35"/>
      <c r="R520" s="35"/>
      <c r="S520" s="35"/>
      <c r="T520" s="35"/>
      <c r="U520" s="35"/>
      <c r="V520" s="3"/>
      <c r="W520" s="3"/>
    </row>
    <row r="521" spans="15:23">
      <c r="O521" s="35"/>
      <c r="P521" s="35"/>
      <c r="Q521" s="35"/>
      <c r="R521" s="35"/>
      <c r="S521" s="35"/>
      <c r="T521" s="35"/>
      <c r="U521" s="35"/>
      <c r="V521" s="3"/>
      <c r="W521" s="3"/>
    </row>
    <row r="522" spans="15:23">
      <c r="O522" s="35"/>
      <c r="P522" s="35"/>
      <c r="Q522" s="35"/>
      <c r="R522" s="35"/>
      <c r="S522" s="35"/>
      <c r="T522" s="35"/>
      <c r="U522" s="35"/>
      <c r="V522" s="3"/>
      <c r="W522" s="3"/>
    </row>
    <row r="523" spans="15:23">
      <c r="O523" s="35"/>
      <c r="P523" s="35"/>
      <c r="Q523" s="35"/>
      <c r="R523" s="35"/>
      <c r="S523" s="35"/>
      <c r="T523" s="35"/>
      <c r="U523" s="35"/>
      <c r="V523" s="3"/>
      <c r="W523" s="3"/>
    </row>
    <row r="524" spans="15:23">
      <c r="O524" s="35"/>
      <c r="P524" s="35"/>
      <c r="Q524" s="35"/>
      <c r="R524" s="35"/>
      <c r="S524" s="35"/>
      <c r="T524" s="35"/>
      <c r="U524" s="35"/>
      <c r="V524" s="3"/>
      <c r="W524" s="3"/>
    </row>
    <row r="525" spans="15:23">
      <c r="O525" s="35"/>
      <c r="P525" s="35"/>
      <c r="Q525" s="35"/>
      <c r="R525" s="35"/>
      <c r="S525" s="35"/>
      <c r="T525" s="35"/>
      <c r="U525" s="35"/>
      <c r="V525" s="3"/>
      <c r="W525" s="3"/>
    </row>
    <row r="526" spans="15:23">
      <c r="O526" s="35"/>
      <c r="P526" s="35"/>
      <c r="Q526" s="35"/>
      <c r="R526" s="35"/>
      <c r="S526" s="35"/>
      <c r="T526" s="35"/>
      <c r="U526" s="35"/>
      <c r="V526" s="3"/>
      <c r="W526" s="3"/>
    </row>
    <row r="527" spans="15:23">
      <c r="O527" s="35"/>
      <c r="P527" s="35"/>
      <c r="Q527" s="35"/>
      <c r="R527" s="35"/>
      <c r="S527" s="35"/>
      <c r="T527" s="35"/>
      <c r="U527" s="35"/>
      <c r="V527" s="3"/>
      <c r="W527" s="3"/>
    </row>
    <row r="528" spans="15:23">
      <c r="O528" s="35"/>
      <c r="P528" s="35"/>
      <c r="Q528" s="35"/>
      <c r="R528" s="35"/>
      <c r="S528" s="35"/>
      <c r="T528" s="35"/>
      <c r="U528" s="35"/>
      <c r="V528" s="3"/>
      <c r="W528" s="3"/>
    </row>
    <row r="529" spans="15:23">
      <c r="O529" s="35"/>
      <c r="P529" s="35"/>
      <c r="Q529" s="35"/>
      <c r="R529" s="35"/>
      <c r="S529" s="35"/>
      <c r="T529" s="35"/>
      <c r="U529" s="35"/>
      <c r="V529" s="3"/>
      <c r="W529" s="3"/>
    </row>
    <row r="530" spans="15:23">
      <c r="O530" s="35"/>
      <c r="P530" s="35"/>
      <c r="Q530" s="35"/>
      <c r="R530" s="35"/>
      <c r="S530" s="35"/>
      <c r="T530" s="35"/>
      <c r="U530" s="35"/>
      <c r="V530" s="3"/>
      <c r="W530" s="3"/>
    </row>
    <row r="531" spans="15:23">
      <c r="O531" s="35"/>
      <c r="P531" s="35"/>
      <c r="Q531" s="35"/>
      <c r="R531" s="35"/>
      <c r="S531" s="35"/>
      <c r="T531" s="35"/>
      <c r="U531" s="35"/>
      <c r="V531" s="3"/>
      <c r="W531" s="3"/>
    </row>
    <row r="532" spans="15:23">
      <c r="O532" s="35"/>
      <c r="P532" s="35"/>
      <c r="Q532" s="35"/>
      <c r="R532" s="35"/>
      <c r="S532" s="35"/>
      <c r="T532" s="35"/>
      <c r="U532" s="35"/>
      <c r="V532" s="3"/>
      <c r="W532" s="3"/>
    </row>
    <row r="533" spans="15:23">
      <c r="O533" s="35"/>
      <c r="P533" s="35"/>
      <c r="Q533" s="35"/>
      <c r="R533" s="35"/>
      <c r="S533" s="35"/>
      <c r="T533" s="35"/>
      <c r="U533" s="35"/>
      <c r="V533" s="3"/>
      <c r="W533" s="3"/>
    </row>
    <row r="534" spans="15:23">
      <c r="O534" s="35"/>
      <c r="P534" s="35"/>
      <c r="Q534" s="35"/>
      <c r="R534" s="35"/>
      <c r="S534" s="35"/>
      <c r="T534" s="35"/>
      <c r="U534" s="35"/>
      <c r="V534" s="3"/>
      <c r="W534" s="3"/>
    </row>
    <row r="535" spans="15:23">
      <c r="O535" s="35"/>
      <c r="P535" s="35"/>
      <c r="Q535" s="35"/>
      <c r="R535" s="35"/>
      <c r="S535" s="35"/>
      <c r="T535" s="35"/>
      <c r="U535" s="35"/>
      <c r="V535" s="3"/>
      <c r="W535" s="3"/>
    </row>
    <row r="536" spans="15:23">
      <c r="O536" s="35"/>
      <c r="P536" s="35"/>
      <c r="Q536" s="35"/>
      <c r="R536" s="35"/>
      <c r="S536" s="35"/>
      <c r="T536" s="35"/>
      <c r="U536" s="35"/>
      <c r="V536" s="3"/>
      <c r="W536" s="3"/>
    </row>
    <row r="537" spans="15:23">
      <c r="O537" s="35"/>
      <c r="P537" s="35"/>
      <c r="Q537" s="35"/>
      <c r="R537" s="35"/>
      <c r="S537" s="35"/>
      <c r="T537" s="35"/>
      <c r="U537" s="35"/>
      <c r="V537" s="3"/>
      <c r="W537" s="3"/>
    </row>
    <row r="538" spans="15:23">
      <c r="O538" s="35"/>
      <c r="P538" s="35"/>
      <c r="Q538" s="35"/>
      <c r="R538" s="35"/>
      <c r="S538" s="35"/>
      <c r="T538" s="35"/>
      <c r="U538" s="35"/>
      <c r="V538" s="3"/>
      <c r="W538" s="3"/>
    </row>
    <row r="539" spans="15:23">
      <c r="O539" s="35"/>
      <c r="P539" s="35"/>
      <c r="Q539" s="35"/>
      <c r="R539" s="35"/>
      <c r="S539" s="35"/>
      <c r="T539" s="35"/>
      <c r="U539" s="35"/>
      <c r="V539" s="3"/>
      <c r="W539" s="3"/>
    </row>
    <row r="540" spans="15:23">
      <c r="O540" s="35"/>
      <c r="P540" s="35"/>
      <c r="Q540" s="35"/>
      <c r="R540" s="35"/>
      <c r="S540" s="35"/>
      <c r="T540" s="35"/>
      <c r="U540" s="35"/>
      <c r="V540" s="3"/>
      <c r="W540" s="3"/>
    </row>
    <row r="541" spans="15:23">
      <c r="O541" s="35"/>
      <c r="P541" s="35"/>
      <c r="Q541" s="35"/>
      <c r="R541" s="35"/>
      <c r="S541" s="35"/>
      <c r="T541" s="35"/>
      <c r="U541" s="35"/>
      <c r="V541" s="3"/>
      <c r="W541" s="3"/>
    </row>
    <row r="542" spans="15:23">
      <c r="O542" s="35"/>
      <c r="P542" s="35"/>
      <c r="Q542" s="35"/>
      <c r="R542" s="35"/>
      <c r="S542" s="35"/>
      <c r="T542" s="35"/>
      <c r="U542" s="35"/>
      <c r="V542" s="3"/>
      <c r="W542" s="3"/>
    </row>
    <row r="543" spans="15:23">
      <c r="O543" s="35"/>
      <c r="P543" s="35"/>
      <c r="Q543" s="35"/>
      <c r="R543" s="35"/>
      <c r="S543" s="35"/>
      <c r="T543" s="35"/>
      <c r="U543" s="35"/>
      <c r="V543" s="3"/>
      <c r="W543" s="3"/>
    </row>
    <row r="544" spans="15:23">
      <c r="O544" s="35"/>
      <c r="P544" s="35"/>
      <c r="Q544" s="35"/>
      <c r="R544" s="35"/>
      <c r="S544" s="35"/>
      <c r="T544" s="35"/>
      <c r="U544" s="35"/>
      <c r="V544" s="3"/>
      <c r="W544" s="3"/>
    </row>
    <row r="545" spans="15:23">
      <c r="O545" s="35"/>
      <c r="P545" s="35"/>
      <c r="Q545" s="35"/>
      <c r="R545" s="35"/>
      <c r="S545" s="35"/>
      <c r="T545" s="35"/>
      <c r="U545" s="35"/>
      <c r="V545" s="3"/>
      <c r="W545" s="3"/>
    </row>
    <row r="546" spans="15:23">
      <c r="O546" s="35"/>
      <c r="P546" s="35"/>
      <c r="Q546" s="35"/>
      <c r="R546" s="35"/>
      <c r="S546" s="35"/>
      <c r="T546" s="35"/>
      <c r="U546" s="35"/>
      <c r="V546" s="3"/>
      <c r="W546" s="3"/>
    </row>
    <row r="547" spans="15:23">
      <c r="O547" s="35"/>
      <c r="P547" s="35"/>
      <c r="Q547" s="35"/>
      <c r="R547" s="35"/>
      <c r="S547" s="35"/>
      <c r="T547" s="35"/>
      <c r="U547" s="35"/>
      <c r="V547" s="3"/>
      <c r="W547" s="3"/>
    </row>
    <row r="548" spans="15:23">
      <c r="O548" s="35"/>
      <c r="P548" s="35"/>
      <c r="Q548" s="35"/>
      <c r="R548" s="35"/>
      <c r="S548" s="35"/>
      <c r="T548" s="35"/>
      <c r="U548" s="35"/>
      <c r="V548" s="3"/>
      <c r="W548" s="3"/>
    </row>
    <row r="549" spans="15:23">
      <c r="O549" s="35"/>
      <c r="P549" s="35"/>
      <c r="Q549" s="35"/>
      <c r="R549" s="35"/>
      <c r="S549" s="35"/>
      <c r="T549" s="35"/>
      <c r="U549" s="35"/>
      <c r="V549" s="3"/>
      <c r="W549" s="3"/>
    </row>
    <row r="550" spans="15:23">
      <c r="O550" s="35"/>
      <c r="P550" s="35"/>
      <c r="Q550" s="35"/>
      <c r="R550" s="35"/>
      <c r="S550" s="35"/>
      <c r="T550" s="35"/>
      <c r="U550" s="35"/>
      <c r="V550" s="3"/>
      <c r="W550" s="3"/>
    </row>
    <row r="551" spans="15:23">
      <c r="O551" s="35"/>
      <c r="P551" s="35"/>
      <c r="Q551" s="35"/>
      <c r="R551" s="35"/>
      <c r="S551" s="35"/>
      <c r="T551" s="35"/>
      <c r="U551" s="35"/>
      <c r="V551" s="3"/>
      <c r="W551" s="3"/>
    </row>
    <row r="552" spans="15:23">
      <c r="O552" s="35"/>
      <c r="P552" s="35"/>
      <c r="Q552" s="35"/>
      <c r="R552" s="35"/>
      <c r="S552" s="35"/>
      <c r="T552" s="35"/>
      <c r="U552" s="35"/>
      <c r="V552" s="3"/>
      <c r="W552" s="3"/>
    </row>
    <row r="553" spans="15:23">
      <c r="O553" s="35"/>
      <c r="P553" s="35"/>
      <c r="Q553" s="35"/>
      <c r="R553" s="35"/>
      <c r="S553" s="35"/>
      <c r="T553" s="35"/>
      <c r="U553" s="35"/>
      <c r="V553" s="3"/>
      <c r="W553" s="3"/>
    </row>
    <row r="554" spans="15:23">
      <c r="O554" s="35"/>
      <c r="P554" s="35"/>
      <c r="Q554" s="35"/>
      <c r="R554" s="35"/>
      <c r="S554" s="35"/>
      <c r="T554" s="35"/>
      <c r="U554" s="35"/>
      <c r="V554" s="3"/>
      <c r="W554" s="3"/>
    </row>
    <row r="555" spans="15:23">
      <c r="O555" s="35"/>
      <c r="P555" s="35"/>
      <c r="Q555" s="35"/>
      <c r="R555" s="35"/>
      <c r="S555" s="35"/>
      <c r="T555" s="35"/>
      <c r="U555" s="35"/>
      <c r="V555" s="3"/>
      <c r="W555" s="3"/>
    </row>
    <row r="556" spans="15:23">
      <c r="O556" s="35"/>
      <c r="P556" s="35"/>
      <c r="Q556" s="35"/>
      <c r="R556" s="35"/>
      <c r="S556" s="35"/>
      <c r="T556" s="35"/>
      <c r="U556" s="35"/>
      <c r="V556" s="3"/>
      <c r="W556" s="3"/>
    </row>
    <row r="557" spans="15:23">
      <c r="O557" s="35"/>
      <c r="P557" s="35"/>
      <c r="Q557" s="35"/>
      <c r="R557" s="35"/>
      <c r="S557" s="35"/>
      <c r="T557" s="35"/>
      <c r="U557" s="35"/>
      <c r="V557" s="3"/>
      <c r="W557" s="3"/>
    </row>
    <row r="558" spans="15:23">
      <c r="O558" s="35"/>
      <c r="P558" s="35"/>
      <c r="Q558" s="35"/>
      <c r="R558" s="35"/>
      <c r="S558" s="35"/>
      <c r="T558" s="35"/>
      <c r="U558" s="35"/>
      <c r="V558" s="3"/>
      <c r="W558" s="3"/>
    </row>
    <row r="559" spans="15:23">
      <c r="O559" s="35"/>
      <c r="P559" s="35"/>
      <c r="Q559" s="35"/>
      <c r="R559" s="35"/>
      <c r="S559" s="35"/>
      <c r="T559" s="35"/>
      <c r="U559" s="35"/>
      <c r="V559" s="3"/>
      <c r="W559" s="3"/>
    </row>
    <row r="560" spans="15:23">
      <c r="O560" s="35"/>
      <c r="P560" s="35"/>
      <c r="Q560" s="35"/>
      <c r="R560" s="35"/>
      <c r="S560" s="35"/>
      <c r="T560" s="35"/>
      <c r="U560" s="35"/>
      <c r="V560" s="3"/>
      <c r="W560" s="3"/>
    </row>
    <row r="561" spans="15:23">
      <c r="O561" s="35"/>
      <c r="P561" s="35"/>
      <c r="Q561" s="35"/>
      <c r="R561" s="35"/>
      <c r="S561" s="35"/>
      <c r="T561" s="35"/>
      <c r="U561" s="35"/>
      <c r="V561" s="3"/>
      <c r="W561" s="3"/>
    </row>
    <row r="562" spans="15:23">
      <c r="O562" s="35"/>
      <c r="P562" s="35"/>
      <c r="Q562" s="35"/>
      <c r="R562" s="35"/>
      <c r="S562" s="35"/>
      <c r="T562" s="35"/>
      <c r="U562" s="35"/>
      <c r="V562" s="3"/>
      <c r="W562" s="3"/>
    </row>
    <row r="563" spans="15:23">
      <c r="O563" s="35"/>
      <c r="P563" s="35"/>
      <c r="Q563" s="35"/>
      <c r="R563" s="35"/>
      <c r="S563" s="35"/>
      <c r="T563" s="35"/>
      <c r="U563" s="35"/>
      <c r="V563" s="3"/>
      <c r="W563" s="3"/>
    </row>
    <row r="564" spans="15:23">
      <c r="O564" s="35"/>
      <c r="P564" s="35"/>
      <c r="Q564" s="35"/>
      <c r="R564" s="35"/>
      <c r="S564" s="35"/>
      <c r="T564" s="35"/>
      <c r="U564" s="35"/>
      <c r="V564" s="3"/>
      <c r="W564" s="3"/>
    </row>
    <row r="565" spans="15:23">
      <c r="O565" s="35"/>
      <c r="P565" s="35"/>
      <c r="Q565" s="35"/>
      <c r="R565" s="35"/>
      <c r="S565" s="35"/>
      <c r="T565" s="35"/>
      <c r="U565" s="35"/>
      <c r="V565" s="3"/>
      <c r="W565" s="3"/>
    </row>
    <row r="566" spans="15:23">
      <c r="O566" s="35"/>
      <c r="P566" s="35"/>
      <c r="Q566" s="35"/>
      <c r="R566" s="35"/>
      <c r="S566" s="35"/>
      <c r="T566" s="35"/>
      <c r="U566" s="35"/>
      <c r="V566" s="3"/>
      <c r="W566" s="3"/>
    </row>
    <row r="567" spans="15:23">
      <c r="O567" s="35"/>
      <c r="P567" s="35"/>
      <c r="Q567" s="35"/>
      <c r="R567" s="35"/>
      <c r="S567" s="35"/>
      <c r="T567" s="35"/>
      <c r="U567" s="35"/>
      <c r="V567" s="3"/>
      <c r="W567" s="3"/>
    </row>
    <row r="568" spans="15:23">
      <c r="O568" s="35"/>
      <c r="P568" s="35"/>
      <c r="Q568" s="35"/>
      <c r="R568" s="35"/>
      <c r="S568" s="35"/>
      <c r="T568" s="35"/>
      <c r="U568" s="35"/>
      <c r="V568" s="3"/>
      <c r="W568" s="3"/>
    </row>
    <row r="569" spans="15:23">
      <c r="O569" s="35"/>
      <c r="P569" s="35"/>
      <c r="Q569" s="35"/>
      <c r="R569" s="35"/>
      <c r="S569" s="35"/>
      <c r="T569" s="35"/>
      <c r="U569" s="35"/>
      <c r="V569" s="3"/>
      <c r="W569" s="3"/>
    </row>
    <row r="570" spans="15:23">
      <c r="O570" s="35"/>
      <c r="P570" s="35"/>
      <c r="Q570" s="35"/>
      <c r="R570" s="35"/>
      <c r="S570" s="35"/>
      <c r="T570" s="35"/>
      <c r="U570" s="35"/>
      <c r="V570" s="3"/>
      <c r="W570" s="3"/>
    </row>
    <row r="571" spans="15:23">
      <c r="O571" s="35"/>
      <c r="P571" s="35"/>
      <c r="Q571" s="35"/>
      <c r="R571" s="35"/>
      <c r="S571" s="35"/>
      <c r="T571" s="35"/>
      <c r="U571" s="35"/>
      <c r="V571" s="3"/>
      <c r="W571" s="3"/>
    </row>
    <row r="572" spans="15:23">
      <c r="O572" s="35"/>
      <c r="P572" s="35"/>
      <c r="Q572" s="35"/>
      <c r="R572" s="35"/>
      <c r="S572" s="35"/>
      <c r="T572" s="35"/>
      <c r="U572" s="35"/>
      <c r="V572" s="3"/>
      <c r="W572" s="3"/>
    </row>
    <row r="573" spans="15:23">
      <c r="O573" s="35"/>
      <c r="P573" s="35"/>
      <c r="Q573" s="35"/>
      <c r="R573" s="35"/>
      <c r="S573" s="35"/>
      <c r="T573" s="35"/>
      <c r="U573" s="35"/>
      <c r="V573" s="3"/>
      <c r="W573" s="3"/>
    </row>
    <row r="574" spans="15:23">
      <c r="O574" s="35"/>
      <c r="P574" s="35"/>
      <c r="Q574" s="35"/>
      <c r="R574" s="35"/>
      <c r="S574" s="35"/>
      <c r="T574" s="35"/>
      <c r="U574" s="35"/>
      <c r="V574" s="3"/>
      <c r="W574" s="3"/>
    </row>
    <row r="575" spans="15:23">
      <c r="O575" s="35"/>
      <c r="P575" s="35"/>
      <c r="Q575" s="35"/>
      <c r="R575" s="35"/>
      <c r="S575" s="35"/>
      <c r="T575" s="35"/>
      <c r="U575" s="35"/>
      <c r="V575" s="3"/>
      <c r="W575" s="3"/>
    </row>
    <row r="576" spans="15:23">
      <c r="O576" s="35"/>
      <c r="P576" s="35"/>
      <c r="Q576" s="35"/>
      <c r="R576" s="35"/>
      <c r="S576" s="35"/>
      <c r="T576" s="35"/>
      <c r="U576" s="35"/>
      <c r="V576" s="3"/>
      <c r="W576" s="3"/>
    </row>
    <row r="577" spans="15:23">
      <c r="O577" s="35"/>
      <c r="P577" s="35"/>
      <c r="Q577" s="35"/>
      <c r="R577" s="35"/>
      <c r="S577" s="35"/>
      <c r="T577" s="35"/>
      <c r="U577" s="35"/>
      <c r="V577" s="3"/>
      <c r="W577" s="3"/>
    </row>
    <row r="578" spans="15:23">
      <c r="O578" s="35"/>
      <c r="P578" s="35"/>
      <c r="Q578" s="35"/>
      <c r="R578" s="35"/>
      <c r="S578" s="35"/>
      <c r="T578" s="35"/>
      <c r="U578" s="35"/>
      <c r="V578" s="3"/>
      <c r="W578" s="3"/>
    </row>
    <row r="579" spans="15:23">
      <c r="O579" s="35"/>
      <c r="P579" s="35"/>
      <c r="Q579" s="35"/>
      <c r="R579" s="35"/>
      <c r="S579" s="35"/>
      <c r="T579" s="35"/>
      <c r="U579" s="35"/>
      <c r="V579" s="3"/>
      <c r="W579" s="3"/>
    </row>
    <row r="580" spans="15:23">
      <c r="O580" s="35"/>
      <c r="P580" s="35"/>
      <c r="Q580" s="35"/>
      <c r="R580" s="35"/>
      <c r="S580" s="35"/>
      <c r="T580" s="35"/>
      <c r="U580" s="35"/>
      <c r="V580" s="3"/>
      <c r="W580" s="3"/>
    </row>
    <row r="581" spans="15:23">
      <c r="O581" s="35"/>
      <c r="P581" s="35"/>
      <c r="Q581" s="35"/>
      <c r="R581" s="35"/>
      <c r="S581" s="35"/>
      <c r="T581" s="35"/>
      <c r="U581" s="35"/>
      <c r="V581" s="3"/>
      <c r="W581" s="3"/>
    </row>
    <row r="582" spans="15:23">
      <c r="O582" s="35"/>
      <c r="P582" s="35"/>
      <c r="Q582" s="35"/>
      <c r="R582" s="35"/>
      <c r="S582" s="35"/>
      <c r="T582" s="35"/>
      <c r="U582" s="35"/>
      <c r="V582" s="3"/>
      <c r="W582" s="3"/>
    </row>
    <row r="583" spans="15:23">
      <c r="O583" s="35"/>
      <c r="P583" s="35"/>
      <c r="Q583" s="35"/>
      <c r="R583" s="35"/>
      <c r="S583" s="35"/>
      <c r="T583" s="35"/>
      <c r="U583" s="35"/>
      <c r="V583" s="3"/>
      <c r="W583" s="3"/>
    </row>
    <row r="584" spans="15:23">
      <c r="O584" s="35"/>
      <c r="P584" s="35"/>
      <c r="Q584" s="35"/>
      <c r="R584" s="35"/>
      <c r="S584" s="35"/>
      <c r="T584" s="35"/>
      <c r="U584" s="35"/>
      <c r="V584" s="3"/>
      <c r="W584" s="3"/>
    </row>
    <row r="585" spans="15:23">
      <c r="O585" s="35"/>
      <c r="P585" s="35"/>
      <c r="Q585" s="35"/>
      <c r="R585" s="35"/>
      <c r="S585" s="35"/>
      <c r="T585" s="35"/>
      <c r="U585" s="35"/>
      <c r="V585" s="3"/>
      <c r="W585" s="3"/>
    </row>
    <row r="586" spans="15:23">
      <c r="O586" s="35"/>
      <c r="P586" s="35"/>
      <c r="Q586" s="35"/>
      <c r="R586" s="35"/>
      <c r="S586" s="35"/>
      <c r="T586" s="35"/>
      <c r="U586" s="35"/>
      <c r="V586" s="3"/>
      <c r="W586" s="3"/>
    </row>
    <row r="587" spans="15:23">
      <c r="O587" s="35"/>
      <c r="P587" s="35"/>
      <c r="Q587" s="35"/>
      <c r="R587" s="35"/>
      <c r="S587" s="35"/>
      <c r="T587" s="35"/>
      <c r="U587" s="35"/>
      <c r="V587" s="3"/>
      <c r="W587" s="3"/>
    </row>
    <row r="588" spans="15:23">
      <c r="O588" s="35"/>
      <c r="P588" s="35"/>
      <c r="Q588" s="35"/>
      <c r="R588" s="35"/>
      <c r="S588" s="35"/>
      <c r="T588" s="35"/>
      <c r="U588" s="35"/>
      <c r="V588" s="3"/>
      <c r="W588" s="3"/>
    </row>
    <row r="589" spans="15:23">
      <c r="O589" s="35"/>
      <c r="P589" s="35"/>
      <c r="Q589" s="35"/>
      <c r="R589" s="35"/>
      <c r="S589" s="35"/>
      <c r="T589" s="35"/>
      <c r="U589" s="35"/>
      <c r="V589" s="3"/>
      <c r="W589" s="3"/>
    </row>
    <row r="590" spans="15:23">
      <c r="O590" s="35"/>
      <c r="P590" s="35"/>
      <c r="Q590" s="35"/>
      <c r="R590" s="35"/>
      <c r="S590" s="35"/>
      <c r="T590" s="35"/>
      <c r="U590" s="35"/>
      <c r="V590" s="3"/>
      <c r="W590" s="3"/>
    </row>
    <row r="591" spans="15:23">
      <c r="O591" s="35"/>
      <c r="P591" s="35"/>
      <c r="Q591" s="35"/>
      <c r="R591" s="35"/>
      <c r="S591" s="35"/>
      <c r="T591" s="35"/>
      <c r="U591" s="35"/>
      <c r="V591" s="3"/>
      <c r="W591" s="3"/>
    </row>
    <row r="592" spans="15:23">
      <c r="O592" s="35"/>
      <c r="P592" s="35"/>
      <c r="Q592" s="35"/>
      <c r="R592" s="35"/>
      <c r="S592" s="35"/>
      <c r="T592" s="35"/>
      <c r="U592" s="35"/>
      <c r="V592" s="3"/>
      <c r="W592" s="3"/>
    </row>
    <row r="593" spans="15:23">
      <c r="O593" s="35"/>
      <c r="P593" s="35"/>
      <c r="Q593" s="35"/>
      <c r="R593" s="35"/>
      <c r="S593" s="35"/>
      <c r="T593" s="35"/>
      <c r="U593" s="35"/>
      <c r="V593" s="3"/>
      <c r="W593" s="3"/>
    </row>
    <row r="594" spans="15:23">
      <c r="O594" s="35"/>
      <c r="P594" s="35"/>
      <c r="Q594" s="35"/>
      <c r="R594" s="35"/>
      <c r="S594" s="35"/>
      <c r="T594" s="35"/>
      <c r="U594" s="35"/>
      <c r="V594" s="3"/>
      <c r="W594" s="3"/>
    </row>
    <row r="595" spans="15:23">
      <c r="O595" s="35"/>
      <c r="P595" s="35"/>
      <c r="Q595" s="35"/>
      <c r="R595" s="35"/>
      <c r="S595" s="35"/>
      <c r="T595" s="35"/>
      <c r="U595" s="35"/>
      <c r="V595" s="3"/>
      <c r="W595" s="3"/>
    </row>
    <row r="596" spans="15:23">
      <c r="O596" s="35"/>
      <c r="P596" s="35"/>
      <c r="Q596" s="35"/>
      <c r="R596" s="35"/>
      <c r="S596" s="35"/>
      <c r="T596" s="35"/>
      <c r="U596" s="35"/>
      <c r="V596" s="3"/>
      <c r="W596" s="3"/>
    </row>
    <row r="597" spans="15:23">
      <c r="O597" s="35"/>
      <c r="P597" s="35"/>
      <c r="Q597" s="35"/>
      <c r="R597" s="35"/>
      <c r="S597" s="35"/>
      <c r="T597" s="35"/>
      <c r="U597" s="35"/>
      <c r="V597" s="3"/>
      <c r="W597" s="3"/>
    </row>
    <row r="598" spans="15:23">
      <c r="O598" s="35"/>
      <c r="P598" s="35"/>
      <c r="Q598" s="35"/>
      <c r="R598" s="35"/>
      <c r="S598" s="35"/>
      <c r="T598" s="35"/>
      <c r="U598" s="35"/>
      <c r="V598" s="3"/>
      <c r="W598" s="3"/>
    </row>
    <row r="599" spans="15:23">
      <c r="O599" s="35"/>
      <c r="P599" s="35"/>
      <c r="Q599" s="35"/>
      <c r="R599" s="35"/>
      <c r="S599" s="35"/>
      <c r="T599" s="35"/>
      <c r="U599" s="35"/>
      <c r="V599" s="3"/>
      <c r="W599" s="3"/>
    </row>
    <row r="600" spans="15:23">
      <c r="O600" s="35"/>
      <c r="P600" s="35"/>
      <c r="Q600" s="35"/>
      <c r="R600" s="35"/>
      <c r="S600" s="35"/>
      <c r="T600" s="35"/>
      <c r="U600" s="35"/>
      <c r="V600" s="3"/>
      <c r="W600" s="3"/>
    </row>
    <row r="601" spans="15:23">
      <c r="O601" s="35"/>
      <c r="P601" s="35"/>
      <c r="Q601" s="35"/>
      <c r="R601" s="35"/>
      <c r="S601" s="35"/>
      <c r="T601" s="35"/>
      <c r="U601" s="35"/>
      <c r="V601" s="3"/>
      <c r="W601" s="3"/>
    </row>
    <row r="602" spans="15:23">
      <c r="O602" s="35"/>
      <c r="P602" s="35"/>
      <c r="Q602" s="35"/>
      <c r="R602" s="35"/>
      <c r="S602" s="35"/>
      <c r="T602" s="35"/>
      <c r="U602" s="35"/>
      <c r="V602" s="3"/>
      <c r="W602" s="3"/>
    </row>
    <row r="603" spans="15:23">
      <c r="O603" s="35"/>
      <c r="P603" s="35"/>
      <c r="Q603" s="35"/>
      <c r="R603" s="35"/>
      <c r="S603" s="35"/>
      <c r="T603" s="35"/>
      <c r="U603" s="35"/>
      <c r="V603" s="3"/>
      <c r="W603" s="3"/>
    </row>
    <row r="604" spans="15:23">
      <c r="O604" s="35"/>
      <c r="P604" s="35"/>
      <c r="Q604" s="35"/>
      <c r="R604" s="35"/>
      <c r="S604" s="35"/>
      <c r="T604" s="35"/>
      <c r="U604" s="35"/>
      <c r="V604" s="3"/>
      <c r="W604" s="3"/>
    </row>
    <row r="605" spans="15:23">
      <c r="O605" s="35"/>
      <c r="P605" s="35"/>
      <c r="Q605" s="35"/>
      <c r="R605" s="35"/>
      <c r="S605" s="35"/>
      <c r="T605" s="35"/>
      <c r="U605" s="35"/>
      <c r="V605" s="3"/>
      <c r="W605" s="3"/>
    </row>
    <row r="606" spans="15:23">
      <c r="O606" s="35"/>
      <c r="P606" s="35"/>
      <c r="Q606" s="35"/>
      <c r="R606" s="35"/>
      <c r="S606" s="35"/>
      <c r="T606" s="35"/>
      <c r="U606" s="35"/>
      <c r="V606" s="3"/>
      <c r="W606" s="3"/>
    </row>
    <row r="607" spans="15:23">
      <c r="O607" s="35"/>
      <c r="P607" s="35"/>
      <c r="Q607" s="35"/>
      <c r="R607" s="35"/>
      <c r="S607" s="35"/>
      <c r="T607" s="35"/>
      <c r="U607" s="35"/>
      <c r="V607" s="3"/>
      <c r="W607" s="3"/>
    </row>
    <row r="608" spans="15:23">
      <c r="O608" s="35"/>
      <c r="P608" s="35"/>
      <c r="Q608" s="35"/>
      <c r="R608" s="35"/>
      <c r="S608" s="35"/>
      <c r="T608" s="35"/>
      <c r="U608" s="35"/>
      <c r="V608" s="3"/>
      <c r="W608" s="3"/>
    </row>
    <row r="609" spans="15:23">
      <c r="O609" s="35"/>
      <c r="P609" s="35"/>
      <c r="Q609" s="35"/>
      <c r="R609" s="35"/>
      <c r="S609" s="35"/>
      <c r="T609" s="35"/>
      <c r="U609" s="35"/>
      <c r="V609" s="3"/>
      <c r="W609" s="3"/>
    </row>
    <row r="610" spans="15:23">
      <c r="O610" s="35"/>
      <c r="P610" s="35"/>
      <c r="Q610" s="35"/>
      <c r="R610" s="35"/>
      <c r="S610" s="35"/>
      <c r="T610" s="35"/>
      <c r="U610" s="35"/>
      <c r="V610" s="3"/>
      <c r="W610" s="3"/>
    </row>
    <row r="611" spans="15:23">
      <c r="O611" s="35"/>
      <c r="P611" s="35"/>
      <c r="Q611" s="35"/>
      <c r="R611" s="35"/>
      <c r="S611" s="35"/>
      <c r="T611" s="35"/>
      <c r="U611" s="35"/>
      <c r="V611" s="3"/>
      <c r="W611" s="3"/>
    </row>
    <row r="612" spans="15:23">
      <c r="O612" s="35"/>
      <c r="P612" s="35"/>
      <c r="Q612" s="35"/>
      <c r="R612" s="35"/>
      <c r="S612" s="35"/>
      <c r="T612" s="35"/>
      <c r="U612" s="35"/>
      <c r="V612" s="3"/>
      <c r="W612" s="3"/>
    </row>
    <row r="613" spans="15:23">
      <c r="O613" s="35"/>
      <c r="P613" s="35"/>
      <c r="Q613" s="35"/>
      <c r="R613" s="35"/>
      <c r="S613" s="35"/>
      <c r="T613" s="35"/>
      <c r="U613" s="35"/>
      <c r="V613" s="3"/>
      <c r="W613" s="3"/>
    </row>
    <row r="614" spans="15:23">
      <c r="O614" s="35"/>
      <c r="P614" s="35"/>
      <c r="Q614" s="35"/>
      <c r="R614" s="35"/>
      <c r="S614" s="35"/>
      <c r="T614" s="35"/>
      <c r="U614" s="35"/>
      <c r="V614" s="3"/>
      <c r="W614" s="3"/>
    </row>
    <row r="615" spans="15:23">
      <c r="O615" s="35"/>
      <c r="P615" s="35"/>
      <c r="Q615" s="35"/>
      <c r="R615" s="35"/>
      <c r="S615" s="35"/>
      <c r="T615" s="35"/>
      <c r="U615" s="35"/>
      <c r="V615" s="3"/>
      <c r="W615" s="3"/>
    </row>
    <row r="616" spans="15:23">
      <c r="O616" s="35"/>
      <c r="P616" s="35"/>
      <c r="Q616" s="35"/>
      <c r="R616" s="35"/>
      <c r="S616" s="35"/>
      <c r="T616" s="35"/>
      <c r="U616" s="35"/>
      <c r="V616" s="3"/>
      <c r="W616" s="3"/>
    </row>
    <row r="617" spans="15:23">
      <c r="O617" s="35"/>
      <c r="P617" s="35"/>
      <c r="Q617" s="35"/>
      <c r="R617" s="35"/>
      <c r="S617" s="35"/>
      <c r="T617" s="35"/>
      <c r="U617" s="35"/>
      <c r="V617" s="3"/>
      <c r="W617" s="3"/>
    </row>
    <row r="618" spans="15:23">
      <c r="O618" s="35"/>
      <c r="P618" s="35"/>
      <c r="Q618" s="35"/>
      <c r="R618" s="35"/>
      <c r="S618" s="35"/>
      <c r="T618" s="35"/>
      <c r="U618" s="35"/>
      <c r="V618" s="3"/>
      <c r="W618" s="3"/>
    </row>
    <row r="619" spans="15:23">
      <c r="O619" s="35"/>
      <c r="P619" s="35"/>
      <c r="Q619" s="35"/>
      <c r="R619" s="35"/>
      <c r="S619" s="35"/>
      <c r="T619" s="35"/>
      <c r="U619" s="35"/>
      <c r="V619" s="3"/>
      <c r="W619" s="3"/>
    </row>
    <row r="620" spans="15:23">
      <c r="O620" s="35"/>
      <c r="P620" s="35"/>
      <c r="Q620" s="35"/>
      <c r="R620" s="35"/>
      <c r="S620" s="35"/>
      <c r="T620" s="35"/>
      <c r="U620" s="35"/>
      <c r="V620" s="3"/>
      <c r="W620" s="3"/>
    </row>
    <row r="621" spans="15:23">
      <c r="O621" s="35"/>
      <c r="P621" s="35"/>
      <c r="Q621" s="35"/>
      <c r="R621" s="35"/>
      <c r="S621" s="35"/>
      <c r="T621" s="35"/>
      <c r="U621" s="35"/>
      <c r="V621" s="3"/>
      <c r="W621" s="3"/>
    </row>
    <row r="622" spans="15:23">
      <c r="O622" s="35"/>
      <c r="P622" s="35"/>
      <c r="Q622" s="35"/>
      <c r="R622" s="35"/>
      <c r="S622" s="35"/>
      <c r="T622" s="35"/>
      <c r="U622" s="35"/>
      <c r="V622" s="3"/>
      <c r="W622" s="3"/>
    </row>
    <row r="623" spans="15:23">
      <c r="O623" s="35"/>
      <c r="P623" s="35"/>
      <c r="Q623" s="35"/>
      <c r="R623" s="35"/>
      <c r="S623" s="35"/>
      <c r="T623" s="35"/>
      <c r="U623" s="35"/>
      <c r="V623" s="3"/>
      <c r="W623" s="3"/>
    </row>
    <row r="624" spans="15:23">
      <c r="O624" s="35"/>
      <c r="P624" s="35"/>
      <c r="Q624" s="35"/>
      <c r="R624" s="35"/>
      <c r="S624" s="35"/>
      <c r="T624" s="35"/>
      <c r="U624" s="35"/>
      <c r="V624" s="3"/>
      <c r="W624" s="3"/>
    </row>
    <row r="625" spans="15:23">
      <c r="O625" s="35"/>
      <c r="P625" s="35"/>
      <c r="Q625" s="35"/>
      <c r="R625" s="35"/>
      <c r="S625" s="35"/>
      <c r="T625" s="35"/>
      <c r="U625" s="35"/>
      <c r="V625" s="3"/>
      <c r="W625" s="3"/>
    </row>
    <row r="626" spans="15:23">
      <c r="O626" s="35"/>
      <c r="P626" s="35"/>
      <c r="Q626" s="35"/>
      <c r="R626" s="35"/>
      <c r="S626" s="35"/>
      <c r="T626" s="35"/>
      <c r="U626" s="35"/>
      <c r="V626" s="3"/>
      <c r="W626" s="3"/>
    </row>
    <row r="627" spans="15:23">
      <c r="O627" s="35"/>
      <c r="P627" s="35"/>
      <c r="Q627" s="35"/>
      <c r="R627" s="35"/>
      <c r="S627" s="35"/>
      <c r="T627" s="35"/>
      <c r="U627" s="35"/>
      <c r="V627" s="3"/>
      <c r="W627" s="3"/>
    </row>
    <row r="628" spans="15:23">
      <c r="O628" s="35"/>
      <c r="P628" s="35"/>
      <c r="Q628" s="35"/>
      <c r="R628" s="35"/>
      <c r="S628" s="35"/>
      <c r="T628" s="35"/>
      <c r="U628" s="35"/>
      <c r="V628" s="3"/>
      <c r="W628" s="3"/>
    </row>
    <row r="629" spans="15:23">
      <c r="O629" s="35"/>
      <c r="P629" s="35"/>
      <c r="Q629" s="35"/>
      <c r="R629" s="35"/>
      <c r="S629" s="35"/>
      <c r="T629" s="35"/>
      <c r="U629" s="35"/>
      <c r="V629" s="3"/>
      <c r="W629" s="3"/>
    </row>
    <row r="630" spans="15:23">
      <c r="O630" s="35"/>
      <c r="P630" s="35"/>
      <c r="Q630" s="35"/>
      <c r="R630" s="35"/>
      <c r="S630" s="35"/>
      <c r="T630" s="35"/>
      <c r="U630" s="35"/>
      <c r="V630" s="3"/>
      <c r="W630" s="3"/>
    </row>
    <row r="631" spans="15:23">
      <c r="O631" s="35"/>
      <c r="P631" s="35"/>
      <c r="Q631" s="35"/>
      <c r="R631" s="35"/>
      <c r="S631" s="35"/>
      <c r="T631" s="35"/>
      <c r="U631" s="35"/>
      <c r="V631" s="3"/>
      <c r="W631" s="3"/>
    </row>
    <row r="632" spans="15:23">
      <c r="O632" s="35"/>
      <c r="P632" s="35"/>
      <c r="Q632" s="35"/>
      <c r="R632" s="35"/>
      <c r="S632" s="35"/>
      <c r="T632" s="35"/>
      <c r="U632" s="35"/>
      <c r="V632" s="3"/>
      <c r="W632" s="3"/>
    </row>
    <row r="633" spans="15:23">
      <c r="O633" s="35"/>
      <c r="P633" s="35"/>
      <c r="Q633" s="35"/>
      <c r="R633" s="35"/>
      <c r="S633" s="35"/>
      <c r="T633" s="35"/>
      <c r="U633" s="35"/>
      <c r="V633" s="3"/>
      <c r="W633" s="3"/>
    </row>
    <row r="634" spans="15:23">
      <c r="O634" s="35"/>
      <c r="P634" s="35"/>
      <c r="Q634" s="35"/>
      <c r="R634" s="35"/>
      <c r="S634" s="35"/>
      <c r="T634" s="35"/>
      <c r="U634" s="35"/>
      <c r="V634" s="3"/>
      <c r="W634" s="3"/>
    </row>
    <row r="635" spans="15:23">
      <c r="O635" s="35"/>
      <c r="P635" s="35"/>
      <c r="Q635" s="35"/>
      <c r="R635" s="35"/>
      <c r="S635" s="35"/>
      <c r="T635" s="35"/>
      <c r="U635" s="35"/>
      <c r="V635" s="3"/>
      <c r="W635" s="3"/>
    </row>
    <row r="636" spans="15:23">
      <c r="O636" s="35"/>
      <c r="P636" s="35"/>
      <c r="Q636" s="35"/>
      <c r="R636" s="35"/>
      <c r="S636" s="35"/>
      <c r="T636" s="35"/>
      <c r="U636" s="35"/>
      <c r="V636" s="3"/>
      <c r="W636" s="3"/>
    </row>
    <row r="637" spans="15:23">
      <c r="O637" s="35"/>
      <c r="P637" s="35"/>
      <c r="Q637" s="35"/>
      <c r="R637" s="35"/>
      <c r="S637" s="35"/>
      <c r="T637" s="35"/>
      <c r="U637" s="35"/>
      <c r="V637" s="3"/>
      <c r="W637" s="3"/>
    </row>
    <row r="638" spans="15:23">
      <c r="O638" s="35"/>
      <c r="P638" s="35"/>
      <c r="Q638" s="35"/>
      <c r="R638" s="35"/>
      <c r="S638" s="35"/>
      <c r="T638" s="35"/>
      <c r="U638" s="35"/>
      <c r="V638" s="3"/>
      <c r="W638" s="3"/>
    </row>
    <row r="639" spans="15:23">
      <c r="O639" s="35"/>
      <c r="P639" s="35"/>
      <c r="Q639" s="35"/>
      <c r="R639" s="35"/>
      <c r="S639" s="35"/>
      <c r="T639" s="35"/>
      <c r="U639" s="35"/>
      <c r="V639" s="3"/>
      <c r="W639" s="3"/>
    </row>
    <row r="640" spans="15:23">
      <c r="O640" s="35"/>
      <c r="P640" s="35"/>
      <c r="Q640" s="35"/>
      <c r="R640" s="35"/>
      <c r="S640" s="35"/>
      <c r="T640" s="35"/>
      <c r="U640" s="35"/>
      <c r="V640" s="3"/>
      <c r="W640" s="3"/>
    </row>
    <row r="641" spans="15:23">
      <c r="O641" s="35"/>
      <c r="P641" s="35"/>
      <c r="Q641" s="35"/>
      <c r="R641" s="35"/>
      <c r="S641" s="35"/>
      <c r="T641" s="35"/>
      <c r="U641" s="35"/>
      <c r="V641" s="3"/>
      <c r="W641" s="3"/>
    </row>
    <row r="642" spans="15:23">
      <c r="O642" s="35"/>
      <c r="P642" s="35"/>
      <c r="Q642" s="35"/>
      <c r="R642" s="35"/>
      <c r="S642" s="35"/>
      <c r="T642" s="35"/>
      <c r="U642" s="35"/>
      <c r="V642" s="3"/>
      <c r="W642" s="3"/>
    </row>
    <row r="643" spans="15:23">
      <c r="O643" s="35"/>
      <c r="P643" s="35"/>
      <c r="Q643" s="35"/>
      <c r="R643" s="35"/>
      <c r="S643" s="35"/>
      <c r="T643" s="35"/>
      <c r="U643" s="35"/>
      <c r="V643" s="3"/>
      <c r="W643" s="3"/>
    </row>
    <row r="644" spans="15:23">
      <c r="O644" s="35"/>
      <c r="P644" s="35"/>
      <c r="Q644" s="35"/>
      <c r="R644" s="35"/>
      <c r="S644" s="35"/>
      <c r="T644" s="35"/>
      <c r="U644" s="35"/>
      <c r="V644" s="3"/>
      <c r="W644" s="3"/>
    </row>
    <row r="645" spans="15:23">
      <c r="O645" s="35"/>
      <c r="P645" s="35"/>
      <c r="Q645" s="35"/>
      <c r="R645" s="35"/>
      <c r="S645" s="35"/>
      <c r="T645" s="35"/>
      <c r="U645" s="35"/>
      <c r="V645" s="3"/>
      <c r="W645" s="3"/>
    </row>
    <row r="646" spans="15:23">
      <c r="O646" s="35"/>
      <c r="P646" s="35"/>
      <c r="Q646" s="35"/>
      <c r="R646" s="35"/>
      <c r="S646" s="35"/>
      <c r="T646" s="35"/>
      <c r="U646" s="35"/>
      <c r="V646" s="3"/>
      <c r="W646" s="3"/>
    </row>
    <row r="647" spans="15:23">
      <c r="O647" s="35"/>
      <c r="P647" s="35"/>
      <c r="Q647" s="35"/>
      <c r="R647" s="35"/>
      <c r="S647" s="35"/>
      <c r="T647" s="35"/>
      <c r="U647" s="35"/>
      <c r="V647" s="3"/>
      <c r="W647" s="3"/>
    </row>
    <row r="648" spans="15:23">
      <c r="O648" s="35"/>
      <c r="P648" s="35"/>
      <c r="Q648" s="35"/>
      <c r="R648" s="35"/>
      <c r="S648" s="35"/>
      <c r="T648" s="35"/>
      <c r="U648" s="35"/>
      <c r="V648" s="3"/>
      <c r="W648" s="3"/>
    </row>
    <row r="649" spans="15:23">
      <c r="O649" s="35"/>
      <c r="P649" s="35"/>
      <c r="Q649" s="35"/>
      <c r="R649" s="35"/>
      <c r="S649" s="35"/>
      <c r="T649" s="35"/>
      <c r="U649" s="35"/>
      <c r="V649" s="3"/>
      <c r="W649" s="3"/>
    </row>
    <row r="650" spans="15:23">
      <c r="O650" s="35"/>
      <c r="P650" s="35"/>
      <c r="Q650" s="35"/>
      <c r="R650" s="35"/>
      <c r="S650" s="35"/>
      <c r="T650" s="35"/>
      <c r="U650" s="35"/>
      <c r="V650" s="3"/>
      <c r="W650" s="3"/>
    </row>
    <row r="651" spans="15:23">
      <c r="O651" s="35"/>
      <c r="P651" s="35"/>
      <c r="Q651" s="35"/>
      <c r="R651" s="35"/>
      <c r="S651" s="35"/>
      <c r="T651" s="35"/>
      <c r="U651" s="35"/>
      <c r="V651" s="3"/>
      <c r="W651" s="3"/>
    </row>
    <row r="652" spans="15:23">
      <c r="O652" s="35"/>
      <c r="P652" s="35"/>
      <c r="Q652" s="35"/>
      <c r="R652" s="35"/>
      <c r="S652" s="35"/>
      <c r="T652" s="35"/>
      <c r="U652" s="35"/>
      <c r="V652" s="3"/>
      <c r="W652" s="3"/>
    </row>
    <row r="653" spans="15:23">
      <c r="O653" s="35"/>
      <c r="P653" s="35"/>
      <c r="Q653" s="35"/>
      <c r="R653" s="35"/>
      <c r="S653" s="35"/>
      <c r="T653" s="35"/>
      <c r="U653" s="35"/>
      <c r="V653" s="3"/>
      <c r="W653" s="3"/>
    </row>
    <row r="654" spans="15:23">
      <c r="O654" s="35"/>
      <c r="P654" s="35"/>
      <c r="Q654" s="35"/>
      <c r="R654" s="35"/>
      <c r="S654" s="35"/>
      <c r="T654" s="35"/>
      <c r="U654" s="35"/>
      <c r="V654" s="3"/>
      <c r="W654" s="3"/>
    </row>
    <row r="655" spans="15:23">
      <c r="O655" s="35"/>
      <c r="P655" s="35"/>
      <c r="Q655" s="35"/>
      <c r="R655" s="35"/>
      <c r="S655" s="35"/>
      <c r="T655" s="35"/>
      <c r="U655" s="35"/>
      <c r="V655" s="3"/>
      <c r="W655" s="3"/>
    </row>
    <row r="656" spans="15:23">
      <c r="O656" s="35"/>
      <c r="P656" s="35"/>
      <c r="Q656" s="35"/>
      <c r="R656" s="35"/>
      <c r="S656" s="35"/>
      <c r="T656" s="35"/>
      <c r="U656" s="35"/>
      <c r="V656" s="3"/>
      <c r="W656" s="3"/>
    </row>
    <row r="657" spans="15:23">
      <c r="O657" s="35"/>
      <c r="P657" s="35"/>
      <c r="Q657" s="35"/>
      <c r="R657" s="35"/>
      <c r="S657" s="35"/>
      <c r="T657" s="35"/>
      <c r="U657" s="35"/>
      <c r="V657" s="3"/>
      <c r="W657" s="3"/>
    </row>
    <row r="658" spans="15:23">
      <c r="O658" s="35"/>
      <c r="P658" s="35"/>
      <c r="Q658" s="35"/>
      <c r="R658" s="35"/>
      <c r="S658" s="35"/>
      <c r="T658" s="35"/>
      <c r="U658" s="35"/>
      <c r="V658" s="3"/>
      <c r="W658" s="3"/>
    </row>
    <row r="659" spans="15:23">
      <c r="O659" s="35"/>
      <c r="P659" s="35"/>
      <c r="Q659" s="35"/>
      <c r="R659" s="35"/>
      <c r="S659" s="35"/>
      <c r="T659" s="35"/>
      <c r="U659" s="35"/>
      <c r="V659" s="3"/>
      <c r="W659" s="3"/>
    </row>
    <row r="660" spans="15:23">
      <c r="O660" s="35"/>
      <c r="P660" s="35"/>
      <c r="Q660" s="35"/>
      <c r="R660" s="35"/>
      <c r="S660" s="35"/>
      <c r="T660" s="35"/>
      <c r="U660" s="35"/>
      <c r="V660" s="3"/>
      <c r="W660" s="3"/>
    </row>
    <row r="661" spans="15:23">
      <c r="O661" s="35"/>
      <c r="P661" s="35"/>
      <c r="Q661" s="35"/>
      <c r="R661" s="35"/>
      <c r="S661" s="35"/>
      <c r="T661" s="35"/>
      <c r="U661" s="35"/>
      <c r="V661" s="3"/>
      <c r="W661" s="3"/>
    </row>
    <row r="662" spans="15:23">
      <c r="O662" s="35"/>
      <c r="P662" s="35"/>
      <c r="Q662" s="35"/>
      <c r="R662" s="35"/>
      <c r="S662" s="35"/>
      <c r="T662" s="35"/>
      <c r="U662" s="35"/>
      <c r="V662" s="3"/>
      <c r="W662" s="3"/>
    </row>
    <row r="663" spans="15:23">
      <c r="O663" s="35"/>
      <c r="P663" s="35"/>
      <c r="Q663" s="35"/>
      <c r="R663" s="35"/>
      <c r="S663" s="35"/>
      <c r="T663" s="35"/>
      <c r="U663" s="35"/>
      <c r="V663" s="3"/>
      <c r="W663" s="3"/>
    </row>
    <row r="664" spans="15:23">
      <c r="O664" s="35"/>
      <c r="P664" s="35"/>
      <c r="Q664" s="35"/>
      <c r="R664" s="35"/>
      <c r="S664" s="35"/>
      <c r="T664" s="35"/>
      <c r="U664" s="35"/>
      <c r="V664" s="3"/>
      <c r="W664" s="3"/>
    </row>
    <row r="665" spans="15:23">
      <c r="O665" s="35"/>
      <c r="P665" s="35"/>
      <c r="Q665" s="35"/>
      <c r="R665" s="35"/>
      <c r="S665" s="35"/>
      <c r="T665" s="35"/>
      <c r="U665" s="35"/>
      <c r="V665" s="3"/>
      <c r="W665" s="3"/>
    </row>
    <row r="666" spans="15:23">
      <c r="O666" s="35"/>
      <c r="P666" s="35"/>
      <c r="Q666" s="35"/>
      <c r="R666" s="35"/>
      <c r="S666" s="35"/>
      <c r="T666" s="35"/>
      <c r="U666" s="35"/>
      <c r="V666" s="3"/>
      <c r="W666" s="3"/>
    </row>
    <row r="667" spans="15:23">
      <c r="O667" s="35"/>
      <c r="P667" s="35"/>
      <c r="Q667" s="35"/>
      <c r="R667" s="35"/>
      <c r="S667" s="35"/>
      <c r="T667" s="35"/>
      <c r="U667" s="35"/>
      <c r="V667" s="3"/>
      <c r="W667" s="3"/>
    </row>
    <row r="668" spans="15:23">
      <c r="O668" s="35"/>
      <c r="P668" s="35"/>
      <c r="Q668" s="35"/>
      <c r="R668" s="35"/>
      <c r="S668" s="35"/>
      <c r="T668" s="35"/>
      <c r="U668" s="35"/>
      <c r="V668" s="3"/>
      <c r="W668" s="3"/>
    </row>
    <row r="669" spans="15:23">
      <c r="O669" s="35"/>
      <c r="P669" s="35"/>
      <c r="Q669" s="35"/>
      <c r="R669" s="35"/>
      <c r="S669" s="35"/>
      <c r="T669" s="35"/>
      <c r="U669" s="35"/>
      <c r="V669" s="3"/>
      <c r="W669" s="3"/>
    </row>
    <row r="670" spans="15:23">
      <c r="O670" s="35"/>
      <c r="P670" s="35"/>
      <c r="Q670" s="35"/>
      <c r="R670" s="35"/>
      <c r="S670" s="35"/>
      <c r="T670" s="35"/>
      <c r="U670" s="35"/>
      <c r="V670" s="3"/>
      <c r="W670" s="3"/>
    </row>
    <row r="671" spans="15:23">
      <c r="O671" s="35"/>
      <c r="P671" s="35"/>
      <c r="Q671" s="35"/>
      <c r="R671" s="35"/>
      <c r="S671" s="35"/>
      <c r="T671" s="35"/>
      <c r="U671" s="35"/>
      <c r="V671" s="3"/>
      <c r="W671" s="3"/>
    </row>
    <row r="672" spans="15:23">
      <c r="O672" s="35"/>
      <c r="P672" s="35"/>
      <c r="Q672" s="35"/>
      <c r="R672" s="35"/>
      <c r="S672" s="35"/>
      <c r="T672" s="35"/>
      <c r="U672" s="35"/>
      <c r="V672" s="3"/>
      <c r="W672" s="3"/>
    </row>
    <row r="673" spans="15:23">
      <c r="O673" s="35"/>
      <c r="P673" s="35"/>
      <c r="Q673" s="35"/>
      <c r="R673" s="35"/>
      <c r="S673" s="35"/>
      <c r="T673" s="35"/>
      <c r="U673" s="35"/>
      <c r="V673" s="3"/>
      <c r="W673" s="3"/>
    </row>
  </sheetData>
  <mergeCells count="32">
    <mergeCell ref="C39:I39"/>
    <mergeCell ref="C31:C38"/>
    <mergeCell ref="D31:D38"/>
    <mergeCell ref="E31:E38"/>
    <mergeCell ref="F31:F38"/>
    <mergeCell ref="G31:G38"/>
    <mergeCell ref="H31:H38"/>
    <mergeCell ref="I31:I38"/>
    <mergeCell ref="I23:I30"/>
    <mergeCell ref="I15:I22"/>
    <mergeCell ref="I7:I14"/>
    <mergeCell ref="H23:H30"/>
    <mergeCell ref="C23:C30"/>
    <mergeCell ref="D23:D30"/>
    <mergeCell ref="E23:E30"/>
    <mergeCell ref="F23:F30"/>
    <mergeCell ref="G23:G30"/>
    <mergeCell ref="H7:H14"/>
    <mergeCell ref="C7:C14"/>
    <mergeCell ref="D7:D14"/>
    <mergeCell ref="E7:E14"/>
    <mergeCell ref="C15:C22"/>
    <mergeCell ref="D15:D22"/>
    <mergeCell ref="E15:E22"/>
    <mergeCell ref="F7:F14"/>
    <mergeCell ref="G7:G14"/>
    <mergeCell ref="H15:H22"/>
    <mergeCell ref="C2:I4"/>
    <mergeCell ref="C5:I5"/>
    <mergeCell ref="C6:I6"/>
    <mergeCell ref="F15:F22"/>
    <mergeCell ref="G15:G2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65" fitToWidth="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X621"/>
  <sheetViews>
    <sheetView showGridLines="0" zoomScale="80" zoomScaleNormal="80" zoomScaleSheetLayoutView="70" workbookViewId="0">
      <pane xSplit="10" ySplit="1" topLeftCell="K2" activePane="bottomRight" state="frozen"/>
      <selection activeCell="O18" sqref="O18"/>
      <selection pane="topRight" activeCell="O18" sqref="O18"/>
      <selection pane="bottomLeft" activeCell="O18" sqref="O18"/>
      <selection pane="bottomRight" activeCell="F7" sqref="F7:F22"/>
    </sheetView>
  </sheetViews>
  <sheetFormatPr defaultRowHeight="12"/>
  <cols>
    <col min="1" max="1" width="9.08984375" style="17" bestFit="1" customWidth="1"/>
    <col min="2" max="2" width="9.08984375" style="81" bestFit="1" customWidth="1"/>
    <col min="3" max="3" width="4.90625" style="3" customWidth="1"/>
    <col min="4" max="4" width="9.08984375" style="3" customWidth="1"/>
    <col min="5" max="5" width="5.08984375" style="3" customWidth="1"/>
    <col min="6" max="6" width="9.6328125" style="3" customWidth="1"/>
    <col min="7" max="8" width="11.90625" style="3" customWidth="1"/>
    <col min="9" max="9" width="9.08984375" style="3" customWidth="1"/>
    <col min="10" max="10" width="10.90625" style="3" customWidth="1"/>
    <col min="11" max="14" width="13.36328125" style="35" customWidth="1"/>
    <col min="15" max="15" width="13.36328125" style="135" customWidth="1"/>
    <col min="16" max="16" width="13.36328125" style="4" customWidth="1"/>
    <col min="17" max="20" width="13.36328125" style="40" customWidth="1"/>
    <col min="21" max="21" width="13.36328125" style="4" customWidth="1"/>
    <col min="22" max="22" width="13.90625" style="4" customWidth="1"/>
    <col min="23" max="23" width="16.453125" style="5" customWidth="1"/>
    <col min="24" max="258" width="9" style="3"/>
    <col min="259" max="259" width="9.90625" style="3" customWidth="1"/>
    <col min="260" max="261" width="5.08984375" style="3" customWidth="1"/>
    <col min="262" max="262" width="9.6328125" style="3" customWidth="1"/>
    <col min="263" max="264" width="11.90625" style="3" customWidth="1"/>
    <col min="265" max="265" width="15.36328125" style="3" customWidth="1"/>
    <col min="266" max="266" width="10.90625" style="3" customWidth="1"/>
    <col min="267" max="277" width="13.36328125" style="3" customWidth="1"/>
    <col min="278" max="278" width="13.90625" style="3" customWidth="1"/>
    <col min="279" max="279" width="16.453125" style="3" customWidth="1"/>
    <col min="280" max="514" width="9" style="3"/>
    <col min="515" max="515" width="9.90625" style="3" customWidth="1"/>
    <col min="516" max="517" width="5.08984375" style="3" customWidth="1"/>
    <col min="518" max="518" width="9.6328125" style="3" customWidth="1"/>
    <col min="519" max="520" width="11.90625" style="3" customWidth="1"/>
    <col min="521" max="521" width="15.36328125" style="3" customWidth="1"/>
    <col min="522" max="522" width="10.90625" style="3" customWidth="1"/>
    <col min="523" max="533" width="13.36328125" style="3" customWidth="1"/>
    <col min="534" max="534" width="13.90625" style="3" customWidth="1"/>
    <col min="535" max="535" width="16.453125" style="3" customWidth="1"/>
    <col min="536" max="770" width="9" style="3"/>
    <col min="771" max="771" width="9.90625" style="3" customWidth="1"/>
    <col min="772" max="773" width="5.08984375" style="3" customWidth="1"/>
    <col min="774" max="774" width="9.6328125" style="3" customWidth="1"/>
    <col min="775" max="776" width="11.90625" style="3" customWidth="1"/>
    <col min="777" max="777" width="15.36328125" style="3" customWidth="1"/>
    <col min="778" max="778" width="10.90625" style="3" customWidth="1"/>
    <col min="779" max="789" width="13.36328125" style="3" customWidth="1"/>
    <col min="790" max="790" width="13.90625" style="3" customWidth="1"/>
    <col min="791" max="791" width="16.453125" style="3" customWidth="1"/>
    <col min="792" max="1026" width="9" style="3"/>
    <col min="1027" max="1027" width="9.90625" style="3" customWidth="1"/>
    <col min="1028" max="1029" width="5.08984375" style="3" customWidth="1"/>
    <col min="1030" max="1030" width="9.6328125" style="3" customWidth="1"/>
    <col min="1031" max="1032" width="11.90625" style="3" customWidth="1"/>
    <col min="1033" max="1033" width="15.36328125" style="3" customWidth="1"/>
    <col min="1034" max="1034" width="10.90625" style="3" customWidth="1"/>
    <col min="1035" max="1045" width="13.36328125" style="3" customWidth="1"/>
    <col min="1046" max="1046" width="13.90625" style="3" customWidth="1"/>
    <col min="1047" max="1047" width="16.453125" style="3" customWidth="1"/>
    <col min="1048" max="1282" width="9" style="3"/>
    <col min="1283" max="1283" width="9.90625" style="3" customWidth="1"/>
    <col min="1284" max="1285" width="5.08984375" style="3" customWidth="1"/>
    <col min="1286" max="1286" width="9.6328125" style="3" customWidth="1"/>
    <col min="1287" max="1288" width="11.90625" style="3" customWidth="1"/>
    <col min="1289" max="1289" width="15.36328125" style="3" customWidth="1"/>
    <col min="1290" max="1290" width="10.90625" style="3" customWidth="1"/>
    <col min="1291" max="1301" width="13.36328125" style="3" customWidth="1"/>
    <col min="1302" max="1302" width="13.90625" style="3" customWidth="1"/>
    <col min="1303" max="1303" width="16.453125" style="3" customWidth="1"/>
    <col min="1304" max="1538" width="9" style="3"/>
    <col min="1539" max="1539" width="9.90625" style="3" customWidth="1"/>
    <col min="1540" max="1541" width="5.08984375" style="3" customWidth="1"/>
    <col min="1542" max="1542" width="9.6328125" style="3" customWidth="1"/>
    <col min="1543" max="1544" width="11.90625" style="3" customWidth="1"/>
    <col min="1545" max="1545" width="15.36328125" style="3" customWidth="1"/>
    <col min="1546" max="1546" width="10.90625" style="3" customWidth="1"/>
    <col min="1547" max="1557" width="13.36328125" style="3" customWidth="1"/>
    <col min="1558" max="1558" width="13.90625" style="3" customWidth="1"/>
    <col min="1559" max="1559" width="16.453125" style="3" customWidth="1"/>
    <col min="1560" max="1794" width="9" style="3"/>
    <col min="1795" max="1795" width="9.90625" style="3" customWidth="1"/>
    <col min="1796" max="1797" width="5.08984375" style="3" customWidth="1"/>
    <col min="1798" max="1798" width="9.6328125" style="3" customWidth="1"/>
    <col min="1799" max="1800" width="11.90625" style="3" customWidth="1"/>
    <col min="1801" max="1801" width="15.36328125" style="3" customWidth="1"/>
    <col min="1802" max="1802" width="10.90625" style="3" customWidth="1"/>
    <col min="1803" max="1813" width="13.36328125" style="3" customWidth="1"/>
    <col min="1814" max="1814" width="13.90625" style="3" customWidth="1"/>
    <col min="1815" max="1815" width="16.453125" style="3" customWidth="1"/>
    <col min="1816" max="2050" width="9" style="3"/>
    <col min="2051" max="2051" width="9.90625" style="3" customWidth="1"/>
    <col min="2052" max="2053" width="5.08984375" style="3" customWidth="1"/>
    <col min="2054" max="2054" width="9.6328125" style="3" customWidth="1"/>
    <col min="2055" max="2056" width="11.90625" style="3" customWidth="1"/>
    <col min="2057" max="2057" width="15.36328125" style="3" customWidth="1"/>
    <col min="2058" max="2058" width="10.90625" style="3" customWidth="1"/>
    <col min="2059" max="2069" width="13.36328125" style="3" customWidth="1"/>
    <col min="2070" max="2070" width="13.90625" style="3" customWidth="1"/>
    <col min="2071" max="2071" width="16.453125" style="3" customWidth="1"/>
    <col min="2072" max="2306" width="9" style="3"/>
    <col min="2307" max="2307" width="9.90625" style="3" customWidth="1"/>
    <col min="2308" max="2309" width="5.08984375" style="3" customWidth="1"/>
    <col min="2310" max="2310" width="9.6328125" style="3" customWidth="1"/>
    <col min="2311" max="2312" width="11.90625" style="3" customWidth="1"/>
    <col min="2313" max="2313" width="15.36328125" style="3" customWidth="1"/>
    <col min="2314" max="2314" width="10.90625" style="3" customWidth="1"/>
    <col min="2315" max="2325" width="13.36328125" style="3" customWidth="1"/>
    <col min="2326" max="2326" width="13.90625" style="3" customWidth="1"/>
    <col min="2327" max="2327" width="16.453125" style="3" customWidth="1"/>
    <col min="2328" max="2562" width="9" style="3"/>
    <col min="2563" max="2563" width="9.90625" style="3" customWidth="1"/>
    <col min="2564" max="2565" width="5.08984375" style="3" customWidth="1"/>
    <col min="2566" max="2566" width="9.6328125" style="3" customWidth="1"/>
    <col min="2567" max="2568" width="11.90625" style="3" customWidth="1"/>
    <col min="2569" max="2569" width="15.36328125" style="3" customWidth="1"/>
    <col min="2570" max="2570" width="10.90625" style="3" customWidth="1"/>
    <col min="2571" max="2581" width="13.36328125" style="3" customWidth="1"/>
    <col min="2582" max="2582" width="13.90625" style="3" customWidth="1"/>
    <col min="2583" max="2583" width="16.453125" style="3" customWidth="1"/>
    <col min="2584" max="2818" width="9" style="3"/>
    <col min="2819" max="2819" width="9.90625" style="3" customWidth="1"/>
    <col min="2820" max="2821" width="5.08984375" style="3" customWidth="1"/>
    <col min="2822" max="2822" width="9.6328125" style="3" customWidth="1"/>
    <col min="2823" max="2824" width="11.90625" style="3" customWidth="1"/>
    <col min="2825" max="2825" width="15.36328125" style="3" customWidth="1"/>
    <col min="2826" max="2826" width="10.90625" style="3" customWidth="1"/>
    <col min="2827" max="2837" width="13.36328125" style="3" customWidth="1"/>
    <col min="2838" max="2838" width="13.90625" style="3" customWidth="1"/>
    <col min="2839" max="2839" width="16.453125" style="3" customWidth="1"/>
    <col min="2840" max="3074" width="9" style="3"/>
    <col min="3075" max="3075" width="9.90625" style="3" customWidth="1"/>
    <col min="3076" max="3077" width="5.08984375" style="3" customWidth="1"/>
    <col min="3078" max="3078" width="9.6328125" style="3" customWidth="1"/>
    <col min="3079" max="3080" width="11.90625" style="3" customWidth="1"/>
    <col min="3081" max="3081" width="15.36328125" style="3" customWidth="1"/>
    <col min="3082" max="3082" width="10.90625" style="3" customWidth="1"/>
    <col min="3083" max="3093" width="13.36328125" style="3" customWidth="1"/>
    <col min="3094" max="3094" width="13.90625" style="3" customWidth="1"/>
    <col min="3095" max="3095" width="16.453125" style="3" customWidth="1"/>
    <col min="3096" max="3330" width="9" style="3"/>
    <col min="3331" max="3331" width="9.90625" style="3" customWidth="1"/>
    <col min="3332" max="3333" width="5.08984375" style="3" customWidth="1"/>
    <col min="3334" max="3334" width="9.6328125" style="3" customWidth="1"/>
    <col min="3335" max="3336" width="11.90625" style="3" customWidth="1"/>
    <col min="3337" max="3337" width="15.36328125" style="3" customWidth="1"/>
    <col min="3338" max="3338" width="10.90625" style="3" customWidth="1"/>
    <col min="3339" max="3349" width="13.36328125" style="3" customWidth="1"/>
    <col min="3350" max="3350" width="13.90625" style="3" customWidth="1"/>
    <col min="3351" max="3351" width="16.453125" style="3" customWidth="1"/>
    <col min="3352" max="3586" width="9" style="3"/>
    <col min="3587" max="3587" width="9.90625" style="3" customWidth="1"/>
    <col min="3588" max="3589" width="5.08984375" style="3" customWidth="1"/>
    <col min="3590" max="3590" width="9.6328125" style="3" customWidth="1"/>
    <col min="3591" max="3592" width="11.90625" style="3" customWidth="1"/>
    <col min="3593" max="3593" width="15.36328125" style="3" customWidth="1"/>
    <col min="3594" max="3594" width="10.90625" style="3" customWidth="1"/>
    <col min="3595" max="3605" width="13.36328125" style="3" customWidth="1"/>
    <col min="3606" max="3606" width="13.90625" style="3" customWidth="1"/>
    <col min="3607" max="3607" width="16.453125" style="3" customWidth="1"/>
    <col min="3608" max="3842" width="9" style="3"/>
    <col min="3843" max="3843" width="9.90625" style="3" customWidth="1"/>
    <col min="3844" max="3845" width="5.08984375" style="3" customWidth="1"/>
    <col min="3846" max="3846" width="9.6328125" style="3" customWidth="1"/>
    <col min="3847" max="3848" width="11.90625" style="3" customWidth="1"/>
    <col min="3849" max="3849" width="15.36328125" style="3" customWidth="1"/>
    <col min="3850" max="3850" width="10.90625" style="3" customWidth="1"/>
    <col min="3851" max="3861" width="13.36328125" style="3" customWidth="1"/>
    <col min="3862" max="3862" width="13.90625" style="3" customWidth="1"/>
    <col min="3863" max="3863" width="16.453125" style="3" customWidth="1"/>
    <col min="3864" max="4098" width="9" style="3"/>
    <col min="4099" max="4099" width="9.90625" style="3" customWidth="1"/>
    <col min="4100" max="4101" width="5.08984375" style="3" customWidth="1"/>
    <col min="4102" max="4102" width="9.6328125" style="3" customWidth="1"/>
    <col min="4103" max="4104" width="11.90625" style="3" customWidth="1"/>
    <col min="4105" max="4105" width="15.36328125" style="3" customWidth="1"/>
    <col min="4106" max="4106" width="10.90625" style="3" customWidth="1"/>
    <col min="4107" max="4117" width="13.36328125" style="3" customWidth="1"/>
    <col min="4118" max="4118" width="13.90625" style="3" customWidth="1"/>
    <col min="4119" max="4119" width="16.453125" style="3" customWidth="1"/>
    <col min="4120" max="4354" width="9" style="3"/>
    <col min="4355" max="4355" width="9.90625" style="3" customWidth="1"/>
    <col min="4356" max="4357" width="5.08984375" style="3" customWidth="1"/>
    <col min="4358" max="4358" width="9.6328125" style="3" customWidth="1"/>
    <col min="4359" max="4360" width="11.90625" style="3" customWidth="1"/>
    <col min="4361" max="4361" width="15.36328125" style="3" customWidth="1"/>
    <col min="4362" max="4362" width="10.90625" style="3" customWidth="1"/>
    <col min="4363" max="4373" width="13.36328125" style="3" customWidth="1"/>
    <col min="4374" max="4374" width="13.90625" style="3" customWidth="1"/>
    <col min="4375" max="4375" width="16.453125" style="3" customWidth="1"/>
    <col min="4376" max="4610" width="9" style="3"/>
    <col min="4611" max="4611" width="9.90625" style="3" customWidth="1"/>
    <col min="4612" max="4613" width="5.08984375" style="3" customWidth="1"/>
    <col min="4614" max="4614" width="9.6328125" style="3" customWidth="1"/>
    <col min="4615" max="4616" width="11.90625" style="3" customWidth="1"/>
    <col min="4617" max="4617" width="15.36328125" style="3" customWidth="1"/>
    <col min="4618" max="4618" width="10.90625" style="3" customWidth="1"/>
    <col min="4619" max="4629" width="13.36328125" style="3" customWidth="1"/>
    <col min="4630" max="4630" width="13.90625" style="3" customWidth="1"/>
    <col min="4631" max="4631" width="16.453125" style="3" customWidth="1"/>
    <col min="4632" max="4866" width="9" style="3"/>
    <col min="4867" max="4867" width="9.90625" style="3" customWidth="1"/>
    <col min="4868" max="4869" width="5.08984375" style="3" customWidth="1"/>
    <col min="4870" max="4870" width="9.6328125" style="3" customWidth="1"/>
    <col min="4871" max="4872" width="11.90625" style="3" customWidth="1"/>
    <col min="4873" max="4873" width="15.36328125" style="3" customWidth="1"/>
    <col min="4874" max="4874" width="10.90625" style="3" customWidth="1"/>
    <col min="4875" max="4885" width="13.36328125" style="3" customWidth="1"/>
    <col min="4886" max="4886" width="13.90625" style="3" customWidth="1"/>
    <col min="4887" max="4887" width="16.453125" style="3" customWidth="1"/>
    <col min="4888" max="5122" width="9" style="3"/>
    <col min="5123" max="5123" width="9.90625" style="3" customWidth="1"/>
    <col min="5124" max="5125" width="5.08984375" style="3" customWidth="1"/>
    <col min="5126" max="5126" width="9.6328125" style="3" customWidth="1"/>
    <col min="5127" max="5128" width="11.90625" style="3" customWidth="1"/>
    <col min="5129" max="5129" width="15.36328125" style="3" customWidth="1"/>
    <col min="5130" max="5130" width="10.90625" style="3" customWidth="1"/>
    <col min="5131" max="5141" width="13.36328125" style="3" customWidth="1"/>
    <col min="5142" max="5142" width="13.90625" style="3" customWidth="1"/>
    <col min="5143" max="5143" width="16.453125" style="3" customWidth="1"/>
    <col min="5144" max="5378" width="9" style="3"/>
    <col min="5379" max="5379" width="9.90625" style="3" customWidth="1"/>
    <col min="5380" max="5381" width="5.08984375" style="3" customWidth="1"/>
    <col min="5382" max="5382" width="9.6328125" style="3" customWidth="1"/>
    <col min="5383" max="5384" width="11.90625" style="3" customWidth="1"/>
    <col min="5385" max="5385" width="15.36328125" style="3" customWidth="1"/>
    <col min="5386" max="5386" width="10.90625" style="3" customWidth="1"/>
    <col min="5387" max="5397" width="13.36328125" style="3" customWidth="1"/>
    <col min="5398" max="5398" width="13.90625" style="3" customWidth="1"/>
    <col min="5399" max="5399" width="16.453125" style="3" customWidth="1"/>
    <col min="5400" max="5634" width="9" style="3"/>
    <col min="5635" max="5635" width="9.90625" style="3" customWidth="1"/>
    <col min="5636" max="5637" width="5.08984375" style="3" customWidth="1"/>
    <col min="5638" max="5638" width="9.6328125" style="3" customWidth="1"/>
    <col min="5639" max="5640" width="11.90625" style="3" customWidth="1"/>
    <col min="5641" max="5641" width="15.36328125" style="3" customWidth="1"/>
    <col min="5642" max="5642" width="10.90625" style="3" customWidth="1"/>
    <col min="5643" max="5653" width="13.36328125" style="3" customWidth="1"/>
    <col min="5654" max="5654" width="13.90625" style="3" customWidth="1"/>
    <col min="5655" max="5655" width="16.453125" style="3" customWidth="1"/>
    <col min="5656" max="5890" width="9" style="3"/>
    <col min="5891" max="5891" width="9.90625" style="3" customWidth="1"/>
    <col min="5892" max="5893" width="5.08984375" style="3" customWidth="1"/>
    <col min="5894" max="5894" width="9.6328125" style="3" customWidth="1"/>
    <col min="5895" max="5896" width="11.90625" style="3" customWidth="1"/>
    <col min="5897" max="5897" width="15.36328125" style="3" customWidth="1"/>
    <col min="5898" max="5898" width="10.90625" style="3" customWidth="1"/>
    <col min="5899" max="5909" width="13.36328125" style="3" customWidth="1"/>
    <col min="5910" max="5910" width="13.90625" style="3" customWidth="1"/>
    <col min="5911" max="5911" width="16.453125" style="3" customWidth="1"/>
    <col min="5912" max="6146" width="9" style="3"/>
    <col min="6147" max="6147" width="9.90625" style="3" customWidth="1"/>
    <col min="6148" max="6149" width="5.08984375" style="3" customWidth="1"/>
    <col min="6150" max="6150" width="9.6328125" style="3" customWidth="1"/>
    <col min="6151" max="6152" width="11.90625" style="3" customWidth="1"/>
    <col min="6153" max="6153" width="15.36328125" style="3" customWidth="1"/>
    <col min="6154" max="6154" width="10.90625" style="3" customWidth="1"/>
    <col min="6155" max="6165" width="13.36328125" style="3" customWidth="1"/>
    <col min="6166" max="6166" width="13.90625" style="3" customWidth="1"/>
    <col min="6167" max="6167" width="16.453125" style="3" customWidth="1"/>
    <col min="6168" max="6402" width="9" style="3"/>
    <col min="6403" max="6403" width="9.90625" style="3" customWidth="1"/>
    <col min="6404" max="6405" width="5.08984375" style="3" customWidth="1"/>
    <col min="6406" max="6406" width="9.6328125" style="3" customWidth="1"/>
    <col min="6407" max="6408" width="11.90625" style="3" customWidth="1"/>
    <col min="6409" max="6409" width="15.36328125" style="3" customWidth="1"/>
    <col min="6410" max="6410" width="10.90625" style="3" customWidth="1"/>
    <col min="6411" max="6421" width="13.36328125" style="3" customWidth="1"/>
    <col min="6422" max="6422" width="13.90625" style="3" customWidth="1"/>
    <col min="6423" max="6423" width="16.453125" style="3" customWidth="1"/>
    <col min="6424" max="6658" width="9" style="3"/>
    <col min="6659" max="6659" width="9.90625" style="3" customWidth="1"/>
    <col min="6660" max="6661" width="5.08984375" style="3" customWidth="1"/>
    <col min="6662" max="6662" width="9.6328125" style="3" customWidth="1"/>
    <col min="6663" max="6664" width="11.90625" style="3" customWidth="1"/>
    <col min="6665" max="6665" width="15.36328125" style="3" customWidth="1"/>
    <col min="6666" max="6666" width="10.90625" style="3" customWidth="1"/>
    <col min="6667" max="6677" width="13.36328125" style="3" customWidth="1"/>
    <col min="6678" max="6678" width="13.90625" style="3" customWidth="1"/>
    <col min="6679" max="6679" width="16.453125" style="3" customWidth="1"/>
    <col min="6680" max="6914" width="9" style="3"/>
    <col min="6915" max="6915" width="9.90625" style="3" customWidth="1"/>
    <col min="6916" max="6917" width="5.08984375" style="3" customWidth="1"/>
    <col min="6918" max="6918" width="9.6328125" style="3" customWidth="1"/>
    <col min="6919" max="6920" width="11.90625" style="3" customWidth="1"/>
    <col min="6921" max="6921" width="15.36328125" style="3" customWidth="1"/>
    <col min="6922" max="6922" width="10.90625" style="3" customWidth="1"/>
    <col min="6923" max="6933" width="13.36328125" style="3" customWidth="1"/>
    <col min="6934" max="6934" width="13.90625" style="3" customWidth="1"/>
    <col min="6935" max="6935" width="16.453125" style="3" customWidth="1"/>
    <col min="6936" max="7170" width="9" style="3"/>
    <col min="7171" max="7171" width="9.90625" style="3" customWidth="1"/>
    <col min="7172" max="7173" width="5.08984375" style="3" customWidth="1"/>
    <col min="7174" max="7174" width="9.6328125" style="3" customWidth="1"/>
    <col min="7175" max="7176" width="11.90625" style="3" customWidth="1"/>
    <col min="7177" max="7177" width="15.36328125" style="3" customWidth="1"/>
    <col min="7178" max="7178" width="10.90625" style="3" customWidth="1"/>
    <col min="7179" max="7189" width="13.36328125" style="3" customWidth="1"/>
    <col min="7190" max="7190" width="13.90625" style="3" customWidth="1"/>
    <col min="7191" max="7191" width="16.453125" style="3" customWidth="1"/>
    <col min="7192" max="7426" width="9" style="3"/>
    <col min="7427" max="7427" width="9.90625" style="3" customWidth="1"/>
    <col min="7428" max="7429" width="5.08984375" style="3" customWidth="1"/>
    <col min="7430" max="7430" width="9.6328125" style="3" customWidth="1"/>
    <col min="7431" max="7432" width="11.90625" style="3" customWidth="1"/>
    <col min="7433" max="7433" width="15.36328125" style="3" customWidth="1"/>
    <col min="7434" max="7434" width="10.90625" style="3" customWidth="1"/>
    <col min="7435" max="7445" width="13.36328125" style="3" customWidth="1"/>
    <col min="7446" max="7446" width="13.90625" style="3" customWidth="1"/>
    <col min="7447" max="7447" width="16.453125" style="3" customWidth="1"/>
    <col min="7448" max="7682" width="9" style="3"/>
    <col min="7683" max="7683" width="9.90625" style="3" customWidth="1"/>
    <col min="7684" max="7685" width="5.08984375" style="3" customWidth="1"/>
    <col min="7686" max="7686" width="9.6328125" style="3" customWidth="1"/>
    <col min="7687" max="7688" width="11.90625" style="3" customWidth="1"/>
    <col min="7689" max="7689" width="15.36328125" style="3" customWidth="1"/>
    <col min="7690" max="7690" width="10.90625" style="3" customWidth="1"/>
    <col min="7691" max="7701" width="13.36328125" style="3" customWidth="1"/>
    <col min="7702" max="7702" width="13.90625" style="3" customWidth="1"/>
    <col min="7703" max="7703" width="16.453125" style="3" customWidth="1"/>
    <col min="7704" max="7938" width="9" style="3"/>
    <col min="7939" max="7939" width="9.90625" style="3" customWidth="1"/>
    <col min="7940" max="7941" width="5.08984375" style="3" customWidth="1"/>
    <col min="7942" max="7942" width="9.6328125" style="3" customWidth="1"/>
    <col min="7943" max="7944" width="11.90625" style="3" customWidth="1"/>
    <col min="7945" max="7945" width="15.36328125" style="3" customWidth="1"/>
    <col min="7946" max="7946" width="10.90625" style="3" customWidth="1"/>
    <col min="7947" max="7957" width="13.36328125" style="3" customWidth="1"/>
    <col min="7958" max="7958" width="13.90625" style="3" customWidth="1"/>
    <col min="7959" max="7959" width="16.453125" style="3" customWidth="1"/>
    <col min="7960" max="8194" width="9" style="3"/>
    <col min="8195" max="8195" width="9.90625" style="3" customWidth="1"/>
    <col min="8196" max="8197" width="5.08984375" style="3" customWidth="1"/>
    <col min="8198" max="8198" width="9.6328125" style="3" customWidth="1"/>
    <col min="8199" max="8200" width="11.90625" style="3" customWidth="1"/>
    <col min="8201" max="8201" width="15.36328125" style="3" customWidth="1"/>
    <col min="8202" max="8202" width="10.90625" style="3" customWidth="1"/>
    <col min="8203" max="8213" width="13.36328125" style="3" customWidth="1"/>
    <col min="8214" max="8214" width="13.90625" style="3" customWidth="1"/>
    <col min="8215" max="8215" width="16.453125" style="3" customWidth="1"/>
    <col min="8216" max="8450" width="9" style="3"/>
    <col min="8451" max="8451" width="9.90625" style="3" customWidth="1"/>
    <col min="8452" max="8453" width="5.08984375" style="3" customWidth="1"/>
    <col min="8454" max="8454" width="9.6328125" style="3" customWidth="1"/>
    <col min="8455" max="8456" width="11.90625" style="3" customWidth="1"/>
    <col min="8457" max="8457" width="15.36328125" style="3" customWidth="1"/>
    <col min="8458" max="8458" width="10.90625" style="3" customWidth="1"/>
    <col min="8459" max="8469" width="13.36328125" style="3" customWidth="1"/>
    <col min="8470" max="8470" width="13.90625" style="3" customWidth="1"/>
    <col min="8471" max="8471" width="16.453125" style="3" customWidth="1"/>
    <col min="8472" max="8706" width="9" style="3"/>
    <col min="8707" max="8707" width="9.90625" style="3" customWidth="1"/>
    <col min="8708" max="8709" width="5.08984375" style="3" customWidth="1"/>
    <col min="8710" max="8710" width="9.6328125" style="3" customWidth="1"/>
    <col min="8711" max="8712" width="11.90625" style="3" customWidth="1"/>
    <col min="8713" max="8713" width="15.36328125" style="3" customWidth="1"/>
    <col min="8714" max="8714" width="10.90625" style="3" customWidth="1"/>
    <col min="8715" max="8725" width="13.36328125" style="3" customWidth="1"/>
    <col min="8726" max="8726" width="13.90625" style="3" customWidth="1"/>
    <col min="8727" max="8727" width="16.453125" style="3" customWidth="1"/>
    <col min="8728" max="8962" width="9" style="3"/>
    <col min="8963" max="8963" width="9.90625" style="3" customWidth="1"/>
    <col min="8964" max="8965" width="5.08984375" style="3" customWidth="1"/>
    <col min="8966" max="8966" width="9.6328125" style="3" customWidth="1"/>
    <col min="8967" max="8968" width="11.90625" style="3" customWidth="1"/>
    <col min="8969" max="8969" width="15.36328125" style="3" customWidth="1"/>
    <col min="8970" max="8970" width="10.90625" style="3" customWidth="1"/>
    <col min="8971" max="8981" width="13.36328125" style="3" customWidth="1"/>
    <col min="8982" max="8982" width="13.90625" style="3" customWidth="1"/>
    <col min="8983" max="8983" width="16.453125" style="3" customWidth="1"/>
    <col min="8984" max="9218" width="9" style="3"/>
    <col min="9219" max="9219" width="9.90625" style="3" customWidth="1"/>
    <col min="9220" max="9221" width="5.08984375" style="3" customWidth="1"/>
    <col min="9222" max="9222" width="9.6328125" style="3" customWidth="1"/>
    <col min="9223" max="9224" width="11.90625" style="3" customWidth="1"/>
    <col min="9225" max="9225" width="15.36328125" style="3" customWidth="1"/>
    <col min="9226" max="9226" width="10.90625" style="3" customWidth="1"/>
    <col min="9227" max="9237" width="13.36328125" style="3" customWidth="1"/>
    <col min="9238" max="9238" width="13.90625" style="3" customWidth="1"/>
    <col min="9239" max="9239" width="16.453125" style="3" customWidth="1"/>
    <col min="9240" max="9474" width="9" style="3"/>
    <col min="9475" max="9475" width="9.90625" style="3" customWidth="1"/>
    <col min="9476" max="9477" width="5.08984375" style="3" customWidth="1"/>
    <col min="9478" max="9478" width="9.6328125" style="3" customWidth="1"/>
    <col min="9479" max="9480" width="11.90625" style="3" customWidth="1"/>
    <col min="9481" max="9481" width="15.36328125" style="3" customWidth="1"/>
    <col min="9482" max="9482" width="10.90625" style="3" customWidth="1"/>
    <col min="9483" max="9493" width="13.36328125" style="3" customWidth="1"/>
    <col min="9494" max="9494" width="13.90625" style="3" customWidth="1"/>
    <col min="9495" max="9495" width="16.453125" style="3" customWidth="1"/>
    <col min="9496" max="9730" width="9" style="3"/>
    <col min="9731" max="9731" width="9.90625" style="3" customWidth="1"/>
    <col min="9732" max="9733" width="5.08984375" style="3" customWidth="1"/>
    <col min="9734" max="9734" width="9.6328125" style="3" customWidth="1"/>
    <col min="9735" max="9736" width="11.90625" style="3" customWidth="1"/>
    <col min="9737" max="9737" width="15.36328125" style="3" customWidth="1"/>
    <col min="9738" max="9738" width="10.90625" style="3" customWidth="1"/>
    <col min="9739" max="9749" width="13.36328125" style="3" customWidth="1"/>
    <col min="9750" max="9750" width="13.90625" style="3" customWidth="1"/>
    <col min="9751" max="9751" width="16.453125" style="3" customWidth="1"/>
    <col min="9752" max="9986" width="9" style="3"/>
    <col min="9987" max="9987" width="9.90625" style="3" customWidth="1"/>
    <col min="9988" max="9989" width="5.08984375" style="3" customWidth="1"/>
    <col min="9990" max="9990" width="9.6328125" style="3" customWidth="1"/>
    <col min="9991" max="9992" width="11.90625" style="3" customWidth="1"/>
    <col min="9993" max="9993" width="15.36328125" style="3" customWidth="1"/>
    <col min="9994" max="9994" width="10.90625" style="3" customWidth="1"/>
    <col min="9995" max="10005" width="13.36328125" style="3" customWidth="1"/>
    <col min="10006" max="10006" width="13.90625" style="3" customWidth="1"/>
    <col min="10007" max="10007" width="16.453125" style="3" customWidth="1"/>
    <col min="10008" max="10242" width="9" style="3"/>
    <col min="10243" max="10243" width="9.90625" style="3" customWidth="1"/>
    <col min="10244" max="10245" width="5.08984375" style="3" customWidth="1"/>
    <col min="10246" max="10246" width="9.6328125" style="3" customWidth="1"/>
    <col min="10247" max="10248" width="11.90625" style="3" customWidth="1"/>
    <col min="10249" max="10249" width="15.36328125" style="3" customWidth="1"/>
    <col min="10250" max="10250" width="10.90625" style="3" customWidth="1"/>
    <col min="10251" max="10261" width="13.36328125" style="3" customWidth="1"/>
    <col min="10262" max="10262" width="13.90625" style="3" customWidth="1"/>
    <col min="10263" max="10263" width="16.453125" style="3" customWidth="1"/>
    <col min="10264" max="10498" width="9" style="3"/>
    <col min="10499" max="10499" width="9.90625" style="3" customWidth="1"/>
    <col min="10500" max="10501" width="5.08984375" style="3" customWidth="1"/>
    <col min="10502" max="10502" width="9.6328125" style="3" customWidth="1"/>
    <col min="10503" max="10504" width="11.90625" style="3" customWidth="1"/>
    <col min="10505" max="10505" width="15.36328125" style="3" customWidth="1"/>
    <col min="10506" max="10506" width="10.90625" style="3" customWidth="1"/>
    <col min="10507" max="10517" width="13.36328125" style="3" customWidth="1"/>
    <col min="10518" max="10518" width="13.90625" style="3" customWidth="1"/>
    <col min="10519" max="10519" width="16.453125" style="3" customWidth="1"/>
    <col min="10520" max="10754" width="9" style="3"/>
    <col min="10755" max="10755" width="9.90625" style="3" customWidth="1"/>
    <col min="10756" max="10757" width="5.08984375" style="3" customWidth="1"/>
    <col min="10758" max="10758" width="9.6328125" style="3" customWidth="1"/>
    <col min="10759" max="10760" width="11.90625" style="3" customWidth="1"/>
    <col min="10761" max="10761" width="15.36328125" style="3" customWidth="1"/>
    <col min="10762" max="10762" width="10.90625" style="3" customWidth="1"/>
    <col min="10763" max="10773" width="13.36328125" style="3" customWidth="1"/>
    <col min="10774" max="10774" width="13.90625" style="3" customWidth="1"/>
    <col min="10775" max="10775" width="16.453125" style="3" customWidth="1"/>
    <col min="10776" max="11010" width="9" style="3"/>
    <col min="11011" max="11011" width="9.90625" style="3" customWidth="1"/>
    <col min="11012" max="11013" width="5.08984375" style="3" customWidth="1"/>
    <col min="11014" max="11014" width="9.6328125" style="3" customWidth="1"/>
    <col min="11015" max="11016" width="11.90625" style="3" customWidth="1"/>
    <col min="11017" max="11017" width="15.36328125" style="3" customWidth="1"/>
    <col min="11018" max="11018" width="10.90625" style="3" customWidth="1"/>
    <col min="11019" max="11029" width="13.36328125" style="3" customWidth="1"/>
    <col min="11030" max="11030" width="13.90625" style="3" customWidth="1"/>
    <col min="11031" max="11031" width="16.453125" style="3" customWidth="1"/>
    <col min="11032" max="11266" width="9" style="3"/>
    <col min="11267" max="11267" width="9.90625" style="3" customWidth="1"/>
    <col min="11268" max="11269" width="5.08984375" style="3" customWidth="1"/>
    <col min="11270" max="11270" width="9.6328125" style="3" customWidth="1"/>
    <col min="11271" max="11272" width="11.90625" style="3" customWidth="1"/>
    <col min="11273" max="11273" width="15.36328125" style="3" customWidth="1"/>
    <col min="11274" max="11274" width="10.90625" style="3" customWidth="1"/>
    <col min="11275" max="11285" width="13.36328125" style="3" customWidth="1"/>
    <col min="11286" max="11286" width="13.90625" style="3" customWidth="1"/>
    <col min="11287" max="11287" width="16.453125" style="3" customWidth="1"/>
    <col min="11288" max="11522" width="9" style="3"/>
    <col min="11523" max="11523" width="9.90625" style="3" customWidth="1"/>
    <col min="11524" max="11525" width="5.08984375" style="3" customWidth="1"/>
    <col min="11526" max="11526" width="9.6328125" style="3" customWidth="1"/>
    <col min="11527" max="11528" width="11.90625" style="3" customWidth="1"/>
    <col min="11529" max="11529" width="15.36328125" style="3" customWidth="1"/>
    <col min="11530" max="11530" width="10.90625" style="3" customWidth="1"/>
    <col min="11531" max="11541" width="13.36328125" style="3" customWidth="1"/>
    <col min="11542" max="11542" width="13.90625" style="3" customWidth="1"/>
    <col min="11543" max="11543" width="16.453125" style="3" customWidth="1"/>
    <col min="11544" max="11778" width="9" style="3"/>
    <col min="11779" max="11779" width="9.90625" style="3" customWidth="1"/>
    <col min="11780" max="11781" width="5.08984375" style="3" customWidth="1"/>
    <col min="11782" max="11782" width="9.6328125" style="3" customWidth="1"/>
    <col min="11783" max="11784" width="11.90625" style="3" customWidth="1"/>
    <col min="11785" max="11785" width="15.36328125" style="3" customWidth="1"/>
    <col min="11786" max="11786" width="10.90625" style="3" customWidth="1"/>
    <col min="11787" max="11797" width="13.36328125" style="3" customWidth="1"/>
    <col min="11798" max="11798" width="13.90625" style="3" customWidth="1"/>
    <col min="11799" max="11799" width="16.453125" style="3" customWidth="1"/>
    <col min="11800" max="12034" width="9" style="3"/>
    <col min="12035" max="12035" width="9.90625" style="3" customWidth="1"/>
    <col min="12036" max="12037" width="5.08984375" style="3" customWidth="1"/>
    <col min="12038" max="12038" width="9.6328125" style="3" customWidth="1"/>
    <col min="12039" max="12040" width="11.90625" style="3" customWidth="1"/>
    <col min="12041" max="12041" width="15.36328125" style="3" customWidth="1"/>
    <col min="12042" max="12042" width="10.90625" style="3" customWidth="1"/>
    <col min="12043" max="12053" width="13.36328125" style="3" customWidth="1"/>
    <col min="12054" max="12054" width="13.90625" style="3" customWidth="1"/>
    <col min="12055" max="12055" width="16.453125" style="3" customWidth="1"/>
    <col min="12056" max="12290" width="9" style="3"/>
    <col min="12291" max="12291" width="9.90625" style="3" customWidth="1"/>
    <col min="12292" max="12293" width="5.08984375" style="3" customWidth="1"/>
    <col min="12294" max="12294" width="9.6328125" style="3" customWidth="1"/>
    <col min="12295" max="12296" width="11.90625" style="3" customWidth="1"/>
    <col min="12297" max="12297" width="15.36328125" style="3" customWidth="1"/>
    <col min="12298" max="12298" width="10.90625" style="3" customWidth="1"/>
    <col min="12299" max="12309" width="13.36328125" style="3" customWidth="1"/>
    <col min="12310" max="12310" width="13.90625" style="3" customWidth="1"/>
    <col min="12311" max="12311" width="16.453125" style="3" customWidth="1"/>
    <col min="12312" max="12546" width="9" style="3"/>
    <col min="12547" max="12547" width="9.90625" style="3" customWidth="1"/>
    <col min="12548" max="12549" width="5.08984375" style="3" customWidth="1"/>
    <col min="12550" max="12550" width="9.6328125" style="3" customWidth="1"/>
    <col min="12551" max="12552" width="11.90625" style="3" customWidth="1"/>
    <col min="12553" max="12553" width="15.36328125" style="3" customWidth="1"/>
    <col min="12554" max="12554" width="10.90625" style="3" customWidth="1"/>
    <col min="12555" max="12565" width="13.36328125" style="3" customWidth="1"/>
    <col min="12566" max="12566" width="13.90625" style="3" customWidth="1"/>
    <col min="12567" max="12567" width="16.453125" style="3" customWidth="1"/>
    <col min="12568" max="12802" width="9" style="3"/>
    <col min="12803" max="12803" width="9.90625" style="3" customWidth="1"/>
    <col min="12804" max="12805" width="5.08984375" style="3" customWidth="1"/>
    <col min="12806" max="12806" width="9.6328125" style="3" customWidth="1"/>
    <col min="12807" max="12808" width="11.90625" style="3" customWidth="1"/>
    <col min="12809" max="12809" width="15.36328125" style="3" customWidth="1"/>
    <col min="12810" max="12810" width="10.90625" style="3" customWidth="1"/>
    <col min="12811" max="12821" width="13.36328125" style="3" customWidth="1"/>
    <col min="12822" max="12822" width="13.90625" style="3" customWidth="1"/>
    <col min="12823" max="12823" width="16.453125" style="3" customWidth="1"/>
    <col min="12824" max="13058" width="9" style="3"/>
    <col min="13059" max="13059" width="9.90625" style="3" customWidth="1"/>
    <col min="13060" max="13061" width="5.08984375" style="3" customWidth="1"/>
    <col min="13062" max="13062" width="9.6328125" style="3" customWidth="1"/>
    <col min="13063" max="13064" width="11.90625" style="3" customWidth="1"/>
    <col min="13065" max="13065" width="15.36328125" style="3" customWidth="1"/>
    <col min="13066" max="13066" width="10.90625" style="3" customWidth="1"/>
    <col min="13067" max="13077" width="13.36328125" style="3" customWidth="1"/>
    <col min="13078" max="13078" width="13.90625" style="3" customWidth="1"/>
    <col min="13079" max="13079" width="16.453125" style="3" customWidth="1"/>
    <col min="13080" max="13314" width="9" style="3"/>
    <col min="13315" max="13315" width="9.90625" style="3" customWidth="1"/>
    <col min="13316" max="13317" width="5.08984375" style="3" customWidth="1"/>
    <col min="13318" max="13318" width="9.6328125" style="3" customWidth="1"/>
    <col min="13319" max="13320" width="11.90625" style="3" customWidth="1"/>
    <col min="13321" max="13321" width="15.36328125" style="3" customWidth="1"/>
    <col min="13322" max="13322" width="10.90625" style="3" customWidth="1"/>
    <col min="13323" max="13333" width="13.36328125" style="3" customWidth="1"/>
    <col min="13334" max="13334" width="13.90625" style="3" customWidth="1"/>
    <col min="13335" max="13335" width="16.453125" style="3" customWidth="1"/>
    <col min="13336" max="13570" width="9" style="3"/>
    <col min="13571" max="13571" width="9.90625" style="3" customWidth="1"/>
    <col min="13572" max="13573" width="5.08984375" style="3" customWidth="1"/>
    <col min="13574" max="13574" width="9.6328125" style="3" customWidth="1"/>
    <col min="13575" max="13576" width="11.90625" style="3" customWidth="1"/>
    <col min="13577" max="13577" width="15.36328125" style="3" customWidth="1"/>
    <col min="13578" max="13578" width="10.90625" style="3" customWidth="1"/>
    <col min="13579" max="13589" width="13.36328125" style="3" customWidth="1"/>
    <col min="13590" max="13590" width="13.90625" style="3" customWidth="1"/>
    <col min="13591" max="13591" width="16.453125" style="3" customWidth="1"/>
    <col min="13592" max="13826" width="9" style="3"/>
    <col min="13827" max="13827" width="9.90625" style="3" customWidth="1"/>
    <col min="13828" max="13829" width="5.08984375" style="3" customWidth="1"/>
    <col min="13830" max="13830" width="9.6328125" style="3" customWidth="1"/>
    <col min="13831" max="13832" width="11.90625" style="3" customWidth="1"/>
    <col min="13833" max="13833" width="15.36328125" style="3" customWidth="1"/>
    <col min="13834" max="13834" width="10.90625" style="3" customWidth="1"/>
    <col min="13835" max="13845" width="13.36328125" style="3" customWidth="1"/>
    <col min="13846" max="13846" width="13.90625" style="3" customWidth="1"/>
    <col min="13847" max="13847" width="16.453125" style="3" customWidth="1"/>
    <col min="13848" max="14082" width="9" style="3"/>
    <col min="14083" max="14083" width="9.90625" style="3" customWidth="1"/>
    <col min="14084" max="14085" width="5.08984375" style="3" customWidth="1"/>
    <col min="14086" max="14086" width="9.6328125" style="3" customWidth="1"/>
    <col min="14087" max="14088" width="11.90625" style="3" customWidth="1"/>
    <col min="14089" max="14089" width="15.36328125" style="3" customWidth="1"/>
    <col min="14090" max="14090" width="10.90625" style="3" customWidth="1"/>
    <col min="14091" max="14101" width="13.36328125" style="3" customWidth="1"/>
    <col min="14102" max="14102" width="13.90625" style="3" customWidth="1"/>
    <col min="14103" max="14103" width="16.453125" style="3" customWidth="1"/>
    <col min="14104" max="14338" width="9" style="3"/>
    <col min="14339" max="14339" width="9.90625" style="3" customWidth="1"/>
    <col min="14340" max="14341" width="5.08984375" style="3" customWidth="1"/>
    <col min="14342" max="14342" width="9.6328125" style="3" customWidth="1"/>
    <col min="14343" max="14344" width="11.90625" style="3" customWidth="1"/>
    <col min="14345" max="14345" width="15.36328125" style="3" customWidth="1"/>
    <col min="14346" max="14346" width="10.90625" style="3" customWidth="1"/>
    <col min="14347" max="14357" width="13.36328125" style="3" customWidth="1"/>
    <col min="14358" max="14358" width="13.90625" style="3" customWidth="1"/>
    <col min="14359" max="14359" width="16.453125" style="3" customWidth="1"/>
    <col min="14360" max="14594" width="9" style="3"/>
    <col min="14595" max="14595" width="9.90625" style="3" customWidth="1"/>
    <col min="14596" max="14597" width="5.08984375" style="3" customWidth="1"/>
    <col min="14598" max="14598" width="9.6328125" style="3" customWidth="1"/>
    <col min="14599" max="14600" width="11.90625" style="3" customWidth="1"/>
    <col min="14601" max="14601" width="15.36328125" style="3" customWidth="1"/>
    <col min="14602" max="14602" width="10.90625" style="3" customWidth="1"/>
    <col min="14603" max="14613" width="13.36328125" style="3" customWidth="1"/>
    <col min="14614" max="14614" width="13.90625" style="3" customWidth="1"/>
    <col min="14615" max="14615" width="16.453125" style="3" customWidth="1"/>
    <col min="14616" max="14850" width="9" style="3"/>
    <col min="14851" max="14851" width="9.90625" style="3" customWidth="1"/>
    <col min="14852" max="14853" width="5.08984375" style="3" customWidth="1"/>
    <col min="14854" max="14854" width="9.6328125" style="3" customWidth="1"/>
    <col min="14855" max="14856" width="11.90625" style="3" customWidth="1"/>
    <col min="14857" max="14857" width="15.36328125" style="3" customWidth="1"/>
    <col min="14858" max="14858" width="10.90625" style="3" customWidth="1"/>
    <col min="14859" max="14869" width="13.36328125" style="3" customWidth="1"/>
    <col min="14870" max="14870" width="13.90625" style="3" customWidth="1"/>
    <col min="14871" max="14871" width="16.453125" style="3" customWidth="1"/>
    <col min="14872" max="15106" width="9" style="3"/>
    <col min="15107" max="15107" width="9.90625" style="3" customWidth="1"/>
    <col min="15108" max="15109" width="5.08984375" style="3" customWidth="1"/>
    <col min="15110" max="15110" width="9.6328125" style="3" customWidth="1"/>
    <col min="15111" max="15112" width="11.90625" style="3" customWidth="1"/>
    <col min="15113" max="15113" width="15.36328125" style="3" customWidth="1"/>
    <col min="15114" max="15114" width="10.90625" style="3" customWidth="1"/>
    <col min="15115" max="15125" width="13.36328125" style="3" customWidth="1"/>
    <col min="15126" max="15126" width="13.90625" style="3" customWidth="1"/>
    <col min="15127" max="15127" width="16.453125" style="3" customWidth="1"/>
    <col min="15128" max="15362" width="9" style="3"/>
    <col min="15363" max="15363" width="9.90625" style="3" customWidth="1"/>
    <col min="15364" max="15365" width="5.08984375" style="3" customWidth="1"/>
    <col min="15366" max="15366" width="9.6328125" style="3" customWidth="1"/>
    <col min="15367" max="15368" width="11.90625" style="3" customWidth="1"/>
    <col min="15369" max="15369" width="15.36328125" style="3" customWidth="1"/>
    <col min="15370" max="15370" width="10.90625" style="3" customWidth="1"/>
    <col min="15371" max="15381" width="13.36328125" style="3" customWidth="1"/>
    <col min="15382" max="15382" width="13.90625" style="3" customWidth="1"/>
    <col min="15383" max="15383" width="16.453125" style="3" customWidth="1"/>
    <col min="15384" max="15618" width="9" style="3"/>
    <col min="15619" max="15619" width="9.90625" style="3" customWidth="1"/>
    <col min="15620" max="15621" width="5.08984375" style="3" customWidth="1"/>
    <col min="15622" max="15622" width="9.6328125" style="3" customWidth="1"/>
    <col min="15623" max="15624" width="11.90625" style="3" customWidth="1"/>
    <col min="15625" max="15625" width="15.36328125" style="3" customWidth="1"/>
    <col min="15626" max="15626" width="10.90625" style="3" customWidth="1"/>
    <col min="15627" max="15637" width="13.36328125" style="3" customWidth="1"/>
    <col min="15638" max="15638" width="13.90625" style="3" customWidth="1"/>
    <col min="15639" max="15639" width="16.453125" style="3" customWidth="1"/>
    <col min="15640" max="15874" width="9" style="3"/>
    <col min="15875" max="15875" width="9.90625" style="3" customWidth="1"/>
    <col min="15876" max="15877" width="5.08984375" style="3" customWidth="1"/>
    <col min="15878" max="15878" width="9.6328125" style="3" customWidth="1"/>
    <col min="15879" max="15880" width="11.90625" style="3" customWidth="1"/>
    <col min="15881" max="15881" width="15.36328125" style="3" customWidth="1"/>
    <col min="15882" max="15882" width="10.90625" style="3" customWidth="1"/>
    <col min="15883" max="15893" width="13.36328125" style="3" customWidth="1"/>
    <col min="15894" max="15894" width="13.90625" style="3" customWidth="1"/>
    <col min="15895" max="15895" width="16.453125" style="3" customWidth="1"/>
    <col min="15896" max="16130" width="9" style="3"/>
    <col min="16131" max="16131" width="9.90625" style="3" customWidth="1"/>
    <col min="16132" max="16133" width="5.08984375" style="3" customWidth="1"/>
    <col min="16134" max="16134" width="9.6328125" style="3" customWidth="1"/>
    <col min="16135" max="16136" width="11.90625" style="3" customWidth="1"/>
    <col min="16137" max="16137" width="15.36328125" style="3" customWidth="1"/>
    <col min="16138" max="16138" width="10.90625" style="3" customWidth="1"/>
    <col min="16139" max="16149" width="13.36328125" style="3" customWidth="1"/>
    <col min="16150" max="16150" width="13.90625" style="3" customWidth="1"/>
    <col min="16151" max="16151" width="16.453125" style="3" customWidth="1"/>
    <col min="16152" max="16384" width="9" style="3"/>
  </cols>
  <sheetData>
    <row r="1" spans="1:24" s="1" customFormat="1" ht="36">
      <c r="A1" s="1" t="s">
        <v>67</v>
      </c>
      <c r="B1" s="1" t="s">
        <v>68</v>
      </c>
      <c r="C1" s="72" t="s">
        <v>0</v>
      </c>
      <c r="D1" s="73" t="s">
        <v>1</v>
      </c>
      <c r="E1" s="73" t="s">
        <v>2</v>
      </c>
      <c r="F1" s="74" t="s">
        <v>3</v>
      </c>
      <c r="G1" s="74" t="s">
        <v>4</v>
      </c>
      <c r="H1" s="75" t="s">
        <v>5</v>
      </c>
      <c r="I1" s="76" t="s">
        <v>6</v>
      </c>
      <c r="J1" s="34" t="s">
        <v>7</v>
      </c>
      <c r="K1" s="29" t="s">
        <v>8</v>
      </c>
      <c r="L1" s="39" t="s">
        <v>9</v>
      </c>
      <c r="M1" s="39" t="s">
        <v>10</v>
      </c>
      <c r="N1" s="262" t="s">
        <v>11</v>
      </c>
      <c r="O1" s="262" t="s">
        <v>12</v>
      </c>
      <c r="P1" s="262" t="s">
        <v>13</v>
      </c>
      <c r="Q1" s="262" t="s">
        <v>14</v>
      </c>
      <c r="R1" s="262" t="s">
        <v>15</v>
      </c>
      <c r="S1" s="262" t="s">
        <v>16</v>
      </c>
      <c r="T1" s="262" t="s">
        <v>17</v>
      </c>
      <c r="U1" s="262" t="s">
        <v>18</v>
      </c>
      <c r="V1" s="30" t="s">
        <v>19</v>
      </c>
      <c r="W1" s="24" t="s">
        <v>20</v>
      </c>
    </row>
    <row r="2" spans="1:24" s="1" customFormat="1">
      <c r="A2" s="16"/>
      <c r="B2" s="80"/>
      <c r="C2" s="353" t="s">
        <v>43</v>
      </c>
      <c r="D2" s="354"/>
      <c r="E2" s="354"/>
      <c r="F2" s="354"/>
      <c r="G2" s="354"/>
      <c r="H2" s="354"/>
      <c r="I2" s="355"/>
      <c r="J2" s="31" t="s">
        <v>21</v>
      </c>
      <c r="K2" s="46">
        <f>K5+K6</f>
        <v>918000</v>
      </c>
      <c r="L2" s="43">
        <f t="shared" ref="L2:U2" si="0">L5+L6</f>
        <v>918000</v>
      </c>
      <c r="M2" s="43">
        <f t="shared" si="0"/>
        <v>918000</v>
      </c>
      <c r="N2" s="263">
        <f t="shared" si="0"/>
        <v>918000</v>
      </c>
      <c r="O2" s="263">
        <f t="shared" si="0"/>
        <v>918000</v>
      </c>
      <c r="P2" s="263">
        <f t="shared" si="0"/>
        <v>918000</v>
      </c>
      <c r="Q2" s="263">
        <f t="shared" si="0"/>
        <v>918000</v>
      </c>
      <c r="R2" s="263">
        <f t="shared" si="0"/>
        <v>918000</v>
      </c>
      <c r="S2" s="263">
        <f t="shared" si="0"/>
        <v>918000</v>
      </c>
      <c r="T2" s="263">
        <f t="shared" si="0"/>
        <v>918000</v>
      </c>
      <c r="U2" s="263">
        <f t="shared" si="0"/>
        <v>918000</v>
      </c>
      <c r="V2" s="117">
        <f t="shared" ref="V2" si="1">V5+V6</f>
        <v>918000</v>
      </c>
      <c r="W2" s="118">
        <f>SUM(K2:V2)</f>
        <v>11016000</v>
      </c>
    </row>
    <row r="3" spans="1:24" s="1" customFormat="1">
      <c r="A3" s="16"/>
      <c r="B3" s="80"/>
      <c r="C3" s="356"/>
      <c r="D3" s="357"/>
      <c r="E3" s="357"/>
      <c r="F3" s="357"/>
      <c r="G3" s="357"/>
      <c r="H3" s="357"/>
      <c r="I3" s="358"/>
      <c r="J3" s="2" t="s">
        <v>22</v>
      </c>
      <c r="K3" s="47">
        <f>K23</f>
        <v>747037</v>
      </c>
      <c r="L3" s="44">
        <f t="shared" ref="L3:U3" si="2">L23</f>
        <v>758768</v>
      </c>
      <c r="M3" s="44">
        <f t="shared" si="2"/>
        <v>765312</v>
      </c>
      <c r="N3" s="264">
        <f t="shared" si="2"/>
        <v>768881</v>
      </c>
      <c r="O3" s="264">
        <f t="shared" si="2"/>
        <v>752412</v>
      </c>
      <c r="P3" s="264">
        <f t="shared" si="2"/>
        <v>774698</v>
      </c>
      <c r="Q3" s="264">
        <f t="shared" si="2"/>
        <v>792321</v>
      </c>
      <c r="R3" s="264">
        <f t="shared" si="2"/>
        <v>755372</v>
      </c>
      <c r="S3" s="264">
        <f t="shared" si="2"/>
        <v>761713</v>
      </c>
      <c r="T3" s="264">
        <f t="shared" si="2"/>
        <v>755372</v>
      </c>
      <c r="U3" s="264">
        <f t="shared" si="2"/>
        <v>755738</v>
      </c>
      <c r="V3" s="119">
        <f t="shared" ref="V3" si="3">V23</f>
        <v>741758.88888888899</v>
      </c>
      <c r="W3" s="120">
        <f>SUM(K3:V3)</f>
        <v>9129382.8888888881</v>
      </c>
    </row>
    <row r="4" spans="1:24" s="1" customFormat="1">
      <c r="A4" s="16"/>
      <c r="B4" s="80"/>
      <c r="C4" s="359"/>
      <c r="D4" s="360"/>
      <c r="E4" s="360"/>
      <c r="F4" s="360"/>
      <c r="G4" s="360"/>
      <c r="H4" s="360"/>
      <c r="I4" s="361"/>
      <c r="J4" s="32" t="s">
        <v>23</v>
      </c>
      <c r="K4" s="48">
        <f t="shared" ref="K4:U4" si="4">K2-K3</f>
        <v>170963</v>
      </c>
      <c r="L4" s="45">
        <f t="shared" si="4"/>
        <v>159232</v>
      </c>
      <c r="M4" s="45">
        <f t="shared" si="4"/>
        <v>152688</v>
      </c>
      <c r="N4" s="265">
        <f t="shared" si="4"/>
        <v>149119</v>
      </c>
      <c r="O4" s="265">
        <f t="shared" si="4"/>
        <v>165588</v>
      </c>
      <c r="P4" s="265">
        <f t="shared" si="4"/>
        <v>143302</v>
      </c>
      <c r="Q4" s="265">
        <f t="shared" si="4"/>
        <v>125679</v>
      </c>
      <c r="R4" s="265">
        <f t="shared" si="4"/>
        <v>162628</v>
      </c>
      <c r="S4" s="265">
        <f t="shared" si="4"/>
        <v>156287</v>
      </c>
      <c r="T4" s="265">
        <f t="shared" si="4"/>
        <v>162628</v>
      </c>
      <c r="U4" s="265">
        <f t="shared" si="4"/>
        <v>162262</v>
      </c>
      <c r="V4" s="121">
        <f t="shared" ref="V4" si="5">V2-V3</f>
        <v>176241.11111111101</v>
      </c>
      <c r="W4" s="122">
        <f>SUM(K4:V4)</f>
        <v>1886617.111111111</v>
      </c>
    </row>
    <row r="5" spans="1:24" s="1" customFormat="1" ht="27.75" customHeight="1">
      <c r="A5" s="16"/>
      <c r="B5" s="80"/>
      <c r="C5" s="362" t="s">
        <v>38</v>
      </c>
      <c r="D5" s="363"/>
      <c r="E5" s="363"/>
      <c r="F5" s="363"/>
      <c r="G5" s="363"/>
      <c r="H5" s="363"/>
      <c r="I5" s="364"/>
      <c r="J5" s="21"/>
      <c r="K5" s="37">
        <f>409000+509000</f>
        <v>918000</v>
      </c>
      <c r="L5" s="37">
        <f t="shared" ref="L5:V5" si="6">409000+509000</f>
        <v>918000</v>
      </c>
      <c r="M5" s="37">
        <f t="shared" si="6"/>
        <v>918000</v>
      </c>
      <c r="N5" s="266">
        <f t="shared" si="6"/>
        <v>918000</v>
      </c>
      <c r="O5" s="266">
        <f t="shared" si="6"/>
        <v>918000</v>
      </c>
      <c r="P5" s="266">
        <f t="shared" si="6"/>
        <v>918000</v>
      </c>
      <c r="Q5" s="266">
        <f t="shared" si="6"/>
        <v>918000</v>
      </c>
      <c r="R5" s="266">
        <f t="shared" si="6"/>
        <v>918000</v>
      </c>
      <c r="S5" s="266">
        <f t="shared" si="6"/>
        <v>918000</v>
      </c>
      <c r="T5" s="266">
        <f t="shared" si="6"/>
        <v>918000</v>
      </c>
      <c r="U5" s="266">
        <f t="shared" si="6"/>
        <v>918000</v>
      </c>
      <c r="V5" s="57">
        <f t="shared" si="6"/>
        <v>918000</v>
      </c>
      <c r="W5" s="124">
        <f>SUM(K5:V5)</f>
        <v>11016000</v>
      </c>
    </row>
    <row r="6" spans="1:24" s="1" customFormat="1" ht="27.75" customHeight="1">
      <c r="A6" s="16"/>
      <c r="B6" s="80"/>
      <c r="C6" s="362" t="s">
        <v>39</v>
      </c>
      <c r="D6" s="363"/>
      <c r="E6" s="363"/>
      <c r="F6" s="363"/>
      <c r="G6" s="363"/>
      <c r="H6" s="363"/>
      <c r="I6" s="364"/>
      <c r="J6" s="33"/>
      <c r="K6" s="38"/>
      <c r="L6" s="37"/>
      <c r="M6" s="37"/>
      <c r="N6" s="266"/>
      <c r="O6" s="266"/>
      <c r="P6" s="266"/>
      <c r="Q6" s="266"/>
      <c r="R6" s="266"/>
      <c r="S6" s="266"/>
      <c r="T6" s="266"/>
      <c r="U6" s="266"/>
      <c r="V6" s="123"/>
      <c r="W6" s="124">
        <f>SUM(K6:V6)</f>
        <v>0</v>
      </c>
    </row>
    <row r="7" spans="1:24" ht="13.4" customHeight="1">
      <c r="A7" s="18">
        <v>2016017</v>
      </c>
      <c r="C7" s="369">
        <v>1</v>
      </c>
      <c r="D7" s="351"/>
      <c r="E7" s="351"/>
      <c r="F7" s="348"/>
      <c r="G7" s="351" t="s">
        <v>42</v>
      </c>
      <c r="H7" s="351"/>
      <c r="I7" s="365" t="s">
        <v>31</v>
      </c>
      <c r="J7" s="13" t="s">
        <v>24</v>
      </c>
      <c r="K7" s="188">
        <f t="shared" ref="K7:U7" si="7">SUM(K8:K14)</f>
        <v>325765</v>
      </c>
      <c r="L7" s="197">
        <f t="shared" si="7"/>
        <v>328996</v>
      </c>
      <c r="M7" s="197">
        <f t="shared" si="7"/>
        <v>325765</v>
      </c>
      <c r="N7" s="267">
        <f t="shared" si="7"/>
        <v>333224</v>
      </c>
      <c r="O7" s="267">
        <f t="shared" si="7"/>
        <v>328350</v>
      </c>
      <c r="P7" s="267">
        <f t="shared" si="7"/>
        <v>331310</v>
      </c>
      <c r="Q7" s="267">
        <f t="shared" si="7"/>
        <v>339270</v>
      </c>
      <c r="R7" s="267">
        <f t="shared" si="7"/>
        <v>331310</v>
      </c>
      <c r="S7" s="267">
        <f t="shared" si="7"/>
        <v>331310</v>
      </c>
      <c r="T7" s="267">
        <f t="shared" si="7"/>
        <v>331310</v>
      </c>
      <c r="U7" s="267">
        <f t="shared" si="7"/>
        <v>331493</v>
      </c>
      <c r="V7" s="125">
        <f>SUM(V8:V14)</f>
        <v>322195.22222222225</v>
      </c>
      <c r="W7" s="126">
        <f t="shared" ref="W7:W14" si="8">SUM(K7:V7)</f>
        <v>3960298.222222222</v>
      </c>
    </row>
    <row r="8" spans="1:24">
      <c r="A8" s="83">
        <f>A7</f>
        <v>2016017</v>
      </c>
      <c r="B8" s="82"/>
      <c r="C8" s="369"/>
      <c r="D8" s="351"/>
      <c r="E8" s="351"/>
      <c r="F8" s="348"/>
      <c r="G8" s="351"/>
      <c r="H8" s="351"/>
      <c r="I8" s="366"/>
      <c r="J8" s="10" t="s">
        <v>25</v>
      </c>
      <c r="K8" s="133">
        <v>270000</v>
      </c>
      <c r="L8" s="133">
        <v>273231</v>
      </c>
      <c r="M8" s="133">
        <v>270000</v>
      </c>
      <c r="N8" s="268">
        <v>274823</v>
      </c>
      <c r="O8" s="268">
        <v>270000</v>
      </c>
      <c r="P8" s="268">
        <v>270000</v>
      </c>
      <c r="Q8" s="268">
        <v>277877</v>
      </c>
      <c r="R8" s="268">
        <v>270000</v>
      </c>
      <c r="S8" s="268">
        <v>270000</v>
      </c>
      <c r="T8" s="268">
        <v>270000</v>
      </c>
      <c r="U8" s="268">
        <v>270000</v>
      </c>
      <c r="V8" s="58">
        <v>265319.11111111112</v>
      </c>
      <c r="W8" s="114">
        <f t="shared" si="8"/>
        <v>3251250.111111111</v>
      </c>
      <c r="X8" s="136"/>
    </row>
    <row r="9" spans="1:24">
      <c r="A9" s="83">
        <f t="shared" ref="A9:A14" si="9">A8</f>
        <v>2016017</v>
      </c>
      <c r="B9" s="82"/>
      <c r="C9" s="369"/>
      <c r="D9" s="351"/>
      <c r="E9" s="351"/>
      <c r="F9" s="348"/>
      <c r="G9" s="351"/>
      <c r="H9" s="351"/>
      <c r="I9" s="366"/>
      <c r="J9" s="10" t="s">
        <v>30</v>
      </c>
      <c r="K9" s="133">
        <v>11000</v>
      </c>
      <c r="L9" s="133">
        <v>11000</v>
      </c>
      <c r="M9" s="133">
        <v>11000</v>
      </c>
      <c r="N9" s="268">
        <v>11000</v>
      </c>
      <c r="O9" s="268">
        <v>11000</v>
      </c>
      <c r="P9" s="268">
        <v>11000</v>
      </c>
      <c r="Q9" s="268">
        <v>11000</v>
      </c>
      <c r="R9" s="268">
        <v>11000</v>
      </c>
      <c r="S9" s="268">
        <v>11000</v>
      </c>
      <c r="T9" s="268">
        <v>11000</v>
      </c>
      <c r="U9" s="268">
        <v>11000</v>
      </c>
      <c r="V9" s="58">
        <v>12111.111111111111</v>
      </c>
      <c r="W9" s="114">
        <f t="shared" si="8"/>
        <v>133111.11111111112</v>
      </c>
      <c r="X9" s="136"/>
    </row>
    <row r="10" spans="1:24">
      <c r="A10" s="83">
        <f t="shared" si="9"/>
        <v>2016017</v>
      </c>
      <c r="B10" s="82"/>
      <c r="C10" s="369"/>
      <c r="D10" s="351"/>
      <c r="E10" s="351"/>
      <c r="F10" s="348"/>
      <c r="G10" s="351"/>
      <c r="H10" s="351"/>
      <c r="I10" s="366"/>
      <c r="J10" s="10"/>
      <c r="K10" s="133"/>
      <c r="L10" s="133"/>
      <c r="M10" s="133"/>
      <c r="N10" s="268"/>
      <c r="O10" s="268"/>
      <c r="P10" s="268"/>
      <c r="Q10" s="268"/>
      <c r="R10" s="268"/>
      <c r="S10" s="268"/>
      <c r="T10" s="268"/>
      <c r="U10" s="268"/>
      <c r="V10" s="58"/>
      <c r="W10" s="114">
        <f t="shared" si="8"/>
        <v>0</v>
      </c>
      <c r="X10" s="136"/>
    </row>
    <row r="11" spans="1:24">
      <c r="A11" s="83">
        <f t="shared" si="9"/>
        <v>2016017</v>
      </c>
      <c r="B11" s="82"/>
      <c r="C11" s="369"/>
      <c r="D11" s="351"/>
      <c r="E11" s="351"/>
      <c r="F11" s="348"/>
      <c r="G11" s="351"/>
      <c r="H11" s="351"/>
      <c r="I11" s="366"/>
      <c r="J11" s="10" t="s">
        <v>26</v>
      </c>
      <c r="K11" s="133">
        <v>14700</v>
      </c>
      <c r="L11" s="133">
        <v>14700</v>
      </c>
      <c r="M11" s="133">
        <v>14700</v>
      </c>
      <c r="N11" s="268">
        <v>16950</v>
      </c>
      <c r="O11" s="268">
        <v>16950</v>
      </c>
      <c r="P11" s="268">
        <v>18080</v>
      </c>
      <c r="Q11" s="268">
        <v>18080</v>
      </c>
      <c r="R11" s="268">
        <v>18080</v>
      </c>
      <c r="S11" s="268">
        <v>18080</v>
      </c>
      <c r="T11" s="268">
        <v>18080</v>
      </c>
      <c r="U11" s="268">
        <v>18080</v>
      </c>
      <c r="V11" s="58">
        <v>14700</v>
      </c>
      <c r="W11" s="114">
        <f t="shared" si="8"/>
        <v>201180</v>
      </c>
      <c r="X11" s="136"/>
    </row>
    <row r="12" spans="1:24">
      <c r="A12" s="83">
        <f t="shared" si="9"/>
        <v>2016017</v>
      </c>
      <c r="B12" s="82"/>
      <c r="C12" s="369"/>
      <c r="D12" s="351"/>
      <c r="E12" s="351"/>
      <c r="F12" s="348"/>
      <c r="G12" s="351"/>
      <c r="H12" s="351"/>
      <c r="I12" s="366"/>
      <c r="J12" s="10" t="s">
        <v>27</v>
      </c>
      <c r="K12" s="133">
        <v>25620</v>
      </c>
      <c r="L12" s="133">
        <v>25620</v>
      </c>
      <c r="M12" s="133">
        <v>25620</v>
      </c>
      <c r="N12" s="268">
        <v>27450</v>
      </c>
      <c r="O12" s="268">
        <v>27450</v>
      </c>
      <c r="P12" s="268">
        <v>29280</v>
      </c>
      <c r="Q12" s="268">
        <v>29280</v>
      </c>
      <c r="R12" s="268">
        <v>29280</v>
      </c>
      <c r="S12" s="268">
        <v>29280</v>
      </c>
      <c r="T12" s="268">
        <v>29280</v>
      </c>
      <c r="U12" s="268">
        <v>29280</v>
      </c>
      <c r="V12" s="58">
        <v>25620</v>
      </c>
      <c r="W12" s="114">
        <f t="shared" si="8"/>
        <v>333060</v>
      </c>
      <c r="X12" s="136"/>
    </row>
    <row r="13" spans="1:24">
      <c r="A13" s="83">
        <f t="shared" si="9"/>
        <v>2016017</v>
      </c>
      <c r="B13" s="82"/>
      <c r="C13" s="369"/>
      <c r="D13" s="351"/>
      <c r="E13" s="351"/>
      <c r="F13" s="348"/>
      <c r="G13" s="351"/>
      <c r="H13" s="351"/>
      <c r="I13" s="366"/>
      <c r="J13" s="10" t="s">
        <v>28</v>
      </c>
      <c r="K13" s="133">
        <v>1790</v>
      </c>
      <c r="L13" s="133">
        <v>1790</v>
      </c>
      <c r="M13" s="133">
        <v>1790</v>
      </c>
      <c r="N13" s="268">
        <v>1429</v>
      </c>
      <c r="O13" s="268">
        <v>1405</v>
      </c>
      <c r="P13" s="268">
        <v>1405</v>
      </c>
      <c r="Q13" s="268">
        <v>1444</v>
      </c>
      <c r="R13" s="268">
        <v>1405</v>
      </c>
      <c r="S13" s="268">
        <v>1405</v>
      </c>
      <c r="T13" s="268">
        <v>1405</v>
      </c>
      <c r="U13" s="268">
        <v>1492</v>
      </c>
      <c r="V13" s="58">
        <v>1790</v>
      </c>
      <c r="W13" s="114">
        <f t="shared" si="8"/>
        <v>18550</v>
      </c>
      <c r="X13" s="136"/>
    </row>
    <row r="14" spans="1:24">
      <c r="A14" s="83">
        <f t="shared" si="9"/>
        <v>2016017</v>
      </c>
      <c r="B14" s="82"/>
      <c r="C14" s="369"/>
      <c r="D14" s="351"/>
      <c r="E14" s="351"/>
      <c r="F14" s="348"/>
      <c r="G14" s="352"/>
      <c r="H14" s="351"/>
      <c r="I14" s="367"/>
      <c r="J14" s="11" t="s">
        <v>29</v>
      </c>
      <c r="K14" s="133">
        <v>2655</v>
      </c>
      <c r="L14" s="133">
        <v>2655</v>
      </c>
      <c r="M14" s="133">
        <v>2655</v>
      </c>
      <c r="N14" s="268">
        <v>1572</v>
      </c>
      <c r="O14" s="268">
        <v>1545</v>
      </c>
      <c r="P14" s="268">
        <v>1545</v>
      </c>
      <c r="Q14" s="268">
        <v>1589</v>
      </c>
      <c r="R14" s="268">
        <v>1545</v>
      </c>
      <c r="S14" s="268">
        <v>1545</v>
      </c>
      <c r="T14" s="268">
        <v>1545</v>
      </c>
      <c r="U14" s="268">
        <v>1641</v>
      </c>
      <c r="V14" s="58">
        <v>2655</v>
      </c>
      <c r="W14" s="127">
        <f t="shared" si="8"/>
        <v>23147</v>
      </c>
      <c r="X14" s="136"/>
    </row>
    <row r="15" spans="1:24" ht="13.4" customHeight="1">
      <c r="A15" s="18">
        <v>2017016</v>
      </c>
      <c r="C15" s="368">
        <f>C7+1</f>
        <v>2</v>
      </c>
      <c r="D15" s="350"/>
      <c r="E15" s="350"/>
      <c r="F15" s="347"/>
      <c r="G15" s="350" t="s">
        <v>42</v>
      </c>
      <c r="H15" s="350"/>
      <c r="I15" s="365" t="s">
        <v>31</v>
      </c>
      <c r="J15" s="9" t="s">
        <v>24</v>
      </c>
      <c r="K15" s="189">
        <f t="shared" ref="K15:U15" si="10">SUM(K16:K22)</f>
        <v>421272</v>
      </c>
      <c r="L15" s="134">
        <f t="shared" si="10"/>
        <v>429772</v>
      </c>
      <c r="M15" s="134">
        <f t="shared" si="10"/>
        <v>439547</v>
      </c>
      <c r="N15" s="269">
        <f t="shared" si="10"/>
        <v>435657</v>
      </c>
      <c r="O15" s="269">
        <f t="shared" si="10"/>
        <v>424062</v>
      </c>
      <c r="P15" s="269">
        <f t="shared" si="10"/>
        <v>443388</v>
      </c>
      <c r="Q15" s="269">
        <f t="shared" si="10"/>
        <v>453051</v>
      </c>
      <c r="R15" s="269">
        <f t="shared" si="10"/>
        <v>424062</v>
      </c>
      <c r="S15" s="269">
        <f t="shared" si="10"/>
        <v>430403</v>
      </c>
      <c r="T15" s="269">
        <f t="shared" si="10"/>
        <v>424062</v>
      </c>
      <c r="U15" s="269">
        <f t="shared" si="10"/>
        <v>424245</v>
      </c>
      <c r="V15" s="128">
        <f>SUM(V16:V22)</f>
        <v>419563.66666666669</v>
      </c>
      <c r="W15" s="113">
        <f t="shared" ref="W15:W22" si="11">SUM(K15:V15)</f>
        <v>5169084.666666667</v>
      </c>
    </row>
    <row r="16" spans="1:24">
      <c r="A16" s="83">
        <f>A15</f>
        <v>2017016</v>
      </c>
      <c r="B16" s="82"/>
      <c r="C16" s="369"/>
      <c r="D16" s="351"/>
      <c r="E16" s="351"/>
      <c r="F16" s="348"/>
      <c r="G16" s="351"/>
      <c r="H16" s="351"/>
      <c r="I16" s="366"/>
      <c r="J16" s="10" t="s">
        <v>25</v>
      </c>
      <c r="K16" s="133">
        <v>357000</v>
      </c>
      <c r="L16" s="133">
        <v>365500</v>
      </c>
      <c r="M16" s="133">
        <v>375275</v>
      </c>
      <c r="N16" s="268">
        <v>368475</v>
      </c>
      <c r="O16" s="268">
        <v>357000</v>
      </c>
      <c r="P16" s="268">
        <v>376125</v>
      </c>
      <c r="Q16" s="268">
        <v>385688</v>
      </c>
      <c r="R16" s="268">
        <v>357000</v>
      </c>
      <c r="S16" s="268">
        <v>363275</v>
      </c>
      <c r="T16" s="268">
        <v>357000</v>
      </c>
      <c r="U16" s="268">
        <v>357000</v>
      </c>
      <c r="V16" s="58">
        <v>354625</v>
      </c>
      <c r="W16" s="114">
        <f t="shared" si="11"/>
        <v>4373963</v>
      </c>
      <c r="X16" s="136"/>
    </row>
    <row r="17" spans="1:24">
      <c r="A17" s="83">
        <f t="shared" ref="A17:A22" si="12">A16</f>
        <v>2017016</v>
      </c>
      <c r="B17" s="82">
        <f t="shared" ref="B17:B22" si="13">B16</f>
        <v>0</v>
      </c>
      <c r="C17" s="369"/>
      <c r="D17" s="351"/>
      <c r="E17" s="351"/>
      <c r="F17" s="348"/>
      <c r="G17" s="351"/>
      <c r="H17" s="351"/>
      <c r="I17" s="366"/>
      <c r="J17" s="10" t="s">
        <v>30</v>
      </c>
      <c r="K17" s="133">
        <v>7000</v>
      </c>
      <c r="L17" s="133">
        <v>7000</v>
      </c>
      <c r="M17" s="133">
        <v>7000</v>
      </c>
      <c r="N17" s="268">
        <v>7000</v>
      </c>
      <c r="O17" s="268">
        <v>7000</v>
      </c>
      <c r="P17" s="268">
        <v>7000</v>
      </c>
      <c r="Q17" s="268">
        <v>7000</v>
      </c>
      <c r="R17" s="268">
        <v>7000</v>
      </c>
      <c r="S17" s="268">
        <v>7000</v>
      </c>
      <c r="T17" s="268">
        <v>7000</v>
      </c>
      <c r="U17" s="268">
        <v>7000</v>
      </c>
      <c r="V17" s="58">
        <v>7666.666666666667</v>
      </c>
      <c r="W17" s="114">
        <f t="shared" si="11"/>
        <v>84666.666666666672</v>
      </c>
      <c r="X17" s="136"/>
    </row>
    <row r="18" spans="1:24">
      <c r="A18" s="83">
        <f t="shared" si="12"/>
        <v>2017016</v>
      </c>
      <c r="B18" s="82">
        <f t="shared" si="13"/>
        <v>0</v>
      </c>
      <c r="C18" s="369"/>
      <c r="D18" s="351"/>
      <c r="E18" s="351"/>
      <c r="F18" s="348"/>
      <c r="G18" s="351"/>
      <c r="H18" s="351"/>
      <c r="I18" s="366"/>
      <c r="J18" s="10"/>
      <c r="K18" s="133"/>
      <c r="L18" s="133"/>
      <c r="M18" s="133"/>
      <c r="N18" s="268"/>
      <c r="O18" s="268"/>
      <c r="P18" s="268"/>
      <c r="Q18" s="268"/>
      <c r="R18" s="268"/>
      <c r="S18" s="268"/>
      <c r="T18" s="268"/>
      <c r="U18" s="268"/>
      <c r="V18" s="58"/>
      <c r="W18" s="114">
        <f t="shared" si="11"/>
        <v>0</v>
      </c>
      <c r="X18" s="136"/>
    </row>
    <row r="19" spans="1:24">
      <c r="A19" s="83">
        <f t="shared" si="12"/>
        <v>2017016</v>
      </c>
      <c r="B19" s="82">
        <f t="shared" si="13"/>
        <v>0</v>
      </c>
      <c r="C19" s="369"/>
      <c r="D19" s="351"/>
      <c r="E19" s="351"/>
      <c r="F19" s="348"/>
      <c r="G19" s="351"/>
      <c r="H19" s="351"/>
      <c r="I19" s="366"/>
      <c r="J19" s="10" t="s">
        <v>26</v>
      </c>
      <c r="K19" s="133">
        <v>18900</v>
      </c>
      <c r="L19" s="133">
        <v>18900</v>
      </c>
      <c r="M19" s="133">
        <v>18900</v>
      </c>
      <c r="N19" s="268">
        <v>21470</v>
      </c>
      <c r="O19" s="268">
        <v>21470</v>
      </c>
      <c r="P19" s="268">
        <v>21470</v>
      </c>
      <c r="Q19" s="268">
        <v>21470</v>
      </c>
      <c r="R19" s="268">
        <v>21470</v>
      </c>
      <c r="S19" s="268">
        <v>21470</v>
      </c>
      <c r="T19" s="268">
        <v>21470</v>
      </c>
      <c r="U19" s="268">
        <v>21470</v>
      </c>
      <c r="V19" s="58">
        <v>18900</v>
      </c>
      <c r="W19" s="114">
        <f t="shared" si="11"/>
        <v>247360</v>
      </c>
      <c r="X19" s="136"/>
    </row>
    <row r="20" spans="1:24">
      <c r="A20" s="83">
        <f t="shared" si="12"/>
        <v>2017016</v>
      </c>
      <c r="B20" s="82">
        <f t="shared" si="13"/>
        <v>0</v>
      </c>
      <c r="C20" s="369"/>
      <c r="D20" s="351"/>
      <c r="E20" s="351"/>
      <c r="F20" s="348"/>
      <c r="G20" s="351"/>
      <c r="H20" s="351"/>
      <c r="I20" s="366"/>
      <c r="J20" s="10" t="s">
        <v>27</v>
      </c>
      <c r="K20" s="133">
        <v>32940</v>
      </c>
      <c r="L20" s="133">
        <v>32940</v>
      </c>
      <c r="M20" s="133">
        <v>32940</v>
      </c>
      <c r="N20" s="268">
        <v>34770</v>
      </c>
      <c r="O20" s="268">
        <v>34770</v>
      </c>
      <c r="P20" s="268">
        <v>34770</v>
      </c>
      <c r="Q20" s="268">
        <v>34770</v>
      </c>
      <c r="R20" s="268">
        <v>34770</v>
      </c>
      <c r="S20" s="268">
        <v>34770</v>
      </c>
      <c r="T20" s="268">
        <v>34770</v>
      </c>
      <c r="U20" s="268">
        <v>34770</v>
      </c>
      <c r="V20" s="58">
        <v>32940</v>
      </c>
      <c r="W20" s="114">
        <f t="shared" si="11"/>
        <v>409920</v>
      </c>
      <c r="X20" s="136"/>
    </row>
    <row r="21" spans="1:24">
      <c r="A21" s="83">
        <f t="shared" si="12"/>
        <v>2017016</v>
      </c>
      <c r="B21" s="82">
        <f t="shared" si="13"/>
        <v>0</v>
      </c>
      <c r="C21" s="369"/>
      <c r="D21" s="351"/>
      <c r="E21" s="351"/>
      <c r="F21" s="348"/>
      <c r="G21" s="351"/>
      <c r="H21" s="351"/>
      <c r="I21" s="366"/>
      <c r="J21" s="10" t="s">
        <v>28</v>
      </c>
      <c r="K21" s="133">
        <v>2185</v>
      </c>
      <c r="L21" s="133">
        <v>2185</v>
      </c>
      <c r="M21" s="133">
        <v>2185</v>
      </c>
      <c r="N21" s="268">
        <v>1877</v>
      </c>
      <c r="O21" s="268">
        <v>1820</v>
      </c>
      <c r="P21" s="268">
        <v>1916</v>
      </c>
      <c r="Q21" s="268">
        <v>1963</v>
      </c>
      <c r="R21" s="268">
        <v>1820</v>
      </c>
      <c r="S21" s="268">
        <v>1851</v>
      </c>
      <c r="T21" s="268">
        <v>1820</v>
      </c>
      <c r="U21" s="268">
        <v>1907</v>
      </c>
      <c r="V21" s="58">
        <v>2185</v>
      </c>
      <c r="W21" s="114">
        <f t="shared" si="11"/>
        <v>23714</v>
      </c>
      <c r="X21" s="136"/>
    </row>
    <row r="22" spans="1:24" ht="12.5" thickBot="1">
      <c r="A22" s="83">
        <f t="shared" si="12"/>
        <v>2017016</v>
      </c>
      <c r="B22" s="82">
        <f t="shared" si="13"/>
        <v>0</v>
      </c>
      <c r="C22" s="369"/>
      <c r="D22" s="351"/>
      <c r="E22" s="351"/>
      <c r="F22" s="348"/>
      <c r="G22" s="352"/>
      <c r="H22" s="351"/>
      <c r="I22" s="367"/>
      <c r="J22" s="11" t="s">
        <v>29</v>
      </c>
      <c r="K22" s="133">
        <v>3247</v>
      </c>
      <c r="L22" s="133">
        <v>3247</v>
      </c>
      <c r="M22" s="133">
        <v>3247</v>
      </c>
      <c r="N22" s="268">
        <v>2065</v>
      </c>
      <c r="O22" s="268">
        <v>2002</v>
      </c>
      <c r="P22" s="268">
        <v>2107</v>
      </c>
      <c r="Q22" s="268">
        <v>2160</v>
      </c>
      <c r="R22" s="268">
        <v>2002</v>
      </c>
      <c r="S22" s="268">
        <v>2037</v>
      </c>
      <c r="T22" s="268">
        <v>2002</v>
      </c>
      <c r="U22" s="268">
        <v>2098</v>
      </c>
      <c r="V22" s="58">
        <v>3247</v>
      </c>
      <c r="W22" s="127">
        <f t="shared" si="11"/>
        <v>29461</v>
      </c>
      <c r="X22" s="136"/>
    </row>
    <row r="23" spans="1:24" s="1" customFormat="1" ht="33.75" customHeight="1" thickTop="1">
      <c r="A23" s="16"/>
      <c r="B23" s="80"/>
      <c r="C23" s="378" t="s">
        <v>43</v>
      </c>
      <c r="D23" s="379"/>
      <c r="E23" s="379"/>
      <c r="F23" s="379"/>
      <c r="G23" s="379"/>
      <c r="H23" s="379"/>
      <c r="I23" s="380"/>
      <c r="J23" s="50" t="s">
        <v>40</v>
      </c>
      <c r="K23" s="191">
        <f>K7+K15</f>
        <v>747037</v>
      </c>
      <c r="L23" s="231">
        <f t="shared" ref="L23:V23" si="14">L7+L15</f>
        <v>758768</v>
      </c>
      <c r="M23" s="231">
        <f t="shared" si="14"/>
        <v>765312</v>
      </c>
      <c r="N23" s="270">
        <f t="shared" si="14"/>
        <v>768881</v>
      </c>
      <c r="O23" s="270">
        <f t="shared" si="14"/>
        <v>752412</v>
      </c>
      <c r="P23" s="270">
        <f>P7+P15</f>
        <v>774698</v>
      </c>
      <c r="Q23" s="270">
        <f t="shared" si="14"/>
        <v>792321</v>
      </c>
      <c r="R23" s="270">
        <f t="shared" si="14"/>
        <v>755372</v>
      </c>
      <c r="S23" s="270">
        <f t="shared" si="14"/>
        <v>761713</v>
      </c>
      <c r="T23" s="270">
        <f t="shared" si="14"/>
        <v>755372</v>
      </c>
      <c r="U23" s="270">
        <f t="shared" si="14"/>
        <v>755738</v>
      </c>
      <c r="V23" s="232">
        <f t="shared" si="14"/>
        <v>741758.88888888899</v>
      </c>
      <c r="W23" s="129">
        <f>SUM(K23:V23)</f>
        <v>9129382.8888888881</v>
      </c>
    </row>
    <row r="24" spans="1:24">
      <c r="O24" s="3"/>
      <c r="P24" s="3"/>
      <c r="Q24" s="35"/>
      <c r="R24" s="35"/>
      <c r="S24" s="35"/>
      <c r="T24" s="35"/>
      <c r="U24" s="3"/>
      <c r="V24" s="3"/>
      <c r="W24" s="3"/>
    </row>
    <row r="25" spans="1:24">
      <c r="O25" s="3"/>
      <c r="P25" s="3"/>
      <c r="Q25" s="35"/>
      <c r="R25" s="35"/>
      <c r="S25" s="35"/>
      <c r="T25" s="35"/>
      <c r="U25" s="3"/>
      <c r="V25" s="3"/>
      <c r="W25" s="3"/>
    </row>
    <row r="26" spans="1:24">
      <c r="O26" s="3"/>
      <c r="P26" s="3"/>
      <c r="Q26" s="35"/>
      <c r="R26" s="35"/>
      <c r="S26" s="35"/>
      <c r="T26" s="35"/>
      <c r="U26" s="3"/>
      <c r="V26" s="3"/>
      <c r="W26" s="3"/>
    </row>
    <row r="27" spans="1:24">
      <c r="O27" s="3"/>
      <c r="P27" s="3"/>
      <c r="Q27" s="35"/>
      <c r="R27" s="35"/>
      <c r="S27" s="35"/>
      <c r="T27" s="35"/>
      <c r="U27" s="3"/>
      <c r="V27" s="3"/>
      <c r="W27" s="3"/>
    </row>
    <row r="28" spans="1:24">
      <c r="O28" s="3"/>
      <c r="P28" s="3"/>
      <c r="Q28" s="35"/>
      <c r="R28" s="35"/>
      <c r="S28" s="35"/>
      <c r="T28" s="35"/>
      <c r="U28" s="3"/>
      <c r="V28" s="3"/>
      <c r="W28" s="3"/>
    </row>
    <row r="29" spans="1:24">
      <c r="O29" s="3"/>
      <c r="P29" s="3"/>
      <c r="Q29" s="35"/>
      <c r="R29" s="35"/>
      <c r="S29" s="35"/>
      <c r="T29" s="35"/>
      <c r="U29" s="3"/>
      <c r="V29" s="3"/>
      <c r="W29" s="3"/>
    </row>
    <row r="30" spans="1:24">
      <c r="O30" s="3"/>
      <c r="P30" s="3"/>
      <c r="Q30" s="35"/>
      <c r="R30" s="35"/>
      <c r="S30" s="35"/>
      <c r="T30" s="35"/>
      <c r="U30" s="3"/>
      <c r="V30" s="3"/>
      <c r="W30" s="3"/>
    </row>
    <row r="31" spans="1:24">
      <c r="O31" s="3"/>
      <c r="P31" s="3"/>
      <c r="Q31" s="35"/>
      <c r="R31" s="35"/>
      <c r="S31" s="35"/>
      <c r="T31" s="35"/>
      <c r="U31" s="3"/>
      <c r="V31" s="3"/>
      <c r="W31" s="3"/>
    </row>
    <row r="32" spans="1:24">
      <c r="O32" s="3"/>
      <c r="P32" s="3"/>
      <c r="Q32" s="35"/>
      <c r="R32" s="35"/>
      <c r="S32" s="35"/>
      <c r="T32" s="35"/>
      <c r="U32" s="3"/>
      <c r="V32" s="3"/>
      <c r="W32" s="3"/>
    </row>
    <row r="33" spans="15:23">
      <c r="O33" s="3"/>
      <c r="P33" s="3"/>
      <c r="Q33" s="35"/>
      <c r="R33" s="35"/>
      <c r="S33" s="35"/>
      <c r="T33" s="35"/>
      <c r="U33" s="3"/>
      <c r="V33" s="3"/>
      <c r="W33" s="3"/>
    </row>
    <row r="34" spans="15:23">
      <c r="O34" s="3"/>
      <c r="P34" s="3"/>
      <c r="Q34" s="35"/>
      <c r="R34" s="35"/>
      <c r="S34" s="35"/>
      <c r="T34" s="35"/>
      <c r="U34" s="3"/>
      <c r="V34" s="3"/>
      <c r="W34" s="3"/>
    </row>
    <row r="35" spans="15:23">
      <c r="O35" s="3"/>
      <c r="P35" s="3"/>
      <c r="Q35" s="35"/>
      <c r="R35" s="35"/>
      <c r="S35" s="35"/>
      <c r="T35" s="35"/>
      <c r="U35" s="3"/>
      <c r="V35" s="3"/>
      <c r="W35" s="3"/>
    </row>
    <row r="36" spans="15:23">
      <c r="O36" s="3"/>
      <c r="P36" s="3"/>
      <c r="Q36" s="35"/>
      <c r="R36" s="35"/>
      <c r="S36" s="35"/>
      <c r="T36" s="35"/>
      <c r="U36" s="3"/>
      <c r="V36" s="3"/>
      <c r="W36" s="3"/>
    </row>
    <row r="37" spans="15:23">
      <c r="O37" s="3"/>
      <c r="P37" s="3"/>
      <c r="Q37" s="35"/>
      <c r="R37" s="35"/>
      <c r="S37" s="35"/>
      <c r="T37" s="35"/>
      <c r="U37" s="3"/>
      <c r="V37" s="3"/>
      <c r="W37" s="3"/>
    </row>
    <row r="38" spans="15:23">
      <c r="O38" s="3"/>
      <c r="P38" s="3"/>
      <c r="Q38" s="35"/>
      <c r="R38" s="35"/>
      <c r="S38" s="35"/>
      <c r="T38" s="35"/>
      <c r="U38" s="3"/>
      <c r="V38" s="3"/>
      <c r="W38" s="3"/>
    </row>
    <row r="39" spans="15:23">
      <c r="O39" s="3"/>
      <c r="P39" s="3"/>
      <c r="Q39" s="35"/>
      <c r="R39" s="35"/>
      <c r="S39" s="35"/>
      <c r="T39" s="35"/>
      <c r="U39" s="3"/>
      <c r="V39" s="3"/>
      <c r="W39" s="3"/>
    </row>
    <row r="40" spans="15:23">
      <c r="O40" s="3"/>
      <c r="P40" s="3"/>
      <c r="Q40" s="35"/>
      <c r="R40" s="35"/>
      <c r="S40" s="35"/>
      <c r="T40" s="35"/>
      <c r="U40" s="3"/>
      <c r="V40" s="3"/>
      <c r="W40" s="3"/>
    </row>
    <row r="41" spans="15:23">
      <c r="O41" s="3"/>
      <c r="P41" s="3"/>
      <c r="Q41" s="35"/>
      <c r="R41" s="35"/>
      <c r="S41" s="35"/>
      <c r="T41" s="35"/>
      <c r="U41" s="3"/>
      <c r="V41" s="3"/>
      <c r="W41" s="3"/>
    </row>
    <row r="42" spans="15:23">
      <c r="O42" s="3"/>
      <c r="P42" s="3"/>
      <c r="Q42" s="35"/>
      <c r="R42" s="35"/>
      <c r="S42" s="35"/>
      <c r="T42" s="35"/>
      <c r="U42" s="3"/>
      <c r="V42" s="3"/>
      <c r="W42" s="3"/>
    </row>
    <row r="43" spans="15:23">
      <c r="O43" s="3"/>
      <c r="P43" s="3"/>
      <c r="Q43" s="35"/>
      <c r="R43" s="35"/>
      <c r="S43" s="35"/>
      <c r="T43" s="35"/>
      <c r="U43" s="3"/>
      <c r="V43" s="3"/>
      <c r="W43" s="3"/>
    </row>
    <row r="44" spans="15:23">
      <c r="O44" s="3"/>
      <c r="P44" s="3"/>
      <c r="Q44" s="35"/>
      <c r="R44" s="35"/>
      <c r="S44" s="35"/>
      <c r="T44" s="35"/>
      <c r="U44" s="3"/>
      <c r="V44" s="3"/>
      <c r="W44" s="3"/>
    </row>
    <row r="45" spans="15:23">
      <c r="O45" s="3"/>
      <c r="P45" s="3"/>
      <c r="Q45" s="35"/>
      <c r="R45" s="35"/>
      <c r="S45" s="35"/>
      <c r="T45" s="35"/>
      <c r="U45" s="3"/>
      <c r="V45" s="3"/>
      <c r="W45" s="3"/>
    </row>
    <row r="46" spans="15:23">
      <c r="O46" s="3"/>
      <c r="P46" s="3"/>
      <c r="Q46" s="35"/>
      <c r="R46" s="35"/>
      <c r="S46" s="35"/>
      <c r="T46" s="35"/>
      <c r="U46" s="3"/>
      <c r="V46" s="3"/>
      <c r="W46" s="3"/>
    </row>
    <row r="47" spans="15:23">
      <c r="O47" s="3"/>
      <c r="P47" s="3"/>
      <c r="Q47" s="35"/>
      <c r="R47" s="35"/>
      <c r="S47" s="35"/>
      <c r="T47" s="35"/>
      <c r="U47" s="3"/>
      <c r="V47" s="3"/>
      <c r="W47" s="3"/>
    </row>
    <row r="48" spans="15:23">
      <c r="O48" s="3"/>
      <c r="P48" s="3"/>
      <c r="Q48" s="35"/>
      <c r="R48" s="35"/>
      <c r="S48" s="35"/>
      <c r="T48" s="35"/>
      <c r="U48" s="3"/>
      <c r="V48" s="3"/>
      <c r="W48" s="3"/>
    </row>
    <row r="49" spans="15:23">
      <c r="O49" s="3"/>
      <c r="P49" s="3"/>
      <c r="Q49" s="35"/>
      <c r="R49" s="35"/>
      <c r="S49" s="35"/>
      <c r="T49" s="35"/>
      <c r="U49" s="3"/>
      <c r="V49" s="3"/>
      <c r="W49" s="3"/>
    </row>
    <row r="50" spans="15:23">
      <c r="O50" s="3"/>
      <c r="P50" s="3"/>
      <c r="Q50" s="35"/>
      <c r="R50" s="35"/>
      <c r="S50" s="35"/>
      <c r="T50" s="35"/>
      <c r="U50" s="3"/>
      <c r="V50" s="3"/>
      <c r="W50" s="3"/>
    </row>
    <row r="51" spans="15:23">
      <c r="O51" s="3"/>
      <c r="P51" s="3"/>
      <c r="Q51" s="35"/>
      <c r="R51" s="35"/>
      <c r="S51" s="35"/>
      <c r="T51" s="35"/>
      <c r="U51" s="3"/>
      <c r="V51" s="3"/>
      <c r="W51" s="3"/>
    </row>
    <row r="52" spans="15:23">
      <c r="O52" s="3"/>
      <c r="P52" s="3"/>
      <c r="Q52" s="35"/>
      <c r="R52" s="35"/>
      <c r="S52" s="35"/>
      <c r="T52" s="35"/>
      <c r="U52" s="3"/>
      <c r="V52" s="3"/>
      <c r="W52" s="3"/>
    </row>
    <row r="53" spans="15:23">
      <c r="O53" s="3"/>
      <c r="P53" s="3"/>
      <c r="Q53" s="35"/>
      <c r="R53" s="35"/>
      <c r="S53" s="35"/>
      <c r="T53" s="35"/>
      <c r="U53" s="3"/>
      <c r="V53" s="3"/>
      <c r="W53" s="3"/>
    </row>
    <row r="54" spans="15:23">
      <c r="O54" s="3"/>
      <c r="P54" s="3"/>
      <c r="Q54" s="35"/>
      <c r="R54" s="35"/>
      <c r="S54" s="35"/>
      <c r="T54" s="35"/>
      <c r="U54" s="3"/>
      <c r="V54" s="3"/>
      <c r="W54" s="3"/>
    </row>
    <row r="55" spans="15:23">
      <c r="O55" s="3"/>
      <c r="P55" s="3"/>
      <c r="Q55" s="35"/>
      <c r="R55" s="35"/>
      <c r="S55" s="35"/>
      <c r="T55" s="35"/>
      <c r="U55" s="3"/>
      <c r="V55" s="3"/>
      <c r="W55" s="3"/>
    </row>
    <row r="56" spans="15:23">
      <c r="O56" s="3"/>
      <c r="P56" s="3"/>
      <c r="Q56" s="35"/>
      <c r="R56" s="35"/>
      <c r="S56" s="35"/>
      <c r="T56" s="35"/>
      <c r="U56" s="3"/>
      <c r="V56" s="3"/>
      <c r="W56" s="3"/>
    </row>
    <row r="57" spans="15:23">
      <c r="O57" s="3"/>
      <c r="P57" s="3"/>
      <c r="Q57" s="35"/>
      <c r="R57" s="35"/>
      <c r="S57" s="35"/>
      <c r="T57" s="35"/>
      <c r="U57" s="3"/>
      <c r="V57" s="3"/>
      <c r="W57" s="3"/>
    </row>
    <row r="58" spans="15:23">
      <c r="O58" s="3"/>
      <c r="P58" s="3"/>
      <c r="Q58" s="35"/>
      <c r="R58" s="35"/>
      <c r="S58" s="35"/>
      <c r="T58" s="35"/>
      <c r="U58" s="3"/>
      <c r="V58" s="3"/>
      <c r="W58" s="3"/>
    </row>
    <row r="59" spans="15:23">
      <c r="O59" s="3"/>
      <c r="P59" s="3"/>
      <c r="Q59" s="35"/>
      <c r="R59" s="35"/>
      <c r="S59" s="35"/>
      <c r="T59" s="35"/>
      <c r="U59" s="3"/>
      <c r="V59" s="3"/>
      <c r="W59" s="3"/>
    </row>
    <row r="60" spans="15:23">
      <c r="O60" s="3"/>
      <c r="P60" s="3"/>
      <c r="Q60" s="35"/>
      <c r="R60" s="35"/>
      <c r="S60" s="35"/>
      <c r="T60" s="35"/>
      <c r="U60" s="3"/>
      <c r="V60" s="3"/>
      <c r="W60" s="3"/>
    </row>
    <row r="61" spans="15:23">
      <c r="O61" s="3"/>
      <c r="P61" s="3"/>
      <c r="Q61" s="35"/>
      <c r="R61" s="35"/>
      <c r="S61" s="35"/>
      <c r="T61" s="35"/>
      <c r="U61" s="3"/>
      <c r="V61" s="3"/>
      <c r="W61" s="3"/>
    </row>
    <row r="62" spans="15:23">
      <c r="O62" s="3"/>
      <c r="P62" s="3"/>
      <c r="Q62" s="35"/>
      <c r="R62" s="35"/>
      <c r="S62" s="35"/>
      <c r="T62" s="35"/>
      <c r="U62" s="3"/>
      <c r="V62" s="3"/>
      <c r="W62" s="3"/>
    </row>
    <row r="63" spans="15:23">
      <c r="O63" s="3"/>
      <c r="P63" s="3"/>
      <c r="Q63" s="35"/>
      <c r="R63" s="35"/>
      <c r="S63" s="35"/>
      <c r="T63" s="35"/>
      <c r="U63" s="3"/>
      <c r="V63" s="3"/>
      <c r="W63" s="3"/>
    </row>
    <row r="64" spans="15:23">
      <c r="O64" s="3"/>
      <c r="P64" s="3"/>
      <c r="Q64" s="35"/>
      <c r="R64" s="35"/>
      <c r="S64" s="35"/>
      <c r="T64" s="35"/>
      <c r="U64" s="3"/>
      <c r="V64" s="3"/>
      <c r="W64" s="3"/>
    </row>
    <row r="65" spans="15:23">
      <c r="O65" s="3"/>
      <c r="P65" s="3"/>
      <c r="Q65" s="35"/>
      <c r="R65" s="35"/>
      <c r="S65" s="35"/>
      <c r="T65" s="35"/>
      <c r="U65" s="3"/>
      <c r="V65" s="3"/>
      <c r="W65" s="3"/>
    </row>
    <row r="66" spans="15:23">
      <c r="O66" s="3"/>
      <c r="P66" s="3"/>
      <c r="Q66" s="35"/>
      <c r="R66" s="35"/>
      <c r="S66" s="35"/>
      <c r="T66" s="35"/>
      <c r="U66" s="3"/>
      <c r="V66" s="3"/>
      <c r="W66" s="3"/>
    </row>
    <row r="67" spans="15:23">
      <c r="O67" s="3"/>
      <c r="P67" s="3"/>
      <c r="Q67" s="35"/>
      <c r="R67" s="35"/>
      <c r="S67" s="35"/>
      <c r="T67" s="35"/>
      <c r="U67" s="3"/>
      <c r="V67" s="3"/>
      <c r="W67" s="3"/>
    </row>
    <row r="68" spans="15:23">
      <c r="O68" s="3"/>
      <c r="P68" s="3"/>
      <c r="Q68" s="35"/>
      <c r="R68" s="35"/>
      <c r="S68" s="35"/>
      <c r="T68" s="35"/>
      <c r="U68" s="3"/>
      <c r="V68" s="3"/>
      <c r="W68" s="3"/>
    </row>
    <row r="69" spans="15:23">
      <c r="O69" s="3"/>
      <c r="P69" s="3"/>
      <c r="Q69" s="35"/>
      <c r="R69" s="35"/>
      <c r="S69" s="35"/>
      <c r="T69" s="35"/>
      <c r="U69" s="3"/>
      <c r="V69" s="3"/>
      <c r="W69" s="3"/>
    </row>
    <row r="70" spans="15:23">
      <c r="O70" s="3"/>
      <c r="P70" s="3"/>
      <c r="Q70" s="35"/>
      <c r="R70" s="35"/>
      <c r="S70" s="35"/>
      <c r="T70" s="35"/>
      <c r="U70" s="3"/>
      <c r="V70" s="3"/>
      <c r="W70" s="3"/>
    </row>
    <row r="71" spans="15:23">
      <c r="O71" s="3"/>
      <c r="P71" s="3"/>
      <c r="Q71" s="35"/>
      <c r="R71" s="35"/>
      <c r="S71" s="35"/>
      <c r="T71" s="35"/>
      <c r="U71" s="3"/>
      <c r="V71" s="3"/>
      <c r="W71" s="3"/>
    </row>
    <row r="72" spans="15:23">
      <c r="O72" s="3"/>
      <c r="P72" s="3"/>
      <c r="Q72" s="35"/>
      <c r="R72" s="35"/>
      <c r="S72" s="35"/>
      <c r="T72" s="35"/>
      <c r="U72" s="3"/>
      <c r="V72" s="3"/>
      <c r="W72" s="3"/>
    </row>
    <row r="73" spans="15:23">
      <c r="O73" s="3"/>
      <c r="P73" s="3"/>
      <c r="Q73" s="35"/>
      <c r="R73" s="35"/>
      <c r="S73" s="35"/>
      <c r="T73" s="35"/>
      <c r="U73" s="3"/>
      <c r="V73" s="3"/>
      <c r="W73" s="3"/>
    </row>
    <row r="74" spans="15:23">
      <c r="O74" s="3"/>
      <c r="P74" s="3"/>
      <c r="Q74" s="35"/>
      <c r="R74" s="35"/>
      <c r="S74" s="35"/>
      <c r="T74" s="35"/>
      <c r="U74" s="3"/>
      <c r="V74" s="3"/>
      <c r="W74" s="3"/>
    </row>
    <row r="75" spans="15:23">
      <c r="O75" s="3"/>
      <c r="P75" s="3"/>
      <c r="Q75" s="35"/>
      <c r="R75" s="35"/>
      <c r="S75" s="35"/>
      <c r="T75" s="35"/>
      <c r="U75" s="3"/>
      <c r="V75" s="3"/>
      <c r="W75" s="3"/>
    </row>
    <row r="76" spans="15:23">
      <c r="O76" s="3"/>
      <c r="P76" s="3"/>
      <c r="Q76" s="35"/>
      <c r="R76" s="35"/>
      <c r="S76" s="35"/>
      <c r="T76" s="35"/>
      <c r="U76" s="3"/>
      <c r="V76" s="3"/>
      <c r="W76" s="3"/>
    </row>
    <row r="77" spans="15:23">
      <c r="O77" s="3"/>
      <c r="P77" s="3"/>
      <c r="Q77" s="35"/>
      <c r="R77" s="35"/>
      <c r="S77" s="35"/>
      <c r="T77" s="35"/>
      <c r="U77" s="3"/>
      <c r="V77" s="3"/>
      <c r="W77" s="3"/>
    </row>
    <row r="78" spans="15:23">
      <c r="O78" s="3"/>
      <c r="P78" s="3"/>
      <c r="Q78" s="35"/>
      <c r="R78" s="35"/>
      <c r="S78" s="35"/>
      <c r="T78" s="35"/>
      <c r="U78" s="3"/>
      <c r="V78" s="3"/>
      <c r="W78" s="3"/>
    </row>
    <row r="79" spans="15:23">
      <c r="O79" s="3"/>
      <c r="P79" s="3"/>
      <c r="Q79" s="35"/>
      <c r="R79" s="35"/>
      <c r="S79" s="35"/>
      <c r="T79" s="35"/>
      <c r="U79" s="3"/>
      <c r="V79" s="3"/>
      <c r="W79" s="3"/>
    </row>
    <row r="80" spans="15:23">
      <c r="O80" s="3"/>
      <c r="P80" s="3"/>
      <c r="Q80" s="35"/>
      <c r="R80" s="35"/>
      <c r="S80" s="35"/>
      <c r="T80" s="35"/>
      <c r="U80" s="3"/>
      <c r="V80" s="3"/>
      <c r="W80" s="3"/>
    </row>
    <row r="81" spans="15:23">
      <c r="O81" s="3"/>
      <c r="P81" s="3"/>
      <c r="Q81" s="35"/>
      <c r="R81" s="35"/>
      <c r="S81" s="35"/>
      <c r="T81" s="35"/>
      <c r="U81" s="3"/>
      <c r="V81" s="3"/>
      <c r="W81" s="3"/>
    </row>
    <row r="82" spans="15:23">
      <c r="O82" s="3"/>
      <c r="P82" s="3"/>
      <c r="Q82" s="35"/>
      <c r="R82" s="35"/>
      <c r="S82" s="35"/>
      <c r="T82" s="35"/>
      <c r="U82" s="3"/>
      <c r="V82" s="3"/>
      <c r="W82" s="3"/>
    </row>
    <row r="83" spans="15:23">
      <c r="O83" s="3"/>
      <c r="P83" s="3"/>
      <c r="Q83" s="35"/>
      <c r="R83" s="35"/>
      <c r="S83" s="35"/>
      <c r="T83" s="35"/>
      <c r="U83" s="3"/>
      <c r="V83" s="3"/>
      <c r="W83" s="3"/>
    </row>
    <row r="84" spans="15:23">
      <c r="O84" s="3"/>
      <c r="P84" s="3"/>
      <c r="Q84" s="35"/>
      <c r="R84" s="35"/>
      <c r="S84" s="35"/>
      <c r="T84" s="35"/>
      <c r="U84" s="3"/>
      <c r="V84" s="3"/>
      <c r="W84" s="3"/>
    </row>
    <row r="85" spans="15:23">
      <c r="O85" s="3"/>
      <c r="P85" s="3"/>
      <c r="Q85" s="35"/>
      <c r="R85" s="35"/>
      <c r="S85" s="35"/>
      <c r="T85" s="35"/>
      <c r="U85" s="3"/>
      <c r="V85" s="3"/>
      <c r="W85" s="3"/>
    </row>
    <row r="86" spans="15:23">
      <c r="O86" s="3"/>
      <c r="P86" s="3"/>
      <c r="Q86" s="35"/>
      <c r="R86" s="35"/>
      <c r="S86" s="35"/>
      <c r="T86" s="35"/>
      <c r="U86" s="3"/>
      <c r="V86" s="3"/>
      <c r="W86" s="3"/>
    </row>
    <row r="87" spans="15:23">
      <c r="O87" s="3"/>
      <c r="P87" s="3"/>
      <c r="Q87" s="35"/>
      <c r="R87" s="35"/>
      <c r="S87" s="35"/>
      <c r="T87" s="35"/>
      <c r="U87" s="3"/>
      <c r="V87" s="3"/>
      <c r="W87" s="3"/>
    </row>
    <row r="88" spans="15:23">
      <c r="O88" s="3"/>
      <c r="P88" s="3"/>
      <c r="Q88" s="35"/>
      <c r="R88" s="35"/>
      <c r="S88" s="35"/>
      <c r="T88" s="35"/>
      <c r="U88" s="3"/>
      <c r="V88" s="3"/>
      <c r="W88" s="3"/>
    </row>
    <row r="89" spans="15:23">
      <c r="O89" s="3"/>
      <c r="P89" s="3"/>
      <c r="Q89" s="35"/>
      <c r="R89" s="35"/>
      <c r="S89" s="35"/>
      <c r="T89" s="35"/>
      <c r="U89" s="3"/>
      <c r="V89" s="3"/>
      <c r="W89" s="3"/>
    </row>
    <row r="90" spans="15:23">
      <c r="O90" s="3"/>
      <c r="P90" s="3"/>
      <c r="Q90" s="35"/>
      <c r="R90" s="35"/>
      <c r="S90" s="35"/>
      <c r="T90" s="35"/>
      <c r="U90" s="3"/>
      <c r="V90" s="3"/>
      <c r="W90" s="3"/>
    </row>
    <row r="91" spans="15:23">
      <c r="O91" s="3"/>
      <c r="P91" s="3"/>
      <c r="Q91" s="35"/>
      <c r="R91" s="35"/>
      <c r="S91" s="35"/>
      <c r="T91" s="35"/>
      <c r="U91" s="3"/>
      <c r="V91" s="3"/>
      <c r="W91" s="3"/>
    </row>
    <row r="92" spans="15:23">
      <c r="O92" s="3"/>
      <c r="P92" s="3"/>
      <c r="Q92" s="35"/>
      <c r="R92" s="35"/>
      <c r="S92" s="35"/>
      <c r="T92" s="35"/>
      <c r="U92" s="3"/>
      <c r="V92" s="3"/>
      <c r="W92" s="3"/>
    </row>
    <row r="93" spans="15:23">
      <c r="O93" s="3"/>
      <c r="P93" s="3"/>
      <c r="Q93" s="35"/>
      <c r="R93" s="35"/>
      <c r="S93" s="35"/>
      <c r="T93" s="35"/>
      <c r="U93" s="3"/>
      <c r="V93" s="3"/>
      <c r="W93" s="3"/>
    </row>
    <row r="94" spans="15:23">
      <c r="O94" s="3"/>
      <c r="P94" s="3"/>
      <c r="Q94" s="35"/>
      <c r="R94" s="35"/>
      <c r="S94" s="35"/>
      <c r="T94" s="35"/>
      <c r="U94" s="3"/>
      <c r="V94" s="3"/>
      <c r="W94" s="3"/>
    </row>
    <row r="95" spans="15:23">
      <c r="O95" s="3"/>
      <c r="P95" s="3"/>
      <c r="Q95" s="35"/>
      <c r="R95" s="35"/>
      <c r="S95" s="35"/>
      <c r="T95" s="35"/>
      <c r="U95" s="3"/>
      <c r="V95" s="3"/>
      <c r="W95" s="3"/>
    </row>
    <row r="96" spans="15:23">
      <c r="O96" s="3"/>
      <c r="P96" s="3"/>
      <c r="Q96" s="35"/>
      <c r="R96" s="35"/>
      <c r="S96" s="35"/>
      <c r="T96" s="35"/>
      <c r="U96" s="3"/>
      <c r="V96" s="3"/>
      <c r="W96" s="3"/>
    </row>
    <row r="97" spans="15:23">
      <c r="O97" s="3"/>
      <c r="P97" s="3"/>
      <c r="Q97" s="35"/>
      <c r="R97" s="35"/>
      <c r="S97" s="35"/>
      <c r="T97" s="35"/>
      <c r="U97" s="3"/>
      <c r="V97" s="3"/>
      <c r="W97" s="3"/>
    </row>
    <row r="98" spans="15:23">
      <c r="O98" s="3"/>
      <c r="P98" s="3"/>
      <c r="Q98" s="35"/>
      <c r="R98" s="35"/>
      <c r="S98" s="35"/>
      <c r="T98" s="35"/>
      <c r="U98" s="3"/>
      <c r="V98" s="3"/>
      <c r="W98" s="3"/>
    </row>
    <row r="99" spans="15:23">
      <c r="O99" s="3"/>
      <c r="P99" s="3"/>
      <c r="Q99" s="35"/>
      <c r="R99" s="35"/>
      <c r="S99" s="35"/>
      <c r="T99" s="35"/>
      <c r="U99" s="3"/>
      <c r="V99" s="3"/>
      <c r="W99" s="3"/>
    </row>
    <row r="100" spans="15:23">
      <c r="O100" s="3"/>
      <c r="P100" s="3"/>
      <c r="Q100" s="35"/>
      <c r="R100" s="35"/>
      <c r="S100" s="35"/>
      <c r="T100" s="35"/>
      <c r="U100" s="3"/>
      <c r="V100" s="3"/>
      <c r="W100" s="3"/>
    </row>
    <row r="101" spans="15:23">
      <c r="O101" s="3"/>
      <c r="P101" s="3"/>
      <c r="Q101" s="35"/>
      <c r="R101" s="35"/>
      <c r="S101" s="35"/>
      <c r="T101" s="35"/>
      <c r="U101" s="3"/>
      <c r="V101" s="3"/>
      <c r="W101" s="3"/>
    </row>
    <row r="102" spans="15:23">
      <c r="O102" s="3"/>
      <c r="P102" s="3"/>
      <c r="Q102" s="35"/>
      <c r="R102" s="35"/>
      <c r="S102" s="35"/>
      <c r="T102" s="35"/>
      <c r="U102" s="3"/>
      <c r="V102" s="3"/>
      <c r="W102" s="3"/>
    </row>
    <row r="103" spans="15:23">
      <c r="O103" s="3"/>
      <c r="P103" s="3"/>
      <c r="Q103" s="35"/>
      <c r="R103" s="35"/>
      <c r="S103" s="35"/>
      <c r="T103" s="35"/>
      <c r="U103" s="3"/>
      <c r="V103" s="3"/>
      <c r="W103" s="3"/>
    </row>
    <row r="104" spans="15:23">
      <c r="O104" s="3"/>
      <c r="P104" s="3"/>
      <c r="Q104" s="35"/>
      <c r="R104" s="35"/>
      <c r="S104" s="35"/>
      <c r="T104" s="35"/>
      <c r="U104" s="3"/>
      <c r="V104" s="3"/>
      <c r="W104" s="3"/>
    </row>
    <row r="105" spans="15:23">
      <c r="O105" s="3"/>
      <c r="P105" s="3"/>
      <c r="Q105" s="35"/>
      <c r="R105" s="35"/>
      <c r="S105" s="35"/>
      <c r="T105" s="35"/>
      <c r="U105" s="3"/>
      <c r="V105" s="3"/>
      <c r="W105" s="3"/>
    </row>
    <row r="106" spans="15:23">
      <c r="O106" s="3"/>
      <c r="P106" s="3"/>
      <c r="Q106" s="35"/>
      <c r="R106" s="35"/>
      <c r="S106" s="35"/>
      <c r="T106" s="35"/>
      <c r="U106" s="3"/>
      <c r="V106" s="3"/>
      <c r="W106" s="3"/>
    </row>
    <row r="107" spans="15:23">
      <c r="O107" s="3"/>
      <c r="P107" s="3"/>
      <c r="Q107" s="35"/>
      <c r="R107" s="35"/>
      <c r="S107" s="35"/>
      <c r="T107" s="35"/>
      <c r="U107" s="3"/>
      <c r="V107" s="3"/>
      <c r="W107" s="3"/>
    </row>
    <row r="108" spans="15:23">
      <c r="O108" s="3"/>
      <c r="P108" s="3"/>
      <c r="Q108" s="35"/>
      <c r="R108" s="35"/>
      <c r="S108" s="35"/>
      <c r="T108" s="35"/>
      <c r="U108" s="3"/>
      <c r="V108" s="3"/>
      <c r="W108" s="3"/>
    </row>
    <row r="109" spans="15:23">
      <c r="O109" s="3"/>
      <c r="P109" s="3"/>
      <c r="Q109" s="35"/>
      <c r="R109" s="35"/>
      <c r="S109" s="35"/>
      <c r="T109" s="35"/>
      <c r="U109" s="3"/>
      <c r="V109" s="3"/>
      <c r="W109" s="3"/>
    </row>
    <row r="110" spans="15:23">
      <c r="O110" s="3"/>
      <c r="P110" s="3"/>
      <c r="Q110" s="35"/>
      <c r="R110" s="35"/>
      <c r="S110" s="35"/>
      <c r="T110" s="35"/>
      <c r="U110" s="3"/>
      <c r="V110" s="3"/>
      <c r="W110" s="3"/>
    </row>
    <row r="111" spans="15:23">
      <c r="O111" s="3"/>
      <c r="P111" s="3"/>
      <c r="Q111" s="35"/>
      <c r="R111" s="35"/>
      <c r="S111" s="35"/>
      <c r="T111" s="35"/>
      <c r="U111" s="3"/>
      <c r="V111" s="3"/>
      <c r="W111" s="3"/>
    </row>
    <row r="112" spans="15:23">
      <c r="O112" s="3"/>
      <c r="P112" s="3"/>
      <c r="Q112" s="35"/>
      <c r="R112" s="35"/>
      <c r="S112" s="35"/>
      <c r="T112" s="35"/>
      <c r="U112" s="3"/>
      <c r="V112" s="3"/>
      <c r="W112" s="3"/>
    </row>
    <row r="113" spans="15:23">
      <c r="O113" s="3"/>
      <c r="P113" s="3"/>
      <c r="Q113" s="35"/>
      <c r="R113" s="35"/>
      <c r="S113" s="35"/>
      <c r="T113" s="35"/>
      <c r="U113" s="3"/>
      <c r="V113" s="3"/>
      <c r="W113" s="3"/>
    </row>
    <row r="114" spans="15:23">
      <c r="O114" s="3"/>
      <c r="P114" s="3"/>
      <c r="Q114" s="35"/>
      <c r="R114" s="35"/>
      <c r="S114" s="35"/>
      <c r="T114" s="35"/>
      <c r="U114" s="3"/>
      <c r="V114" s="3"/>
      <c r="W114" s="3"/>
    </row>
    <row r="115" spans="15:23">
      <c r="O115" s="3"/>
      <c r="P115" s="3"/>
      <c r="Q115" s="35"/>
      <c r="R115" s="35"/>
      <c r="S115" s="35"/>
      <c r="T115" s="35"/>
      <c r="U115" s="3"/>
      <c r="V115" s="3"/>
      <c r="W115" s="3"/>
    </row>
    <row r="116" spans="15:23">
      <c r="O116" s="3"/>
      <c r="P116" s="3"/>
      <c r="Q116" s="35"/>
      <c r="R116" s="35"/>
      <c r="S116" s="35"/>
      <c r="T116" s="35"/>
      <c r="U116" s="3"/>
      <c r="V116" s="3"/>
      <c r="W116" s="3"/>
    </row>
    <row r="117" spans="15:23">
      <c r="O117" s="3"/>
      <c r="P117" s="3"/>
      <c r="Q117" s="35"/>
      <c r="R117" s="35"/>
      <c r="S117" s="35"/>
      <c r="T117" s="35"/>
      <c r="U117" s="3"/>
      <c r="V117" s="3"/>
      <c r="W117" s="3"/>
    </row>
    <row r="118" spans="15:23">
      <c r="O118" s="3"/>
      <c r="P118" s="3"/>
      <c r="Q118" s="35"/>
      <c r="R118" s="35"/>
      <c r="S118" s="35"/>
      <c r="T118" s="35"/>
      <c r="U118" s="3"/>
      <c r="V118" s="3"/>
      <c r="W118" s="3"/>
    </row>
    <row r="119" spans="15:23">
      <c r="O119" s="3"/>
      <c r="P119" s="3"/>
      <c r="Q119" s="35"/>
      <c r="R119" s="35"/>
      <c r="S119" s="35"/>
      <c r="T119" s="35"/>
      <c r="U119" s="3"/>
      <c r="V119" s="3"/>
      <c r="W119" s="3"/>
    </row>
    <row r="120" spans="15:23">
      <c r="O120" s="3"/>
      <c r="P120" s="3"/>
      <c r="Q120" s="35"/>
      <c r="R120" s="35"/>
      <c r="S120" s="35"/>
      <c r="T120" s="35"/>
      <c r="U120" s="3"/>
      <c r="V120" s="3"/>
      <c r="W120" s="3"/>
    </row>
    <row r="121" spans="15:23">
      <c r="O121" s="3"/>
      <c r="P121" s="3"/>
      <c r="Q121" s="35"/>
      <c r="R121" s="35"/>
      <c r="S121" s="35"/>
      <c r="T121" s="35"/>
      <c r="U121" s="3"/>
      <c r="V121" s="3"/>
      <c r="W121" s="3"/>
    </row>
    <row r="122" spans="15:23">
      <c r="O122" s="3"/>
      <c r="P122" s="3"/>
      <c r="Q122" s="35"/>
      <c r="R122" s="35"/>
      <c r="S122" s="35"/>
      <c r="T122" s="35"/>
      <c r="U122" s="3"/>
      <c r="V122" s="3"/>
      <c r="W122" s="3"/>
    </row>
    <row r="123" spans="15:23">
      <c r="O123" s="3"/>
      <c r="P123" s="3"/>
      <c r="Q123" s="35"/>
      <c r="R123" s="35"/>
      <c r="S123" s="35"/>
      <c r="T123" s="35"/>
      <c r="U123" s="3"/>
      <c r="V123" s="3"/>
      <c r="W123" s="3"/>
    </row>
    <row r="124" spans="15:23">
      <c r="O124" s="3"/>
      <c r="P124" s="3"/>
      <c r="Q124" s="35"/>
      <c r="R124" s="35"/>
      <c r="S124" s="35"/>
      <c r="T124" s="35"/>
      <c r="U124" s="3"/>
      <c r="V124" s="3"/>
      <c r="W124" s="3"/>
    </row>
    <row r="125" spans="15:23">
      <c r="O125" s="3"/>
      <c r="P125" s="3"/>
      <c r="Q125" s="35"/>
      <c r="R125" s="35"/>
      <c r="S125" s="35"/>
      <c r="T125" s="35"/>
      <c r="U125" s="3"/>
      <c r="V125" s="3"/>
      <c r="W125" s="3"/>
    </row>
    <row r="126" spans="15:23">
      <c r="O126" s="3"/>
      <c r="P126" s="3"/>
      <c r="Q126" s="35"/>
      <c r="R126" s="35"/>
      <c r="S126" s="35"/>
      <c r="T126" s="35"/>
      <c r="U126" s="3"/>
      <c r="V126" s="3"/>
      <c r="W126" s="3"/>
    </row>
    <row r="127" spans="15:23">
      <c r="O127" s="3"/>
      <c r="P127" s="3"/>
      <c r="Q127" s="35"/>
      <c r="R127" s="35"/>
      <c r="S127" s="35"/>
      <c r="T127" s="35"/>
      <c r="U127" s="3"/>
      <c r="V127" s="3"/>
      <c r="W127" s="3"/>
    </row>
    <row r="128" spans="15:23">
      <c r="O128" s="3"/>
      <c r="P128" s="3"/>
      <c r="Q128" s="35"/>
      <c r="R128" s="35"/>
      <c r="S128" s="35"/>
      <c r="T128" s="35"/>
      <c r="U128" s="3"/>
      <c r="V128" s="3"/>
      <c r="W128" s="3"/>
    </row>
    <row r="129" spans="15:23">
      <c r="O129" s="3"/>
      <c r="P129" s="3"/>
      <c r="Q129" s="35"/>
      <c r="R129" s="35"/>
      <c r="S129" s="35"/>
      <c r="T129" s="35"/>
      <c r="U129" s="3"/>
      <c r="V129" s="3"/>
      <c r="W129" s="3"/>
    </row>
    <row r="130" spans="15:23">
      <c r="O130" s="3"/>
      <c r="P130" s="3"/>
      <c r="Q130" s="35"/>
      <c r="R130" s="35"/>
      <c r="S130" s="35"/>
      <c r="T130" s="35"/>
      <c r="U130" s="3"/>
      <c r="V130" s="3"/>
      <c r="W130" s="3"/>
    </row>
    <row r="131" spans="15:23">
      <c r="O131" s="3"/>
      <c r="P131" s="3"/>
      <c r="Q131" s="35"/>
      <c r="R131" s="35"/>
      <c r="S131" s="35"/>
      <c r="T131" s="35"/>
      <c r="U131" s="3"/>
      <c r="V131" s="3"/>
      <c r="W131" s="3"/>
    </row>
    <row r="132" spans="15:23">
      <c r="O132" s="3"/>
      <c r="P132" s="3"/>
      <c r="Q132" s="35"/>
      <c r="R132" s="35"/>
      <c r="S132" s="35"/>
      <c r="T132" s="35"/>
      <c r="U132" s="3"/>
      <c r="V132" s="3"/>
      <c r="W132" s="3"/>
    </row>
    <row r="133" spans="15:23">
      <c r="O133" s="3"/>
      <c r="P133" s="3"/>
      <c r="Q133" s="35"/>
      <c r="R133" s="35"/>
      <c r="S133" s="35"/>
      <c r="T133" s="35"/>
      <c r="U133" s="3"/>
      <c r="V133" s="3"/>
      <c r="W133" s="3"/>
    </row>
    <row r="134" spans="15:23">
      <c r="O134" s="3"/>
      <c r="P134" s="3"/>
      <c r="Q134" s="35"/>
      <c r="R134" s="35"/>
      <c r="S134" s="35"/>
      <c r="T134" s="35"/>
      <c r="U134" s="3"/>
      <c r="V134" s="3"/>
      <c r="W134" s="3"/>
    </row>
    <row r="135" spans="15:23">
      <c r="O135" s="3"/>
      <c r="P135" s="3"/>
      <c r="Q135" s="35"/>
      <c r="R135" s="35"/>
      <c r="S135" s="35"/>
      <c r="T135" s="35"/>
      <c r="U135" s="3"/>
      <c r="V135" s="3"/>
      <c r="W135" s="3"/>
    </row>
    <row r="136" spans="15:23">
      <c r="O136" s="3"/>
      <c r="P136" s="3"/>
      <c r="Q136" s="35"/>
      <c r="R136" s="35"/>
      <c r="S136" s="35"/>
      <c r="T136" s="35"/>
      <c r="U136" s="3"/>
      <c r="V136" s="3"/>
      <c r="W136" s="3"/>
    </row>
    <row r="137" spans="15:23">
      <c r="O137" s="3"/>
      <c r="P137" s="3"/>
      <c r="Q137" s="35"/>
      <c r="R137" s="35"/>
      <c r="S137" s="35"/>
      <c r="T137" s="35"/>
      <c r="U137" s="3"/>
      <c r="V137" s="3"/>
      <c r="W137" s="3"/>
    </row>
    <row r="138" spans="15:23">
      <c r="O138" s="3"/>
      <c r="P138" s="3"/>
      <c r="Q138" s="35"/>
      <c r="R138" s="35"/>
      <c r="S138" s="35"/>
      <c r="T138" s="35"/>
      <c r="U138" s="3"/>
      <c r="V138" s="3"/>
      <c r="W138" s="3"/>
    </row>
    <row r="139" spans="15:23">
      <c r="O139" s="3"/>
      <c r="P139" s="3"/>
      <c r="Q139" s="35"/>
      <c r="R139" s="35"/>
      <c r="S139" s="35"/>
      <c r="T139" s="35"/>
      <c r="U139" s="3"/>
      <c r="V139" s="3"/>
      <c r="W139" s="3"/>
    </row>
    <row r="140" spans="15:23">
      <c r="O140" s="3"/>
      <c r="P140" s="3"/>
      <c r="Q140" s="35"/>
      <c r="R140" s="35"/>
      <c r="S140" s="35"/>
      <c r="T140" s="35"/>
      <c r="U140" s="3"/>
      <c r="V140" s="3"/>
      <c r="W140" s="3"/>
    </row>
    <row r="141" spans="15:23">
      <c r="O141" s="3"/>
      <c r="P141" s="3"/>
      <c r="Q141" s="35"/>
      <c r="R141" s="35"/>
      <c r="S141" s="35"/>
      <c r="T141" s="35"/>
      <c r="U141" s="3"/>
      <c r="V141" s="3"/>
      <c r="W141" s="3"/>
    </row>
    <row r="142" spans="15:23">
      <c r="O142" s="3"/>
      <c r="P142" s="3"/>
      <c r="Q142" s="35"/>
      <c r="R142" s="35"/>
      <c r="S142" s="35"/>
      <c r="T142" s="35"/>
      <c r="U142" s="3"/>
      <c r="V142" s="3"/>
      <c r="W142" s="3"/>
    </row>
    <row r="143" spans="15:23">
      <c r="O143" s="3"/>
      <c r="P143" s="3"/>
      <c r="Q143" s="35"/>
      <c r="R143" s="35"/>
      <c r="S143" s="35"/>
      <c r="T143" s="35"/>
      <c r="U143" s="3"/>
      <c r="V143" s="3"/>
      <c r="W143" s="3"/>
    </row>
    <row r="144" spans="15:23">
      <c r="O144" s="3"/>
      <c r="P144" s="3"/>
      <c r="Q144" s="35"/>
      <c r="R144" s="35"/>
      <c r="S144" s="35"/>
      <c r="T144" s="35"/>
      <c r="U144" s="3"/>
      <c r="V144" s="3"/>
      <c r="W144" s="3"/>
    </row>
    <row r="145" spans="15:23">
      <c r="O145" s="3"/>
      <c r="P145" s="3"/>
      <c r="Q145" s="35"/>
      <c r="R145" s="35"/>
      <c r="S145" s="35"/>
      <c r="T145" s="35"/>
      <c r="U145" s="3"/>
      <c r="V145" s="3"/>
      <c r="W145" s="3"/>
    </row>
    <row r="146" spans="15:23">
      <c r="O146" s="3"/>
      <c r="P146" s="3"/>
      <c r="Q146" s="35"/>
      <c r="R146" s="35"/>
      <c r="S146" s="35"/>
      <c r="T146" s="35"/>
      <c r="U146" s="3"/>
      <c r="V146" s="3"/>
      <c r="W146" s="3"/>
    </row>
    <row r="147" spans="15:23">
      <c r="O147" s="3"/>
      <c r="P147" s="3"/>
      <c r="Q147" s="35"/>
      <c r="R147" s="35"/>
      <c r="S147" s="35"/>
      <c r="T147" s="35"/>
      <c r="U147" s="3"/>
      <c r="V147" s="3"/>
      <c r="W147" s="3"/>
    </row>
    <row r="148" spans="15:23">
      <c r="O148" s="3"/>
      <c r="P148" s="3"/>
      <c r="Q148" s="35"/>
      <c r="R148" s="35"/>
      <c r="S148" s="35"/>
      <c r="T148" s="35"/>
      <c r="U148" s="3"/>
      <c r="V148" s="3"/>
      <c r="W148" s="3"/>
    </row>
    <row r="149" spans="15:23">
      <c r="O149" s="3"/>
      <c r="P149" s="3"/>
      <c r="Q149" s="35"/>
      <c r="R149" s="35"/>
      <c r="S149" s="35"/>
      <c r="T149" s="35"/>
      <c r="U149" s="3"/>
      <c r="V149" s="3"/>
      <c r="W149" s="3"/>
    </row>
    <row r="150" spans="15:23">
      <c r="O150" s="3"/>
      <c r="P150" s="3"/>
      <c r="Q150" s="35"/>
      <c r="R150" s="35"/>
      <c r="S150" s="35"/>
      <c r="T150" s="35"/>
      <c r="U150" s="3"/>
      <c r="V150" s="3"/>
      <c r="W150" s="3"/>
    </row>
    <row r="151" spans="15:23">
      <c r="O151" s="3"/>
      <c r="P151" s="3"/>
      <c r="Q151" s="35"/>
      <c r="R151" s="35"/>
      <c r="S151" s="35"/>
      <c r="T151" s="35"/>
      <c r="U151" s="3"/>
      <c r="V151" s="3"/>
      <c r="W151" s="3"/>
    </row>
    <row r="152" spans="15:23">
      <c r="O152" s="3"/>
      <c r="P152" s="3"/>
      <c r="Q152" s="35"/>
      <c r="R152" s="35"/>
      <c r="S152" s="35"/>
      <c r="T152" s="35"/>
      <c r="U152" s="3"/>
      <c r="V152" s="3"/>
      <c r="W152" s="3"/>
    </row>
    <row r="153" spans="15:23">
      <c r="O153" s="3"/>
      <c r="P153" s="3"/>
      <c r="Q153" s="35"/>
      <c r="R153" s="35"/>
      <c r="S153" s="35"/>
      <c r="T153" s="35"/>
      <c r="U153" s="3"/>
      <c r="V153" s="3"/>
      <c r="W153" s="3"/>
    </row>
    <row r="154" spans="15:23">
      <c r="O154" s="3"/>
      <c r="P154" s="3"/>
      <c r="Q154" s="35"/>
      <c r="R154" s="35"/>
      <c r="S154" s="35"/>
      <c r="T154" s="35"/>
      <c r="U154" s="3"/>
      <c r="V154" s="3"/>
      <c r="W154" s="3"/>
    </row>
    <row r="155" spans="15:23">
      <c r="O155" s="3"/>
      <c r="P155" s="3"/>
      <c r="Q155" s="35"/>
      <c r="R155" s="35"/>
      <c r="S155" s="35"/>
      <c r="T155" s="35"/>
      <c r="U155" s="3"/>
      <c r="V155" s="3"/>
      <c r="W155" s="3"/>
    </row>
    <row r="156" spans="15:23">
      <c r="O156" s="3"/>
      <c r="P156" s="3"/>
      <c r="Q156" s="35"/>
      <c r="R156" s="35"/>
      <c r="S156" s="35"/>
      <c r="T156" s="35"/>
      <c r="U156" s="3"/>
      <c r="V156" s="3"/>
      <c r="W156" s="3"/>
    </row>
    <row r="157" spans="15:23">
      <c r="O157" s="3"/>
      <c r="P157" s="3"/>
      <c r="Q157" s="35"/>
      <c r="R157" s="35"/>
      <c r="S157" s="35"/>
      <c r="T157" s="35"/>
      <c r="U157" s="3"/>
      <c r="V157" s="3"/>
      <c r="W157" s="3"/>
    </row>
    <row r="158" spans="15:23">
      <c r="O158" s="3"/>
      <c r="P158" s="3"/>
      <c r="Q158" s="35"/>
      <c r="R158" s="35"/>
      <c r="S158" s="35"/>
      <c r="T158" s="35"/>
      <c r="U158" s="3"/>
      <c r="V158" s="3"/>
      <c r="W158" s="3"/>
    </row>
    <row r="159" spans="15:23">
      <c r="O159" s="3"/>
      <c r="P159" s="3"/>
      <c r="Q159" s="35"/>
      <c r="R159" s="35"/>
      <c r="S159" s="35"/>
      <c r="T159" s="35"/>
      <c r="U159" s="3"/>
      <c r="V159" s="3"/>
      <c r="W159" s="3"/>
    </row>
    <row r="160" spans="15:23">
      <c r="O160" s="3"/>
      <c r="P160" s="3"/>
      <c r="Q160" s="35"/>
      <c r="R160" s="35"/>
      <c r="S160" s="35"/>
      <c r="T160" s="35"/>
      <c r="U160" s="3"/>
      <c r="V160" s="3"/>
      <c r="W160" s="3"/>
    </row>
    <row r="161" spans="15:23">
      <c r="O161" s="3"/>
      <c r="P161" s="3"/>
      <c r="Q161" s="35"/>
      <c r="R161" s="35"/>
      <c r="S161" s="35"/>
      <c r="T161" s="35"/>
      <c r="U161" s="3"/>
      <c r="V161" s="3"/>
      <c r="W161" s="3"/>
    </row>
    <row r="162" spans="15:23">
      <c r="O162" s="3"/>
      <c r="P162" s="3"/>
      <c r="Q162" s="35"/>
      <c r="R162" s="35"/>
      <c r="S162" s="35"/>
      <c r="T162" s="35"/>
      <c r="U162" s="3"/>
      <c r="V162" s="3"/>
      <c r="W162" s="3"/>
    </row>
    <row r="163" spans="15:23">
      <c r="O163" s="3"/>
      <c r="P163" s="3"/>
      <c r="Q163" s="35"/>
      <c r="R163" s="35"/>
      <c r="S163" s="35"/>
      <c r="T163" s="35"/>
      <c r="U163" s="3"/>
      <c r="V163" s="3"/>
      <c r="W163" s="3"/>
    </row>
    <row r="164" spans="15:23">
      <c r="O164" s="3"/>
      <c r="P164" s="3"/>
      <c r="Q164" s="35"/>
      <c r="R164" s="35"/>
      <c r="S164" s="35"/>
      <c r="T164" s="35"/>
      <c r="U164" s="3"/>
      <c r="V164" s="3"/>
      <c r="W164" s="3"/>
    </row>
    <row r="165" spans="15:23">
      <c r="O165" s="3"/>
      <c r="P165" s="3"/>
      <c r="Q165" s="35"/>
      <c r="R165" s="35"/>
      <c r="S165" s="35"/>
      <c r="T165" s="35"/>
      <c r="U165" s="3"/>
      <c r="V165" s="3"/>
      <c r="W165" s="3"/>
    </row>
    <row r="166" spans="15:23">
      <c r="O166" s="3"/>
      <c r="P166" s="3"/>
      <c r="Q166" s="35"/>
      <c r="R166" s="35"/>
      <c r="S166" s="35"/>
      <c r="T166" s="35"/>
      <c r="U166" s="3"/>
      <c r="V166" s="3"/>
      <c r="W166" s="3"/>
    </row>
    <row r="167" spans="15:23">
      <c r="O167" s="3"/>
      <c r="P167" s="3"/>
      <c r="Q167" s="35"/>
      <c r="R167" s="35"/>
      <c r="S167" s="35"/>
      <c r="T167" s="35"/>
      <c r="U167" s="3"/>
      <c r="V167" s="3"/>
      <c r="W167" s="3"/>
    </row>
    <row r="168" spans="15:23">
      <c r="O168" s="3"/>
      <c r="P168" s="3"/>
      <c r="Q168" s="35"/>
      <c r="R168" s="35"/>
      <c r="S168" s="35"/>
      <c r="T168" s="35"/>
      <c r="U168" s="3"/>
      <c r="V168" s="3"/>
      <c r="W168" s="3"/>
    </row>
    <row r="169" spans="15:23">
      <c r="O169" s="3"/>
      <c r="P169" s="3"/>
      <c r="Q169" s="35"/>
      <c r="R169" s="35"/>
      <c r="S169" s="35"/>
      <c r="T169" s="35"/>
      <c r="U169" s="3"/>
      <c r="V169" s="3"/>
      <c r="W169" s="3"/>
    </row>
    <row r="170" spans="15:23">
      <c r="O170" s="3"/>
      <c r="P170" s="3"/>
      <c r="Q170" s="35"/>
      <c r="R170" s="35"/>
      <c r="S170" s="35"/>
      <c r="T170" s="35"/>
      <c r="U170" s="3"/>
      <c r="V170" s="3"/>
      <c r="W170" s="3"/>
    </row>
    <row r="171" spans="15:23">
      <c r="O171" s="3"/>
      <c r="P171" s="3"/>
      <c r="Q171" s="35"/>
      <c r="R171" s="35"/>
      <c r="S171" s="35"/>
      <c r="T171" s="35"/>
      <c r="U171" s="3"/>
      <c r="V171" s="3"/>
      <c r="W171" s="3"/>
    </row>
    <row r="172" spans="15:23">
      <c r="O172" s="3"/>
      <c r="P172" s="3"/>
      <c r="Q172" s="35"/>
      <c r="R172" s="35"/>
      <c r="S172" s="35"/>
      <c r="T172" s="35"/>
      <c r="U172" s="3"/>
      <c r="V172" s="3"/>
      <c r="W172" s="3"/>
    </row>
    <row r="173" spans="15:23">
      <c r="O173" s="3"/>
      <c r="P173" s="3"/>
      <c r="Q173" s="35"/>
      <c r="R173" s="35"/>
      <c r="S173" s="35"/>
      <c r="T173" s="35"/>
      <c r="U173" s="3"/>
      <c r="V173" s="3"/>
      <c r="W173" s="3"/>
    </row>
    <row r="174" spans="15:23">
      <c r="O174" s="3"/>
      <c r="P174" s="3"/>
      <c r="Q174" s="35"/>
      <c r="R174" s="35"/>
      <c r="S174" s="35"/>
      <c r="T174" s="35"/>
      <c r="U174" s="3"/>
      <c r="V174" s="3"/>
      <c r="W174" s="3"/>
    </row>
    <row r="175" spans="15:23">
      <c r="O175" s="3"/>
      <c r="P175" s="3"/>
      <c r="Q175" s="35"/>
      <c r="R175" s="35"/>
      <c r="S175" s="35"/>
      <c r="T175" s="35"/>
      <c r="U175" s="3"/>
      <c r="V175" s="3"/>
      <c r="W175" s="3"/>
    </row>
    <row r="176" spans="15:23">
      <c r="O176" s="3"/>
      <c r="P176" s="3"/>
      <c r="Q176" s="35"/>
      <c r="R176" s="35"/>
      <c r="S176" s="35"/>
      <c r="T176" s="35"/>
      <c r="U176" s="3"/>
      <c r="V176" s="3"/>
      <c r="W176" s="3"/>
    </row>
    <row r="177" spans="15:23">
      <c r="O177" s="3"/>
      <c r="P177" s="3"/>
      <c r="Q177" s="35"/>
      <c r="R177" s="35"/>
      <c r="S177" s="35"/>
      <c r="T177" s="35"/>
      <c r="U177" s="3"/>
      <c r="V177" s="3"/>
      <c r="W177" s="3"/>
    </row>
    <row r="178" spans="15:23">
      <c r="O178" s="3"/>
      <c r="P178" s="3"/>
      <c r="Q178" s="35"/>
      <c r="R178" s="35"/>
      <c r="S178" s="35"/>
      <c r="T178" s="35"/>
      <c r="U178" s="3"/>
      <c r="V178" s="3"/>
      <c r="W178" s="3"/>
    </row>
    <row r="179" spans="15:23">
      <c r="O179" s="3"/>
      <c r="P179" s="3"/>
      <c r="Q179" s="35"/>
      <c r="R179" s="35"/>
      <c r="S179" s="35"/>
      <c r="T179" s="35"/>
      <c r="U179" s="3"/>
      <c r="V179" s="3"/>
      <c r="W179" s="3"/>
    </row>
    <row r="180" spans="15:23">
      <c r="O180" s="3"/>
      <c r="P180" s="3"/>
      <c r="Q180" s="35"/>
      <c r="R180" s="35"/>
      <c r="S180" s="35"/>
      <c r="T180" s="35"/>
      <c r="U180" s="3"/>
      <c r="V180" s="3"/>
      <c r="W180" s="3"/>
    </row>
    <row r="181" spans="15:23">
      <c r="O181" s="3"/>
      <c r="P181" s="3"/>
      <c r="Q181" s="35"/>
      <c r="R181" s="35"/>
      <c r="S181" s="35"/>
      <c r="T181" s="35"/>
      <c r="U181" s="3"/>
      <c r="V181" s="3"/>
      <c r="W181" s="3"/>
    </row>
    <row r="182" spans="15:23">
      <c r="O182" s="3"/>
      <c r="P182" s="3"/>
      <c r="Q182" s="35"/>
      <c r="R182" s="35"/>
      <c r="S182" s="35"/>
      <c r="T182" s="35"/>
      <c r="U182" s="3"/>
      <c r="V182" s="3"/>
      <c r="W182" s="3"/>
    </row>
    <row r="183" spans="15:23">
      <c r="O183" s="3"/>
      <c r="P183" s="3"/>
      <c r="Q183" s="35"/>
      <c r="R183" s="35"/>
      <c r="S183" s="35"/>
      <c r="T183" s="35"/>
      <c r="U183" s="3"/>
      <c r="V183" s="3"/>
      <c r="W183" s="3"/>
    </row>
    <row r="184" spans="15:23">
      <c r="O184" s="3"/>
      <c r="P184" s="3"/>
      <c r="Q184" s="35"/>
      <c r="R184" s="35"/>
      <c r="S184" s="35"/>
      <c r="T184" s="35"/>
      <c r="U184" s="3"/>
      <c r="V184" s="3"/>
      <c r="W184" s="3"/>
    </row>
    <row r="185" spans="15:23">
      <c r="O185" s="3"/>
      <c r="P185" s="3"/>
      <c r="Q185" s="35"/>
      <c r="R185" s="35"/>
      <c r="S185" s="35"/>
      <c r="T185" s="35"/>
      <c r="U185" s="3"/>
      <c r="V185" s="3"/>
      <c r="W185" s="3"/>
    </row>
    <row r="186" spans="15:23">
      <c r="O186" s="3"/>
      <c r="P186" s="3"/>
      <c r="Q186" s="35"/>
      <c r="R186" s="35"/>
      <c r="S186" s="35"/>
      <c r="T186" s="35"/>
      <c r="U186" s="3"/>
      <c r="V186" s="3"/>
      <c r="W186" s="3"/>
    </row>
    <row r="187" spans="15:23">
      <c r="O187" s="3"/>
      <c r="P187" s="3"/>
      <c r="Q187" s="35"/>
      <c r="R187" s="35"/>
      <c r="S187" s="35"/>
      <c r="T187" s="35"/>
      <c r="U187" s="3"/>
      <c r="V187" s="3"/>
      <c r="W187" s="3"/>
    </row>
    <row r="188" spans="15:23">
      <c r="O188" s="3"/>
      <c r="P188" s="3"/>
      <c r="Q188" s="35"/>
      <c r="R188" s="35"/>
      <c r="S188" s="35"/>
      <c r="T188" s="35"/>
      <c r="U188" s="3"/>
      <c r="V188" s="3"/>
      <c r="W188" s="3"/>
    </row>
    <row r="189" spans="15:23">
      <c r="O189" s="3"/>
      <c r="P189" s="3"/>
      <c r="Q189" s="35"/>
      <c r="R189" s="35"/>
      <c r="S189" s="35"/>
      <c r="T189" s="35"/>
      <c r="U189" s="3"/>
      <c r="V189" s="3"/>
      <c r="W189" s="3"/>
    </row>
    <row r="190" spans="15:23">
      <c r="O190" s="3"/>
      <c r="P190" s="3"/>
      <c r="Q190" s="35"/>
      <c r="R190" s="35"/>
      <c r="S190" s="35"/>
      <c r="T190" s="35"/>
      <c r="U190" s="3"/>
      <c r="V190" s="3"/>
      <c r="W190" s="3"/>
    </row>
    <row r="191" spans="15:23">
      <c r="O191" s="3"/>
      <c r="P191" s="3"/>
      <c r="Q191" s="35"/>
      <c r="R191" s="35"/>
      <c r="S191" s="35"/>
      <c r="T191" s="35"/>
      <c r="U191" s="3"/>
      <c r="V191" s="3"/>
      <c r="W191" s="3"/>
    </row>
    <row r="192" spans="15:23">
      <c r="O192" s="3"/>
      <c r="P192" s="3"/>
      <c r="Q192" s="35"/>
      <c r="R192" s="35"/>
      <c r="S192" s="35"/>
      <c r="T192" s="35"/>
      <c r="U192" s="3"/>
      <c r="V192" s="3"/>
      <c r="W192" s="3"/>
    </row>
    <row r="193" spans="15:23">
      <c r="O193" s="3"/>
      <c r="P193" s="3"/>
      <c r="Q193" s="35"/>
      <c r="R193" s="35"/>
      <c r="S193" s="35"/>
      <c r="T193" s="35"/>
      <c r="U193" s="3"/>
      <c r="V193" s="3"/>
      <c r="W193" s="3"/>
    </row>
    <row r="194" spans="15:23">
      <c r="O194" s="3"/>
      <c r="P194" s="3"/>
      <c r="Q194" s="35"/>
      <c r="R194" s="35"/>
      <c r="S194" s="35"/>
      <c r="T194" s="35"/>
      <c r="U194" s="3"/>
      <c r="V194" s="3"/>
      <c r="W194" s="3"/>
    </row>
    <row r="195" spans="15:23">
      <c r="O195" s="3"/>
      <c r="P195" s="3"/>
      <c r="Q195" s="35"/>
      <c r="R195" s="35"/>
      <c r="S195" s="35"/>
      <c r="T195" s="35"/>
      <c r="U195" s="3"/>
      <c r="V195" s="3"/>
      <c r="W195" s="3"/>
    </row>
    <row r="196" spans="15:23">
      <c r="O196" s="3"/>
      <c r="P196" s="3"/>
      <c r="Q196" s="35"/>
      <c r="R196" s="35"/>
      <c r="S196" s="35"/>
      <c r="T196" s="35"/>
      <c r="U196" s="3"/>
      <c r="V196" s="3"/>
      <c r="W196" s="3"/>
    </row>
    <row r="197" spans="15:23">
      <c r="O197" s="3"/>
      <c r="P197" s="3"/>
      <c r="Q197" s="35"/>
      <c r="R197" s="35"/>
      <c r="S197" s="35"/>
      <c r="T197" s="35"/>
      <c r="U197" s="3"/>
      <c r="V197" s="3"/>
      <c r="W197" s="3"/>
    </row>
    <row r="198" spans="15:23">
      <c r="O198" s="3"/>
      <c r="P198" s="3"/>
      <c r="Q198" s="35"/>
      <c r="R198" s="35"/>
      <c r="S198" s="35"/>
      <c r="T198" s="35"/>
      <c r="U198" s="3"/>
      <c r="V198" s="3"/>
      <c r="W198" s="3"/>
    </row>
    <row r="199" spans="15:23">
      <c r="O199" s="3"/>
      <c r="P199" s="3"/>
      <c r="Q199" s="35"/>
      <c r="R199" s="35"/>
      <c r="S199" s="35"/>
      <c r="T199" s="35"/>
      <c r="U199" s="3"/>
      <c r="V199" s="3"/>
      <c r="W199" s="3"/>
    </row>
    <row r="200" spans="15:23">
      <c r="O200" s="3"/>
      <c r="P200" s="3"/>
      <c r="Q200" s="35"/>
      <c r="R200" s="35"/>
      <c r="S200" s="35"/>
      <c r="T200" s="35"/>
      <c r="U200" s="3"/>
      <c r="V200" s="3"/>
      <c r="W200" s="3"/>
    </row>
    <row r="201" spans="15:23">
      <c r="O201" s="3"/>
      <c r="P201" s="3"/>
      <c r="Q201" s="35"/>
      <c r="R201" s="35"/>
      <c r="S201" s="35"/>
      <c r="T201" s="35"/>
      <c r="U201" s="3"/>
      <c r="V201" s="3"/>
      <c r="W201" s="3"/>
    </row>
    <row r="202" spans="15:23">
      <c r="O202" s="3"/>
      <c r="P202" s="3"/>
      <c r="Q202" s="35"/>
      <c r="R202" s="35"/>
      <c r="S202" s="35"/>
      <c r="T202" s="35"/>
      <c r="U202" s="3"/>
      <c r="V202" s="3"/>
      <c r="W202" s="3"/>
    </row>
    <row r="203" spans="15:23">
      <c r="O203" s="3"/>
      <c r="P203" s="3"/>
      <c r="Q203" s="35"/>
      <c r="R203" s="35"/>
      <c r="S203" s="35"/>
      <c r="T203" s="35"/>
      <c r="U203" s="3"/>
      <c r="V203" s="3"/>
      <c r="W203" s="3"/>
    </row>
    <row r="204" spans="15:23">
      <c r="O204" s="3"/>
      <c r="P204" s="3"/>
      <c r="Q204" s="35"/>
      <c r="R204" s="35"/>
      <c r="S204" s="35"/>
      <c r="T204" s="35"/>
      <c r="U204" s="3"/>
      <c r="V204" s="3"/>
      <c r="W204" s="3"/>
    </row>
    <row r="205" spans="15:23">
      <c r="O205" s="3"/>
      <c r="P205" s="3"/>
      <c r="Q205" s="35"/>
      <c r="R205" s="35"/>
      <c r="S205" s="35"/>
      <c r="T205" s="35"/>
      <c r="U205" s="3"/>
      <c r="V205" s="3"/>
      <c r="W205" s="3"/>
    </row>
    <row r="206" spans="15:23">
      <c r="O206" s="3"/>
      <c r="P206" s="3"/>
      <c r="Q206" s="35"/>
      <c r="R206" s="35"/>
      <c r="S206" s="35"/>
      <c r="T206" s="35"/>
      <c r="U206" s="3"/>
      <c r="V206" s="3"/>
      <c r="W206" s="3"/>
    </row>
    <row r="207" spans="15:23">
      <c r="O207" s="3"/>
      <c r="P207" s="3"/>
      <c r="Q207" s="35"/>
      <c r="R207" s="35"/>
      <c r="S207" s="35"/>
      <c r="T207" s="35"/>
      <c r="U207" s="3"/>
      <c r="V207" s="3"/>
      <c r="W207" s="3"/>
    </row>
    <row r="208" spans="15:23">
      <c r="O208" s="3"/>
      <c r="P208" s="3"/>
      <c r="Q208" s="35"/>
      <c r="R208" s="35"/>
      <c r="S208" s="35"/>
      <c r="T208" s="35"/>
      <c r="U208" s="3"/>
      <c r="V208" s="3"/>
      <c r="W208" s="3"/>
    </row>
    <row r="209" spans="15:23">
      <c r="O209" s="3"/>
      <c r="P209" s="3"/>
      <c r="Q209" s="35"/>
      <c r="R209" s="35"/>
      <c r="S209" s="35"/>
      <c r="T209" s="35"/>
      <c r="U209" s="3"/>
      <c r="V209" s="3"/>
      <c r="W209" s="3"/>
    </row>
    <row r="210" spans="15:23">
      <c r="O210" s="3"/>
      <c r="P210" s="3"/>
      <c r="Q210" s="35"/>
      <c r="R210" s="35"/>
      <c r="S210" s="35"/>
      <c r="T210" s="35"/>
      <c r="U210" s="3"/>
      <c r="V210" s="3"/>
      <c r="W210" s="3"/>
    </row>
    <row r="211" spans="15:23">
      <c r="O211" s="3"/>
      <c r="P211" s="3"/>
      <c r="Q211" s="35"/>
      <c r="R211" s="35"/>
      <c r="S211" s="35"/>
      <c r="T211" s="35"/>
      <c r="U211" s="3"/>
      <c r="V211" s="3"/>
      <c r="W211" s="3"/>
    </row>
    <row r="212" spans="15:23">
      <c r="O212" s="3"/>
      <c r="P212" s="3"/>
      <c r="Q212" s="35"/>
      <c r="R212" s="35"/>
      <c r="S212" s="35"/>
      <c r="T212" s="35"/>
      <c r="U212" s="3"/>
      <c r="V212" s="3"/>
      <c r="W212" s="3"/>
    </row>
    <row r="213" spans="15:23">
      <c r="O213" s="3"/>
      <c r="P213" s="3"/>
      <c r="Q213" s="35"/>
      <c r="R213" s="35"/>
      <c r="S213" s="35"/>
      <c r="T213" s="35"/>
      <c r="U213" s="3"/>
      <c r="V213" s="3"/>
      <c r="W213" s="3"/>
    </row>
    <row r="214" spans="15:23">
      <c r="O214" s="3"/>
      <c r="P214" s="3"/>
      <c r="Q214" s="35"/>
      <c r="R214" s="35"/>
      <c r="S214" s="35"/>
      <c r="T214" s="35"/>
      <c r="U214" s="3"/>
      <c r="V214" s="3"/>
      <c r="W214" s="3"/>
    </row>
    <row r="215" spans="15:23">
      <c r="O215" s="3"/>
      <c r="P215" s="3"/>
      <c r="Q215" s="35"/>
      <c r="R215" s="35"/>
      <c r="S215" s="35"/>
      <c r="T215" s="35"/>
      <c r="U215" s="3"/>
      <c r="V215" s="3"/>
      <c r="W215" s="3"/>
    </row>
    <row r="216" spans="15:23">
      <c r="O216" s="3"/>
      <c r="P216" s="3"/>
      <c r="Q216" s="35"/>
      <c r="R216" s="35"/>
      <c r="S216" s="35"/>
      <c r="T216" s="35"/>
      <c r="U216" s="3"/>
      <c r="V216" s="3"/>
      <c r="W216" s="3"/>
    </row>
    <row r="217" spans="15:23">
      <c r="O217" s="3"/>
      <c r="P217" s="3"/>
      <c r="Q217" s="35"/>
      <c r="R217" s="35"/>
      <c r="S217" s="35"/>
      <c r="T217" s="35"/>
      <c r="U217" s="3"/>
      <c r="V217" s="3"/>
      <c r="W217" s="3"/>
    </row>
    <row r="218" spans="15:23">
      <c r="O218" s="3"/>
      <c r="P218" s="3"/>
      <c r="Q218" s="35"/>
      <c r="R218" s="35"/>
      <c r="S218" s="35"/>
      <c r="T218" s="35"/>
      <c r="U218" s="3"/>
      <c r="V218" s="3"/>
      <c r="W218" s="3"/>
    </row>
    <row r="219" spans="15:23">
      <c r="O219" s="3"/>
      <c r="P219" s="3"/>
      <c r="Q219" s="35"/>
      <c r="R219" s="35"/>
      <c r="S219" s="35"/>
      <c r="T219" s="35"/>
      <c r="U219" s="3"/>
      <c r="V219" s="3"/>
      <c r="W219" s="3"/>
    </row>
    <row r="220" spans="15:23">
      <c r="O220" s="3"/>
      <c r="P220" s="3"/>
      <c r="Q220" s="35"/>
      <c r="R220" s="35"/>
      <c r="S220" s="35"/>
      <c r="T220" s="35"/>
      <c r="U220" s="3"/>
      <c r="V220" s="3"/>
      <c r="W220" s="3"/>
    </row>
    <row r="221" spans="15:23">
      <c r="O221" s="3"/>
      <c r="P221" s="3"/>
      <c r="Q221" s="35"/>
      <c r="R221" s="35"/>
      <c r="S221" s="35"/>
      <c r="T221" s="35"/>
      <c r="U221" s="3"/>
      <c r="V221" s="3"/>
      <c r="W221" s="3"/>
    </row>
    <row r="222" spans="15:23">
      <c r="O222" s="3"/>
      <c r="P222" s="3"/>
      <c r="Q222" s="35"/>
      <c r="R222" s="35"/>
      <c r="S222" s="35"/>
      <c r="T222" s="35"/>
      <c r="U222" s="3"/>
      <c r="V222" s="3"/>
      <c r="W222" s="3"/>
    </row>
    <row r="223" spans="15:23">
      <c r="O223" s="3"/>
      <c r="P223" s="3"/>
      <c r="Q223" s="35"/>
      <c r="R223" s="35"/>
      <c r="S223" s="35"/>
      <c r="T223" s="35"/>
      <c r="U223" s="3"/>
      <c r="V223" s="3"/>
      <c r="W223" s="3"/>
    </row>
    <row r="224" spans="15:23">
      <c r="O224" s="3"/>
      <c r="P224" s="3"/>
      <c r="Q224" s="35"/>
      <c r="R224" s="35"/>
      <c r="S224" s="35"/>
      <c r="T224" s="35"/>
      <c r="U224" s="3"/>
      <c r="V224" s="3"/>
      <c r="W224" s="3"/>
    </row>
    <row r="225" spans="15:23">
      <c r="O225" s="3"/>
      <c r="P225" s="3"/>
      <c r="Q225" s="35"/>
      <c r="R225" s="35"/>
      <c r="S225" s="35"/>
      <c r="T225" s="35"/>
      <c r="U225" s="3"/>
      <c r="V225" s="3"/>
      <c r="W225" s="3"/>
    </row>
    <row r="226" spans="15:23">
      <c r="O226" s="3"/>
      <c r="P226" s="3"/>
      <c r="Q226" s="35"/>
      <c r="R226" s="35"/>
      <c r="S226" s="35"/>
      <c r="T226" s="35"/>
      <c r="U226" s="3"/>
      <c r="V226" s="3"/>
      <c r="W226" s="3"/>
    </row>
    <row r="227" spans="15:23">
      <c r="O227" s="3"/>
      <c r="P227" s="3"/>
      <c r="Q227" s="35"/>
      <c r="R227" s="35"/>
      <c r="S227" s="35"/>
      <c r="T227" s="35"/>
      <c r="U227" s="3"/>
      <c r="V227" s="3"/>
      <c r="W227" s="3"/>
    </row>
    <row r="228" spans="15:23">
      <c r="O228" s="3"/>
      <c r="P228" s="3"/>
      <c r="Q228" s="35"/>
      <c r="R228" s="35"/>
      <c r="S228" s="35"/>
      <c r="T228" s="35"/>
      <c r="U228" s="3"/>
      <c r="V228" s="3"/>
      <c r="W228" s="3"/>
    </row>
    <row r="229" spans="15:23">
      <c r="O229" s="3"/>
      <c r="P229" s="3"/>
      <c r="Q229" s="35"/>
      <c r="R229" s="35"/>
      <c r="S229" s="35"/>
      <c r="T229" s="35"/>
      <c r="U229" s="3"/>
      <c r="V229" s="3"/>
      <c r="W229" s="3"/>
    </row>
    <row r="230" spans="15:23">
      <c r="O230" s="3"/>
      <c r="P230" s="3"/>
      <c r="Q230" s="35"/>
      <c r="R230" s="35"/>
      <c r="S230" s="35"/>
      <c r="T230" s="35"/>
      <c r="U230" s="3"/>
      <c r="V230" s="3"/>
      <c r="W230" s="3"/>
    </row>
    <row r="231" spans="15:23">
      <c r="O231" s="3"/>
      <c r="P231" s="3"/>
      <c r="Q231" s="35"/>
      <c r="R231" s="35"/>
      <c r="S231" s="35"/>
      <c r="T231" s="35"/>
      <c r="U231" s="3"/>
      <c r="V231" s="3"/>
      <c r="W231" s="3"/>
    </row>
    <row r="232" spans="15:23">
      <c r="O232" s="3"/>
      <c r="P232" s="3"/>
      <c r="Q232" s="35"/>
      <c r="R232" s="35"/>
      <c r="S232" s="35"/>
      <c r="T232" s="35"/>
      <c r="U232" s="3"/>
      <c r="V232" s="3"/>
      <c r="W232" s="3"/>
    </row>
    <row r="233" spans="15:23">
      <c r="O233" s="3"/>
      <c r="P233" s="3"/>
      <c r="Q233" s="35"/>
      <c r="R233" s="35"/>
      <c r="S233" s="35"/>
      <c r="T233" s="35"/>
      <c r="U233" s="3"/>
      <c r="V233" s="3"/>
      <c r="W233" s="3"/>
    </row>
    <row r="234" spans="15:23">
      <c r="O234" s="3"/>
      <c r="P234" s="3"/>
      <c r="Q234" s="35"/>
      <c r="R234" s="35"/>
      <c r="S234" s="35"/>
      <c r="T234" s="35"/>
      <c r="U234" s="3"/>
      <c r="V234" s="3"/>
      <c r="W234" s="3"/>
    </row>
    <row r="235" spans="15:23">
      <c r="O235" s="3"/>
      <c r="P235" s="3"/>
      <c r="Q235" s="35"/>
      <c r="R235" s="35"/>
      <c r="S235" s="35"/>
      <c r="T235" s="35"/>
      <c r="U235" s="3"/>
      <c r="V235" s="3"/>
      <c r="W235" s="3"/>
    </row>
    <row r="236" spans="15:23">
      <c r="O236" s="3"/>
      <c r="P236" s="3"/>
      <c r="Q236" s="35"/>
      <c r="R236" s="35"/>
      <c r="S236" s="35"/>
      <c r="T236" s="35"/>
      <c r="U236" s="3"/>
      <c r="V236" s="3"/>
      <c r="W236" s="3"/>
    </row>
    <row r="237" spans="15:23">
      <c r="O237" s="3"/>
      <c r="P237" s="3"/>
      <c r="Q237" s="35"/>
      <c r="R237" s="35"/>
      <c r="S237" s="35"/>
      <c r="T237" s="35"/>
      <c r="U237" s="3"/>
      <c r="V237" s="3"/>
      <c r="W237" s="3"/>
    </row>
    <row r="238" spans="15:23">
      <c r="O238" s="3"/>
      <c r="P238" s="3"/>
      <c r="Q238" s="35"/>
      <c r="R238" s="35"/>
      <c r="S238" s="35"/>
      <c r="T238" s="35"/>
      <c r="U238" s="3"/>
      <c r="V238" s="3"/>
      <c r="W238" s="3"/>
    </row>
    <row r="239" spans="15:23">
      <c r="O239" s="3"/>
      <c r="P239" s="3"/>
      <c r="Q239" s="35"/>
      <c r="R239" s="35"/>
      <c r="S239" s="35"/>
      <c r="T239" s="35"/>
      <c r="U239" s="3"/>
      <c r="V239" s="3"/>
      <c r="W239" s="3"/>
    </row>
    <row r="240" spans="15:23">
      <c r="O240" s="3"/>
      <c r="P240" s="3"/>
      <c r="Q240" s="35"/>
      <c r="R240" s="35"/>
      <c r="S240" s="35"/>
      <c r="T240" s="35"/>
      <c r="U240" s="3"/>
      <c r="V240" s="3"/>
      <c r="W240" s="3"/>
    </row>
    <row r="241" spans="15:23">
      <c r="O241" s="3"/>
      <c r="P241" s="3"/>
      <c r="Q241" s="35"/>
      <c r="R241" s="35"/>
      <c r="S241" s="35"/>
      <c r="T241" s="35"/>
      <c r="U241" s="3"/>
      <c r="V241" s="3"/>
      <c r="W241" s="3"/>
    </row>
    <row r="242" spans="15:23">
      <c r="O242" s="3"/>
      <c r="P242" s="3"/>
      <c r="Q242" s="35"/>
      <c r="R242" s="35"/>
      <c r="S242" s="35"/>
      <c r="T242" s="35"/>
      <c r="U242" s="3"/>
      <c r="V242" s="3"/>
      <c r="W242" s="3"/>
    </row>
    <row r="243" spans="15:23">
      <c r="O243" s="3"/>
      <c r="P243" s="3"/>
      <c r="Q243" s="35"/>
      <c r="R243" s="35"/>
      <c r="S243" s="35"/>
      <c r="T243" s="35"/>
      <c r="U243" s="3"/>
      <c r="V243" s="3"/>
      <c r="W243" s="3"/>
    </row>
    <row r="244" spans="15:23">
      <c r="O244" s="3"/>
      <c r="P244" s="3"/>
      <c r="Q244" s="35"/>
      <c r="R244" s="35"/>
      <c r="S244" s="35"/>
      <c r="T244" s="35"/>
      <c r="U244" s="3"/>
      <c r="V244" s="3"/>
      <c r="W244" s="3"/>
    </row>
    <row r="245" spans="15:23">
      <c r="O245" s="3"/>
      <c r="P245" s="3"/>
      <c r="Q245" s="35"/>
      <c r="R245" s="35"/>
      <c r="S245" s="35"/>
      <c r="T245" s="35"/>
      <c r="U245" s="3"/>
      <c r="V245" s="3"/>
      <c r="W245" s="3"/>
    </row>
    <row r="246" spans="15:23">
      <c r="O246" s="3"/>
      <c r="P246" s="3"/>
      <c r="Q246" s="35"/>
      <c r="R246" s="35"/>
      <c r="S246" s="35"/>
      <c r="T246" s="35"/>
      <c r="U246" s="3"/>
      <c r="V246" s="3"/>
      <c r="W246" s="3"/>
    </row>
    <row r="247" spans="15:23">
      <c r="O247" s="3"/>
      <c r="P247" s="3"/>
      <c r="Q247" s="35"/>
      <c r="R247" s="35"/>
      <c r="S247" s="35"/>
      <c r="T247" s="35"/>
      <c r="U247" s="3"/>
      <c r="V247" s="3"/>
      <c r="W247" s="3"/>
    </row>
    <row r="248" spans="15:23">
      <c r="O248" s="3"/>
      <c r="P248" s="3"/>
      <c r="Q248" s="35"/>
      <c r="R248" s="35"/>
      <c r="S248" s="35"/>
      <c r="T248" s="35"/>
      <c r="U248" s="3"/>
      <c r="V248" s="3"/>
      <c r="W248" s="3"/>
    </row>
    <row r="249" spans="15:23">
      <c r="O249" s="3"/>
      <c r="P249" s="3"/>
      <c r="Q249" s="35"/>
      <c r="R249" s="35"/>
      <c r="S249" s="35"/>
      <c r="T249" s="35"/>
      <c r="U249" s="3"/>
      <c r="V249" s="3"/>
      <c r="W249" s="3"/>
    </row>
    <row r="250" spans="15:23">
      <c r="O250" s="3"/>
      <c r="P250" s="3"/>
      <c r="Q250" s="35"/>
      <c r="R250" s="35"/>
      <c r="S250" s="35"/>
      <c r="T250" s="35"/>
      <c r="U250" s="3"/>
      <c r="V250" s="3"/>
      <c r="W250" s="3"/>
    </row>
    <row r="251" spans="15:23">
      <c r="O251" s="3"/>
      <c r="P251" s="3"/>
      <c r="Q251" s="35"/>
      <c r="R251" s="35"/>
      <c r="S251" s="35"/>
      <c r="T251" s="35"/>
      <c r="U251" s="3"/>
      <c r="V251" s="3"/>
      <c r="W251" s="3"/>
    </row>
    <row r="252" spans="15:23">
      <c r="O252" s="3"/>
      <c r="P252" s="3"/>
      <c r="Q252" s="35"/>
      <c r="R252" s="35"/>
      <c r="S252" s="35"/>
      <c r="T252" s="35"/>
      <c r="U252" s="3"/>
      <c r="V252" s="3"/>
      <c r="W252" s="3"/>
    </row>
    <row r="253" spans="15:23">
      <c r="O253" s="3"/>
      <c r="P253" s="3"/>
      <c r="Q253" s="35"/>
      <c r="R253" s="35"/>
      <c r="S253" s="35"/>
      <c r="T253" s="35"/>
      <c r="U253" s="3"/>
      <c r="V253" s="3"/>
      <c r="W253" s="3"/>
    </row>
    <row r="254" spans="15:23">
      <c r="O254" s="3"/>
      <c r="P254" s="3"/>
      <c r="Q254" s="35"/>
      <c r="R254" s="35"/>
      <c r="S254" s="35"/>
      <c r="T254" s="35"/>
      <c r="U254" s="3"/>
      <c r="V254" s="3"/>
      <c r="W254" s="3"/>
    </row>
    <row r="255" spans="15:23">
      <c r="O255" s="3"/>
      <c r="P255" s="3"/>
      <c r="Q255" s="35"/>
      <c r="R255" s="35"/>
      <c r="S255" s="35"/>
      <c r="T255" s="35"/>
      <c r="U255" s="3"/>
      <c r="V255" s="3"/>
      <c r="W255" s="3"/>
    </row>
    <row r="256" spans="15:23">
      <c r="O256" s="3"/>
      <c r="P256" s="3"/>
      <c r="Q256" s="35"/>
      <c r="R256" s="35"/>
      <c r="S256" s="35"/>
      <c r="T256" s="35"/>
      <c r="U256" s="3"/>
      <c r="V256" s="3"/>
      <c r="W256" s="3"/>
    </row>
    <row r="257" spans="15:23">
      <c r="O257" s="3"/>
      <c r="P257" s="3"/>
      <c r="Q257" s="35"/>
      <c r="R257" s="35"/>
      <c r="S257" s="35"/>
      <c r="T257" s="35"/>
      <c r="U257" s="3"/>
      <c r="V257" s="3"/>
      <c r="W257" s="3"/>
    </row>
    <row r="258" spans="15:23">
      <c r="O258" s="3"/>
      <c r="P258" s="3"/>
      <c r="Q258" s="35"/>
      <c r="R258" s="35"/>
      <c r="S258" s="35"/>
      <c r="T258" s="35"/>
      <c r="U258" s="3"/>
      <c r="V258" s="3"/>
      <c r="W258" s="3"/>
    </row>
    <row r="259" spans="15:23">
      <c r="O259" s="3"/>
      <c r="P259" s="3"/>
      <c r="Q259" s="35"/>
      <c r="R259" s="35"/>
      <c r="S259" s="35"/>
      <c r="T259" s="35"/>
      <c r="U259" s="3"/>
      <c r="V259" s="3"/>
      <c r="W259" s="3"/>
    </row>
    <row r="260" spans="15:23">
      <c r="O260" s="3"/>
      <c r="P260" s="3"/>
      <c r="Q260" s="35"/>
      <c r="R260" s="35"/>
      <c r="S260" s="35"/>
      <c r="T260" s="35"/>
      <c r="U260" s="3"/>
      <c r="V260" s="3"/>
      <c r="W260" s="3"/>
    </row>
    <row r="261" spans="15:23">
      <c r="O261" s="3"/>
      <c r="P261" s="3"/>
      <c r="Q261" s="35"/>
      <c r="R261" s="35"/>
      <c r="S261" s="35"/>
      <c r="T261" s="35"/>
      <c r="U261" s="3"/>
      <c r="V261" s="3"/>
      <c r="W261" s="3"/>
    </row>
    <row r="262" spans="15:23">
      <c r="O262" s="3"/>
      <c r="P262" s="3"/>
      <c r="Q262" s="35"/>
      <c r="R262" s="35"/>
      <c r="S262" s="35"/>
      <c r="T262" s="35"/>
      <c r="U262" s="3"/>
      <c r="V262" s="3"/>
      <c r="W262" s="3"/>
    </row>
    <row r="263" spans="15:23">
      <c r="O263" s="3"/>
      <c r="P263" s="3"/>
      <c r="Q263" s="35"/>
      <c r="R263" s="35"/>
      <c r="S263" s="35"/>
      <c r="T263" s="35"/>
      <c r="U263" s="3"/>
      <c r="V263" s="3"/>
      <c r="W263" s="3"/>
    </row>
    <row r="264" spans="15:23">
      <c r="O264" s="3"/>
      <c r="P264" s="3"/>
      <c r="Q264" s="35"/>
      <c r="R264" s="35"/>
      <c r="S264" s="35"/>
      <c r="T264" s="35"/>
      <c r="U264" s="3"/>
      <c r="V264" s="3"/>
      <c r="W264" s="3"/>
    </row>
    <row r="265" spans="15:23">
      <c r="O265" s="3"/>
      <c r="P265" s="3"/>
      <c r="Q265" s="35"/>
      <c r="R265" s="35"/>
      <c r="S265" s="35"/>
      <c r="T265" s="35"/>
      <c r="U265" s="3"/>
      <c r="V265" s="3"/>
      <c r="W265" s="3"/>
    </row>
    <row r="266" spans="15:23">
      <c r="O266" s="3"/>
      <c r="P266" s="3"/>
      <c r="Q266" s="35"/>
      <c r="R266" s="35"/>
      <c r="S266" s="35"/>
      <c r="T266" s="35"/>
      <c r="U266" s="3"/>
      <c r="V266" s="3"/>
      <c r="W266" s="3"/>
    </row>
    <row r="267" spans="15:23">
      <c r="O267" s="3"/>
      <c r="P267" s="3"/>
      <c r="Q267" s="35"/>
      <c r="R267" s="35"/>
      <c r="S267" s="35"/>
      <c r="T267" s="35"/>
      <c r="U267" s="3"/>
      <c r="V267" s="3"/>
      <c r="W267" s="3"/>
    </row>
    <row r="268" spans="15:23">
      <c r="O268" s="3"/>
      <c r="P268" s="3"/>
      <c r="Q268" s="35"/>
      <c r="R268" s="35"/>
      <c r="S268" s="35"/>
      <c r="T268" s="35"/>
      <c r="U268" s="3"/>
      <c r="V268" s="3"/>
      <c r="W268" s="3"/>
    </row>
    <row r="269" spans="15:23">
      <c r="O269" s="3"/>
      <c r="P269" s="3"/>
      <c r="Q269" s="35"/>
      <c r="R269" s="35"/>
      <c r="S269" s="35"/>
      <c r="T269" s="35"/>
      <c r="U269" s="3"/>
      <c r="V269" s="3"/>
      <c r="W269" s="3"/>
    </row>
    <row r="270" spans="15:23">
      <c r="O270" s="3"/>
      <c r="P270" s="3"/>
      <c r="Q270" s="35"/>
      <c r="R270" s="35"/>
      <c r="S270" s="35"/>
      <c r="T270" s="35"/>
      <c r="U270" s="3"/>
      <c r="V270" s="3"/>
      <c r="W270" s="3"/>
    </row>
    <row r="271" spans="15:23">
      <c r="O271" s="3"/>
      <c r="P271" s="3"/>
      <c r="Q271" s="35"/>
      <c r="R271" s="35"/>
      <c r="S271" s="35"/>
      <c r="T271" s="35"/>
      <c r="U271" s="3"/>
      <c r="V271" s="3"/>
      <c r="W271" s="3"/>
    </row>
    <row r="272" spans="15:23">
      <c r="O272" s="3"/>
      <c r="P272" s="3"/>
      <c r="Q272" s="35"/>
      <c r="R272" s="35"/>
      <c r="S272" s="35"/>
      <c r="T272" s="35"/>
      <c r="U272" s="3"/>
      <c r="V272" s="3"/>
      <c r="W272" s="3"/>
    </row>
    <row r="273" spans="15:23">
      <c r="O273" s="3"/>
      <c r="P273" s="3"/>
      <c r="Q273" s="35"/>
      <c r="R273" s="35"/>
      <c r="S273" s="35"/>
      <c r="T273" s="35"/>
      <c r="U273" s="3"/>
      <c r="V273" s="3"/>
      <c r="W273" s="3"/>
    </row>
    <row r="274" spans="15:23">
      <c r="O274" s="3"/>
      <c r="P274" s="3"/>
      <c r="Q274" s="35"/>
      <c r="R274" s="35"/>
      <c r="S274" s="35"/>
      <c r="T274" s="35"/>
      <c r="U274" s="3"/>
      <c r="V274" s="3"/>
      <c r="W274" s="3"/>
    </row>
    <row r="275" spans="15:23">
      <c r="O275" s="3"/>
      <c r="P275" s="3"/>
      <c r="Q275" s="35"/>
      <c r="R275" s="35"/>
      <c r="S275" s="35"/>
      <c r="T275" s="35"/>
      <c r="U275" s="3"/>
      <c r="V275" s="3"/>
      <c r="W275" s="3"/>
    </row>
    <row r="276" spans="15:23">
      <c r="O276" s="3"/>
      <c r="P276" s="3"/>
      <c r="Q276" s="35"/>
      <c r="R276" s="35"/>
      <c r="S276" s="35"/>
      <c r="T276" s="35"/>
      <c r="U276" s="3"/>
      <c r="V276" s="3"/>
      <c r="W276" s="3"/>
    </row>
    <row r="277" spans="15:23">
      <c r="O277" s="3"/>
      <c r="P277" s="3"/>
      <c r="Q277" s="35"/>
      <c r="R277" s="35"/>
      <c r="S277" s="35"/>
      <c r="T277" s="35"/>
      <c r="U277" s="3"/>
      <c r="V277" s="3"/>
      <c r="W277" s="3"/>
    </row>
    <row r="278" spans="15:23">
      <c r="O278" s="3"/>
      <c r="P278" s="3"/>
      <c r="Q278" s="35"/>
      <c r="R278" s="35"/>
      <c r="S278" s="35"/>
      <c r="T278" s="35"/>
      <c r="U278" s="3"/>
      <c r="V278" s="3"/>
      <c r="W278" s="3"/>
    </row>
    <row r="279" spans="15:23">
      <c r="O279" s="3"/>
      <c r="P279" s="3"/>
      <c r="Q279" s="35"/>
      <c r="R279" s="35"/>
      <c r="S279" s="35"/>
      <c r="T279" s="35"/>
      <c r="U279" s="3"/>
      <c r="V279" s="3"/>
      <c r="W279" s="3"/>
    </row>
    <row r="280" spans="15:23">
      <c r="O280" s="3"/>
      <c r="P280" s="3"/>
      <c r="Q280" s="35"/>
      <c r="R280" s="35"/>
      <c r="S280" s="35"/>
      <c r="T280" s="35"/>
      <c r="U280" s="3"/>
      <c r="V280" s="3"/>
      <c r="W280" s="3"/>
    </row>
    <row r="281" spans="15:23">
      <c r="O281" s="3"/>
      <c r="P281" s="3"/>
      <c r="Q281" s="35"/>
      <c r="R281" s="35"/>
      <c r="S281" s="35"/>
      <c r="T281" s="35"/>
      <c r="U281" s="3"/>
      <c r="V281" s="3"/>
      <c r="W281" s="3"/>
    </row>
    <row r="282" spans="15:23">
      <c r="O282" s="3"/>
      <c r="P282" s="3"/>
      <c r="Q282" s="35"/>
      <c r="R282" s="35"/>
      <c r="S282" s="35"/>
      <c r="T282" s="35"/>
      <c r="U282" s="3"/>
      <c r="V282" s="3"/>
      <c r="W282" s="3"/>
    </row>
    <row r="283" spans="15:23">
      <c r="O283" s="3"/>
      <c r="P283" s="3"/>
      <c r="Q283" s="35"/>
      <c r="R283" s="35"/>
      <c r="S283" s="35"/>
      <c r="T283" s="35"/>
      <c r="U283" s="3"/>
      <c r="V283" s="3"/>
      <c r="W283" s="3"/>
    </row>
    <row r="284" spans="15:23">
      <c r="O284" s="3"/>
      <c r="P284" s="3"/>
      <c r="Q284" s="35"/>
      <c r="R284" s="35"/>
      <c r="S284" s="35"/>
      <c r="T284" s="35"/>
      <c r="U284" s="3"/>
      <c r="V284" s="3"/>
      <c r="W284" s="3"/>
    </row>
    <row r="285" spans="15:23">
      <c r="O285" s="3"/>
      <c r="P285" s="3"/>
      <c r="Q285" s="35"/>
      <c r="R285" s="35"/>
      <c r="S285" s="35"/>
      <c r="T285" s="35"/>
      <c r="U285" s="3"/>
      <c r="V285" s="3"/>
      <c r="W285" s="3"/>
    </row>
    <row r="286" spans="15:23">
      <c r="O286" s="3"/>
      <c r="P286" s="3"/>
      <c r="Q286" s="35"/>
      <c r="R286" s="35"/>
      <c r="S286" s="35"/>
      <c r="T286" s="35"/>
      <c r="U286" s="3"/>
      <c r="V286" s="3"/>
      <c r="W286" s="3"/>
    </row>
    <row r="287" spans="15:23">
      <c r="O287" s="3"/>
      <c r="P287" s="3"/>
      <c r="Q287" s="35"/>
      <c r="R287" s="35"/>
      <c r="S287" s="35"/>
      <c r="T287" s="35"/>
      <c r="U287" s="3"/>
      <c r="V287" s="3"/>
      <c r="W287" s="3"/>
    </row>
    <row r="288" spans="15:23">
      <c r="O288" s="3"/>
      <c r="P288" s="3"/>
      <c r="Q288" s="35"/>
      <c r="R288" s="35"/>
      <c r="S288" s="35"/>
      <c r="T288" s="35"/>
      <c r="U288" s="3"/>
      <c r="V288" s="3"/>
      <c r="W288" s="3"/>
    </row>
    <row r="289" spans="15:23">
      <c r="O289" s="3"/>
      <c r="P289" s="3"/>
      <c r="Q289" s="35"/>
      <c r="R289" s="35"/>
      <c r="S289" s="35"/>
      <c r="T289" s="35"/>
      <c r="U289" s="3"/>
      <c r="V289" s="3"/>
      <c r="W289" s="3"/>
    </row>
    <row r="290" spans="15:23">
      <c r="O290" s="3"/>
      <c r="P290" s="3"/>
      <c r="Q290" s="35"/>
      <c r="R290" s="35"/>
      <c r="S290" s="35"/>
      <c r="T290" s="35"/>
      <c r="U290" s="3"/>
      <c r="V290" s="3"/>
      <c r="W290" s="3"/>
    </row>
    <row r="291" spans="15:23">
      <c r="O291" s="3"/>
      <c r="P291" s="3"/>
      <c r="Q291" s="35"/>
      <c r="R291" s="35"/>
      <c r="S291" s="35"/>
      <c r="T291" s="35"/>
      <c r="U291" s="3"/>
      <c r="V291" s="3"/>
      <c r="W291" s="3"/>
    </row>
    <row r="292" spans="15:23">
      <c r="O292" s="3"/>
      <c r="P292" s="3"/>
      <c r="Q292" s="35"/>
      <c r="R292" s="35"/>
      <c r="S292" s="35"/>
      <c r="T292" s="35"/>
      <c r="U292" s="3"/>
      <c r="V292" s="3"/>
      <c r="W292" s="3"/>
    </row>
    <row r="293" spans="15:23">
      <c r="O293" s="3"/>
      <c r="P293" s="3"/>
      <c r="Q293" s="35"/>
      <c r="R293" s="35"/>
      <c r="S293" s="35"/>
      <c r="T293" s="35"/>
      <c r="U293" s="3"/>
      <c r="V293" s="3"/>
      <c r="W293" s="3"/>
    </row>
    <row r="294" spans="15:23">
      <c r="O294" s="3"/>
      <c r="P294" s="3"/>
      <c r="Q294" s="35"/>
      <c r="R294" s="35"/>
      <c r="S294" s="35"/>
      <c r="T294" s="35"/>
      <c r="U294" s="3"/>
      <c r="V294" s="3"/>
      <c r="W294" s="3"/>
    </row>
    <row r="295" spans="15:23">
      <c r="O295" s="3"/>
      <c r="P295" s="3"/>
      <c r="Q295" s="35"/>
      <c r="R295" s="35"/>
      <c r="S295" s="35"/>
      <c r="T295" s="35"/>
      <c r="U295" s="3"/>
      <c r="V295" s="3"/>
      <c r="W295" s="3"/>
    </row>
    <row r="296" spans="15:23">
      <c r="O296" s="3"/>
      <c r="P296" s="3"/>
      <c r="Q296" s="35"/>
      <c r="R296" s="35"/>
      <c r="S296" s="35"/>
      <c r="T296" s="35"/>
      <c r="U296" s="3"/>
      <c r="V296" s="3"/>
      <c r="W296" s="3"/>
    </row>
    <row r="297" spans="15:23">
      <c r="O297" s="3"/>
      <c r="P297" s="3"/>
      <c r="Q297" s="35"/>
      <c r="R297" s="35"/>
      <c r="S297" s="35"/>
      <c r="T297" s="35"/>
      <c r="U297" s="3"/>
      <c r="V297" s="3"/>
      <c r="W297" s="3"/>
    </row>
    <row r="298" spans="15:23">
      <c r="O298" s="3"/>
      <c r="P298" s="3"/>
      <c r="Q298" s="35"/>
      <c r="R298" s="35"/>
      <c r="S298" s="35"/>
      <c r="T298" s="35"/>
      <c r="U298" s="3"/>
      <c r="V298" s="3"/>
      <c r="W298" s="3"/>
    </row>
    <row r="299" spans="15:23">
      <c r="O299" s="3"/>
      <c r="P299" s="3"/>
      <c r="Q299" s="35"/>
      <c r="R299" s="35"/>
      <c r="S299" s="35"/>
      <c r="T299" s="35"/>
      <c r="U299" s="3"/>
      <c r="V299" s="3"/>
      <c r="W299" s="3"/>
    </row>
    <row r="300" spans="15:23">
      <c r="O300" s="3"/>
      <c r="P300" s="3"/>
      <c r="Q300" s="35"/>
      <c r="R300" s="35"/>
      <c r="S300" s="35"/>
      <c r="T300" s="35"/>
      <c r="U300" s="3"/>
      <c r="V300" s="3"/>
      <c r="W300" s="3"/>
    </row>
    <row r="301" spans="15:23">
      <c r="O301" s="3"/>
      <c r="P301" s="3"/>
      <c r="Q301" s="35"/>
      <c r="R301" s="35"/>
      <c r="S301" s="35"/>
      <c r="T301" s="35"/>
      <c r="U301" s="3"/>
      <c r="V301" s="3"/>
      <c r="W301" s="3"/>
    </row>
    <row r="302" spans="15:23">
      <c r="O302" s="3"/>
      <c r="P302" s="3"/>
      <c r="Q302" s="35"/>
      <c r="R302" s="35"/>
      <c r="S302" s="35"/>
      <c r="T302" s="35"/>
      <c r="U302" s="3"/>
      <c r="V302" s="3"/>
      <c r="W302" s="3"/>
    </row>
    <row r="303" spans="15:23">
      <c r="O303" s="3"/>
      <c r="P303" s="3"/>
      <c r="Q303" s="35"/>
      <c r="R303" s="35"/>
      <c r="S303" s="35"/>
      <c r="T303" s="35"/>
      <c r="U303" s="3"/>
      <c r="V303" s="3"/>
      <c r="W303" s="3"/>
    </row>
    <row r="304" spans="15:23">
      <c r="O304" s="3"/>
      <c r="P304" s="3"/>
      <c r="Q304" s="35"/>
      <c r="R304" s="35"/>
      <c r="S304" s="35"/>
      <c r="T304" s="35"/>
      <c r="U304" s="3"/>
      <c r="V304" s="3"/>
      <c r="W304" s="3"/>
    </row>
    <row r="305" spans="15:23">
      <c r="O305" s="3"/>
      <c r="P305" s="3"/>
      <c r="Q305" s="35"/>
      <c r="R305" s="35"/>
      <c r="S305" s="35"/>
      <c r="T305" s="35"/>
      <c r="U305" s="3"/>
      <c r="V305" s="3"/>
      <c r="W305" s="3"/>
    </row>
    <row r="306" spans="15:23">
      <c r="O306" s="3"/>
      <c r="P306" s="3"/>
      <c r="Q306" s="35"/>
      <c r="R306" s="35"/>
      <c r="S306" s="35"/>
      <c r="T306" s="35"/>
      <c r="U306" s="3"/>
      <c r="V306" s="3"/>
      <c r="W306" s="3"/>
    </row>
    <row r="307" spans="15:23">
      <c r="O307" s="3"/>
      <c r="P307" s="3"/>
      <c r="Q307" s="35"/>
      <c r="R307" s="35"/>
      <c r="S307" s="35"/>
      <c r="T307" s="35"/>
      <c r="U307" s="3"/>
      <c r="V307" s="3"/>
      <c r="W307" s="3"/>
    </row>
    <row r="308" spans="15:23">
      <c r="O308" s="3"/>
      <c r="P308" s="3"/>
      <c r="Q308" s="35"/>
      <c r="R308" s="35"/>
      <c r="S308" s="35"/>
      <c r="T308" s="35"/>
      <c r="U308" s="3"/>
      <c r="V308" s="3"/>
      <c r="W308" s="3"/>
    </row>
    <row r="309" spans="15:23">
      <c r="O309" s="3"/>
      <c r="P309" s="3"/>
      <c r="Q309" s="35"/>
      <c r="R309" s="35"/>
      <c r="S309" s="35"/>
      <c r="T309" s="35"/>
      <c r="U309" s="3"/>
      <c r="V309" s="3"/>
      <c r="W309" s="3"/>
    </row>
    <row r="310" spans="15:23">
      <c r="O310" s="3"/>
      <c r="P310" s="3"/>
      <c r="Q310" s="35"/>
      <c r="R310" s="35"/>
      <c r="S310" s="35"/>
      <c r="T310" s="35"/>
      <c r="U310" s="3"/>
      <c r="V310" s="3"/>
      <c r="W310" s="3"/>
    </row>
    <row r="311" spans="15:23">
      <c r="O311" s="3"/>
      <c r="P311" s="3"/>
      <c r="Q311" s="35"/>
      <c r="R311" s="35"/>
      <c r="S311" s="35"/>
      <c r="T311" s="35"/>
      <c r="U311" s="3"/>
      <c r="V311" s="3"/>
      <c r="W311" s="3"/>
    </row>
    <row r="312" spans="15:23">
      <c r="O312" s="3"/>
      <c r="P312" s="3"/>
      <c r="Q312" s="35"/>
      <c r="R312" s="35"/>
      <c r="S312" s="35"/>
      <c r="T312" s="35"/>
      <c r="U312" s="3"/>
      <c r="V312" s="3"/>
      <c r="W312" s="3"/>
    </row>
    <row r="313" spans="15:23">
      <c r="O313" s="3"/>
      <c r="P313" s="3"/>
      <c r="Q313" s="35"/>
      <c r="R313" s="35"/>
      <c r="S313" s="35"/>
      <c r="T313" s="35"/>
      <c r="U313" s="3"/>
      <c r="V313" s="3"/>
      <c r="W313" s="3"/>
    </row>
    <row r="314" spans="15:23">
      <c r="O314" s="3"/>
      <c r="P314" s="3"/>
      <c r="Q314" s="35"/>
      <c r="R314" s="35"/>
      <c r="S314" s="35"/>
      <c r="T314" s="35"/>
      <c r="U314" s="3"/>
      <c r="V314" s="3"/>
      <c r="W314" s="3"/>
    </row>
    <row r="315" spans="15:23">
      <c r="O315" s="3"/>
      <c r="P315" s="3"/>
      <c r="Q315" s="35"/>
      <c r="R315" s="35"/>
      <c r="S315" s="35"/>
      <c r="T315" s="35"/>
      <c r="U315" s="3"/>
      <c r="V315" s="3"/>
      <c r="W315" s="3"/>
    </row>
    <row r="316" spans="15:23">
      <c r="O316" s="3"/>
      <c r="P316" s="3"/>
      <c r="Q316" s="35"/>
      <c r="R316" s="35"/>
      <c r="S316" s="35"/>
      <c r="T316" s="35"/>
      <c r="U316" s="3"/>
      <c r="V316" s="3"/>
      <c r="W316" s="3"/>
    </row>
    <row r="317" spans="15:23">
      <c r="O317" s="3"/>
      <c r="P317" s="3"/>
      <c r="Q317" s="35"/>
      <c r="R317" s="35"/>
      <c r="S317" s="35"/>
      <c r="T317" s="35"/>
      <c r="U317" s="3"/>
      <c r="V317" s="3"/>
      <c r="W317" s="3"/>
    </row>
    <row r="318" spans="15:23">
      <c r="O318" s="3"/>
      <c r="P318" s="3"/>
      <c r="Q318" s="35"/>
      <c r="R318" s="35"/>
      <c r="S318" s="35"/>
      <c r="T318" s="35"/>
      <c r="U318" s="3"/>
      <c r="V318" s="3"/>
      <c r="W318" s="3"/>
    </row>
    <row r="319" spans="15:23">
      <c r="O319" s="3"/>
      <c r="P319" s="3"/>
      <c r="Q319" s="35"/>
      <c r="R319" s="35"/>
      <c r="S319" s="35"/>
      <c r="T319" s="35"/>
      <c r="U319" s="3"/>
      <c r="V319" s="3"/>
      <c r="W319" s="3"/>
    </row>
    <row r="320" spans="15:23">
      <c r="O320" s="3"/>
      <c r="P320" s="3"/>
      <c r="Q320" s="35"/>
      <c r="R320" s="35"/>
      <c r="S320" s="35"/>
      <c r="T320" s="35"/>
      <c r="U320" s="3"/>
      <c r="V320" s="3"/>
      <c r="W320" s="3"/>
    </row>
    <row r="321" spans="15:23">
      <c r="O321" s="3"/>
      <c r="P321" s="3"/>
      <c r="Q321" s="35"/>
      <c r="R321" s="35"/>
      <c r="S321" s="35"/>
      <c r="T321" s="35"/>
      <c r="U321" s="3"/>
      <c r="V321" s="3"/>
      <c r="W321" s="3"/>
    </row>
    <row r="322" spans="15:23">
      <c r="O322" s="3"/>
      <c r="P322" s="3"/>
      <c r="Q322" s="35"/>
      <c r="R322" s="35"/>
      <c r="S322" s="35"/>
      <c r="T322" s="35"/>
      <c r="U322" s="3"/>
      <c r="V322" s="3"/>
      <c r="W322" s="3"/>
    </row>
    <row r="323" spans="15:23">
      <c r="O323" s="3"/>
      <c r="P323" s="3"/>
      <c r="Q323" s="35"/>
      <c r="R323" s="35"/>
      <c r="S323" s="35"/>
      <c r="T323" s="35"/>
      <c r="U323" s="3"/>
      <c r="V323" s="3"/>
      <c r="W323" s="3"/>
    </row>
    <row r="324" spans="15:23">
      <c r="O324" s="3"/>
      <c r="P324" s="3"/>
      <c r="Q324" s="35"/>
      <c r="R324" s="35"/>
      <c r="S324" s="35"/>
      <c r="T324" s="35"/>
      <c r="U324" s="3"/>
      <c r="V324" s="3"/>
      <c r="W324" s="3"/>
    </row>
    <row r="325" spans="15:23">
      <c r="O325" s="3"/>
      <c r="P325" s="3"/>
      <c r="Q325" s="35"/>
      <c r="R325" s="35"/>
      <c r="S325" s="35"/>
      <c r="T325" s="35"/>
      <c r="U325" s="3"/>
      <c r="V325" s="3"/>
      <c r="W325" s="3"/>
    </row>
    <row r="326" spans="15:23">
      <c r="O326" s="3"/>
      <c r="P326" s="3"/>
      <c r="Q326" s="35"/>
      <c r="R326" s="35"/>
      <c r="S326" s="35"/>
      <c r="T326" s="35"/>
      <c r="U326" s="3"/>
      <c r="V326" s="3"/>
      <c r="W326" s="3"/>
    </row>
    <row r="327" spans="15:23">
      <c r="O327" s="3"/>
      <c r="P327" s="3"/>
      <c r="Q327" s="35"/>
      <c r="R327" s="35"/>
      <c r="S327" s="35"/>
      <c r="T327" s="35"/>
      <c r="U327" s="3"/>
      <c r="V327" s="3"/>
      <c r="W327" s="3"/>
    </row>
    <row r="328" spans="15:23">
      <c r="O328" s="3"/>
      <c r="P328" s="3"/>
      <c r="Q328" s="35"/>
      <c r="R328" s="35"/>
      <c r="S328" s="35"/>
      <c r="T328" s="35"/>
      <c r="U328" s="3"/>
      <c r="V328" s="3"/>
      <c r="W328" s="3"/>
    </row>
    <row r="329" spans="15:23">
      <c r="O329" s="3"/>
      <c r="P329" s="3"/>
      <c r="Q329" s="35"/>
      <c r="R329" s="35"/>
      <c r="S329" s="35"/>
      <c r="T329" s="35"/>
      <c r="U329" s="3"/>
      <c r="V329" s="3"/>
      <c r="W329" s="3"/>
    </row>
    <row r="330" spans="15:23">
      <c r="O330" s="3"/>
      <c r="P330" s="3"/>
      <c r="Q330" s="35"/>
      <c r="R330" s="35"/>
      <c r="S330" s="35"/>
      <c r="T330" s="35"/>
      <c r="U330" s="3"/>
      <c r="V330" s="3"/>
      <c r="W330" s="3"/>
    </row>
    <row r="331" spans="15:23">
      <c r="O331" s="3"/>
      <c r="P331" s="3"/>
      <c r="Q331" s="35"/>
      <c r="R331" s="35"/>
      <c r="S331" s="35"/>
      <c r="T331" s="35"/>
      <c r="U331" s="3"/>
      <c r="V331" s="3"/>
      <c r="W331" s="3"/>
    </row>
    <row r="332" spans="15:23">
      <c r="O332" s="3"/>
      <c r="P332" s="3"/>
      <c r="Q332" s="35"/>
      <c r="R332" s="35"/>
      <c r="S332" s="35"/>
      <c r="T332" s="35"/>
      <c r="U332" s="3"/>
      <c r="V332" s="3"/>
      <c r="W332" s="3"/>
    </row>
    <row r="333" spans="15:23">
      <c r="O333" s="3"/>
      <c r="P333" s="3"/>
      <c r="Q333" s="35"/>
      <c r="R333" s="35"/>
      <c r="S333" s="35"/>
      <c r="T333" s="35"/>
      <c r="U333" s="3"/>
      <c r="V333" s="3"/>
      <c r="W333" s="3"/>
    </row>
    <row r="334" spans="15:23">
      <c r="O334" s="3"/>
      <c r="P334" s="3"/>
      <c r="Q334" s="35"/>
      <c r="R334" s="35"/>
      <c r="S334" s="35"/>
      <c r="T334" s="35"/>
      <c r="U334" s="3"/>
      <c r="V334" s="3"/>
      <c r="W334" s="3"/>
    </row>
    <row r="335" spans="15:23">
      <c r="O335" s="3"/>
      <c r="P335" s="3"/>
      <c r="Q335" s="35"/>
      <c r="R335" s="35"/>
      <c r="S335" s="35"/>
      <c r="T335" s="35"/>
      <c r="U335" s="3"/>
      <c r="V335" s="3"/>
      <c r="W335" s="3"/>
    </row>
    <row r="336" spans="15:23">
      <c r="O336" s="3"/>
      <c r="P336" s="3"/>
      <c r="Q336" s="35"/>
      <c r="R336" s="35"/>
      <c r="S336" s="35"/>
      <c r="T336" s="35"/>
      <c r="U336" s="3"/>
      <c r="V336" s="3"/>
      <c r="W336" s="3"/>
    </row>
    <row r="337" spans="15:23">
      <c r="O337" s="3"/>
      <c r="P337" s="3"/>
      <c r="Q337" s="35"/>
      <c r="R337" s="35"/>
      <c r="S337" s="35"/>
      <c r="T337" s="35"/>
      <c r="U337" s="3"/>
      <c r="V337" s="3"/>
      <c r="W337" s="3"/>
    </row>
    <row r="338" spans="15:23">
      <c r="O338" s="3"/>
      <c r="P338" s="3"/>
      <c r="Q338" s="35"/>
      <c r="R338" s="35"/>
      <c r="S338" s="35"/>
      <c r="T338" s="35"/>
      <c r="U338" s="3"/>
      <c r="V338" s="3"/>
      <c r="W338" s="3"/>
    </row>
    <row r="339" spans="15:23">
      <c r="O339" s="3"/>
      <c r="P339" s="3"/>
      <c r="Q339" s="35"/>
      <c r="R339" s="35"/>
      <c r="S339" s="35"/>
      <c r="T339" s="35"/>
      <c r="U339" s="3"/>
      <c r="V339" s="3"/>
      <c r="W339" s="3"/>
    </row>
    <row r="340" spans="15:23">
      <c r="O340" s="3"/>
      <c r="P340" s="3"/>
      <c r="Q340" s="35"/>
      <c r="R340" s="35"/>
      <c r="S340" s="35"/>
      <c r="T340" s="35"/>
      <c r="U340" s="3"/>
      <c r="V340" s="3"/>
      <c r="W340" s="3"/>
    </row>
    <row r="341" spans="15:23">
      <c r="O341" s="3"/>
      <c r="P341" s="3"/>
      <c r="Q341" s="35"/>
      <c r="R341" s="35"/>
      <c r="S341" s="35"/>
      <c r="T341" s="35"/>
      <c r="U341" s="3"/>
      <c r="V341" s="3"/>
      <c r="W341" s="3"/>
    </row>
    <row r="342" spans="15:23">
      <c r="O342" s="3"/>
      <c r="P342" s="3"/>
      <c r="Q342" s="35"/>
      <c r="R342" s="35"/>
      <c r="S342" s="35"/>
      <c r="T342" s="35"/>
      <c r="U342" s="3"/>
      <c r="V342" s="3"/>
      <c r="W342" s="3"/>
    </row>
    <row r="343" spans="15:23">
      <c r="O343" s="3"/>
      <c r="P343" s="3"/>
      <c r="Q343" s="35"/>
      <c r="R343" s="35"/>
      <c r="S343" s="35"/>
      <c r="T343" s="35"/>
      <c r="U343" s="3"/>
      <c r="V343" s="3"/>
      <c r="W343" s="3"/>
    </row>
    <row r="344" spans="15:23">
      <c r="O344" s="3"/>
      <c r="P344" s="3"/>
      <c r="Q344" s="35"/>
      <c r="R344" s="35"/>
      <c r="S344" s="35"/>
      <c r="T344" s="35"/>
      <c r="U344" s="3"/>
      <c r="V344" s="3"/>
      <c r="W344" s="3"/>
    </row>
    <row r="345" spans="15:23">
      <c r="O345" s="3"/>
      <c r="P345" s="3"/>
      <c r="Q345" s="35"/>
      <c r="R345" s="35"/>
      <c r="S345" s="35"/>
      <c r="T345" s="35"/>
      <c r="U345" s="3"/>
      <c r="V345" s="3"/>
      <c r="W345" s="3"/>
    </row>
    <row r="346" spans="15:23">
      <c r="O346" s="3"/>
      <c r="P346" s="3"/>
      <c r="Q346" s="35"/>
      <c r="R346" s="35"/>
      <c r="S346" s="35"/>
      <c r="T346" s="35"/>
      <c r="U346" s="3"/>
      <c r="V346" s="3"/>
      <c r="W346" s="3"/>
    </row>
    <row r="347" spans="15:23">
      <c r="O347" s="3"/>
      <c r="P347" s="3"/>
      <c r="Q347" s="35"/>
      <c r="R347" s="35"/>
      <c r="S347" s="35"/>
      <c r="T347" s="35"/>
      <c r="U347" s="3"/>
      <c r="V347" s="3"/>
      <c r="W347" s="3"/>
    </row>
    <row r="348" spans="15:23">
      <c r="O348" s="3"/>
      <c r="P348" s="3"/>
      <c r="Q348" s="35"/>
      <c r="R348" s="35"/>
      <c r="S348" s="35"/>
      <c r="T348" s="35"/>
      <c r="U348" s="3"/>
      <c r="V348" s="3"/>
      <c r="W348" s="3"/>
    </row>
    <row r="349" spans="15:23">
      <c r="O349" s="3"/>
      <c r="P349" s="3"/>
      <c r="Q349" s="35"/>
      <c r="R349" s="35"/>
      <c r="S349" s="35"/>
      <c r="T349" s="35"/>
      <c r="U349" s="3"/>
      <c r="V349" s="3"/>
      <c r="W349" s="3"/>
    </row>
    <row r="350" spans="15:23">
      <c r="O350" s="3"/>
      <c r="P350" s="3"/>
      <c r="Q350" s="35"/>
      <c r="R350" s="35"/>
      <c r="S350" s="35"/>
      <c r="T350" s="35"/>
      <c r="U350" s="3"/>
      <c r="V350" s="3"/>
      <c r="W350" s="3"/>
    </row>
    <row r="351" spans="15:23">
      <c r="O351" s="3"/>
      <c r="P351" s="3"/>
      <c r="Q351" s="35"/>
      <c r="R351" s="35"/>
      <c r="S351" s="35"/>
      <c r="T351" s="35"/>
      <c r="U351" s="3"/>
      <c r="V351" s="3"/>
      <c r="W351" s="3"/>
    </row>
    <row r="352" spans="15:23">
      <c r="O352" s="3"/>
      <c r="P352" s="3"/>
      <c r="Q352" s="35"/>
      <c r="R352" s="35"/>
      <c r="S352" s="35"/>
      <c r="T352" s="35"/>
      <c r="U352" s="3"/>
      <c r="V352" s="3"/>
      <c r="W352" s="3"/>
    </row>
    <row r="353" spans="15:23">
      <c r="O353" s="3"/>
      <c r="P353" s="3"/>
      <c r="Q353" s="35"/>
      <c r="R353" s="35"/>
      <c r="S353" s="35"/>
      <c r="T353" s="35"/>
      <c r="U353" s="3"/>
      <c r="V353" s="3"/>
      <c r="W353" s="3"/>
    </row>
    <row r="354" spans="15:23">
      <c r="O354" s="3"/>
      <c r="P354" s="3"/>
      <c r="Q354" s="35"/>
      <c r="R354" s="35"/>
      <c r="S354" s="35"/>
      <c r="T354" s="35"/>
      <c r="U354" s="3"/>
      <c r="V354" s="3"/>
      <c r="W354" s="3"/>
    </row>
    <row r="355" spans="15:23">
      <c r="O355" s="3"/>
      <c r="P355" s="3"/>
      <c r="Q355" s="35"/>
      <c r="R355" s="35"/>
      <c r="S355" s="35"/>
      <c r="T355" s="35"/>
      <c r="U355" s="3"/>
      <c r="V355" s="3"/>
      <c r="W355" s="3"/>
    </row>
    <row r="356" spans="15:23">
      <c r="O356" s="3"/>
      <c r="P356" s="3"/>
      <c r="Q356" s="35"/>
      <c r="R356" s="35"/>
      <c r="S356" s="35"/>
      <c r="T356" s="35"/>
      <c r="U356" s="3"/>
      <c r="V356" s="3"/>
      <c r="W356" s="3"/>
    </row>
    <row r="357" spans="15:23">
      <c r="O357" s="3"/>
      <c r="P357" s="3"/>
      <c r="Q357" s="35"/>
      <c r="R357" s="35"/>
      <c r="S357" s="35"/>
      <c r="T357" s="35"/>
      <c r="U357" s="3"/>
      <c r="V357" s="3"/>
      <c r="W357" s="3"/>
    </row>
    <row r="358" spans="15:23">
      <c r="O358" s="3"/>
      <c r="P358" s="3"/>
      <c r="Q358" s="35"/>
      <c r="R358" s="35"/>
      <c r="S358" s="35"/>
      <c r="T358" s="35"/>
      <c r="U358" s="3"/>
      <c r="V358" s="3"/>
      <c r="W358" s="3"/>
    </row>
    <row r="359" spans="15:23">
      <c r="O359" s="3"/>
      <c r="P359" s="3"/>
      <c r="Q359" s="35"/>
      <c r="R359" s="35"/>
      <c r="S359" s="35"/>
      <c r="T359" s="35"/>
      <c r="U359" s="3"/>
      <c r="V359" s="3"/>
      <c r="W359" s="3"/>
    </row>
    <row r="360" spans="15:23">
      <c r="O360" s="3"/>
      <c r="P360" s="3"/>
      <c r="Q360" s="35"/>
      <c r="R360" s="35"/>
      <c r="S360" s="35"/>
      <c r="T360" s="35"/>
      <c r="U360" s="3"/>
      <c r="V360" s="3"/>
      <c r="W360" s="3"/>
    </row>
    <row r="361" spans="15:23">
      <c r="O361" s="3"/>
      <c r="P361" s="3"/>
      <c r="Q361" s="35"/>
      <c r="R361" s="35"/>
      <c r="S361" s="35"/>
      <c r="T361" s="35"/>
      <c r="U361" s="3"/>
      <c r="V361" s="3"/>
      <c r="W361" s="3"/>
    </row>
    <row r="362" spans="15:23">
      <c r="O362" s="3"/>
      <c r="P362" s="3"/>
      <c r="Q362" s="35"/>
      <c r="R362" s="35"/>
      <c r="S362" s="35"/>
      <c r="T362" s="35"/>
      <c r="U362" s="3"/>
      <c r="V362" s="3"/>
      <c r="W362" s="3"/>
    </row>
    <row r="363" spans="15:23">
      <c r="O363" s="3"/>
      <c r="P363" s="3"/>
      <c r="Q363" s="35"/>
      <c r="R363" s="35"/>
      <c r="S363" s="35"/>
      <c r="T363" s="35"/>
      <c r="U363" s="3"/>
      <c r="V363" s="3"/>
      <c r="W363" s="3"/>
    </row>
    <row r="364" spans="15:23">
      <c r="O364" s="3"/>
      <c r="P364" s="3"/>
      <c r="Q364" s="35"/>
      <c r="R364" s="35"/>
      <c r="S364" s="35"/>
      <c r="T364" s="35"/>
      <c r="U364" s="3"/>
      <c r="V364" s="3"/>
      <c r="W364" s="3"/>
    </row>
    <row r="365" spans="15:23">
      <c r="O365" s="3"/>
      <c r="P365" s="3"/>
      <c r="Q365" s="35"/>
      <c r="R365" s="35"/>
      <c r="S365" s="35"/>
      <c r="T365" s="35"/>
      <c r="U365" s="3"/>
      <c r="V365" s="3"/>
      <c r="W365" s="3"/>
    </row>
    <row r="366" spans="15:23">
      <c r="O366" s="3"/>
      <c r="P366" s="3"/>
      <c r="Q366" s="35"/>
      <c r="R366" s="35"/>
      <c r="S366" s="35"/>
      <c r="T366" s="35"/>
      <c r="U366" s="3"/>
      <c r="V366" s="3"/>
      <c r="W366" s="3"/>
    </row>
    <row r="367" spans="15:23">
      <c r="O367" s="3"/>
      <c r="P367" s="3"/>
      <c r="Q367" s="35"/>
      <c r="R367" s="35"/>
      <c r="S367" s="35"/>
      <c r="T367" s="35"/>
      <c r="U367" s="3"/>
      <c r="V367" s="3"/>
      <c r="W367" s="3"/>
    </row>
    <row r="368" spans="15:23">
      <c r="O368" s="3"/>
      <c r="P368" s="3"/>
      <c r="Q368" s="35"/>
      <c r="R368" s="35"/>
      <c r="S368" s="35"/>
      <c r="T368" s="35"/>
      <c r="U368" s="3"/>
      <c r="V368" s="3"/>
      <c r="W368" s="3"/>
    </row>
    <row r="369" spans="15:23">
      <c r="O369" s="3"/>
      <c r="P369" s="3"/>
      <c r="Q369" s="35"/>
      <c r="R369" s="35"/>
      <c r="S369" s="35"/>
      <c r="T369" s="35"/>
      <c r="U369" s="3"/>
      <c r="V369" s="3"/>
      <c r="W369" s="3"/>
    </row>
    <row r="370" spans="15:23">
      <c r="O370" s="3"/>
      <c r="P370" s="3"/>
      <c r="Q370" s="35"/>
      <c r="R370" s="35"/>
      <c r="S370" s="35"/>
      <c r="T370" s="35"/>
      <c r="U370" s="3"/>
      <c r="V370" s="3"/>
      <c r="W370" s="3"/>
    </row>
    <row r="371" spans="15:23">
      <c r="O371" s="3"/>
      <c r="P371" s="3"/>
      <c r="Q371" s="35"/>
      <c r="R371" s="35"/>
      <c r="S371" s="35"/>
      <c r="T371" s="35"/>
      <c r="U371" s="3"/>
      <c r="V371" s="3"/>
      <c r="W371" s="3"/>
    </row>
    <row r="372" spans="15:23">
      <c r="O372" s="3"/>
      <c r="P372" s="3"/>
      <c r="Q372" s="35"/>
      <c r="R372" s="35"/>
      <c r="S372" s="35"/>
      <c r="T372" s="35"/>
      <c r="U372" s="3"/>
      <c r="V372" s="3"/>
      <c r="W372" s="3"/>
    </row>
    <row r="373" spans="15:23">
      <c r="O373" s="3"/>
      <c r="P373" s="3"/>
      <c r="Q373" s="35"/>
      <c r="R373" s="35"/>
      <c r="S373" s="35"/>
      <c r="T373" s="35"/>
      <c r="U373" s="3"/>
      <c r="V373" s="3"/>
      <c r="W373" s="3"/>
    </row>
    <row r="374" spans="15:23">
      <c r="O374" s="3"/>
      <c r="P374" s="3"/>
      <c r="Q374" s="35"/>
      <c r="R374" s="35"/>
      <c r="S374" s="35"/>
      <c r="T374" s="35"/>
      <c r="U374" s="3"/>
      <c r="V374" s="3"/>
      <c r="W374" s="3"/>
    </row>
    <row r="375" spans="15:23">
      <c r="O375" s="3"/>
      <c r="P375" s="3"/>
      <c r="Q375" s="35"/>
      <c r="R375" s="35"/>
      <c r="S375" s="35"/>
      <c r="T375" s="35"/>
      <c r="U375" s="3"/>
      <c r="V375" s="3"/>
      <c r="W375" s="3"/>
    </row>
    <row r="376" spans="15:23">
      <c r="O376" s="3"/>
      <c r="P376" s="3"/>
      <c r="Q376" s="35"/>
      <c r="R376" s="35"/>
      <c r="S376" s="35"/>
      <c r="T376" s="35"/>
      <c r="U376" s="3"/>
      <c r="V376" s="3"/>
      <c r="W376" s="3"/>
    </row>
    <row r="377" spans="15:23">
      <c r="O377" s="3"/>
      <c r="P377" s="3"/>
      <c r="Q377" s="35"/>
      <c r="R377" s="35"/>
      <c r="S377" s="35"/>
      <c r="T377" s="35"/>
      <c r="U377" s="3"/>
      <c r="V377" s="3"/>
      <c r="W377" s="3"/>
    </row>
    <row r="378" spans="15:23">
      <c r="O378" s="3"/>
      <c r="P378" s="3"/>
      <c r="Q378" s="35"/>
      <c r="R378" s="35"/>
      <c r="S378" s="35"/>
      <c r="T378" s="35"/>
      <c r="U378" s="3"/>
      <c r="V378" s="3"/>
      <c r="W378" s="3"/>
    </row>
    <row r="379" spans="15:23">
      <c r="O379" s="3"/>
      <c r="P379" s="3"/>
      <c r="Q379" s="35"/>
      <c r="R379" s="35"/>
      <c r="S379" s="35"/>
      <c r="T379" s="35"/>
      <c r="U379" s="3"/>
      <c r="V379" s="3"/>
      <c r="W379" s="3"/>
    </row>
    <row r="380" spans="15:23">
      <c r="O380" s="3"/>
      <c r="P380" s="3"/>
      <c r="Q380" s="35"/>
      <c r="R380" s="35"/>
      <c r="S380" s="35"/>
      <c r="T380" s="35"/>
      <c r="U380" s="3"/>
      <c r="V380" s="3"/>
      <c r="W380" s="3"/>
    </row>
    <row r="381" spans="15:23">
      <c r="O381" s="3"/>
      <c r="P381" s="3"/>
      <c r="Q381" s="35"/>
      <c r="R381" s="35"/>
      <c r="S381" s="35"/>
      <c r="T381" s="35"/>
      <c r="U381" s="3"/>
      <c r="V381" s="3"/>
      <c r="W381" s="3"/>
    </row>
    <row r="382" spans="15:23">
      <c r="O382" s="3"/>
      <c r="P382" s="3"/>
      <c r="Q382" s="35"/>
      <c r="R382" s="35"/>
      <c r="S382" s="35"/>
      <c r="T382" s="35"/>
      <c r="U382" s="3"/>
      <c r="V382" s="3"/>
      <c r="W382" s="3"/>
    </row>
    <row r="383" spans="15:23">
      <c r="O383" s="3"/>
      <c r="P383" s="3"/>
      <c r="Q383" s="35"/>
      <c r="R383" s="35"/>
      <c r="S383" s="35"/>
      <c r="T383" s="35"/>
      <c r="U383" s="3"/>
      <c r="V383" s="3"/>
      <c r="W383" s="3"/>
    </row>
    <row r="384" spans="15:23">
      <c r="O384" s="3"/>
      <c r="P384" s="3"/>
      <c r="Q384" s="35"/>
      <c r="R384" s="35"/>
      <c r="S384" s="35"/>
      <c r="T384" s="35"/>
      <c r="U384" s="3"/>
      <c r="V384" s="3"/>
      <c r="W384" s="3"/>
    </row>
    <row r="385" spans="15:23">
      <c r="O385" s="3"/>
      <c r="P385" s="3"/>
      <c r="Q385" s="35"/>
      <c r="R385" s="35"/>
      <c r="S385" s="35"/>
      <c r="T385" s="35"/>
      <c r="U385" s="3"/>
      <c r="V385" s="3"/>
      <c r="W385" s="3"/>
    </row>
    <row r="386" spans="15:23">
      <c r="O386" s="3"/>
      <c r="P386" s="3"/>
      <c r="Q386" s="35"/>
      <c r="R386" s="35"/>
      <c r="S386" s="35"/>
      <c r="T386" s="35"/>
      <c r="U386" s="3"/>
      <c r="V386" s="3"/>
      <c r="W386" s="3"/>
    </row>
    <row r="387" spans="15:23">
      <c r="O387" s="3"/>
      <c r="P387" s="3"/>
      <c r="Q387" s="35"/>
      <c r="R387" s="35"/>
      <c r="S387" s="35"/>
      <c r="T387" s="35"/>
      <c r="U387" s="3"/>
      <c r="V387" s="3"/>
      <c r="W387" s="3"/>
    </row>
    <row r="388" spans="15:23">
      <c r="O388" s="3"/>
      <c r="P388" s="3"/>
      <c r="Q388" s="35"/>
      <c r="R388" s="35"/>
      <c r="S388" s="35"/>
      <c r="T388" s="35"/>
      <c r="U388" s="3"/>
      <c r="V388" s="3"/>
      <c r="W388" s="3"/>
    </row>
    <row r="389" spans="15:23">
      <c r="O389" s="3"/>
      <c r="P389" s="3"/>
      <c r="Q389" s="35"/>
      <c r="R389" s="35"/>
      <c r="S389" s="35"/>
      <c r="T389" s="35"/>
      <c r="U389" s="3"/>
      <c r="V389" s="3"/>
      <c r="W389" s="3"/>
    </row>
    <row r="390" spans="15:23">
      <c r="O390" s="3"/>
      <c r="P390" s="3"/>
      <c r="Q390" s="35"/>
      <c r="R390" s="35"/>
      <c r="S390" s="35"/>
      <c r="T390" s="35"/>
      <c r="U390" s="3"/>
      <c r="V390" s="3"/>
      <c r="W390" s="3"/>
    </row>
    <row r="391" spans="15:23">
      <c r="O391" s="3"/>
      <c r="P391" s="3"/>
      <c r="Q391" s="35"/>
      <c r="R391" s="35"/>
      <c r="S391" s="35"/>
      <c r="T391" s="35"/>
      <c r="U391" s="3"/>
      <c r="V391" s="3"/>
      <c r="W391" s="3"/>
    </row>
    <row r="392" spans="15:23">
      <c r="O392" s="3"/>
      <c r="P392" s="3"/>
      <c r="Q392" s="35"/>
      <c r="R392" s="35"/>
      <c r="S392" s="35"/>
      <c r="T392" s="35"/>
      <c r="U392" s="3"/>
      <c r="V392" s="3"/>
      <c r="W392" s="3"/>
    </row>
    <row r="393" spans="15:23">
      <c r="O393" s="3"/>
      <c r="P393" s="3"/>
      <c r="Q393" s="35"/>
      <c r="R393" s="35"/>
      <c r="S393" s="35"/>
      <c r="T393" s="35"/>
      <c r="U393" s="3"/>
      <c r="V393" s="3"/>
      <c r="W393" s="3"/>
    </row>
    <row r="394" spans="15:23">
      <c r="O394" s="3"/>
      <c r="P394" s="3"/>
      <c r="Q394" s="35"/>
      <c r="R394" s="35"/>
      <c r="S394" s="35"/>
      <c r="T394" s="35"/>
      <c r="U394" s="3"/>
      <c r="V394" s="3"/>
      <c r="W394" s="3"/>
    </row>
    <row r="395" spans="15:23">
      <c r="O395" s="3"/>
      <c r="P395" s="3"/>
      <c r="Q395" s="35"/>
      <c r="R395" s="35"/>
      <c r="S395" s="35"/>
      <c r="T395" s="35"/>
      <c r="U395" s="3"/>
      <c r="V395" s="3"/>
      <c r="W395" s="3"/>
    </row>
    <row r="396" spans="15:23">
      <c r="O396" s="3"/>
      <c r="P396" s="3"/>
      <c r="Q396" s="35"/>
      <c r="R396" s="35"/>
      <c r="S396" s="35"/>
      <c r="T396" s="35"/>
      <c r="U396" s="3"/>
      <c r="V396" s="3"/>
      <c r="W396" s="3"/>
    </row>
    <row r="397" spans="15:23">
      <c r="O397" s="3"/>
      <c r="P397" s="3"/>
      <c r="Q397" s="35"/>
      <c r="R397" s="35"/>
      <c r="S397" s="35"/>
      <c r="T397" s="35"/>
      <c r="U397" s="3"/>
      <c r="V397" s="3"/>
      <c r="W397" s="3"/>
    </row>
    <row r="398" spans="15:23">
      <c r="O398" s="3"/>
      <c r="P398" s="3"/>
      <c r="Q398" s="35"/>
      <c r="R398" s="35"/>
      <c r="S398" s="35"/>
      <c r="T398" s="35"/>
      <c r="U398" s="3"/>
      <c r="V398" s="3"/>
      <c r="W398" s="3"/>
    </row>
    <row r="399" spans="15:23">
      <c r="O399" s="3"/>
      <c r="P399" s="3"/>
      <c r="Q399" s="35"/>
      <c r="R399" s="35"/>
      <c r="S399" s="35"/>
      <c r="T399" s="35"/>
      <c r="U399" s="3"/>
      <c r="V399" s="3"/>
      <c r="W399" s="3"/>
    </row>
    <row r="400" spans="15:23">
      <c r="O400" s="3"/>
      <c r="P400" s="3"/>
      <c r="Q400" s="35"/>
      <c r="R400" s="35"/>
      <c r="S400" s="35"/>
      <c r="T400" s="35"/>
      <c r="U400" s="3"/>
      <c r="V400" s="3"/>
      <c r="W400" s="3"/>
    </row>
    <row r="401" spans="15:23">
      <c r="O401" s="3"/>
      <c r="P401" s="3"/>
      <c r="Q401" s="35"/>
      <c r="R401" s="35"/>
      <c r="S401" s="35"/>
      <c r="T401" s="35"/>
      <c r="U401" s="3"/>
      <c r="V401" s="3"/>
      <c r="W401" s="3"/>
    </row>
    <row r="402" spans="15:23">
      <c r="O402" s="3"/>
      <c r="P402" s="3"/>
      <c r="Q402" s="35"/>
      <c r="R402" s="35"/>
      <c r="S402" s="35"/>
      <c r="T402" s="35"/>
      <c r="U402" s="3"/>
      <c r="V402" s="3"/>
      <c r="W402" s="3"/>
    </row>
    <row r="403" spans="15:23">
      <c r="O403" s="3"/>
      <c r="P403" s="3"/>
      <c r="Q403" s="35"/>
      <c r="R403" s="35"/>
      <c r="S403" s="35"/>
      <c r="T403" s="35"/>
      <c r="U403" s="3"/>
      <c r="V403" s="3"/>
      <c r="W403" s="3"/>
    </row>
    <row r="404" spans="15:23">
      <c r="O404" s="3"/>
      <c r="P404" s="3"/>
      <c r="Q404" s="35"/>
      <c r="R404" s="35"/>
      <c r="S404" s="35"/>
      <c r="T404" s="35"/>
      <c r="U404" s="3"/>
      <c r="V404" s="3"/>
      <c r="W404" s="3"/>
    </row>
    <row r="405" spans="15:23">
      <c r="O405" s="3"/>
      <c r="P405" s="3"/>
      <c r="Q405" s="35"/>
      <c r="R405" s="35"/>
      <c r="S405" s="35"/>
      <c r="T405" s="35"/>
      <c r="U405" s="3"/>
      <c r="V405" s="3"/>
      <c r="W405" s="3"/>
    </row>
    <row r="406" spans="15:23">
      <c r="O406" s="3"/>
      <c r="P406" s="3"/>
      <c r="Q406" s="35"/>
      <c r="R406" s="35"/>
      <c r="S406" s="35"/>
      <c r="T406" s="35"/>
      <c r="U406" s="3"/>
      <c r="V406" s="3"/>
      <c r="W406" s="3"/>
    </row>
    <row r="407" spans="15:23">
      <c r="O407" s="3"/>
      <c r="P407" s="3"/>
      <c r="Q407" s="35"/>
      <c r="R407" s="35"/>
      <c r="S407" s="35"/>
      <c r="T407" s="35"/>
      <c r="U407" s="3"/>
      <c r="V407" s="3"/>
      <c r="W407" s="3"/>
    </row>
    <row r="408" spans="15:23">
      <c r="O408" s="3"/>
      <c r="P408" s="3"/>
      <c r="Q408" s="35"/>
      <c r="R408" s="35"/>
      <c r="S408" s="35"/>
      <c r="T408" s="35"/>
      <c r="U408" s="3"/>
      <c r="V408" s="3"/>
      <c r="W408" s="3"/>
    </row>
    <row r="409" spans="15:23">
      <c r="O409" s="3"/>
      <c r="P409" s="3"/>
      <c r="Q409" s="35"/>
      <c r="R409" s="35"/>
      <c r="S409" s="35"/>
      <c r="T409" s="35"/>
      <c r="U409" s="3"/>
      <c r="V409" s="3"/>
      <c r="W409" s="3"/>
    </row>
    <row r="410" spans="15:23">
      <c r="O410" s="3"/>
      <c r="P410" s="3"/>
      <c r="Q410" s="35"/>
      <c r="R410" s="35"/>
      <c r="S410" s="35"/>
      <c r="T410" s="35"/>
      <c r="U410" s="3"/>
      <c r="V410" s="3"/>
      <c r="W410" s="3"/>
    </row>
    <row r="411" spans="15:23">
      <c r="O411" s="3"/>
      <c r="P411" s="3"/>
      <c r="Q411" s="35"/>
      <c r="R411" s="35"/>
      <c r="S411" s="35"/>
      <c r="T411" s="35"/>
      <c r="U411" s="3"/>
      <c r="V411" s="3"/>
      <c r="W411" s="3"/>
    </row>
    <row r="412" spans="15:23">
      <c r="O412" s="3"/>
      <c r="P412" s="3"/>
      <c r="Q412" s="35"/>
      <c r="R412" s="35"/>
      <c r="S412" s="35"/>
      <c r="T412" s="35"/>
      <c r="U412" s="3"/>
      <c r="V412" s="3"/>
      <c r="W412" s="3"/>
    </row>
    <row r="413" spans="15:23">
      <c r="O413" s="3"/>
      <c r="P413" s="3"/>
      <c r="Q413" s="35"/>
      <c r="R413" s="35"/>
      <c r="S413" s="35"/>
      <c r="T413" s="35"/>
      <c r="U413" s="3"/>
      <c r="V413" s="3"/>
      <c r="W413" s="3"/>
    </row>
    <row r="414" spans="15:23">
      <c r="O414" s="3"/>
      <c r="P414" s="3"/>
      <c r="Q414" s="35"/>
      <c r="R414" s="35"/>
      <c r="S414" s="35"/>
      <c r="T414" s="35"/>
      <c r="U414" s="3"/>
      <c r="V414" s="3"/>
      <c r="W414" s="3"/>
    </row>
    <row r="415" spans="15:23">
      <c r="O415" s="3"/>
      <c r="P415" s="3"/>
      <c r="Q415" s="35"/>
      <c r="R415" s="35"/>
      <c r="S415" s="35"/>
      <c r="T415" s="35"/>
      <c r="U415" s="3"/>
      <c r="V415" s="3"/>
      <c r="W415" s="3"/>
    </row>
    <row r="416" spans="15:23">
      <c r="O416" s="3"/>
      <c r="P416" s="3"/>
      <c r="Q416" s="35"/>
      <c r="R416" s="35"/>
      <c r="S416" s="35"/>
      <c r="T416" s="35"/>
      <c r="U416" s="3"/>
      <c r="V416" s="3"/>
      <c r="W416" s="3"/>
    </row>
    <row r="417" spans="15:23">
      <c r="O417" s="3"/>
      <c r="P417" s="3"/>
      <c r="Q417" s="35"/>
      <c r="R417" s="35"/>
      <c r="S417" s="35"/>
      <c r="T417" s="35"/>
      <c r="U417" s="3"/>
      <c r="V417" s="3"/>
      <c r="W417" s="3"/>
    </row>
    <row r="418" spans="15:23">
      <c r="O418" s="3"/>
      <c r="P418" s="3"/>
      <c r="Q418" s="35"/>
      <c r="R418" s="35"/>
      <c r="S418" s="35"/>
      <c r="T418" s="35"/>
      <c r="U418" s="3"/>
      <c r="V418" s="3"/>
      <c r="W418" s="3"/>
    </row>
    <row r="419" spans="15:23">
      <c r="O419" s="3"/>
      <c r="P419" s="3"/>
      <c r="Q419" s="35"/>
      <c r="R419" s="35"/>
      <c r="S419" s="35"/>
      <c r="T419" s="35"/>
      <c r="U419" s="3"/>
      <c r="V419" s="3"/>
      <c r="W419" s="3"/>
    </row>
    <row r="420" spans="15:23">
      <c r="O420" s="3"/>
      <c r="P420" s="3"/>
      <c r="Q420" s="35"/>
      <c r="R420" s="35"/>
      <c r="S420" s="35"/>
      <c r="T420" s="35"/>
      <c r="U420" s="3"/>
      <c r="V420" s="3"/>
      <c r="W420" s="3"/>
    </row>
    <row r="421" spans="15:23">
      <c r="O421" s="3"/>
      <c r="P421" s="3"/>
      <c r="Q421" s="35"/>
      <c r="R421" s="35"/>
      <c r="S421" s="35"/>
      <c r="T421" s="35"/>
      <c r="U421" s="3"/>
      <c r="V421" s="3"/>
      <c r="W421" s="3"/>
    </row>
    <row r="422" spans="15:23">
      <c r="O422" s="3"/>
      <c r="P422" s="3"/>
      <c r="Q422" s="35"/>
      <c r="R422" s="35"/>
      <c r="S422" s="35"/>
      <c r="T422" s="35"/>
      <c r="U422" s="3"/>
      <c r="V422" s="3"/>
      <c r="W422" s="3"/>
    </row>
    <row r="423" spans="15:23">
      <c r="O423" s="3"/>
      <c r="P423" s="3"/>
      <c r="Q423" s="35"/>
      <c r="R423" s="35"/>
      <c r="S423" s="35"/>
      <c r="T423" s="35"/>
      <c r="U423" s="3"/>
      <c r="V423" s="3"/>
      <c r="W423" s="3"/>
    </row>
    <row r="424" spans="15:23">
      <c r="O424" s="3"/>
      <c r="P424" s="3"/>
      <c r="Q424" s="35"/>
      <c r="R424" s="35"/>
      <c r="S424" s="35"/>
      <c r="T424" s="35"/>
      <c r="U424" s="3"/>
      <c r="V424" s="3"/>
      <c r="W424" s="3"/>
    </row>
    <row r="425" spans="15:23">
      <c r="O425" s="3"/>
      <c r="P425" s="3"/>
      <c r="Q425" s="35"/>
      <c r="R425" s="35"/>
      <c r="S425" s="35"/>
      <c r="T425" s="35"/>
      <c r="U425" s="3"/>
      <c r="V425" s="3"/>
      <c r="W425" s="3"/>
    </row>
    <row r="426" spans="15:23">
      <c r="O426" s="3"/>
      <c r="P426" s="3"/>
      <c r="Q426" s="35"/>
      <c r="R426" s="35"/>
      <c r="S426" s="35"/>
      <c r="T426" s="35"/>
      <c r="U426" s="3"/>
      <c r="V426" s="3"/>
      <c r="W426" s="3"/>
    </row>
    <row r="427" spans="15:23">
      <c r="O427" s="3"/>
      <c r="P427" s="3"/>
      <c r="Q427" s="35"/>
      <c r="R427" s="35"/>
      <c r="S427" s="35"/>
      <c r="T427" s="35"/>
      <c r="U427" s="3"/>
      <c r="V427" s="3"/>
      <c r="W427" s="3"/>
    </row>
    <row r="428" spans="15:23">
      <c r="O428" s="3"/>
      <c r="P428" s="3"/>
      <c r="Q428" s="35"/>
      <c r="R428" s="35"/>
      <c r="S428" s="35"/>
      <c r="T428" s="35"/>
      <c r="U428" s="3"/>
      <c r="V428" s="3"/>
      <c r="W428" s="3"/>
    </row>
    <row r="429" spans="15:23">
      <c r="O429" s="3"/>
      <c r="P429" s="3"/>
      <c r="Q429" s="35"/>
      <c r="R429" s="35"/>
      <c r="S429" s="35"/>
      <c r="T429" s="35"/>
      <c r="U429" s="3"/>
      <c r="V429" s="3"/>
      <c r="W429" s="3"/>
    </row>
    <row r="430" spans="15:23">
      <c r="O430" s="3"/>
      <c r="P430" s="3"/>
      <c r="Q430" s="35"/>
      <c r="R430" s="35"/>
      <c r="S430" s="35"/>
      <c r="T430" s="35"/>
      <c r="U430" s="3"/>
      <c r="V430" s="3"/>
      <c r="W430" s="3"/>
    </row>
    <row r="431" spans="15:23">
      <c r="O431" s="3"/>
      <c r="P431" s="3"/>
      <c r="Q431" s="35"/>
      <c r="R431" s="35"/>
      <c r="S431" s="35"/>
      <c r="T431" s="35"/>
      <c r="U431" s="3"/>
      <c r="V431" s="3"/>
      <c r="W431" s="3"/>
    </row>
    <row r="432" spans="15:23">
      <c r="O432" s="3"/>
      <c r="P432" s="3"/>
      <c r="Q432" s="35"/>
      <c r="R432" s="35"/>
      <c r="S432" s="35"/>
      <c r="T432" s="35"/>
      <c r="U432" s="3"/>
      <c r="V432" s="3"/>
      <c r="W432" s="3"/>
    </row>
    <row r="433" spans="15:23">
      <c r="O433" s="3"/>
      <c r="P433" s="3"/>
      <c r="Q433" s="35"/>
      <c r="R433" s="35"/>
      <c r="S433" s="35"/>
      <c r="T433" s="35"/>
      <c r="U433" s="3"/>
      <c r="V433" s="3"/>
      <c r="W433" s="3"/>
    </row>
    <row r="434" spans="15:23">
      <c r="O434" s="3"/>
      <c r="P434" s="3"/>
      <c r="Q434" s="35"/>
      <c r="R434" s="35"/>
      <c r="S434" s="35"/>
      <c r="T434" s="35"/>
      <c r="U434" s="3"/>
      <c r="V434" s="3"/>
      <c r="W434" s="3"/>
    </row>
    <row r="435" spans="15:23">
      <c r="O435" s="3"/>
      <c r="P435" s="3"/>
      <c r="Q435" s="35"/>
      <c r="R435" s="35"/>
      <c r="S435" s="35"/>
      <c r="T435" s="35"/>
      <c r="U435" s="3"/>
      <c r="V435" s="3"/>
      <c r="W435" s="3"/>
    </row>
    <row r="436" spans="15:23">
      <c r="O436" s="3"/>
      <c r="P436" s="3"/>
      <c r="Q436" s="35"/>
      <c r="R436" s="35"/>
      <c r="S436" s="35"/>
      <c r="T436" s="35"/>
      <c r="U436" s="3"/>
      <c r="V436" s="3"/>
      <c r="W436" s="3"/>
    </row>
    <row r="437" spans="15:23">
      <c r="O437" s="3"/>
      <c r="P437" s="3"/>
      <c r="Q437" s="35"/>
      <c r="R437" s="35"/>
      <c r="S437" s="35"/>
      <c r="T437" s="35"/>
      <c r="U437" s="3"/>
      <c r="V437" s="3"/>
      <c r="W437" s="3"/>
    </row>
    <row r="438" spans="15:23">
      <c r="O438" s="3"/>
      <c r="P438" s="3"/>
      <c r="Q438" s="35"/>
      <c r="R438" s="35"/>
      <c r="S438" s="35"/>
      <c r="T438" s="35"/>
      <c r="U438" s="3"/>
      <c r="V438" s="3"/>
      <c r="W438" s="3"/>
    </row>
    <row r="439" spans="15:23">
      <c r="O439" s="3"/>
      <c r="P439" s="3"/>
      <c r="Q439" s="35"/>
      <c r="R439" s="35"/>
      <c r="S439" s="35"/>
      <c r="T439" s="35"/>
      <c r="U439" s="3"/>
      <c r="V439" s="3"/>
      <c r="W439" s="3"/>
    </row>
    <row r="440" spans="15:23">
      <c r="O440" s="3"/>
      <c r="P440" s="3"/>
      <c r="Q440" s="35"/>
      <c r="R440" s="35"/>
      <c r="S440" s="35"/>
      <c r="T440" s="35"/>
      <c r="U440" s="3"/>
      <c r="V440" s="3"/>
      <c r="W440" s="3"/>
    </row>
    <row r="441" spans="15:23">
      <c r="O441" s="3"/>
      <c r="P441" s="3"/>
      <c r="Q441" s="35"/>
      <c r="R441" s="35"/>
      <c r="S441" s="35"/>
      <c r="T441" s="35"/>
      <c r="U441" s="3"/>
      <c r="V441" s="3"/>
      <c r="W441" s="3"/>
    </row>
    <row r="442" spans="15:23">
      <c r="O442" s="3"/>
      <c r="P442" s="3"/>
      <c r="Q442" s="35"/>
      <c r="R442" s="35"/>
      <c r="S442" s="35"/>
      <c r="T442" s="35"/>
      <c r="U442" s="3"/>
      <c r="V442" s="3"/>
      <c r="W442" s="3"/>
    </row>
    <row r="443" spans="15:23">
      <c r="O443" s="3"/>
      <c r="P443" s="3"/>
      <c r="Q443" s="35"/>
      <c r="R443" s="35"/>
      <c r="S443" s="35"/>
      <c r="T443" s="35"/>
      <c r="U443" s="3"/>
      <c r="V443" s="3"/>
      <c r="W443" s="3"/>
    </row>
    <row r="444" spans="15:23">
      <c r="O444" s="3"/>
      <c r="P444" s="3"/>
      <c r="Q444" s="35"/>
      <c r="R444" s="35"/>
      <c r="S444" s="35"/>
      <c r="T444" s="35"/>
      <c r="U444" s="3"/>
      <c r="V444" s="3"/>
      <c r="W444" s="3"/>
    </row>
    <row r="445" spans="15:23">
      <c r="O445" s="3"/>
      <c r="P445" s="3"/>
      <c r="Q445" s="35"/>
      <c r="R445" s="35"/>
      <c r="S445" s="35"/>
      <c r="T445" s="35"/>
      <c r="U445" s="3"/>
      <c r="V445" s="3"/>
      <c r="W445" s="3"/>
    </row>
    <row r="446" spans="15:23">
      <c r="O446" s="3"/>
      <c r="P446" s="3"/>
      <c r="Q446" s="35"/>
      <c r="R446" s="35"/>
      <c r="S446" s="35"/>
      <c r="T446" s="35"/>
      <c r="U446" s="3"/>
      <c r="V446" s="3"/>
      <c r="W446" s="3"/>
    </row>
    <row r="447" spans="15:23">
      <c r="O447" s="3"/>
      <c r="P447" s="3"/>
      <c r="Q447" s="35"/>
      <c r="R447" s="35"/>
      <c r="S447" s="35"/>
      <c r="T447" s="35"/>
      <c r="U447" s="3"/>
      <c r="V447" s="3"/>
      <c r="W447" s="3"/>
    </row>
    <row r="448" spans="15:23">
      <c r="O448" s="3"/>
      <c r="P448" s="3"/>
      <c r="Q448" s="35"/>
      <c r="R448" s="35"/>
      <c r="S448" s="35"/>
      <c r="T448" s="35"/>
      <c r="U448" s="3"/>
      <c r="V448" s="3"/>
      <c r="W448" s="3"/>
    </row>
    <row r="449" spans="15:23">
      <c r="O449" s="3"/>
      <c r="P449" s="3"/>
      <c r="Q449" s="35"/>
      <c r="R449" s="35"/>
      <c r="S449" s="35"/>
      <c r="T449" s="35"/>
      <c r="U449" s="3"/>
      <c r="V449" s="3"/>
      <c r="W449" s="3"/>
    </row>
    <row r="450" spans="15:23">
      <c r="O450" s="3"/>
      <c r="P450" s="3"/>
      <c r="Q450" s="35"/>
      <c r="R450" s="35"/>
      <c r="S450" s="35"/>
      <c r="T450" s="35"/>
      <c r="U450" s="3"/>
      <c r="V450" s="3"/>
      <c r="W450" s="3"/>
    </row>
    <row r="451" spans="15:23">
      <c r="O451" s="3"/>
      <c r="P451" s="3"/>
      <c r="Q451" s="35"/>
      <c r="R451" s="35"/>
      <c r="S451" s="35"/>
      <c r="T451" s="35"/>
      <c r="U451" s="3"/>
      <c r="V451" s="3"/>
      <c r="W451" s="3"/>
    </row>
    <row r="452" spans="15:23">
      <c r="O452" s="3"/>
      <c r="P452" s="3"/>
      <c r="Q452" s="35"/>
      <c r="R452" s="35"/>
      <c r="S452" s="35"/>
      <c r="T452" s="35"/>
      <c r="U452" s="3"/>
      <c r="V452" s="3"/>
      <c r="W452" s="3"/>
    </row>
    <row r="453" spans="15:23">
      <c r="O453" s="3"/>
      <c r="P453" s="3"/>
      <c r="Q453" s="35"/>
      <c r="R453" s="35"/>
      <c r="S453" s="35"/>
      <c r="T453" s="35"/>
      <c r="U453" s="3"/>
      <c r="V453" s="3"/>
      <c r="W453" s="3"/>
    </row>
    <row r="454" spans="15:23">
      <c r="O454" s="3"/>
      <c r="P454" s="3"/>
      <c r="Q454" s="35"/>
      <c r="R454" s="35"/>
      <c r="S454" s="35"/>
      <c r="T454" s="35"/>
      <c r="U454" s="3"/>
      <c r="V454" s="3"/>
      <c r="W454" s="3"/>
    </row>
    <row r="455" spans="15:23">
      <c r="O455" s="3"/>
      <c r="P455" s="3"/>
      <c r="Q455" s="35"/>
      <c r="R455" s="35"/>
      <c r="S455" s="35"/>
      <c r="T455" s="35"/>
      <c r="U455" s="3"/>
      <c r="V455" s="3"/>
      <c r="W455" s="3"/>
    </row>
    <row r="456" spans="15:23">
      <c r="O456" s="3"/>
      <c r="P456" s="3"/>
      <c r="Q456" s="35"/>
      <c r="R456" s="35"/>
      <c r="S456" s="35"/>
      <c r="T456" s="35"/>
      <c r="U456" s="3"/>
      <c r="V456" s="3"/>
      <c r="W456" s="3"/>
    </row>
    <row r="457" spans="15:23">
      <c r="O457" s="3"/>
      <c r="P457" s="3"/>
      <c r="Q457" s="35"/>
      <c r="R457" s="35"/>
      <c r="S457" s="35"/>
      <c r="T457" s="35"/>
      <c r="U457" s="3"/>
      <c r="V457" s="3"/>
      <c r="W457" s="3"/>
    </row>
    <row r="458" spans="15:23">
      <c r="O458" s="3"/>
      <c r="P458" s="3"/>
      <c r="Q458" s="35"/>
      <c r="R458" s="35"/>
      <c r="S458" s="35"/>
      <c r="T458" s="35"/>
      <c r="U458" s="3"/>
      <c r="V458" s="3"/>
      <c r="W458" s="3"/>
    </row>
    <row r="459" spans="15:23">
      <c r="O459" s="3"/>
      <c r="P459" s="3"/>
      <c r="Q459" s="35"/>
      <c r="R459" s="35"/>
      <c r="S459" s="35"/>
      <c r="T459" s="35"/>
      <c r="U459" s="3"/>
      <c r="V459" s="3"/>
      <c r="W459" s="3"/>
    </row>
    <row r="460" spans="15:23">
      <c r="O460" s="3"/>
      <c r="P460" s="3"/>
      <c r="Q460" s="35"/>
      <c r="R460" s="35"/>
      <c r="S460" s="35"/>
      <c r="T460" s="35"/>
      <c r="U460" s="3"/>
      <c r="V460" s="3"/>
      <c r="W460" s="3"/>
    </row>
    <row r="461" spans="15:23">
      <c r="O461" s="3"/>
      <c r="P461" s="3"/>
      <c r="Q461" s="35"/>
      <c r="R461" s="35"/>
      <c r="S461" s="35"/>
      <c r="T461" s="35"/>
      <c r="U461" s="3"/>
      <c r="V461" s="3"/>
      <c r="W461" s="3"/>
    </row>
    <row r="462" spans="15:23">
      <c r="O462" s="3"/>
      <c r="P462" s="3"/>
      <c r="Q462" s="35"/>
      <c r="R462" s="35"/>
      <c r="S462" s="35"/>
      <c r="T462" s="35"/>
      <c r="U462" s="3"/>
      <c r="V462" s="3"/>
      <c r="W462" s="3"/>
    </row>
    <row r="463" spans="15:23">
      <c r="O463" s="3"/>
      <c r="P463" s="3"/>
      <c r="Q463" s="35"/>
      <c r="R463" s="35"/>
      <c r="S463" s="35"/>
      <c r="T463" s="35"/>
      <c r="U463" s="3"/>
      <c r="V463" s="3"/>
      <c r="W463" s="3"/>
    </row>
    <row r="464" spans="15:23">
      <c r="O464" s="3"/>
      <c r="P464" s="3"/>
      <c r="Q464" s="35"/>
      <c r="R464" s="35"/>
      <c r="S464" s="35"/>
      <c r="T464" s="35"/>
      <c r="U464" s="3"/>
      <c r="V464" s="3"/>
      <c r="W464" s="3"/>
    </row>
    <row r="465" spans="15:23">
      <c r="O465" s="3"/>
      <c r="P465" s="3"/>
      <c r="Q465" s="35"/>
      <c r="R465" s="35"/>
      <c r="S465" s="35"/>
      <c r="T465" s="35"/>
      <c r="U465" s="3"/>
      <c r="V465" s="3"/>
      <c r="W465" s="3"/>
    </row>
    <row r="466" spans="15:23">
      <c r="O466" s="3"/>
      <c r="P466" s="3"/>
      <c r="Q466" s="35"/>
      <c r="R466" s="35"/>
      <c r="S466" s="35"/>
      <c r="T466" s="35"/>
      <c r="U466" s="3"/>
      <c r="V466" s="3"/>
      <c r="W466" s="3"/>
    </row>
    <row r="467" spans="15:23">
      <c r="O467" s="3"/>
      <c r="P467" s="3"/>
      <c r="Q467" s="35"/>
      <c r="R467" s="35"/>
      <c r="S467" s="35"/>
      <c r="T467" s="35"/>
      <c r="U467" s="3"/>
      <c r="V467" s="3"/>
      <c r="W467" s="3"/>
    </row>
    <row r="468" spans="15:23">
      <c r="O468" s="3"/>
      <c r="P468" s="3"/>
      <c r="Q468" s="35"/>
      <c r="R468" s="35"/>
      <c r="S468" s="35"/>
      <c r="T468" s="35"/>
      <c r="U468" s="3"/>
      <c r="V468" s="3"/>
      <c r="W468" s="3"/>
    </row>
    <row r="469" spans="15:23">
      <c r="O469" s="3"/>
      <c r="P469" s="3"/>
      <c r="Q469" s="35"/>
      <c r="R469" s="35"/>
      <c r="S469" s="35"/>
      <c r="T469" s="35"/>
      <c r="U469" s="3"/>
      <c r="V469" s="3"/>
      <c r="W469" s="3"/>
    </row>
    <row r="470" spans="15:23">
      <c r="O470" s="3"/>
      <c r="P470" s="3"/>
      <c r="Q470" s="35"/>
      <c r="R470" s="35"/>
      <c r="S470" s="35"/>
      <c r="T470" s="35"/>
      <c r="U470" s="3"/>
      <c r="V470" s="3"/>
      <c r="W470" s="3"/>
    </row>
    <row r="471" spans="15:23">
      <c r="O471" s="3"/>
      <c r="P471" s="3"/>
      <c r="Q471" s="35"/>
      <c r="R471" s="35"/>
      <c r="S471" s="35"/>
      <c r="T471" s="35"/>
      <c r="U471" s="3"/>
      <c r="V471" s="3"/>
      <c r="W471" s="3"/>
    </row>
    <row r="472" spans="15:23">
      <c r="O472" s="3"/>
      <c r="P472" s="3"/>
      <c r="Q472" s="35"/>
      <c r="R472" s="35"/>
      <c r="S472" s="35"/>
      <c r="T472" s="35"/>
      <c r="U472" s="3"/>
      <c r="V472" s="3"/>
      <c r="W472" s="3"/>
    </row>
    <row r="473" spans="15:23">
      <c r="O473" s="3"/>
      <c r="P473" s="3"/>
      <c r="Q473" s="35"/>
      <c r="R473" s="35"/>
      <c r="S473" s="35"/>
      <c r="T473" s="35"/>
      <c r="U473" s="3"/>
      <c r="V473" s="3"/>
      <c r="W473" s="3"/>
    </row>
    <row r="474" spans="15:23">
      <c r="O474" s="3"/>
      <c r="P474" s="3"/>
      <c r="Q474" s="35"/>
      <c r="R474" s="35"/>
      <c r="S474" s="35"/>
      <c r="T474" s="35"/>
      <c r="U474" s="3"/>
      <c r="V474" s="3"/>
      <c r="W474" s="3"/>
    </row>
    <row r="475" spans="15:23">
      <c r="O475" s="3"/>
      <c r="P475" s="3"/>
      <c r="Q475" s="35"/>
      <c r="R475" s="35"/>
      <c r="S475" s="35"/>
      <c r="T475" s="35"/>
      <c r="U475" s="3"/>
      <c r="V475" s="3"/>
      <c r="W475" s="3"/>
    </row>
    <row r="476" spans="15:23">
      <c r="O476" s="3"/>
      <c r="P476" s="3"/>
      <c r="Q476" s="35"/>
      <c r="R476" s="35"/>
      <c r="S476" s="35"/>
      <c r="T476" s="35"/>
      <c r="U476" s="3"/>
      <c r="V476" s="3"/>
      <c r="W476" s="3"/>
    </row>
    <row r="477" spans="15:23">
      <c r="O477" s="3"/>
      <c r="P477" s="3"/>
      <c r="Q477" s="35"/>
      <c r="R477" s="35"/>
      <c r="S477" s="35"/>
      <c r="T477" s="35"/>
      <c r="U477" s="3"/>
      <c r="V477" s="3"/>
      <c r="W477" s="3"/>
    </row>
    <row r="478" spans="15:23">
      <c r="O478" s="3"/>
      <c r="P478" s="3"/>
      <c r="Q478" s="35"/>
      <c r="R478" s="35"/>
      <c r="S478" s="35"/>
      <c r="T478" s="35"/>
      <c r="U478" s="3"/>
      <c r="V478" s="3"/>
      <c r="W478" s="3"/>
    </row>
    <row r="479" spans="15:23">
      <c r="O479" s="3"/>
      <c r="P479" s="3"/>
      <c r="Q479" s="35"/>
      <c r="R479" s="35"/>
      <c r="S479" s="35"/>
      <c r="T479" s="35"/>
      <c r="U479" s="3"/>
      <c r="V479" s="3"/>
      <c r="W479" s="3"/>
    </row>
    <row r="480" spans="15:23">
      <c r="O480" s="3"/>
      <c r="P480" s="3"/>
      <c r="Q480" s="35"/>
      <c r="R480" s="35"/>
      <c r="S480" s="35"/>
      <c r="T480" s="35"/>
      <c r="U480" s="3"/>
      <c r="V480" s="3"/>
      <c r="W480" s="3"/>
    </row>
    <row r="481" spans="15:23">
      <c r="O481" s="3"/>
      <c r="P481" s="3"/>
      <c r="Q481" s="35"/>
      <c r="R481" s="35"/>
      <c r="S481" s="35"/>
      <c r="T481" s="35"/>
      <c r="U481" s="3"/>
      <c r="V481" s="3"/>
      <c r="W481" s="3"/>
    </row>
    <row r="482" spans="15:23">
      <c r="O482" s="3"/>
      <c r="P482" s="3"/>
      <c r="Q482" s="35"/>
      <c r="R482" s="35"/>
      <c r="S482" s="35"/>
      <c r="T482" s="35"/>
      <c r="U482" s="3"/>
      <c r="V482" s="3"/>
      <c r="W482" s="3"/>
    </row>
    <row r="483" spans="15:23">
      <c r="O483" s="3"/>
      <c r="P483" s="3"/>
      <c r="Q483" s="35"/>
      <c r="R483" s="35"/>
      <c r="S483" s="35"/>
      <c r="T483" s="35"/>
      <c r="U483" s="3"/>
      <c r="V483" s="3"/>
      <c r="W483" s="3"/>
    </row>
    <row r="484" spans="15:23">
      <c r="O484" s="3"/>
      <c r="P484" s="3"/>
      <c r="Q484" s="35"/>
      <c r="R484" s="35"/>
      <c r="S484" s="35"/>
      <c r="T484" s="35"/>
      <c r="U484" s="3"/>
      <c r="V484" s="3"/>
      <c r="W484" s="3"/>
    </row>
    <row r="485" spans="15:23">
      <c r="O485" s="3"/>
      <c r="P485" s="3"/>
      <c r="Q485" s="35"/>
      <c r="R485" s="35"/>
      <c r="S485" s="35"/>
      <c r="T485" s="35"/>
      <c r="U485" s="3"/>
      <c r="V485" s="3"/>
      <c r="W485" s="3"/>
    </row>
    <row r="486" spans="15:23">
      <c r="O486" s="3"/>
      <c r="P486" s="3"/>
      <c r="Q486" s="35"/>
      <c r="R486" s="35"/>
      <c r="S486" s="35"/>
      <c r="T486" s="35"/>
      <c r="U486" s="3"/>
      <c r="V486" s="3"/>
      <c r="W486" s="3"/>
    </row>
    <row r="487" spans="15:23">
      <c r="O487" s="3"/>
      <c r="P487" s="3"/>
      <c r="Q487" s="35"/>
      <c r="R487" s="35"/>
      <c r="S487" s="35"/>
      <c r="T487" s="35"/>
      <c r="U487" s="3"/>
      <c r="V487" s="3"/>
      <c r="W487" s="3"/>
    </row>
    <row r="488" spans="15:23">
      <c r="O488" s="3"/>
      <c r="P488" s="3"/>
      <c r="Q488" s="35"/>
      <c r="R488" s="35"/>
      <c r="S488" s="35"/>
      <c r="T488" s="35"/>
      <c r="U488" s="3"/>
      <c r="V488" s="3"/>
      <c r="W488" s="3"/>
    </row>
    <row r="489" spans="15:23">
      <c r="O489" s="3"/>
      <c r="P489" s="3"/>
      <c r="Q489" s="35"/>
      <c r="R489" s="35"/>
      <c r="S489" s="35"/>
      <c r="T489" s="35"/>
      <c r="U489" s="3"/>
      <c r="V489" s="3"/>
      <c r="W489" s="3"/>
    </row>
    <row r="490" spans="15:23">
      <c r="O490" s="3"/>
      <c r="P490" s="3"/>
      <c r="Q490" s="35"/>
      <c r="R490" s="35"/>
      <c r="S490" s="35"/>
      <c r="T490" s="35"/>
      <c r="U490" s="3"/>
      <c r="V490" s="3"/>
      <c r="W490" s="3"/>
    </row>
    <row r="491" spans="15:23">
      <c r="O491" s="3"/>
      <c r="P491" s="3"/>
      <c r="Q491" s="35"/>
      <c r="R491" s="35"/>
      <c r="S491" s="35"/>
      <c r="T491" s="35"/>
      <c r="U491" s="3"/>
      <c r="V491" s="3"/>
      <c r="W491" s="3"/>
    </row>
    <row r="492" spans="15:23">
      <c r="O492" s="3"/>
      <c r="P492" s="3"/>
      <c r="Q492" s="35"/>
      <c r="R492" s="35"/>
      <c r="S492" s="35"/>
      <c r="T492" s="35"/>
      <c r="U492" s="3"/>
      <c r="V492" s="3"/>
      <c r="W492" s="3"/>
    </row>
    <row r="493" spans="15:23">
      <c r="O493" s="3"/>
      <c r="P493" s="3"/>
      <c r="Q493" s="35"/>
      <c r="R493" s="35"/>
      <c r="S493" s="35"/>
      <c r="T493" s="35"/>
      <c r="U493" s="3"/>
      <c r="V493" s="3"/>
      <c r="W493" s="3"/>
    </row>
    <row r="494" spans="15:23">
      <c r="O494" s="3"/>
      <c r="P494" s="3"/>
      <c r="Q494" s="35"/>
      <c r="R494" s="35"/>
      <c r="S494" s="35"/>
      <c r="T494" s="35"/>
      <c r="U494" s="3"/>
      <c r="V494" s="3"/>
      <c r="W494" s="3"/>
    </row>
    <row r="495" spans="15:23">
      <c r="O495" s="3"/>
      <c r="P495" s="3"/>
      <c r="Q495" s="35"/>
      <c r="R495" s="35"/>
      <c r="S495" s="35"/>
      <c r="T495" s="35"/>
      <c r="U495" s="3"/>
      <c r="V495" s="3"/>
      <c r="W495" s="3"/>
    </row>
    <row r="496" spans="15:23">
      <c r="O496" s="3"/>
      <c r="P496" s="3"/>
      <c r="Q496" s="35"/>
      <c r="R496" s="35"/>
      <c r="S496" s="35"/>
      <c r="T496" s="35"/>
      <c r="U496" s="3"/>
      <c r="V496" s="3"/>
      <c r="W496" s="3"/>
    </row>
    <row r="497" spans="15:23">
      <c r="O497" s="3"/>
      <c r="P497" s="3"/>
      <c r="Q497" s="35"/>
      <c r="R497" s="35"/>
      <c r="S497" s="35"/>
      <c r="T497" s="35"/>
      <c r="U497" s="3"/>
      <c r="V497" s="3"/>
      <c r="W497" s="3"/>
    </row>
    <row r="498" spans="15:23">
      <c r="O498" s="3"/>
      <c r="P498" s="3"/>
      <c r="Q498" s="35"/>
      <c r="R498" s="35"/>
      <c r="S498" s="35"/>
      <c r="T498" s="35"/>
      <c r="U498" s="3"/>
      <c r="V498" s="3"/>
      <c r="W498" s="3"/>
    </row>
    <row r="499" spans="15:23">
      <c r="O499" s="3"/>
      <c r="P499" s="3"/>
      <c r="Q499" s="35"/>
      <c r="R499" s="35"/>
      <c r="S499" s="35"/>
      <c r="T499" s="35"/>
      <c r="U499" s="3"/>
      <c r="V499" s="3"/>
      <c r="W499" s="3"/>
    </row>
    <row r="500" spans="15:23">
      <c r="O500" s="3"/>
      <c r="P500" s="3"/>
      <c r="Q500" s="35"/>
      <c r="R500" s="35"/>
      <c r="S500" s="35"/>
      <c r="T500" s="35"/>
      <c r="U500" s="3"/>
      <c r="V500" s="3"/>
      <c r="W500" s="3"/>
    </row>
    <row r="501" spans="15:23">
      <c r="O501" s="3"/>
      <c r="P501" s="3"/>
      <c r="Q501" s="35"/>
      <c r="R501" s="35"/>
      <c r="S501" s="35"/>
      <c r="T501" s="35"/>
      <c r="U501" s="3"/>
      <c r="V501" s="3"/>
      <c r="W501" s="3"/>
    </row>
    <row r="502" spans="15:23">
      <c r="O502" s="3"/>
      <c r="P502" s="3"/>
      <c r="Q502" s="35"/>
      <c r="R502" s="35"/>
      <c r="S502" s="35"/>
      <c r="T502" s="35"/>
      <c r="U502" s="3"/>
      <c r="V502" s="3"/>
      <c r="W502" s="3"/>
    </row>
    <row r="503" spans="15:23">
      <c r="O503" s="3"/>
      <c r="P503" s="3"/>
      <c r="Q503" s="35"/>
      <c r="R503" s="35"/>
      <c r="S503" s="35"/>
      <c r="T503" s="35"/>
      <c r="U503" s="3"/>
      <c r="V503" s="3"/>
      <c r="W503" s="3"/>
    </row>
    <row r="504" spans="15:23">
      <c r="O504" s="3"/>
      <c r="P504" s="3"/>
      <c r="Q504" s="35"/>
      <c r="R504" s="35"/>
      <c r="S504" s="35"/>
      <c r="T504" s="35"/>
      <c r="U504" s="3"/>
      <c r="V504" s="3"/>
      <c r="W504" s="3"/>
    </row>
    <row r="505" spans="15:23">
      <c r="O505" s="3"/>
      <c r="P505" s="3"/>
      <c r="Q505" s="35"/>
      <c r="R505" s="35"/>
      <c r="S505" s="35"/>
      <c r="T505" s="35"/>
      <c r="U505" s="3"/>
      <c r="V505" s="3"/>
      <c r="W505" s="3"/>
    </row>
    <row r="506" spans="15:23">
      <c r="O506" s="3"/>
      <c r="P506" s="3"/>
      <c r="Q506" s="35"/>
      <c r="R506" s="35"/>
      <c r="S506" s="35"/>
      <c r="T506" s="35"/>
      <c r="U506" s="3"/>
      <c r="V506" s="3"/>
      <c r="W506" s="3"/>
    </row>
    <row r="507" spans="15:23">
      <c r="O507" s="3"/>
      <c r="P507" s="3"/>
      <c r="Q507" s="35"/>
      <c r="R507" s="35"/>
      <c r="S507" s="35"/>
      <c r="T507" s="35"/>
      <c r="U507" s="3"/>
      <c r="V507" s="3"/>
      <c r="W507" s="3"/>
    </row>
    <row r="508" spans="15:23">
      <c r="O508" s="3"/>
      <c r="P508" s="3"/>
      <c r="Q508" s="35"/>
      <c r="R508" s="35"/>
      <c r="S508" s="35"/>
      <c r="T508" s="35"/>
      <c r="U508" s="3"/>
      <c r="V508" s="3"/>
      <c r="W508" s="3"/>
    </row>
    <row r="509" spans="15:23">
      <c r="O509" s="3"/>
      <c r="P509" s="3"/>
      <c r="Q509" s="35"/>
      <c r="R509" s="35"/>
      <c r="S509" s="35"/>
      <c r="T509" s="35"/>
      <c r="U509" s="3"/>
      <c r="V509" s="3"/>
      <c r="W509" s="3"/>
    </row>
    <row r="510" spans="15:23">
      <c r="O510" s="3"/>
      <c r="P510" s="3"/>
      <c r="Q510" s="35"/>
      <c r="R510" s="35"/>
      <c r="S510" s="35"/>
      <c r="T510" s="35"/>
      <c r="U510" s="3"/>
      <c r="V510" s="3"/>
      <c r="W510" s="3"/>
    </row>
    <row r="511" spans="15:23">
      <c r="O511" s="3"/>
      <c r="P511" s="3"/>
      <c r="Q511" s="35"/>
      <c r="R511" s="35"/>
      <c r="S511" s="35"/>
      <c r="T511" s="35"/>
      <c r="U511" s="3"/>
      <c r="V511" s="3"/>
      <c r="W511" s="3"/>
    </row>
    <row r="512" spans="15:23">
      <c r="O512" s="3"/>
      <c r="P512" s="3"/>
      <c r="Q512" s="35"/>
      <c r="R512" s="35"/>
      <c r="S512" s="35"/>
      <c r="T512" s="35"/>
      <c r="U512" s="3"/>
      <c r="V512" s="3"/>
      <c r="W512" s="3"/>
    </row>
    <row r="513" spans="15:23">
      <c r="O513" s="3"/>
      <c r="P513" s="3"/>
      <c r="Q513" s="35"/>
      <c r="R513" s="35"/>
      <c r="S513" s="35"/>
      <c r="T513" s="35"/>
      <c r="U513" s="3"/>
      <c r="V513" s="3"/>
      <c r="W513" s="3"/>
    </row>
    <row r="514" spans="15:23">
      <c r="O514" s="3"/>
      <c r="P514" s="3"/>
      <c r="Q514" s="35"/>
      <c r="R514" s="35"/>
      <c r="S514" s="35"/>
      <c r="T514" s="35"/>
      <c r="U514" s="3"/>
      <c r="V514" s="3"/>
      <c r="W514" s="3"/>
    </row>
    <row r="515" spans="15:23">
      <c r="O515" s="3"/>
      <c r="P515" s="3"/>
      <c r="Q515" s="35"/>
      <c r="R515" s="35"/>
      <c r="S515" s="35"/>
      <c r="T515" s="35"/>
      <c r="U515" s="3"/>
      <c r="V515" s="3"/>
      <c r="W515" s="3"/>
    </row>
    <row r="516" spans="15:23">
      <c r="O516" s="3"/>
      <c r="P516" s="3"/>
      <c r="Q516" s="35"/>
      <c r="R516" s="35"/>
      <c r="S516" s="35"/>
      <c r="T516" s="35"/>
      <c r="U516" s="3"/>
      <c r="V516" s="3"/>
      <c r="W516" s="3"/>
    </row>
    <row r="517" spans="15:23">
      <c r="O517" s="3"/>
      <c r="P517" s="3"/>
      <c r="Q517" s="35"/>
      <c r="R517" s="35"/>
      <c r="S517" s="35"/>
      <c r="T517" s="35"/>
      <c r="U517" s="3"/>
      <c r="V517" s="3"/>
      <c r="W517" s="3"/>
    </row>
    <row r="518" spans="15:23">
      <c r="O518" s="3"/>
      <c r="P518" s="3"/>
      <c r="Q518" s="35"/>
      <c r="R518" s="35"/>
      <c r="S518" s="35"/>
      <c r="T518" s="35"/>
      <c r="U518" s="3"/>
      <c r="V518" s="3"/>
      <c r="W518" s="3"/>
    </row>
    <row r="519" spans="15:23">
      <c r="O519" s="3"/>
      <c r="P519" s="3"/>
      <c r="Q519" s="35"/>
      <c r="R519" s="35"/>
      <c r="S519" s="35"/>
      <c r="T519" s="35"/>
      <c r="U519" s="3"/>
      <c r="V519" s="3"/>
      <c r="W519" s="3"/>
    </row>
    <row r="520" spans="15:23">
      <c r="O520" s="3"/>
      <c r="P520" s="3"/>
      <c r="Q520" s="35"/>
      <c r="R520" s="35"/>
      <c r="S520" s="35"/>
      <c r="T520" s="35"/>
      <c r="U520" s="3"/>
      <c r="V520" s="3"/>
      <c r="W520" s="3"/>
    </row>
    <row r="521" spans="15:23">
      <c r="O521" s="3"/>
      <c r="P521" s="3"/>
      <c r="Q521" s="35"/>
      <c r="R521" s="35"/>
      <c r="S521" s="35"/>
      <c r="T521" s="35"/>
      <c r="U521" s="3"/>
      <c r="V521" s="3"/>
      <c r="W521" s="3"/>
    </row>
    <row r="522" spans="15:23">
      <c r="O522" s="3"/>
      <c r="P522" s="3"/>
      <c r="Q522" s="35"/>
      <c r="R522" s="35"/>
      <c r="S522" s="35"/>
      <c r="T522" s="35"/>
      <c r="U522" s="3"/>
      <c r="V522" s="3"/>
      <c r="W522" s="3"/>
    </row>
    <row r="523" spans="15:23">
      <c r="O523" s="3"/>
      <c r="P523" s="3"/>
      <c r="Q523" s="35"/>
      <c r="R523" s="35"/>
      <c r="S523" s="35"/>
      <c r="T523" s="35"/>
      <c r="U523" s="3"/>
      <c r="V523" s="3"/>
      <c r="W523" s="3"/>
    </row>
    <row r="524" spans="15:23">
      <c r="O524" s="3"/>
      <c r="P524" s="3"/>
      <c r="Q524" s="35"/>
      <c r="R524" s="35"/>
      <c r="S524" s="35"/>
      <c r="T524" s="35"/>
      <c r="U524" s="3"/>
      <c r="V524" s="3"/>
      <c r="W524" s="3"/>
    </row>
    <row r="525" spans="15:23">
      <c r="O525" s="3"/>
      <c r="P525" s="3"/>
      <c r="Q525" s="35"/>
      <c r="R525" s="35"/>
      <c r="S525" s="35"/>
      <c r="T525" s="35"/>
      <c r="U525" s="3"/>
      <c r="V525" s="3"/>
      <c r="W525" s="3"/>
    </row>
    <row r="526" spans="15:23">
      <c r="O526" s="3"/>
      <c r="P526" s="3"/>
      <c r="Q526" s="35"/>
      <c r="R526" s="35"/>
      <c r="S526" s="35"/>
      <c r="T526" s="35"/>
      <c r="U526" s="3"/>
      <c r="V526" s="3"/>
      <c r="W526" s="3"/>
    </row>
    <row r="527" spans="15:23">
      <c r="O527" s="3"/>
      <c r="P527" s="3"/>
      <c r="Q527" s="35"/>
      <c r="R527" s="35"/>
      <c r="S527" s="35"/>
      <c r="T527" s="35"/>
      <c r="U527" s="3"/>
      <c r="V527" s="3"/>
      <c r="W527" s="3"/>
    </row>
    <row r="528" spans="15:23">
      <c r="O528" s="3"/>
      <c r="P528" s="3"/>
      <c r="Q528" s="35"/>
      <c r="R528" s="35"/>
      <c r="S528" s="35"/>
      <c r="T528" s="35"/>
      <c r="U528" s="3"/>
      <c r="V528" s="3"/>
      <c r="W528" s="3"/>
    </row>
    <row r="529" spans="15:23">
      <c r="O529" s="3"/>
      <c r="P529" s="3"/>
      <c r="Q529" s="35"/>
      <c r="R529" s="35"/>
      <c r="S529" s="35"/>
      <c r="T529" s="35"/>
      <c r="U529" s="3"/>
      <c r="V529" s="3"/>
      <c r="W529" s="3"/>
    </row>
    <row r="530" spans="15:23">
      <c r="O530" s="3"/>
      <c r="P530" s="3"/>
      <c r="Q530" s="35"/>
      <c r="R530" s="35"/>
      <c r="S530" s="35"/>
      <c r="T530" s="35"/>
      <c r="U530" s="3"/>
      <c r="V530" s="3"/>
      <c r="W530" s="3"/>
    </row>
    <row r="531" spans="15:23">
      <c r="O531" s="3"/>
      <c r="P531" s="3"/>
      <c r="Q531" s="35"/>
      <c r="R531" s="35"/>
      <c r="S531" s="35"/>
      <c r="T531" s="35"/>
      <c r="U531" s="3"/>
      <c r="V531" s="3"/>
      <c r="W531" s="3"/>
    </row>
    <row r="532" spans="15:23">
      <c r="O532" s="3"/>
      <c r="P532" s="3"/>
      <c r="Q532" s="35"/>
      <c r="R532" s="35"/>
      <c r="S532" s="35"/>
      <c r="T532" s="35"/>
      <c r="U532" s="3"/>
      <c r="V532" s="3"/>
      <c r="W532" s="3"/>
    </row>
    <row r="533" spans="15:23">
      <c r="O533" s="3"/>
      <c r="P533" s="3"/>
      <c r="Q533" s="35"/>
      <c r="R533" s="35"/>
      <c r="S533" s="35"/>
      <c r="T533" s="35"/>
      <c r="U533" s="3"/>
      <c r="V533" s="3"/>
      <c r="W533" s="3"/>
    </row>
    <row r="534" spans="15:23">
      <c r="O534" s="3"/>
      <c r="P534" s="3"/>
      <c r="Q534" s="35"/>
      <c r="R534" s="35"/>
      <c r="S534" s="35"/>
      <c r="T534" s="35"/>
      <c r="U534" s="3"/>
      <c r="V534" s="3"/>
      <c r="W534" s="3"/>
    </row>
    <row r="535" spans="15:23">
      <c r="O535" s="3"/>
      <c r="P535" s="3"/>
      <c r="Q535" s="35"/>
      <c r="R535" s="35"/>
      <c r="S535" s="35"/>
      <c r="T535" s="35"/>
      <c r="U535" s="3"/>
      <c r="V535" s="3"/>
      <c r="W535" s="3"/>
    </row>
    <row r="536" spans="15:23">
      <c r="O536" s="3"/>
      <c r="P536" s="3"/>
      <c r="Q536" s="35"/>
      <c r="R536" s="35"/>
      <c r="S536" s="35"/>
      <c r="T536" s="35"/>
      <c r="U536" s="3"/>
      <c r="V536" s="3"/>
      <c r="W536" s="3"/>
    </row>
    <row r="537" spans="15:23">
      <c r="O537" s="3"/>
      <c r="P537" s="3"/>
      <c r="Q537" s="35"/>
      <c r="R537" s="35"/>
      <c r="S537" s="35"/>
      <c r="T537" s="35"/>
      <c r="U537" s="3"/>
      <c r="V537" s="3"/>
      <c r="W537" s="3"/>
    </row>
    <row r="538" spans="15:23">
      <c r="O538" s="3"/>
      <c r="P538" s="3"/>
      <c r="Q538" s="35"/>
      <c r="R538" s="35"/>
      <c r="S538" s="35"/>
      <c r="T538" s="35"/>
      <c r="U538" s="3"/>
      <c r="V538" s="3"/>
      <c r="W538" s="3"/>
    </row>
    <row r="539" spans="15:23">
      <c r="O539" s="3"/>
      <c r="P539" s="3"/>
      <c r="Q539" s="35"/>
      <c r="R539" s="35"/>
      <c r="S539" s="35"/>
      <c r="T539" s="35"/>
      <c r="U539" s="3"/>
      <c r="V539" s="3"/>
      <c r="W539" s="3"/>
    </row>
    <row r="540" spans="15:23">
      <c r="O540" s="3"/>
      <c r="P540" s="3"/>
      <c r="Q540" s="35"/>
      <c r="R540" s="35"/>
      <c r="S540" s="35"/>
      <c r="T540" s="35"/>
      <c r="U540" s="3"/>
      <c r="V540" s="3"/>
      <c r="W540" s="3"/>
    </row>
    <row r="541" spans="15:23">
      <c r="O541" s="3"/>
      <c r="P541" s="3"/>
      <c r="Q541" s="35"/>
      <c r="R541" s="35"/>
      <c r="S541" s="35"/>
      <c r="T541" s="35"/>
      <c r="U541" s="3"/>
      <c r="V541" s="3"/>
      <c r="W541" s="3"/>
    </row>
    <row r="542" spans="15:23">
      <c r="O542" s="3"/>
      <c r="P542" s="3"/>
      <c r="Q542" s="35"/>
      <c r="R542" s="35"/>
      <c r="S542" s="35"/>
      <c r="T542" s="35"/>
      <c r="U542" s="3"/>
      <c r="V542" s="3"/>
      <c r="W542" s="3"/>
    </row>
    <row r="543" spans="15:23">
      <c r="O543" s="3"/>
      <c r="P543" s="3"/>
      <c r="Q543" s="35"/>
      <c r="R543" s="35"/>
      <c r="S543" s="35"/>
      <c r="T543" s="35"/>
      <c r="U543" s="3"/>
      <c r="V543" s="3"/>
      <c r="W543" s="3"/>
    </row>
    <row r="544" spans="15:23">
      <c r="O544" s="3"/>
      <c r="P544" s="3"/>
      <c r="Q544" s="35"/>
      <c r="R544" s="35"/>
      <c r="S544" s="35"/>
      <c r="T544" s="35"/>
      <c r="U544" s="3"/>
      <c r="V544" s="3"/>
      <c r="W544" s="3"/>
    </row>
    <row r="545" spans="15:23">
      <c r="O545" s="3"/>
      <c r="P545" s="3"/>
      <c r="Q545" s="35"/>
      <c r="R545" s="35"/>
      <c r="S545" s="35"/>
      <c r="T545" s="35"/>
      <c r="U545" s="3"/>
      <c r="V545" s="3"/>
      <c r="W545" s="3"/>
    </row>
    <row r="546" spans="15:23">
      <c r="O546" s="3"/>
      <c r="P546" s="3"/>
      <c r="Q546" s="35"/>
      <c r="R546" s="35"/>
      <c r="S546" s="35"/>
      <c r="T546" s="35"/>
      <c r="U546" s="3"/>
      <c r="V546" s="3"/>
      <c r="W546" s="3"/>
    </row>
    <row r="547" spans="15:23">
      <c r="O547" s="3"/>
      <c r="P547" s="3"/>
      <c r="Q547" s="35"/>
      <c r="R547" s="35"/>
      <c r="S547" s="35"/>
      <c r="T547" s="35"/>
      <c r="U547" s="3"/>
      <c r="V547" s="3"/>
      <c r="W547" s="3"/>
    </row>
    <row r="548" spans="15:23">
      <c r="O548" s="3"/>
      <c r="P548" s="3"/>
      <c r="Q548" s="35"/>
      <c r="R548" s="35"/>
      <c r="S548" s="35"/>
      <c r="T548" s="35"/>
      <c r="U548" s="3"/>
      <c r="V548" s="3"/>
      <c r="W548" s="3"/>
    </row>
    <row r="549" spans="15:23">
      <c r="O549" s="3"/>
      <c r="P549" s="3"/>
      <c r="Q549" s="35"/>
      <c r="R549" s="35"/>
      <c r="S549" s="35"/>
      <c r="T549" s="35"/>
      <c r="U549" s="3"/>
      <c r="V549" s="3"/>
      <c r="W549" s="3"/>
    </row>
    <row r="550" spans="15:23">
      <c r="O550" s="3"/>
      <c r="P550" s="3"/>
      <c r="Q550" s="35"/>
      <c r="R550" s="35"/>
      <c r="S550" s="35"/>
      <c r="T550" s="35"/>
      <c r="U550" s="3"/>
      <c r="V550" s="3"/>
      <c r="W550" s="3"/>
    </row>
    <row r="551" spans="15:23">
      <c r="O551" s="3"/>
      <c r="P551" s="3"/>
      <c r="Q551" s="35"/>
      <c r="R551" s="35"/>
      <c r="S551" s="35"/>
      <c r="T551" s="35"/>
      <c r="U551" s="3"/>
      <c r="V551" s="3"/>
      <c r="W551" s="3"/>
    </row>
    <row r="552" spans="15:23">
      <c r="O552" s="3"/>
      <c r="P552" s="3"/>
      <c r="Q552" s="35"/>
      <c r="R552" s="35"/>
      <c r="S552" s="35"/>
      <c r="T552" s="35"/>
      <c r="U552" s="3"/>
      <c r="V552" s="3"/>
      <c r="W552" s="3"/>
    </row>
    <row r="553" spans="15:23">
      <c r="O553" s="3"/>
      <c r="P553" s="3"/>
      <c r="Q553" s="35"/>
      <c r="R553" s="35"/>
      <c r="S553" s="35"/>
      <c r="T553" s="35"/>
      <c r="U553" s="3"/>
      <c r="V553" s="3"/>
      <c r="W553" s="3"/>
    </row>
    <row r="554" spans="15:23">
      <c r="O554" s="3"/>
      <c r="P554" s="3"/>
      <c r="Q554" s="35"/>
      <c r="R554" s="35"/>
      <c r="S554" s="35"/>
      <c r="T554" s="35"/>
      <c r="U554" s="3"/>
      <c r="V554" s="3"/>
      <c r="W554" s="3"/>
    </row>
    <row r="555" spans="15:23">
      <c r="O555" s="3"/>
      <c r="P555" s="3"/>
      <c r="Q555" s="35"/>
      <c r="R555" s="35"/>
      <c r="S555" s="35"/>
      <c r="T555" s="35"/>
      <c r="U555" s="3"/>
      <c r="V555" s="3"/>
      <c r="W555" s="3"/>
    </row>
    <row r="556" spans="15:23">
      <c r="O556" s="3"/>
      <c r="P556" s="3"/>
      <c r="Q556" s="35"/>
      <c r="R556" s="35"/>
      <c r="S556" s="35"/>
      <c r="T556" s="35"/>
      <c r="U556" s="3"/>
      <c r="V556" s="3"/>
      <c r="W556" s="3"/>
    </row>
    <row r="557" spans="15:23">
      <c r="O557" s="3"/>
      <c r="P557" s="3"/>
      <c r="Q557" s="35"/>
      <c r="R557" s="35"/>
      <c r="S557" s="35"/>
      <c r="T557" s="35"/>
      <c r="U557" s="3"/>
      <c r="V557" s="3"/>
      <c r="W557" s="3"/>
    </row>
    <row r="558" spans="15:23">
      <c r="O558" s="3"/>
      <c r="P558" s="3"/>
      <c r="Q558" s="35"/>
      <c r="R558" s="35"/>
      <c r="S558" s="35"/>
      <c r="T558" s="35"/>
      <c r="U558" s="3"/>
      <c r="V558" s="3"/>
      <c r="W558" s="3"/>
    </row>
    <row r="559" spans="15:23">
      <c r="O559" s="3"/>
      <c r="P559" s="3"/>
      <c r="Q559" s="35"/>
      <c r="R559" s="35"/>
      <c r="S559" s="35"/>
      <c r="T559" s="35"/>
      <c r="U559" s="3"/>
      <c r="V559" s="3"/>
      <c r="W559" s="3"/>
    </row>
    <row r="560" spans="15:23">
      <c r="O560" s="3"/>
      <c r="P560" s="3"/>
      <c r="Q560" s="35"/>
      <c r="R560" s="35"/>
      <c r="S560" s="35"/>
      <c r="T560" s="35"/>
      <c r="U560" s="3"/>
      <c r="V560" s="3"/>
      <c r="W560" s="3"/>
    </row>
    <row r="561" spans="15:23">
      <c r="O561" s="3"/>
      <c r="P561" s="3"/>
      <c r="Q561" s="35"/>
      <c r="R561" s="35"/>
      <c r="S561" s="35"/>
      <c r="T561" s="35"/>
      <c r="U561" s="3"/>
      <c r="V561" s="3"/>
      <c r="W561" s="3"/>
    </row>
    <row r="562" spans="15:23">
      <c r="O562" s="3"/>
      <c r="P562" s="3"/>
      <c r="Q562" s="35"/>
      <c r="R562" s="35"/>
      <c r="S562" s="35"/>
      <c r="T562" s="35"/>
      <c r="U562" s="3"/>
      <c r="V562" s="3"/>
      <c r="W562" s="3"/>
    </row>
    <row r="563" spans="15:23">
      <c r="O563" s="3"/>
      <c r="P563" s="3"/>
      <c r="Q563" s="35"/>
      <c r="R563" s="35"/>
      <c r="S563" s="35"/>
      <c r="T563" s="35"/>
      <c r="U563" s="3"/>
      <c r="V563" s="3"/>
      <c r="W563" s="3"/>
    </row>
    <row r="564" spans="15:23">
      <c r="O564" s="3"/>
      <c r="P564" s="3"/>
      <c r="Q564" s="35"/>
      <c r="R564" s="35"/>
      <c r="S564" s="35"/>
      <c r="T564" s="35"/>
      <c r="U564" s="3"/>
      <c r="V564" s="3"/>
      <c r="W564" s="3"/>
    </row>
    <row r="565" spans="15:23">
      <c r="O565" s="3"/>
      <c r="P565" s="3"/>
      <c r="Q565" s="35"/>
      <c r="R565" s="35"/>
      <c r="S565" s="35"/>
      <c r="T565" s="35"/>
      <c r="U565" s="3"/>
      <c r="V565" s="3"/>
      <c r="W565" s="3"/>
    </row>
    <row r="566" spans="15:23">
      <c r="O566" s="3"/>
      <c r="P566" s="3"/>
      <c r="Q566" s="35"/>
      <c r="R566" s="35"/>
      <c r="S566" s="35"/>
      <c r="T566" s="35"/>
      <c r="U566" s="3"/>
      <c r="V566" s="3"/>
      <c r="W566" s="3"/>
    </row>
    <row r="567" spans="15:23">
      <c r="O567" s="3"/>
      <c r="P567" s="3"/>
      <c r="Q567" s="35"/>
      <c r="R567" s="35"/>
      <c r="S567" s="35"/>
      <c r="T567" s="35"/>
      <c r="U567" s="3"/>
      <c r="V567" s="3"/>
      <c r="W567" s="3"/>
    </row>
    <row r="568" spans="15:23">
      <c r="O568" s="3"/>
      <c r="P568" s="3"/>
      <c r="Q568" s="35"/>
      <c r="R568" s="35"/>
      <c r="S568" s="35"/>
      <c r="T568" s="35"/>
      <c r="U568" s="3"/>
      <c r="V568" s="3"/>
      <c r="W568" s="3"/>
    </row>
    <row r="569" spans="15:23">
      <c r="O569" s="3"/>
      <c r="P569" s="3"/>
      <c r="Q569" s="35"/>
      <c r="R569" s="35"/>
      <c r="S569" s="35"/>
      <c r="T569" s="35"/>
      <c r="U569" s="3"/>
      <c r="V569" s="3"/>
      <c r="W569" s="3"/>
    </row>
    <row r="570" spans="15:23">
      <c r="O570" s="3"/>
      <c r="P570" s="3"/>
      <c r="Q570" s="35"/>
      <c r="R570" s="35"/>
      <c r="S570" s="35"/>
      <c r="T570" s="35"/>
      <c r="U570" s="3"/>
      <c r="V570" s="3"/>
      <c r="W570" s="3"/>
    </row>
    <row r="571" spans="15:23">
      <c r="O571" s="3"/>
      <c r="P571" s="3"/>
      <c r="Q571" s="35"/>
      <c r="R571" s="35"/>
      <c r="S571" s="35"/>
      <c r="T571" s="35"/>
      <c r="U571" s="3"/>
      <c r="V571" s="3"/>
      <c r="W571" s="3"/>
    </row>
    <row r="572" spans="15:23">
      <c r="O572" s="3"/>
      <c r="P572" s="3"/>
      <c r="Q572" s="35"/>
      <c r="R572" s="35"/>
      <c r="S572" s="35"/>
      <c r="T572" s="35"/>
      <c r="U572" s="3"/>
      <c r="V572" s="3"/>
      <c r="W572" s="3"/>
    </row>
    <row r="573" spans="15:23">
      <c r="O573" s="3"/>
      <c r="P573" s="3"/>
      <c r="Q573" s="35"/>
      <c r="R573" s="35"/>
      <c r="S573" s="35"/>
      <c r="T573" s="35"/>
      <c r="U573" s="3"/>
      <c r="V573" s="3"/>
      <c r="W573" s="3"/>
    </row>
    <row r="574" spans="15:23">
      <c r="O574" s="3"/>
      <c r="P574" s="3"/>
      <c r="Q574" s="35"/>
      <c r="R574" s="35"/>
      <c r="S574" s="35"/>
      <c r="T574" s="35"/>
      <c r="U574" s="3"/>
      <c r="V574" s="3"/>
      <c r="W574" s="3"/>
    </row>
    <row r="575" spans="15:23">
      <c r="O575" s="3"/>
      <c r="P575" s="3"/>
      <c r="Q575" s="35"/>
      <c r="R575" s="35"/>
      <c r="S575" s="35"/>
      <c r="T575" s="35"/>
      <c r="U575" s="3"/>
      <c r="V575" s="3"/>
      <c r="W575" s="3"/>
    </row>
    <row r="576" spans="15:23">
      <c r="O576" s="3"/>
      <c r="P576" s="3"/>
      <c r="Q576" s="35"/>
      <c r="R576" s="35"/>
      <c r="S576" s="35"/>
      <c r="T576" s="35"/>
      <c r="U576" s="3"/>
      <c r="V576" s="3"/>
      <c r="W576" s="3"/>
    </row>
    <row r="577" spans="15:23">
      <c r="O577" s="3"/>
      <c r="P577" s="3"/>
      <c r="Q577" s="35"/>
      <c r="R577" s="35"/>
      <c r="S577" s="35"/>
      <c r="T577" s="35"/>
      <c r="U577" s="3"/>
      <c r="V577" s="3"/>
      <c r="W577" s="3"/>
    </row>
    <row r="578" spans="15:23">
      <c r="O578" s="3"/>
      <c r="P578" s="3"/>
      <c r="Q578" s="35"/>
      <c r="R578" s="35"/>
      <c r="S578" s="35"/>
      <c r="T578" s="35"/>
      <c r="U578" s="3"/>
      <c r="V578" s="3"/>
      <c r="W578" s="3"/>
    </row>
    <row r="579" spans="15:23">
      <c r="O579" s="3"/>
      <c r="P579" s="3"/>
      <c r="Q579" s="35"/>
      <c r="R579" s="35"/>
      <c r="S579" s="35"/>
      <c r="T579" s="35"/>
      <c r="U579" s="3"/>
      <c r="V579" s="3"/>
      <c r="W579" s="3"/>
    </row>
    <row r="580" spans="15:23">
      <c r="O580" s="3"/>
      <c r="P580" s="3"/>
      <c r="Q580" s="35"/>
      <c r="R580" s="35"/>
      <c r="S580" s="35"/>
      <c r="T580" s="35"/>
      <c r="U580" s="3"/>
      <c r="V580" s="3"/>
      <c r="W580" s="3"/>
    </row>
    <row r="581" spans="15:23">
      <c r="O581" s="3"/>
      <c r="P581" s="3"/>
      <c r="Q581" s="35"/>
      <c r="R581" s="35"/>
      <c r="S581" s="35"/>
      <c r="T581" s="35"/>
      <c r="U581" s="3"/>
      <c r="V581" s="3"/>
      <c r="W581" s="3"/>
    </row>
    <row r="582" spans="15:23">
      <c r="O582" s="3"/>
      <c r="P582" s="3"/>
      <c r="Q582" s="35"/>
      <c r="R582" s="35"/>
      <c r="S582" s="35"/>
      <c r="T582" s="35"/>
      <c r="U582" s="3"/>
      <c r="V582" s="3"/>
      <c r="W582" s="3"/>
    </row>
    <row r="583" spans="15:23">
      <c r="O583" s="3"/>
      <c r="P583" s="3"/>
      <c r="Q583" s="35"/>
      <c r="R583" s="35"/>
      <c r="S583" s="35"/>
      <c r="T583" s="35"/>
      <c r="U583" s="3"/>
      <c r="V583" s="3"/>
      <c r="W583" s="3"/>
    </row>
    <row r="584" spans="15:23">
      <c r="O584" s="3"/>
      <c r="P584" s="3"/>
      <c r="Q584" s="35"/>
      <c r="R584" s="35"/>
      <c r="S584" s="35"/>
      <c r="T584" s="35"/>
      <c r="U584" s="3"/>
      <c r="V584" s="3"/>
      <c r="W584" s="3"/>
    </row>
    <row r="585" spans="15:23">
      <c r="O585" s="3"/>
      <c r="P585" s="3"/>
      <c r="Q585" s="35"/>
      <c r="R585" s="35"/>
      <c r="S585" s="35"/>
      <c r="T585" s="35"/>
      <c r="U585" s="3"/>
      <c r="V585" s="3"/>
      <c r="W585" s="3"/>
    </row>
    <row r="586" spans="15:23">
      <c r="O586" s="3"/>
      <c r="P586" s="3"/>
      <c r="Q586" s="35"/>
      <c r="R586" s="35"/>
      <c r="S586" s="35"/>
      <c r="T586" s="35"/>
      <c r="U586" s="3"/>
      <c r="V586" s="3"/>
      <c r="W586" s="3"/>
    </row>
    <row r="587" spans="15:23">
      <c r="O587" s="3"/>
      <c r="P587" s="3"/>
      <c r="Q587" s="35"/>
      <c r="R587" s="35"/>
      <c r="S587" s="35"/>
      <c r="T587" s="35"/>
      <c r="U587" s="3"/>
      <c r="V587" s="3"/>
      <c r="W587" s="3"/>
    </row>
    <row r="588" spans="15:23">
      <c r="O588" s="3"/>
      <c r="P588" s="3"/>
      <c r="Q588" s="35"/>
      <c r="R588" s="35"/>
      <c r="S588" s="35"/>
      <c r="T588" s="35"/>
      <c r="U588" s="3"/>
      <c r="V588" s="3"/>
      <c r="W588" s="3"/>
    </row>
    <row r="589" spans="15:23">
      <c r="O589" s="3"/>
      <c r="P589" s="3"/>
      <c r="Q589" s="35"/>
      <c r="R589" s="35"/>
      <c r="S589" s="35"/>
      <c r="T589" s="35"/>
      <c r="U589" s="3"/>
      <c r="V589" s="3"/>
      <c r="W589" s="3"/>
    </row>
    <row r="590" spans="15:23">
      <c r="O590" s="3"/>
      <c r="P590" s="3"/>
      <c r="Q590" s="35"/>
      <c r="R590" s="35"/>
      <c r="S590" s="35"/>
      <c r="T590" s="35"/>
      <c r="U590" s="3"/>
      <c r="V590" s="3"/>
      <c r="W590" s="3"/>
    </row>
    <row r="591" spans="15:23">
      <c r="O591" s="3"/>
      <c r="P591" s="3"/>
      <c r="Q591" s="35"/>
      <c r="R591" s="35"/>
      <c r="S591" s="35"/>
      <c r="T591" s="35"/>
      <c r="U591" s="3"/>
      <c r="V591" s="3"/>
      <c r="W591" s="3"/>
    </row>
    <row r="592" spans="15:23">
      <c r="O592" s="3"/>
      <c r="P592" s="3"/>
      <c r="Q592" s="35"/>
      <c r="R592" s="35"/>
      <c r="S592" s="35"/>
      <c r="T592" s="35"/>
      <c r="U592" s="3"/>
      <c r="V592" s="3"/>
      <c r="W592" s="3"/>
    </row>
    <row r="593" spans="15:23">
      <c r="O593" s="3"/>
      <c r="P593" s="3"/>
      <c r="Q593" s="35"/>
      <c r="R593" s="35"/>
      <c r="S593" s="35"/>
      <c r="T593" s="35"/>
      <c r="U593" s="3"/>
      <c r="V593" s="3"/>
      <c r="W593" s="3"/>
    </row>
    <row r="594" spans="15:23">
      <c r="O594" s="3"/>
      <c r="P594" s="3"/>
      <c r="Q594" s="35"/>
      <c r="R594" s="35"/>
      <c r="S594" s="35"/>
      <c r="T594" s="35"/>
      <c r="U594" s="3"/>
      <c r="V594" s="3"/>
      <c r="W594" s="3"/>
    </row>
    <row r="595" spans="15:23">
      <c r="O595" s="3"/>
      <c r="P595" s="3"/>
      <c r="Q595" s="35"/>
      <c r="R595" s="35"/>
      <c r="S595" s="35"/>
      <c r="T595" s="35"/>
      <c r="U595" s="3"/>
      <c r="V595" s="3"/>
      <c r="W595" s="3"/>
    </row>
    <row r="596" spans="15:23">
      <c r="O596" s="3"/>
      <c r="P596" s="3"/>
      <c r="Q596" s="35"/>
      <c r="R596" s="35"/>
      <c r="S596" s="35"/>
      <c r="T596" s="35"/>
      <c r="U596" s="3"/>
      <c r="V596" s="3"/>
      <c r="W596" s="3"/>
    </row>
    <row r="597" spans="15:23">
      <c r="O597" s="3"/>
      <c r="P597" s="3"/>
      <c r="Q597" s="35"/>
      <c r="R597" s="35"/>
      <c r="S597" s="35"/>
      <c r="T597" s="35"/>
      <c r="U597" s="3"/>
      <c r="V597" s="3"/>
      <c r="W597" s="3"/>
    </row>
    <row r="598" spans="15:23">
      <c r="O598" s="3"/>
      <c r="P598" s="3"/>
      <c r="Q598" s="35"/>
      <c r="R598" s="35"/>
      <c r="S598" s="35"/>
      <c r="T598" s="35"/>
      <c r="U598" s="3"/>
      <c r="V598" s="3"/>
      <c r="W598" s="3"/>
    </row>
    <row r="599" spans="15:23">
      <c r="O599" s="3"/>
      <c r="P599" s="3"/>
      <c r="Q599" s="35"/>
      <c r="R599" s="35"/>
      <c r="S599" s="35"/>
      <c r="T599" s="35"/>
      <c r="U599" s="3"/>
      <c r="V599" s="3"/>
      <c r="W599" s="3"/>
    </row>
    <row r="600" spans="15:23">
      <c r="O600" s="3"/>
      <c r="P600" s="3"/>
      <c r="Q600" s="35"/>
      <c r="R600" s="35"/>
      <c r="S600" s="35"/>
      <c r="T600" s="35"/>
      <c r="U600" s="3"/>
      <c r="V600" s="3"/>
      <c r="W600" s="3"/>
    </row>
    <row r="601" spans="15:23">
      <c r="O601" s="3"/>
      <c r="P601" s="3"/>
      <c r="Q601" s="35"/>
      <c r="R601" s="35"/>
      <c r="S601" s="35"/>
      <c r="T601" s="35"/>
      <c r="U601" s="3"/>
      <c r="V601" s="3"/>
      <c r="W601" s="3"/>
    </row>
    <row r="602" spans="15:23">
      <c r="O602" s="3"/>
      <c r="P602" s="3"/>
      <c r="Q602" s="35"/>
      <c r="R602" s="35"/>
      <c r="S602" s="35"/>
      <c r="T602" s="35"/>
      <c r="U602" s="3"/>
      <c r="V602" s="3"/>
      <c r="W602" s="3"/>
    </row>
    <row r="603" spans="15:23">
      <c r="O603" s="3"/>
      <c r="P603" s="3"/>
      <c r="Q603" s="35"/>
      <c r="R603" s="35"/>
      <c r="S603" s="35"/>
      <c r="T603" s="35"/>
      <c r="U603" s="3"/>
      <c r="V603" s="3"/>
      <c r="W603" s="3"/>
    </row>
    <row r="604" spans="15:23">
      <c r="O604" s="3"/>
      <c r="P604" s="3"/>
      <c r="Q604" s="35"/>
      <c r="R604" s="35"/>
      <c r="S604" s="35"/>
      <c r="T604" s="35"/>
      <c r="U604" s="3"/>
      <c r="V604" s="3"/>
      <c r="W604" s="3"/>
    </row>
    <row r="605" spans="15:23">
      <c r="O605" s="3"/>
      <c r="P605" s="3"/>
      <c r="Q605" s="35"/>
      <c r="R605" s="35"/>
      <c r="S605" s="35"/>
      <c r="T605" s="35"/>
      <c r="U605" s="3"/>
      <c r="V605" s="3"/>
      <c r="W605" s="3"/>
    </row>
    <row r="606" spans="15:23">
      <c r="O606" s="3"/>
      <c r="P606" s="3"/>
      <c r="Q606" s="35"/>
      <c r="R606" s="35"/>
      <c r="S606" s="35"/>
      <c r="T606" s="35"/>
      <c r="U606" s="3"/>
      <c r="V606" s="3"/>
      <c r="W606" s="3"/>
    </row>
    <row r="607" spans="15:23">
      <c r="O607" s="3"/>
      <c r="P607" s="3"/>
      <c r="Q607" s="35"/>
      <c r="R607" s="35"/>
      <c r="S607" s="35"/>
      <c r="T607" s="35"/>
      <c r="U607" s="3"/>
      <c r="V607" s="3"/>
      <c r="W607" s="3"/>
    </row>
    <row r="608" spans="15:23">
      <c r="O608" s="3"/>
      <c r="P608" s="3"/>
      <c r="Q608" s="35"/>
      <c r="R608" s="35"/>
      <c r="S608" s="35"/>
      <c r="T608" s="35"/>
      <c r="U608" s="3"/>
      <c r="V608" s="3"/>
      <c r="W608" s="3"/>
    </row>
    <row r="609" spans="15:23">
      <c r="O609" s="3"/>
      <c r="P609" s="3"/>
      <c r="Q609" s="35"/>
      <c r="R609" s="35"/>
      <c r="S609" s="35"/>
      <c r="T609" s="35"/>
      <c r="U609" s="3"/>
      <c r="V609" s="3"/>
      <c r="W609" s="3"/>
    </row>
    <row r="610" spans="15:23">
      <c r="O610" s="3"/>
      <c r="P610" s="3"/>
      <c r="Q610" s="35"/>
      <c r="R610" s="35"/>
      <c r="S610" s="35"/>
      <c r="T610" s="35"/>
      <c r="U610" s="3"/>
      <c r="V610" s="3"/>
      <c r="W610" s="3"/>
    </row>
    <row r="611" spans="15:23">
      <c r="O611" s="3"/>
      <c r="P611" s="3"/>
      <c r="Q611" s="35"/>
      <c r="R611" s="35"/>
      <c r="S611" s="35"/>
      <c r="T611" s="35"/>
      <c r="U611" s="3"/>
      <c r="V611" s="3"/>
      <c r="W611" s="3"/>
    </row>
    <row r="612" spans="15:23">
      <c r="O612" s="3"/>
      <c r="P612" s="3"/>
      <c r="Q612" s="35"/>
      <c r="R612" s="35"/>
      <c r="S612" s="35"/>
      <c r="T612" s="35"/>
      <c r="U612" s="3"/>
      <c r="V612" s="3"/>
      <c r="W612" s="3"/>
    </row>
    <row r="613" spans="15:23">
      <c r="O613" s="3"/>
      <c r="P613" s="3"/>
      <c r="Q613" s="35"/>
      <c r="R613" s="35"/>
      <c r="S613" s="35"/>
      <c r="T613" s="35"/>
      <c r="U613" s="3"/>
      <c r="V613" s="3"/>
      <c r="W613" s="3"/>
    </row>
    <row r="614" spans="15:23">
      <c r="O614" s="3"/>
      <c r="P614" s="3"/>
      <c r="Q614" s="35"/>
      <c r="R614" s="35"/>
      <c r="S614" s="35"/>
      <c r="T614" s="35"/>
      <c r="U614" s="3"/>
      <c r="V614" s="3"/>
      <c r="W614" s="3"/>
    </row>
    <row r="615" spans="15:23">
      <c r="O615" s="3"/>
      <c r="P615" s="3"/>
      <c r="Q615" s="35"/>
      <c r="R615" s="35"/>
      <c r="S615" s="35"/>
      <c r="T615" s="35"/>
      <c r="U615" s="3"/>
      <c r="V615" s="3"/>
      <c r="W615" s="3"/>
    </row>
    <row r="616" spans="15:23">
      <c r="O616" s="3"/>
      <c r="P616" s="3"/>
      <c r="Q616" s="35"/>
      <c r="R616" s="35"/>
      <c r="S616" s="35"/>
      <c r="T616" s="35"/>
      <c r="U616" s="3"/>
      <c r="V616" s="3"/>
      <c r="W616" s="3"/>
    </row>
    <row r="617" spans="15:23">
      <c r="O617" s="3"/>
      <c r="P617" s="3"/>
      <c r="Q617" s="35"/>
      <c r="R617" s="35"/>
      <c r="S617" s="35"/>
      <c r="T617" s="35"/>
      <c r="U617" s="3"/>
      <c r="V617" s="3"/>
      <c r="W617" s="3"/>
    </row>
    <row r="618" spans="15:23">
      <c r="O618" s="3"/>
      <c r="P618" s="3"/>
      <c r="Q618" s="35"/>
      <c r="R618" s="35"/>
      <c r="S618" s="35"/>
      <c r="T618" s="35"/>
      <c r="U618" s="3"/>
      <c r="V618" s="3"/>
      <c r="W618" s="3"/>
    </row>
    <row r="619" spans="15:23">
      <c r="O619" s="3"/>
      <c r="P619" s="3"/>
      <c r="Q619" s="35"/>
      <c r="R619" s="35"/>
      <c r="S619" s="35"/>
      <c r="T619" s="35"/>
      <c r="U619" s="3"/>
      <c r="V619" s="3"/>
      <c r="W619" s="3"/>
    </row>
    <row r="620" spans="15:23">
      <c r="O620" s="3"/>
      <c r="P620" s="3"/>
      <c r="Q620" s="35"/>
      <c r="R620" s="35"/>
      <c r="S620" s="35"/>
      <c r="T620" s="35"/>
      <c r="U620" s="3"/>
      <c r="V620" s="3"/>
      <c r="W620" s="3"/>
    </row>
    <row r="621" spans="15:23">
      <c r="O621" s="3"/>
      <c r="P621" s="3"/>
      <c r="Q621" s="35"/>
      <c r="R621" s="35"/>
      <c r="S621" s="35"/>
      <c r="T621" s="35"/>
      <c r="U621" s="3"/>
      <c r="V621" s="3"/>
      <c r="W621" s="3"/>
    </row>
  </sheetData>
  <mergeCells count="18">
    <mergeCell ref="C2:I4"/>
    <mergeCell ref="C5:I5"/>
    <mergeCell ref="C6:I6"/>
    <mergeCell ref="C23:I23"/>
    <mergeCell ref="C7:C14"/>
    <mergeCell ref="D7:D14"/>
    <mergeCell ref="E7:E14"/>
    <mergeCell ref="F7:F14"/>
    <mergeCell ref="G7:G14"/>
    <mergeCell ref="H7:H14"/>
    <mergeCell ref="C15:C22"/>
    <mergeCell ref="D15:D22"/>
    <mergeCell ref="E15:E22"/>
    <mergeCell ref="F15:F22"/>
    <mergeCell ref="G15:G22"/>
    <mergeCell ref="I15:I22"/>
    <mergeCell ref="H15:H22"/>
    <mergeCell ref="I7:I14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7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X649"/>
  <sheetViews>
    <sheetView showGridLines="0" zoomScale="80" zoomScaleNormal="80" zoomScaleSheetLayoutView="70" workbookViewId="0">
      <pane xSplit="10" ySplit="1" topLeftCell="K34" activePane="bottomRight" state="frozen"/>
      <selection activeCell="O18" sqref="O18"/>
      <selection pane="topRight" activeCell="O18" sqref="O18"/>
      <selection pane="bottomLeft" activeCell="O18" sqref="O18"/>
      <selection pane="bottomRight" activeCell="G7" sqref="G7:G14"/>
    </sheetView>
  </sheetViews>
  <sheetFormatPr defaultRowHeight="12"/>
  <cols>
    <col min="1" max="2" width="9.08984375" style="279" bestFit="1" customWidth="1"/>
    <col min="3" max="3" width="4.90625" style="3" customWidth="1"/>
    <col min="4" max="5" width="5.08984375" style="3" customWidth="1"/>
    <col min="6" max="6" width="9.6328125" style="3" customWidth="1"/>
    <col min="7" max="8" width="11.90625" style="3" customWidth="1"/>
    <col min="9" max="9" width="9.08984375" style="3" customWidth="1"/>
    <col min="10" max="10" width="10.90625" style="3" customWidth="1"/>
    <col min="11" max="14" width="13.36328125" style="35" customWidth="1"/>
    <col min="15" max="15" width="13.36328125" style="49" customWidth="1"/>
    <col min="16" max="17" width="13.36328125" style="40" customWidth="1"/>
    <col min="18" max="18" width="13.36328125" style="4" customWidth="1"/>
    <col min="19" max="21" width="13.36328125" style="40" customWidth="1"/>
    <col min="22" max="22" width="13.90625" style="4" customWidth="1"/>
    <col min="23" max="23" width="16.453125" style="5" customWidth="1"/>
    <col min="24" max="258" width="9" style="3"/>
    <col min="259" max="259" width="9.90625" style="3" customWidth="1"/>
    <col min="260" max="261" width="5.08984375" style="3" customWidth="1"/>
    <col min="262" max="262" width="9.6328125" style="3" customWidth="1"/>
    <col min="263" max="264" width="11.90625" style="3" customWidth="1"/>
    <col min="265" max="265" width="15.36328125" style="3" customWidth="1"/>
    <col min="266" max="266" width="10.90625" style="3" customWidth="1"/>
    <col min="267" max="277" width="13.36328125" style="3" customWidth="1"/>
    <col min="278" max="278" width="13.90625" style="3" customWidth="1"/>
    <col min="279" max="279" width="16.453125" style="3" customWidth="1"/>
    <col min="280" max="514" width="9" style="3"/>
    <col min="515" max="515" width="9.90625" style="3" customWidth="1"/>
    <col min="516" max="517" width="5.08984375" style="3" customWidth="1"/>
    <col min="518" max="518" width="9.6328125" style="3" customWidth="1"/>
    <col min="519" max="520" width="11.90625" style="3" customWidth="1"/>
    <col min="521" max="521" width="15.36328125" style="3" customWidth="1"/>
    <col min="522" max="522" width="10.90625" style="3" customWidth="1"/>
    <col min="523" max="533" width="13.36328125" style="3" customWidth="1"/>
    <col min="534" max="534" width="13.90625" style="3" customWidth="1"/>
    <col min="535" max="535" width="16.453125" style="3" customWidth="1"/>
    <col min="536" max="770" width="9" style="3"/>
    <col min="771" max="771" width="9.90625" style="3" customWidth="1"/>
    <col min="772" max="773" width="5.08984375" style="3" customWidth="1"/>
    <col min="774" max="774" width="9.6328125" style="3" customWidth="1"/>
    <col min="775" max="776" width="11.90625" style="3" customWidth="1"/>
    <col min="777" max="777" width="15.36328125" style="3" customWidth="1"/>
    <col min="778" max="778" width="10.90625" style="3" customWidth="1"/>
    <col min="779" max="789" width="13.36328125" style="3" customWidth="1"/>
    <col min="790" max="790" width="13.90625" style="3" customWidth="1"/>
    <col min="791" max="791" width="16.453125" style="3" customWidth="1"/>
    <col min="792" max="1026" width="9" style="3"/>
    <col min="1027" max="1027" width="9.90625" style="3" customWidth="1"/>
    <col min="1028" max="1029" width="5.08984375" style="3" customWidth="1"/>
    <col min="1030" max="1030" width="9.6328125" style="3" customWidth="1"/>
    <col min="1031" max="1032" width="11.90625" style="3" customWidth="1"/>
    <col min="1033" max="1033" width="15.36328125" style="3" customWidth="1"/>
    <col min="1034" max="1034" width="10.90625" style="3" customWidth="1"/>
    <col min="1035" max="1045" width="13.36328125" style="3" customWidth="1"/>
    <col min="1046" max="1046" width="13.90625" style="3" customWidth="1"/>
    <col min="1047" max="1047" width="16.453125" style="3" customWidth="1"/>
    <col min="1048" max="1282" width="9" style="3"/>
    <col min="1283" max="1283" width="9.90625" style="3" customWidth="1"/>
    <col min="1284" max="1285" width="5.08984375" style="3" customWidth="1"/>
    <col min="1286" max="1286" width="9.6328125" style="3" customWidth="1"/>
    <col min="1287" max="1288" width="11.90625" style="3" customWidth="1"/>
    <col min="1289" max="1289" width="15.36328125" style="3" customWidth="1"/>
    <col min="1290" max="1290" width="10.90625" style="3" customWidth="1"/>
    <col min="1291" max="1301" width="13.36328125" style="3" customWidth="1"/>
    <col min="1302" max="1302" width="13.90625" style="3" customWidth="1"/>
    <col min="1303" max="1303" width="16.453125" style="3" customWidth="1"/>
    <col min="1304" max="1538" width="9" style="3"/>
    <col min="1539" max="1539" width="9.90625" style="3" customWidth="1"/>
    <col min="1540" max="1541" width="5.08984375" style="3" customWidth="1"/>
    <col min="1542" max="1542" width="9.6328125" style="3" customWidth="1"/>
    <col min="1543" max="1544" width="11.90625" style="3" customWidth="1"/>
    <col min="1545" max="1545" width="15.36328125" style="3" customWidth="1"/>
    <col min="1546" max="1546" width="10.90625" style="3" customWidth="1"/>
    <col min="1547" max="1557" width="13.36328125" style="3" customWidth="1"/>
    <col min="1558" max="1558" width="13.90625" style="3" customWidth="1"/>
    <col min="1559" max="1559" width="16.453125" style="3" customWidth="1"/>
    <col min="1560" max="1794" width="9" style="3"/>
    <col min="1795" max="1795" width="9.90625" style="3" customWidth="1"/>
    <col min="1796" max="1797" width="5.08984375" style="3" customWidth="1"/>
    <col min="1798" max="1798" width="9.6328125" style="3" customWidth="1"/>
    <col min="1799" max="1800" width="11.90625" style="3" customWidth="1"/>
    <col min="1801" max="1801" width="15.36328125" style="3" customWidth="1"/>
    <col min="1802" max="1802" width="10.90625" style="3" customWidth="1"/>
    <col min="1803" max="1813" width="13.36328125" style="3" customWidth="1"/>
    <col min="1814" max="1814" width="13.90625" style="3" customWidth="1"/>
    <col min="1815" max="1815" width="16.453125" style="3" customWidth="1"/>
    <col min="1816" max="2050" width="9" style="3"/>
    <col min="2051" max="2051" width="9.90625" style="3" customWidth="1"/>
    <col min="2052" max="2053" width="5.08984375" style="3" customWidth="1"/>
    <col min="2054" max="2054" width="9.6328125" style="3" customWidth="1"/>
    <col min="2055" max="2056" width="11.90625" style="3" customWidth="1"/>
    <col min="2057" max="2057" width="15.36328125" style="3" customWidth="1"/>
    <col min="2058" max="2058" width="10.90625" style="3" customWidth="1"/>
    <col min="2059" max="2069" width="13.36328125" style="3" customWidth="1"/>
    <col min="2070" max="2070" width="13.90625" style="3" customWidth="1"/>
    <col min="2071" max="2071" width="16.453125" style="3" customWidth="1"/>
    <col min="2072" max="2306" width="9" style="3"/>
    <col min="2307" max="2307" width="9.90625" style="3" customWidth="1"/>
    <col min="2308" max="2309" width="5.08984375" style="3" customWidth="1"/>
    <col min="2310" max="2310" width="9.6328125" style="3" customWidth="1"/>
    <col min="2311" max="2312" width="11.90625" style="3" customWidth="1"/>
    <col min="2313" max="2313" width="15.36328125" style="3" customWidth="1"/>
    <col min="2314" max="2314" width="10.90625" style="3" customWidth="1"/>
    <col min="2315" max="2325" width="13.36328125" style="3" customWidth="1"/>
    <col min="2326" max="2326" width="13.90625" style="3" customWidth="1"/>
    <col min="2327" max="2327" width="16.453125" style="3" customWidth="1"/>
    <col min="2328" max="2562" width="9" style="3"/>
    <col min="2563" max="2563" width="9.90625" style="3" customWidth="1"/>
    <col min="2564" max="2565" width="5.08984375" style="3" customWidth="1"/>
    <col min="2566" max="2566" width="9.6328125" style="3" customWidth="1"/>
    <col min="2567" max="2568" width="11.90625" style="3" customWidth="1"/>
    <col min="2569" max="2569" width="15.36328125" style="3" customWidth="1"/>
    <col min="2570" max="2570" width="10.90625" style="3" customWidth="1"/>
    <col min="2571" max="2581" width="13.36328125" style="3" customWidth="1"/>
    <col min="2582" max="2582" width="13.90625" style="3" customWidth="1"/>
    <col min="2583" max="2583" width="16.453125" style="3" customWidth="1"/>
    <col min="2584" max="2818" width="9" style="3"/>
    <col min="2819" max="2819" width="9.90625" style="3" customWidth="1"/>
    <col min="2820" max="2821" width="5.08984375" style="3" customWidth="1"/>
    <col min="2822" max="2822" width="9.6328125" style="3" customWidth="1"/>
    <col min="2823" max="2824" width="11.90625" style="3" customWidth="1"/>
    <col min="2825" max="2825" width="15.36328125" style="3" customWidth="1"/>
    <col min="2826" max="2826" width="10.90625" style="3" customWidth="1"/>
    <col min="2827" max="2837" width="13.36328125" style="3" customWidth="1"/>
    <col min="2838" max="2838" width="13.90625" style="3" customWidth="1"/>
    <col min="2839" max="2839" width="16.453125" style="3" customWidth="1"/>
    <col min="2840" max="3074" width="9" style="3"/>
    <col min="3075" max="3075" width="9.90625" style="3" customWidth="1"/>
    <col min="3076" max="3077" width="5.08984375" style="3" customWidth="1"/>
    <col min="3078" max="3078" width="9.6328125" style="3" customWidth="1"/>
    <col min="3079" max="3080" width="11.90625" style="3" customWidth="1"/>
    <col min="3081" max="3081" width="15.36328125" style="3" customWidth="1"/>
    <col min="3082" max="3082" width="10.90625" style="3" customWidth="1"/>
    <col min="3083" max="3093" width="13.36328125" style="3" customWidth="1"/>
    <col min="3094" max="3094" width="13.90625" style="3" customWidth="1"/>
    <col min="3095" max="3095" width="16.453125" style="3" customWidth="1"/>
    <col min="3096" max="3330" width="9" style="3"/>
    <col min="3331" max="3331" width="9.90625" style="3" customWidth="1"/>
    <col min="3332" max="3333" width="5.08984375" style="3" customWidth="1"/>
    <col min="3334" max="3334" width="9.6328125" style="3" customWidth="1"/>
    <col min="3335" max="3336" width="11.90625" style="3" customWidth="1"/>
    <col min="3337" max="3337" width="15.36328125" style="3" customWidth="1"/>
    <col min="3338" max="3338" width="10.90625" style="3" customWidth="1"/>
    <col min="3339" max="3349" width="13.36328125" style="3" customWidth="1"/>
    <col min="3350" max="3350" width="13.90625" style="3" customWidth="1"/>
    <col min="3351" max="3351" width="16.453125" style="3" customWidth="1"/>
    <col min="3352" max="3586" width="9" style="3"/>
    <col min="3587" max="3587" width="9.90625" style="3" customWidth="1"/>
    <col min="3588" max="3589" width="5.08984375" style="3" customWidth="1"/>
    <col min="3590" max="3590" width="9.6328125" style="3" customWidth="1"/>
    <col min="3591" max="3592" width="11.90625" style="3" customWidth="1"/>
    <col min="3593" max="3593" width="15.36328125" style="3" customWidth="1"/>
    <col min="3594" max="3594" width="10.90625" style="3" customWidth="1"/>
    <col min="3595" max="3605" width="13.36328125" style="3" customWidth="1"/>
    <col min="3606" max="3606" width="13.90625" style="3" customWidth="1"/>
    <col min="3607" max="3607" width="16.453125" style="3" customWidth="1"/>
    <col min="3608" max="3842" width="9" style="3"/>
    <col min="3843" max="3843" width="9.90625" style="3" customWidth="1"/>
    <col min="3844" max="3845" width="5.08984375" style="3" customWidth="1"/>
    <col min="3846" max="3846" width="9.6328125" style="3" customWidth="1"/>
    <col min="3847" max="3848" width="11.90625" style="3" customWidth="1"/>
    <col min="3849" max="3849" width="15.36328125" style="3" customWidth="1"/>
    <col min="3850" max="3850" width="10.90625" style="3" customWidth="1"/>
    <col min="3851" max="3861" width="13.36328125" style="3" customWidth="1"/>
    <col min="3862" max="3862" width="13.90625" style="3" customWidth="1"/>
    <col min="3863" max="3863" width="16.453125" style="3" customWidth="1"/>
    <col min="3864" max="4098" width="9" style="3"/>
    <col min="4099" max="4099" width="9.90625" style="3" customWidth="1"/>
    <col min="4100" max="4101" width="5.08984375" style="3" customWidth="1"/>
    <col min="4102" max="4102" width="9.6328125" style="3" customWidth="1"/>
    <col min="4103" max="4104" width="11.90625" style="3" customWidth="1"/>
    <col min="4105" max="4105" width="15.36328125" style="3" customWidth="1"/>
    <col min="4106" max="4106" width="10.90625" style="3" customWidth="1"/>
    <col min="4107" max="4117" width="13.36328125" style="3" customWidth="1"/>
    <col min="4118" max="4118" width="13.90625" style="3" customWidth="1"/>
    <col min="4119" max="4119" width="16.453125" style="3" customWidth="1"/>
    <col min="4120" max="4354" width="9" style="3"/>
    <col min="4355" max="4355" width="9.90625" style="3" customWidth="1"/>
    <col min="4356" max="4357" width="5.08984375" style="3" customWidth="1"/>
    <col min="4358" max="4358" width="9.6328125" style="3" customWidth="1"/>
    <col min="4359" max="4360" width="11.90625" style="3" customWidth="1"/>
    <col min="4361" max="4361" width="15.36328125" style="3" customWidth="1"/>
    <col min="4362" max="4362" width="10.90625" style="3" customWidth="1"/>
    <col min="4363" max="4373" width="13.36328125" style="3" customWidth="1"/>
    <col min="4374" max="4374" width="13.90625" style="3" customWidth="1"/>
    <col min="4375" max="4375" width="16.453125" style="3" customWidth="1"/>
    <col min="4376" max="4610" width="9" style="3"/>
    <col min="4611" max="4611" width="9.90625" style="3" customWidth="1"/>
    <col min="4612" max="4613" width="5.08984375" style="3" customWidth="1"/>
    <col min="4614" max="4614" width="9.6328125" style="3" customWidth="1"/>
    <col min="4615" max="4616" width="11.90625" style="3" customWidth="1"/>
    <col min="4617" max="4617" width="15.36328125" style="3" customWidth="1"/>
    <col min="4618" max="4618" width="10.90625" style="3" customWidth="1"/>
    <col min="4619" max="4629" width="13.36328125" style="3" customWidth="1"/>
    <col min="4630" max="4630" width="13.90625" style="3" customWidth="1"/>
    <col min="4631" max="4631" width="16.453125" style="3" customWidth="1"/>
    <col min="4632" max="4866" width="9" style="3"/>
    <col min="4867" max="4867" width="9.90625" style="3" customWidth="1"/>
    <col min="4868" max="4869" width="5.08984375" style="3" customWidth="1"/>
    <col min="4870" max="4870" width="9.6328125" style="3" customWidth="1"/>
    <col min="4871" max="4872" width="11.90625" style="3" customWidth="1"/>
    <col min="4873" max="4873" width="15.36328125" style="3" customWidth="1"/>
    <col min="4874" max="4874" width="10.90625" style="3" customWidth="1"/>
    <col min="4875" max="4885" width="13.36328125" style="3" customWidth="1"/>
    <col min="4886" max="4886" width="13.90625" style="3" customWidth="1"/>
    <col min="4887" max="4887" width="16.453125" style="3" customWidth="1"/>
    <col min="4888" max="5122" width="9" style="3"/>
    <col min="5123" max="5123" width="9.90625" style="3" customWidth="1"/>
    <col min="5124" max="5125" width="5.08984375" style="3" customWidth="1"/>
    <col min="5126" max="5126" width="9.6328125" style="3" customWidth="1"/>
    <col min="5127" max="5128" width="11.90625" style="3" customWidth="1"/>
    <col min="5129" max="5129" width="15.36328125" style="3" customWidth="1"/>
    <col min="5130" max="5130" width="10.90625" style="3" customWidth="1"/>
    <col min="5131" max="5141" width="13.36328125" style="3" customWidth="1"/>
    <col min="5142" max="5142" width="13.90625" style="3" customWidth="1"/>
    <col min="5143" max="5143" width="16.453125" style="3" customWidth="1"/>
    <col min="5144" max="5378" width="9" style="3"/>
    <col min="5379" max="5379" width="9.90625" style="3" customWidth="1"/>
    <col min="5380" max="5381" width="5.08984375" style="3" customWidth="1"/>
    <col min="5382" max="5382" width="9.6328125" style="3" customWidth="1"/>
    <col min="5383" max="5384" width="11.90625" style="3" customWidth="1"/>
    <col min="5385" max="5385" width="15.36328125" style="3" customWidth="1"/>
    <col min="5386" max="5386" width="10.90625" style="3" customWidth="1"/>
    <col min="5387" max="5397" width="13.36328125" style="3" customWidth="1"/>
    <col min="5398" max="5398" width="13.90625" style="3" customWidth="1"/>
    <col min="5399" max="5399" width="16.453125" style="3" customWidth="1"/>
    <col min="5400" max="5634" width="9" style="3"/>
    <col min="5635" max="5635" width="9.90625" style="3" customWidth="1"/>
    <col min="5636" max="5637" width="5.08984375" style="3" customWidth="1"/>
    <col min="5638" max="5638" width="9.6328125" style="3" customWidth="1"/>
    <col min="5639" max="5640" width="11.90625" style="3" customWidth="1"/>
    <col min="5641" max="5641" width="15.36328125" style="3" customWidth="1"/>
    <col min="5642" max="5642" width="10.90625" style="3" customWidth="1"/>
    <col min="5643" max="5653" width="13.36328125" style="3" customWidth="1"/>
    <col min="5654" max="5654" width="13.90625" style="3" customWidth="1"/>
    <col min="5655" max="5655" width="16.453125" style="3" customWidth="1"/>
    <col min="5656" max="5890" width="9" style="3"/>
    <col min="5891" max="5891" width="9.90625" style="3" customWidth="1"/>
    <col min="5892" max="5893" width="5.08984375" style="3" customWidth="1"/>
    <col min="5894" max="5894" width="9.6328125" style="3" customWidth="1"/>
    <col min="5895" max="5896" width="11.90625" style="3" customWidth="1"/>
    <col min="5897" max="5897" width="15.36328125" style="3" customWidth="1"/>
    <col min="5898" max="5898" width="10.90625" style="3" customWidth="1"/>
    <col min="5899" max="5909" width="13.36328125" style="3" customWidth="1"/>
    <col min="5910" max="5910" width="13.90625" style="3" customWidth="1"/>
    <col min="5911" max="5911" width="16.453125" style="3" customWidth="1"/>
    <col min="5912" max="6146" width="9" style="3"/>
    <col min="6147" max="6147" width="9.90625" style="3" customWidth="1"/>
    <col min="6148" max="6149" width="5.08984375" style="3" customWidth="1"/>
    <col min="6150" max="6150" width="9.6328125" style="3" customWidth="1"/>
    <col min="6151" max="6152" width="11.90625" style="3" customWidth="1"/>
    <col min="6153" max="6153" width="15.36328125" style="3" customWidth="1"/>
    <col min="6154" max="6154" width="10.90625" style="3" customWidth="1"/>
    <col min="6155" max="6165" width="13.36328125" style="3" customWidth="1"/>
    <col min="6166" max="6166" width="13.90625" style="3" customWidth="1"/>
    <col min="6167" max="6167" width="16.453125" style="3" customWidth="1"/>
    <col min="6168" max="6402" width="9" style="3"/>
    <col min="6403" max="6403" width="9.90625" style="3" customWidth="1"/>
    <col min="6404" max="6405" width="5.08984375" style="3" customWidth="1"/>
    <col min="6406" max="6406" width="9.6328125" style="3" customWidth="1"/>
    <col min="6407" max="6408" width="11.90625" style="3" customWidth="1"/>
    <col min="6409" max="6409" width="15.36328125" style="3" customWidth="1"/>
    <col min="6410" max="6410" width="10.90625" style="3" customWidth="1"/>
    <col min="6411" max="6421" width="13.36328125" style="3" customWidth="1"/>
    <col min="6422" max="6422" width="13.90625" style="3" customWidth="1"/>
    <col min="6423" max="6423" width="16.453125" style="3" customWidth="1"/>
    <col min="6424" max="6658" width="9" style="3"/>
    <col min="6659" max="6659" width="9.90625" style="3" customWidth="1"/>
    <col min="6660" max="6661" width="5.08984375" style="3" customWidth="1"/>
    <col min="6662" max="6662" width="9.6328125" style="3" customWidth="1"/>
    <col min="6663" max="6664" width="11.90625" style="3" customWidth="1"/>
    <col min="6665" max="6665" width="15.36328125" style="3" customWidth="1"/>
    <col min="6666" max="6666" width="10.90625" style="3" customWidth="1"/>
    <col min="6667" max="6677" width="13.36328125" style="3" customWidth="1"/>
    <col min="6678" max="6678" width="13.90625" style="3" customWidth="1"/>
    <col min="6679" max="6679" width="16.453125" style="3" customWidth="1"/>
    <col min="6680" max="6914" width="9" style="3"/>
    <col min="6915" max="6915" width="9.90625" style="3" customWidth="1"/>
    <col min="6916" max="6917" width="5.08984375" style="3" customWidth="1"/>
    <col min="6918" max="6918" width="9.6328125" style="3" customWidth="1"/>
    <col min="6919" max="6920" width="11.90625" style="3" customWidth="1"/>
    <col min="6921" max="6921" width="15.36328125" style="3" customWidth="1"/>
    <col min="6922" max="6922" width="10.90625" style="3" customWidth="1"/>
    <col min="6923" max="6933" width="13.36328125" style="3" customWidth="1"/>
    <col min="6934" max="6934" width="13.90625" style="3" customWidth="1"/>
    <col min="6935" max="6935" width="16.453125" style="3" customWidth="1"/>
    <col min="6936" max="7170" width="9" style="3"/>
    <col min="7171" max="7171" width="9.90625" style="3" customWidth="1"/>
    <col min="7172" max="7173" width="5.08984375" style="3" customWidth="1"/>
    <col min="7174" max="7174" width="9.6328125" style="3" customWidth="1"/>
    <col min="7175" max="7176" width="11.90625" style="3" customWidth="1"/>
    <col min="7177" max="7177" width="15.36328125" style="3" customWidth="1"/>
    <col min="7178" max="7178" width="10.90625" style="3" customWidth="1"/>
    <col min="7179" max="7189" width="13.36328125" style="3" customWidth="1"/>
    <col min="7190" max="7190" width="13.90625" style="3" customWidth="1"/>
    <col min="7191" max="7191" width="16.453125" style="3" customWidth="1"/>
    <col min="7192" max="7426" width="9" style="3"/>
    <col min="7427" max="7427" width="9.90625" style="3" customWidth="1"/>
    <col min="7428" max="7429" width="5.08984375" style="3" customWidth="1"/>
    <col min="7430" max="7430" width="9.6328125" style="3" customWidth="1"/>
    <col min="7431" max="7432" width="11.90625" style="3" customWidth="1"/>
    <col min="7433" max="7433" width="15.36328125" style="3" customWidth="1"/>
    <col min="7434" max="7434" width="10.90625" style="3" customWidth="1"/>
    <col min="7435" max="7445" width="13.36328125" style="3" customWidth="1"/>
    <col min="7446" max="7446" width="13.90625" style="3" customWidth="1"/>
    <col min="7447" max="7447" width="16.453125" style="3" customWidth="1"/>
    <col min="7448" max="7682" width="9" style="3"/>
    <col min="7683" max="7683" width="9.90625" style="3" customWidth="1"/>
    <col min="7684" max="7685" width="5.08984375" style="3" customWidth="1"/>
    <col min="7686" max="7686" width="9.6328125" style="3" customWidth="1"/>
    <col min="7687" max="7688" width="11.90625" style="3" customWidth="1"/>
    <col min="7689" max="7689" width="15.36328125" style="3" customWidth="1"/>
    <col min="7690" max="7690" width="10.90625" style="3" customWidth="1"/>
    <col min="7691" max="7701" width="13.36328125" style="3" customWidth="1"/>
    <col min="7702" max="7702" width="13.90625" style="3" customWidth="1"/>
    <col min="7703" max="7703" width="16.453125" style="3" customWidth="1"/>
    <col min="7704" max="7938" width="9" style="3"/>
    <col min="7939" max="7939" width="9.90625" style="3" customWidth="1"/>
    <col min="7940" max="7941" width="5.08984375" style="3" customWidth="1"/>
    <col min="7942" max="7942" width="9.6328125" style="3" customWidth="1"/>
    <col min="7943" max="7944" width="11.90625" style="3" customWidth="1"/>
    <col min="7945" max="7945" width="15.36328125" style="3" customWidth="1"/>
    <col min="7946" max="7946" width="10.90625" style="3" customWidth="1"/>
    <col min="7947" max="7957" width="13.36328125" style="3" customWidth="1"/>
    <col min="7958" max="7958" width="13.90625" style="3" customWidth="1"/>
    <col min="7959" max="7959" width="16.453125" style="3" customWidth="1"/>
    <col min="7960" max="8194" width="9" style="3"/>
    <col min="8195" max="8195" width="9.90625" style="3" customWidth="1"/>
    <col min="8196" max="8197" width="5.08984375" style="3" customWidth="1"/>
    <col min="8198" max="8198" width="9.6328125" style="3" customWidth="1"/>
    <col min="8199" max="8200" width="11.90625" style="3" customWidth="1"/>
    <col min="8201" max="8201" width="15.36328125" style="3" customWidth="1"/>
    <col min="8202" max="8202" width="10.90625" style="3" customWidth="1"/>
    <col min="8203" max="8213" width="13.36328125" style="3" customWidth="1"/>
    <col min="8214" max="8214" width="13.90625" style="3" customWidth="1"/>
    <col min="8215" max="8215" width="16.453125" style="3" customWidth="1"/>
    <col min="8216" max="8450" width="9" style="3"/>
    <col min="8451" max="8451" width="9.90625" style="3" customWidth="1"/>
    <col min="8452" max="8453" width="5.08984375" style="3" customWidth="1"/>
    <col min="8454" max="8454" width="9.6328125" style="3" customWidth="1"/>
    <col min="8455" max="8456" width="11.90625" style="3" customWidth="1"/>
    <col min="8457" max="8457" width="15.36328125" style="3" customWidth="1"/>
    <col min="8458" max="8458" width="10.90625" style="3" customWidth="1"/>
    <col min="8459" max="8469" width="13.36328125" style="3" customWidth="1"/>
    <col min="8470" max="8470" width="13.90625" style="3" customWidth="1"/>
    <col min="8471" max="8471" width="16.453125" style="3" customWidth="1"/>
    <col min="8472" max="8706" width="9" style="3"/>
    <col min="8707" max="8707" width="9.90625" style="3" customWidth="1"/>
    <col min="8708" max="8709" width="5.08984375" style="3" customWidth="1"/>
    <col min="8710" max="8710" width="9.6328125" style="3" customWidth="1"/>
    <col min="8711" max="8712" width="11.90625" style="3" customWidth="1"/>
    <col min="8713" max="8713" width="15.36328125" style="3" customWidth="1"/>
    <col min="8714" max="8714" width="10.90625" style="3" customWidth="1"/>
    <col min="8715" max="8725" width="13.36328125" style="3" customWidth="1"/>
    <col min="8726" max="8726" width="13.90625" style="3" customWidth="1"/>
    <col min="8727" max="8727" width="16.453125" style="3" customWidth="1"/>
    <col min="8728" max="8962" width="9" style="3"/>
    <col min="8963" max="8963" width="9.90625" style="3" customWidth="1"/>
    <col min="8964" max="8965" width="5.08984375" style="3" customWidth="1"/>
    <col min="8966" max="8966" width="9.6328125" style="3" customWidth="1"/>
    <col min="8967" max="8968" width="11.90625" style="3" customWidth="1"/>
    <col min="8969" max="8969" width="15.36328125" style="3" customWidth="1"/>
    <col min="8970" max="8970" width="10.90625" style="3" customWidth="1"/>
    <col min="8971" max="8981" width="13.36328125" style="3" customWidth="1"/>
    <col min="8982" max="8982" width="13.90625" style="3" customWidth="1"/>
    <col min="8983" max="8983" width="16.453125" style="3" customWidth="1"/>
    <col min="8984" max="9218" width="9" style="3"/>
    <col min="9219" max="9219" width="9.90625" style="3" customWidth="1"/>
    <col min="9220" max="9221" width="5.08984375" style="3" customWidth="1"/>
    <col min="9222" max="9222" width="9.6328125" style="3" customWidth="1"/>
    <col min="9223" max="9224" width="11.90625" style="3" customWidth="1"/>
    <col min="9225" max="9225" width="15.36328125" style="3" customWidth="1"/>
    <col min="9226" max="9226" width="10.90625" style="3" customWidth="1"/>
    <col min="9227" max="9237" width="13.36328125" style="3" customWidth="1"/>
    <col min="9238" max="9238" width="13.90625" style="3" customWidth="1"/>
    <col min="9239" max="9239" width="16.453125" style="3" customWidth="1"/>
    <col min="9240" max="9474" width="9" style="3"/>
    <col min="9475" max="9475" width="9.90625" style="3" customWidth="1"/>
    <col min="9476" max="9477" width="5.08984375" style="3" customWidth="1"/>
    <col min="9478" max="9478" width="9.6328125" style="3" customWidth="1"/>
    <col min="9479" max="9480" width="11.90625" style="3" customWidth="1"/>
    <col min="9481" max="9481" width="15.36328125" style="3" customWidth="1"/>
    <col min="9482" max="9482" width="10.90625" style="3" customWidth="1"/>
    <col min="9483" max="9493" width="13.36328125" style="3" customWidth="1"/>
    <col min="9494" max="9494" width="13.90625" style="3" customWidth="1"/>
    <col min="9495" max="9495" width="16.453125" style="3" customWidth="1"/>
    <col min="9496" max="9730" width="9" style="3"/>
    <col min="9731" max="9731" width="9.90625" style="3" customWidth="1"/>
    <col min="9732" max="9733" width="5.08984375" style="3" customWidth="1"/>
    <col min="9734" max="9734" width="9.6328125" style="3" customWidth="1"/>
    <col min="9735" max="9736" width="11.90625" style="3" customWidth="1"/>
    <col min="9737" max="9737" width="15.36328125" style="3" customWidth="1"/>
    <col min="9738" max="9738" width="10.90625" style="3" customWidth="1"/>
    <col min="9739" max="9749" width="13.36328125" style="3" customWidth="1"/>
    <col min="9750" max="9750" width="13.90625" style="3" customWidth="1"/>
    <col min="9751" max="9751" width="16.453125" style="3" customWidth="1"/>
    <col min="9752" max="9986" width="9" style="3"/>
    <col min="9987" max="9987" width="9.90625" style="3" customWidth="1"/>
    <col min="9988" max="9989" width="5.08984375" style="3" customWidth="1"/>
    <col min="9990" max="9990" width="9.6328125" style="3" customWidth="1"/>
    <col min="9991" max="9992" width="11.90625" style="3" customWidth="1"/>
    <col min="9993" max="9993" width="15.36328125" style="3" customWidth="1"/>
    <col min="9994" max="9994" width="10.90625" style="3" customWidth="1"/>
    <col min="9995" max="10005" width="13.36328125" style="3" customWidth="1"/>
    <col min="10006" max="10006" width="13.90625" style="3" customWidth="1"/>
    <col min="10007" max="10007" width="16.453125" style="3" customWidth="1"/>
    <col min="10008" max="10242" width="9" style="3"/>
    <col min="10243" max="10243" width="9.90625" style="3" customWidth="1"/>
    <col min="10244" max="10245" width="5.08984375" style="3" customWidth="1"/>
    <col min="10246" max="10246" width="9.6328125" style="3" customWidth="1"/>
    <col min="10247" max="10248" width="11.90625" style="3" customWidth="1"/>
    <col min="10249" max="10249" width="15.36328125" style="3" customWidth="1"/>
    <col min="10250" max="10250" width="10.90625" style="3" customWidth="1"/>
    <col min="10251" max="10261" width="13.36328125" style="3" customWidth="1"/>
    <col min="10262" max="10262" width="13.90625" style="3" customWidth="1"/>
    <col min="10263" max="10263" width="16.453125" style="3" customWidth="1"/>
    <col min="10264" max="10498" width="9" style="3"/>
    <col min="10499" max="10499" width="9.90625" style="3" customWidth="1"/>
    <col min="10500" max="10501" width="5.08984375" style="3" customWidth="1"/>
    <col min="10502" max="10502" width="9.6328125" style="3" customWidth="1"/>
    <col min="10503" max="10504" width="11.90625" style="3" customWidth="1"/>
    <col min="10505" max="10505" width="15.36328125" style="3" customWidth="1"/>
    <col min="10506" max="10506" width="10.90625" style="3" customWidth="1"/>
    <col min="10507" max="10517" width="13.36328125" style="3" customWidth="1"/>
    <col min="10518" max="10518" width="13.90625" style="3" customWidth="1"/>
    <col min="10519" max="10519" width="16.453125" style="3" customWidth="1"/>
    <col min="10520" max="10754" width="9" style="3"/>
    <col min="10755" max="10755" width="9.90625" style="3" customWidth="1"/>
    <col min="10756" max="10757" width="5.08984375" style="3" customWidth="1"/>
    <col min="10758" max="10758" width="9.6328125" style="3" customWidth="1"/>
    <col min="10759" max="10760" width="11.90625" style="3" customWidth="1"/>
    <col min="10761" max="10761" width="15.36328125" style="3" customWidth="1"/>
    <col min="10762" max="10762" width="10.90625" style="3" customWidth="1"/>
    <col min="10763" max="10773" width="13.36328125" style="3" customWidth="1"/>
    <col min="10774" max="10774" width="13.90625" style="3" customWidth="1"/>
    <col min="10775" max="10775" width="16.453125" style="3" customWidth="1"/>
    <col min="10776" max="11010" width="9" style="3"/>
    <col min="11011" max="11011" width="9.90625" style="3" customWidth="1"/>
    <col min="11012" max="11013" width="5.08984375" style="3" customWidth="1"/>
    <col min="11014" max="11014" width="9.6328125" style="3" customWidth="1"/>
    <col min="11015" max="11016" width="11.90625" style="3" customWidth="1"/>
    <col min="11017" max="11017" width="15.36328125" style="3" customWidth="1"/>
    <col min="11018" max="11018" width="10.90625" style="3" customWidth="1"/>
    <col min="11019" max="11029" width="13.36328125" style="3" customWidth="1"/>
    <col min="11030" max="11030" width="13.90625" style="3" customWidth="1"/>
    <col min="11031" max="11031" width="16.453125" style="3" customWidth="1"/>
    <col min="11032" max="11266" width="9" style="3"/>
    <col min="11267" max="11267" width="9.90625" style="3" customWidth="1"/>
    <col min="11268" max="11269" width="5.08984375" style="3" customWidth="1"/>
    <col min="11270" max="11270" width="9.6328125" style="3" customWidth="1"/>
    <col min="11271" max="11272" width="11.90625" style="3" customWidth="1"/>
    <col min="11273" max="11273" width="15.36328125" style="3" customWidth="1"/>
    <col min="11274" max="11274" width="10.90625" style="3" customWidth="1"/>
    <col min="11275" max="11285" width="13.36328125" style="3" customWidth="1"/>
    <col min="11286" max="11286" width="13.90625" style="3" customWidth="1"/>
    <col min="11287" max="11287" width="16.453125" style="3" customWidth="1"/>
    <col min="11288" max="11522" width="9" style="3"/>
    <col min="11523" max="11523" width="9.90625" style="3" customWidth="1"/>
    <col min="11524" max="11525" width="5.08984375" style="3" customWidth="1"/>
    <col min="11526" max="11526" width="9.6328125" style="3" customWidth="1"/>
    <col min="11527" max="11528" width="11.90625" style="3" customWidth="1"/>
    <col min="11529" max="11529" width="15.36328125" style="3" customWidth="1"/>
    <col min="11530" max="11530" width="10.90625" style="3" customWidth="1"/>
    <col min="11531" max="11541" width="13.36328125" style="3" customWidth="1"/>
    <col min="11542" max="11542" width="13.90625" style="3" customWidth="1"/>
    <col min="11543" max="11543" width="16.453125" style="3" customWidth="1"/>
    <col min="11544" max="11778" width="9" style="3"/>
    <col min="11779" max="11779" width="9.90625" style="3" customWidth="1"/>
    <col min="11780" max="11781" width="5.08984375" style="3" customWidth="1"/>
    <col min="11782" max="11782" width="9.6328125" style="3" customWidth="1"/>
    <col min="11783" max="11784" width="11.90625" style="3" customWidth="1"/>
    <col min="11785" max="11785" width="15.36328125" style="3" customWidth="1"/>
    <col min="11786" max="11786" width="10.90625" style="3" customWidth="1"/>
    <col min="11787" max="11797" width="13.36328125" style="3" customWidth="1"/>
    <col min="11798" max="11798" width="13.90625" style="3" customWidth="1"/>
    <col min="11799" max="11799" width="16.453125" style="3" customWidth="1"/>
    <col min="11800" max="12034" width="9" style="3"/>
    <col min="12035" max="12035" width="9.90625" style="3" customWidth="1"/>
    <col min="12036" max="12037" width="5.08984375" style="3" customWidth="1"/>
    <col min="12038" max="12038" width="9.6328125" style="3" customWidth="1"/>
    <col min="12039" max="12040" width="11.90625" style="3" customWidth="1"/>
    <col min="12041" max="12041" width="15.36328125" style="3" customWidth="1"/>
    <col min="12042" max="12042" width="10.90625" style="3" customWidth="1"/>
    <col min="12043" max="12053" width="13.36328125" style="3" customWidth="1"/>
    <col min="12054" max="12054" width="13.90625" style="3" customWidth="1"/>
    <col min="12055" max="12055" width="16.453125" style="3" customWidth="1"/>
    <col min="12056" max="12290" width="9" style="3"/>
    <col min="12291" max="12291" width="9.90625" style="3" customWidth="1"/>
    <col min="12292" max="12293" width="5.08984375" style="3" customWidth="1"/>
    <col min="12294" max="12294" width="9.6328125" style="3" customWidth="1"/>
    <col min="12295" max="12296" width="11.90625" style="3" customWidth="1"/>
    <col min="12297" max="12297" width="15.36328125" style="3" customWidth="1"/>
    <col min="12298" max="12298" width="10.90625" style="3" customWidth="1"/>
    <col min="12299" max="12309" width="13.36328125" style="3" customWidth="1"/>
    <col min="12310" max="12310" width="13.90625" style="3" customWidth="1"/>
    <col min="12311" max="12311" width="16.453125" style="3" customWidth="1"/>
    <col min="12312" max="12546" width="9" style="3"/>
    <col min="12547" max="12547" width="9.90625" style="3" customWidth="1"/>
    <col min="12548" max="12549" width="5.08984375" style="3" customWidth="1"/>
    <col min="12550" max="12550" width="9.6328125" style="3" customWidth="1"/>
    <col min="12551" max="12552" width="11.90625" style="3" customWidth="1"/>
    <col min="12553" max="12553" width="15.36328125" style="3" customWidth="1"/>
    <col min="12554" max="12554" width="10.90625" style="3" customWidth="1"/>
    <col min="12555" max="12565" width="13.36328125" style="3" customWidth="1"/>
    <col min="12566" max="12566" width="13.90625" style="3" customWidth="1"/>
    <col min="12567" max="12567" width="16.453125" style="3" customWidth="1"/>
    <col min="12568" max="12802" width="9" style="3"/>
    <col min="12803" max="12803" width="9.90625" style="3" customWidth="1"/>
    <col min="12804" max="12805" width="5.08984375" style="3" customWidth="1"/>
    <col min="12806" max="12806" width="9.6328125" style="3" customWidth="1"/>
    <col min="12807" max="12808" width="11.90625" style="3" customWidth="1"/>
    <col min="12809" max="12809" width="15.36328125" style="3" customWidth="1"/>
    <col min="12810" max="12810" width="10.90625" style="3" customWidth="1"/>
    <col min="12811" max="12821" width="13.36328125" style="3" customWidth="1"/>
    <col min="12822" max="12822" width="13.90625" style="3" customWidth="1"/>
    <col min="12823" max="12823" width="16.453125" style="3" customWidth="1"/>
    <col min="12824" max="13058" width="9" style="3"/>
    <col min="13059" max="13059" width="9.90625" style="3" customWidth="1"/>
    <col min="13060" max="13061" width="5.08984375" style="3" customWidth="1"/>
    <col min="13062" max="13062" width="9.6328125" style="3" customWidth="1"/>
    <col min="13063" max="13064" width="11.90625" style="3" customWidth="1"/>
    <col min="13065" max="13065" width="15.36328125" style="3" customWidth="1"/>
    <col min="13066" max="13066" width="10.90625" style="3" customWidth="1"/>
    <col min="13067" max="13077" width="13.36328125" style="3" customWidth="1"/>
    <col min="13078" max="13078" width="13.90625" style="3" customWidth="1"/>
    <col min="13079" max="13079" width="16.453125" style="3" customWidth="1"/>
    <col min="13080" max="13314" width="9" style="3"/>
    <col min="13315" max="13315" width="9.90625" style="3" customWidth="1"/>
    <col min="13316" max="13317" width="5.08984375" style="3" customWidth="1"/>
    <col min="13318" max="13318" width="9.6328125" style="3" customWidth="1"/>
    <col min="13319" max="13320" width="11.90625" style="3" customWidth="1"/>
    <col min="13321" max="13321" width="15.36328125" style="3" customWidth="1"/>
    <col min="13322" max="13322" width="10.90625" style="3" customWidth="1"/>
    <col min="13323" max="13333" width="13.36328125" style="3" customWidth="1"/>
    <col min="13334" max="13334" width="13.90625" style="3" customWidth="1"/>
    <col min="13335" max="13335" width="16.453125" style="3" customWidth="1"/>
    <col min="13336" max="13570" width="9" style="3"/>
    <col min="13571" max="13571" width="9.90625" style="3" customWidth="1"/>
    <col min="13572" max="13573" width="5.08984375" style="3" customWidth="1"/>
    <col min="13574" max="13574" width="9.6328125" style="3" customWidth="1"/>
    <col min="13575" max="13576" width="11.90625" style="3" customWidth="1"/>
    <col min="13577" max="13577" width="15.36328125" style="3" customWidth="1"/>
    <col min="13578" max="13578" width="10.90625" style="3" customWidth="1"/>
    <col min="13579" max="13589" width="13.36328125" style="3" customWidth="1"/>
    <col min="13590" max="13590" width="13.90625" style="3" customWidth="1"/>
    <col min="13591" max="13591" width="16.453125" style="3" customWidth="1"/>
    <col min="13592" max="13826" width="9" style="3"/>
    <col min="13827" max="13827" width="9.90625" style="3" customWidth="1"/>
    <col min="13828" max="13829" width="5.08984375" style="3" customWidth="1"/>
    <col min="13830" max="13830" width="9.6328125" style="3" customWidth="1"/>
    <col min="13831" max="13832" width="11.90625" style="3" customWidth="1"/>
    <col min="13833" max="13833" width="15.36328125" style="3" customWidth="1"/>
    <col min="13834" max="13834" width="10.90625" style="3" customWidth="1"/>
    <col min="13835" max="13845" width="13.36328125" style="3" customWidth="1"/>
    <col min="13846" max="13846" width="13.90625" style="3" customWidth="1"/>
    <col min="13847" max="13847" width="16.453125" style="3" customWidth="1"/>
    <col min="13848" max="14082" width="9" style="3"/>
    <col min="14083" max="14083" width="9.90625" style="3" customWidth="1"/>
    <col min="14084" max="14085" width="5.08984375" style="3" customWidth="1"/>
    <col min="14086" max="14086" width="9.6328125" style="3" customWidth="1"/>
    <col min="14087" max="14088" width="11.90625" style="3" customWidth="1"/>
    <col min="14089" max="14089" width="15.36328125" style="3" customWidth="1"/>
    <col min="14090" max="14090" width="10.90625" style="3" customWidth="1"/>
    <col min="14091" max="14101" width="13.36328125" style="3" customWidth="1"/>
    <col min="14102" max="14102" width="13.90625" style="3" customWidth="1"/>
    <col min="14103" max="14103" width="16.453125" style="3" customWidth="1"/>
    <col min="14104" max="14338" width="9" style="3"/>
    <col min="14339" max="14339" width="9.90625" style="3" customWidth="1"/>
    <col min="14340" max="14341" width="5.08984375" style="3" customWidth="1"/>
    <col min="14342" max="14342" width="9.6328125" style="3" customWidth="1"/>
    <col min="14343" max="14344" width="11.90625" style="3" customWidth="1"/>
    <col min="14345" max="14345" width="15.36328125" style="3" customWidth="1"/>
    <col min="14346" max="14346" width="10.90625" style="3" customWidth="1"/>
    <col min="14347" max="14357" width="13.36328125" style="3" customWidth="1"/>
    <col min="14358" max="14358" width="13.90625" style="3" customWidth="1"/>
    <col min="14359" max="14359" width="16.453125" style="3" customWidth="1"/>
    <col min="14360" max="14594" width="9" style="3"/>
    <col min="14595" max="14595" width="9.90625" style="3" customWidth="1"/>
    <col min="14596" max="14597" width="5.08984375" style="3" customWidth="1"/>
    <col min="14598" max="14598" width="9.6328125" style="3" customWidth="1"/>
    <col min="14599" max="14600" width="11.90625" style="3" customWidth="1"/>
    <col min="14601" max="14601" width="15.36328125" style="3" customWidth="1"/>
    <col min="14602" max="14602" width="10.90625" style="3" customWidth="1"/>
    <col min="14603" max="14613" width="13.36328125" style="3" customWidth="1"/>
    <col min="14614" max="14614" width="13.90625" style="3" customWidth="1"/>
    <col min="14615" max="14615" width="16.453125" style="3" customWidth="1"/>
    <col min="14616" max="14850" width="9" style="3"/>
    <col min="14851" max="14851" width="9.90625" style="3" customWidth="1"/>
    <col min="14852" max="14853" width="5.08984375" style="3" customWidth="1"/>
    <col min="14854" max="14854" width="9.6328125" style="3" customWidth="1"/>
    <col min="14855" max="14856" width="11.90625" style="3" customWidth="1"/>
    <col min="14857" max="14857" width="15.36328125" style="3" customWidth="1"/>
    <col min="14858" max="14858" width="10.90625" style="3" customWidth="1"/>
    <col min="14859" max="14869" width="13.36328125" style="3" customWidth="1"/>
    <col min="14870" max="14870" width="13.90625" style="3" customWidth="1"/>
    <col min="14871" max="14871" width="16.453125" style="3" customWidth="1"/>
    <col min="14872" max="15106" width="9" style="3"/>
    <col min="15107" max="15107" width="9.90625" style="3" customWidth="1"/>
    <col min="15108" max="15109" width="5.08984375" style="3" customWidth="1"/>
    <col min="15110" max="15110" width="9.6328125" style="3" customWidth="1"/>
    <col min="15111" max="15112" width="11.90625" style="3" customWidth="1"/>
    <col min="15113" max="15113" width="15.36328125" style="3" customWidth="1"/>
    <col min="15114" max="15114" width="10.90625" style="3" customWidth="1"/>
    <col min="15115" max="15125" width="13.36328125" style="3" customWidth="1"/>
    <col min="15126" max="15126" width="13.90625" style="3" customWidth="1"/>
    <col min="15127" max="15127" width="16.453125" style="3" customWidth="1"/>
    <col min="15128" max="15362" width="9" style="3"/>
    <col min="15363" max="15363" width="9.90625" style="3" customWidth="1"/>
    <col min="15364" max="15365" width="5.08984375" style="3" customWidth="1"/>
    <col min="15366" max="15366" width="9.6328125" style="3" customWidth="1"/>
    <col min="15367" max="15368" width="11.90625" style="3" customWidth="1"/>
    <col min="15369" max="15369" width="15.36328125" style="3" customWidth="1"/>
    <col min="15370" max="15370" width="10.90625" style="3" customWidth="1"/>
    <col min="15371" max="15381" width="13.36328125" style="3" customWidth="1"/>
    <col min="15382" max="15382" width="13.90625" style="3" customWidth="1"/>
    <col min="15383" max="15383" width="16.453125" style="3" customWidth="1"/>
    <col min="15384" max="15618" width="9" style="3"/>
    <col min="15619" max="15619" width="9.90625" style="3" customWidth="1"/>
    <col min="15620" max="15621" width="5.08984375" style="3" customWidth="1"/>
    <col min="15622" max="15622" width="9.6328125" style="3" customWidth="1"/>
    <col min="15623" max="15624" width="11.90625" style="3" customWidth="1"/>
    <col min="15625" max="15625" width="15.36328125" style="3" customWidth="1"/>
    <col min="15626" max="15626" width="10.90625" style="3" customWidth="1"/>
    <col min="15627" max="15637" width="13.36328125" style="3" customWidth="1"/>
    <col min="15638" max="15638" width="13.90625" style="3" customWidth="1"/>
    <col min="15639" max="15639" width="16.453125" style="3" customWidth="1"/>
    <col min="15640" max="15874" width="9" style="3"/>
    <col min="15875" max="15875" width="9.90625" style="3" customWidth="1"/>
    <col min="15876" max="15877" width="5.08984375" style="3" customWidth="1"/>
    <col min="15878" max="15878" width="9.6328125" style="3" customWidth="1"/>
    <col min="15879" max="15880" width="11.90625" style="3" customWidth="1"/>
    <col min="15881" max="15881" width="15.36328125" style="3" customWidth="1"/>
    <col min="15882" max="15882" width="10.90625" style="3" customWidth="1"/>
    <col min="15883" max="15893" width="13.36328125" style="3" customWidth="1"/>
    <col min="15894" max="15894" width="13.90625" style="3" customWidth="1"/>
    <col min="15895" max="15895" width="16.453125" style="3" customWidth="1"/>
    <col min="15896" max="16130" width="9" style="3"/>
    <col min="16131" max="16131" width="9.90625" style="3" customWidth="1"/>
    <col min="16132" max="16133" width="5.08984375" style="3" customWidth="1"/>
    <col min="16134" max="16134" width="9.6328125" style="3" customWidth="1"/>
    <col min="16135" max="16136" width="11.90625" style="3" customWidth="1"/>
    <col min="16137" max="16137" width="15.36328125" style="3" customWidth="1"/>
    <col min="16138" max="16138" width="10.90625" style="3" customWidth="1"/>
    <col min="16139" max="16149" width="13.36328125" style="3" customWidth="1"/>
    <col min="16150" max="16150" width="13.90625" style="3" customWidth="1"/>
    <col min="16151" max="16151" width="16.453125" style="3" customWidth="1"/>
    <col min="16152" max="16384" width="9" style="3"/>
  </cols>
  <sheetData>
    <row r="1" spans="1:24" s="1" customFormat="1" ht="36">
      <c r="A1" s="1" t="s">
        <v>67</v>
      </c>
      <c r="B1" s="1" t="s">
        <v>68</v>
      </c>
      <c r="C1" s="72" t="s">
        <v>0</v>
      </c>
      <c r="D1" s="73" t="s">
        <v>1</v>
      </c>
      <c r="E1" s="73" t="s">
        <v>2</v>
      </c>
      <c r="F1" s="74" t="s">
        <v>3</v>
      </c>
      <c r="G1" s="74" t="s">
        <v>4</v>
      </c>
      <c r="H1" s="75" t="s">
        <v>5</v>
      </c>
      <c r="I1" s="76" t="s">
        <v>6</v>
      </c>
      <c r="J1" s="34" t="s">
        <v>7</v>
      </c>
      <c r="K1" s="29" t="s">
        <v>8</v>
      </c>
      <c r="L1" s="39" t="s">
        <v>9</v>
      </c>
      <c r="M1" s="39" t="s">
        <v>10</v>
      </c>
      <c r="N1" s="39" t="s">
        <v>11</v>
      </c>
      <c r="O1" s="39" t="s">
        <v>12</v>
      </c>
      <c r="P1" s="39" t="s">
        <v>13</v>
      </c>
      <c r="Q1" s="262" t="s">
        <v>14</v>
      </c>
      <c r="R1" s="262" t="s">
        <v>15</v>
      </c>
      <c r="S1" s="262" t="s">
        <v>16</v>
      </c>
      <c r="T1" s="262" t="s">
        <v>17</v>
      </c>
      <c r="U1" s="262" t="s">
        <v>18</v>
      </c>
      <c r="V1" s="61" t="s">
        <v>19</v>
      </c>
      <c r="W1" s="36" t="s">
        <v>20</v>
      </c>
    </row>
    <row r="2" spans="1:24" s="1" customFormat="1">
      <c r="C2" s="353" t="s">
        <v>44</v>
      </c>
      <c r="D2" s="354"/>
      <c r="E2" s="354"/>
      <c r="F2" s="354"/>
      <c r="G2" s="354"/>
      <c r="H2" s="354"/>
      <c r="I2" s="355"/>
      <c r="J2" s="31" t="s">
        <v>21</v>
      </c>
      <c r="K2" s="46">
        <f t="shared" ref="K2:U2" si="0">K5+K6</f>
        <v>4350000</v>
      </c>
      <c r="L2" s="43">
        <f t="shared" si="0"/>
        <v>4350000</v>
      </c>
      <c r="M2" s="43">
        <f t="shared" si="0"/>
        <v>4350000</v>
      </c>
      <c r="N2" s="43">
        <f t="shared" si="0"/>
        <v>4350000</v>
      </c>
      <c r="O2" s="43">
        <f t="shared" si="0"/>
        <v>4350000</v>
      </c>
      <c r="P2" s="43">
        <f>P5+P6</f>
        <v>4350000</v>
      </c>
      <c r="Q2" s="263">
        <f t="shared" si="0"/>
        <v>4350000</v>
      </c>
      <c r="R2" s="263">
        <f t="shared" si="0"/>
        <v>4350000</v>
      </c>
      <c r="S2" s="263">
        <f t="shared" si="0"/>
        <v>4350000</v>
      </c>
      <c r="T2" s="263">
        <f t="shared" si="0"/>
        <v>4350000</v>
      </c>
      <c r="U2" s="263">
        <f t="shared" si="0"/>
        <v>4350000</v>
      </c>
      <c r="V2" s="51">
        <f t="shared" ref="V2" si="1">V5+V6</f>
        <v>4350000</v>
      </c>
      <c r="W2" s="86">
        <f>SUM(K2:V2)</f>
        <v>52200000</v>
      </c>
    </row>
    <row r="3" spans="1:24" s="1" customFormat="1">
      <c r="C3" s="356"/>
      <c r="D3" s="357"/>
      <c r="E3" s="357"/>
      <c r="F3" s="357"/>
      <c r="G3" s="357"/>
      <c r="H3" s="357"/>
      <c r="I3" s="358"/>
      <c r="J3" s="2" t="s">
        <v>22</v>
      </c>
      <c r="K3" s="47">
        <f t="shared" ref="K3:U3" si="2">K71</f>
        <v>3546531</v>
      </c>
      <c r="L3" s="44">
        <f t="shared" si="2"/>
        <v>3689099</v>
      </c>
      <c r="M3" s="44">
        <f t="shared" si="2"/>
        <v>3528578</v>
      </c>
      <c r="N3" s="44">
        <f t="shared" si="2"/>
        <v>3687404</v>
      </c>
      <c r="O3" s="44">
        <f t="shared" si="2"/>
        <v>3504175</v>
      </c>
      <c r="P3" s="44">
        <f t="shared" si="2"/>
        <v>3701272</v>
      </c>
      <c r="Q3" s="264">
        <f t="shared" si="2"/>
        <v>3164984</v>
      </c>
      <c r="R3" s="264">
        <f t="shared" si="2"/>
        <v>3113280</v>
      </c>
      <c r="S3" s="264">
        <f t="shared" si="2"/>
        <v>3262353</v>
      </c>
      <c r="T3" s="264">
        <f t="shared" si="2"/>
        <v>3120166</v>
      </c>
      <c r="U3" s="264">
        <f t="shared" si="2"/>
        <v>4684018</v>
      </c>
      <c r="V3" s="53">
        <f t="shared" ref="V3" si="3">V71</f>
        <v>3123396.7777777775</v>
      </c>
      <c r="W3" s="87">
        <f>SUM(K3:V3)</f>
        <v>42125256.777777776</v>
      </c>
    </row>
    <row r="4" spans="1:24" s="1" customFormat="1">
      <c r="C4" s="359"/>
      <c r="D4" s="360"/>
      <c r="E4" s="360"/>
      <c r="F4" s="360"/>
      <c r="G4" s="360"/>
      <c r="H4" s="360"/>
      <c r="I4" s="361"/>
      <c r="J4" s="32" t="s">
        <v>82</v>
      </c>
      <c r="K4" s="48">
        <f t="shared" ref="K4:U4" si="4">K2-K3</f>
        <v>803469</v>
      </c>
      <c r="L4" s="45">
        <f t="shared" si="4"/>
        <v>660901</v>
      </c>
      <c r="M4" s="45">
        <f t="shared" si="4"/>
        <v>821422</v>
      </c>
      <c r="N4" s="45">
        <f t="shared" si="4"/>
        <v>662596</v>
      </c>
      <c r="O4" s="45">
        <f t="shared" si="4"/>
        <v>845825</v>
      </c>
      <c r="P4" s="45">
        <f t="shared" si="4"/>
        <v>648728</v>
      </c>
      <c r="Q4" s="265">
        <f t="shared" si="4"/>
        <v>1185016</v>
      </c>
      <c r="R4" s="265">
        <f t="shared" si="4"/>
        <v>1236720</v>
      </c>
      <c r="S4" s="265">
        <f t="shared" si="4"/>
        <v>1087647</v>
      </c>
      <c r="T4" s="265">
        <f t="shared" si="4"/>
        <v>1229834</v>
      </c>
      <c r="U4" s="265">
        <f t="shared" si="4"/>
        <v>-334018</v>
      </c>
      <c r="V4" s="63">
        <f t="shared" ref="V4" si="5">V2-V3</f>
        <v>1226603.2222222225</v>
      </c>
      <c r="W4" s="88">
        <f>SUM(K4:V4)</f>
        <v>10074743.222222222</v>
      </c>
    </row>
    <row r="5" spans="1:24" s="1" customFormat="1" ht="27.75" customHeight="1">
      <c r="C5" s="362" t="s">
        <v>38</v>
      </c>
      <c r="D5" s="363"/>
      <c r="E5" s="363"/>
      <c r="F5" s="363"/>
      <c r="G5" s="363"/>
      <c r="H5" s="363"/>
      <c r="I5" s="364"/>
      <c r="J5" s="21"/>
      <c r="K5" s="45">
        <f>3800000+550000</f>
        <v>4350000</v>
      </c>
      <c r="L5" s="45">
        <f t="shared" ref="L5:V5" si="6">3800000+550000</f>
        <v>4350000</v>
      </c>
      <c r="M5" s="45">
        <f t="shared" si="6"/>
        <v>4350000</v>
      </c>
      <c r="N5" s="45">
        <f t="shared" si="6"/>
        <v>4350000</v>
      </c>
      <c r="O5" s="45">
        <f t="shared" si="6"/>
        <v>4350000</v>
      </c>
      <c r="P5" s="45">
        <f t="shared" si="6"/>
        <v>4350000</v>
      </c>
      <c r="Q5" s="265">
        <f t="shared" si="6"/>
        <v>4350000</v>
      </c>
      <c r="R5" s="265">
        <f t="shared" si="6"/>
        <v>4350000</v>
      </c>
      <c r="S5" s="265">
        <f t="shared" si="6"/>
        <v>4350000</v>
      </c>
      <c r="T5" s="265">
        <f t="shared" si="6"/>
        <v>4350000</v>
      </c>
      <c r="U5" s="265">
        <f t="shared" si="6"/>
        <v>4350000</v>
      </c>
      <c r="V5" s="62">
        <f t="shared" si="6"/>
        <v>4350000</v>
      </c>
      <c r="W5" s="56">
        <f>SUM(K5:V5)</f>
        <v>52200000</v>
      </c>
    </row>
    <row r="6" spans="1:24" s="1" customFormat="1" ht="27.75" customHeight="1">
      <c r="C6" s="353" t="s">
        <v>39</v>
      </c>
      <c r="D6" s="354"/>
      <c r="E6" s="354"/>
      <c r="F6" s="354"/>
      <c r="G6" s="354"/>
      <c r="H6" s="354"/>
      <c r="I6" s="355"/>
      <c r="J6" s="77"/>
      <c r="K6" s="201"/>
      <c r="L6" s="202"/>
      <c r="M6" s="202"/>
      <c r="N6" s="202"/>
      <c r="O6" s="202"/>
      <c r="P6" s="202"/>
      <c r="Q6" s="271"/>
      <c r="R6" s="271"/>
      <c r="S6" s="271"/>
      <c r="T6" s="271"/>
      <c r="U6" s="271"/>
      <c r="V6" s="233"/>
      <c r="W6" s="155">
        <f>SUM(K6:V6)</f>
        <v>0</v>
      </c>
    </row>
    <row r="7" spans="1:24" ht="13.4" customHeight="1">
      <c r="A7" s="279">
        <v>2009001</v>
      </c>
      <c r="C7" s="390">
        <f>1</f>
        <v>1</v>
      </c>
      <c r="D7" s="387"/>
      <c r="E7" s="387"/>
      <c r="F7" s="393"/>
      <c r="G7" s="387" t="s">
        <v>83</v>
      </c>
      <c r="H7" s="387"/>
      <c r="I7" s="384" t="s">
        <v>31</v>
      </c>
      <c r="J7" s="148" t="s">
        <v>24</v>
      </c>
      <c r="K7" s="234">
        <f t="shared" ref="K7:U7" si="7">SUM(K8:K14)</f>
        <v>754077</v>
      </c>
      <c r="L7" s="234">
        <f t="shared" si="7"/>
        <v>828086</v>
      </c>
      <c r="M7" s="234">
        <f t="shared" si="7"/>
        <v>719638</v>
      </c>
      <c r="N7" s="234">
        <f t="shared" si="7"/>
        <v>770226</v>
      </c>
      <c r="O7" s="234">
        <f t="shared" si="7"/>
        <v>679667</v>
      </c>
      <c r="P7" s="234">
        <f t="shared" si="7"/>
        <v>775553</v>
      </c>
      <c r="Q7" s="305">
        <f t="shared" si="7"/>
        <v>702694</v>
      </c>
      <c r="R7" s="305">
        <f t="shared" si="7"/>
        <v>681500</v>
      </c>
      <c r="S7" s="305">
        <f t="shared" si="7"/>
        <v>740086</v>
      </c>
      <c r="T7" s="305">
        <f t="shared" si="7"/>
        <v>681867</v>
      </c>
      <c r="U7" s="305">
        <f t="shared" si="7"/>
        <v>682050</v>
      </c>
      <c r="V7" s="235">
        <f t="shared" ref="V7" si="8">SUM(V8:V14)</f>
        <v>745268.22222222213</v>
      </c>
      <c r="W7" s="236">
        <f t="shared" ref="W7:W14" si="9">SUM(K7:V7)</f>
        <v>8760712.222222222</v>
      </c>
    </row>
    <row r="8" spans="1:24">
      <c r="A8" s="280">
        <f>A7</f>
        <v>2009001</v>
      </c>
      <c r="B8" s="280"/>
      <c r="C8" s="391"/>
      <c r="D8" s="388"/>
      <c r="E8" s="388"/>
      <c r="F8" s="394"/>
      <c r="G8" s="388"/>
      <c r="H8" s="388"/>
      <c r="I8" s="385"/>
      <c r="J8" s="149" t="s">
        <v>25</v>
      </c>
      <c r="K8" s="193">
        <v>642677</v>
      </c>
      <c r="L8" s="193">
        <v>716686</v>
      </c>
      <c r="M8" s="193">
        <v>608238</v>
      </c>
      <c r="N8" s="193">
        <v>650345</v>
      </c>
      <c r="O8" s="306">
        <v>560000</v>
      </c>
      <c r="P8" s="306">
        <v>653212</v>
      </c>
      <c r="Q8" s="306">
        <v>581837</v>
      </c>
      <c r="R8" s="306">
        <v>560500</v>
      </c>
      <c r="S8" s="306">
        <v>618841</v>
      </c>
      <c r="T8" s="306">
        <v>560500</v>
      </c>
      <c r="U8" s="306">
        <v>560500</v>
      </c>
      <c r="V8" s="154">
        <v>632542.66666666663</v>
      </c>
      <c r="W8" s="237">
        <f t="shared" si="9"/>
        <v>7345878.666666667</v>
      </c>
      <c r="X8" s="136"/>
    </row>
    <row r="9" spans="1:24">
      <c r="A9" s="280">
        <f t="shared" ref="A9:A14" si="10">A8</f>
        <v>2009001</v>
      </c>
      <c r="B9" s="280"/>
      <c r="C9" s="391"/>
      <c r="D9" s="388"/>
      <c r="E9" s="388"/>
      <c r="F9" s="394"/>
      <c r="G9" s="388"/>
      <c r="H9" s="388"/>
      <c r="I9" s="385"/>
      <c r="J9" s="150" t="s">
        <v>30</v>
      </c>
      <c r="K9" s="193">
        <v>15000</v>
      </c>
      <c r="L9" s="193">
        <v>15000</v>
      </c>
      <c r="M9" s="193">
        <v>15000</v>
      </c>
      <c r="N9" s="193">
        <v>15000</v>
      </c>
      <c r="O9" s="193">
        <v>15000</v>
      </c>
      <c r="P9" s="193">
        <v>15000</v>
      </c>
      <c r="Q9" s="306">
        <v>15000</v>
      </c>
      <c r="R9" s="306">
        <v>15000</v>
      </c>
      <c r="S9" s="306">
        <v>15000</v>
      </c>
      <c r="T9" s="306">
        <v>15000</v>
      </c>
      <c r="U9" s="306">
        <v>15000</v>
      </c>
      <c r="V9" s="154">
        <v>16325.555555555555</v>
      </c>
      <c r="W9" s="238">
        <f t="shared" si="9"/>
        <v>181325.55555555556</v>
      </c>
      <c r="X9" s="136"/>
    </row>
    <row r="10" spans="1:24">
      <c r="A10" s="280">
        <f t="shared" si="10"/>
        <v>2009001</v>
      </c>
      <c r="B10" s="280"/>
      <c r="C10" s="391"/>
      <c r="D10" s="388"/>
      <c r="E10" s="388"/>
      <c r="F10" s="394"/>
      <c r="G10" s="388"/>
      <c r="H10" s="388"/>
      <c r="I10" s="385"/>
      <c r="J10" s="150"/>
      <c r="K10" s="193"/>
      <c r="L10" s="193"/>
      <c r="M10" s="193"/>
      <c r="N10" s="193"/>
      <c r="O10" s="193"/>
      <c r="P10" s="193"/>
      <c r="Q10" s="306"/>
      <c r="R10" s="306"/>
      <c r="S10" s="306"/>
      <c r="T10" s="306"/>
      <c r="U10" s="306"/>
      <c r="V10" s="154"/>
      <c r="W10" s="238">
        <f t="shared" si="9"/>
        <v>0</v>
      </c>
      <c r="X10" s="136"/>
    </row>
    <row r="11" spans="1:24">
      <c r="A11" s="280">
        <f t="shared" si="10"/>
        <v>2009001</v>
      </c>
      <c r="B11" s="280"/>
      <c r="C11" s="391"/>
      <c r="D11" s="388"/>
      <c r="E11" s="388"/>
      <c r="F11" s="394"/>
      <c r="G11" s="388"/>
      <c r="H11" s="388"/>
      <c r="I11" s="385"/>
      <c r="J11" s="150" t="s">
        <v>26</v>
      </c>
      <c r="K11" s="193">
        <v>32550</v>
      </c>
      <c r="L11" s="193">
        <v>32550</v>
      </c>
      <c r="M11" s="193">
        <v>32550</v>
      </c>
      <c r="N11" s="193">
        <v>38420</v>
      </c>
      <c r="O11" s="193">
        <v>38420</v>
      </c>
      <c r="P11" s="193">
        <v>40115</v>
      </c>
      <c r="Q11" s="306">
        <v>40115</v>
      </c>
      <c r="R11" s="306">
        <v>40115</v>
      </c>
      <c r="S11" s="306">
        <v>40115</v>
      </c>
      <c r="T11" s="306">
        <v>40115</v>
      </c>
      <c r="U11" s="306">
        <v>40115</v>
      </c>
      <c r="V11" s="154">
        <v>32550</v>
      </c>
      <c r="W11" s="238">
        <f t="shared" si="9"/>
        <v>447730</v>
      </c>
      <c r="X11" s="136"/>
    </row>
    <row r="12" spans="1:24">
      <c r="A12" s="280">
        <f t="shared" si="10"/>
        <v>2009001</v>
      </c>
      <c r="B12" s="280"/>
      <c r="C12" s="391"/>
      <c r="D12" s="388"/>
      <c r="E12" s="388"/>
      <c r="F12" s="394"/>
      <c r="G12" s="388"/>
      <c r="H12" s="388"/>
      <c r="I12" s="385"/>
      <c r="J12" s="150" t="s">
        <v>27</v>
      </c>
      <c r="K12" s="193">
        <v>56730</v>
      </c>
      <c r="L12" s="193">
        <v>56730</v>
      </c>
      <c r="M12" s="193">
        <v>56730</v>
      </c>
      <c r="N12" s="193">
        <v>59475</v>
      </c>
      <c r="O12" s="193">
        <v>59475</v>
      </c>
      <c r="P12" s="193">
        <v>59475</v>
      </c>
      <c r="Q12" s="306">
        <v>59475</v>
      </c>
      <c r="R12" s="306">
        <v>59475</v>
      </c>
      <c r="S12" s="306">
        <v>59475</v>
      </c>
      <c r="T12" s="306">
        <v>59475</v>
      </c>
      <c r="U12" s="306">
        <v>59475</v>
      </c>
      <c r="V12" s="154">
        <v>56730</v>
      </c>
      <c r="W12" s="238">
        <f t="shared" si="9"/>
        <v>702720</v>
      </c>
      <c r="X12" s="136"/>
    </row>
    <row r="13" spans="1:24">
      <c r="A13" s="280">
        <f t="shared" si="10"/>
        <v>2009001</v>
      </c>
      <c r="B13" s="280"/>
      <c r="C13" s="391"/>
      <c r="D13" s="388"/>
      <c r="E13" s="388"/>
      <c r="F13" s="394"/>
      <c r="G13" s="388"/>
      <c r="H13" s="388"/>
      <c r="I13" s="385"/>
      <c r="J13" s="150" t="s">
        <v>28</v>
      </c>
      <c r="K13" s="193">
        <v>2860</v>
      </c>
      <c r="L13" s="193">
        <v>2860</v>
      </c>
      <c r="M13" s="193">
        <v>2860</v>
      </c>
      <c r="N13" s="193">
        <v>3327</v>
      </c>
      <c r="O13" s="193">
        <v>3225</v>
      </c>
      <c r="P13" s="193">
        <v>3691</v>
      </c>
      <c r="Q13" s="306">
        <v>2984</v>
      </c>
      <c r="R13" s="306">
        <v>3052</v>
      </c>
      <c r="S13" s="306">
        <v>3169</v>
      </c>
      <c r="T13" s="306">
        <v>3227</v>
      </c>
      <c r="U13" s="306">
        <v>3314</v>
      </c>
      <c r="V13" s="154">
        <v>2860</v>
      </c>
      <c r="W13" s="238">
        <f t="shared" si="9"/>
        <v>37429</v>
      </c>
      <c r="X13" s="136"/>
    </row>
    <row r="14" spans="1:24">
      <c r="A14" s="280">
        <f t="shared" si="10"/>
        <v>2009001</v>
      </c>
      <c r="B14" s="280"/>
      <c r="C14" s="392"/>
      <c r="D14" s="389"/>
      <c r="E14" s="389"/>
      <c r="F14" s="395"/>
      <c r="G14" s="389"/>
      <c r="H14" s="389"/>
      <c r="I14" s="386"/>
      <c r="J14" s="153" t="s">
        <v>29</v>
      </c>
      <c r="K14" s="239">
        <v>4260</v>
      </c>
      <c r="L14" s="239">
        <v>4260</v>
      </c>
      <c r="M14" s="239">
        <v>4260</v>
      </c>
      <c r="N14" s="239">
        <v>3659</v>
      </c>
      <c r="O14" s="239">
        <v>3547</v>
      </c>
      <c r="P14" s="239">
        <v>4060</v>
      </c>
      <c r="Q14" s="307">
        <v>3283</v>
      </c>
      <c r="R14" s="307">
        <v>3358</v>
      </c>
      <c r="S14" s="307">
        <v>3486</v>
      </c>
      <c r="T14" s="307">
        <v>3550</v>
      </c>
      <c r="U14" s="307">
        <v>3646</v>
      </c>
      <c r="V14" s="240">
        <v>4260</v>
      </c>
      <c r="W14" s="241">
        <f t="shared" si="9"/>
        <v>45629</v>
      </c>
      <c r="X14" s="136"/>
    </row>
    <row r="15" spans="1:24" ht="13.4" customHeight="1">
      <c r="A15" s="279">
        <v>2013002</v>
      </c>
      <c r="C15" s="390">
        <f>C7+1</f>
        <v>2</v>
      </c>
      <c r="D15" s="387"/>
      <c r="E15" s="387"/>
      <c r="F15" s="393"/>
      <c r="G15" s="387" t="s">
        <v>83</v>
      </c>
      <c r="H15" s="387"/>
      <c r="I15" s="384" t="s">
        <v>31</v>
      </c>
      <c r="J15" s="148" t="s">
        <v>24</v>
      </c>
      <c r="K15" s="234">
        <f t="shared" ref="K15:U15" si="11">SUM(K16:K22)</f>
        <v>411117</v>
      </c>
      <c r="L15" s="234">
        <f t="shared" si="11"/>
        <v>411117</v>
      </c>
      <c r="M15" s="234">
        <f t="shared" si="11"/>
        <v>411117</v>
      </c>
      <c r="N15" s="234">
        <f t="shared" si="11"/>
        <v>453625</v>
      </c>
      <c r="O15" s="234">
        <f t="shared" si="11"/>
        <v>414830</v>
      </c>
      <c r="P15" s="234">
        <f t="shared" si="11"/>
        <v>436699</v>
      </c>
      <c r="Q15" s="305">
        <f t="shared" si="11"/>
        <v>456405</v>
      </c>
      <c r="R15" s="305">
        <f t="shared" si="11"/>
        <v>418115</v>
      </c>
      <c r="S15" s="305">
        <f t="shared" si="11"/>
        <v>462452</v>
      </c>
      <c r="T15" s="305">
        <f t="shared" si="11"/>
        <v>418010</v>
      </c>
      <c r="U15" s="305">
        <f t="shared" si="11"/>
        <v>769298</v>
      </c>
      <c r="V15" s="235">
        <f>SUM(V16:V22)</f>
        <v>427874.77777777781</v>
      </c>
      <c r="W15" s="236">
        <f t="shared" ref="W15:W54" si="12">SUM(K15:V15)</f>
        <v>5490659.777777778</v>
      </c>
    </row>
    <row r="16" spans="1:24">
      <c r="A16" s="280">
        <f>A15</f>
        <v>2013002</v>
      </c>
      <c r="B16" s="280"/>
      <c r="C16" s="391"/>
      <c r="D16" s="388"/>
      <c r="E16" s="388"/>
      <c r="F16" s="394"/>
      <c r="G16" s="388"/>
      <c r="H16" s="388"/>
      <c r="I16" s="385"/>
      <c r="J16" s="149" t="s">
        <v>25</v>
      </c>
      <c r="K16" s="193">
        <v>351000</v>
      </c>
      <c r="L16" s="193">
        <v>351000</v>
      </c>
      <c r="M16" s="193">
        <v>351000</v>
      </c>
      <c r="N16" s="193">
        <v>389391</v>
      </c>
      <c r="O16" s="193">
        <v>351000</v>
      </c>
      <c r="P16" s="193">
        <v>369891</v>
      </c>
      <c r="Q16" s="306">
        <v>389391</v>
      </c>
      <c r="R16" s="306">
        <v>351500</v>
      </c>
      <c r="S16" s="306">
        <v>395375</v>
      </c>
      <c r="T16" s="306">
        <v>351500</v>
      </c>
      <c r="U16" s="306">
        <v>702500</v>
      </c>
      <c r="V16" s="154">
        <v>366347.11111111112</v>
      </c>
      <c r="W16" s="237">
        <f t="shared" si="12"/>
        <v>4719895.111111111</v>
      </c>
      <c r="X16" s="136"/>
    </row>
    <row r="17" spans="1:24">
      <c r="A17" s="280">
        <f t="shared" ref="A17:A22" si="13">A16</f>
        <v>2013002</v>
      </c>
      <c r="B17" s="280"/>
      <c r="C17" s="391"/>
      <c r="D17" s="388"/>
      <c r="E17" s="388"/>
      <c r="F17" s="394"/>
      <c r="G17" s="388"/>
      <c r="H17" s="388"/>
      <c r="I17" s="385"/>
      <c r="J17" s="150" t="s">
        <v>30</v>
      </c>
      <c r="K17" s="193">
        <v>10000</v>
      </c>
      <c r="L17" s="193">
        <v>10000</v>
      </c>
      <c r="M17" s="193">
        <v>10000</v>
      </c>
      <c r="N17" s="193">
        <v>10000</v>
      </c>
      <c r="O17" s="193">
        <v>10000</v>
      </c>
      <c r="P17" s="193">
        <v>10000</v>
      </c>
      <c r="Q17" s="306">
        <v>10000</v>
      </c>
      <c r="R17" s="306">
        <v>10000</v>
      </c>
      <c r="S17" s="306">
        <v>10000</v>
      </c>
      <c r="T17" s="306">
        <v>10000</v>
      </c>
      <c r="U17" s="306">
        <v>10000</v>
      </c>
      <c r="V17" s="154">
        <v>11410.666666666666</v>
      </c>
      <c r="W17" s="238">
        <f t="shared" si="12"/>
        <v>121410.66666666667</v>
      </c>
      <c r="X17" s="136"/>
    </row>
    <row r="18" spans="1:24">
      <c r="A18" s="280">
        <f t="shared" si="13"/>
        <v>2013002</v>
      </c>
      <c r="B18" s="280"/>
      <c r="C18" s="391"/>
      <c r="D18" s="388"/>
      <c r="E18" s="388"/>
      <c r="F18" s="394"/>
      <c r="G18" s="388"/>
      <c r="H18" s="388"/>
      <c r="I18" s="385"/>
      <c r="J18" s="150"/>
      <c r="K18" s="193"/>
      <c r="L18" s="193"/>
      <c r="M18" s="193"/>
      <c r="N18" s="193"/>
      <c r="O18" s="193"/>
      <c r="P18" s="193"/>
      <c r="Q18" s="306"/>
      <c r="R18" s="306"/>
      <c r="S18" s="306"/>
      <c r="T18" s="306"/>
      <c r="U18" s="306"/>
      <c r="V18" s="154"/>
      <c r="W18" s="238">
        <f t="shared" si="12"/>
        <v>0</v>
      </c>
      <c r="X18" s="136"/>
    </row>
    <row r="19" spans="1:24">
      <c r="A19" s="280">
        <f t="shared" si="13"/>
        <v>2013002</v>
      </c>
      <c r="B19" s="280"/>
      <c r="C19" s="391"/>
      <c r="D19" s="388"/>
      <c r="E19" s="388"/>
      <c r="F19" s="394"/>
      <c r="G19" s="388"/>
      <c r="H19" s="388"/>
      <c r="I19" s="385"/>
      <c r="J19" s="150" t="s">
        <v>26</v>
      </c>
      <c r="K19" s="193">
        <v>14450</v>
      </c>
      <c r="L19" s="193">
        <v>14450</v>
      </c>
      <c r="M19" s="193">
        <v>14450</v>
      </c>
      <c r="N19" s="193">
        <v>17100</v>
      </c>
      <c r="O19" s="193">
        <v>17100</v>
      </c>
      <c r="P19" s="193">
        <v>18050</v>
      </c>
      <c r="Q19" s="306">
        <v>18050</v>
      </c>
      <c r="R19" s="306">
        <v>18050</v>
      </c>
      <c r="S19" s="306">
        <v>18050</v>
      </c>
      <c r="T19" s="306">
        <v>18050</v>
      </c>
      <c r="U19" s="306">
        <v>18050</v>
      </c>
      <c r="V19" s="154">
        <v>14450</v>
      </c>
      <c r="W19" s="238">
        <f t="shared" si="12"/>
        <v>200300</v>
      </c>
      <c r="X19" s="136"/>
    </row>
    <row r="20" spans="1:24">
      <c r="A20" s="280">
        <f t="shared" si="13"/>
        <v>2013002</v>
      </c>
      <c r="B20" s="280"/>
      <c r="C20" s="391"/>
      <c r="D20" s="388"/>
      <c r="E20" s="388"/>
      <c r="F20" s="394"/>
      <c r="G20" s="388"/>
      <c r="H20" s="388"/>
      <c r="I20" s="385"/>
      <c r="J20" s="150" t="s">
        <v>27</v>
      </c>
      <c r="K20" s="193">
        <v>31110</v>
      </c>
      <c r="L20" s="193">
        <v>31110</v>
      </c>
      <c r="M20" s="193">
        <v>31110</v>
      </c>
      <c r="N20" s="193">
        <v>32940</v>
      </c>
      <c r="O20" s="193">
        <v>32940</v>
      </c>
      <c r="P20" s="193">
        <v>34770</v>
      </c>
      <c r="Q20" s="306">
        <v>34770</v>
      </c>
      <c r="R20" s="306">
        <v>34770</v>
      </c>
      <c r="S20" s="306">
        <v>34770</v>
      </c>
      <c r="T20" s="306">
        <v>34770</v>
      </c>
      <c r="U20" s="306">
        <v>34770</v>
      </c>
      <c r="V20" s="154">
        <v>31110</v>
      </c>
      <c r="W20" s="238">
        <f t="shared" si="12"/>
        <v>398940</v>
      </c>
      <c r="X20" s="136"/>
    </row>
    <row r="21" spans="1:24">
      <c r="A21" s="280">
        <f t="shared" si="13"/>
        <v>2013002</v>
      </c>
      <c r="B21" s="280"/>
      <c r="C21" s="391"/>
      <c r="D21" s="388"/>
      <c r="E21" s="388"/>
      <c r="F21" s="394"/>
      <c r="G21" s="388"/>
      <c r="H21" s="388"/>
      <c r="I21" s="385"/>
      <c r="J21" s="150" t="s">
        <v>28</v>
      </c>
      <c r="K21" s="193">
        <v>1835</v>
      </c>
      <c r="L21" s="193">
        <v>1835</v>
      </c>
      <c r="M21" s="193">
        <v>1835</v>
      </c>
      <c r="N21" s="193">
        <v>1997</v>
      </c>
      <c r="O21" s="193">
        <v>1805</v>
      </c>
      <c r="P21" s="193">
        <v>1899</v>
      </c>
      <c r="Q21" s="306">
        <v>1997</v>
      </c>
      <c r="R21" s="306">
        <v>1807</v>
      </c>
      <c r="S21" s="306">
        <v>2027</v>
      </c>
      <c r="T21" s="306">
        <v>1757</v>
      </c>
      <c r="U21" s="306">
        <v>1894</v>
      </c>
      <c r="V21" s="154">
        <v>1835</v>
      </c>
      <c r="W21" s="238">
        <f t="shared" si="12"/>
        <v>22523</v>
      </c>
      <c r="X21" s="136"/>
    </row>
    <row r="22" spans="1:24">
      <c r="A22" s="280">
        <f t="shared" si="13"/>
        <v>2013002</v>
      </c>
      <c r="B22" s="280"/>
      <c r="C22" s="392"/>
      <c r="D22" s="389"/>
      <c r="E22" s="389"/>
      <c r="F22" s="395"/>
      <c r="G22" s="389"/>
      <c r="H22" s="389"/>
      <c r="I22" s="386"/>
      <c r="J22" s="153" t="s">
        <v>29</v>
      </c>
      <c r="K22" s="239">
        <v>2722</v>
      </c>
      <c r="L22" s="239">
        <v>2722</v>
      </c>
      <c r="M22" s="239">
        <v>2722</v>
      </c>
      <c r="N22" s="239">
        <v>2197</v>
      </c>
      <c r="O22" s="239">
        <v>1985</v>
      </c>
      <c r="P22" s="239">
        <v>2089</v>
      </c>
      <c r="Q22" s="307">
        <v>2197</v>
      </c>
      <c r="R22" s="307">
        <v>1988</v>
      </c>
      <c r="S22" s="307">
        <v>2230</v>
      </c>
      <c r="T22" s="307">
        <v>1933</v>
      </c>
      <c r="U22" s="307">
        <v>2084</v>
      </c>
      <c r="V22" s="240">
        <v>2722</v>
      </c>
      <c r="W22" s="241">
        <f t="shared" si="12"/>
        <v>27591</v>
      </c>
      <c r="X22" s="136"/>
    </row>
    <row r="23" spans="1:24" ht="13.4" customHeight="1">
      <c r="A23" s="279">
        <v>2013010</v>
      </c>
      <c r="C23" s="390">
        <f t="shared" ref="C23" si="14">C15+1</f>
        <v>3</v>
      </c>
      <c r="D23" s="387"/>
      <c r="E23" s="387"/>
      <c r="F23" s="393"/>
      <c r="G23" s="387" t="s">
        <v>83</v>
      </c>
      <c r="H23" s="387"/>
      <c r="I23" s="384" t="s">
        <v>31</v>
      </c>
      <c r="J23" s="148" t="s">
        <v>24</v>
      </c>
      <c r="K23" s="234">
        <f t="shared" ref="K23:U23" si="15">SUM(K24:K30)</f>
        <v>497360</v>
      </c>
      <c r="L23" s="234">
        <f t="shared" si="15"/>
        <v>518979</v>
      </c>
      <c r="M23" s="234">
        <f t="shared" si="15"/>
        <v>503846</v>
      </c>
      <c r="N23" s="234">
        <f t="shared" si="15"/>
        <v>509949</v>
      </c>
      <c r="O23" s="234">
        <f t="shared" si="15"/>
        <v>502666</v>
      </c>
      <c r="P23" s="234">
        <f t="shared" si="15"/>
        <v>547814</v>
      </c>
      <c r="Q23" s="305">
        <f t="shared" si="15"/>
        <v>531794</v>
      </c>
      <c r="R23" s="305">
        <f t="shared" si="15"/>
        <v>527202</v>
      </c>
      <c r="S23" s="305">
        <f t="shared" si="15"/>
        <v>551233</v>
      </c>
      <c r="T23" s="305">
        <f t="shared" si="15"/>
        <v>548562</v>
      </c>
      <c r="U23" s="305">
        <f t="shared" si="15"/>
        <v>950395</v>
      </c>
      <c r="V23" s="235">
        <f>SUM(V24:V30)</f>
        <v>493942</v>
      </c>
      <c r="W23" s="236">
        <f t="shared" si="12"/>
        <v>6683742</v>
      </c>
    </row>
    <row r="24" spans="1:24">
      <c r="A24" s="280">
        <f>A23</f>
        <v>2013010</v>
      </c>
      <c r="B24" s="280"/>
      <c r="C24" s="391"/>
      <c r="D24" s="388"/>
      <c r="E24" s="388"/>
      <c r="F24" s="394"/>
      <c r="G24" s="388"/>
      <c r="H24" s="388"/>
      <c r="I24" s="385"/>
      <c r="J24" s="149" t="s">
        <v>25</v>
      </c>
      <c r="K24" s="193">
        <v>415000</v>
      </c>
      <c r="L24" s="193">
        <v>436619</v>
      </c>
      <c r="M24" s="193">
        <v>421486</v>
      </c>
      <c r="N24" s="193">
        <v>422207</v>
      </c>
      <c r="O24" s="193">
        <v>415000</v>
      </c>
      <c r="P24" s="193">
        <v>459679</v>
      </c>
      <c r="Q24" s="306">
        <v>443825</v>
      </c>
      <c r="R24" s="306">
        <v>439281</v>
      </c>
      <c r="S24" s="306">
        <v>463062</v>
      </c>
      <c r="T24" s="306">
        <v>460419</v>
      </c>
      <c r="U24" s="306">
        <v>862208</v>
      </c>
      <c r="V24" s="154">
        <v>411582</v>
      </c>
      <c r="W24" s="237">
        <f t="shared" si="12"/>
        <v>5650368</v>
      </c>
      <c r="X24" s="136"/>
    </row>
    <row r="25" spans="1:24">
      <c r="A25" s="280">
        <f t="shared" ref="A25:A30" si="16">A24</f>
        <v>2013010</v>
      </c>
      <c r="B25" s="280"/>
      <c r="C25" s="391"/>
      <c r="D25" s="388"/>
      <c r="E25" s="388"/>
      <c r="F25" s="394"/>
      <c r="G25" s="388"/>
      <c r="H25" s="388"/>
      <c r="I25" s="385"/>
      <c r="J25" s="150" t="s">
        <v>30</v>
      </c>
      <c r="K25" s="193">
        <v>18000</v>
      </c>
      <c r="L25" s="193">
        <v>18000</v>
      </c>
      <c r="M25" s="193">
        <v>18000</v>
      </c>
      <c r="N25" s="193">
        <v>18000</v>
      </c>
      <c r="O25" s="193">
        <v>18000</v>
      </c>
      <c r="P25" s="193">
        <v>18000</v>
      </c>
      <c r="Q25" s="306">
        <v>18000</v>
      </c>
      <c r="R25" s="306">
        <v>18000</v>
      </c>
      <c r="S25" s="306">
        <v>18000</v>
      </c>
      <c r="T25" s="306">
        <v>18000</v>
      </c>
      <c r="U25" s="306">
        <v>18000</v>
      </c>
      <c r="V25" s="154">
        <v>18000</v>
      </c>
      <c r="W25" s="238">
        <f t="shared" si="12"/>
        <v>216000</v>
      </c>
      <c r="X25" s="136"/>
    </row>
    <row r="26" spans="1:24">
      <c r="A26" s="280">
        <f t="shared" si="16"/>
        <v>2013010</v>
      </c>
      <c r="B26" s="280"/>
      <c r="C26" s="391"/>
      <c r="D26" s="388"/>
      <c r="E26" s="388"/>
      <c r="F26" s="394"/>
      <c r="G26" s="388"/>
      <c r="H26" s="388"/>
      <c r="I26" s="385"/>
      <c r="J26" s="150"/>
      <c r="K26" s="193"/>
      <c r="L26" s="193"/>
      <c r="M26" s="193"/>
      <c r="N26" s="193"/>
      <c r="O26" s="193"/>
      <c r="P26" s="193"/>
      <c r="Q26" s="306"/>
      <c r="R26" s="306"/>
      <c r="S26" s="306"/>
      <c r="T26" s="306"/>
      <c r="U26" s="306"/>
      <c r="V26" s="154"/>
      <c r="W26" s="238">
        <f t="shared" si="12"/>
        <v>0</v>
      </c>
      <c r="X26" s="136"/>
    </row>
    <row r="27" spans="1:24">
      <c r="A27" s="280">
        <f t="shared" si="16"/>
        <v>2013010</v>
      </c>
      <c r="B27" s="280"/>
      <c r="C27" s="391"/>
      <c r="D27" s="388"/>
      <c r="E27" s="388"/>
      <c r="F27" s="394"/>
      <c r="G27" s="388"/>
      <c r="H27" s="388"/>
      <c r="I27" s="385"/>
      <c r="J27" s="150" t="s">
        <v>26</v>
      </c>
      <c r="K27" s="193">
        <v>21525</v>
      </c>
      <c r="L27" s="193">
        <v>21525</v>
      </c>
      <c r="M27" s="193">
        <v>21525</v>
      </c>
      <c r="N27" s="193">
        <v>24860</v>
      </c>
      <c r="O27" s="193">
        <v>24860</v>
      </c>
      <c r="P27" s="193">
        <v>24860</v>
      </c>
      <c r="Q27" s="306">
        <v>24860</v>
      </c>
      <c r="R27" s="306">
        <v>24860</v>
      </c>
      <c r="S27" s="306">
        <v>24860</v>
      </c>
      <c r="T27" s="306">
        <v>24860</v>
      </c>
      <c r="U27" s="306">
        <v>24860</v>
      </c>
      <c r="V27" s="154">
        <v>21525</v>
      </c>
      <c r="W27" s="238">
        <f t="shared" si="12"/>
        <v>284980</v>
      </c>
      <c r="X27" s="136"/>
    </row>
    <row r="28" spans="1:24">
      <c r="A28" s="280">
        <f t="shared" si="16"/>
        <v>2013010</v>
      </c>
      <c r="B28" s="280"/>
      <c r="C28" s="391"/>
      <c r="D28" s="388"/>
      <c r="E28" s="388"/>
      <c r="F28" s="394"/>
      <c r="G28" s="388"/>
      <c r="H28" s="388"/>
      <c r="I28" s="385"/>
      <c r="J28" s="150" t="s">
        <v>27</v>
      </c>
      <c r="K28" s="193">
        <v>37515</v>
      </c>
      <c r="L28" s="193">
        <v>37515</v>
      </c>
      <c r="M28" s="193">
        <v>37515</v>
      </c>
      <c r="N28" s="193">
        <v>40260</v>
      </c>
      <c r="O28" s="193">
        <v>40260</v>
      </c>
      <c r="P28" s="193">
        <v>40260</v>
      </c>
      <c r="Q28" s="306">
        <v>40260</v>
      </c>
      <c r="R28" s="306">
        <v>40260</v>
      </c>
      <c r="S28" s="306">
        <v>40260</v>
      </c>
      <c r="T28" s="306">
        <v>40260</v>
      </c>
      <c r="U28" s="306">
        <v>40260</v>
      </c>
      <c r="V28" s="154">
        <v>37515</v>
      </c>
      <c r="W28" s="238">
        <f t="shared" si="12"/>
        <v>472140</v>
      </c>
      <c r="X28" s="136"/>
    </row>
    <row r="29" spans="1:24">
      <c r="A29" s="280">
        <f t="shared" si="16"/>
        <v>2013010</v>
      </c>
      <c r="B29" s="280"/>
      <c r="C29" s="391"/>
      <c r="D29" s="388"/>
      <c r="E29" s="388"/>
      <c r="F29" s="394"/>
      <c r="G29" s="388"/>
      <c r="H29" s="388"/>
      <c r="I29" s="385"/>
      <c r="J29" s="150" t="s">
        <v>28</v>
      </c>
      <c r="K29" s="193">
        <v>2140</v>
      </c>
      <c r="L29" s="193">
        <v>2140</v>
      </c>
      <c r="M29" s="193">
        <v>2140</v>
      </c>
      <c r="N29" s="193">
        <v>2201</v>
      </c>
      <c r="O29" s="193">
        <v>2165</v>
      </c>
      <c r="P29" s="193">
        <v>2388</v>
      </c>
      <c r="Q29" s="306">
        <v>2309</v>
      </c>
      <c r="R29" s="306">
        <v>2286</v>
      </c>
      <c r="S29" s="306">
        <v>2405</v>
      </c>
      <c r="T29" s="306">
        <v>2392</v>
      </c>
      <c r="U29" s="306">
        <v>2413</v>
      </c>
      <c r="V29" s="154">
        <v>2140</v>
      </c>
      <c r="W29" s="238">
        <f t="shared" si="12"/>
        <v>27119</v>
      </c>
      <c r="X29" s="136"/>
    </row>
    <row r="30" spans="1:24">
      <c r="A30" s="280">
        <f t="shared" si="16"/>
        <v>2013010</v>
      </c>
      <c r="B30" s="280"/>
      <c r="C30" s="392"/>
      <c r="D30" s="389"/>
      <c r="E30" s="389"/>
      <c r="F30" s="395"/>
      <c r="G30" s="389"/>
      <c r="H30" s="389"/>
      <c r="I30" s="386"/>
      <c r="J30" s="153" t="s">
        <v>29</v>
      </c>
      <c r="K30" s="239">
        <v>3180</v>
      </c>
      <c r="L30" s="239">
        <v>3180</v>
      </c>
      <c r="M30" s="239">
        <v>3180</v>
      </c>
      <c r="N30" s="239">
        <v>2421</v>
      </c>
      <c r="O30" s="239">
        <v>2381</v>
      </c>
      <c r="P30" s="239">
        <v>2627</v>
      </c>
      <c r="Q30" s="307">
        <v>2540</v>
      </c>
      <c r="R30" s="307">
        <v>2515</v>
      </c>
      <c r="S30" s="307">
        <v>2646</v>
      </c>
      <c r="T30" s="307">
        <v>2631</v>
      </c>
      <c r="U30" s="307">
        <v>2654</v>
      </c>
      <c r="V30" s="240">
        <v>3180</v>
      </c>
      <c r="W30" s="241">
        <f t="shared" si="12"/>
        <v>33135</v>
      </c>
      <c r="X30" s="136"/>
    </row>
    <row r="31" spans="1:24" ht="13.4" customHeight="1">
      <c r="A31" s="279">
        <v>2014006</v>
      </c>
      <c r="C31" s="390">
        <f t="shared" ref="C31" si="17">C23+1</f>
        <v>4</v>
      </c>
      <c r="D31" s="387"/>
      <c r="E31" s="387"/>
      <c r="F31" s="393"/>
      <c r="G31" s="387" t="s">
        <v>83</v>
      </c>
      <c r="H31" s="387"/>
      <c r="I31" s="384" t="s">
        <v>31</v>
      </c>
      <c r="J31" s="148" t="s">
        <v>24</v>
      </c>
      <c r="K31" s="234">
        <f t="shared" ref="K31:U31" si="18">SUM(K32:K38)</f>
        <v>432022</v>
      </c>
      <c r="L31" s="234">
        <f t="shared" si="18"/>
        <v>439052</v>
      </c>
      <c r="M31" s="234">
        <f>SUM(M32:M38)</f>
        <v>432022</v>
      </c>
      <c r="N31" s="234">
        <f t="shared" si="18"/>
        <v>446969</v>
      </c>
      <c r="O31" s="234">
        <f t="shared" si="18"/>
        <v>439219</v>
      </c>
      <c r="P31" s="234">
        <f t="shared" si="18"/>
        <v>439219</v>
      </c>
      <c r="Q31" s="305">
        <f t="shared" si="18"/>
        <v>439219</v>
      </c>
      <c r="R31" s="305">
        <f t="shared" si="18"/>
        <v>439724</v>
      </c>
      <c r="S31" s="305">
        <f t="shared" si="18"/>
        <v>443600</v>
      </c>
      <c r="T31" s="305">
        <f t="shared" si="18"/>
        <v>439724</v>
      </c>
      <c r="U31" s="305">
        <f t="shared" si="18"/>
        <v>807907</v>
      </c>
      <c r="V31" s="235">
        <f>SUM(V32:V38)</f>
        <v>437317.22222222225</v>
      </c>
      <c r="W31" s="236">
        <f t="shared" si="12"/>
        <v>5635994.222222222</v>
      </c>
    </row>
    <row r="32" spans="1:24">
      <c r="A32" s="280">
        <f>A31</f>
        <v>2014006</v>
      </c>
      <c r="B32" s="280"/>
      <c r="C32" s="391"/>
      <c r="D32" s="388"/>
      <c r="E32" s="388"/>
      <c r="F32" s="394"/>
      <c r="G32" s="388"/>
      <c r="H32" s="388"/>
      <c r="I32" s="385"/>
      <c r="J32" s="149" t="s">
        <v>25</v>
      </c>
      <c r="K32" s="193">
        <v>368000</v>
      </c>
      <c r="L32" s="193">
        <v>375030</v>
      </c>
      <c r="M32" s="193">
        <v>368000</v>
      </c>
      <c r="N32" s="193">
        <v>375669</v>
      </c>
      <c r="O32" s="193">
        <v>368000</v>
      </c>
      <c r="P32" s="193">
        <v>368000</v>
      </c>
      <c r="Q32" s="306">
        <v>368000</v>
      </c>
      <c r="R32" s="306">
        <v>368500</v>
      </c>
      <c r="S32" s="306">
        <v>372335</v>
      </c>
      <c r="T32" s="306">
        <v>368500</v>
      </c>
      <c r="U32" s="306">
        <v>736500</v>
      </c>
      <c r="V32" s="154">
        <v>373295.22222222225</v>
      </c>
      <c r="W32" s="237">
        <f t="shared" si="12"/>
        <v>4809829.222222222</v>
      </c>
      <c r="X32" s="136"/>
    </row>
    <row r="33" spans="1:24">
      <c r="A33" s="280">
        <f t="shared" ref="A33:A38" si="19">A32</f>
        <v>2014006</v>
      </c>
      <c r="B33" s="280"/>
      <c r="C33" s="391"/>
      <c r="D33" s="388"/>
      <c r="E33" s="388"/>
      <c r="F33" s="394"/>
      <c r="G33" s="388"/>
      <c r="H33" s="388"/>
      <c r="I33" s="385"/>
      <c r="J33" s="150" t="s">
        <v>30</v>
      </c>
      <c r="K33" s="193">
        <v>11000</v>
      </c>
      <c r="L33" s="193">
        <v>11000</v>
      </c>
      <c r="M33" s="193">
        <v>11000</v>
      </c>
      <c r="N33" s="193">
        <v>11000</v>
      </c>
      <c r="O33" s="193">
        <v>11000</v>
      </c>
      <c r="P33" s="193">
        <v>11000</v>
      </c>
      <c r="Q33" s="306">
        <v>11000</v>
      </c>
      <c r="R33" s="306">
        <v>11000</v>
      </c>
      <c r="S33" s="306">
        <v>11000</v>
      </c>
      <c r="T33" s="306">
        <v>11000</v>
      </c>
      <c r="U33" s="306">
        <v>11000</v>
      </c>
      <c r="V33" s="154">
        <v>11000</v>
      </c>
      <c r="W33" s="238">
        <f t="shared" si="12"/>
        <v>132000</v>
      </c>
      <c r="X33" s="136"/>
    </row>
    <row r="34" spans="1:24">
      <c r="A34" s="280">
        <f t="shared" si="19"/>
        <v>2014006</v>
      </c>
      <c r="B34" s="280"/>
      <c r="C34" s="391"/>
      <c r="D34" s="388"/>
      <c r="E34" s="388"/>
      <c r="F34" s="394"/>
      <c r="G34" s="388"/>
      <c r="H34" s="388"/>
      <c r="I34" s="385"/>
      <c r="J34" s="150"/>
      <c r="K34" s="193"/>
      <c r="L34" s="193"/>
      <c r="M34" s="193"/>
      <c r="N34" s="193"/>
      <c r="O34" s="193"/>
      <c r="P34" s="193"/>
      <c r="Q34" s="306"/>
      <c r="R34" s="306"/>
      <c r="S34" s="306"/>
      <c r="T34" s="306"/>
      <c r="U34" s="306"/>
      <c r="V34" s="154"/>
      <c r="W34" s="238">
        <f t="shared" si="12"/>
        <v>0</v>
      </c>
      <c r="X34" s="136"/>
    </row>
    <row r="35" spans="1:24">
      <c r="A35" s="280">
        <f t="shared" si="19"/>
        <v>2014006</v>
      </c>
      <c r="B35" s="280"/>
      <c r="C35" s="391"/>
      <c r="D35" s="388"/>
      <c r="E35" s="388"/>
      <c r="F35" s="394"/>
      <c r="G35" s="388"/>
      <c r="H35" s="388"/>
      <c r="I35" s="385"/>
      <c r="J35" s="150" t="s">
        <v>26</v>
      </c>
      <c r="K35" s="193">
        <v>15300</v>
      </c>
      <c r="L35" s="193">
        <v>15300</v>
      </c>
      <c r="M35" s="193">
        <v>15300</v>
      </c>
      <c r="N35" s="193">
        <v>21470</v>
      </c>
      <c r="O35" s="193">
        <v>21470</v>
      </c>
      <c r="P35" s="193">
        <v>21470</v>
      </c>
      <c r="Q35" s="306">
        <v>21470</v>
      </c>
      <c r="R35" s="306">
        <v>21470</v>
      </c>
      <c r="S35" s="306">
        <v>21470</v>
      </c>
      <c r="T35" s="306">
        <v>21470</v>
      </c>
      <c r="U35" s="306">
        <v>21470</v>
      </c>
      <c r="V35" s="154">
        <v>15300</v>
      </c>
      <c r="W35" s="238">
        <f t="shared" si="12"/>
        <v>232960</v>
      </c>
      <c r="X35" s="136"/>
    </row>
    <row r="36" spans="1:24">
      <c r="A36" s="280">
        <f t="shared" si="19"/>
        <v>2014006</v>
      </c>
      <c r="B36" s="280"/>
      <c r="C36" s="391"/>
      <c r="D36" s="388"/>
      <c r="E36" s="388"/>
      <c r="F36" s="394"/>
      <c r="G36" s="388"/>
      <c r="H36" s="388"/>
      <c r="I36" s="385"/>
      <c r="J36" s="150" t="s">
        <v>27</v>
      </c>
      <c r="K36" s="193">
        <v>32940</v>
      </c>
      <c r="L36" s="193">
        <v>32940</v>
      </c>
      <c r="M36" s="193">
        <v>32940</v>
      </c>
      <c r="N36" s="193">
        <v>34770</v>
      </c>
      <c r="O36" s="193">
        <v>34770</v>
      </c>
      <c r="P36" s="193">
        <v>34770</v>
      </c>
      <c r="Q36" s="306">
        <v>34770</v>
      </c>
      <c r="R36" s="306">
        <v>34770</v>
      </c>
      <c r="S36" s="306">
        <v>34770</v>
      </c>
      <c r="T36" s="306">
        <v>34770</v>
      </c>
      <c r="U36" s="306">
        <v>34770</v>
      </c>
      <c r="V36" s="154">
        <v>32940</v>
      </c>
      <c r="W36" s="238">
        <f t="shared" si="12"/>
        <v>409920</v>
      </c>
      <c r="X36" s="136"/>
    </row>
    <row r="37" spans="1:24">
      <c r="A37" s="280">
        <f t="shared" si="19"/>
        <v>2014006</v>
      </c>
      <c r="B37" s="280"/>
      <c r="C37" s="391"/>
      <c r="D37" s="388"/>
      <c r="E37" s="388"/>
      <c r="F37" s="394"/>
      <c r="G37" s="388"/>
      <c r="H37" s="388"/>
      <c r="I37" s="385"/>
      <c r="J37" s="150" t="s">
        <v>28</v>
      </c>
      <c r="K37" s="193">
        <v>1925</v>
      </c>
      <c r="L37" s="193">
        <v>1925</v>
      </c>
      <c r="M37" s="193">
        <v>1925</v>
      </c>
      <c r="N37" s="193">
        <v>1933</v>
      </c>
      <c r="O37" s="193">
        <v>1895</v>
      </c>
      <c r="P37" s="193">
        <v>1895</v>
      </c>
      <c r="Q37" s="306">
        <v>1895</v>
      </c>
      <c r="R37" s="306">
        <v>1897</v>
      </c>
      <c r="S37" s="306">
        <v>1917</v>
      </c>
      <c r="T37" s="306">
        <v>1897</v>
      </c>
      <c r="U37" s="306">
        <v>1984</v>
      </c>
      <c r="V37" s="154">
        <v>1925</v>
      </c>
      <c r="W37" s="238">
        <f t="shared" si="12"/>
        <v>23013</v>
      </c>
      <c r="X37" s="136"/>
    </row>
    <row r="38" spans="1:24">
      <c r="A38" s="280">
        <f t="shared" si="19"/>
        <v>2014006</v>
      </c>
      <c r="B38" s="280"/>
      <c r="C38" s="392"/>
      <c r="D38" s="389"/>
      <c r="E38" s="389"/>
      <c r="F38" s="395"/>
      <c r="G38" s="389"/>
      <c r="H38" s="389"/>
      <c r="I38" s="386"/>
      <c r="J38" s="153" t="s">
        <v>29</v>
      </c>
      <c r="K38" s="239">
        <v>2857</v>
      </c>
      <c r="L38" s="239">
        <v>2857</v>
      </c>
      <c r="M38" s="239">
        <v>2857</v>
      </c>
      <c r="N38" s="239">
        <v>2127</v>
      </c>
      <c r="O38" s="239">
        <v>2084</v>
      </c>
      <c r="P38" s="239">
        <v>2084</v>
      </c>
      <c r="Q38" s="307">
        <v>2084</v>
      </c>
      <c r="R38" s="307">
        <v>2087</v>
      </c>
      <c r="S38" s="307">
        <v>2108</v>
      </c>
      <c r="T38" s="307">
        <v>2087</v>
      </c>
      <c r="U38" s="307">
        <v>2183</v>
      </c>
      <c r="V38" s="240">
        <v>2857</v>
      </c>
      <c r="W38" s="241">
        <f t="shared" si="12"/>
        <v>28272</v>
      </c>
      <c r="X38" s="136"/>
    </row>
    <row r="39" spans="1:24" ht="13.4" customHeight="1">
      <c r="A39" s="279">
        <v>2013029</v>
      </c>
      <c r="C39" s="399">
        <f t="shared" ref="C39" si="20">C31+1</f>
        <v>5</v>
      </c>
      <c r="D39" s="396" t="s">
        <v>85</v>
      </c>
      <c r="E39" s="396"/>
      <c r="F39" s="402"/>
      <c r="G39" s="396" t="s">
        <v>83</v>
      </c>
      <c r="H39" s="396"/>
      <c r="I39" s="381" t="s">
        <v>31</v>
      </c>
      <c r="J39" s="294" t="s">
        <v>24</v>
      </c>
      <c r="K39" s="234">
        <f t="shared" ref="K39:U39" si="21">SUM(K40:K46)</f>
        <v>437410</v>
      </c>
      <c r="L39" s="234">
        <f t="shared" si="21"/>
        <v>437410</v>
      </c>
      <c r="M39" s="234">
        <f>SUM(M40:M46)</f>
        <v>437410</v>
      </c>
      <c r="N39" s="234">
        <f t="shared" si="21"/>
        <v>480082</v>
      </c>
      <c r="O39" s="234">
        <f t="shared" si="21"/>
        <v>441240</v>
      </c>
      <c r="P39" s="234">
        <f t="shared" si="21"/>
        <v>429114</v>
      </c>
      <c r="Q39" s="305">
        <f t="shared" si="21"/>
        <v>0</v>
      </c>
      <c r="R39" s="305">
        <f t="shared" si="21"/>
        <v>0</v>
      </c>
      <c r="S39" s="305">
        <f t="shared" si="21"/>
        <v>0</v>
      </c>
      <c r="T39" s="305">
        <f t="shared" si="21"/>
        <v>0</v>
      </c>
      <c r="U39" s="305">
        <f t="shared" si="21"/>
        <v>0</v>
      </c>
      <c r="V39" s="295">
        <f>SUM(V40:V46)</f>
        <v>0</v>
      </c>
      <c r="W39" s="296">
        <f t="shared" si="12"/>
        <v>2662666</v>
      </c>
    </row>
    <row r="40" spans="1:24">
      <c r="A40" s="280">
        <f>A39</f>
        <v>2013029</v>
      </c>
      <c r="B40" s="280"/>
      <c r="C40" s="400"/>
      <c r="D40" s="397"/>
      <c r="E40" s="397"/>
      <c r="F40" s="403"/>
      <c r="G40" s="397"/>
      <c r="H40" s="397"/>
      <c r="I40" s="382"/>
      <c r="J40" s="297" t="s">
        <v>25</v>
      </c>
      <c r="K40" s="193">
        <v>369000</v>
      </c>
      <c r="L40" s="193">
        <v>369000</v>
      </c>
      <c r="M40" s="193">
        <v>369000</v>
      </c>
      <c r="N40" s="193">
        <v>407438</v>
      </c>
      <c r="O40" s="193">
        <v>369000</v>
      </c>
      <c r="P40" s="193">
        <v>369000</v>
      </c>
      <c r="Q40" s="306"/>
      <c r="R40" s="306"/>
      <c r="S40" s="306"/>
      <c r="T40" s="306"/>
      <c r="U40" s="306"/>
      <c r="V40" s="298"/>
      <c r="W40" s="299">
        <f t="shared" si="12"/>
        <v>2252438</v>
      </c>
      <c r="X40" s="136"/>
    </row>
    <row r="41" spans="1:24">
      <c r="A41" s="280">
        <f t="shared" ref="A41:A46" si="22">A40</f>
        <v>2013029</v>
      </c>
      <c r="B41" s="280"/>
      <c r="C41" s="400"/>
      <c r="D41" s="397"/>
      <c r="E41" s="397"/>
      <c r="F41" s="403"/>
      <c r="G41" s="397"/>
      <c r="H41" s="397"/>
      <c r="I41" s="382"/>
      <c r="J41" s="300" t="s">
        <v>30</v>
      </c>
      <c r="K41" s="193">
        <v>12000</v>
      </c>
      <c r="L41" s="193">
        <v>12000</v>
      </c>
      <c r="M41" s="193">
        <v>12000</v>
      </c>
      <c r="N41" s="193">
        <v>12000</v>
      </c>
      <c r="O41" s="193">
        <v>12000</v>
      </c>
      <c r="P41" s="193">
        <v>0</v>
      </c>
      <c r="Q41" s="306"/>
      <c r="R41" s="306"/>
      <c r="S41" s="306"/>
      <c r="T41" s="306"/>
      <c r="U41" s="306"/>
      <c r="V41" s="298"/>
      <c r="W41" s="301">
        <f t="shared" si="12"/>
        <v>60000</v>
      </c>
      <c r="X41" s="136"/>
    </row>
    <row r="42" spans="1:24">
      <c r="A42" s="280">
        <f t="shared" si="22"/>
        <v>2013029</v>
      </c>
      <c r="B42" s="280"/>
      <c r="C42" s="400"/>
      <c r="D42" s="397"/>
      <c r="E42" s="397"/>
      <c r="F42" s="403"/>
      <c r="G42" s="397"/>
      <c r="H42" s="397"/>
      <c r="I42" s="382"/>
      <c r="J42" s="300"/>
      <c r="K42" s="193"/>
      <c r="L42" s="193"/>
      <c r="M42" s="193"/>
      <c r="N42" s="193"/>
      <c r="O42" s="193"/>
      <c r="P42" s="193"/>
      <c r="Q42" s="306"/>
      <c r="R42" s="306"/>
      <c r="S42" s="306"/>
      <c r="T42" s="306"/>
      <c r="U42" s="306"/>
      <c r="V42" s="298"/>
      <c r="W42" s="301">
        <f t="shared" si="12"/>
        <v>0</v>
      </c>
      <c r="X42" s="136"/>
    </row>
    <row r="43" spans="1:24">
      <c r="A43" s="280">
        <f t="shared" si="22"/>
        <v>2013029</v>
      </c>
      <c r="B43" s="280"/>
      <c r="C43" s="400"/>
      <c r="D43" s="397"/>
      <c r="E43" s="397"/>
      <c r="F43" s="403"/>
      <c r="G43" s="397"/>
      <c r="H43" s="397"/>
      <c r="I43" s="382"/>
      <c r="J43" s="300" t="s">
        <v>26</v>
      </c>
      <c r="K43" s="193">
        <v>18900</v>
      </c>
      <c r="L43" s="193">
        <v>18900</v>
      </c>
      <c r="M43" s="193">
        <v>18900</v>
      </c>
      <c r="N43" s="193">
        <v>21470</v>
      </c>
      <c r="O43" s="193">
        <v>21470</v>
      </c>
      <c r="P43" s="193">
        <v>21470</v>
      </c>
      <c r="Q43" s="306"/>
      <c r="R43" s="306"/>
      <c r="S43" s="306"/>
      <c r="T43" s="306"/>
      <c r="U43" s="306"/>
      <c r="V43" s="298"/>
      <c r="W43" s="301">
        <f t="shared" si="12"/>
        <v>121110</v>
      </c>
      <c r="X43" s="136"/>
    </row>
    <row r="44" spans="1:24">
      <c r="A44" s="280">
        <f t="shared" si="22"/>
        <v>2013029</v>
      </c>
      <c r="B44" s="280"/>
      <c r="C44" s="400"/>
      <c r="D44" s="397"/>
      <c r="E44" s="397"/>
      <c r="F44" s="403"/>
      <c r="G44" s="397"/>
      <c r="H44" s="397"/>
      <c r="I44" s="382"/>
      <c r="J44" s="300" t="s">
        <v>27</v>
      </c>
      <c r="K44" s="193">
        <v>32940</v>
      </c>
      <c r="L44" s="193">
        <v>32940</v>
      </c>
      <c r="M44" s="193">
        <v>32940</v>
      </c>
      <c r="N44" s="193">
        <v>34770</v>
      </c>
      <c r="O44" s="193">
        <v>34770</v>
      </c>
      <c r="P44" s="193">
        <v>34770</v>
      </c>
      <c r="Q44" s="306"/>
      <c r="R44" s="306"/>
      <c r="S44" s="306"/>
      <c r="T44" s="306"/>
      <c r="U44" s="306"/>
      <c r="V44" s="298"/>
      <c r="W44" s="301">
        <f t="shared" si="12"/>
        <v>203130</v>
      </c>
      <c r="X44" s="136"/>
    </row>
    <row r="45" spans="1:24">
      <c r="A45" s="280">
        <f t="shared" si="22"/>
        <v>2013029</v>
      </c>
      <c r="B45" s="280"/>
      <c r="C45" s="400"/>
      <c r="D45" s="397"/>
      <c r="E45" s="397"/>
      <c r="F45" s="403"/>
      <c r="G45" s="397"/>
      <c r="H45" s="397"/>
      <c r="I45" s="382"/>
      <c r="J45" s="300" t="s">
        <v>28</v>
      </c>
      <c r="K45" s="193">
        <v>1840</v>
      </c>
      <c r="L45" s="193">
        <v>1840</v>
      </c>
      <c r="M45" s="193">
        <v>1840</v>
      </c>
      <c r="N45" s="193">
        <v>2097</v>
      </c>
      <c r="O45" s="193">
        <v>1905</v>
      </c>
      <c r="P45" s="193">
        <v>1845</v>
      </c>
      <c r="Q45" s="306"/>
      <c r="R45" s="306"/>
      <c r="S45" s="306"/>
      <c r="T45" s="306"/>
      <c r="U45" s="306"/>
      <c r="V45" s="298"/>
      <c r="W45" s="301">
        <f t="shared" si="12"/>
        <v>11367</v>
      </c>
      <c r="X45" s="136"/>
    </row>
    <row r="46" spans="1:24">
      <c r="A46" s="280">
        <f t="shared" si="22"/>
        <v>2013029</v>
      </c>
      <c r="B46" s="280"/>
      <c r="C46" s="401"/>
      <c r="D46" s="398"/>
      <c r="E46" s="398"/>
      <c r="F46" s="404"/>
      <c r="G46" s="398"/>
      <c r="H46" s="398"/>
      <c r="I46" s="383"/>
      <c r="J46" s="302" t="s">
        <v>29</v>
      </c>
      <c r="K46" s="239">
        <v>2730</v>
      </c>
      <c r="L46" s="239">
        <v>2730</v>
      </c>
      <c r="M46" s="239">
        <v>2730</v>
      </c>
      <c r="N46" s="239">
        <v>2307</v>
      </c>
      <c r="O46" s="239">
        <v>2095</v>
      </c>
      <c r="P46" s="239">
        <v>2029</v>
      </c>
      <c r="Q46" s="307"/>
      <c r="R46" s="307"/>
      <c r="S46" s="307"/>
      <c r="T46" s="307"/>
      <c r="U46" s="307"/>
      <c r="V46" s="303"/>
      <c r="W46" s="304">
        <f t="shared" si="12"/>
        <v>14621</v>
      </c>
      <c r="X46" s="136"/>
    </row>
    <row r="47" spans="1:24" ht="13.4" customHeight="1">
      <c r="A47" s="279">
        <v>2024004</v>
      </c>
      <c r="C47" s="390">
        <f t="shared" ref="C47" si="23">C39+1</f>
        <v>6</v>
      </c>
      <c r="D47" s="387"/>
      <c r="E47" s="387"/>
      <c r="F47" s="393"/>
      <c r="G47" s="387" t="s">
        <v>83</v>
      </c>
      <c r="H47" s="387"/>
      <c r="I47" s="384" t="s">
        <v>31</v>
      </c>
      <c r="J47" s="148" t="s">
        <v>24</v>
      </c>
      <c r="K47" s="234">
        <f t="shared" ref="K47:U47" si="24">SUM(K48:K54)</f>
        <v>516010</v>
      </c>
      <c r="L47" s="234">
        <f t="shared" si="24"/>
        <v>555920</v>
      </c>
      <c r="M47" s="234">
        <f>SUM(M48:M54)</f>
        <v>526010</v>
      </c>
      <c r="N47" s="234">
        <f t="shared" si="24"/>
        <v>522876</v>
      </c>
      <c r="O47" s="234">
        <f t="shared" si="24"/>
        <v>522876</v>
      </c>
      <c r="P47" s="234">
        <f t="shared" si="24"/>
        <v>569196</v>
      </c>
      <c r="Q47" s="305">
        <f t="shared" si="24"/>
        <v>531195</v>
      </c>
      <c r="R47" s="305">
        <f t="shared" si="24"/>
        <v>542557</v>
      </c>
      <c r="S47" s="305">
        <f t="shared" si="24"/>
        <v>560396</v>
      </c>
      <c r="T47" s="305">
        <f t="shared" si="24"/>
        <v>527821</v>
      </c>
      <c r="U47" s="305">
        <f t="shared" si="24"/>
        <v>970004</v>
      </c>
      <c r="V47" s="235">
        <f>SUM(V48:V54)</f>
        <v>522470.66666666663</v>
      </c>
      <c r="W47" s="236">
        <f t="shared" si="12"/>
        <v>6867331.666666667</v>
      </c>
    </row>
    <row r="48" spans="1:24">
      <c r="A48" s="280">
        <f>A47</f>
        <v>2024004</v>
      </c>
      <c r="B48" s="280"/>
      <c r="C48" s="391"/>
      <c r="D48" s="388"/>
      <c r="E48" s="388"/>
      <c r="F48" s="394"/>
      <c r="G48" s="388"/>
      <c r="H48" s="388"/>
      <c r="I48" s="385"/>
      <c r="J48" s="149" t="s">
        <v>25</v>
      </c>
      <c r="K48" s="193">
        <v>442000</v>
      </c>
      <c r="L48" s="193">
        <v>481910</v>
      </c>
      <c r="M48" s="193">
        <v>452000</v>
      </c>
      <c r="N48" s="193">
        <v>442000</v>
      </c>
      <c r="O48" s="193">
        <v>442000</v>
      </c>
      <c r="P48" s="193">
        <v>483445</v>
      </c>
      <c r="Q48" s="306">
        <v>445838</v>
      </c>
      <c r="R48" s="306">
        <v>457083</v>
      </c>
      <c r="S48" s="306">
        <v>474735</v>
      </c>
      <c r="T48" s="306">
        <v>442500</v>
      </c>
      <c r="U48" s="306">
        <v>884500</v>
      </c>
      <c r="V48" s="154">
        <v>446960.66666666663</v>
      </c>
      <c r="W48" s="237">
        <f t="shared" si="12"/>
        <v>5894971.666666667</v>
      </c>
      <c r="X48" s="136"/>
    </row>
    <row r="49" spans="1:24">
      <c r="A49" s="280">
        <f t="shared" ref="A49:A54" si="25">A48</f>
        <v>2024004</v>
      </c>
      <c r="B49" s="280"/>
      <c r="C49" s="391"/>
      <c r="D49" s="388"/>
      <c r="E49" s="388"/>
      <c r="F49" s="394"/>
      <c r="G49" s="388"/>
      <c r="H49" s="388"/>
      <c r="I49" s="385"/>
      <c r="J49" s="150" t="s">
        <v>30</v>
      </c>
      <c r="K49" s="193">
        <v>11000</v>
      </c>
      <c r="L49" s="193">
        <v>11000</v>
      </c>
      <c r="M49" s="193">
        <v>11000</v>
      </c>
      <c r="N49" s="193">
        <v>11000</v>
      </c>
      <c r="O49" s="193">
        <v>11000</v>
      </c>
      <c r="P49" s="193">
        <v>11000</v>
      </c>
      <c r="Q49" s="306">
        <v>11000</v>
      </c>
      <c r="R49" s="306">
        <v>11000</v>
      </c>
      <c r="S49" s="306">
        <v>11000</v>
      </c>
      <c r="T49" s="306">
        <v>11000</v>
      </c>
      <c r="U49" s="306">
        <v>11000</v>
      </c>
      <c r="V49" s="154">
        <v>12500</v>
      </c>
      <c r="W49" s="238">
        <f t="shared" si="12"/>
        <v>133500</v>
      </c>
      <c r="X49" s="136"/>
    </row>
    <row r="50" spans="1:24">
      <c r="A50" s="280">
        <f t="shared" si="25"/>
        <v>2024004</v>
      </c>
      <c r="B50" s="280"/>
      <c r="C50" s="391"/>
      <c r="D50" s="388"/>
      <c r="E50" s="388"/>
      <c r="F50" s="394"/>
      <c r="G50" s="388"/>
      <c r="H50" s="388"/>
      <c r="I50" s="385"/>
      <c r="J50" s="150"/>
      <c r="K50" s="193"/>
      <c r="L50" s="193"/>
      <c r="M50" s="193"/>
      <c r="N50" s="193"/>
      <c r="O50" s="193"/>
      <c r="P50" s="193"/>
      <c r="Q50" s="306"/>
      <c r="R50" s="306"/>
      <c r="S50" s="306"/>
      <c r="T50" s="306"/>
      <c r="U50" s="306"/>
      <c r="V50" s="154"/>
      <c r="W50" s="238">
        <f t="shared" si="12"/>
        <v>0</v>
      </c>
      <c r="X50" s="136"/>
    </row>
    <row r="51" spans="1:24">
      <c r="A51" s="280">
        <f t="shared" si="25"/>
        <v>2024004</v>
      </c>
      <c r="B51" s="280"/>
      <c r="C51" s="391"/>
      <c r="D51" s="388"/>
      <c r="E51" s="388"/>
      <c r="F51" s="394"/>
      <c r="G51" s="388"/>
      <c r="H51" s="388"/>
      <c r="I51" s="385"/>
      <c r="J51" s="150" t="s">
        <v>26</v>
      </c>
      <c r="K51" s="193">
        <v>18700</v>
      </c>
      <c r="L51" s="193">
        <v>18700</v>
      </c>
      <c r="M51" s="193">
        <v>18700</v>
      </c>
      <c r="N51" s="193">
        <v>24860</v>
      </c>
      <c r="O51" s="193">
        <v>24860</v>
      </c>
      <c r="P51" s="193">
        <v>26555</v>
      </c>
      <c r="Q51" s="306">
        <v>26555</v>
      </c>
      <c r="R51" s="306">
        <v>26555</v>
      </c>
      <c r="S51" s="306">
        <v>26555</v>
      </c>
      <c r="T51" s="306">
        <v>26555</v>
      </c>
      <c r="U51" s="306">
        <v>26555</v>
      </c>
      <c r="V51" s="154">
        <v>18700</v>
      </c>
      <c r="W51" s="238">
        <f t="shared" si="12"/>
        <v>283850</v>
      </c>
      <c r="X51" s="136"/>
    </row>
    <row r="52" spans="1:24">
      <c r="A52" s="280">
        <f t="shared" si="25"/>
        <v>2024004</v>
      </c>
      <c r="B52" s="280"/>
      <c r="C52" s="391"/>
      <c r="D52" s="388"/>
      <c r="E52" s="388"/>
      <c r="F52" s="394"/>
      <c r="G52" s="388"/>
      <c r="H52" s="388"/>
      <c r="I52" s="385"/>
      <c r="J52" s="150" t="s">
        <v>27</v>
      </c>
      <c r="K52" s="193">
        <v>40260</v>
      </c>
      <c r="L52" s="193">
        <v>40260</v>
      </c>
      <c r="M52" s="193">
        <v>40260</v>
      </c>
      <c r="N52" s="193">
        <v>40260</v>
      </c>
      <c r="O52" s="193">
        <v>40260</v>
      </c>
      <c r="P52" s="193">
        <v>43005</v>
      </c>
      <c r="Q52" s="306">
        <v>43005</v>
      </c>
      <c r="R52" s="306">
        <v>43005</v>
      </c>
      <c r="S52" s="306">
        <v>43005</v>
      </c>
      <c r="T52" s="306">
        <v>43005</v>
      </c>
      <c r="U52" s="306">
        <v>43005</v>
      </c>
      <c r="V52" s="154">
        <v>40260</v>
      </c>
      <c r="W52" s="238">
        <f t="shared" si="12"/>
        <v>499590</v>
      </c>
      <c r="X52" s="136"/>
    </row>
    <row r="53" spans="1:24">
      <c r="A53" s="280">
        <f t="shared" si="25"/>
        <v>2024004</v>
      </c>
      <c r="B53" s="280"/>
      <c r="C53" s="391"/>
      <c r="D53" s="388"/>
      <c r="E53" s="388"/>
      <c r="F53" s="394"/>
      <c r="G53" s="388"/>
      <c r="H53" s="388"/>
      <c r="I53" s="385"/>
      <c r="J53" s="150" t="s">
        <v>28</v>
      </c>
      <c r="K53" s="193">
        <v>1350</v>
      </c>
      <c r="L53" s="193">
        <v>1350</v>
      </c>
      <c r="M53" s="193">
        <v>1350</v>
      </c>
      <c r="N53" s="193">
        <v>2265</v>
      </c>
      <c r="O53" s="193">
        <v>2265</v>
      </c>
      <c r="P53" s="193">
        <v>2472</v>
      </c>
      <c r="Q53" s="306">
        <v>2284</v>
      </c>
      <c r="R53" s="306">
        <v>2340</v>
      </c>
      <c r="S53" s="306">
        <v>2429</v>
      </c>
      <c r="T53" s="306">
        <v>2267</v>
      </c>
      <c r="U53" s="306">
        <v>2354</v>
      </c>
      <c r="V53" s="154">
        <v>1350</v>
      </c>
      <c r="W53" s="238">
        <f t="shared" si="12"/>
        <v>24076</v>
      </c>
      <c r="X53" s="136"/>
    </row>
    <row r="54" spans="1:24">
      <c r="A54" s="280">
        <f t="shared" si="25"/>
        <v>2024004</v>
      </c>
      <c r="B54" s="280"/>
      <c r="C54" s="392"/>
      <c r="D54" s="389"/>
      <c r="E54" s="389"/>
      <c r="F54" s="395"/>
      <c r="G54" s="389"/>
      <c r="H54" s="389"/>
      <c r="I54" s="386"/>
      <c r="J54" s="153" t="s">
        <v>29</v>
      </c>
      <c r="K54" s="239">
        <v>2700</v>
      </c>
      <c r="L54" s="239">
        <v>2700</v>
      </c>
      <c r="M54" s="239">
        <v>2700</v>
      </c>
      <c r="N54" s="239">
        <v>2491</v>
      </c>
      <c r="O54" s="239">
        <v>2491</v>
      </c>
      <c r="P54" s="239">
        <v>2719</v>
      </c>
      <c r="Q54" s="307">
        <v>2513</v>
      </c>
      <c r="R54" s="307">
        <v>2574</v>
      </c>
      <c r="S54" s="307">
        <v>2672</v>
      </c>
      <c r="T54" s="307">
        <v>2494</v>
      </c>
      <c r="U54" s="307">
        <v>2590</v>
      </c>
      <c r="V54" s="240">
        <v>2700</v>
      </c>
      <c r="W54" s="241">
        <f t="shared" si="12"/>
        <v>31344</v>
      </c>
      <c r="X54" s="136"/>
    </row>
    <row r="55" spans="1:24" ht="13.4" customHeight="1">
      <c r="A55" s="279">
        <v>2016008</v>
      </c>
      <c r="C55" s="390">
        <f t="shared" ref="C55" si="26">C47+1</f>
        <v>7</v>
      </c>
      <c r="D55" s="387"/>
      <c r="E55" s="387"/>
      <c r="F55" s="393"/>
      <c r="G55" s="387" t="s">
        <v>84</v>
      </c>
      <c r="H55" s="387"/>
      <c r="I55" s="384" t="s">
        <v>31</v>
      </c>
      <c r="J55" s="148" t="s">
        <v>24</v>
      </c>
      <c r="K55" s="234">
        <f t="shared" ref="K55:U55" si="27">SUM(K56:K62)</f>
        <v>498535</v>
      </c>
      <c r="L55" s="234">
        <f t="shared" si="27"/>
        <v>498535</v>
      </c>
      <c r="M55" s="234">
        <f>SUM(M56:M62)</f>
        <v>498535</v>
      </c>
      <c r="N55" s="234">
        <f t="shared" si="27"/>
        <v>503677</v>
      </c>
      <c r="O55" s="234">
        <f t="shared" si="27"/>
        <v>503677</v>
      </c>
      <c r="P55" s="234">
        <f t="shared" si="27"/>
        <v>503677</v>
      </c>
      <c r="Q55" s="305">
        <f t="shared" si="27"/>
        <v>503677</v>
      </c>
      <c r="R55" s="305">
        <f t="shared" si="27"/>
        <v>504182</v>
      </c>
      <c r="S55" s="305">
        <f t="shared" si="27"/>
        <v>504586</v>
      </c>
      <c r="T55" s="305">
        <f t="shared" si="27"/>
        <v>504182</v>
      </c>
      <c r="U55" s="305">
        <f t="shared" si="27"/>
        <v>504364</v>
      </c>
      <c r="V55" s="235">
        <f>SUM(V56:V62)</f>
        <v>496523.88888888888</v>
      </c>
      <c r="W55" s="236">
        <f t="shared" ref="W55:W62" si="28">SUM(K55:V55)</f>
        <v>6024150.888888889</v>
      </c>
    </row>
    <row r="56" spans="1:24">
      <c r="A56" s="280">
        <f>A55</f>
        <v>2016008</v>
      </c>
      <c r="B56" s="280"/>
      <c r="C56" s="391"/>
      <c r="D56" s="388"/>
      <c r="E56" s="388"/>
      <c r="F56" s="394"/>
      <c r="G56" s="388"/>
      <c r="H56" s="388"/>
      <c r="I56" s="385"/>
      <c r="J56" s="149" t="s">
        <v>25</v>
      </c>
      <c r="K56" s="193">
        <v>420000</v>
      </c>
      <c r="L56" s="193">
        <v>420000</v>
      </c>
      <c r="M56" s="193">
        <v>420000</v>
      </c>
      <c r="N56" s="193">
        <v>420000</v>
      </c>
      <c r="O56" s="193">
        <v>420000</v>
      </c>
      <c r="P56" s="193">
        <v>420000</v>
      </c>
      <c r="Q56" s="306">
        <v>420000</v>
      </c>
      <c r="R56" s="306">
        <v>420500</v>
      </c>
      <c r="S56" s="306">
        <v>420900</v>
      </c>
      <c r="T56" s="306">
        <v>420500</v>
      </c>
      <c r="U56" s="306">
        <v>420500</v>
      </c>
      <c r="V56" s="154">
        <v>417988.88888888888</v>
      </c>
      <c r="W56" s="237">
        <f t="shared" si="28"/>
        <v>5040388.888888889</v>
      </c>
      <c r="X56" s="136"/>
    </row>
    <row r="57" spans="1:24">
      <c r="A57" s="280">
        <f t="shared" ref="A57:A62" si="29">A56</f>
        <v>2016008</v>
      </c>
      <c r="B57" s="280"/>
      <c r="C57" s="391"/>
      <c r="D57" s="388"/>
      <c r="E57" s="388"/>
      <c r="F57" s="394"/>
      <c r="G57" s="388"/>
      <c r="H57" s="388"/>
      <c r="I57" s="385"/>
      <c r="J57" s="150" t="s">
        <v>30</v>
      </c>
      <c r="K57" s="193">
        <v>14000</v>
      </c>
      <c r="L57" s="193">
        <v>14000</v>
      </c>
      <c r="M57" s="193">
        <v>14000</v>
      </c>
      <c r="N57" s="193">
        <v>14000</v>
      </c>
      <c r="O57" s="193">
        <v>14000</v>
      </c>
      <c r="P57" s="193">
        <v>14000</v>
      </c>
      <c r="Q57" s="306">
        <v>14000</v>
      </c>
      <c r="R57" s="306">
        <v>14000</v>
      </c>
      <c r="S57" s="306">
        <v>14000</v>
      </c>
      <c r="T57" s="306">
        <v>14000</v>
      </c>
      <c r="U57" s="306">
        <v>14000</v>
      </c>
      <c r="V57" s="154">
        <v>14000</v>
      </c>
      <c r="W57" s="238">
        <f t="shared" si="28"/>
        <v>168000</v>
      </c>
      <c r="X57" s="136"/>
    </row>
    <row r="58" spans="1:24">
      <c r="A58" s="280">
        <f t="shared" si="29"/>
        <v>2016008</v>
      </c>
      <c r="B58" s="280"/>
      <c r="C58" s="391"/>
      <c r="D58" s="388"/>
      <c r="E58" s="388"/>
      <c r="F58" s="394"/>
      <c r="G58" s="388"/>
      <c r="H58" s="388"/>
      <c r="I58" s="385"/>
      <c r="J58" s="150"/>
      <c r="K58" s="193"/>
      <c r="L58" s="193"/>
      <c r="M58" s="193"/>
      <c r="N58" s="193"/>
      <c r="O58" s="193"/>
      <c r="P58" s="193"/>
      <c r="Q58" s="306"/>
      <c r="R58" s="306"/>
      <c r="S58" s="306"/>
      <c r="T58" s="306"/>
      <c r="U58" s="306"/>
      <c r="V58" s="154"/>
      <c r="W58" s="238">
        <f t="shared" si="28"/>
        <v>0</v>
      </c>
      <c r="X58" s="136"/>
    </row>
    <row r="59" spans="1:24">
      <c r="A59" s="280">
        <f t="shared" si="29"/>
        <v>2016008</v>
      </c>
      <c r="B59" s="280"/>
      <c r="C59" s="391"/>
      <c r="D59" s="388"/>
      <c r="E59" s="388"/>
      <c r="F59" s="394"/>
      <c r="G59" s="388"/>
      <c r="H59" s="388"/>
      <c r="I59" s="385"/>
      <c r="J59" s="150" t="s">
        <v>26</v>
      </c>
      <c r="K59" s="193">
        <v>21525</v>
      </c>
      <c r="L59" s="193">
        <v>21525</v>
      </c>
      <c r="M59" s="193">
        <v>21525</v>
      </c>
      <c r="N59" s="193">
        <v>24860</v>
      </c>
      <c r="O59" s="193">
        <v>24860</v>
      </c>
      <c r="P59" s="193">
        <v>24860</v>
      </c>
      <c r="Q59" s="306">
        <v>24860</v>
      </c>
      <c r="R59" s="306">
        <v>24860</v>
      </c>
      <c r="S59" s="306">
        <v>24860</v>
      </c>
      <c r="T59" s="306">
        <v>24860</v>
      </c>
      <c r="U59" s="306">
        <v>24860</v>
      </c>
      <c r="V59" s="154">
        <v>21525</v>
      </c>
      <c r="W59" s="238">
        <f t="shared" si="28"/>
        <v>284980</v>
      </c>
      <c r="X59" s="136"/>
    </row>
    <row r="60" spans="1:24">
      <c r="A60" s="280">
        <f t="shared" si="29"/>
        <v>2016008</v>
      </c>
      <c r="B60" s="280"/>
      <c r="C60" s="391"/>
      <c r="D60" s="388"/>
      <c r="E60" s="388"/>
      <c r="F60" s="394"/>
      <c r="G60" s="388"/>
      <c r="H60" s="388"/>
      <c r="I60" s="385"/>
      <c r="J60" s="150" t="s">
        <v>27</v>
      </c>
      <c r="K60" s="193">
        <v>37515</v>
      </c>
      <c r="L60" s="193">
        <v>37515</v>
      </c>
      <c r="M60" s="193">
        <v>37515</v>
      </c>
      <c r="N60" s="193">
        <v>40260</v>
      </c>
      <c r="O60" s="193">
        <v>40260</v>
      </c>
      <c r="P60" s="193">
        <v>40260</v>
      </c>
      <c r="Q60" s="306">
        <v>40260</v>
      </c>
      <c r="R60" s="306">
        <v>40260</v>
      </c>
      <c r="S60" s="306">
        <v>40260</v>
      </c>
      <c r="T60" s="306">
        <v>40260</v>
      </c>
      <c r="U60" s="306">
        <v>40260</v>
      </c>
      <c r="V60" s="154">
        <v>37515</v>
      </c>
      <c r="W60" s="238">
        <f t="shared" si="28"/>
        <v>472140</v>
      </c>
      <c r="X60" s="136"/>
    </row>
    <row r="61" spans="1:24">
      <c r="A61" s="280">
        <f t="shared" si="29"/>
        <v>2016008</v>
      </c>
      <c r="B61" s="280"/>
      <c r="C61" s="391"/>
      <c r="D61" s="388"/>
      <c r="E61" s="388"/>
      <c r="F61" s="394"/>
      <c r="G61" s="388"/>
      <c r="H61" s="388"/>
      <c r="I61" s="385"/>
      <c r="J61" s="150" t="s">
        <v>28</v>
      </c>
      <c r="K61" s="193">
        <v>2210</v>
      </c>
      <c r="L61" s="193">
        <v>2210</v>
      </c>
      <c r="M61" s="193">
        <v>2210</v>
      </c>
      <c r="N61" s="193">
        <v>2170</v>
      </c>
      <c r="O61" s="193">
        <v>2170</v>
      </c>
      <c r="P61" s="193">
        <v>2170</v>
      </c>
      <c r="Q61" s="306">
        <v>2170</v>
      </c>
      <c r="R61" s="306">
        <v>2172</v>
      </c>
      <c r="S61" s="306">
        <v>2174</v>
      </c>
      <c r="T61" s="306">
        <v>2172</v>
      </c>
      <c r="U61" s="306">
        <v>2259</v>
      </c>
      <c r="V61" s="154">
        <v>2210</v>
      </c>
      <c r="W61" s="238">
        <f t="shared" si="28"/>
        <v>26297</v>
      </c>
      <c r="X61" s="136"/>
    </row>
    <row r="62" spans="1:24">
      <c r="A62" s="280">
        <f t="shared" si="29"/>
        <v>2016008</v>
      </c>
      <c r="B62" s="280"/>
      <c r="C62" s="392"/>
      <c r="D62" s="389"/>
      <c r="E62" s="389"/>
      <c r="F62" s="395"/>
      <c r="G62" s="389"/>
      <c r="H62" s="389"/>
      <c r="I62" s="386"/>
      <c r="J62" s="153" t="s">
        <v>29</v>
      </c>
      <c r="K62" s="239">
        <v>3285</v>
      </c>
      <c r="L62" s="239">
        <v>3285</v>
      </c>
      <c r="M62" s="239">
        <v>3285</v>
      </c>
      <c r="N62" s="239">
        <v>2387</v>
      </c>
      <c r="O62" s="239">
        <v>2387</v>
      </c>
      <c r="P62" s="239">
        <v>2387</v>
      </c>
      <c r="Q62" s="307">
        <v>2387</v>
      </c>
      <c r="R62" s="307">
        <v>2390</v>
      </c>
      <c r="S62" s="307">
        <v>2392</v>
      </c>
      <c r="T62" s="307">
        <v>2390</v>
      </c>
      <c r="U62" s="307">
        <v>2485</v>
      </c>
      <c r="V62" s="278">
        <v>3285</v>
      </c>
      <c r="W62" s="241">
        <f t="shared" si="28"/>
        <v>32345</v>
      </c>
      <c r="X62" s="136"/>
    </row>
    <row r="63" spans="1:24" ht="13.4" customHeight="1">
      <c r="A63" s="279">
        <v>2017026</v>
      </c>
      <c r="C63" s="390">
        <f t="shared" ref="C63" si="30">C55+1</f>
        <v>8</v>
      </c>
      <c r="D63" s="387"/>
      <c r="E63" s="387"/>
      <c r="F63" s="393"/>
      <c r="G63" s="387" t="s">
        <v>84</v>
      </c>
      <c r="H63" s="387"/>
      <c r="I63" s="384" t="s">
        <v>31</v>
      </c>
      <c r="J63" s="148" t="s">
        <v>24</v>
      </c>
      <c r="K63" s="234">
        <f t="shared" ref="K63:L63" si="31">SUM(K64:K70)</f>
        <v>0</v>
      </c>
      <c r="L63" s="234">
        <f t="shared" si="31"/>
        <v>0</v>
      </c>
      <c r="M63" s="234">
        <f>SUM(M64:M70)</f>
        <v>0</v>
      </c>
      <c r="N63" s="234">
        <f t="shared" ref="N63:U63" si="32">SUM(N64:N70)</f>
        <v>469398</v>
      </c>
      <c r="O63" s="234">
        <f t="shared" si="32"/>
        <v>450957</v>
      </c>
      <c r="P63" s="234">
        <f t="shared" si="32"/>
        <v>474636</v>
      </c>
      <c r="Q63" s="305">
        <f t="shared" si="32"/>
        <v>503981</v>
      </c>
      <c r="R63" s="305">
        <f t="shared" si="32"/>
        <v>477768</v>
      </c>
      <c r="S63" s="305">
        <f t="shared" si="32"/>
        <v>463762</v>
      </c>
      <c r="T63" s="305">
        <f t="shared" si="32"/>
        <v>502711</v>
      </c>
      <c r="U63" s="305">
        <f t="shared" si="32"/>
        <v>463944</v>
      </c>
      <c r="V63" s="235">
        <f>SUM(V64:V70)</f>
        <v>447028</v>
      </c>
      <c r="W63" s="236">
        <f t="shared" ref="W63:W70" si="33">SUM(K63:V63)</f>
        <v>4254185</v>
      </c>
    </row>
    <row r="64" spans="1:24">
      <c r="A64" s="280">
        <f>A63</f>
        <v>2017026</v>
      </c>
      <c r="B64" s="280"/>
      <c r="C64" s="391"/>
      <c r="D64" s="388"/>
      <c r="E64" s="388"/>
      <c r="F64" s="394"/>
      <c r="G64" s="388"/>
      <c r="H64" s="388"/>
      <c r="I64" s="385"/>
      <c r="J64" s="149" t="s">
        <v>25</v>
      </c>
      <c r="K64" s="193"/>
      <c r="L64" s="193"/>
      <c r="M64" s="193"/>
      <c r="N64" s="193">
        <v>412250</v>
      </c>
      <c r="O64" s="193">
        <v>380000</v>
      </c>
      <c r="P64" s="193">
        <v>395180</v>
      </c>
      <c r="Q64" s="306">
        <v>424220</v>
      </c>
      <c r="R64" s="306">
        <v>394360</v>
      </c>
      <c r="S64" s="306">
        <v>380500</v>
      </c>
      <c r="T64" s="306">
        <v>419044</v>
      </c>
      <c r="U64" s="306">
        <v>380500</v>
      </c>
      <c r="V64" s="152">
        <v>380000</v>
      </c>
      <c r="W64" s="237">
        <f t="shared" si="33"/>
        <v>3566054</v>
      </c>
      <c r="X64" s="136"/>
    </row>
    <row r="65" spans="1:24">
      <c r="A65" s="280">
        <f t="shared" ref="A65:B70" si="34">A64</f>
        <v>2017026</v>
      </c>
      <c r="B65" s="280">
        <f t="shared" si="34"/>
        <v>0</v>
      </c>
      <c r="C65" s="391"/>
      <c r="D65" s="388"/>
      <c r="E65" s="388"/>
      <c r="F65" s="394"/>
      <c r="G65" s="388"/>
      <c r="H65" s="388"/>
      <c r="I65" s="385"/>
      <c r="J65" s="150" t="s">
        <v>30</v>
      </c>
      <c r="K65" s="193"/>
      <c r="L65" s="193"/>
      <c r="M65" s="193"/>
      <c r="N65" s="193">
        <v>0</v>
      </c>
      <c r="O65" s="193">
        <v>14000</v>
      </c>
      <c r="P65" s="193">
        <v>14000</v>
      </c>
      <c r="Q65" s="306">
        <v>14000</v>
      </c>
      <c r="R65" s="306">
        <v>14000</v>
      </c>
      <c r="S65" s="306">
        <v>14000</v>
      </c>
      <c r="T65" s="306">
        <v>14000</v>
      </c>
      <c r="U65" s="306">
        <v>14000</v>
      </c>
      <c r="V65" s="152">
        <v>10000</v>
      </c>
      <c r="W65" s="238">
        <f t="shared" si="33"/>
        <v>108000</v>
      </c>
      <c r="X65" s="136"/>
    </row>
    <row r="66" spans="1:24">
      <c r="A66" s="280">
        <f t="shared" si="34"/>
        <v>2017026</v>
      </c>
      <c r="B66" s="280">
        <f t="shared" si="34"/>
        <v>0</v>
      </c>
      <c r="C66" s="391"/>
      <c r="D66" s="388"/>
      <c r="E66" s="388"/>
      <c r="F66" s="394"/>
      <c r="G66" s="388"/>
      <c r="H66" s="388"/>
      <c r="I66" s="385"/>
      <c r="J66" s="150"/>
      <c r="K66" s="193"/>
      <c r="L66" s="193"/>
      <c r="M66" s="193"/>
      <c r="N66" s="193"/>
      <c r="O66" s="193"/>
      <c r="P66" s="193"/>
      <c r="Q66" s="306"/>
      <c r="R66" s="306"/>
      <c r="S66" s="306"/>
      <c r="T66" s="306"/>
      <c r="U66" s="306"/>
      <c r="V66" s="152"/>
      <c r="W66" s="238">
        <f t="shared" si="33"/>
        <v>0</v>
      </c>
      <c r="X66" s="136"/>
    </row>
    <row r="67" spans="1:24">
      <c r="A67" s="280">
        <f t="shared" si="34"/>
        <v>2017026</v>
      </c>
      <c r="B67" s="280">
        <f t="shared" si="34"/>
        <v>0</v>
      </c>
      <c r="C67" s="391"/>
      <c r="D67" s="388"/>
      <c r="E67" s="388"/>
      <c r="F67" s="394"/>
      <c r="G67" s="388"/>
      <c r="H67" s="388"/>
      <c r="I67" s="385"/>
      <c r="J67" s="150" t="s">
        <v>26</v>
      </c>
      <c r="K67" s="193"/>
      <c r="L67" s="193"/>
      <c r="M67" s="193"/>
      <c r="N67" s="193">
        <v>18050</v>
      </c>
      <c r="O67" s="193">
        <v>18050</v>
      </c>
      <c r="P67" s="193">
        <v>20900</v>
      </c>
      <c r="Q67" s="306">
        <v>20900</v>
      </c>
      <c r="R67" s="306">
        <v>24860</v>
      </c>
      <c r="S67" s="306">
        <v>24860</v>
      </c>
      <c r="T67" s="306">
        <v>24860</v>
      </c>
      <c r="U67" s="306">
        <v>24860</v>
      </c>
      <c r="V67" s="152">
        <v>18050</v>
      </c>
      <c r="W67" s="238">
        <f t="shared" si="33"/>
        <v>195390</v>
      </c>
      <c r="X67" s="136"/>
    </row>
    <row r="68" spans="1:24">
      <c r="A68" s="280">
        <f t="shared" si="34"/>
        <v>2017026</v>
      </c>
      <c r="B68" s="280">
        <f t="shared" si="34"/>
        <v>0</v>
      </c>
      <c r="C68" s="391"/>
      <c r="D68" s="388"/>
      <c r="E68" s="388"/>
      <c r="F68" s="394"/>
      <c r="G68" s="388"/>
      <c r="H68" s="388"/>
      <c r="I68" s="385"/>
      <c r="J68" s="150" t="s">
        <v>27</v>
      </c>
      <c r="K68" s="193"/>
      <c r="L68" s="193"/>
      <c r="M68" s="193"/>
      <c r="N68" s="193">
        <v>34770</v>
      </c>
      <c r="O68" s="193">
        <v>34770</v>
      </c>
      <c r="P68" s="193">
        <v>40260</v>
      </c>
      <c r="Q68" s="306">
        <v>40260</v>
      </c>
      <c r="R68" s="306">
        <v>40260</v>
      </c>
      <c r="S68" s="306">
        <v>40260</v>
      </c>
      <c r="T68" s="306">
        <v>40260</v>
      </c>
      <c r="U68" s="306">
        <v>40260</v>
      </c>
      <c r="V68" s="152">
        <v>34770</v>
      </c>
      <c r="W68" s="238">
        <f t="shared" si="33"/>
        <v>345870</v>
      </c>
      <c r="X68" s="136"/>
    </row>
    <row r="69" spans="1:24">
      <c r="A69" s="280">
        <f t="shared" si="34"/>
        <v>2017026</v>
      </c>
      <c r="B69" s="280">
        <f t="shared" si="34"/>
        <v>0</v>
      </c>
      <c r="C69" s="391"/>
      <c r="D69" s="388"/>
      <c r="E69" s="388"/>
      <c r="F69" s="394"/>
      <c r="G69" s="388"/>
      <c r="H69" s="388"/>
      <c r="I69" s="385"/>
      <c r="J69" s="150" t="s">
        <v>28</v>
      </c>
      <c r="K69" s="193"/>
      <c r="L69" s="193"/>
      <c r="M69" s="193"/>
      <c r="N69" s="193">
        <v>2061</v>
      </c>
      <c r="O69" s="193">
        <v>1970</v>
      </c>
      <c r="P69" s="193">
        <v>2046</v>
      </c>
      <c r="Q69" s="306">
        <v>2191</v>
      </c>
      <c r="R69" s="306">
        <v>2042</v>
      </c>
      <c r="S69" s="306">
        <v>1972</v>
      </c>
      <c r="T69" s="306">
        <v>2165</v>
      </c>
      <c r="U69" s="306">
        <v>2059</v>
      </c>
      <c r="V69" s="152">
        <v>2004</v>
      </c>
      <c r="W69" s="238">
        <f t="shared" si="33"/>
        <v>18510</v>
      </c>
      <c r="X69" s="136"/>
    </row>
    <row r="70" spans="1:24" ht="12.5" thickBot="1">
      <c r="A70" s="280">
        <f t="shared" si="34"/>
        <v>2017026</v>
      </c>
      <c r="B70" s="280">
        <f t="shared" si="34"/>
        <v>0</v>
      </c>
      <c r="C70" s="405"/>
      <c r="D70" s="407"/>
      <c r="E70" s="407"/>
      <c r="F70" s="408"/>
      <c r="G70" s="407"/>
      <c r="H70" s="407"/>
      <c r="I70" s="406"/>
      <c r="J70" s="151" t="s">
        <v>29</v>
      </c>
      <c r="K70" s="254"/>
      <c r="L70" s="254"/>
      <c r="M70" s="254"/>
      <c r="N70" s="254">
        <v>2267</v>
      </c>
      <c r="O70" s="254">
        <v>2167</v>
      </c>
      <c r="P70" s="254">
        <v>2250</v>
      </c>
      <c r="Q70" s="308">
        <v>2410</v>
      </c>
      <c r="R70" s="308">
        <v>2246</v>
      </c>
      <c r="S70" s="308">
        <v>2170</v>
      </c>
      <c r="T70" s="308">
        <v>2382</v>
      </c>
      <c r="U70" s="308">
        <v>2265</v>
      </c>
      <c r="V70" s="255">
        <v>2204</v>
      </c>
      <c r="W70" s="281">
        <f t="shared" si="33"/>
        <v>20361</v>
      </c>
      <c r="X70" s="136"/>
    </row>
    <row r="71" spans="1:24" s="1" customFormat="1" ht="33.75" customHeight="1" thickTop="1">
      <c r="C71" s="371" t="s">
        <v>44</v>
      </c>
      <c r="D71" s="372"/>
      <c r="E71" s="372"/>
      <c r="F71" s="372"/>
      <c r="G71" s="372"/>
      <c r="H71" s="372"/>
      <c r="I71" s="373"/>
      <c r="J71" s="68" t="s">
        <v>40</v>
      </c>
      <c r="K71" s="78">
        <f>K7+K15+K23+K31+K39+K47+K55</f>
        <v>3546531</v>
      </c>
      <c r="L71" s="79">
        <f>L7+L15+L23+L31+L39+L47+L55</f>
        <v>3689099</v>
      </c>
      <c r="M71" s="79">
        <f>M7+M15+M23+M31+M39+M47+M55</f>
        <v>3528578</v>
      </c>
      <c r="N71" s="79">
        <f>N7+N15+N23+N31+N39+N47+N55</f>
        <v>3687404</v>
      </c>
      <c r="O71" s="79">
        <f t="shared" ref="O71:U71" si="35">O7+O15+O23+O31+O39+O47+O55</f>
        <v>3504175</v>
      </c>
      <c r="P71" s="79">
        <f t="shared" si="35"/>
        <v>3701272</v>
      </c>
      <c r="Q71" s="272">
        <f t="shared" si="35"/>
        <v>3164984</v>
      </c>
      <c r="R71" s="272">
        <f t="shared" si="35"/>
        <v>3113280</v>
      </c>
      <c r="S71" s="272">
        <f t="shared" si="35"/>
        <v>3262353</v>
      </c>
      <c r="T71" s="272">
        <f t="shared" si="35"/>
        <v>3120166</v>
      </c>
      <c r="U71" s="272">
        <f t="shared" si="35"/>
        <v>4684018</v>
      </c>
      <c r="V71" s="131">
        <f>V7+V15+V23+V31+V39+V47+V55</f>
        <v>3123396.7777777775</v>
      </c>
      <c r="W71" s="69">
        <f>SUM(K71:V71)</f>
        <v>42125256.777777776</v>
      </c>
    </row>
    <row r="72" spans="1:24">
      <c r="O72" s="35"/>
      <c r="P72" s="35"/>
      <c r="Q72" s="35"/>
      <c r="R72" s="3"/>
      <c r="S72" s="35"/>
      <c r="T72" s="35"/>
      <c r="U72" s="35"/>
      <c r="V72" s="3"/>
      <c r="W72" s="3"/>
    </row>
    <row r="73" spans="1:24">
      <c r="O73" s="35"/>
      <c r="P73" s="35"/>
      <c r="Q73" s="35"/>
      <c r="R73" s="3"/>
      <c r="S73" s="35"/>
      <c r="T73" s="35"/>
      <c r="U73" s="35"/>
      <c r="V73" s="3"/>
      <c r="W73" s="3"/>
    </row>
    <row r="74" spans="1:24">
      <c r="O74" s="35"/>
      <c r="P74" s="35"/>
      <c r="Q74" s="35"/>
      <c r="R74" s="3"/>
      <c r="S74" s="35"/>
      <c r="T74" s="35"/>
      <c r="U74" s="35"/>
      <c r="V74" s="3"/>
      <c r="W74" s="3"/>
    </row>
    <row r="75" spans="1:24">
      <c r="O75" s="35"/>
      <c r="P75" s="35"/>
      <c r="Q75" s="35"/>
      <c r="R75" s="3"/>
      <c r="S75" s="35"/>
      <c r="T75" s="35"/>
      <c r="U75" s="35"/>
      <c r="V75" s="3"/>
      <c r="W75" s="3"/>
    </row>
    <row r="76" spans="1:24">
      <c r="O76" s="35"/>
      <c r="P76" s="35"/>
      <c r="Q76" s="35"/>
      <c r="R76" s="3"/>
      <c r="S76" s="35"/>
      <c r="T76" s="35"/>
      <c r="U76" s="35"/>
      <c r="V76" s="3"/>
      <c r="W76" s="3"/>
    </row>
    <row r="77" spans="1:24">
      <c r="O77" s="35"/>
      <c r="P77" s="35"/>
      <c r="Q77" s="35"/>
      <c r="R77" s="3"/>
      <c r="S77" s="35"/>
      <c r="T77" s="35"/>
      <c r="U77" s="35"/>
      <c r="V77" s="3"/>
      <c r="W77" s="3"/>
    </row>
    <row r="78" spans="1:24">
      <c r="O78" s="35"/>
      <c r="P78" s="35"/>
      <c r="Q78" s="35"/>
      <c r="R78" s="3"/>
      <c r="S78" s="35"/>
      <c r="T78" s="35"/>
      <c r="U78" s="35"/>
      <c r="V78" s="3"/>
      <c r="W78" s="3"/>
    </row>
    <row r="79" spans="1:24">
      <c r="O79" s="35"/>
      <c r="P79" s="35"/>
      <c r="Q79" s="35"/>
      <c r="R79" s="3"/>
      <c r="S79" s="35"/>
      <c r="T79" s="35"/>
      <c r="U79" s="35"/>
      <c r="V79" s="3"/>
      <c r="W79" s="3"/>
    </row>
    <row r="80" spans="1:24">
      <c r="O80" s="35"/>
      <c r="P80" s="35"/>
      <c r="Q80" s="35"/>
      <c r="R80" s="3"/>
      <c r="S80" s="35"/>
      <c r="T80" s="35"/>
      <c r="U80" s="35"/>
      <c r="V80" s="3"/>
      <c r="W80" s="3"/>
    </row>
    <row r="81" spans="15:23">
      <c r="O81" s="35"/>
      <c r="P81" s="35"/>
      <c r="Q81" s="35"/>
      <c r="R81" s="3"/>
      <c r="S81" s="35"/>
      <c r="T81" s="35"/>
      <c r="U81" s="35"/>
      <c r="V81" s="3"/>
      <c r="W81" s="3"/>
    </row>
    <row r="82" spans="15:23">
      <c r="O82" s="35"/>
      <c r="P82" s="35"/>
      <c r="Q82" s="35"/>
      <c r="R82" s="3"/>
      <c r="S82" s="35"/>
      <c r="T82" s="35"/>
      <c r="U82" s="35"/>
      <c r="V82" s="3"/>
      <c r="W82" s="3"/>
    </row>
    <row r="83" spans="15:23">
      <c r="O83" s="35"/>
      <c r="P83" s="35"/>
      <c r="Q83" s="35"/>
      <c r="R83" s="3"/>
      <c r="S83" s="35"/>
      <c r="T83" s="35"/>
      <c r="U83" s="35"/>
      <c r="V83" s="3"/>
      <c r="W83" s="3"/>
    </row>
    <row r="84" spans="15:23">
      <c r="O84" s="35"/>
      <c r="P84" s="35"/>
      <c r="Q84" s="35"/>
      <c r="R84" s="3"/>
      <c r="S84" s="35"/>
      <c r="T84" s="35"/>
      <c r="U84" s="35"/>
      <c r="V84" s="3"/>
      <c r="W84" s="3"/>
    </row>
    <row r="85" spans="15:23">
      <c r="O85" s="35"/>
      <c r="P85" s="35"/>
      <c r="Q85" s="35"/>
      <c r="R85" s="3"/>
      <c r="S85" s="35"/>
      <c r="T85" s="35"/>
      <c r="U85" s="35"/>
      <c r="V85" s="3"/>
      <c r="W85" s="3"/>
    </row>
    <row r="86" spans="15:23">
      <c r="O86" s="35"/>
      <c r="P86" s="35"/>
      <c r="Q86" s="35"/>
      <c r="R86" s="3"/>
      <c r="S86" s="35"/>
      <c r="T86" s="35"/>
      <c r="U86" s="35"/>
      <c r="V86" s="3"/>
      <c r="W86" s="3"/>
    </row>
    <row r="87" spans="15:23">
      <c r="O87" s="35"/>
      <c r="P87" s="35"/>
      <c r="Q87" s="35"/>
      <c r="R87" s="3"/>
      <c r="S87" s="35"/>
      <c r="T87" s="35"/>
      <c r="U87" s="35"/>
      <c r="V87" s="3"/>
      <c r="W87" s="3"/>
    </row>
    <row r="88" spans="15:23">
      <c r="O88" s="35"/>
      <c r="P88" s="35"/>
      <c r="Q88" s="35"/>
      <c r="R88" s="3"/>
      <c r="S88" s="35"/>
      <c r="T88" s="35"/>
      <c r="U88" s="35"/>
      <c r="V88" s="3"/>
      <c r="W88" s="3"/>
    </row>
    <row r="89" spans="15:23">
      <c r="O89" s="35"/>
      <c r="P89" s="35"/>
      <c r="Q89" s="35"/>
      <c r="R89" s="3"/>
      <c r="S89" s="35"/>
      <c r="T89" s="35"/>
      <c r="U89" s="35"/>
      <c r="V89" s="3"/>
      <c r="W89" s="3"/>
    </row>
    <row r="90" spans="15:23">
      <c r="O90" s="35"/>
      <c r="P90" s="35"/>
      <c r="Q90" s="35"/>
      <c r="R90" s="3"/>
      <c r="S90" s="35"/>
      <c r="T90" s="35"/>
      <c r="U90" s="35"/>
      <c r="V90" s="3"/>
      <c r="W90" s="3"/>
    </row>
    <row r="91" spans="15:23">
      <c r="O91" s="35"/>
      <c r="P91" s="35"/>
      <c r="Q91" s="35"/>
      <c r="R91" s="3"/>
      <c r="S91" s="35"/>
      <c r="T91" s="35"/>
      <c r="U91" s="35"/>
      <c r="V91" s="3"/>
      <c r="W91" s="3"/>
    </row>
    <row r="92" spans="15:23">
      <c r="O92" s="35"/>
      <c r="P92" s="35"/>
      <c r="Q92" s="35"/>
      <c r="R92" s="3"/>
      <c r="S92" s="35"/>
      <c r="T92" s="35"/>
      <c r="U92" s="35"/>
      <c r="V92" s="3"/>
      <c r="W92" s="3"/>
    </row>
    <row r="93" spans="15:23">
      <c r="O93" s="35"/>
      <c r="P93" s="35"/>
      <c r="Q93" s="35"/>
      <c r="R93" s="3"/>
      <c r="S93" s="35"/>
      <c r="T93" s="35"/>
      <c r="U93" s="35"/>
      <c r="V93" s="3"/>
      <c r="W93" s="3"/>
    </row>
    <row r="94" spans="15:23">
      <c r="O94" s="35"/>
      <c r="P94" s="35"/>
      <c r="Q94" s="35"/>
      <c r="R94" s="3"/>
      <c r="S94" s="35"/>
      <c r="T94" s="35"/>
      <c r="U94" s="35"/>
      <c r="V94" s="3"/>
      <c r="W94" s="3"/>
    </row>
    <row r="95" spans="15:23">
      <c r="O95" s="35"/>
      <c r="P95" s="35"/>
      <c r="Q95" s="35"/>
      <c r="R95" s="3"/>
      <c r="S95" s="35"/>
      <c r="T95" s="35"/>
      <c r="U95" s="35"/>
      <c r="V95" s="3"/>
      <c r="W95" s="3"/>
    </row>
    <row r="96" spans="15:23">
      <c r="O96" s="35"/>
      <c r="P96" s="35"/>
      <c r="Q96" s="35"/>
      <c r="R96" s="3"/>
      <c r="S96" s="35"/>
      <c r="T96" s="35"/>
      <c r="U96" s="35"/>
      <c r="V96" s="3"/>
      <c r="W96" s="3"/>
    </row>
    <row r="97" spans="15:23">
      <c r="O97" s="35"/>
      <c r="P97" s="35"/>
      <c r="Q97" s="35"/>
      <c r="R97" s="3"/>
      <c r="S97" s="35"/>
      <c r="T97" s="35"/>
      <c r="U97" s="35"/>
      <c r="V97" s="3"/>
      <c r="W97" s="3"/>
    </row>
    <row r="98" spans="15:23">
      <c r="O98" s="35"/>
      <c r="P98" s="35"/>
      <c r="Q98" s="35"/>
      <c r="R98" s="3"/>
      <c r="S98" s="35"/>
      <c r="T98" s="35"/>
      <c r="U98" s="35"/>
      <c r="V98" s="3"/>
      <c r="W98" s="3"/>
    </row>
    <row r="99" spans="15:23">
      <c r="O99" s="35"/>
      <c r="P99" s="35"/>
      <c r="Q99" s="35"/>
      <c r="R99" s="3"/>
      <c r="S99" s="35"/>
      <c r="T99" s="35"/>
      <c r="U99" s="35"/>
      <c r="V99" s="3"/>
      <c r="W99" s="3"/>
    </row>
    <row r="100" spans="15:23">
      <c r="O100" s="35"/>
      <c r="P100" s="35"/>
      <c r="Q100" s="35"/>
      <c r="R100" s="3"/>
      <c r="S100" s="35"/>
      <c r="T100" s="35"/>
      <c r="U100" s="35"/>
      <c r="V100" s="3"/>
      <c r="W100" s="3"/>
    </row>
    <row r="101" spans="15:23">
      <c r="O101" s="35"/>
      <c r="P101" s="35"/>
      <c r="Q101" s="35"/>
      <c r="R101" s="3"/>
      <c r="S101" s="35"/>
      <c r="T101" s="35"/>
      <c r="U101" s="35"/>
      <c r="V101" s="3"/>
      <c r="W101" s="3"/>
    </row>
    <row r="102" spans="15:23">
      <c r="O102" s="35"/>
      <c r="P102" s="35"/>
      <c r="Q102" s="35"/>
      <c r="R102" s="3"/>
      <c r="S102" s="35"/>
      <c r="T102" s="35"/>
      <c r="U102" s="35"/>
      <c r="V102" s="3"/>
      <c r="W102" s="3"/>
    </row>
    <row r="103" spans="15:23">
      <c r="O103" s="35"/>
      <c r="P103" s="35"/>
      <c r="Q103" s="35"/>
      <c r="R103" s="3"/>
      <c r="S103" s="35"/>
      <c r="T103" s="35"/>
      <c r="U103" s="35"/>
      <c r="V103" s="3"/>
      <c r="W103" s="3"/>
    </row>
    <row r="104" spans="15:23">
      <c r="O104" s="35"/>
      <c r="P104" s="35"/>
      <c r="Q104" s="35"/>
      <c r="R104" s="3"/>
      <c r="S104" s="35"/>
      <c r="T104" s="35"/>
      <c r="U104" s="35"/>
      <c r="V104" s="3"/>
      <c r="W104" s="3"/>
    </row>
    <row r="105" spans="15:23">
      <c r="O105" s="35"/>
      <c r="P105" s="35"/>
      <c r="Q105" s="35"/>
      <c r="R105" s="3"/>
      <c r="S105" s="35"/>
      <c r="T105" s="35"/>
      <c r="U105" s="35"/>
      <c r="V105" s="3"/>
      <c r="W105" s="3"/>
    </row>
    <row r="106" spans="15:23">
      <c r="O106" s="35"/>
      <c r="P106" s="35"/>
      <c r="Q106" s="35"/>
      <c r="R106" s="3"/>
      <c r="S106" s="35"/>
      <c r="T106" s="35"/>
      <c r="U106" s="35"/>
      <c r="V106" s="3"/>
      <c r="W106" s="3"/>
    </row>
    <row r="107" spans="15:23">
      <c r="O107" s="35"/>
      <c r="P107" s="35"/>
      <c r="Q107" s="35"/>
      <c r="R107" s="3"/>
      <c r="S107" s="35"/>
      <c r="T107" s="35"/>
      <c r="U107" s="35"/>
      <c r="V107" s="3"/>
      <c r="W107" s="3"/>
    </row>
    <row r="108" spans="15:23">
      <c r="O108" s="35"/>
      <c r="P108" s="35"/>
      <c r="Q108" s="35"/>
      <c r="R108" s="3"/>
      <c r="S108" s="35"/>
      <c r="T108" s="35"/>
      <c r="U108" s="35"/>
      <c r="V108" s="3"/>
      <c r="W108" s="3"/>
    </row>
    <row r="109" spans="15:23">
      <c r="O109" s="35"/>
      <c r="P109" s="35"/>
      <c r="Q109" s="35"/>
      <c r="R109" s="3"/>
      <c r="S109" s="35"/>
      <c r="T109" s="35"/>
      <c r="U109" s="35"/>
      <c r="V109" s="3"/>
      <c r="W109" s="3"/>
    </row>
    <row r="110" spans="15:23">
      <c r="O110" s="35"/>
      <c r="P110" s="35"/>
      <c r="Q110" s="35"/>
      <c r="R110" s="3"/>
      <c r="S110" s="35"/>
      <c r="T110" s="35"/>
      <c r="U110" s="35"/>
      <c r="V110" s="3"/>
      <c r="W110" s="3"/>
    </row>
    <row r="111" spans="15:23">
      <c r="O111" s="35"/>
      <c r="P111" s="35"/>
      <c r="Q111" s="35"/>
      <c r="R111" s="3"/>
      <c r="S111" s="35"/>
      <c r="T111" s="35"/>
      <c r="U111" s="35"/>
      <c r="V111" s="3"/>
      <c r="W111" s="3"/>
    </row>
    <row r="112" spans="15:23">
      <c r="O112" s="35"/>
      <c r="P112" s="35"/>
      <c r="Q112" s="35"/>
      <c r="R112" s="3"/>
      <c r="S112" s="35"/>
      <c r="T112" s="35"/>
      <c r="U112" s="35"/>
      <c r="V112" s="3"/>
      <c r="W112" s="3"/>
    </row>
    <row r="113" spans="15:23">
      <c r="O113" s="35"/>
      <c r="P113" s="35"/>
      <c r="Q113" s="35"/>
      <c r="R113" s="3"/>
      <c r="S113" s="35"/>
      <c r="T113" s="35"/>
      <c r="U113" s="35"/>
      <c r="V113" s="3"/>
      <c r="W113" s="3"/>
    </row>
    <row r="114" spans="15:23">
      <c r="O114" s="35"/>
      <c r="P114" s="35"/>
      <c r="Q114" s="35"/>
      <c r="R114" s="3"/>
      <c r="S114" s="35"/>
      <c r="T114" s="35"/>
      <c r="U114" s="35"/>
      <c r="V114" s="3"/>
      <c r="W114" s="3"/>
    </row>
    <row r="115" spans="15:23">
      <c r="O115" s="35"/>
      <c r="P115" s="35"/>
      <c r="Q115" s="35"/>
      <c r="R115" s="3"/>
      <c r="S115" s="35"/>
      <c r="T115" s="35"/>
      <c r="U115" s="35"/>
      <c r="V115" s="3"/>
      <c r="W115" s="3"/>
    </row>
    <row r="116" spans="15:23">
      <c r="O116" s="35"/>
      <c r="P116" s="35"/>
      <c r="Q116" s="35"/>
      <c r="R116" s="3"/>
      <c r="S116" s="35"/>
      <c r="T116" s="35"/>
      <c r="U116" s="35"/>
      <c r="V116" s="3"/>
      <c r="W116" s="3"/>
    </row>
    <row r="117" spans="15:23">
      <c r="O117" s="35"/>
      <c r="P117" s="35"/>
      <c r="Q117" s="35"/>
      <c r="R117" s="3"/>
      <c r="S117" s="35"/>
      <c r="T117" s="35"/>
      <c r="U117" s="35"/>
      <c r="V117" s="3"/>
      <c r="W117" s="3"/>
    </row>
    <row r="118" spans="15:23">
      <c r="O118" s="35"/>
      <c r="P118" s="35"/>
      <c r="Q118" s="35"/>
      <c r="R118" s="3"/>
      <c r="S118" s="35"/>
      <c r="T118" s="35"/>
      <c r="U118" s="35"/>
      <c r="V118" s="3"/>
      <c r="W118" s="3"/>
    </row>
    <row r="119" spans="15:23">
      <c r="O119" s="35"/>
      <c r="P119" s="35"/>
      <c r="Q119" s="35"/>
      <c r="R119" s="3"/>
      <c r="S119" s="35"/>
      <c r="T119" s="35"/>
      <c r="U119" s="35"/>
      <c r="V119" s="3"/>
      <c r="W119" s="3"/>
    </row>
    <row r="120" spans="15:23">
      <c r="O120" s="35"/>
      <c r="P120" s="35"/>
      <c r="Q120" s="35"/>
      <c r="R120" s="3"/>
      <c r="S120" s="35"/>
      <c r="T120" s="35"/>
      <c r="U120" s="35"/>
      <c r="V120" s="3"/>
      <c r="W120" s="3"/>
    </row>
    <row r="121" spans="15:23">
      <c r="O121" s="35"/>
      <c r="P121" s="35"/>
      <c r="Q121" s="35"/>
      <c r="R121" s="3"/>
      <c r="S121" s="35"/>
      <c r="T121" s="35"/>
      <c r="U121" s="35"/>
      <c r="V121" s="3"/>
      <c r="W121" s="3"/>
    </row>
    <row r="122" spans="15:23">
      <c r="O122" s="35"/>
      <c r="P122" s="35"/>
      <c r="Q122" s="35"/>
      <c r="R122" s="3"/>
      <c r="S122" s="35"/>
      <c r="T122" s="35"/>
      <c r="U122" s="35"/>
      <c r="V122" s="3"/>
      <c r="W122" s="3"/>
    </row>
    <row r="123" spans="15:23">
      <c r="O123" s="35"/>
      <c r="P123" s="35"/>
      <c r="Q123" s="35"/>
      <c r="R123" s="3"/>
      <c r="S123" s="35"/>
      <c r="T123" s="35"/>
      <c r="U123" s="35"/>
      <c r="V123" s="3"/>
      <c r="W123" s="3"/>
    </row>
    <row r="124" spans="15:23">
      <c r="O124" s="35"/>
      <c r="P124" s="35"/>
      <c r="Q124" s="35"/>
      <c r="R124" s="3"/>
      <c r="S124" s="35"/>
      <c r="T124" s="35"/>
      <c r="U124" s="35"/>
      <c r="V124" s="3"/>
      <c r="W124" s="3"/>
    </row>
    <row r="125" spans="15:23">
      <c r="O125" s="35"/>
      <c r="P125" s="35"/>
      <c r="Q125" s="35"/>
      <c r="R125" s="3"/>
      <c r="S125" s="35"/>
      <c r="T125" s="35"/>
      <c r="U125" s="35"/>
      <c r="V125" s="3"/>
      <c r="W125" s="3"/>
    </row>
    <row r="126" spans="15:23">
      <c r="O126" s="35"/>
      <c r="P126" s="35"/>
      <c r="Q126" s="35"/>
      <c r="R126" s="3"/>
      <c r="S126" s="35"/>
      <c r="T126" s="35"/>
      <c r="U126" s="35"/>
      <c r="V126" s="3"/>
      <c r="W126" s="3"/>
    </row>
    <row r="127" spans="15:23">
      <c r="O127" s="35"/>
      <c r="P127" s="35"/>
      <c r="Q127" s="35"/>
      <c r="R127" s="3"/>
      <c r="S127" s="35"/>
      <c r="T127" s="35"/>
      <c r="U127" s="35"/>
      <c r="V127" s="3"/>
      <c r="W127" s="3"/>
    </row>
    <row r="128" spans="15:23">
      <c r="O128" s="35"/>
      <c r="P128" s="35"/>
      <c r="Q128" s="35"/>
      <c r="R128" s="3"/>
      <c r="S128" s="35"/>
      <c r="T128" s="35"/>
      <c r="U128" s="35"/>
      <c r="V128" s="3"/>
      <c r="W128" s="3"/>
    </row>
    <row r="129" spans="15:23">
      <c r="O129" s="35"/>
      <c r="P129" s="35"/>
      <c r="Q129" s="35"/>
      <c r="R129" s="3"/>
      <c r="S129" s="35"/>
      <c r="T129" s="35"/>
      <c r="U129" s="35"/>
      <c r="V129" s="3"/>
      <c r="W129" s="3"/>
    </row>
    <row r="130" spans="15:23">
      <c r="O130" s="35"/>
      <c r="P130" s="35"/>
      <c r="Q130" s="35"/>
      <c r="R130" s="3"/>
      <c r="S130" s="35"/>
      <c r="T130" s="35"/>
      <c r="U130" s="35"/>
      <c r="V130" s="3"/>
      <c r="W130" s="3"/>
    </row>
    <row r="131" spans="15:23">
      <c r="O131" s="35"/>
      <c r="P131" s="35"/>
      <c r="Q131" s="35"/>
      <c r="R131" s="3"/>
      <c r="S131" s="35"/>
      <c r="T131" s="35"/>
      <c r="U131" s="35"/>
      <c r="V131" s="3"/>
      <c r="W131" s="3"/>
    </row>
    <row r="132" spans="15:23">
      <c r="O132" s="35"/>
      <c r="P132" s="35"/>
      <c r="Q132" s="35"/>
      <c r="R132" s="3"/>
      <c r="S132" s="35"/>
      <c r="T132" s="35"/>
      <c r="U132" s="35"/>
      <c r="V132" s="3"/>
      <c r="W132" s="3"/>
    </row>
    <row r="133" spans="15:23">
      <c r="O133" s="35"/>
      <c r="P133" s="35"/>
      <c r="Q133" s="35"/>
      <c r="R133" s="3"/>
      <c r="S133" s="35"/>
      <c r="T133" s="35"/>
      <c r="U133" s="35"/>
      <c r="V133" s="3"/>
      <c r="W133" s="3"/>
    </row>
    <row r="134" spans="15:23">
      <c r="O134" s="35"/>
      <c r="P134" s="35"/>
      <c r="Q134" s="35"/>
      <c r="R134" s="3"/>
      <c r="S134" s="35"/>
      <c r="T134" s="35"/>
      <c r="U134" s="35"/>
      <c r="V134" s="3"/>
      <c r="W134" s="3"/>
    </row>
    <row r="135" spans="15:23">
      <c r="O135" s="35"/>
      <c r="P135" s="35"/>
      <c r="Q135" s="35"/>
      <c r="R135" s="3"/>
      <c r="S135" s="35"/>
      <c r="T135" s="35"/>
      <c r="U135" s="35"/>
      <c r="V135" s="3"/>
      <c r="W135" s="3"/>
    </row>
    <row r="136" spans="15:23">
      <c r="O136" s="35"/>
      <c r="P136" s="35"/>
      <c r="Q136" s="35"/>
      <c r="R136" s="3"/>
      <c r="S136" s="35"/>
      <c r="T136" s="35"/>
      <c r="U136" s="35"/>
      <c r="V136" s="3"/>
      <c r="W136" s="3"/>
    </row>
    <row r="137" spans="15:23">
      <c r="O137" s="35"/>
      <c r="P137" s="35"/>
      <c r="Q137" s="35"/>
      <c r="R137" s="3"/>
      <c r="S137" s="35"/>
      <c r="T137" s="35"/>
      <c r="U137" s="35"/>
      <c r="V137" s="3"/>
      <c r="W137" s="3"/>
    </row>
    <row r="138" spans="15:23">
      <c r="O138" s="35"/>
      <c r="P138" s="35"/>
      <c r="Q138" s="35"/>
      <c r="R138" s="3"/>
      <c r="S138" s="35"/>
      <c r="T138" s="35"/>
      <c r="U138" s="35"/>
      <c r="V138" s="3"/>
      <c r="W138" s="3"/>
    </row>
    <row r="139" spans="15:23">
      <c r="O139" s="35"/>
      <c r="P139" s="35"/>
      <c r="Q139" s="35"/>
      <c r="R139" s="3"/>
      <c r="S139" s="35"/>
      <c r="T139" s="35"/>
      <c r="U139" s="35"/>
      <c r="V139" s="3"/>
      <c r="W139" s="3"/>
    </row>
    <row r="140" spans="15:23">
      <c r="O140" s="35"/>
      <c r="P140" s="35"/>
      <c r="Q140" s="35"/>
      <c r="R140" s="3"/>
      <c r="S140" s="35"/>
      <c r="T140" s="35"/>
      <c r="U140" s="35"/>
      <c r="V140" s="3"/>
      <c r="W140" s="3"/>
    </row>
    <row r="141" spans="15:23">
      <c r="O141" s="35"/>
      <c r="P141" s="35"/>
      <c r="Q141" s="35"/>
      <c r="R141" s="3"/>
      <c r="S141" s="35"/>
      <c r="T141" s="35"/>
      <c r="U141" s="35"/>
      <c r="V141" s="3"/>
      <c r="W141" s="3"/>
    </row>
    <row r="142" spans="15:23">
      <c r="O142" s="35"/>
      <c r="P142" s="35"/>
      <c r="Q142" s="35"/>
      <c r="R142" s="3"/>
      <c r="S142" s="35"/>
      <c r="T142" s="35"/>
      <c r="U142" s="35"/>
      <c r="V142" s="3"/>
      <c r="W142" s="3"/>
    </row>
    <row r="143" spans="15:23">
      <c r="O143" s="35"/>
      <c r="P143" s="35"/>
      <c r="Q143" s="35"/>
      <c r="R143" s="3"/>
      <c r="S143" s="35"/>
      <c r="T143" s="35"/>
      <c r="U143" s="35"/>
      <c r="V143" s="3"/>
      <c r="W143" s="3"/>
    </row>
    <row r="144" spans="15:23">
      <c r="O144" s="35"/>
      <c r="P144" s="35"/>
      <c r="Q144" s="35"/>
      <c r="R144" s="3"/>
      <c r="S144" s="35"/>
      <c r="T144" s="35"/>
      <c r="U144" s="35"/>
      <c r="V144" s="3"/>
      <c r="W144" s="3"/>
    </row>
    <row r="145" spans="15:23">
      <c r="O145" s="35"/>
      <c r="P145" s="35"/>
      <c r="Q145" s="35"/>
      <c r="R145" s="3"/>
      <c r="S145" s="35"/>
      <c r="T145" s="35"/>
      <c r="U145" s="35"/>
      <c r="V145" s="3"/>
      <c r="W145" s="3"/>
    </row>
    <row r="146" spans="15:23">
      <c r="O146" s="35"/>
      <c r="P146" s="35"/>
      <c r="Q146" s="35"/>
      <c r="R146" s="3"/>
      <c r="S146" s="35"/>
      <c r="T146" s="35"/>
      <c r="U146" s="35"/>
      <c r="V146" s="3"/>
      <c r="W146" s="3"/>
    </row>
    <row r="147" spans="15:23">
      <c r="O147" s="35"/>
      <c r="P147" s="35"/>
      <c r="Q147" s="35"/>
      <c r="R147" s="3"/>
      <c r="S147" s="35"/>
      <c r="T147" s="35"/>
      <c r="U147" s="35"/>
      <c r="V147" s="3"/>
      <c r="W147" s="3"/>
    </row>
    <row r="148" spans="15:23">
      <c r="O148" s="35"/>
      <c r="P148" s="35"/>
      <c r="Q148" s="35"/>
      <c r="R148" s="3"/>
      <c r="S148" s="35"/>
      <c r="T148" s="35"/>
      <c r="U148" s="35"/>
      <c r="V148" s="3"/>
      <c r="W148" s="3"/>
    </row>
    <row r="149" spans="15:23">
      <c r="O149" s="35"/>
      <c r="P149" s="35"/>
      <c r="Q149" s="35"/>
      <c r="R149" s="3"/>
      <c r="S149" s="35"/>
      <c r="T149" s="35"/>
      <c r="U149" s="35"/>
      <c r="V149" s="3"/>
      <c r="W149" s="3"/>
    </row>
    <row r="150" spans="15:23">
      <c r="O150" s="35"/>
      <c r="P150" s="35"/>
      <c r="Q150" s="35"/>
      <c r="R150" s="3"/>
      <c r="S150" s="35"/>
      <c r="T150" s="35"/>
      <c r="U150" s="35"/>
      <c r="V150" s="3"/>
      <c r="W150" s="3"/>
    </row>
    <row r="151" spans="15:23">
      <c r="O151" s="35"/>
      <c r="P151" s="35"/>
      <c r="Q151" s="35"/>
      <c r="R151" s="3"/>
      <c r="S151" s="35"/>
      <c r="T151" s="35"/>
      <c r="U151" s="35"/>
      <c r="V151" s="3"/>
      <c r="W151" s="3"/>
    </row>
    <row r="152" spans="15:23">
      <c r="O152" s="35"/>
      <c r="P152" s="35"/>
      <c r="Q152" s="35"/>
      <c r="R152" s="3"/>
      <c r="S152" s="35"/>
      <c r="T152" s="35"/>
      <c r="U152" s="35"/>
      <c r="V152" s="3"/>
      <c r="W152" s="3"/>
    </row>
    <row r="153" spans="15:23">
      <c r="O153" s="35"/>
      <c r="P153" s="35"/>
      <c r="Q153" s="35"/>
      <c r="R153" s="3"/>
      <c r="S153" s="35"/>
      <c r="T153" s="35"/>
      <c r="U153" s="35"/>
      <c r="V153" s="3"/>
      <c r="W153" s="3"/>
    </row>
    <row r="154" spans="15:23">
      <c r="O154" s="35"/>
      <c r="P154" s="35"/>
      <c r="Q154" s="35"/>
      <c r="R154" s="3"/>
      <c r="S154" s="35"/>
      <c r="T154" s="35"/>
      <c r="U154" s="35"/>
      <c r="V154" s="3"/>
      <c r="W154" s="3"/>
    </row>
    <row r="155" spans="15:23">
      <c r="O155" s="35"/>
      <c r="P155" s="35"/>
      <c r="Q155" s="35"/>
      <c r="R155" s="3"/>
      <c r="S155" s="35"/>
      <c r="T155" s="35"/>
      <c r="U155" s="35"/>
      <c r="V155" s="3"/>
      <c r="W155" s="3"/>
    </row>
    <row r="156" spans="15:23">
      <c r="O156" s="35"/>
      <c r="P156" s="35"/>
      <c r="Q156" s="35"/>
      <c r="R156" s="3"/>
      <c r="S156" s="35"/>
      <c r="T156" s="35"/>
      <c r="U156" s="35"/>
      <c r="V156" s="3"/>
      <c r="W156" s="3"/>
    </row>
    <row r="157" spans="15:23">
      <c r="O157" s="35"/>
      <c r="P157" s="35"/>
      <c r="Q157" s="35"/>
      <c r="R157" s="3"/>
      <c r="S157" s="35"/>
      <c r="T157" s="35"/>
      <c r="U157" s="35"/>
      <c r="V157" s="3"/>
      <c r="W157" s="3"/>
    </row>
    <row r="158" spans="15:23">
      <c r="O158" s="35"/>
      <c r="P158" s="35"/>
      <c r="Q158" s="35"/>
      <c r="R158" s="3"/>
      <c r="S158" s="35"/>
      <c r="T158" s="35"/>
      <c r="U158" s="35"/>
      <c r="V158" s="3"/>
      <c r="W158" s="3"/>
    </row>
    <row r="159" spans="15:23">
      <c r="O159" s="35"/>
      <c r="P159" s="35"/>
      <c r="Q159" s="35"/>
      <c r="R159" s="3"/>
      <c r="S159" s="35"/>
      <c r="T159" s="35"/>
      <c r="U159" s="35"/>
      <c r="V159" s="3"/>
      <c r="W159" s="3"/>
    </row>
    <row r="160" spans="15:23">
      <c r="O160" s="35"/>
      <c r="P160" s="35"/>
      <c r="Q160" s="35"/>
      <c r="R160" s="3"/>
      <c r="S160" s="35"/>
      <c r="T160" s="35"/>
      <c r="U160" s="35"/>
      <c r="V160" s="3"/>
      <c r="W160" s="3"/>
    </row>
    <row r="161" spans="15:23">
      <c r="O161" s="35"/>
      <c r="P161" s="35"/>
      <c r="Q161" s="35"/>
      <c r="R161" s="3"/>
      <c r="S161" s="35"/>
      <c r="T161" s="35"/>
      <c r="U161" s="35"/>
      <c r="V161" s="3"/>
      <c r="W161" s="3"/>
    </row>
    <row r="162" spans="15:23">
      <c r="O162" s="35"/>
      <c r="P162" s="35"/>
      <c r="Q162" s="35"/>
      <c r="R162" s="3"/>
      <c r="S162" s="35"/>
      <c r="T162" s="35"/>
      <c r="U162" s="35"/>
      <c r="V162" s="3"/>
      <c r="W162" s="3"/>
    </row>
    <row r="163" spans="15:23">
      <c r="O163" s="35"/>
      <c r="P163" s="35"/>
      <c r="Q163" s="35"/>
      <c r="R163" s="3"/>
      <c r="S163" s="35"/>
      <c r="T163" s="35"/>
      <c r="U163" s="35"/>
      <c r="V163" s="3"/>
      <c r="W163" s="3"/>
    </row>
    <row r="164" spans="15:23">
      <c r="O164" s="35"/>
      <c r="P164" s="35"/>
      <c r="Q164" s="35"/>
      <c r="R164" s="3"/>
      <c r="S164" s="35"/>
      <c r="T164" s="35"/>
      <c r="U164" s="35"/>
      <c r="V164" s="3"/>
      <c r="W164" s="3"/>
    </row>
    <row r="165" spans="15:23">
      <c r="O165" s="35"/>
      <c r="P165" s="35"/>
      <c r="Q165" s="35"/>
      <c r="R165" s="3"/>
      <c r="S165" s="35"/>
      <c r="T165" s="35"/>
      <c r="U165" s="35"/>
      <c r="V165" s="3"/>
      <c r="W165" s="3"/>
    </row>
    <row r="166" spans="15:23">
      <c r="O166" s="35"/>
      <c r="P166" s="35"/>
      <c r="Q166" s="35"/>
      <c r="R166" s="3"/>
      <c r="S166" s="35"/>
      <c r="T166" s="35"/>
      <c r="U166" s="35"/>
      <c r="V166" s="3"/>
      <c r="W166" s="3"/>
    </row>
    <row r="167" spans="15:23">
      <c r="O167" s="35"/>
      <c r="P167" s="35"/>
      <c r="Q167" s="35"/>
      <c r="R167" s="3"/>
      <c r="S167" s="35"/>
      <c r="T167" s="35"/>
      <c r="U167" s="35"/>
      <c r="V167" s="3"/>
      <c r="W167" s="3"/>
    </row>
    <row r="168" spans="15:23">
      <c r="O168" s="35"/>
      <c r="P168" s="35"/>
      <c r="Q168" s="35"/>
      <c r="R168" s="3"/>
      <c r="S168" s="35"/>
      <c r="T168" s="35"/>
      <c r="U168" s="35"/>
      <c r="V168" s="3"/>
      <c r="W168" s="3"/>
    </row>
    <row r="169" spans="15:23">
      <c r="O169" s="35"/>
      <c r="P169" s="35"/>
      <c r="Q169" s="35"/>
      <c r="R169" s="3"/>
      <c r="S169" s="35"/>
      <c r="T169" s="35"/>
      <c r="U169" s="35"/>
      <c r="V169" s="3"/>
      <c r="W169" s="3"/>
    </row>
    <row r="170" spans="15:23">
      <c r="O170" s="35"/>
      <c r="P170" s="35"/>
      <c r="Q170" s="35"/>
      <c r="R170" s="3"/>
      <c r="S170" s="35"/>
      <c r="T170" s="35"/>
      <c r="U170" s="35"/>
      <c r="V170" s="3"/>
      <c r="W170" s="3"/>
    </row>
    <row r="171" spans="15:23">
      <c r="O171" s="35"/>
      <c r="P171" s="35"/>
      <c r="Q171" s="35"/>
      <c r="R171" s="3"/>
      <c r="S171" s="35"/>
      <c r="T171" s="35"/>
      <c r="U171" s="35"/>
      <c r="V171" s="3"/>
      <c r="W171" s="3"/>
    </row>
    <row r="172" spans="15:23">
      <c r="O172" s="35"/>
      <c r="P172" s="35"/>
      <c r="Q172" s="35"/>
      <c r="R172" s="3"/>
      <c r="S172" s="35"/>
      <c r="T172" s="35"/>
      <c r="U172" s="35"/>
      <c r="V172" s="3"/>
      <c r="W172" s="3"/>
    </row>
    <row r="173" spans="15:23">
      <c r="O173" s="35"/>
      <c r="P173" s="35"/>
      <c r="Q173" s="35"/>
      <c r="R173" s="3"/>
      <c r="S173" s="35"/>
      <c r="T173" s="35"/>
      <c r="U173" s="35"/>
      <c r="V173" s="3"/>
      <c r="W173" s="3"/>
    </row>
    <row r="174" spans="15:23">
      <c r="O174" s="35"/>
      <c r="P174" s="35"/>
      <c r="Q174" s="35"/>
      <c r="R174" s="3"/>
      <c r="S174" s="35"/>
      <c r="T174" s="35"/>
      <c r="U174" s="35"/>
      <c r="V174" s="3"/>
      <c r="W174" s="3"/>
    </row>
    <row r="175" spans="15:23">
      <c r="O175" s="35"/>
      <c r="P175" s="35"/>
      <c r="Q175" s="35"/>
      <c r="R175" s="3"/>
      <c r="S175" s="35"/>
      <c r="T175" s="35"/>
      <c r="U175" s="35"/>
      <c r="V175" s="3"/>
      <c r="W175" s="3"/>
    </row>
    <row r="176" spans="15:23">
      <c r="O176" s="35"/>
      <c r="P176" s="35"/>
      <c r="Q176" s="35"/>
      <c r="R176" s="3"/>
      <c r="S176" s="35"/>
      <c r="T176" s="35"/>
      <c r="U176" s="35"/>
      <c r="V176" s="3"/>
      <c r="W176" s="3"/>
    </row>
    <row r="177" spans="15:23">
      <c r="O177" s="35"/>
      <c r="P177" s="35"/>
      <c r="Q177" s="35"/>
      <c r="R177" s="3"/>
      <c r="S177" s="35"/>
      <c r="T177" s="35"/>
      <c r="U177" s="35"/>
      <c r="V177" s="3"/>
      <c r="W177" s="3"/>
    </row>
    <row r="178" spans="15:23">
      <c r="O178" s="35"/>
      <c r="P178" s="35"/>
      <c r="Q178" s="35"/>
      <c r="R178" s="3"/>
      <c r="S178" s="35"/>
      <c r="T178" s="35"/>
      <c r="U178" s="35"/>
      <c r="V178" s="3"/>
      <c r="W178" s="3"/>
    </row>
    <row r="179" spans="15:23">
      <c r="O179" s="35"/>
      <c r="P179" s="35"/>
      <c r="Q179" s="35"/>
      <c r="R179" s="3"/>
      <c r="S179" s="35"/>
      <c r="T179" s="35"/>
      <c r="U179" s="35"/>
      <c r="V179" s="3"/>
      <c r="W179" s="3"/>
    </row>
    <row r="180" spans="15:23">
      <c r="O180" s="35"/>
      <c r="P180" s="35"/>
      <c r="Q180" s="35"/>
      <c r="R180" s="3"/>
      <c r="S180" s="35"/>
      <c r="T180" s="35"/>
      <c r="U180" s="35"/>
      <c r="V180" s="3"/>
      <c r="W180" s="3"/>
    </row>
    <row r="181" spans="15:23">
      <c r="O181" s="35"/>
      <c r="P181" s="35"/>
      <c r="Q181" s="35"/>
      <c r="R181" s="3"/>
      <c r="S181" s="35"/>
      <c r="T181" s="35"/>
      <c r="U181" s="35"/>
      <c r="V181" s="3"/>
      <c r="W181" s="3"/>
    </row>
    <row r="182" spans="15:23">
      <c r="O182" s="35"/>
      <c r="P182" s="35"/>
      <c r="Q182" s="35"/>
      <c r="R182" s="3"/>
      <c r="S182" s="35"/>
      <c r="T182" s="35"/>
      <c r="U182" s="35"/>
      <c r="V182" s="3"/>
      <c r="W182" s="3"/>
    </row>
    <row r="183" spans="15:23">
      <c r="O183" s="35"/>
      <c r="P183" s="35"/>
      <c r="Q183" s="35"/>
      <c r="R183" s="3"/>
      <c r="S183" s="35"/>
      <c r="T183" s="35"/>
      <c r="U183" s="35"/>
      <c r="V183" s="3"/>
      <c r="W183" s="3"/>
    </row>
    <row r="184" spans="15:23">
      <c r="O184" s="35"/>
      <c r="P184" s="35"/>
      <c r="Q184" s="35"/>
      <c r="R184" s="3"/>
      <c r="S184" s="35"/>
      <c r="T184" s="35"/>
      <c r="U184" s="35"/>
      <c r="V184" s="3"/>
      <c r="W184" s="3"/>
    </row>
    <row r="185" spans="15:23">
      <c r="O185" s="35"/>
      <c r="P185" s="35"/>
      <c r="Q185" s="35"/>
      <c r="R185" s="3"/>
      <c r="S185" s="35"/>
      <c r="T185" s="35"/>
      <c r="U185" s="35"/>
      <c r="V185" s="3"/>
      <c r="W185" s="3"/>
    </row>
    <row r="186" spans="15:23">
      <c r="O186" s="35"/>
      <c r="P186" s="35"/>
      <c r="Q186" s="35"/>
      <c r="R186" s="3"/>
      <c r="S186" s="35"/>
      <c r="T186" s="35"/>
      <c r="U186" s="35"/>
      <c r="V186" s="3"/>
      <c r="W186" s="3"/>
    </row>
    <row r="187" spans="15:23">
      <c r="O187" s="35"/>
      <c r="P187" s="35"/>
      <c r="Q187" s="35"/>
      <c r="R187" s="3"/>
      <c r="S187" s="35"/>
      <c r="T187" s="35"/>
      <c r="U187" s="35"/>
      <c r="V187" s="3"/>
      <c r="W187" s="3"/>
    </row>
    <row r="188" spans="15:23">
      <c r="O188" s="35"/>
      <c r="P188" s="35"/>
      <c r="Q188" s="35"/>
      <c r="R188" s="3"/>
      <c r="S188" s="35"/>
      <c r="T188" s="35"/>
      <c r="U188" s="35"/>
      <c r="V188" s="3"/>
      <c r="W188" s="3"/>
    </row>
    <row r="189" spans="15:23">
      <c r="O189" s="35"/>
      <c r="P189" s="35"/>
      <c r="Q189" s="35"/>
      <c r="R189" s="3"/>
      <c r="S189" s="35"/>
      <c r="T189" s="35"/>
      <c r="U189" s="35"/>
      <c r="V189" s="3"/>
      <c r="W189" s="3"/>
    </row>
    <row r="190" spans="15:23">
      <c r="O190" s="35"/>
      <c r="P190" s="35"/>
      <c r="Q190" s="35"/>
      <c r="R190" s="3"/>
      <c r="S190" s="35"/>
      <c r="T190" s="35"/>
      <c r="U190" s="35"/>
      <c r="V190" s="3"/>
      <c r="W190" s="3"/>
    </row>
    <row r="191" spans="15:23">
      <c r="O191" s="35"/>
      <c r="P191" s="35"/>
      <c r="Q191" s="35"/>
      <c r="R191" s="3"/>
      <c r="S191" s="35"/>
      <c r="T191" s="35"/>
      <c r="U191" s="35"/>
      <c r="V191" s="3"/>
      <c r="W191" s="3"/>
    </row>
    <row r="192" spans="15:23">
      <c r="O192" s="35"/>
      <c r="P192" s="35"/>
      <c r="Q192" s="35"/>
      <c r="R192" s="3"/>
      <c r="S192" s="35"/>
      <c r="T192" s="35"/>
      <c r="U192" s="35"/>
      <c r="V192" s="3"/>
      <c r="W192" s="3"/>
    </row>
    <row r="193" spans="15:23">
      <c r="O193" s="35"/>
      <c r="P193" s="35"/>
      <c r="Q193" s="35"/>
      <c r="R193" s="3"/>
      <c r="S193" s="35"/>
      <c r="T193" s="35"/>
      <c r="U193" s="35"/>
      <c r="V193" s="3"/>
      <c r="W193" s="3"/>
    </row>
    <row r="194" spans="15:23">
      <c r="O194" s="35"/>
      <c r="P194" s="35"/>
      <c r="Q194" s="35"/>
      <c r="R194" s="3"/>
      <c r="S194" s="35"/>
      <c r="T194" s="35"/>
      <c r="U194" s="35"/>
      <c r="V194" s="3"/>
      <c r="W194" s="3"/>
    </row>
    <row r="195" spans="15:23">
      <c r="O195" s="35"/>
      <c r="P195" s="35"/>
      <c r="Q195" s="35"/>
      <c r="R195" s="3"/>
      <c r="S195" s="35"/>
      <c r="T195" s="35"/>
      <c r="U195" s="35"/>
      <c r="V195" s="3"/>
      <c r="W195" s="3"/>
    </row>
    <row r="196" spans="15:23">
      <c r="O196" s="35"/>
      <c r="P196" s="35"/>
      <c r="Q196" s="35"/>
      <c r="R196" s="3"/>
      <c r="S196" s="35"/>
      <c r="T196" s="35"/>
      <c r="U196" s="35"/>
      <c r="V196" s="3"/>
      <c r="W196" s="3"/>
    </row>
    <row r="197" spans="15:23">
      <c r="O197" s="35"/>
      <c r="P197" s="35"/>
      <c r="Q197" s="35"/>
      <c r="R197" s="3"/>
      <c r="S197" s="35"/>
      <c r="T197" s="35"/>
      <c r="U197" s="35"/>
      <c r="V197" s="3"/>
      <c r="W197" s="3"/>
    </row>
    <row r="198" spans="15:23">
      <c r="O198" s="35"/>
      <c r="P198" s="35"/>
      <c r="Q198" s="35"/>
      <c r="R198" s="3"/>
      <c r="S198" s="35"/>
      <c r="T198" s="35"/>
      <c r="U198" s="35"/>
      <c r="V198" s="3"/>
      <c r="W198" s="3"/>
    </row>
    <row r="199" spans="15:23">
      <c r="O199" s="35"/>
      <c r="P199" s="35"/>
      <c r="Q199" s="35"/>
      <c r="R199" s="3"/>
      <c r="S199" s="35"/>
      <c r="T199" s="35"/>
      <c r="U199" s="35"/>
      <c r="V199" s="3"/>
      <c r="W199" s="3"/>
    </row>
    <row r="200" spans="15:23">
      <c r="O200" s="35"/>
      <c r="P200" s="35"/>
      <c r="Q200" s="35"/>
      <c r="R200" s="3"/>
      <c r="S200" s="35"/>
      <c r="T200" s="35"/>
      <c r="U200" s="35"/>
      <c r="V200" s="3"/>
      <c r="W200" s="3"/>
    </row>
    <row r="201" spans="15:23">
      <c r="O201" s="35"/>
      <c r="P201" s="35"/>
      <c r="Q201" s="35"/>
      <c r="R201" s="3"/>
      <c r="S201" s="35"/>
      <c r="T201" s="35"/>
      <c r="U201" s="35"/>
      <c r="V201" s="3"/>
      <c r="W201" s="3"/>
    </row>
    <row r="202" spans="15:23">
      <c r="O202" s="35"/>
      <c r="P202" s="35"/>
      <c r="Q202" s="35"/>
      <c r="R202" s="3"/>
      <c r="S202" s="35"/>
      <c r="T202" s="35"/>
      <c r="U202" s="35"/>
      <c r="V202" s="3"/>
      <c r="W202" s="3"/>
    </row>
    <row r="203" spans="15:23">
      <c r="O203" s="35"/>
      <c r="P203" s="35"/>
      <c r="Q203" s="35"/>
      <c r="R203" s="3"/>
      <c r="S203" s="35"/>
      <c r="T203" s="35"/>
      <c r="U203" s="35"/>
      <c r="V203" s="3"/>
      <c r="W203" s="3"/>
    </row>
    <row r="204" spans="15:23">
      <c r="O204" s="35"/>
      <c r="P204" s="35"/>
      <c r="Q204" s="35"/>
      <c r="R204" s="3"/>
      <c r="S204" s="35"/>
      <c r="T204" s="35"/>
      <c r="U204" s="35"/>
      <c r="V204" s="3"/>
      <c r="W204" s="3"/>
    </row>
    <row r="205" spans="15:23">
      <c r="O205" s="35"/>
      <c r="P205" s="35"/>
      <c r="Q205" s="35"/>
      <c r="R205" s="3"/>
      <c r="S205" s="35"/>
      <c r="T205" s="35"/>
      <c r="U205" s="35"/>
      <c r="V205" s="3"/>
      <c r="W205" s="3"/>
    </row>
    <row r="206" spans="15:23">
      <c r="O206" s="35"/>
      <c r="P206" s="35"/>
      <c r="Q206" s="35"/>
      <c r="R206" s="3"/>
      <c r="S206" s="35"/>
      <c r="T206" s="35"/>
      <c r="U206" s="35"/>
      <c r="V206" s="3"/>
      <c r="W206" s="3"/>
    </row>
    <row r="207" spans="15:23">
      <c r="O207" s="35"/>
      <c r="P207" s="35"/>
      <c r="Q207" s="35"/>
      <c r="R207" s="3"/>
      <c r="S207" s="35"/>
      <c r="T207" s="35"/>
      <c r="U207" s="35"/>
      <c r="V207" s="3"/>
      <c r="W207" s="3"/>
    </row>
    <row r="208" spans="15:23">
      <c r="O208" s="35"/>
      <c r="P208" s="35"/>
      <c r="Q208" s="35"/>
      <c r="R208" s="3"/>
      <c r="S208" s="35"/>
      <c r="T208" s="35"/>
      <c r="U208" s="35"/>
      <c r="V208" s="3"/>
      <c r="W208" s="3"/>
    </row>
    <row r="209" spans="15:23">
      <c r="O209" s="35"/>
      <c r="P209" s="35"/>
      <c r="Q209" s="35"/>
      <c r="R209" s="3"/>
      <c r="S209" s="35"/>
      <c r="T209" s="35"/>
      <c r="U209" s="35"/>
      <c r="V209" s="3"/>
      <c r="W209" s="3"/>
    </row>
    <row r="210" spans="15:23">
      <c r="O210" s="35"/>
      <c r="P210" s="35"/>
      <c r="Q210" s="35"/>
      <c r="R210" s="3"/>
      <c r="S210" s="35"/>
      <c r="T210" s="35"/>
      <c r="U210" s="35"/>
      <c r="V210" s="3"/>
      <c r="W210" s="3"/>
    </row>
    <row r="211" spans="15:23">
      <c r="O211" s="35"/>
      <c r="P211" s="35"/>
      <c r="Q211" s="35"/>
      <c r="R211" s="3"/>
      <c r="S211" s="35"/>
      <c r="T211" s="35"/>
      <c r="U211" s="35"/>
      <c r="V211" s="3"/>
      <c r="W211" s="3"/>
    </row>
    <row r="212" spans="15:23">
      <c r="O212" s="35"/>
      <c r="P212" s="35"/>
      <c r="Q212" s="35"/>
      <c r="R212" s="3"/>
      <c r="S212" s="35"/>
      <c r="T212" s="35"/>
      <c r="U212" s="35"/>
      <c r="V212" s="3"/>
      <c r="W212" s="3"/>
    </row>
    <row r="213" spans="15:23">
      <c r="O213" s="35"/>
      <c r="P213" s="35"/>
      <c r="Q213" s="35"/>
      <c r="R213" s="3"/>
      <c r="S213" s="35"/>
      <c r="T213" s="35"/>
      <c r="U213" s="35"/>
      <c r="V213" s="3"/>
      <c r="W213" s="3"/>
    </row>
    <row r="214" spans="15:23">
      <c r="O214" s="35"/>
      <c r="P214" s="35"/>
      <c r="Q214" s="35"/>
      <c r="R214" s="3"/>
      <c r="S214" s="35"/>
      <c r="T214" s="35"/>
      <c r="U214" s="35"/>
      <c r="V214" s="3"/>
      <c r="W214" s="3"/>
    </row>
    <row r="215" spans="15:23">
      <c r="O215" s="35"/>
      <c r="P215" s="35"/>
      <c r="Q215" s="35"/>
      <c r="R215" s="3"/>
      <c r="S215" s="35"/>
      <c r="T215" s="35"/>
      <c r="U215" s="35"/>
      <c r="V215" s="3"/>
      <c r="W215" s="3"/>
    </row>
    <row r="216" spans="15:23">
      <c r="O216" s="35"/>
      <c r="P216" s="35"/>
      <c r="Q216" s="35"/>
      <c r="R216" s="3"/>
      <c r="S216" s="35"/>
      <c r="T216" s="35"/>
      <c r="U216" s="35"/>
      <c r="V216" s="3"/>
      <c r="W216" s="3"/>
    </row>
    <row r="217" spans="15:23">
      <c r="O217" s="35"/>
      <c r="P217" s="35"/>
      <c r="Q217" s="35"/>
      <c r="R217" s="3"/>
      <c r="S217" s="35"/>
      <c r="T217" s="35"/>
      <c r="U217" s="35"/>
      <c r="V217" s="3"/>
      <c r="W217" s="3"/>
    </row>
    <row r="218" spans="15:23">
      <c r="O218" s="35"/>
      <c r="P218" s="35"/>
      <c r="Q218" s="35"/>
      <c r="R218" s="3"/>
      <c r="S218" s="35"/>
      <c r="T218" s="35"/>
      <c r="U218" s="35"/>
      <c r="V218" s="3"/>
      <c r="W218" s="3"/>
    </row>
    <row r="219" spans="15:23">
      <c r="O219" s="35"/>
      <c r="P219" s="35"/>
      <c r="Q219" s="35"/>
      <c r="R219" s="3"/>
      <c r="S219" s="35"/>
      <c r="T219" s="35"/>
      <c r="U219" s="35"/>
      <c r="V219" s="3"/>
      <c r="W219" s="3"/>
    </row>
    <row r="220" spans="15:23">
      <c r="O220" s="35"/>
      <c r="P220" s="35"/>
      <c r="Q220" s="35"/>
      <c r="R220" s="3"/>
      <c r="S220" s="35"/>
      <c r="T220" s="35"/>
      <c r="U220" s="35"/>
      <c r="V220" s="3"/>
      <c r="W220" s="3"/>
    </row>
    <row r="221" spans="15:23">
      <c r="O221" s="35"/>
      <c r="P221" s="35"/>
      <c r="Q221" s="35"/>
      <c r="R221" s="3"/>
      <c r="S221" s="35"/>
      <c r="T221" s="35"/>
      <c r="U221" s="35"/>
      <c r="V221" s="3"/>
      <c r="W221" s="3"/>
    </row>
    <row r="222" spans="15:23">
      <c r="O222" s="35"/>
      <c r="P222" s="35"/>
      <c r="Q222" s="35"/>
      <c r="R222" s="3"/>
      <c r="S222" s="35"/>
      <c r="T222" s="35"/>
      <c r="U222" s="35"/>
      <c r="V222" s="3"/>
      <c r="W222" s="3"/>
    </row>
    <row r="223" spans="15:23">
      <c r="O223" s="35"/>
      <c r="P223" s="35"/>
      <c r="Q223" s="35"/>
      <c r="R223" s="3"/>
      <c r="S223" s="35"/>
      <c r="T223" s="35"/>
      <c r="U223" s="35"/>
      <c r="V223" s="3"/>
      <c r="W223" s="3"/>
    </row>
    <row r="224" spans="15:23">
      <c r="O224" s="35"/>
      <c r="P224" s="35"/>
      <c r="Q224" s="35"/>
      <c r="R224" s="3"/>
      <c r="S224" s="35"/>
      <c r="T224" s="35"/>
      <c r="U224" s="35"/>
      <c r="V224" s="3"/>
      <c r="W224" s="3"/>
    </row>
    <row r="225" spans="15:23">
      <c r="O225" s="35"/>
      <c r="P225" s="35"/>
      <c r="Q225" s="35"/>
      <c r="R225" s="3"/>
      <c r="S225" s="35"/>
      <c r="T225" s="35"/>
      <c r="U225" s="35"/>
      <c r="V225" s="3"/>
      <c r="W225" s="3"/>
    </row>
    <row r="226" spans="15:23">
      <c r="O226" s="35"/>
      <c r="P226" s="35"/>
      <c r="Q226" s="35"/>
      <c r="R226" s="3"/>
      <c r="S226" s="35"/>
      <c r="T226" s="35"/>
      <c r="U226" s="35"/>
      <c r="V226" s="3"/>
      <c r="W226" s="3"/>
    </row>
    <row r="227" spans="15:23">
      <c r="O227" s="35"/>
      <c r="P227" s="35"/>
      <c r="Q227" s="35"/>
      <c r="R227" s="3"/>
      <c r="S227" s="35"/>
      <c r="T227" s="35"/>
      <c r="U227" s="35"/>
      <c r="V227" s="3"/>
      <c r="W227" s="3"/>
    </row>
    <row r="228" spans="15:23">
      <c r="O228" s="35"/>
      <c r="P228" s="35"/>
      <c r="Q228" s="35"/>
      <c r="R228" s="3"/>
      <c r="S228" s="35"/>
      <c r="T228" s="35"/>
      <c r="U228" s="35"/>
      <c r="V228" s="3"/>
      <c r="W228" s="3"/>
    </row>
    <row r="229" spans="15:23">
      <c r="O229" s="35"/>
      <c r="P229" s="35"/>
      <c r="Q229" s="35"/>
      <c r="R229" s="3"/>
      <c r="S229" s="35"/>
      <c r="T229" s="35"/>
      <c r="U229" s="35"/>
      <c r="V229" s="3"/>
      <c r="W229" s="3"/>
    </row>
    <row r="230" spans="15:23">
      <c r="O230" s="35"/>
      <c r="P230" s="35"/>
      <c r="Q230" s="35"/>
      <c r="R230" s="3"/>
      <c r="S230" s="35"/>
      <c r="T230" s="35"/>
      <c r="U230" s="35"/>
      <c r="V230" s="3"/>
      <c r="W230" s="3"/>
    </row>
    <row r="231" spans="15:23">
      <c r="O231" s="35"/>
      <c r="P231" s="35"/>
      <c r="Q231" s="35"/>
      <c r="R231" s="3"/>
      <c r="S231" s="35"/>
      <c r="T231" s="35"/>
      <c r="U231" s="35"/>
      <c r="V231" s="3"/>
      <c r="W231" s="3"/>
    </row>
    <row r="232" spans="15:23">
      <c r="O232" s="35"/>
      <c r="P232" s="35"/>
      <c r="Q232" s="35"/>
      <c r="R232" s="3"/>
      <c r="S232" s="35"/>
      <c r="T232" s="35"/>
      <c r="U232" s="35"/>
      <c r="V232" s="3"/>
      <c r="W232" s="3"/>
    </row>
    <row r="233" spans="15:23">
      <c r="O233" s="35"/>
      <c r="P233" s="35"/>
      <c r="Q233" s="35"/>
      <c r="R233" s="3"/>
      <c r="S233" s="35"/>
      <c r="T233" s="35"/>
      <c r="U233" s="35"/>
      <c r="V233" s="3"/>
      <c r="W233" s="3"/>
    </row>
    <row r="234" spans="15:23">
      <c r="O234" s="35"/>
      <c r="P234" s="35"/>
      <c r="Q234" s="35"/>
      <c r="R234" s="3"/>
      <c r="S234" s="35"/>
      <c r="T234" s="35"/>
      <c r="U234" s="35"/>
      <c r="V234" s="3"/>
      <c r="W234" s="3"/>
    </row>
    <row r="235" spans="15:23">
      <c r="O235" s="35"/>
      <c r="P235" s="35"/>
      <c r="Q235" s="35"/>
      <c r="R235" s="3"/>
      <c r="S235" s="35"/>
      <c r="T235" s="35"/>
      <c r="U235" s="35"/>
      <c r="V235" s="3"/>
      <c r="W235" s="3"/>
    </row>
    <row r="236" spans="15:23">
      <c r="O236" s="35"/>
      <c r="P236" s="35"/>
      <c r="Q236" s="35"/>
      <c r="R236" s="3"/>
      <c r="S236" s="35"/>
      <c r="T236" s="35"/>
      <c r="U236" s="35"/>
      <c r="V236" s="3"/>
      <c r="W236" s="3"/>
    </row>
    <row r="237" spans="15:23">
      <c r="O237" s="35"/>
      <c r="P237" s="35"/>
      <c r="Q237" s="35"/>
      <c r="R237" s="3"/>
      <c r="S237" s="35"/>
      <c r="T237" s="35"/>
      <c r="U237" s="35"/>
      <c r="V237" s="3"/>
      <c r="W237" s="3"/>
    </row>
    <row r="238" spans="15:23">
      <c r="O238" s="35"/>
      <c r="P238" s="35"/>
      <c r="Q238" s="35"/>
      <c r="R238" s="3"/>
      <c r="S238" s="35"/>
      <c r="T238" s="35"/>
      <c r="U238" s="35"/>
      <c r="V238" s="3"/>
      <c r="W238" s="3"/>
    </row>
    <row r="239" spans="15:23">
      <c r="O239" s="35"/>
      <c r="P239" s="35"/>
      <c r="Q239" s="35"/>
      <c r="R239" s="3"/>
      <c r="S239" s="35"/>
      <c r="T239" s="35"/>
      <c r="U239" s="35"/>
      <c r="V239" s="3"/>
      <c r="W239" s="3"/>
    </row>
    <row r="240" spans="15:23">
      <c r="O240" s="35"/>
      <c r="P240" s="35"/>
      <c r="Q240" s="35"/>
      <c r="R240" s="3"/>
      <c r="S240" s="35"/>
      <c r="T240" s="35"/>
      <c r="U240" s="35"/>
      <c r="V240" s="3"/>
      <c r="W240" s="3"/>
    </row>
    <row r="241" spans="15:23">
      <c r="O241" s="35"/>
      <c r="P241" s="35"/>
      <c r="Q241" s="35"/>
      <c r="R241" s="3"/>
      <c r="S241" s="35"/>
      <c r="T241" s="35"/>
      <c r="U241" s="35"/>
      <c r="V241" s="3"/>
      <c r="W241" s="3"/>
    </row>
    <row r="242" spans="15:23">
      <c r="O242" s="35"/>
      <c r="P242" s="35"/>
      <c r="Q242" s="35"/>
      <c r="R242" s="3"/>
      <c r="S242" s="35"/>
      <c r="T242" s="35"/>
      <c r="U242" s="35"/>
      <c r="V242" s="3"/>
      <c r="W242" s="3"/>
    </row>
    <row r="243" spans="15:23">
      <c r="O243" s="35"/>
      <c r="P243" s="35"/>
      <c r="Q243" s="35"/>
      <c r="R243" s="3"/>
      <c r="S243" s="35"/>
      <c r="T243" s="35"/>
      <c r="U243" s="35"/>
      <c r="V243" s="3"/>
      <c r="W243" s="3"/>
    </row>
    <row r="244" spans="15:23">
      <c r="O244" s="35"/>
      <c r="P244" s="35"/>
      <c r="Q244" s="35"/>
      <c r="R244" s="3"/>
      <c r="S244" s="35"/>
      <c r="T244" s="35"/>
      <c r="U244" s="35"/>
      <c r="V244" s="3"/>
      <c r="W244" s="3"/>
    </row>
    <row r="245" spans="15:23">
      <c r="O245" s="35"/>
      <c r="P245" s="35"/>
      <c r="Q245" s="35"/>
      <c r="R245" s="3"/>
      <c r="S245" s="35"/>
      <c r="T245" s="35"/>
      <c r="U245" s="35"/>
      <c r="V245" s="3"/>
      <c r="W245" s="3"/>
    </row>
    <row r="246" spans="15:23">
      <c r="O246" s="35"/>
      <c r="P246" s="35"/>
      <c r="Q246" s="35"/>
      <c r="R246" s="3"/>
      <c r="S246" s="35"/>
      <c r="T246" s="35"/>
      <c r="U246" s="35"/>
      <c r="V246" s="3"/>
      <c r="W246" s="3"/>
    </row>
    <row r="247" spans="15:23">
      <c r="O247" s="35"/>
      <c r="P247" s="35"/>
      <c r="Q247" s="35"/>
      <c r="R247" s="3"/>
      <c r="S247" s="35"/>
      <c r="T247" s="35"/>
      <c r="U247" s="35"/>
      <c r="V247" s="3"/>
      <c r="W247" s="3"/>
    </row>
    <row r="248" spans="15:23">
      <c r="O248" s="35"/>
      <c r="P248" s="35"/>
      <c r="Q248" s="35"/>
      <c r="R248" s="3"/>
      <c r="S248" s="35"/>
      <c r="T248" s="35"/>
      <c r="U248" s="35"/>
      <c r="V248" s="3"/>
      <c r="W248" s="3"/>
    </row>
    <row r="249" spans="15:23">
      <c r="O249" s="35"/>
      <c r="P249" s="35"/>
      <c r="Q249" s="35"/>
      <c r="R249" s="3"/>
      <c r="S249" s="35"/>
      <c r="T249" s="35"/>
      <c r="U249" s="35"/>
      <c r="V249" s="3"/>
      <c r="W249" s="3"/>
    </row>
    <row r="250" spans="15:23">
      <c r="O250" s="35"/>
      <c r="P250" s="35"/>
      <c r="Q250" s="35"/>
      <c r="R250" s="3"/>
      <c r="S250" s="35"/>
      <c r="T250" s="35"/>
      <c r="U250" s="35"/>
      <c r="V250" s="3"/>
      <c r="W250" s="3"/>
    </row>
    <row r="251" spans="15:23">
      <c r="O251" s="35"/>
      <c r="P251" s="35"/>
      <c r="Q251" s="35"/>
      <c r="R251" s="3"/>
      <c r="S251" s="35"/>
      <c r="T251" s="35"/>
      <c r="U251" s="35"/>
      <c r="V251" s="3"/>
      <c r="W251" s="3"/>
    </row>
    <row r="252" spans="15:23">
      <c r="O252" s="35"/>
      <c r="P252" s="35"/>
      <c r="Q252" s="35"/>
      <c r="R252" s="3"/>
      <c r="S252" s="35"/>
      <c r="T252" s="35"/>
      <c r="U252" s="35"/>
      <c r="V252" s="3"/>
      <c r="W252" s="3"/>
    </row>
    <row r="253" spans="15:23">
      <c r="O253" s="35"/>
      <c r="P253" s="35"/>
      <c r="Q253" s="35"/>
      <c r="R253" s="3"/>
      <c r="S253" s="35"/>
      <c r="T253" s="35"/>
      <c r="U253" s="35"/>
      <c r="V253" s="3"/>
      <c r="W253" s="3"/>
    </row>
    <row r="254" spans="15:23">
      <c r="O254" s="35"/>
      <c r="P254" s="35"/>
      <c r="Q254" s="35"/>
      <c r="R254" s="3"/>
      <c r="S254" s="35"/>
      <c r="T254" s="35"/>
      <c r="U254" s="35"/>
      <c r="V254" s="3"/>
      <c r="W254" s="3"/>
    </row>
    <row r="255" spans="15:23">
      <c r="O255" s="35"/>
      <c r="P255" s="35"/>
      <c r="Q255" s="35"/>
      <c r="R255" s="3"/>
      <c r="S255" s="35"/>
      <c r="T255" s="35"/>
      <c r="U255" s="35"/>
      <c r="V255" s="3"/>
      <c r="W255" s="3"/>
    </row>
    <row r="256" spans="15:23">
      <c r="O256" s="35"/>
      <c r="P256" s="35"/>
      <c r="Q256" s="35"/>
      <c r="R256" s="3"/>
      <c r="S256" s="35"/>
      <c r="T256" s="35"/>
      <c r="U256" s="35"/>
      <c r="V256" s="3"/>
      <c r="W256" s="3"/>
    </row>
    <row r="257" spans="15:23">
      <c r="O257" s="35"/>
      <c r="P257" s="35"/>
      <c r="Q257" s="35"/>
      <c r="R257" s="3"/>
      <c r="S257" s="35"/>
      <c r="T257" s="35"/>
      <c r="U257" s="35"/>
      <c r="V257" s="3"/>
      <c r="W257" s="3"/>
    </row>
    <row r="258" spans="15:23">
      <c r="O258" s="35"/>
      <c r="P258" s="35"/>
      <c r="Q258" s="35"/>
      <c r="R258" s="3"/>
      <c r="S258" s="35"/>
      <c r="T258" s="35"/>
      <c r="U258" s="35"/>
      <c r="V258" s="3"/>
      <c r="W258" s="3"/>
    </row>
    <row r="259" spans="15:23">
      <c r="O259" s="35"/>
      <c r="P259" s="35"/>
      <c r="Q259" s="35"/>
      <c r="R259" s="3"/>
      <c r="S259" s="35"/>
      <c r="T259" s="35"/>
      <c r="U259" s="35"/>
      <c r="V259" s="3"/>
      <c r="W259" s="3"/>
    </row>
    <row r="260" spans="15:23">
      <c r="O260" s="35"/>
      <c r="P260" s="35"/>
      <c r="Q260" s="35"/>
      <c r="R260" s="3"/>
      <c r="S260" s="35"/>
      <c r="T260" s="35"/>
      <c r="U260" s="35"/>
      <c r="V260" s="3"/>
      <c r="W260" s="3"/>
    </row>
    <row r="261" spans="15:23">
      <c r="O261" s="35"/>
      <c r="P261" s="35"/>
      <c r="Q261" s="35"/>
      <c r="R261" s="3"/>
      <c r="S261" s="35"/>
      <c r="T261" s="35"/>
      <c r="U261" s="35"/>
      <c r="V261" s="3"/>
      <c r="W261" s="3"/>
    </row>
    <row r="262" spans="15:23">
      <c r="O262" s="35"/>
      <c r="P262" s="35"/>
      <c r="Q262" s="35"/>
      <c r="R262" s="3"/>
      <c r="S262" s="35"/>
      <c r="T262" s="35"/>
      <c r="U262" s="35"/>
      <c r="V262" s="3"/>
      <c r="W262" s="3"/>
    </row>
    <row r="263" spans="15:23">
      <c r="O263" s="35"/>
      <c r="P263" s="35"/>
      <c r="Q263" s="35"/>
      <c r="R263" s="3"/>
      <c r="S263" s="35"/>
      <c r="T263" s="35"/>
      <c r="U263" s="35"/>
      <c r="V263" s="3"/>
      <c r="W263" s="3"/>
    </row>
    <row r="264" spans="15:23">
      <c r="O264" s="35"/>
      <c r="P264" s="35"/>
      <c r="Q264" s="35"/>
      <c r="R264" s="3"/>
      <c r="S264" s="35"/>
      <c r="T264" s="35"/>
      <c r="U264" s="35"/>
      <c r="V264" s="3"/>
      <c r="W264" s="3"/>
    </row>
    <row r="265" spans="15:23">
      <c r="O265" s="35"/>
      <c r="P265" s="35"/>
      <c r="Q265" s="35"/>
      <c r="R265" s="3"/>
      <c r="S265" s="35"/>
      <c r="T265" s="35"/>
      <c r="U265" s="35"/>
      <c r="V265" s="3"/>
      <c r="W265" s="3"/>
    </row>
    <row r="266" spans="15:23">
      <c r="O266" s="35"/>
      <c r="P266" s="35"/>
      <c r="Q266" s="35"/>
      <c r="R266" s="3"/>
      <c r="S266" s="35"/>
      <c r="T266" s="35"/>
      <c r="U266" s="35"/>
      <c r="V266" s="3"/>
      <c r="W266" s="3"/>
    </row>
    <row r="267" spans="15:23">
      <c r="O267" s="35"/>
      <c r="P267" s="35"/>
      <c r="Q267" s="35"/>
      <c r="R267" s="3"/>
      <c r="S267" s="35"/>
      <c r="T267" s="35"/>
      <c r="U267" s="35"/>
      <c r="V267" s="3"/>
      <c r="W267" s="3"/>
    </row>
    <row r="268" spans="15:23">
      <c r="O268" s="35"/>
      <c r="P268" s="35"/>
      <c r="Q268" s="35"/>
      <c r="R268" s="3"/>
      <c r="S268" s="35"/>
      <c r="T268" s="35"/>
      <c r="U268" s="35"/>
      <c r="V268" s="3"/>
      <c r="W268" s="3"/>
    </row>
    <row r="269" spans="15:23">
      <c r="O269" s="35"/>
      <c r="P269" s="35"/>
      <c r="Q269" s="35"/>
      <c r="R269" s="3"/>
      <c r="S269" s="35"/>
      <c r="T269" s="35"/>
      <c r="U269" s="35"/>
      <c r="V269" s="3"/>
      <c r="W269" s="3"/>
    </row>
    <row r="270" spans="15:23">
      <c r="O270" s="35"/>
      <c r="P270" s="35"/>
      <c r="Q270" s="35"/>
      <c r="R270" s="3"/>
      <c r="S270" s="35"/>
      <c r="T270" s="35"/>
      <c r="U270" s="35"/>
      <c r="V270" s="3"/>
      <c r="W270" s="3"/>
    </row>
    <row r="271" spans="15:23">
      <c r="O271" s="35"/>
      <c r="P271" s="35"/>
      <c r="Q271" s="35"/>
      <c r="R271" s="3"/>
      <c r="S271" s="35"/>
      <c r="T271" s="35"/>
      <c r="U271" s="35"/>
      <c r="V271" s="3"/>
      <c r="W271" s="3"/>
    </row>
    <row r="272" spans="15:23">
      <c r="O272" s="35"/>
      <c r="P272" s="35"/>
      <c r="Q272" s="35"/>
      <c r="R272" s="3"/>
      <c r="S272" s="35"/>
      <c r="T272" s="35"/>
      <c r="U272" s="35"/>
      <c r="V272" s="3"/>
      <c r="W272" s="3"/>
    </row>
    <row r="273" spans="15:23">
      <c r="O273" s="35"/>
      <c r="P273" s="35"/>
      <c r="Q273" s="35"/>
      <c r="R273" s="3"/>
      <c r="S273" s="35"/>
      <c r="T273" s="35"/>
      <c r="U273" s="35"/>
      <c r="V273" s="3"/>
      <c r="W273" s="3"/>
    </row>
    <row r="274" spans="15:23">
      <c r="O274" s="35"/>
      <c r="P274" s="35"/>
      <c r="Q274" s="35"/>
      <c r="R274" s="3"/>
      <c r="S274" s="35"/>
      <c r="T274" s="35"/>
      <c r="U274" s="35"/>
      <c r="V274" s="3"/>
      <c r="W274" s="3"/>
    </row>
    <row r="275" spans="15:23">
      <c r="O275" s="35"/>
      <c r="P275" s="35"/>
      <c r="Q275" s="35"/>
      <c r="R275" s="3"/>
      <c r="S275" s="35"/>
      <c r="T275" s="35"/>
      <c r="U275" s="35"/>
      <c r="V275" s="3"/>
      <c r="W275" s="3"/>
    </row>
    <row r="276" spans="15:23">
      <c r="O276" s="35"/>
      <c r="P276" s="35"/>
      <c r="Q276" s="35"/>
      <c r="R276" s="3"/>
      <c r="S276" s="35"/>
      <c r="T276" s="35"/>
      <c r="U276" s="35"/>
      <c r="V276" s="3"/>
      <c r="W276" s="3"/>
    </row>
    <row r="277" spans="15:23">
      <c r="O277" s="35"/>
      <c r="P277" s="35"/>
      <c r="Q277" s="35"/>
      <c r="R277" s="3"/>
      <c r="S277" s="35"/>
      <c r="T277" s="35"/>
      <c r="U277" s="35"/>
      <c r="V277" s="3"/>
      <c r="W277" s="3"/>
    </row>
    <row r="278" spans="15:23">
      <c r="O278" s="35"/>
      <c r="P278" s="35"/>
      <c r="Q278" s="35"/>
      <c r="R278" s="3"/>
      <c r="S278" s="35"/>
      <c r="T278" s="35"/>
      <c r="U278" s="35"/>
      <c r="V278" s="3"/>
      <c r="W278" s="3"/>
    </row>
    <row r="279" spans="15:23">
      <c r="O279" s="35"/>
      <c r="P279" s="35"/>
      <c r="Q279" s="35"/>
      <c r="R279" s="3"/>
      <c r="S279" s="35"/>
      <c r="T279" s="35"/>
      <c r="U279" s="35"/>
      <c r="V279" s="3"/>
      <c r="W279" s="3"/>
    </row>
    <row r="280" spans="15:23">
      <c r="O280" s="35"/>
      <c r="P280" s="35"/>
      <c r="Q280" s="35"/>
      <c r="R280" s="3"/>
      <c r="S280" s="35"/>
      <c r="T280" s="35"/>
      <c r="U280" s="35"/>
      <c r="V280" s="3"/>
      <c r="W280" s="3"/>
    </row>
    <row r="281" spans="15:23">
      <c r="O281" s="35"/>
      <c r="P281" s="35"/>
      <c r="Q281" s="35"/>
      <c r="R281" s="3"/>
      <c r="S281" s="35"/>
      <c r="T281" s="35"/>
      <c r="U281" s="35"/>
      <c r="V281" s="3"/>
      <c r="W281" s="3"/>
    </row>
    <row r="282" spans="15:23">
      <c r="O282" s="35"/>
      <c r="P282" s="35"/>
      <c r="Q282" s="35"/>
      <c r="R282" s="3"/>
      <c r="S282" s="35"/>
      <c r="T282" s="35"/>
      <c r="U282" s="35"/>
      <c r="V282" s="3"/>
      <c r="W282" s="3"/>
    </row>
    <row r="283" spans="15:23">
      <c r="O283" s="35"/>
      <c r="P283" s="35"/>
      <c r="Q283" s="35"/>
      <c r="R283" s="3"/>
      <c r="S283" s="35"/>
      <c r="T283" s="35"/>
      <c r="U283" s="35"/>
      <c r="V283" s="3"/>
      <c r="W283" s="3"/>
    </row>
    <row r="284" spans="15:23">
      <c r="O284" s="35"/>
      <c r="P284" s="35"/>
      <c r="Q284" s="35"/>
      <c r="R284" s="3"/>
      <c r="S284" s="35"/>
      <c r="T284" s="35"/>
      <c r="U284" s="35"/>
      <c r="V284" s="3"/>
      <c r="W284" s="3"/>
    </row>
    <row r="285" spans="15:23">
      <c r="O285" s="35"/>
      <c r="P285" s="35"/>
      <c r="Q285" s="35"/>
      <c r="R285" s="3"/>
      <c r="S285" s="35"/>
      <c r="T285" s="35"/>
      <c r="U285" s="35"/>
      <c r="V285" s="3"/>
      <c r="W285" s="3"/>
    </row>
    <row r="286" spans="15:23">
      <c r="O286" s="35"/>
      <c r="P286" s="35"/>
      <c r="Q286" s="35"/>
      <c r="R286" s="3"/>
      <c r="S286" s="35"/>
      <c r="T286" s="35"/>
      <c r="U286" s="35"/>
      <c r="V286" s="3"/>
      <c r="W286" s="3"/>
    </row>
    <row r="287" spans="15:23">
      <c r="O287" s="35"/>
      <c r="P287" s="35"/>
      <c r="Q287" s="35"/>
      <c r="R287" s="3"/>
      <c r="S287" s="35"/>
      <c r="T287" s="35"/>
      <c r="U287" s="35"/>
      <c r="V287" s="3"/>
      <c r="W287" s="3"/>
    </row>
    <row r="288" spans="15:23">
      <c r="O288" s="35"/>
      <c r="P288" s="35"/>
      <c r="Q288" s="35"/>
      <c r="R288" s="3"/>
      <c r="S288" s="35"/>
      <c r="T288" s="35"/>
      <c r="U288" s="35"/>
      <c r="V288" s="3"/>
      <c r="W288" s="3"/>
    </row>
    <row r="289" spans="15:23">
      <c r="O289" s="35"/>
      <c r="P289" s="35"/>
      <c r="Q289" s="35"/>
      <c r="R289" s="3"/>
      <c r="S289" s="35"/>
      <c r="T289" s="35"/>
      <c r="U289" s="35"/>
      <c r="V289" s="3"/>
      <c r="W289" s="3"/>
    </row>
    <row r="290" spans="15:23">
      <c r="O290" s="35"/>
      <c r="P290" s="35"/>
      <c r="Q290" s="35"/>
      <c r="R290" s="3"/>
      <c r="S290" s="35"/>
      <c r="T290" s="35"/>
      <c r="U290" s="35"/>
      <c r="V290" s="3"/>
      <c r="W290" s="3"/>
    </row>
    <row r="291" spans="15:23">
      <c r="O291" s="35"/>
      <c r="P291" s="35"/>
      <c r="Q291" s="35"/>
      <c r="R291" s="3"/>
      <c r="S291" s="35"/>
      <c r="T291" s="35"/>
      <c r="U291" s="35"/>
      <c r="V291" s="3"/>
      <c r="W291" s="3"/>
    </row>
    <row r="292" spans="15:23">
      <c r="O292" s="35"/>
      <c r="P292" s="35"/>
      <c r="Q292" s="35"/>
      <c r="R292" s="3"/>
      <c r="S292" s="35"/>
      <c r="T292" s="35"/>
      <c r="U292" s="35"/>
      <c r="V292" s="3"/>
      <c r="W292" s="3"/>
    </row>
    <row r="293" spans="15:23">
      <c r="O293" s="35"/>
      <c r="P293" s="35"/>
      <c r="Q293" s="35"/>
      <c r="R293" s="3"/>
      <c r="S293" s="35"/>
      <c r="T293" s="35"/>
      <c r="U293" s="35"/>
      <c r="V293" s="3"/>
      <c r="W293" s="3"/>
    </row>
    <row r="294" spans="15:23">
      <c r="O294" s="35"/>
      <c r="P294" s="35"/>
      <c r="Q294" s="35"/>
      <c r="R294" s="3"/>
      <c r="S294" s="35"/>
      <c r="T294" s="35"/>
      <c r="U294" s="35"/>
      <c r="V294" s="3"/>
      <c r="W294" s="3"/>
    </row>
    <row r="295" spans="15:23">
      <c r="O295" s="35"/>
      <c r="P295" s="35"/>
      <c r="Q295" s="35"/>
      <c r="R295" s="3"/>
      <c r="S295" s="35"/>
      <c r="T295" s="35"/>
      <c r="U295" s="35"/>
      <c r="V295" s="3"/>
      <c r="W295" s="3"/>
    </row>
    <row r="296" spans="15:23">
      <c r="O296" s="35"/>
      <c r="P296" s="35"/>
      <c r="Q296" s="35"/>
      <c r="R296" s="3"/>
      <c r="S296" s="35"/>
      <c r="T296" s="35"/>
      <c r="U296" s="35"/>
      <c r="V296" s="3"/>
      <c r="W296" s="3"/>
    </row>
    <row r="297" spans="15:23">
      <c r="O297" s="35"/>
      <c r="P297" s="35"/>
      <c r="Q297" s="35"/>
      <c r="R297" s="3"/>
      <c r="S297" s="35"/>
      <c r="T297" s="35"/>
      <c r="U297" s="35"/>
      <c r="V297" s="3"/>
      <c r="W297" s="3"/>
    </row>
    <row r="298" spans="15:23">
      <c r="O298" s="35"/>
      <c r="P298" s="35"/>
      <c r="Q298" s="35"/>
      <c r="R298" s="3"/>
      <c r="S298" s="35"/>
      <c r="T298" s="35"/>
      <c r="U298" s="35"/>
      <c r="V298" s="3"/>
      <c r="W298" s="3"/>
    </row>
    <row r="299" spans="15:23">
      <c r="O299" s="35"/>
      <c r="P299" s="35"/>
      <c r="Q299" s="35"/>
      <c r="R299" s="3"/>
      <c r="S299" s="35"/>
      <c r="T299" s="35"/>
      <c r="U299" s="35"/>
      <c r="V299" s="3"/>
      <c r="W299" s="3"/>
    </row>
    <row r="300" spans="15:23">
      <c r="O300" s="35"/>
      <c r="P300" s="35"/>
      <c r="Q300" s="35"/>
      <c r="R300" s="3"/>
      <c r="S300" s="35"/>
      <c r="T300" s="35"/>
      <c r="U300" s="35"/>
      <c r="V300" s="3"/>
      <c r="W300" s="3"/>
    </row>
    <row r="301" spans="15:23">
      <c r="O301" s="35"/>
      <c r="P301" s="35"/>
      <c r="Q301" s="35"/>
      <c r="R301" s="3"/>
      <c r="S301" s="35"/>
      <c r="T301" s="35"/>
      <c r="U301" s="35"/>
      <c r="V301" s="3"/>
      <c r="W301" s="3"/>
    </row>
    <row r="302" spans="15:23">
      <c r="O302" s="35"/>
      <c r="P302" s="35"/>
      <c r="Q302" s="35"/>
      <c r="R302" s="3"/>
      <c r="S302" s="35"/>
      <c r="T302" s="35"/>
      <c r="U302" s="35"/>
      <c r="V302" s="3"/>
      <c r="W302" s="3"/>
    </row>
    <row r="303" spans="15:23">
      <c r="O303" s="35"/>
      <c r="P303" s="35"/>
      <c r="Q303" s="35"/>
      <c r="R303" s="3"/>
      <c r="S303" s="35"/>
      <c r="T303" s="35"/>
      <c r="U303" s="35"/>
      <c r="V303" s="3"/>
      <c r="W303" s="3"/>
    </row>
    <row r="304" spans="15:23">
      <c r="O304" s="35"/>
      <c r="P304" s="35"/>
      <c r="Q304" s="35"/>
      <c r="R304" s="3"/>
      <c r="S304" s="35"/>
      <c r="T304" s="35"/>
      <c r="U304" s="35"/>
      <c r="V304" s="3"/>
      <c r="W304" s="3"/>
    </row>
    <row r="305" spans="15:23">
      <c r="O305" s="35"/>
      <c r="P305" s="35"/>
      <c r="Q305" s="35"/>
      <c r="R305" s="3"/>
      <c r="S305" s="35"/>
      <c r="T305" s="35"/>
      <c r="U305" s="35"/>
      <c r="V305" s="3"/>
      <c r="W305" s="3"/>
    </row>
    <row r="306" spans="15:23">
      <c r="O306" s="35"/>
      <c r="P306" s="35"/>
      <c r="Q306" s="35"/>
      <c r="R306" s="3"/>
      <c r="S306" s="35"/>
      <c r="T306" s="35"/>
      <c r="U306" s="35"/>
      <c r="V306" s="3"/>
      <c r="W306" s="3"/>
    </row>
    <row r="307" spans="15:23">
      <c r="O307" s="35"/>
      <c r="P307" s="35"/>
      <c r="Q307" s="35"/>
      <c r="R307" s="3"/>
      <c r="S307" s="35"/>
      <c r="T307" s="35"/>
      <c r="U307" s="35"/>
      <c r="V307" s="3"/>
      <c r="W307" s="3"/>
    </row>
    <row r="308" spans="15:23">
      <c r="O308" s="35"/>
      <c r="P308" s="35"/>
      <c r="Q308" s="35"/>
      <c r="R308" s="3"/>
      <c r="S308" s="35"/>
      <c r="T308" s="35"/>
      <c r="U308" s="35"/>
      <c r="V308" s="3"/>
      <c r="W308" s="3"/>
    </row>
    <row r="309" spans="15:23">
      <c r="O309" s="35"/>
      <c r="P309" s="35"/>
      <c r="Q309" s="35"/>
      <c r="R309" s="3"/>
      <c r="S309" s="35"/>
      <c r="T309" s="35"/>
      <c r="U309" s="35"/>
      <c r="V309" s="3"/>
      <c r="W309" s="3"/>
    </row>
    <row r="310" spans="15:23">
      <c r="O310" s="35"/>
      <c r="P310" s="35"/>
      <c r="Q310" s="35"/>
      <c r="R310" s="3"/>
      <c r="S310" s="35"/>
      <c r="T310" s="35"/>
      <c r="U310" s="35"/>
      <c r="V310" s="3"/>
      <c r="W310" s="3"/>
    </row>
    <row r="311" spans="15:23">
      <c r="O311" s="35"/>
      <c r="P311" s="35"/>
      <c r="Q311" s="35"/>
      <c r="R311" s="3"/>
      <c r="S311" s="35"/>
      <c r="T311" s="35"/>
      <c r="U311" s="35"/>
      <c r="V311" s="3"/>
      <c r="W311" s="3"/>
    </row>
    <row r="312" spans="15:23">
      <c r="O312" s="35"/>
      <c r="P312" s="35"/>
      <c r="Q312" s="35"/>
      <c r="R312" s="3"/>
      <c r="S312" s="35"/>
      <c r="T312" s="35"/>
      <c r="U312" s="35"/>
      <c r="V312" s="3"/>
      <c r="W312" s="3"/>
    </row>
    <row r="313" spans="15:23">
      <c r="O313" s="35"/>
      <c r="P313" s="35"/>
      <c r="Q313" s="35"/>
      <c r="R313" s="3"/>
      <c r="S313" s="35"/>
      <c r="T313" s="35"/>
      <c r="U313" s="35"/>
      <c r="V313" s="3"/>
      <c r="W313" s="3"/>
    </row>
    <row r="314" spans="15:23">
      <c r="O314" s="35"/>
      <c r="P314" s="35"/>
      <c r="Q314" s="35"/>
      <c r="R314" s="3"/>
      <c r="S314" s="35"/>
      <c r="T314" s="35"/>
      <c r="U314" s="35"/>
      <c r="V314" s="3"/>
      <c r="W314" s="3"/>
    </row>
    <row r="315" spans="15:23">
      <c r="O315" s="35"/>
      <c r="P315" s="35"/>
      <c r="Q315" s="35"/>
      <c r="R315" s="3"/>
      <c r="S315" s="35"/>
      <c r="T315" s="35"/>
      <c r="U315" s="35"/>
      <c r="V315" s="3"/>
      <c r="W315" s="3"/>
    </row>
    <row r="316" spans="15:23">
      <c r="O316" s="35"/>
      <c r="P316" s="35"/>
      <c r="Q316" s="35"/>
      <c r="R316" s="3"/>
      <c r="S316" s="35"/>
      <c r="T316" s="35"/>
      <c r="U316" s="35"/>
      <c r="V316" s="3"/>
      <c r="W316" s="3"/>
    </row>
    <row r="317" spans="15:23">
      <c r="O317" s="35"/>
      <c r="P317" s="35"/>
      <c r="Q317" s="35"/>
      <c r="R317" s="3"/>
      <c r="S317" s="35"/>
      <c r="T317" s="35"/>
      <c r="U317" s="35"/>
      <c r="V317" s="3"/>
      <c r="W317" s="3"/>
    </row>
    <row r="318" spans="15:23">
      <c r="O318" s="35"/>
      <c r="P318" s="35"/>
      <c r="Q318" s="35"/>
      <c r="R318" s="3"/>
      <c r="S318" s="35"/>
      <c r="T318" s="35"/>
      <c r="U318" s="35"/>
      <c r="V318" s="3"/>
      <c r="W318" s="3"/>
    </row>
    <row r="319" spans="15:23">
      <c r="O319" s="35"/>
      <c r="P319" s="35"/>
      <c r="Q319" s="35"/>
      <c r="R319" s="3"/>
      <c r="S319" s="35"/>
      <c r="T319" s="35"/>
      <c r="U319" s="35"/>
      <c r="V319" s="3"/>
      <c r="W319" s="3"/>
    </row>
    <row r="320" spans="15:23">
      <c r="O320" s="35"/>
      <c r="P320" s="35"/>
      <c r="Q320" s="35"/>
      <c r="R320" s="3"/>
      <c r="S320" s="35"/>
      <c r="T320" s="35"/>
      <c r="U320" s="35"/>
      <c r="V320" s="3"/>
      <c r="W320" s="3"/>
    </row>
    <row r="321" spans="15:23">
      <c r="O321" s="35"/>
      <c r="P321" s="35"/>
      <c r="Q321" s="35"/>
      <c r="R321" s="3"/>
      <c r="S321" s="35"/>
      <c r="T321" s="35"/>
      <c r="U321" s="35"/>
      <c r="V321" s="3"/>
      <c r="W321" s="3"/>
    </row>
    <row r="322" spans="15:23">
      <c r="O322" s="35"/>
      <c r="P322" s="35"/>
      <c r="Q322" s="35"/>
      <c r="R322" s="3"/>
      <c r="S322" s="35"/>
      <c r="T322" s="35"/>
      <c r="U322" s="35"/>
      <c r="V322" s="3"/>
      <c r="W322" s="3"/>
    </row>
    <row r="323" spans="15:23">
      <c r="O323" s="35"/>
      <c r="P323" s="35"/>
      <c r="Q323" s="35"/>
      <c r="R323" s="3"/>
      <c r="S323" s="35"/>
      <c r="T323" s="35"/>
      <c r="U323" s="35"/>
      <c r="V323" s="3"/>
      <c r="W323" s="3"/>
    </row>
    <row r="324" spans="15:23">
      <c r="O324" s="35"/>
      <c r="P324" s="35"/>
      <c r="Q324" s="35"/>
      <c r="R324" s="3"/>
      <c r="S324" s="35"/>
      <c r="T324" s="35"/>
      <c r="U324" s="35"/>
      <c r="V324" s="3"/>
      <c r="W324" s="3"/>
    </row>
    <row r="325" spans="15:23">
      <c r="O325" s="35"/>
      <c r="P325" s="35"/>
      <c r="Q325" s="35"/>
      <c r="R325" s="3"/>
      <c r="S325" s="35"/>
      <c r="T325" s="35"/>
      <c r="U325" s="35"/>
      <c r="V325" s="3"/>
      <c r="W325" s="3"/>
    </row>
    <row r="326" spans="15:23">
      <c r="O326" s="35"/>
      <c r="P326" s="35"/>
      <c r="Q326" s="35"/>
      <c r="R326" s="3"/>
      <c r="S326" s="35"/>
      <c r="T326" s="35"/>
      <c r="U326" s="35"/>
      <c r="V326" s="3"/>
      <c r="W326" s="3"/>
    </row>
    <row r="327" spans="15:23">
      <c r="O327" s="35"/>
      <c r="P327" s="35"/>
      <c r="Q327" s="35"/>
      <c r="R327" s="3"/>
      <c r="S327" s="35"/>
      <c r="T327" s="35"/>
      <c r="U327" s="35"/>
      <c r="V327" s="3"/>
      <c r="W327" s="3"/>
    </row>
    <row r="328" spans="15:23">
      <c r="O328" s="35"/>
      <c r="P328" s="35"/>
      <c r="Q328" s="35"/>
      <c r="R328" s="3"/>
      <c r="S328" s="35"/>
      <c r="T328" s="35"/>
      <c r="U328" s="35"/>
      <c r="V328" s="3"/>
      <c r="W328" s="3"/>
    </row>
    <row r="329" spans="15:23">
      <c r="O329" s="35"/>
      <c r="P329" s="35"/>
      <c r="Q329" s="35"/>
      <c r="R329" s="3"/>
      <c r="S329" s="35"/>
      <c r="T329" s="35"/>
      <c r="U329" s="35"/>
      <c r="V329" s="3"/>
      <c r="W329" s="3"/>
    </row>
    <row r="330" spans="15:23">
      <c r="O330" s="35"/>
      <c r="P330" s="35"/>
      <c r="Q330" s="35"/>
      <c r="R330" s="3"/>
      <c r="S330" s="35"/>
      <c r="T330" s="35"/>
      <c r="U330" s="35"/>
      <c r="V330" s="3"/>
      <c r="W330" s="3"/>
    </row>
    <row r="331" spans="15:23">
      <c r="O331" s="35"/>
      <c r="P331" s="35"/>
      <c r="Q331" s="35"/>
      <c r="R331" s="3"/>
      <c r="S331" s="35"/>
      <c r="T331" s="35"/>
      <c r="U331" s="35"/>
      <c r="V331" s="3"/>
      <c r="W331" s="3"/>
    </row>
    <row r="332" spans="15:23">
      <c r="O332" s="35"/>
      <c r="P332" s="35"/>
      <c r="Q332" s="35"/>
      <c r="R332" s="3"/>
      <c r="S332" s="35"/>
      <c r="T332" s="35"/>
      <c r="U332" s="35"/>
      <c r="V332" s="3"/>
      <c r="W332" s="3"/>
    </row>
    <row r="333" spans="15:23">
      <c r="O333" s="35"/>
      <c r="P333" s="35"/>
      <c r="Q333" s="35"/>
      <c r="R333" s="3"/>
      <c r="S333" s="35"/>
      <c r="T333" s="35"/>
      <c r="U333" s="35"/>
      <c r="V333" s="3"/>
      <c r="W333" s="3"/>
    </row>
    <row r="334" spans="15:23">
      <c r="O334" s="35"/>
      <c r="P334" s="35"/>
      <c r="Q334" s="35"/>
      <c r="R334" s="3"/>
      <c r="S334" s="35"/>
      <c r="T334" s="35"/>
      <c r="U334" s="35"/>
      <c r="V334" s="3"/>
      <c r="W334" s="3"/>
    </row>
    <row r="335" spans="15:23">
      <c r="O335" s="35"/>
      <c r="P335" s="35"/>
      <c r="Q335" s="35"/>
      <c r="R335" s="3"/>
      <c r="S335" s="35"/>
      <c r="T335" s="35"/>
      <c r="U335" s="35"/>
      <c r="V335" s="3"/>
      <c r="W335" s="3"/>
    </row>
    <row r="336" spans="15:23">
      <c r="O336" s="35"/>
      <c r="P336" s="35"/>
      <c r="Q336" s="35"/>
      <c r="R336" s="3"/>
      <c r="S336" s="35"/>
      <c r="T336" s="35"/>
      <c r="U336" s="35"/>
      <c r="V336" s="3"/>
      <c r="W336" s="3"/>
    </row>
    <row r="337" spans="15:23">
      <c r="O337" s="35"/>
      <c r="P337" s="35"/>
      <c r="Q337" s="35"/>
      <c r="R337" s="3"/>
      <c r="S337" s="35"/>
      <c r="T337" s="35"/>
      <c r="U337" s="35"/>
      <c r="V337" s="3"/>
      <c r="W337" s="3"/>
    </row>
    <row r="338" spans="15:23">
      <c r="O338" s="35"/>
      <c r="P338" s="35"/>
      <c r="Q338" s="35"/>
      <c r="R338" s="3"/>
      <c r="S338" s="35"/>
      <c r="T338" s="35"/>
      <c r="U338" s="35"/>
      <c r="V338" s="3"/>
      <c r="W338" s="3"/>
    </row>
    <row r="339" spans="15:23">
      <c r="O339" s="35"/>
      <c r="P339" s="35"/>
      <c r="Q339" s="35"/>
      <c r="R339" s="3"/>
      <c r="S339" s="35"/>
      <c r="T339" s="35"/>
      <c r="U339" s="35"/>
      <c r="V339" s="3"/>
      <c r="W339" s="3"/>
    </row>
    <row r="340" spans="15:23">
      <c r="O340" s="35"/>
      <c r="P340" s="35"/>
      <c r="Q340" s="35"/>
      <c r="R340" s="3"/>
      <c r="S340" s="35"/>
      <c r="T340" s="35"/>
      <c r="U340" s="35"/>
      <c r="V340" s="3"/>
      <c r="W340" s="3"/>
    </row>
    <row r="341" spans="15:23">
      <c r="O341" s="35"/>
      <c r="P341" s="35"/>
      <c r="Q341" s="35"/>
      <c r="R341" s="3"/>
      <c r="S341" s="35"/>
      <c r="T341" s="35"/>
      <c r="U341" s="35"/>
      <c r="V341" s="3"/>
      <c r="W341" s="3"/>
    </row>
    <row r="342" spans="15:23">
      <c r="O342" s="35"/>
      <c r="P342" s="35"/>
      <c r="Q342" s="35"/>
      <c r="R342" s="3"/>
      <c r="S342" s="35"/>
      <c r="T342" s="35"/>
      <c r="U342" s="35"/>
      <c r="V342" s="3"/>
      <c r="W342" s="3"/>
    </row>
    <row r="343" spans="15:23">
      <c r="O343" s="35"/>
      <c r="P343" s="35"/>
      <c r="Q343" s="35"/>
      <c r="R343" s="3"/>
      <c r="S343" s="35"/>
      <c r="T343" s="35"/>
      <c r="U343" s="35"/>
      <c r="V343" s="3"/>
      <c r="W343" s="3"/>
    </row>
    <row r="344" spans="15:23">
      <c r="O344" s="35"/>
      <c r="P344" s="35"/>
      <c r="Q344" s="35"/>
      <c r="R344" s="3"/>
      <c r="S344" s="35"/>
      <c r="T344" s="35"/>
      <c r="U344" s="35"/>
      <c r="V344" s="3"/>
      <c r="W344" s="3"/>
    </row>
    <row r="345" spans="15:23">
      <c r="O345" s="35"/>
      <c r="P345" s="35"/>
      <c r="Q345" s="35"/>
      <c r="R345" s="3"/>
      <c r="S345" s="35"/>
      <c r="T345" s="35"/>
      <c r="U345" s="35"/>
      <c r="V345" s="3"/>
      <c r="W345" s="3"/>
    </row>
    <row r="346" spans="15:23">
      <c r="O346" s="35"/>
      <c r="P346" s="35"/>
      <c r="Q346" s="35"/>
      <c r="R346" s="3"/>
      <c r="S346" s="35"/>
      <c r="T346" s="35"/>
      <c r="U346" s="35"/>
      <c r="V346" s="3"/>
      <c r="W346" s="3"/>
    </row>
    <row r="347" spans="15:23">
      <c r="O347" s="35"/>
      <c r="P347" s="35"/>
      <c r="Q347" s="35"/>
      <c r="R347" s="3"/>
      <c r="S347" s="35"/>
      <c r="T347" s="35"/>
      <c r="U347" s="35"/>
      <c r="V347" s="3"/>
      <c r="W347" s="3"/>
    </row>
    <row r="348" spans="15:23">
      <c r="O348" s="35"/>
      <c r="P348" s="35"/>
      <c r="Q348" s="35"/>
      <c r="R348" s="3"/>
      <c r="S348" s="35"/>
      <c r="T348" s="35"/>
      <c r="U348" s="35"/>
      <c r="V348" s="3"/>
      <c r="W348" s="3"/>
    </row>
    <row r="349" spans="15:23">
      <c r="O349" s="35"/>
      <c r="P349" s="35"/>
      <c r="Q349" s="35"/>
      <c r="R349" s="3"/>
      <c r="S349" s="35"/>
      <c r="T349" s="35"/>
      <c r="U349" s="35"/>
      <c r="V349" s="3"/>
      <c r="W349" s="3"/>
    </row>
    <row r="350" spans="15:23">
      <c r="O350" s="35"/>
      <c r="P350" s="35"/>
      <c r="Q350" s="35"/>
      <c r="R350" s="3"/>
      <c r="S350" s="35"/>
      <c r="T350" s="35"/>
      <c r="U350" s="35"/>
      <c r="V350" s="3"/>
      <c r="W350" s="3"/>
    </row>
    <row r="351" spans="15:23">
      <c r="O351" s="35"/>
      <c r="P351" s="35"/>
      <c r="Q351" s="35"/>
      <c r="R351" s="3"/>
      <c r="S351" s="35"/>
      <c r="T351" s="35"/>
      <c r="U351" s="35"/>
      <c r="V351" s="3"/>
      <c r="W351" s="3"/>
    </row>
    <row r="352" spans="15:23">
      <c r="O352" s="35"/>
      <c r="P352" s="35"/>
      <c r="Q352" s="35"/>
      <c r="R352" s="3"/>
      <c r="S352" s="35"/>
      <c r="T352" s="35"/>
      <c r="U352" s="35"/>
      <c r="V352" s="3"/>
      <c r="W352" s="3"/>
    </row>
    <row r="353" spans="15:23">
      <c r="O353" s="35"/>
      <c r="P353" s="35"/>
      <c r="Q353" s="35"/>
      <c r="R353" s="3"/>
      <c r="S353" s="35"/>
      <c r="T353" s="35"/>
      <c r="U353" s="35"/>
      <c r="V353" s="3"/>
      <c r="W353" s="3"/>
    </row>
    <row r="354" spans="15:23">
      <c r="O354" s="35"/>
      <c r="P354" s="35"/>
      <c r="Q354" s="35"/>
      <c r="R354" s="3"/>
      <c r="S354" s="35"/>
      <c r="T354" s="35"/>
      <c r="U354" s="35"/>
      <c r="V354" s="3"/>
      <c r="W354" s="3"/>
    </row>
    <row r="355" spans="15:23">
      <c r="O355" s="35"/>
      <c r="P355" s="35"/>
      <c r="Q355" s="35"/>
      <c r="R355" s="3"/>
      <c r="S355" s="35"/>
      <c r="T355" s="35"/>
      <c r="U355" s="35"/>
      <c r="V355" s="3"/>
      <c r="W355" s="3"/>
    </row>
    <row r="356" spans="15:23">
      <c r="O356" s="35"/>
      <c r="P356" s="35"/>
      <c r="Q356" s="35"/>
      <c r="R356" s="3"/>
      <c r="S356" s="35"/>
      <c r="T356" s="35"/>
      <c r="U356" s="35"/>
      <c r="V356" s="3"/>
      <c r="W356" s="3"/>
    </row>
    <row r="357" spans="15:23">
      <c r="O357" s="35"/>
      <c r="P357" s="35"/>
      <c r="Q357" s="35"/>
      <c r="R357" s="3"/>
      <c r="S357" s="35"/>
      <c r="T357" s="35"/>
      <c r="U357" s="35"/>
      <c r="V357" s="3"/>
      <c r="W357" s="3"/>
    </row>
    <row r="358" spans="15:23">
      <c r="O358" s="35"/>
      <c r="P358" s="35"/>
      <c r="Q358" s="35"/>
      <c r="R358" s="3"/>
      <c r="S358" s="35"/>
      <c r="T358" s="35"/>
      <c r="U358" s="35"/>
      <c r="V358" s="3"/>
      <c r="W358" s="3"/>
    </row>
    <row r="359" spans="15:23">
      <c r="O359" s="35"/>
      <c r="P359" s="35"/>
      <c r="Q359" s="35"/>
      <c r="R359" s="3"/>
      <c r="S359" s="35"/>
      <c r="T359" s="35"/>
      <c r="U359" s="35"/>
      <c r="V359" s="3"/>
      <c r="W359" s="3"/>
    </row>
    <row r="360" spans="15:23">
      <c r="O360" s="35"/>
      <c r="P360" s="35"/>
      <c r="Q360" s="35"/>
      <c r="R360" s="3"/>
      <c r="S360" s="35"/>
      <c r="T360" s="35"/>
      <c r="U360" s="35"/>
      <c r="V360" s="3"/>
      <c r="W360" s="3"/>
    </row>
    <row r="361" spans="15:23">
      <c r="O361" s="35"/>
      <c r="P361" s="35"/>
      <c r="Q361" s="35"/>
      <c r="R361" s="3"/>
      <c r="S361" s="35"/>
      <c r="T361" s="35"/>
      <c r="U361" s="35"/>
      <c r="V361" s="3"/>
      <c r="W361" s="3"/>
    </row>
    <row r="362" spans="15:23">
      <c r="O362" s="35"/>
      <c r="P362" s="35"/>
      <c r="Q362" s="35"/>
      <c r="R362" s="3"/>
      <c r="S362" s="35"/>
      <c r="T362" s="35"/>
      <c r="U362" s="35"/>
      <c r="V362" s="3"/>
      <c r="W362" s="3"/>
    </row>
    <row r="363" spans="15:23">
      <c r="O363" s="35"/>
      <c r="P363" s="35"/>
      <c r="Q363" s="35"/>
      <c r="R363" s="3"/>
      <c r="S363" s="35"/>
      <c r="T363" s="35"/>
      <c r="U363" s="35"/>
      <c r="V363" s="3"/>
      <c r="W363" s="3"/>
    </row>
    <row r="364" spans="15:23">
      <c r="O364" s="35"/>
      <c r="P364" s="35"/>
      <c r="Q364" s="35"/>
      <c r="R364" s="3"/>
      <c r="S364" s="35"/>
      <c r="T364" s="35"/>
      <c r="U364" s="35"/>
      <c r="V364" s="3"/>
      <c r="W364" s="3"/>
    </row>
    <row r="365" spans="15:23">
      <c r="O365" s="35"/>
      <c r="P365" s="35"/>
      <c r="Q365" s="35"/>
      <c r="R365" s="3"/>
      <c r="S365" s="35"/>
      <c r="T365" s="35"/>
      <c r="U365" s="35"/>
      <c r="V365" s="3"/>
      <c r="W365" s="3"/>
    </row>
    <row r="366" spans="15:23">
      <c r="O366" s="35"/>
      <c r="P366" s="35"/>
      <c r="Q366" s="35"/>
      <c r="R366" s="3"/>
      <c r="S366" s="35"/>
      <c r="T366" s="35"/>
      <c r="U366" s="35"/>
      <c r="V366" s="3"/>
      <c r="W366" s="3"/>
    </row>
    <row r="367" spans="15:23">
      <c r="O367" s="35"/>
      <c r="P367" s="35"/>
      <c r="Q367" s="35"/>
      <c r="R367" s="3"/>
      <c r="S367" s="35"/>
      <c r="T367" s="35"/>
      <c r="U367" s="35"/>
      <c r="V367" s="3"/>
      <c r="W367" s="3"/>
    </row>
    <row r="368" spans="15:23">
      <c r="O368" s="35"/>
      <c r="P368" s="35"/>
      <c r="Q368" s="35"/>
      <c r="R368" s="3"/>
      <c r="S368" s="35"/>
      <c r="T368" s="35"/>
      <c r="U368" s="35"/>
      <c r="V368" s="3"/>
      <c r="W368" s="3"/>
    </row>
    <row r="369" spans="15:23">
      <c r="O369" s="35"/>
      <c r="P369" s="35"/>
      <c r="Q369" s="35"/>
      <c r="R369" s="3"/>
      <c r="S369" s="35"/>
      <c r="T369" s="35"/>
      <c r="U369" s="35"/>
      <c r="V369" s="3"/>
      <c r="W369" s="3"/>
    </row>
    <row r="370" spans="15:23">
      <c r="O370" s="35"/>
      <c r="P370" s="35"/>
      <c r="Q370" s="35"/>
      <c r="R370" s="3"/>
      <c r="S370" s="35"/>
      <c r="T370" s="35"/>
      <c r="U370" s="35"/>
      <c r="V370" s="3"/>
      <c r="W370" s="3"/>
    </row>
    <row r="371" spans="15:23">
      <c r="O371" s="35"/>
      <c r="P371" s="35"/>
      <c r="Q371" s="35"/>
      <c r="R371" s="3"/>
      <c r="S371" s="35"/>
      <c r="T371" s="35"/>
      <c r="U371" s="35"/>
      <c r="V371" s="3"/>
      <c r="W371" s="3"/>
    </row>
    <row r="372" spans="15:23">
      <c r="O372" s="35"/>
      <c r="P372" s="35"/>
      <c r="Q372" s="35"/>
      <c r="R372" s="3"/>
      <c r="S372" s="35"/>
      <c r="T372" s="35"/>
      <c r="U372" s="35"/>
      <c r="V372" s="3"/>
      <c r="W372" s="3"/>
    </row>
    <row r="373" spans="15:23">
      <c r="O373" s="35"/>
      <c r="P373" s="35"/>
      <c r="Q373" s="35"/>
      <c r="R373" s="3"/>
      <c r="S373" s="35"/>
      <c r="T373" s="35"/>
      <c r="U373" s="35"/>
      <c r="V373" s="3"/>
      <c r="W373" s="3"/>
    </row>
    <row r="374" spans="15:23">
      <c r="O374" s="35"/>
      <c r="P374" s="35"/>
      <c r="Q374" s="35"/>
      <c r="R374" s="3"/>
      <c r="S374" s="35"/>
      <c r="T374" s="35"/>
      <c r="U374" s="35"/>
      <c r="V374" s="3"/>
      <c r="W374" s="3"/>
    </row>
    <row r="375" spans="15:23">
      <c r="O375" s="35"/>
      <c r="P375" s="35"/>
      <c r="Q375" s="35"/>
      <c r="R375" s="3"/>
      <c r="S375" s="35"/>
      <c r="T375" s="35"/>
      <c r="U375" s="35"/>
      <c r="V375" s="3"/>
      <c r="W375" s="3"/>
    </row>
    <row r="376" spans="15:23">
      <c r="O376" s="35"/>
      <c r="P376" s="35"/>
      <c r="Q376" s="35"/>
      <c r="R376" s="3"/>
      <c r="S376" s="35"/>
      <c r="T376" s="35"/>
      <c r="U376" s="35"/>
      <c r="V376" s="3"/>
      <c r="W376" s="3"/>
    </row>
    <row r="377" spans="15:23">
      <c r="O377" s="35"/>
      <c r="P377" s="35"/>
      <c r="Q377" s="35"/>
      <c r="R377" s="3"/>
      <c r="S377" s="35"/>
      <c r="T377" s="35"/>
      <c r="U377" s="35"/>
      <c r="V377" s="3"/>
      <c r="W377" s="3"/>
    </row>
    <row r="378" spans="15:23">
      <c r="O378" s="35"/>
      <c r="P378" s="35"/>
      <c r="Q378" s="35"/>
      <c r="R378" s="3"/>
      <c r="S378" s="35"/>
      <c r="T378" s="35"/>
      <c r="U378" s="35"/>
      <c r="V378" s="3"/>
      <c r="W378" s="3"/>
    </row>
    <row r="379" spans="15:23">
      <c r="O379" s="35"/>
      <c r="P379" s="35"/>
      <c r="Q379" s="35"/>
      <c r="R379" s="3"/>
      <c r="S379" s="35"/>
      <c r="T379" s="35"/>
      <c r="U379" s="35"/>
      <c r="V379" s="3"/>
      <c r="W379" s="3"/>
    </row>
    <row r="380" spans="15:23">
      <c r="O380" s="35"/>
      <c r="P380" s="35"/>
      <c r="Q380" s="35"/>
      <c r="R380" s="3"/>
      <c r="S380" s="35"/>
      <c r="T380" s="35"/>
      <c r="U380" s="35"/>
      <c r="V380" s="3"/>
      <c r="W380" s="3"/>
    </row>
    <row r="381" spans="15:23">
      <c r="O381" s="35"/>
      <c r="P381" s="35"/>
      <c r="Q381" s="35"/>
      <c r="R381" s="3"/>
      <c r="S381" s="35"/>
      <c r="T381" s="35"/>
      <c r="U381" s="35"/>
      <c r="V381" s="3"/>
      <c r="W381" s="3"/>
    </row>
    <row r="382" spans="15:23">
      <c r="O382" s="35"/>
      <c r="P382" s="35"/>
      <c r="Q382" s="35"/>
      <c r="R382" s="3"/>
      <c r="S382" s="35"/>
      <c r="T382" s="35"/>
      <c r="U382" s="35"/>
      <c r="V382" s="3"/>
      <c r="W382" s="3"/>
    </row>
    <row r="383" spans="15:23">
      <c r="O383" s="35"/>
      <c r="P383" s="35"/>
      <c r="Q383" s="35"/>
      <c r="R383" s="3"/>
      <c r="S383" s="35"/>
      <c r="T383" s="35"/>
      <c r="U383" s="35"/>
      <c r="V383" s="3"/>
      <c r="W383" s="3"/>
    </row>
    <row r="384" spans="15:23">
      <c r="O384" s="35"/>
      <c r="P384" s="35"/>
      <c r="Q384" s="35"/>
      <c r="R384" s="3"/>
      <c r="S384" s="35"/>
      <c r="T384" s="35"/>
      <c r="U384" s="35"/>
      <c r="V384" s="3"/>
      <c r="W384" s="3"/>
    </row>
    <row r="385" spans="15:23">
      <c r="O385" s="35"/>
      <c r="P385" s="35"/>
      <c r="Q385" s="35"/>
      <c r="R385" s="3"/>
      <c r="S385" s="35"/>
      <c r="T385" s="35"/>
      <c r="U385" s="35"/>
      <c r="V385" s="3"/>
      <c r="W385" s="3"/>
    </row>
    <row r="386" spans="15:23">
      <c r="O386" s="35"/>
      <c r="P386" s="35"/>
      <c r="Q386" s="35"/>
      <c r="R386" s="3"/>
      <c r="S386" s="35"/>
      <c r="T386" s="35"/>
      <c r="U386" s="35"/>
      <c r="V386" s="3"/>
      <c r="W386" s="3"/>
    </row>
    <row r="387" spans="15:23">
      <c r="O387" s="35"/>
      <c r="P387" s="35"/>
      <c r="Q387" s="35"/>
      <c r="R387" s="3"/>
      <c r="S387" s="35"/>
      <c r="T387" s="35"/>
      <c r="U387" s="35"/>
      <c r="V387" s="3"/>
      <c r="W387" s="3"/>
    </row>
    <row r="388" spans="15:23">
      <c r="O388" s="35"/>
      <c r="P388" s="35"/>
      <c r="Q388" s="35"/>
      <c r="R388" s="3"/>
      <c r="S388" s="35"/>
      <c r="T388" s="35"/>
      <c r="U388" s="35"/>
      <c r="V388" s="3"/>
      <c r="W388" s="3"/>
    </row>
    <row r="389" spans="15:23">
      <c r="O389" s="35"/>
      <c r="P389" s="35"/>
      <c r="Q389" s="35"/>
      <c r="R389" s="3"/>
      <c r="S389" s="35"/>
      <c r="T389" s="35"/>
      <c r="U389" s="35"/>
      <c r="V389" s="3"/>
      <c r="W389" s="3"/>
    </row>
    <row r="390" spans="15:23">
      <c r="O390" s="35"/>
      <c r="P390" s="35"/>
      <c r="Q390" s="35"/>
      <c r="R390" s="3"/>
      <c r="S390" s="35"/>
      <c r="T390" s="35"/>
      <c r="U390" s="35"/>
      <c r="V390" s="3"/>
      <c r="W390" s="3"/>
    </row>
    <row r="391" spans="15:23">
      <c r="O391" s="35"/>
      <c r="P391" s="35"/>
      <c r="Q391" s="35"/>
      <c r="R391" s="3"/>
      <c r="S391" s="35"/>
      <c r="T391" s="35"/>
      <c r="U391" s="35"/>
      <c r="V391" s="3"/>
      <c r="W391" s="3"/>
    </row>
    <row r="392" spans="15:23">
      <c r="O392" s="35"/>
      <c r="P392" s="35"/>
      <c r="Q392" s="35"/>
      <c r="R392" s="3"/>
      <c r="S392" s="35"/>
      <c r="T392" s="35"/>
      <c r="U392" s="35"/>
      <c r="V392" s="3"/>
      <c r="W392" s="3"/>
    </row>
    <row r="393" spans="15:23">
      <c r="O393" s="35"/>
      <c r="P393" s="35"/>
      <c r="Q393" s="35"/>
      <c r="R393" s="3"/>
      <c r="S393" s="35"/>
      <c r="T393" s="35"/>
      <c r="U393" s="35"/>
      <c r="V393" s="3"/>
      <c r="W393" s="3"/>
    </row>
    <row r="394" spans="15:23">
      <c r="O394" s="35"/>
      <c r="P394" s="35"/>
      <c r="Q394" s="35"/>
      <c r="R394" s="3"/>
      <c r="S394" s="35"/>
      <c r="T394" s="35"/>
      <c r="U394" s="35"/>
      <c r="V394" s="3"/>
      <c r="W394" s="3"/>
    </row>
    <row r="395" spans="15:23">
      <c r="O395" s="35"/>
      <c r="P395" s="35"/>
      <c r="Q395" s="35"/>
      <c r="R395" s="3"/>
      <c r="S395" s="35"/>
      <c r="T395" s="35"/>
      <c r="U395" s="35"/>
      <c r="V395" s="3"/>
      <c r="W395" s="3"/>
    </row>
    <row r="396" spans="15:23">
      <c r="O396" s="35"/>
      <c r="P396" s="35"/>
      <c r="Q396" s="35"/>
      <c r="R396" s="3"/>
      <c r="S396" s="35"/>
      <c r="T396" s="35"/>
      <c r="U396" s="35"/>
      <c r="V396" s="3"/>
      <c r="W396" s="3"/>
    </row>
    <row r="397" spans="15:23">
      <c r="O397" s="35"/>
      <c r="P397" s="35"/>
      <c r="Q397" s="35"/>
      <c r="R397" s="3"/>
      <c r="S397" s="35"/>
      <c r="T397" s="35"/>
      <c r="U397" s="35"/>
      <c r="V397" s="3"/>
      <c r="W397" s="3"/>
    </row>
    <row r="398" spans="15:23">
      <c r="O398" s="35"/>
      <c r="P398" s="35"/>
      <c r="Q398" s="35"/>
      <c r="R398" s="3"/>
      <c r="S398" s="35"/>
      <c r="T398" s="35"/>
      <c r="U398" s="35"/>
      <c r="V398" s="3"/>
      <c r="W398" s="3"/>
    </row>
    <row r="399" spans="15:23">
      <c r="O399" s="35"/>
      <c r="P399" s="35"/>
      <c r="Q399" s="35"/>
      <c r="R399" s="3"/>
      <c r="S399" s="35"/>
      <c r="T399" s="35"/>
      <c r="U399" s="35"/>
      <c r="V399" s="3"/>
      <c r="W399" s="3"/>
    </row>
    <row r="400" spans="15:23">
      <c r="O400" s="35"/>
      <c r="P400" s="35"/>
      <c r="Q400" s="35"/>
      <c r="R400" s="3"/>
      <c r="S400" s="35"/>
      <c r="T400" s="35"/>
      <c r="U400" s="35"/>
      <c r="V400" s="3"/>
      <c r="W400" s="3"/>
    </row>
    <row r="401" spans="15:23">
      <c r="O401" s="35"/>
      <c r="P401" s="35"/>
      <c r="Q401" s="35"/>
      <c r="R401" s="3"/>
      <c r="S401" s="35"/>
      <c r="T401" s="35"/>
      <c r="U401" s="35"/>
      <c r="V401" s="3"/>
      <c r="W401" s="3"/>
    </row>
    <row r="402" spans="15:23">
      <c r="O402" s="35"/>
      <c r="P402" s="35"/>
      <c r="Q402" s="35"/>
      <c r="R402" s="3"/>
      <c r="S402" s="35"/>
      <c r="T402" s="35"/>
      <c r="U402" s="35"/>
      <c r="V402" s="3"/>
      <c r="W402" s="3"/>
    </row>
    <row r="403" spans="15:23">
      <c r="O403" s="35"/>
      <c r="P403" s="35"/>
      <c r="Q403" s="35"/>
      <c r="R403" s="3"/>
      <c r="S403" s="35"/>
      <c r="T403" s="35"/>
      <c r="U403" s="35"/>
      <c r="V403" s="3"/>
      <c r="W403" s="3"/>
    </row>
    <row r="404" spans="15:23">
      <c r="O404" s="35"/>
      <c r="P404" s="35"/>
      <c r="Q404" s="35"/>
      <c r="R404" s="3"/>
      <c r="S404" s="35"/>
      <c r="T404" s="35"/>
      <c r="U404" s="35"/>
      <c r="V404" s="3"/>
      <c r="W404" s="3"/>
    </row>
    <row r="405" spans="15:23">
      <c r="O405" s="35"/>
      <c r="P405" s="35"/>
      <c r="Q405" s="35"/>
      <c r="R405" s="3"/>
      <c r="S405" s="35"/>
      <c r="T405" s="35"/>
      <c r="U405" s="35"/>
      <c r="V405" s="3"/>
      <c r="W405" s="3"/>
    </row>
    <row r="406" spans="15:23">
      <c r="O406" s="35"/>
      <c r="P406" s="35"/>
      <c r="Q406" s="35"/>
      <c r="R406" s="3"/>
      <c r="S406" s="35"/>
      <c r="T406" s="35"/>
      <c r="U406" s="35"/>
      <c r="V406" s="3"/>
      <c r="W406" s="3"/>
    </row>
    <row r="407" spans="15:23">
      <c r="O407" s="35"/>
      <c r="P407" s="35"/>
      <c r="Q407" s="35"/>
      <c r="R407" s="3"/>
      <c r="S407" s="35"/>
      <c r="T407" s="35"/>
      <c r="U407" s="35"/>
      <c r="V407" s="3"/>
      <c r="W407" s="3"/>
    </row>
    <row r="408" spans="15:23">
      <c r="O408" s="35"/>
      <c r="P408" s="35"/>
      <c r="Q408" s="35"/>
      <c r="R408" s="3"/>
      <c r="S408" s="35"/>
      <c r="T408" s="35"/>
      <c r="U408" s="35"/>
      <c r="V408" s="3"/>
      <c r="W408" s="3"/>
    </row>
    <row r="409" spans="15:23">
      <c r="O409" s="35"/>
      <c r="P409" s="35"/>
      <c r="Q409" s="35"/>
      <c r="R409" s="3"/>
      <c r="S409" s="35"/>
      <c r="T409" s="35"/>
      <c r="U409" s="35"/>
      <c r="V409" s="3"/>
      <c r="W409" s="3"/>
    </row>
    <row r="410" spans="15:23">
      <c r="O410" s="35"/>
      <c r="P410" s="35"/>
      <c r="Q410" s="35"/>
      <c r="R410" s="3"/>
      <c r="S410" s="35"/>
      <c r="T410" s="35"/>
      <c r="U410" s="35"/>
      <c r="V410" s="3"/>
      <c r="W410" s="3"/>
    </row>
    <row r="411" spans="15:23">
      <c r="O411" s="35"/>
      <c r="P411" s="35"/>
      <c r="Q411" s="35"/>
      <c r="R411" s="3"/>
      <c r="S411" s="35"/>
      <c r="T411" s="35"/>
      <c r="U411" s="35"/>
      <c r="V411" s="3"/>
      <c r="W411" s="3"/>
    </row>
    <row r="412" spans="15:23">
      <c r="O412" s="35"/>
      <c r="P412" s="35"/>
      <c r="Q412" s="35"/>
      <c r="R412" s="3"/>
      <c r="S412" s="35"/>
      <c r="T412" s="35"/>
      <c r="U412" s="35"/>
      <c r="V412" s="3"/>
      <c r="W412" s="3"/>
    </row>
    <row r="413" spans="15:23">
      <c r="O413" s="35"/>
      <c r="P413" s="35"/>
      <c r="Q413" s="35"/>
      <c r="R413" s="3"/>
      <c r="S413" s="35"/>
      <c r="T413" s="35"/>
      <c r="U413" s="35"/>
      <c r="V413" s="3"/>
      <c r="W413" s="3"/>
    </row>
    <row r="414" spans="15:23">
      <c r="O414" s="35"/>
      <c r="P414" s="35"/>
      <c r="Q414" s="35"/>
      <c r="R414" s="3"/>
      <c r="S414" s="35"/>
      <c r="T414" s="35"/>
      <c r="U414" s="35"/>
      <c r="V414" s="3"/>
      <c r="W414" s="3"/>
    </row>
    <row r="415" spans="15:23">
      <c r="O415" s="35"/>
      <c r="P415" s="35"/>
      <c r="Q415" s="35"/>
      <c r="R415" s="3"/>
      <c r="S415" s="35"/>
      <c r="T415" s="35"/>
      <c r="U415" s="35"/>
      <c r="V415" s="3"/>
      <c r="W415" s="3"/>
    </row>
    <row r="416" spans="15:23">
      <c r="O416" s="35"/>
      <c r="P416" s="35"/>
      <c r="Q416" s="35"/>
      <c r="R416" s="3"/>
      <c r="S416" s="35"/>
      <c r="T416" s="35"/>
      <c r="U416" s="35"/>
      <c r="V416" s="3"/>
      <c r="W416" s="3"/>
    </row>
    <row r="417" spans="15:23">
      <c r="O417" s="35"/>
      <c r="P417" s="35"/>
      <c r="Q417" s="35"/>
      <c r="R417" s="3"/>
      <c r="S417" s="35"/>
      <c r="T417" s="35"/>
      <c r="U417" s="35"/>
      <c r="V417" s="3"/>
      <c r="W417" s="3"/>
    </row>
    <row r="418" spans="15:23">
      <c r="O418" s="35"/>
      <c r="P418" s="35"/>
      <c r="Q418" s="35"/>
      <c r="R418" s="3"/>
      <c r="S418" s="35"/>
      <c r="T418" s="35"/>
      <c r="U418" s="35"/>
      <c r="V418" s="3"/>
      <c r="W418" s="3"/>
    </row>
    <row r="419" spans="15:23">
      <c r="O419" s="35"/>
      <c r="P419" s="35"/>
      <c r="Q419" s="35"/>
      <c r="R419" s="3"/>
      <c r="S419" s="35"/>
      <c r="T419" s="35"/>
      <c r="U419" s="35"/>
      <c r="V419" s="3"/>
      <c r="W419" s="3"/>
    </row>
    <row r="420" spans="15:23">
      <c r="O420" s="35"/>
      <c r="P420" s="35"/>
      <c r="Q420" s="35"/>
      <c r="R420" s="3"/>
      <c r="S420" s="35"/>
      <c r="T420" s="35"/>
      <c r="U420" s="35"/>
      <c r="V420" s="3"/>
      <c r="W420" s="3"/>
    </row>
    <row r="421" spans="15:23">
      <c r="O421" s="35"/>
      <c r="P421" s="35"/>
      <c r="Q421" s="35"/>
      <c r="R421" s="3"/>
      <c r="S421" s="35"/>
      <c r="T421" s="35"/>
      <c r="U421" s="35"/>
      <c r="V421" s="3"/>
      <c r="W421" s="3"/>
    </row>
    <row r="422" spans="15:23">
      <c r="O422" s="35"/>
      <c r="P422" s="35"/>
      <c r="Q422" s="35"/>
      <c r="R422" s="3"/>
      <c r="S422" s="35"/>
      <c r="T422" s="35"/>
      <c r="U422" s="35"/>
      <c r="V422" s="3"/>
      <c r="W422" s="3"/>
    </row>
    <row r="423" spans="15:23">
      <c r="O423" s="35"/>
      <c r="P423" s="35"/>
      <c r="Q423" s="35"/>
      <c r="R423" s="3"/>
      <c r="S423" s="35"/>
      <c r="T423" s="35"/>
      <c r="U423" s="35"/>
      <c r="V423" s="3"/>
      <c r="W423" s="3"/>
    </row>
    <row r="424" spans="15:23">
      <c r="O424" s="35"/>
      <c r="P424" s="35"/>
      <c r="Q424" s="35"/>
      <c r="R424" s="3"/>
      <c r="S424" s="35"/>
      <c r="T424" s="35"/>
      <c r="U424" s="35"/>
      <c r="V424" s="3"/>
      <c r="W424" s="3"/>
    </row>
    <row r="425" spans="15:23">
      <c r="O425" s="35"/>
      <c r="P425" s="35"/>
      <c r="Q425" s="35"/>
      <c r="R425" s="3"/>
      <c r="S425" s="35"/>
      <c r="T425" s="35"/>
      <c r="U425" s="35"/>
      <c r="V425" s="3"/>
      <c r="W425" s="3"/>
    </row>
    <row r="426" spans="15:23">
      <c r="O426" s="35"/>
      <c r="P426" s="35"/>
      <c r="Q426" s="35"/>
      <c r="R426" s="3"/>
      <c r="S426" s="35"/>
      <c r="T426" s="35"/>
      <c r="U426" s="35"/>
      <c r="V426" s="3"/>
      <c r="W426" s="3"/>
    </row>
    <row r="427" spans="15:23">
      <c r="O427" s="35"/>
      <c r="P427" s="35"/>
      <c r="Q427" s="35"/>
      <c r="R427" s="3"/>
      <c r="S427" s="35"/>
      <c r="T427" s="35"/>
      <c r="U427" s="35"/>
      <c r="V427" s="3"/>
      <c r="W427" s="3"/>
    </row>
    <row r="428" spans="15:23">
      <c r="O428" s="35"/>
      <c r="P428" s="35"/>
      <c r="Q428" s="35"/>
      <c r="R428" s="3"/>
      <c r="S428" s="35"/>
      <c r="T428" s="35"/>
      <c r="U428" s="35"/>
      <c r="V428" s="3"/>
      <c r="W428" s="3"/>
    </row>
    <row r="429" spans="15:23">
      <c r="O429" s="35"/>
      <c r="P429" s="35"/>
      <c r="Q429" s="35"/>
      <c r="R429" s="3"/>
      <c r="S429" s="35"/>
      <c r="T429" s="35"/>
      <c r="U429" s="35"/>
      <c r="V429" s="3"/>
      <c r="W429" s="3"/>
    </row>
    <row r="430" spans="15:23">
      <c r="O430" s="35"/>
      <c r="P430" s="35"/>
      <c r="Q430" s="35"/>
      <c r="R430" s="3"/>
      <c r="S430" s="35"/>
      <c r="T430" s="35"/>
      <c r="U430" s="35"/>
      <c r="V430" s="3"/>
      <c r="W430" s="3"/>
    </row>
    <row r="431" spans="15:23">
      <c r="O431" s="35"/>
      <c r="P431" s="35"/>
      <c r="Q431" s="35"/>
      <c r="R431" s="3"/>
      <c r="S431" s="35"/>
      <c r="T431" s="35"/>
      <c r="U431" s="35"/>
      <c r="V431" s="3"/>
      <c r="W431" s="3"/>
    </row>
    <row r="432" spans="15:23">
      <c r="O432" s="35"/>
      <c r="P432" s="35"/>
      <c r="Q432" s="35"/>
      <c r="R432" s="3"/>
      <c r="S432" s="35"/>
      <c r="T432" s="35"/>
      <c r="U432" s="35"/>
      <c r="V432" s="3"/>
      <c r="W432" s="3"/>
    </row>
    <row r="433" spans="15:23">
      <c r="O433" s="35"/>
      <c r="P433" s="35"/>
      <c r="Q433" s="35"/>
      <c r="R433" s="3"/>
      <c r="S433" s="35"/>
      <c r="T433" s="35"/>
      <c r="U433" s="35"/>
      <c r="V433" s="3"/>
      <c r="W433" s="3"/>
    </row>
    <row r="434" spans="15:23">
      <c r="O434" s="35"/>
      <c r="P434" s="35"/>
      <c r="Q434" s="35"/>
      <c r="R434" s="3"/>
      <c r="S434" s="35"/>
      <c r="T434" s="35"/>
      <c r="U434" s="35"/>
      <c r="V434" s="3"/>
      <c r="W434" s="3"/>
    </row>
    <row r="435" spans="15:23">
      <c r="O435" s="35"/>
      <c r="P435" s="35"/>
      <c r="Q435" s="35"/>
      <c r="R435" s="3"/>
      <c r="S435" s="35"/>
      <c r="T435" s="35"/>
      <c r="U435" s="35"/>
      <c r="V435" s="3"/>
      <c r="W435" s="3"/>
    </row>
    <row r="436" spans="15:23">
      <c r="O436" s="35"/>
      <c r="P436" s="35"/>
      <c r="Q436" s="35"/>
      <c r="R436" s="3"/>
      <c r="S436" s="35"/>
      <c r="T436" s="35"/>
      <c r="U436" s="35"/>
      <c r="V436" s="3"/>
      <c r="W436" s="3"/>
    </row>
    <row r="437" spans="15:23">
      <c r="O437" s="35"/>
      <c r="P437" s="35"/>
      <c r="Q437" s="35"/>
      <c r="R437" s="3"/>
      <c r="S437" s="35"/>
      <c r="T437" s="35"/>
      <c r="U437" s="35"/>
      <c r="V437" s="3"/>
      <c r="W437" s="3"/>
    </row>
    <row r="438" spans="15:23">
      <c r="O438" s="35"/>
      <c r="P438" s="35"/>
      <c r="Q438" s="35"/>
      <c r="R438" s="3"/>
      <c r="S438" s="35"/>
      <c r="T438" s="35"/>
      <c r="U438" s="35"/>
      <c r="V438" s="3"/>
      <c r="W438" s="3"/>
    </row>
    <row r="439" spans="15:23">
      <c r="O439" s="35"/>
      <c r="P439" s="35"/>
      <c r="Q439" s="35"/>
      <c r="R439" s="3"/>
      <c r="S439" s="35"/>
      <c r="T439" s="35"/>
      <c r="U439" s="35"/>
      <c r="V439" s="3"/>
      <c r="W439" s="3"/>
    </row>
    <row r="440" spans="15:23">
      <c r="O440" s="35"/>
      <c r="P440" s="35"/>
      <c r="Q440" s="35"/>
      <c r="R440" s="3"/>
      <c r="S440" s="35"/>
      <c r="T440" s="35"/>
      <c r="U440" s="35"/>
      <c r="V440" s="3"/>
      <c r="W440" s="3"/>
    </row>
    <row r="441" spans="15:23">
      <c r="O441" s="35"/>
      <c r="P441" s="35"/>
      <c r="Q441" s="35"/>
      <c r="R441" s="3"/>
      <c r="S441" s="35"/>
      <c r="T441" s="35"/>
      <c r="U441" s="35"/>
      <c r="V441" s="3"/>
      <c r="W441" s="3"/>
    </row>
    <row r="442" spans="15:23">
      <c r="O442" s="35"/>
      <c r="P442" s="35"/>
      <c r="Q442" s="35"/>
      <c r="R442" s="3"/>
      <c r="S442" s="35"/>
      <c r="T442" s="35"/>
      <c r="U442" s="35"/>
      <c r="V442" s="3"/>
      <c r="W442" s="3"/>
    </row>
    <row r="443" spans="15:23">
      <c r="O443" s="35"/>
      <c r="P443" s="35"/>
      <c r="Q443" s="35"/>
      <c r="R443" s="3"/>
      <c r="S443" s="35"/>
      <c r="T443" s="35"/>
      <c r="U443" s="35"/>
      <c r="V443" s="3"/>
      <c r="W443" s="3"/>
    </row>
    <row r="444" spans="15:23">
      <c r="O444" s="35"/>
      <c r="P444" s="35"/>
      <c r="Q444" s="35"/>
      <c r="R444" s="3"/>
      <c r="S444" s="35"/>
      <c r="T444" s="35"/>
      <c r="U444" s="35"/>
      <c r="V444" s="3"/>
      <c r="W444" s="3"/>
    </row>
    <row r="445" spans="15:23">
      <c r="O445" s="35"/>
      <c r="P445" s="35"/>
      <c r="Q445" s="35"/>
      <c r="R445" s="3"/>
      <c r="S445" s="35"/>
      <c r="T445" s="35"/>
      <c r="U445" s="35"/>
      <c r="V445" s="3"/>
      <c r="W445" s="3"/>
    </row>
    <row r="446" spans="15:23">
      <c r="O446" s="35"/>
      <c r="P446" s="35"/>
      <c r="Q446" s="35"/>
      <c r="R446" s="3"/>
      <c r="S446" s="35"/>
      <c r="T446" s="35"/>
      <c r="U446" s="35"/>
      <c r="V446" s="3"/>
      <c r="W446" s="3"/>
    </row>
    <row r="447" spans="15:23">
      <c r="O447" s="35"/>
      <c r="P447" s="35"/>
      <c r="Q447" s="35"/>
      <c r="R447" s="3"/>
      <c r="S447" s="35"/>
      <c r="T447" s="35"/>
      <c r="U447" s="35"/>
      <c r="V447" s="3"/>
      <c r="W447" s="3"/>
    </row>
    <row r="448" spans="15:23">
      <c r="O448" s="35"/>
      <c r="P448" s="35"/>
      <c r="Q448" s="35"/>
      <c r="R448" s="3"/>
      <c r="S448" s="35"/>
      <c r="T448" s="35"/>
      <c r="U448" s="35"/>
      <c r="V448" s="3"/>
      <c r="W448" s="3"/>
    </row>
    <row r="449" spans="15:23">
      <c r="O449" s="35"/>
      <c r="P449" s="35"/>
      <c r="Q449" s="35"/>
      <c r="R449" s="3"/>
      <c r="S449" s="35"/>
      <c r="T449" s="35"/>
      <c r="U449" s="35"/>
      <c r="V449" s="3"/>
      <c r="W449" s="3"/>
    </row>
    <row r="450" spans="15:23">
      <c r="O450" s="35"/>
      <c r="P450" s="35"/>
      <c r="Q450" s="35"/>
      <c r="R450" s="3"/>
      <c r="S450" s="35"/>
      <c r="T450" s="35"/>
      <c r="U450" s="35"/>
      <c r="V450" s="3"/>
      <c r="W450" s="3"/>
    </row>
    <row r="451" spans="15:23">
      <c r="O451" s="35"/>
      <c r="P451" s="35"/>
      <c r="Q451" s="35"/>
      <c r="R451" s="3"/>
      <c r="S451" s="35"/>
      <c r="T451" s="35"/>
      <c r="U451" s="35"/>
      <c r="V451" s="3"/>
      <c r="W451" s="3"/>
    </row>
    <row r="452" spans="15:23">
      <c r="O452" s="35"/>
      <c r="P452" s="35"/>
      <c r="Q452" s="35"/>
      <c r="R452" s="3"/>
      <c r="S452" s="35"/>
      <c r="T452" s="35"/>
      <c r="U452" s="35"/>
      <c r="V452" s="3"/>
      <c r="W452" s="3"/>
    </row>
    <row r="453" spans="15:23">
      <c r="O453" s="35"/>
      <c r="P453" s="35"/>
      <c r="Q453" s="35"/>
      <c r="R453" s="3"/>
      <c r="S453" s="35"/>
      <c r="T453" s="35"/>
      <c r="U453" s="35"/>
      <c r="V453" s="3"/>
      <c r="W453" s="3"/>
    </row>
    <row r="454" spans="15:23">
      <c r="O454" s="35"/>
      <c r="P454" s="35"/>
      <c r="Q454" s="35"/>
      <c r="R454" s="3"/>
      <c r="S454" s="35"/>
      <c r="T454" s="35"/>
      <c r="U454" s="35"/>
      <c r="V454" s="3"/>
      <c r="W454" s="3"/>
    </row>
    <row r="455" spans="15:23">
      <c r="O455" s="35"/>
      <c r="P455" s="35"/>
      <c r="Q455" s="35"/>
      <c r="R455" s="3"/>
      <c r="S455" s="35"/>
      <c r="T455" s="35"/>
      <c r="U455" s="35"/>
      <c r="V455" s="3"/>
      <c r="W455" s="3"/>
    </row>
    <row r="456" spans="15:23">
      <c r="O456" s="35"/>
      <c r="P456" s="35"/>
      <c r="Q456" s="35"/>
      <c r="R456" s="3"/>
      <c r="S456" s="35"/>
      <c r="T456" s="35"/>
      <c r="U456" s="35"/>
      <c r="V456" s="3"/>
      <c r="W456" s="3"/>
    </row>
    <row r="457" spans="15:23">
      <c r="O457" s="35"/>
      <c r="P457" s="35"/>
      <c r="Q457" s="35"/>
      <c r="R457" s="3"/>
      <c r="S457" s="35"/>
      <c r="T457" s="35"/>
      <c r="U457" s="35"/>
      <c r="V457" s="3"/>
      <c r="W457" s="3"/>
    </row>
    <row r="458" spans="15:23">
      <c r="O458" s="35"/>
      <c r="P458" s="35"/>
      <c r="Q458" s="35"/>
      <c r="R458" s="3"/>
      <c r="S458" s="35"/>
      <c r="T458" s="35"/>
      <c r="U458" s="35"/>
      <c r="V458" s="3"/>
      <c r="W458" s="3"/>
    </row>
    <row r="459" spans="15:23">
      <c r="O459" s="35"/>
      <c r="P459" s="35"/>
      <c r="Q459" s="35"/>
      <c r="R459" s="3"/>
      <c r="S459" s="35"/>
      <c r="T459" s="35"/>
      <c r="U459" s="35"/>
      <c r="V459" s="3"/>
      <c r="W459" s="3"/>
    </row>
    <row r="460" spans="15:23">
      <c r="O460" s="35"/>
      <c r="P460" s="35"/>
      <c r="Q460" s="35"/>
      <c r="R460" s="3"/>
      <c r="S460" s="35"/>
      <c r="T460" s="35"/>
      <c r="U460" s="35"/>
      <c r="V460" s="3"/>
      <c r="W460" s="3"/>
    </row>
    <row r="461" spans="15:23">
      <c r="O461" s="35"/>
      <c r="P461" s="35"/>
      <c r="Q461" s="35"/>
      <c r="R461" s="3"/>
      <c r="S461" s="35"/>
      <c r="T461" s="35"/>
      <c r="U461" s="35"/>
      <c r="V461" s="3"/>
      <c r="W461" s="3"/>
    </row>
    <row r="462" spans="15:23">
      <c r="O462" s="35"/>
      <c r="P462" s="35"/>
      <c r="Q462" s="35"/>
      <c r="R462" s="3"/>
      <c r="S462" s="35"/>
      <c r="T462" s="35"/>
      <c r="U462" s="35"/>
      <c r="V462" s="3"/>
      <c r="W462" s="3"/>
    </row>
    <row r="463" spans="15:23">
      <c r="O463" s="35"/>
      <c r="P463" s="35"/>
      <c r="Q463" s="35"/>
      <c r="R463" s="3"/>
      <c r="S463" s="35"/>
      <c r="T463" s="35"/>
      <c r="U463" s="35"/>
      <c r="V463" s="3"/>
      <c r="W463" s="3"/>
    </row>
    <row r="464" spans="15:23">
      <c r="O464" s="35"/>
      <c r="P464" s="35"/>
      <c r="Q464" s="35"/>
      <c r="R464" s="3"/>
      <c r="S464" s="35"/>
      <c r="T464" s="35"/>
      <c r="U464" s="35"/>
      <c r="V464" s="3"/>
      <c r="W464" s="3"/>
    </row>
    <row r="465" spans="15:23">
      <c r="O465" s="35"/>
      <c r="P465" s="35"/>
      <c r="Q465" s="35"/>
      <c r="R465" s="3"/>
      <c r="S465" s="35"/>
      <c r="T465" s="35"/>
      <c r="U465" s="35"/>
      <c r="V465" s="3"/>
      <c r="W465" s="3"/>
    </row>
    <row r="466" spans="15:23">
      <c r="O466" s="35"/>
      <c r="P466" s="35"/>
      <c r="Q466" s="35"/>
      <c r="R466" s="3"/>
      <c r="S466" s="35"/>
      <c r="T466" s="35"/>
      <c r="U466" s="35"/>
      <c r="V466" s="3"/>
      <c r="W466" s="3"/>
    </row>
    <row r="467" spans="15:23">
      <c r="O467" s="35"/>
      <c r="P467" s="35"/>
      <c r="Q467" s="35"/>
      <c r="R467" s="3"/>
      <c r="S467" s="35"/>
      <c r="T467" s="35"/>
      <c r="U467" s="35"/>
      <c r="V467" s="3"/>
      <c r="W467" s="3"/>
    </row>
    <row r="468" spans="15:23">
      <c r="O468" s="35"/>
      <c r="P468" s="35"/>
      <c r="Q468" s="35"/>
      <c r="R468" s="3"/>
      <c r="S468" s="35"/>
      <c r="T468" s="35"/>
      <c r="U468" s="35"/>
      <c r="V468" s="3"/>
      <c r="W468" s="3"/>
    </row>
    <row r="469" spans="15:23">
      <c r="O469" s="35"/>
      <c r="P469" s="35"/>
      <c r="Q469" s="35"/>
      <c r="R469" s="3"/>
      <c r="S469" s="35"/>
      <c r="T469" s="35"/>
      <c r="U469" s="35"/>
      <c r="V469" s="3"/>
      <c r="W469" s="3"/>
    </row>
    <row r="470" spans="15:23">
      <c r="O470" s="35"/>
      <c r="P470" s="35"/>
      <c r="Q470" s="35"/>
      <c r="R470" s="3"/>
      <c r="S470" s="35"/>
      <c r="T470" s="35"/>
      <c r="U470" s="35"/>
      <c r="V470" s="3"/>
      <c r="W470" s="3"/>
    </row>
    <row r="471" spans="15:23">
      <c r="O471" s="35"/>
      <c r="P471" s="35"/>
      <c r="Q471" s="35"/>
      <c r="R471" s="3"/>
      <c r="S471" s="35"/>
      <c r="T471" s="35"/>
      <c r="U471" s="35"/>
      <c r="V471" s="3"/>
      <c r="W471" s="3"/>
    </row>
    <row r="472" spans="15:23">
      <c r="O472" s="35"/>
      <c r="P472" s="35"/>
      <c r="Q472" s="35"/>
      <c r="R472" s="3"/>
      <c r="S472" s="35"/>
      <c r="T472" s="35"/>
      <c r="U472" s="35"/>
      <c r="V472" s="3"/>
      <c r="W472" s="3"/>
    </row>
    <row r="473" spans="15:23">
      <c r="O473" s="35"/>
      <c r="P473" s="35"/>
      <c r="Q473" s="35"/>
      <c r="R473" s="3"/>
      <c r="S473" s="35"/>
      <c r="T473" s="35"/>
      <c r="U473" s="35"/>
      <c r="V473" s="3"/>
      <c r="W473" s="3"/>
    </row>
    <row r="474" spans="15:23">
      <c r="O474" s="35"/>
      <c r="P474" s="35"/>
      <c r="Q474" s="35"/>
      <c r="R474" s="3"/>
      <c r="S474" s="35"/>
      <c r="T474" s="35"/>
      <c r="U474" s="35"/>
      <c r="V474" s="3"/>
      <c r="W474" s="3"/>
    </row>
    <row r="475" spans="15:23">
      <c r="O475" s="35"/>
      <c r="P475" s="35"/>
      <c r="Q475" s="35"/>
      <c r="R475" s="3"/>
      <c r="S475" s="35"/>
      <c r="T475" s="35"/>
      <c r="U475" s="35"/>
      <c r="V475" s="3"/>
      <c r="W475" s="3"/>
    </row>
    <row r="476" spans="15:23">
      <c r="O476" s="35"/>
      <c r="P476" s="35"/>
      <c r="Q476" s="35"/>
      <c r="R476" s="3"/>
      <c r="S476" s="35"/>
      <c r="T476" s="35"/>
      <c r="U476" s="35"/>
      <c r="V476" s="3"/>
      <c r="W476" s="3"/>
    </row>
    <row r="477" spans="15:23">
      <c r="O477" s="35"/>
      <c r="P477" s="35"/>
      <c r="Q477" s="35"/>
      <c r="R477" s="3"/>
      <c r="S477" s="35"/>
      <c r="T477" s="35"/>
      <c r="U477" s="35"/>
      <c r="V477" s="3"/>
      <c r="W477" s="3"/>
    </row>
    <row r="478" spans="15:23">
      <c r="O478" s="35"/>
      <c r="P478" s="35"/>
      <c r="Q478" s="35"/>
      <c r="R478" s="3"/>
      <c r="S478" s="35"/>
      <c r="T478" s="35"/>
      <c r="U478" s="35"/>
      <c r="V478" s="3"/>
      <c r="W478" s="3"/>
    </row>
    <row r="479" spans="15:23">
      <c r="O479" s="35"/>
      <c r="P479" s="35"/>
      <c r="Q479" s="35"/>
      <c r="R479" s="3"/>
      <c r="S479" s="35"/>
      <c r="T479" s="35"/>
      <c r="U479" s="35"/>
      <c r="V479" s="3"/>
      <c r="W479" s="3"/>
    </row>
    <row r="480" spans="15:23">
      <c r="O480" s="35"/>
      <c r="P480" s="35"/>
      <c r="Q480" s="35"/>
      <c r="R480" s="3"/>
      <c r="S480" s="35"/>
      <c r="T480" s="35"/>
      <c r="U480" s="35"/>
      <c r="V480" s="3"/>
      <c r="W480" s="3"/>
    </row>
    <row r="481" spans="15:23">
      <c r="O481" s="35"/>
      <c r="P481" s="35"/>
      <c r="Q481" s="35"/>
      <c r="R481" s="3"/>
      <c r="S481" s="35"/>
      <c r="T481" s="35"/>
      <c r="U481" s="35"/>
      <c r="V481" s="3"/>
      <c r="W481" s="3"/>
    </row>
    <row r="482" spans="15:23">
      <c r="O482" s="35"/>
      <c r="P482" s="35"/>
      <c r="Q482" s="35"/>
      <c r="R482" s="3"/>
      <c r="S482" s="35"/>
      <c r="T482" s="35"/>
      <c r="U482" s="35"/>
      <c r="V482" s="3"/>
      <c r="W482" s="3"/>
    </row>
    <row r="483" spans="15:23">
      <c r="O483" s="35"/>
      <c r="P483" s="35"/>
      <c r="Q483" s="35"/>
      <c r="R483" s="3"/>
      <c r="S483" s="35"/>
      <c r="T483" s="35"/>
      <c r="U483" s="35"/>
      <c r="V483" s="3"/>
      <c r="W483" s="3"/>
    </row>
    <row r="484" spans="15:23">
      <c r="O484" s="35"/>
      <c r="P484" s="35"/>
      <c r="Q484" s="35"/>
      <c r="R484" s="3"/>
      <c r="S484" s="35"/>
      <c r="T484" s="35"/>
      <c r="U484" s="35"/>
      <c r="V484" s="3"/>
      <c r="W484" s="3"/>
    </row>
    <row r="485" spans="15:23">
      <c r="O485" s="35"/>
      <c r="P485" s="35"/>
      <c r="Q485" s="35"/>
      <c r="R485" s="3"/>
      <c r="S485" s="35"/>
      <c r="T485" s="35"/>
      <c r="U485" s="35"/>
      <c r="V485" s="3"/>
      <c r="W485" s="3"/>
    </row>
    <row r="486" spans="15:23">
      <c r="O486" s="35"/>
      <c r="P486" s="35"/>
      <c r="Q486" s="35"/>
      <c r="R486" s="3"/>
      <c r="S486" s="35"/>
      <c r="T486" s="35"/>
      <c r="U486" s="35"/>
      <c r="V486" s="3"/>
      <c r="W486" s="3"/>
    </row>
    <row r="487" spans="15:23">
      <c r="O487" s="35"/>
      <c r="P487" s="35"/>
      <c r="Q487" s="35"/>
      <c r="R487" s="3"/>
      <c r="S487" s="35"/>
      <c r="T487" s="35"/>
      <c r="U487" s="35"/>
      <c r="V487" s="3"/>
      <c r="W487" s="3"/>
    </row>
    <row r="488" spans="15:23">
      <c r="O488" s="35"/>
      <c r="P488" s="35"/>
      <c r="Q488" s="35"/>
      <c r="R488" s="3"/>
      <c r="S488" s="35"/>
      <c r="T488" s="35"/>
      <c r="U488" s="35"/>
      <c r="V488" s="3"/>
      <c r="W488" s="3"/>
    </row>
    <row r="489" spans="15:23">
      <c r="O489" s="35"/>
      <c r="P489" s="35"/>
      <c r="Q489" s="35"/>
      <c r="R489" s="3"/>
      <c r="S489" s="35"/>
      <c r="T489" s="35"/>
      <c r="U489" s="35"/>
      <c r="V489" s="3"/>
      <c r="W489" s="3"/>
    </row>
    <row r="490" spans="15:23">
      <c r="O490" s="35"/>
      <c r="P490" s="35"/>
      <c r="Q490" s="35"/>
      <c r="R490" s="3"/>
      <c r="S490" s="35"/>
      <c r="T490" s="35"/>
      <c r="U490" s="35"/>
      <c r="V490" s="3"/>
      <c r="W490" s="3"/>
    </row>
    <row r="491" spans="15:23">
      <c r="O491" s="35"/>
      <c r="P491" s="35"/>
      <c r="Q491" s="35"/>
      <c r="R491" s="3"/>
      <c r="S491" s="35"/>
      <c r="T491" s="35"/>
      <c r="U491" s="35"/>
      <c r="V491" s="3"/>
      <c r="W491" s="3"/>
    </row>
    <row r="492" spans="15:23">
      <c r="O492" s="35"/>
      <c r="P492" s="35"/>
      <c r="Q492" s="35"/>
      <c r="R492" s="3"/>
      <c r="S492" s="35"/>
      <c r="T492" s="35"/>
      <c r="U492" s="35"/>
      <c r="V492" s="3"/>
      <c r="W492" s="3"/>
    </row>
    <row r="493" spans="15:23">
      <c r="O493" s="35"/>
      <c r="P493" s="35"/>
      <c r="Q493" s="35"/>
      <c r="R493" s="3"/>
      <c r="S493" s="35"/>
      <c r="T493" s="35"/>
      <c r="U493" s="35"/>
      <c r="V493" s="3"/>
      <c r="W493" s="3"/>
    </row>
    <row r="494" spans="15:23">
      <c r="O494" s="35"/>
      <c r="P494" s="35"/>
      <c r="Q494" s="35"/>
      <c r="R494" s="3"/>
      <c r="S494" s="35"/>
      <c r="T494" s="35"/>
      <c r="U494" s="35"/>
      <c r="V494" s="3"/>
      <c r="W494" s="3"/>
    </row>
    <row r="495" spans="15:23">
      <c r="O495" s="35"/>
      <c r="P495" s="35"/>
      <c r="Q495" s="35"/>
      <c r="R495" s="3"/>
      <c r="S495" s="35"/>
      <c r="T495" s="35"/>
      <c r="U495" s="35"/>
      <c r="V495" s="3"/>
      <c r="W495" s="3"/>
    </row>
    <row r="496" spans="15:23">
      <c r="O496" s="35"/>
      <c r="P496" s="35"/>
      <c r="Q496" s="35"/>
      <c r="R496" s="3"/>
      <c r="S496" s="35"/>
      <c r="T496" s="35"/>
      <c r="U496" s="35"/>
      <c r="V496" s="3"/>
      <c r="W496" s="3"/>
    </row>
    <row r="497" spans="15:23">
      <c r="O497" s="35"/>
      <c r="P497" s="35"/>
      <c r="Q497" s="35"/>
      <c r="R497" s="3"/>
      <c r="S497" s="35"/>
      <c r="T497" s="35"/>
      <c r="U497" s="35"/>
      <c r="V497" s="3"/>
      <c r="W497" s="3"/>
    </row>
    <row r="498" spans="15:23">
      <c r="O498" s="35"/>
      <c r="P498" s="35"/>
      <c r="Q498" s="35"/>
      <c r="R498" s="3"/>
      <c r="S498" s="35"/>
      <c r="T498" s="35"/>
      <c r="U498" s="35"/>
      <c r="V498" s="3"/>
      <c r="W498" s="3"/>
    </row>
    <row r="499" spans="15:23">
      <c r="O499" s="35"/>
      <c r="P499" s="35"/>
      <c r="Q499" s="35"/>
      <c r="R499" s="3"/>
      <c r="S499" s="35"/>
      <c r="T499" s="35"/>
      <c r="U499" s="35"/>
      <c r="V499" s="3"/>
      <c r="W499" s="3"/>
    </row>
    <row r="500" spans="15:23">
      <c r="O500" s="35"/>
      <c r="P500" s="35"/>
      <c r="Q500" s="35"/>
      <c r="R500" s="3"/>
      <c r="S500" s="35"/>
      <c r="T500" s="35"/>
      <c r="U500" s="35"/>
      <c r="V500" s="3"/>
      <c r="W500" s="3"/>
    </row>
    <row r="501" spans="15:23">
      <c r="O501" s="35"/>
      <c r="P501" s="35"/>
      <c r="Q501" s="35"/>
      <c r="R501" s="3"/>
      <c r="S501" s="35"/>
      <c r="T501" s="35"/>
      <c r="U501" s="35"/>
      <c r="V501" s="3"/>
      <c r="W501" s="3"/>
    </row>
    <row r="502" spans="15:23">
      <c r="O502" s="35"/>
      <c r="P502" s="35"/>
      <c r="Q502" s="35"/>
      <c r="R502" s="3"/>
      <c r="S502" s="35"/>
      <c r="T502" s="35"/>
      <c r="U502" s="35"/>
      <c r="V502" s="3"/>
      <c r="W502" s="3"/>
    </row>
    <row r="503" spans="15:23">
      <c r="O503" s="35"/>
      <c r="P503" s="35"/>
      <c r="Q503" s="35"/>
      <c r="R503" s="3"/>
      <c r="S503" s="35"/>
      <c r="T503" s="35"/>
      <c r="U503" s="35"/>
      <c r="V503" s="3"/>
      <c r="W503" s="3"/>
    </row>
    <row r="504" spans="15:23">
      <c r="O504" s="35"/>
      <c r="P504" s="35"/>
      <c r="Q504" s="35"/>
      <c r="R504" s="3"/>
      <c r="S504" s="35"/>
      <c r="T504" s="35"/>
      <c r="U504" s="35"/>
      <c r="V504" s="3"/>
      <c r="W504" s="3"/>
    </row>
    <row r="505" spans="15:23">
      <c r="O505" s="35"/>
      <c r="P505" s="35"/>
      <c r="Q505" s="35"/>
      <c r="R505" s="3"/>
      <c r="S505" s="35"/>
      <c r="T505" s="35"/>
      <c r="U505" s="35"/>
      <c r="V505" s="3"/>
      <c r="W505" s="3"/>
    </row>
    <row r="506" spans="15:23">
      <c r="O506" s="35"/>
      <c r="P506" s="35"/>
      <c r="Q506" s="35"/>
      <c r="R506" s="3"/>
      <c r="S506" s="35"/>
      <c r="T506" s="35"/>
      <c r="U506" s="35"/>
      <c r="V506" s="3"/>
      <c r="W506" s="3"/>
    </row>
    <row r="507" spans="15:23">
      <c r="O507" s="35"/>
      <c r="P507" s="35"/>
      <c r="Q507" s="35"/>
      <c r="R507" s="3"/>
      <c r="S507" s="35"/>
      <c r="T507" s="35"/>
      <c r="U507" s="35"/>
      <c r="V507" s="3"/>
      <c r="W507" s="3"/>
    </row>
    <row r="508" spans="15:23">
      <c r="O508" s="35"/>
      <c r="P508" s="35"/>
      <c r="Q508" s="35"/>
      <c r="R508" s="3"/>
      <c r="S508" s="35"/>
      <c r="T508" s="35"/>
      <c r="U508" s="35"/>
      <c r="V508" s="3"/>
      <c r="W508" s="3"/>
    </row>
    <row r="509" spans="15:23">
      <c r="O509" s="35"/>
      <c r="P509" s="35"/>
      <c r="Q509" s="35"/>
      <c r="R509" s="3"/>
      <c r="S509" s="35"/>
      <c r="T509" s="35"/>
      <c r="U509" s="35"/>
      <c r="V509" s="3"/>
      <c r="W509" s="3"/>
    </row>
    <row r="510" spans="15:23">
      <c r="O510" s="35"/>
      <c r="P510" s="35"/>
      <c r="Q510" s="35"/>
      <c r="R510" s="3"/>
      <c r="S510" s="35"/>
      <c r="T510" s="35"/>
      <c r="U510" s="35"/>
      <c r="V510" s="3"/>
      <c r="W510" s="3"/>
    </row>
    <row r="511" spans="15:23">
      <c r="O511" s="35"/>
      <c r="P511" s="35"/>
      <c r="Q511" s="35"/>
      <c r="R511" s="3"/>
      <c r="S511" s="35"/>
      <c r="T511" s="35"/>
      <c r="U511" s="35"/>
      <c r="V511" s="3"/>
      <c r="W511" s="3"/>
    </row>
    <row r="512" spans="15:23">
      <c r="O512" s="35"/>
      <c r="P512" s="35"/>
      <c r="Q512" s="35"/>
      <c r="R512" s="3"/>
      <c r="S512" s="35"/>
      <c r="T512" s="35"/>
      <c r="U512" s="35"/>
      <c r="V512" s="3"/>
      <c r="W512" s="3"/>
    </row>
    <row r="513" spans="15:23">
      <c r="O513" s="35"/>
      <c r="P513" s="35"/>
      <c r="Q513" s="35"/>
      <c r="R513" s="3"/>
      <c r="S513" s="35"/>
      <c r="T513" s="35"/>
      <c r="U513" s="35"/>
      <c r="V513" s="3"/>
      <c r="W513" s="3"/>
    </row>
    <row r="514" spans="15:23">
      <c r="O514" s="35"/>
      <c r="P514" s="35"/>
      <c r="Q514" s="35"/>
      <c r="R514" s="3"/>
      <c r="S514" s="35"/>
      <c r="T514" s="35"/>
      <c r="U514" s="35"/>
      <c r="V514" s="3"/>
      <c r="W514" s="3"/>
    </row>
    <row r="515" spans="15:23">
      <c r="O515" s="35"/>
      <c r="P515" s="35"/>
      <c r="Q515" s="35"/>
      <c r="R515" s="3"/>
      <c r="S515" s="35"/>
      <c r="T515" s="35"/>
      <c r="U515" s="35"/>
      <c r="V515" s="3"/>
      <c r="W515" s="3"/>
    </row>
    <row r="516" spans="15:23">
      <c r="O516" s="35"/>
      <c r="P516" s="35"/>
      <c r="Q516" s="35"/>
      <c r="R516" s="3"/>
      <c r="S516" s="35"/>
      <c r="T516" s="35"/>
      <c r="U516" s="35"/>
      <c r="V516" s="3"/>
      <c r="W516" s="3"/>
    </row>
    <row r="517" spans="15:23">
      <c r="O517" s="35"/>
      <c r="P517" s="35"/>
      <c r="Q517" s="35"/>
      <c r="R517" s="3"/>
      <c r="S517" s="35"/>
      <c r="T517" s="35"/>
      <c r="U517" s="35"/>
      <c r="V517" s="3"/>
      <c r="W517" s="3"/>
    </row>
    <row r="518" spans="15:23">
      <c r="O518" s="35"/>
      <c r="P518" s="35"/>
      <c r="Q518" s="35"/>
      <c r="R518" s="3"/>
      <c r="S518" s="35"/>
      <c r="T518" s="35"/>
      <c r="U518" s="35"/>
      <c r="V518" s="3"/>
      <c r="W518" s="3"/>
    </row>
    <row r="519" spans="15:23">
      <c r="O519" s="35"/>
      <c r="P519" s="35"/>
      <c r="Q519" s="35"/>
      <c r="R519" s="3"/>
      <c r="S519" s="35"/>
      <c r="T519" s="35"/>
      <c r="U519" s="35"/>
      <c r="V519" s="3"/>
      <c r="W519" s="3"/>
    </row>
    <row r="520" spans="15:23">
      <c r="O520" s="35"/>
      <c r="P520" s="35"/>
      <c r="Q520" s="35"/>
      <c r="R520" s="3"/>
      <c r="S520" s="35"/>
      <c r="T520" s="35"/>
      <c r="U520" s="35"/>
      <c r="V520" s="3"/>
      <c r="W520" s="3"/>
    </row>
    <row r="521" spans="15:23">
      <c r="O521" s="35"/>
      <c r="P521" s="35"/>
      <c r="Q521" s="35"/>
      <c r="R521" s="3"/>
      <c r="S521" s="35"/>
      <c r="T521" s="35"/>
      <c r="U521" s="35"/>
      <c r="V521" s="3"/>
      <c r="W521" s="3"/>
    </row>
    <row r="522" spans="15:23">
      <c r="O522" s="35"/>
      <c r="P522" s="35"/>
      <c r="Q522" s="35"/>
      <c r="R522" s="3"/>
      <c r="S522" s="35"/>
      <c r="T522" s="35"/>
      <c r="U522" s="35"/>
      <c r="V522" s="3"/>
      <c r="W522" s="3"/>
    </row>
    <row r="523" spans="15:23">
      <c r="O523" s="35"/>
      <c r="P523" s="35"/>
      <c r="Q523" s="35"/>
      <c r="R523" s="3"/>
      <c r="S523" s="35"/>
      <c r="T523" s="35"/>
      <c r="U523" s="35"/>
      <c r="V523" s="3"/>
      <c r="W523" s="3"/>
    </row>
    <row r="524" spans="15:23">
      <c r="O524" s="35"/>
      <c r="P524" s="35"/>
      <c r="Q524" s="35"/>
      <c r="R524" s="3"/>
      <c r="S524" s="35"/>
      <c r="T524" s="35"/>
      <c r="U524" s="35"/>
      <c r="V524" s="3"/>
      <c r="W524" s="3"/>
    </row>
    <row r="525" spans="15:23">
      <c r="O525" s="35"/>
      <c r="P525" s="35"/>
      <c r="Q525" s="35"/>
      <c r="R525" s="3"/>
      <c r="S525" s="35"/>
      <c r="T525" s="35"/>
      <c r="U525" s="35"/>
      <c r="V525" s="3"/>
      <c r="W525" s="3"/>
    </row>
    <row r="526" spans="15:23">
      <c r="O526" s="35"/>
      <c r="P526" s="35"/>
      <c r="Q526" s="35"/>
      <c r="R526" s="3"/>
      <c r="S526" s="35"/>
      <c r="T526" s="35"/>
      <c r="U526" s="35"/>
      <c r="V526" s="3"/>
      <c r="W526" s="3"/>
    </row>
    <row r="527" spans="15:23">
      <c r="O527" s="35"/>
      <c r="P527" s="35"/>
      <c r="Q527" s="35"/>
      <c r="R527" s="3"/>
      <c r="S527" s="35"/>
      <c r="T527" s="35"/>
      <c r="U527" s="35"/>
      <c r="V527" s="3"/>
      <c r="W527" s="3"/>
    </row>
    <row r="528" spans="15:23">
      <c r="O528" s="35"/>
      <c r="P528" s="35"/>
      <c r="Q528" s="35"/>
      <c r="R528" s="3"/>
      <c r="S528" s="35"/>
      <c r="T528" s="35"/>
      <c r="U528" s="35"/>
      <c r="V528" s="3"/>
      <c r="W528" s="3"/>
    </row>
    <row r="529" spans="15:23">
      <c r="O529" s="35"/>
      <c r="P529" s="35"/>
      <c r="Q529" s="35"/>
      <c r="R529" s="3"/>
      <c r="S529" s="35"/>
      <c r="T529" s="35"/>
      <c r="U529" s="35"/>
      <c r="V529" s="3"/>
      <c r="W529" s="3"/>
    </row>
    <row r="530" spans="15:23">
      <c r="O530" s="35"/>
      <c r="P530" s="35"/>
      <c r="Q530" s="35"/>
      <c r="R530" s="3"/>
      <c r="S530" s="35"/>
      <c r="T530" s="35"/>
      <c r="U530" s="35"/>
      <c r="V530" s="3"/>
      <c r="W530" s="3"/>
    </row>
    <row r="531" spans="15:23">
      <c r="O531" s="35"/>
      <c r="P531" s="35"/>
      <c r="Q531" s="35"/>
      <c r="R531" s="3"/>
      <c r="S531" s="35"/>
      <c r="T531" s="35"/>
      <c r="U531" s="35"/>
      <c r="V531" s="3"/>
      <c r="W531" s="3"/>
    </row>
    <row r="532" spans="15:23">
      <c r="O532" s="35"/>
      <c r="P532" s="35"/>
      <c r="Q532" s="35"/>
      <c r="R532" s="3"/>
      <c r="S532" s="35"/>
      <c r="T532" s="35"/>
      <c r="U532" s="35"/>
      <c r="V532" s="3"/>
      <c r="W532" s="3"/>
    </row>
    <row r="533" spans="15:23">
      <c r="O533" s="35"/>
      <c r="P533" s="35"/>
      <c r="Q533" s="35"/>
      <c r="R533" s="3"/>
      <c r="S533" s="35"/>
      <c r="T533" s="35"/>
      <c r="U533" s="35"/>
      <c r="V533" s="3"/>
      <c r="W533" s="3"/>
    </row>
    <row r="534" spans="15:23">
      <c r="O534" s="35"/>
      <c r="P534" s="35"/>
      <c r="Q534" s="35"/>
      <c r="R534" s="3"/>
      <c r="S534" s="35"/>
      <c r="T534" s="35"/>
      <c r="U534" s="35"/>
      <c r="V534" s="3"/>
      <c r="W534" s="3"/>
    </row>
    <row r="535" spans="15:23">
      <c r="O535" s="35"/>
      <c r="P535" s="35"/>
      <c r="Q535" s="35"/>
      <c r="R535" s="3"/>
      <c r="S535" s="35"/>
      <c r="T535" s="35"/>
      <c r="U535" s="35"/>
      <c r="V535" s="3"/>
      <c r="W535" s="3"/>
    </row>
    <row r="536" spans="15:23">
      <c r="O536" s="35"/>
      <c r="P536" s="35"/>
      <c r="Q536" s="35"/>
      <c r="R536" s="3"/>
      <c r="S536" s="35"/>
      <c r="T536" s="35"/>
      <c r="U536" s="35"/>
      <c r="V536" s="3"/>
      <c r="W536" s="3"/>
    </row>
    <row r="537" spans="15:23">
      <c r="O537" s="35"/>
      <c r="P537" s="35"/>
      <c r="Q537" s="35"/>
      <c r="R537" s="3"/>
      <c r="S537" s="35"/>
      <c r="T537" s="35"/>
      <c r="U537" s="35"/>
      <c r="V537" s="3"/>
      <c r="W537" s="3"/>
    </row>
    <row r="538" spans="15:23">
      <c r="O538" s="35"/>
      <c r="P538" s="35"/>
      <c r="Q538" s="35"/>
      <c r="R538" s="3"/>
      <c r="S538" s="35"/>
      <c r="T538" s="35"/>
      <c r="U538" s="35"/>
      <c r="V538" s="3"/>
      <c r="W538" s="3"/>
    </row>
    <row r="539" spans="15:23">
      <c r="O539" s="35"/>
      <c r="P539" s="35"/>
      <c r="Q539" s="35"/>
      <c r="R539" s="3"/>
      <c r="S539" s="35"/>
      <c r="T539" s="35"/>
      <c r="U539" s="35"/>
      <c r="V539" s="3"/>
      <c r="W539" s="3"/>
    </row>
    <row r="540" spans="15:23">
      <c r="O540" s="35"/>
      <c r="P540" s="35"/>
      <c r="Q540" s="35"/>
      <c r="R540" s="3"/>
      <c r="S540" s="35"/>
      <c r="T540" s="35"/>
      <c r="U540" s="35"/>
      <c r="V540" s="3"/>
      <c r="W540" s="3"/>
    </row>
    <row r="541" spans="15:23">
      <c r="O541" s="35"/>
      <c r="P541" s="35"/>
      <c r="Q541" s="35"/>
      <c r="R541" s="3"/>
      <c r="S541" s="35"/>
      <c r="T541" s="35"/>
      <c r="U541" s="35"/>
      <c r="V541" s="3"/>
      <c r="W541" s="3"/>
    </row>
    <row r="542" spans="15:23">
      <c r="O542" s="35"/>
      <c r="P542" s="35"/>
      <c r="Q542" s="35"/>
      <c r="R542" s="3"/>
      <c r="S542" s="35"/>
      <c r="T542" s="35"/>
      <c r="U542" s="35"/>
      <c r="V542" s="3"/>
      <c r="W542" s="3"/>
    </row>
    <row r="543" spans="15:23">
      <c r="O543" s="35"/>
      <c r="P543" s="35"/>
      <c r="Q543" s="35"/>
      <c r="R543" s="3"/>
      <c r="S543" s="35"/>
      <c r="T543" s="35"/>
      <c r="U543" s="35"/>
      <c r="V543" s="3"/>
      <c r="W543" s="3"/>
    </row>
    <row r="544" spans="15:23">
      <c r="O544" s="35"/>
      <c r="P544" s="35"/>
      <c r="Q544" s="35"/>
      <c r="R544" s="3"/>
      <c r="S544" s="35"/>
      <c r="T544" s="35"/>
      <c r="U544" s="35"/>
      <c r="V544" s="3"/>
      <c r="W544" s="3"/>
    </row>
    <row r="545" spans="15:23">
      <c r="O545" s="35"/>
      <c r="P545" s="35"/>
      <c r="Q545" s="35"/>
      <c r="R545" s="3"/>
      <c r="S545" s="35"/>
      <c r="T545" s="35"/>
      <c r="U545" s="35"/>
      <c r="V545" s="3"/>
      <c r="W545" s="3"/>
    </row>
    <row r="546" spans="15:23">
      <c r="O546" s="35"/>
      <c r="P546" s="35"/>
      <c r="Q546" s="35"/>
      <c r="R546" s="3"/>
      <c r="S546" s="35"/>
      <c r="T546" s="35"/>
      <c r="U546" s="35"/>
      <c r="V546" s="3"/>
      <c r="W546" s="3"/>
    </row>
    <row r="547" spans="15:23">
      <c r="O547" s="35"/>
      <c r="P547" s="35"/>
      <c r="Q547" s="35"/>
      <c r="R547" s="3"/>
      <c r="S547" s="35"/>
      <c r="T547" s="35"/>
      <c r="U547" s="35"/>
      <c r="V547" s="3"/>
      <c r="W547" s="3"/>
    </row>
    <row r="548" spans="15:23">
      <c r="O548" s="35"/>
      <c r="P548" s="35"/>
      <c r="Q548" s="35"/>
      <c r="R548" s="3"/>
      <c r="S548" s="35"/>
      <c r="T548" s="35"/>
      <c r="U548" s="35"/>
      <c r="V548" s="3"/>
      <c r="W548" s="3"/>
    </row>
    <row r="549" spans="15:23">
      <c r="O549" s="35"/>
      <c r="P549" s="35"/>
      <c r="Q549" s="35"/>
      <c r="R549" s="3"/>
      <c r="S549" s="35"/>
      <c r="T549" s="35"/>
      <c r="U549" s="35"/>
      <c r="V549" s="3"/>
      <c r="W549" s="3"/>
    </row>
    <row r="550" spans="15:23">
      <c r="O550" s="35"/>
      <c r="P550" s="35"/>
      <c r="Q550" s="35"/>
      <c r="R550" s="3"/>
      <c r="S550" s="35"/>
      <c r="T550" s="35"/>
      <c r="U550" s="35"/>
      <c r="V550" s="3"/>
      <c r="W550" s="3"/>
    </row>
    <row r="551" spans="15:23">
      <c r="O551" s="35"/>
      <c r="P551" s="35"/>
      <c r="Q551" s="35"/>
      <c r="R551" s="3"/>
      <c r="S551" s="35"/>
      <c r="T551" s="35"/>
      <c r="U551" s="35"/>
      <c r="V551" s="3"/>
      <c r="W551" s="3"/>
    </row>
    <row r="552" spans="15:23">
      <c r="O552" s="35"/>
      <c r="P552" s="35"/>
      <c r="Q552" s="35"/>
      <c r="R552" s="3"/>
      <c r="S552" s="35"/>
      <c r="T552" s="35"/>
      <c r="U552" s="35"/>
      <c r="V552" s="3"/>
      <c r="W552" s="3"/>
    </row>
    <row r="553" spans="15:23">
      <c r="O553" s="35"/>
      <c r="P553" s="35"/>
      <c r="Q553" s="35"/>
      <c r="R553" s="3"/>
      <c r="S553" s="35"/>
      <c r="T553" s="35"/>
      <c r="U553" s="35"/>
      <c r="V553" s="3"/>
      <c r="W553" s="3"/>
    </row>
    <row r="554" spans="15:23">
      <c r="O554" s="35"/>
      <c r="P554" s="35"/>
      <c r="Q554" s="35"/>
      <c r="R554" s="3"/>
      <c r="S554" s="35"/>
      <c r="T554" s="35"/>
      <c r="U554" s="35"/>
      <c r="V554" s="3"/>
      <c r="W554" s="3"/>
    </row>
    <row r="555" spans="15:23">
      <c r="O555" s="35"/>
      <c r="P555" s="35"/>
      <c r="Q555" s="35"/>
      <c r="R555" s="3"/>
      <c r="S555" s="35"/>
      <c r="T555" s="35"/>
      <c r="U555" s="35"/>
      <c r="V555" s="3"/>
      <c r="W555" s="3"/>
    </row>
    <row r="556" spans="15:23">
      <c r="O556" s="35"/>
      <c r="P556" s="35"/>
      <c r="Q556" s="35"/>
      <c r="R556" s="3"/>
      <c r="S556" s="35"/>
      <c r="T556" s="35"/>
      <c r="U556" s="35"/>
      <c r="V556" s="3"/>
      <c r="W556" s="3"/>
    </row>
    <row r="557" spans="15:23">
      <c r="O557" s="35"/>
      <c r="P557" s="35"/>
      <c r="Q557" s="35"/>
      <c r="R557" s="3"/>
      <c r="S557" s="35"/>
      <c r="T557" s="35"/>
      <c r="U557" s="35"/>
      <c r="V557" s="3"/>
      <c r="W557" s="3"/>
    </row>
    <row r="558" spans="15:23">
      <c r="O558" s="35"/>
      <c r="P558" s="35"/>
      <c r="Q558" s="35"/>
      <c r="R558" s="3"/>
      <c r="S558" s="35"/>
      <c r="T558" s="35"/>
      <c r="U558" s="35"/>
      <c r="V558" s="3"/>
      <c r="W558" s="3"/>
    </row>
    <row r="559" spans="15:23">
      <c r="O559" s="35"/>
      <c r="P559" s="35"/>
      <c r="Q559" s="35"/>
      <c r="R559" s="3"/>
      <c r="S559" s="35"/>
      <c r="T559" s="35"/>
      <c r="U559" s="35"/>
      <c r="V559" s="3"/>
      <c r="W559" s="3"/>
    </row>
    <row r="560" spans="15:23">
      <c r="O560" s="35"/>
      <c r="P560" s="35"/>
      <c r="Q560" s="35"/>
      <c r="R560" s="3"/>
      <c r="S560" s="35"/>
      <c r="T560" s="35"/>
      <c r="U560" s="35"/>
      <c r="V560" s="3"/>
      <c r="W560" s="3"/>
    </row>
    <row r="561" spans="15:23">
      <c r="O561" s="35"/>
      <c r="P561" s="35"/>
      <c r="Q561" s="35"/>
      <c r="R561" s="3"/>
      <c r="S561" s="35"/>
      <c r="T561" s="35"/>
      <c r="U561" s="35"/>
      <c r="V561" s="3"/>
      <c r="W561" s="3"/>
    </row>
    <row r="562" spans="15:23">
      <c r="O562" s="35"/>
      <c r="P562" s="35"/>
      <c r="Q562" s="35"/>
      <c r="R562" s="3"/>
      <c r="S562" s="35"/>
      <c r="T562" s="35"/>
      <c r="U562" s="35"/>
      <c r="V562" s="3"/>
      <c r="W562" s="3"/>
    </row>
    <row r="563" spans="15:23">
      <c r="O563" s="35"/>
      <c r="P563" s="35"/>
      <c r="Q563" s="35"/>
      <c r="R563" s="3"/>
      <c r="S563" s="35"/>
      <c r="T563" s="35"/>
      <c r="U563" s="35"/>
      <c r="V563" s="3"/>
      <c r="W563" s="3"/>
    </row>
    <row r="564" spans="15:23">
      <c r="O564" s="35"/>
      <c r="P564" s="35"/>
      <c r="Q564" s="35"/>
      <c r="R564" s="3"/>
      <c r="S564" s="35"/>
      <c r="T564" s="35"/>
      <c r="U564" s="35"/>
      <c r="V564" s="3"/>
      <c r="W564" s="3"/>
    </row>
    <row r="565" spans="15:23">
      <c r="O565" s="35"/>
      <c r="P565" s="35"/>
      <c r="Q565" s="35"/>
      <c r="R565" s="3"/>
      <c r="S565" s="35"/>
      <c r="T565" s="35"/>
      <c r="U565" s="35"/>
      <c r="V565" s="3"/>
      <c r="W565" s="3"/>
    </row>
    <row r="566" spans="15:23">
      <c r="O566" s="35"/>
      <c r="P566" s="35"/>
      <c r="Q566" s="35"/>
      <c r="R566" s="3"/>
      <c r="S566" s="35"/>
      <c r="T566" s="35"/>
      <c r="U566" s="35"/>
      <c r="V566" s="3"/>
      <c r="W566" s="3"/>
    </row>
    <row r="567" spans="15:23">
      <c r="O567" s="35"/>
      <c r="P567" s="35"/>
      <c r="Q567" s="35"/>
      <c r="R567" s="3"/>
      <c r="S567" s="35"/>
      <c r="T567" s="35"/>
      <c r="U567" s="35"/>
      <c r="V567" s="3"/>
      <c r="W567" s="3"/>
    </row>
    <row r="568" spans="15:23">
      <c r="O568" s="35"/>
      <c r="P568" s="35"/>
      <c r="Q568" s="35"/>
      <c r="R568" s="3"/>
      <c r="S568" s="35"/>
      <c r="T568" s="35"/>
      <c r="U568" s="35"/>
      <c r="V568" s="3"/>
      <c r="W568" s="3"/>
    </row>
    <row r="569" spans="15:23">
      <c r="O569" s="35"/>
      <c r="P569" s="35"/>
      <c r="Q569" s="35"/>
      <c r="R569" s="3"/>
      <c r="S569" s="35"/>
      <c r="T569" s="35"/>
      <c r="U569" s="35"/>
      <c r="V569" s="3"/>
      <c r="W569" s="3"/>
    </row>
    <row r="570" spans="15:23">
      <c r="O570" s="35"/>
      <c r="P570" s="35"/>
      <c r="Q570" s="35"/>
      <c r="R570" s="3"/>
      <c r="S570" s="35"/>
      <c r="T570" s="35"/>
      <c r="U570" s="35"/>
      <c r="V570" s="3"/>
      <c r="W570" s="3"/>
    </row>
    <row r="571" spans="15:23">
      <c r="O571" s="35"/>
      <c r="P571" s="35"/>
      <c r="Q571" s="35"/>
      <c r="R571" s="3"/>
      <c r="S571" s="35"/>
      <c r="T571" s="35"/>
      <c r="U571" s="35"/>
      <c r="V571" s="3"/>
      <c r="W571" s="3"/>
    </row>
    <row r="572" spans="15:23">
      <c r="O572" s="35"/>
      <c r="P572" s="35"/>
      <c r="Q572" s="35"/>
      <c r="R572" s="3"/>
      <c r="S572" s="35"/>
      <c r="T572" s="35"/>
      <c r="U572" s="35"/>
      <c r="V572" s="3"/>
      <c r="W572" s="3"/>
    </row>
    <row r="573" spans="15:23">
      <c r="O573" s="35"/>
      <c r="P573" s="35"/>
      <c r="Q573" s="35"/>
      <c r="R573" s="3"/>
      <c r="S573" s="35"/>
      <c r="T573" s="35"/>
      <c r="U573" s="35"/>
      <c r="V573" s="3"/>
      <c r="W573" s="3"/>
    </row>
    <row r="574" spans="15:23">
      <c r="O574" s="35"/>
      <c r="P574" s="35"/>
      <c r="Q574" s="35"/>
      <c r="R574" s="3"/>
      <c r="S574" s="35"/>
      <c r="T574" s="35"/>
      <c r="U574" s="35"/>
      <c r="V574" s="3"/>
      <c r="W574" s="3"/>
    </row>
    <row r="575" spans="15:23">
      <c r="O575" s="35"/>
      <c r="P575" s="35"/>
      <c r="Q575" s="35"/>
      <c r="R575" s="3"/>
      <c r="S575" s="35"/>
      <c r="T575" s="35"/>
      <c r="U575" s="35"/>
      <c r="V575" s="3"/>
      <c r="W575" s="3"/>
    </row>
    <row r="576" spans="15:23">
      <c r="O576" s="35"/>
      <c r="P576" s="35"/>
      <c r="Q576" s="35"/>
      <c r="R576" s="3"/>
      <c r="S576" s="35"/>
      <c r="T576" s="35"/>
      <c r="U576" s="35"/>
      <c r="V576" s="3"/>
      <c r="W576" s="3"/>
    </row>
    <row r="577" spans="15:23">
      <c r="O577" s="35"/>
      <c r="P577" s="35"/>
      <c r="Q577" s="35"/>
      <c r="R577" s="3"/>
      <c r="S577" s="35"/>
      <c r="T577" s="35"/>
      <c r="U577" s="35"/>
      <c r="V577" s="3"/>
      <c r="W577" s="3"/>
    </row>
    <row r="578" spans="15:23">
      <c r="O578" s="35"/>
      <c r="P578" s="35"/>
      <c r="Q578" s="35"/>
      <c r="R578" s="3"/>
      <c r="S578" s="35"/>
      <c r="T578" s="35"/>
      <c r="U578" s="35"/>
      <c r="V578" s="3"/>
      <c r="W578" s="3"/>
    </row>
    <row r="579" spans="15:23">
      <c r="O579" s="35"/>
      <c r="P579" s="35"/>
      <c r="Q579" s="35"/>
      <c r="R579" s="3"/>
      <c r="S579" s="35"/>
      <c r="T579" s="35"/>
      <c r="U579" s="35"/>
      <c r="V579" s="3"/>
      <c r="W579" s="3"/>
    </row>
    <row r="580" spans="15:23">
      <c r="O580" s="35"/>
      <c r="P580" s="35"/>
      <c r="Q580" s="35"/>
      <c r="R580" s="3"/>
      <c r="S580" s="35"/>
      <c r="T580" s="35"/>
      <c r="U580" s="35"/>
      <c r="V580" s="3"/>
      <c r="W580" s="3"/>
    </row>
    <row r="581" spans="15:23">
      <c r="O581" s="35"/>
      <c r="P581" s="35"/>
      <c r="Q581" s="35"/>
      <c r="R581" s="3"/>
      <c r="S581" s="35"/>
      <c r="T581" s="35"/>
      <c r="U581" s="35"/>
      <c r="V581" s="3"/>
      <c r="W581" s="3"/>
    </row>
    <row r="582" spans="15:23">
      <c r="O582" s="35"/>
      <c r="P582" s="35"/>
      <c r="Q582" s="35"/>
      <c r="R582" s="3"/>
      <c r="S582" s="35"/>
      <c r="T582" s="35"/>
      <c r="U582" s="35"/>
      <c r="V582" s="3"/>
      <c r="W582" s="3"/>
    </row>
    <row r="583" spans="15:23">
      <c r="O583" s="35"/>
      <c r="P583" s="35"/>
      <c r="Q583" s="35"/>
      <c r="R583" s="3"/>
      <c r="S583" s="35"/>
      <c r="T583" s="35"/>
      <c r="U583" s="35"/>
      <c r="V583" s="3"/>
      <c r="W583" s="3"/>
    </row>
    <row r="584" spans="15:23">
      <c r="O584" s="35"/>
      <c r="P584" s="35"/>
      <c r="Q584" s="35"/>
      <c r="R584" s="3"/>
      <c r="S584" s="35"/>
      <c r="T584" s="35"/>
      <c r="U584" s="35"/>
      <c r="V584" s="3"/>
      <c r="W584" s="3"/>
    </row>
    <row r="585" spans="15:23">
      <c r="O585" s="35"/>
      <c r="P585" s="35"/>
      <c r="Q585" s="35"/>
      <c r="R585" s="3"/>
      <c r="S585" s="35"/>
      <c r="T585" s="35"/>
      <c r="U585" s="35"/>
      <c r="V585" s="3"/>
      <c r="W585" s="3"/>
    </row>
    <row r="586" spans="15:23">
      <c r="O586" s="35"/>
      <c r="P586" s="35"/>
      <c r="Q586" s="35"/>
      <c r="R586" s="3"/>
      <c r="S586" s="35"/>
      <c r="T586" s="35"/>
      <c r="U586" s="35"/>
      <c r="V586" s="3"/>
      <c r="W586" s="3"/>
    </row>
    <row r="587" spans="15:23">
      <c r="O587" s="35"/>
      <c r="P587" s="35"/>
      <c r="Q587" s="35"/>
      <c r="R587" s="3"/>
      <c r="S587" s="35"/>
      <c r="T587" s="35"/>
      <c r="U587" s="35"/>
      <c r="V587" s="3"/>
      <c r="W587" s="3"/>
    </row>
    <row r="588" spans="15:23">
      <c r="O588" s="35"/>
      <c r="P588" s="35"/>
      <c r="Q588" s="35"/>
      <c r="R588" s="3"/>
      <c r="S588" s="35"/>
      <c r="T588" s="35"/>
      <c r="U588" s="35"/>
      <c r="V588" s="3"/>
      <c r="W588" s="3"/>
    </row>
    <row r="589" spans="15:23">
      <c r="O589" s="35"/>
      <c r="P589" s="35"/>
      <c r="Q589" s="35"/>
      <c r="R589" s="3"/>
      <c r="S589" s="35"/>
      <c r="T589" s="35"/>
      <c r="U589" s="35"/>
      <c r="V589" s="3"/>
      <c r="W589" s="3"/>
    </row>
    <row r="590" spans="15:23">
      <c r="O590" s="35"/>
      <c r="P590" s="35"/>
      <c r="Q590" s="35"/>
      <c r="R590" s="3"/>
      <c r="S590" s="35"/>
      <c r="T590" s="35"/>
      <c r="U590" s="35"/>
      <c r="V590" s="3"/>
      <c r="W590" s="3"/>
    </row>
    <row r="591" spans="15:23">
      <c r="O591" s="35"/>
      <c r="P591" s="35"/>
      <c r="Q591" s="35"/>
      <c r="R591" s="3"/>
      <c r="S591" s="35"/>
      <c r="T591" s="35"/>
      <c r="U591" s="35"/>
      <c r="V591" s="3"/>
      <c r="W591" s="3"/>
    </row>
    <row r="592" spans="15:23">
      <c r="O592" s="35"/>
      <c r="P592" s="35"/>
      <c r="Q592" s="35"/>
      <c r="R592" s="3"/>
      <c r="S592" s="35"/>
      <c r="T592" s="35"/>
      <c r="U592" s="35"/>
      <c r="V592" s="3"/>
      <c r="W592" s="3"/>
    </row>
    <row r="593" spans="15:23">
      <c r="O593" s="35"/>
      <c r="P593" s="35"/>
      <c r="Q593" s="35"/>
      <c r="R593" s="3"/>
      <c r="S593" s="35"/>
      <c r="T593" s="35"/>
      <c r="U593" s="35"/>
      <c r="V593" s="3"/>
      <c r="W593" s="3"/>
    </row>
    <row r="594" spans="15:23">
      <c r="O594" s="35"/>
      <c r="P594" s="35"/>
      <c r="Q594" s="35"/>
      <c r="R594" s="3"/>
      <c r="S594" s="35"/>
      <c r="T594" s="35"/>
      <c r="U594" s="35"/>
      <c r="V594" s="3"/>
      <c r="W594" s="3"/>
    </row>
    <row r="595" spans="15:23">
      <c r="O595" s="35"/>
      <c r="P595" s="35"/>
      <c r="Q595" s="35"/>
      <c r="R595" s="3"/>
      <c r="S595" s="35"/>
      <c r="T595" s="35"/>
      <c r="U595" s="35"/>
      <c r="V595" s="3"/>
      <c r="W595" s="3"/>
    </row>
    <row r="596" spans="15:23">
      <c r="O596" s="35"/>
      <c r="P596" s="35"/>
      <c r="Q596" s="35"/>
      <c r="R596" s="3"/>
      <c r="S596" s="35"/>
      <c r="T596" s="35"/>
      <c r="U596" s="35"/>
      <c r="V596" s="3"/>
      <c r="W596" s="3"/>
    </row>
    <row r="597" spans="15:23">
      <c r="O597" s="35"/>
      <c r="P597" s="35"/>
      <c r="Q597" s="35"/>
      <c r="R597" s="3"/>
      <c r="S597" s="35"/>
      <c r="T597" s="35"/>
      <c r="U597" s="35"/>
      <c r="V597" s="3"/>
      <c r="W597" s="3"/>
    </row>
    <row r="598" spans="15:23">
      <c r="O598" s="35"/>
      <c r="P598" s="35"/>
      <c r="Q598" s="35"/>
      <c r="R598" s="3"/>
      <c r="S598" s="35"/>
      <c r="T598" s="35"/>
      <c r="U598" s="35"/>
      <c r="V598" s="3"/>
      <c r="W598" s="3"/>
    </row>
    <row r="599" spans="15:23">
      <c r="O599" s="35"/>
      <c r="P599" s="35"/>
      <c r="Q599" s="35"/>
      <c r="R599" s="3"/>
      <c r="S599" s="35"/>
      <c r="T599" s="35"/>
      <c r="U599" s="35"/>
      <c r="V599" s="3"/>
      <c r="W599" s="3"/>
    </row>
    <row r="600" spans="15:23">
      <c r="O600" s="35"/>
      <c r="P600" s="35"/>
      <c r="Q600" s="35"/>
      <c r="R600" s="3"/>
      <c r="S600" s="35"/>
      <c r="T600" s="35"/>
      <c r="U600" s="35"/>
      <c r="V600" s="3"/>
      <c r="W600" s="3"/>
    </row>
    <row r="601" spans="15:23">
      <c r="O601" s="35"/>
      <c r="P601" s="35"/>
      <c r="Q601" s="35"/>
      <c r="R601" s="3"/>
      <c r="S601" s="35"/>
      <c r="T601" s="35"/>
      <c r="U601" s="35"/>
      <c r="V601" s="3"/>
      <c r="W601" s="3"/>
    </row>
    <row r="602" spans="15:23">
      <c r="O602" s="35"/>
      <c r="P602" s="35"/>
      <c r="Q602" s="35"/>
      <c r="R602" s="3"/>
      <c r="S602" s="35"/>
      <c r="T602" s="35"/>
      <c r="U602" s="35"/>
      <c r="V602" s="3"/>
      <c r="W602" s="3"/>
    </row>
    <row r="603" spans="15:23">
      <c r="O603" s="35"/>
      <c r="P603" s="35"/>
      <c r="Q603" s="35"/>
      <c r="R603" s="3"/>
      <c r="S603" s="35"/>
      <c r="T603" s="35"/>
      <c r="U603" s="35"/>
      <c r="V603" s="3"/>
      <c r="W603" s="3"/>
    </row>
    <row r="604" spans="15:23">
      <c r="O604" s="35"/>
      <c r="P604" s="35"/>
      <c r="Q604" s="35"/>
      <c r="R604" s="3"/>
      <c r="S604" s="35"/>
      <c r="T604" s="35"/>
      <c r="U604" s="35"/>
      <c r="V604" s="3"/>
      <c r="W604" s="3"/>
    </row>
    <row r="605" spans="15:23">
      <c r="O605" s="35"/>
      <c r="P605" s="35"/>
      <c r="Q605" s="35"/>
      <c r="R605" s="3"/>
      <c r="S605" s="35"/>
      <c r="T605" s="35"/>
      <c r="U605" s="35"/>
      <c r="V605" s="3"/>
      <c r="W605" s="3"/>
    </row>
    <row r="606" spans="15:23">
      <c r="O606" s="35"/>
      <c r="P606" s="35"/>
      <c r="Q606" s="35"/>
      <c r="R606" s="3"/>
      <c r="S606" s="35"/>
      <c r="T606" s="35"/>
      <c r="U606" s="35"/>
      <c r="V606" s="3"/>
      <c r="W606" s="3"/>
    </row>
    <row r="607" spans="15:23">
      <c r="O607" s="35"/>
      <c r="P607" s="35"/>
      <c r="Q607" s="35"/>
      <c r="R607" s="3"/>
      <c r="S607" s="35"/>
      <c r="T607" s="35"/>
      <c r="U607" s="35"/>
      <c r="V607" s="3"/>
      <c r="W607" s="3"/>
    </row>
    <row r="608" spans="15:23">
      <c r="O608" s="35"/>
      <c r="P608" s="35"/>
      <c r="Q608" s="35"/>
      <c r="R608" s="3"/>
      <c r="S608" s="35"/>
      <c r="T608" s="35"/>
      <c r="U608" s="35"/>
      <c r="V608" s="3"/>
      <c r="W608" s="3"/>
    </row>
    <row r="609" spans="15:23">
      <c r="O609" s="35"/>
      <c r="P609" s="35"/>
      <c r="Q609" s="35"/>
      <c r="R609" s="3"/>
      <c r="S609" s="35"/>
      <c r="T609" s="35"/>
      <c r="U609" s="35"/>
      <c r="V609" s="3"/>
      <c r="W609" s="3"/>
    </row>
    <row r="610" spans="15:23">
      <c r="O610" s="35"/>
      <c r="P610" s="35"/>
      <c r="Q610" s="35"/>
      <c r="R610" s="3"/>
      <c r="S610" s="35"/>
      <c r="T610" s="35"/>
      <c r="U610" s="35"/>
      <c r="V610" s="3"/>
      <c r="W610" s="3"/>
    </row>
    <row r="611" spans="15:23">
      <c r="O611" s="35"/>
      <c r="P611" s="35"/>
      <c r="Q611" s="35"/>
      <c r="R611" s="3"/>
      <c r="S611" s="35"/>
      <c r="T611" s="35"/>
      <c r="U611" s="35"/>
      <c r="V611" s="3"/>
      <c r="W611" s="3"/>
    </row>
    <row r="612" spans="15:23">
      <c r="O612" s="35"/>
      <c r="P612" s="35"/>
      <c r="Q612" s="35"/>
      <c r="R612" s="3"/>
      <c r="S612" s="35"/>
      <c r="T612" s="35"/>
      <c r="U612" s="35"/>
      <c r="V612" s="3"/>
      <c r="W612" s="3"/>
    </row>
    <row r="613" spans="15:23">
      <c r="O613" s="35"/>
      <c r="P613" s="35"/>
      <c r="Q613" s="35"/>
      <c r="R613" s="3"/>
      <c r="S613" s="35"/>
      <c r="T613" s="35"/>
      <c r="U613" s="35"/>
      <c r="V613" s="3"/>
      <c r="W613" s="3"/>
    </row>
    <row r="614" spans="15:23">
      <c r="O614" s="35"/>
      <c r="P614" s="35"/>
      <c r="Q614" s="35"/>
      <c r="R614" s="3"/>
      <c r="S614" s="35"/>
      <c r="T614" s="35"/>
      <c r="U614" s="35"/>
      <c r="V614" s="3"/>
      <c r="W614" s="3"/>
    </row>
    <row r="615" spans="15:23">
      <c r="O615" s="35"/>
      <c r="P615" s="35"/>
      <c r="Q615" s="35"/>
      <c r="R615" s="3"/>
      <c r="S615" s="35"/>
      <c r="T615" s="35"/>
      <c r="U615" s="35"/>
      <c r="V615" s="3"/>
      <c r="W615" s="3"/>
    </row>
    <row r="616" spans="15:23">
      <c r="O616" s="35"/>
      <c r="P616" s="35"/>
      <c r="Q616" s="35"/>
      <c r="R616" s="3"/>
      <c r="S616" s="35"/>
      <c r="T616" s="35"/>
      <c r="U616" s="35"/>
      <c r="V616" s="3"/>
      <c r="W616" s="3"/>
    </row>
    <row r="617" spans="15:23">
      <c r="O617" s="35"/>
      <c r="P617" s="35"/>
      <c r="Q617" s="35"/>
      <c r="R617" s="3"/>
      <c r="S617" s="35"/>
      <c r="T617" s="35"/>
      <c r="U617" s="35"/>
      <c r="V617" s="3"/>
      <c r="W617" s="3"/>
    </row>
    <row r="618" spans="15:23">
      <c r="O618" s="35"/>
      <c r="P618" s="35"/>
      <c r="Q618" s="35"/>
      <c r="R618" s="3"/>
      <c r="S618" s="35"/>
      <c r="T618" s="35"/>
      <c r="U618" s="35"/>
      <c r="V618" s="3"/>
      <c r="W618" s="3"/>
    </row>
    <row r="619" spans="15:23">
      <c r="O619" s="35"/>
      <c r="P619" s="35"/>
      <c r="Q619" s="35"/>
      <c r="R619" s="3"/>
      <c r="S619" s="35"/>
      <c r="T619" s="35"/>
      <c r="U619" s="35"/>
      <c r="V619" s="3"/>
      <c r="W619" s="3"/>
    </row>
    <row r="620" spans="15:23">
      <c r="O620" s="35"/>
      <c r="P620" s="35"/>
      <c r="Q620" s="35"/>
      <c r="R620" s="3"/>
      <c r="S620" s="35"/>
      <c r="T620" s="35"/>
      <c r="U620" s="35"/>
      <c r="V620" s="3"/>
      <c r="W620" s="3"/>
    </row>
    <row r="621" spans="15:23">
      <c r="O621" s="35"/>
      <c r="P621" s="35"/>
      <c r="Q621" s="35"/>
      <c r="R621" s="3"/>
      <c r="S621" s="35"/>
      <c r="T621" s="35"/>
      <c r="U621" s="35"/>
      <c r="V621" s="3"/>
      <c r="W621" s="3"/>
    </row>
    <row r="622" spans="15:23">
      <c r="O622" s="35"/>
      <c r="P622" s="35"/>
      <c r="Q622" s="35"/>
      <c r="R622" s="3"/>
      <c r="S622" s="35"/>
      <c r="T622" s="35"/>
      <c r="U622" s="35"/>
      <c r="V622" s="3"/>
      <c r="W622" s="3"/>
    </row>
    <row r="623" spans="15:23">
      <c r="O623" s="35"/>
      <c r="P623" s="35"/>
      <c r="Q623" s="35"/>
      <c r="R623" s="3"/>
      <c r="S623" s="35"/>
      <c r="T623" s="35"/>
      <c r="U623" s="35"/>
      <c r="V623" s="3"/>
      <c r="W623" s="3"/>
    </row>
    <row r="624" spans="15:23">
      <c r="O624" s="35"/>
      <c r="P624" s="35"/>
      <c r="Q624" s="35"/>
      <c r="R624" s="3"/>
      <c r="S624" s="35"/>
      <c r="T624" s="35"/>
      <c r="U624" s="35"/>
      <c r="V624" s="3"/>
      <c r="W624" s="3"/>
    </row>
    <row r="625" spans="15:23">
      <c r="O625" s="35"/>
      <c r="P625" s="35"/>
      <c r="Q625" s="35"/>
      <c r="R625" s="3"/>
      <c r="S625" s="35"/>
      <c r="T625" s="35"/>
      <c r="U625" s="35"/>
      <c r="V625" s="3"/>
      <c r="W625" s="3"/>
    </row>
    <row r="626" spans="15:23">
      <c r="O626" s="35"/>
      <c r="P626" s="35"/>
      <c r="Q626" s="35"/>
      <c r="R626" s="3"/>
      <c r="S626" s="35"/>
      <c r="T626" s="35"/>
      <c r="U626" s="35"/>
      <c r="V626" s="3"/>
      <c r="W626" s="3"/>
    </row>
    <row r="627" spans="15:23">
      <c r="O627" s="35"/>
      <c r="P627" s="35"/>
      <c r="Q627" s="35"/>
      <c r="R627" s="3"/>
      <c r="S627" s="35"/>
      <c r="T627" s="35"/>
      <c r="U627" s="35"/>
      <c r="V627" s="3"/>
      <c r="W627" s="3"/>
    </row>
    <row r="628" spans="15:23">
      <c r="O628" s="35"/>
      <c r="P628" s="35"/>
      <c r="Q628" s="35"/>
      <c r="R628" s="3"/>
      <c r="S628" s="35"/>
      <c r="T628" s="35"/>
      <c r="U628" s="35"/>
      <c r="V628" s="3"/>
      <c r="W628" s="3"/>
    </row>
    <row r="629" spans="15:23">
      <c r="O629" s="35"/>
      <c r="P629" s="35"/>
      <c r="Q629" s="35"/>
      <c r="R629" s="3"/>
      <c r="S629" s="35"/>
      <c r="T629" s="35"/>
      <c r="U629" s="35"/>
      <c r="V629" s="3"/>
      <c r="W629" s="3"/>
    </row>
    <row r="630" spans="15:23">
      <c r="O630" s="35"/>
      <c r="P630" s="35"/>
      <c r="Q630" s="35"/>
      <c r="R630" s="3"/>
      <c r="S630" s="35"/>
      <c r="T630" s="35"/>
      <c r="U630" s="35"/>
      <c r="V630" s="3"/>
      <c r="W630" s="3"/>
    </row>
    <row r="631" spans="15:23">
      <c r="O631" s="35"/>
      <c r="P631" s="35"/>
      <c r="Q631" s="35"/>
      <c r="R631" s="3"/>
      <c r="S631" s="35"/>
      <c r="T631" s="35"/>
      <c r="U631" s="35"/>
      <c r="V631" s="3"/>
      <c r="W631" s="3"/>
    </row>
    <row r="632" spans="15:23">
      <c r="O632" s="35"/>
      <c r="P632" s="35"/>
      <c r="Q632" s="35"/>
      <c r="R632" s="3"/>
      <c r="S632" s="35"/>
      <c r="T632" s="35"/>
      <c r="U632" s="35"/>
      <c r="V632" s="3"/>
      <c r="W632" s="3"/>
    </row>
    <row r="633" spans="15:23">
      <c r="O633" s="35"/>
      <c r="P633" s="35"/>
      <c r="Q633" s="35"/>
      <c r="R633" s="3"/>
      <c r="S633" s="35"/>
      <c r="T633" s="35"/>
      <c r="U633" s="35"/>
      <c r="V633" s="3"/>
      <c r="W633" s="3"/>
    </row>
    <row r="634" spans="15:23">
      <c r="O634" s="35"/>
      <c r="P634" s="35"/>
      <c r="Q634" s="35"/>
      <c r="R634" s="3"/>
      <c r="S634" s="35"/>
      <c r="T634" s="35"/>
      <c r="U634" s="35"/>
      <c r="V634" s="3"/>
      <c r="W634" s="3"/>
    </row>
    <row r="635" spans="15:23">
      <c r="O635" s="35"/>
      <c r="P635" s="35"/>
      <c r="Q635" s="35"/>
      <c r="R635" s="3"/>
      <c r="S635" s="35"/>
      <c r="T635" s="35"/>
      <c r="U635" s="35"/>
      <c r="V635" s="3"/>
      <c r="W635" s="3"/>
    </row>
    <row r="636" spans="15:23">
      <c r="O636" s="35"/>
      <c r="P636" s="35"/>
      <c r="Q636" s="35"/>
      <c r="R636" s="3"/>
      <c r="S636" s="35"/>
      <c r="T636" s="35"/>
      <c r="U636" s="35"/>
      <c r="V636" s="3"/>
      <c r="W636" s="3"/>
    </row>
    <row r="637" spans="15:23">
      <c r="O637" s="35"/>
      <c r="P637" s="35"/>
      <c r="Q637" s="35"/>
      <c r="R637" s="3"/>
      <c r="S637" s="35"/>
      <c r="T637" s="35"/>
      <c r="U637" s="35"/>
      <c r="V637" s="3"/>
      <c r="W637" s="3"/>
    </row>
    <row r="638" spans="15:23">
      <c r="O638" s="35"/>
      <c r="P638" s="35"/>
      <c r="Q638" s="35"/>
      <c r="R638" s="3"/>
      <c r="S638" s="35"/>
      <c r="T638" s="35"/>
      <c r="U638" s="35"/>
      <c r="V638" s="3"/>
      <c r="W638" s="3"/>
    </row>
    <row r="639" spans="15:23">
      <c r="O639" s="35"/>
      <c r="P639" s="35"/>
      <c r="Q639" s="35"/>
      <c r="R639" s="3"/>
      <c r="S639" s="35"/>
      <c r="T639" s="35"/>
      <c r="U639" s="35"/>
      <c r="V639" s="3"/>
      <c r="W639" s="3"/>
    </row>
    <row r="640" spans="15:23">
      <c r="O640" s="35"/>
      <c r="P640" s="35"/>
      <c r="Q640" s="35"/>
      <c r="R640" s="3"/>
      <c r="S640" s="35"/>
      <c r="T640" s="35"/>
      <c r="U640" s="35"/>
      <c r="V640" s="3"/>
      <c r="W640" s="3"/>
    </row>
    <row r="641" spans="15:23">
      <c r="O641" s="35"/>
      <c r="P641" s="35"/>
      <c r="Q641" s="35"/>
      <c r="R641" s="3"/>
      <c r="S641" s="35"/>
      <c r="T641" s="35"/>
      <c r="U641" s="35"/>
      <c r="V641" s="3"/>
      <c r="W641" s="3"/>
    </row>
    <row r="642" spans="15:23">
      <c r="O642" s="35"/>
      <c r="P642" s="35"/>
      <c r="Q642" s="35"/>
      <c r="R642" s="3"/>
      <c r="S642" s="35"/>
      <c r="T642" s="35"/>
      <c r="U642" s="35"/>
      <c r="V642" s="3"/>
      <c r="W642" s="3"/>
    </row>
    <row r="643" spans="15:23">
      <c r="O643" s="35"/>
      <c r="P643" s="35"/>
      <c r="Q643" s="35"/>
      <c r="R643" s="3"/>
      <c r="S643" s="35"/>
      <c r="T643" s="35"/>
      <c r="U643" s="35"/>
      <c r="V643" s="3"/>
      <c r="W643" s="3"/>
    </row>
    <row r="644" spans="15:23">
      <c r="O644" s="35"/>
      <c r="P644" s="35"/>
      <c r="Q644" s="35"/>
      <c r="R644" s="3"/>
      <c r="S644" s="35"/>
      <c r="T644" s="35"/>
      <c r="U644" s="35"/>
      <c r="V644" s="3"/>
      <c r="W644" s="3"/>
    </row>
    <row r="645" spans="15:23">
      <c r="O645" s="35"/>
      <c r="P645" s="35"/>
      <c r="Q645" s="35"/>
      <c r="R645" s="3"/>
      <c r="S645" s="35"/>
      <c r="T645" s="35"/>
      <c r="U645" s="35"/>
      <c r="V645" s="3"/>
      <c r="W645" s="3"/>
    </row>
    <row r="646" spans="15:23">
      <c r="O646" s="35"/>
      <c r="P646" s="35"/>
      <c r="Q646" s="35"/>
      <c r="R646" s="3"/>
      <c r="S646" s="35"/>
      <c r="T646" s="35"/>
      <c r="U646" s="35"/>
      <c r="V646" s="3"/>
      <c r="W646" s="3"/>
    </row>
    <row r="647" spans="15:23">
      <c r="O647" s="35"/>
      <c r="P647" s="35"/>
      <c r="Q647" s="35"/>
      <c r="R647" s="3"/>
      <c r="S647" s="35"/>
      <c r="T647" s="35"/>
      <c r="U647" s="35"/>
      <c r="V647" s="3"/>
      <c r="W647" s="3"/>
    </row>
    <row r="648" spans="15:23">
      <c r="O648" s="35"/>
      <c r="P648" s="35"/>
      <c r="Q648" s="35"/>
      <c r="R648" s="3"/>
      <c r="S648" s="35"/>
      <c r="T648" s="35"/>
      <c r="U648" s="35"/>
      <c r="V648" s="3"/>
      <c r="W648" s="3"/>
    </row>
    <row r="649" spans="15:23">
      <c r="O649" s="35"/>
      <c r="P649" s="35"/>
      <c r="Q649" s="35"/>
      <c r="R649" s="3"/>
      <c r="S649" s="35"/>
      <c r="T649" s="35"/>
      <c r="U649" s="35"/>
      <c r="V649" s="3"/>
      <c r="W649" s="3"/>
    </row>
  </sheetData>
  <mergeCells count="60">
    <mergeCell ref="I63:I70"/>
    <mergeCell ref="D63:D70"/>
    <mergeCell ref="E63:E70"/>
    <mergeCell ref="F63:F70"/>
    <mergeCell ref="G63:G70"/>
    <mergeCell ref="H63:H70"/>
    <mergeCell ref="C7:C14"/>
    <mergeCell ref="D7:D14"/>
    <mergeCell ref="E7:E14"/>
    <mergeCell ref="F7:F14"/>
    <mergeCell ref="G7:G14"/>
    <mergeCell ref="C71:I71"/>
    <mergeCell ref="C47:C54"/>
    <mergeCell ref="D47:D54"/>
    <mergeCell ref="E47:E54"/>
    <mergeCell ref="F47:F54"/>
    <mergeCell ref="G47:G54"/>
    <mergeCell ref="H47:H54"/>
    <mergeCell ref="C55:C62"/>
    <mergeCell ref="D55:D62"/>
    <mergeCell ref="E55:E62"/>
    <mergeCell ref="F55:F62"/>
    <mergeCell ref="G55:G62"/>
    <mergeCell ref="H55:H62"/>
    <mergeCell ref="I55:I62"/>
    <mergeCell ref="I47:I54"/>
    <mergeCell ref="C63:C70"/>
    <mergeCell ref="H39:H46"/>
    <mergeCell ref="C31:C38"/>
    <mergeCell ref="D31:D38"/>
    <mergeCell ref="E31:E38"/>
    <mergeCell ref="F31:F38"/>
    <mergeCell ref="G31:G38"/>
    <mergeCell ref="H31:H38"/>
    <mergeCell ref="C39:C46"/>
    <mergeCell ref="D39:D46"/>
    <mergeCell ref="E39:E46"/>
    <mergeCell ref="F39:F46"/>
    <mergeCell ref="G39:G46"/>
    <mergeCell ref="C2:I4"/>
    <mergeCell ref="C5:I5"/>
    <mergeCell ref="C6:I6"/>
    <mergeCell ref="H23:H30"/>
    <mergeCell ref="C15:C22"/>
    <mergeCell ref="D15:D22"/>
    <mergeCell ref="E15:E22"/>
    <mergeCell ref="F15:F22"/>
    <mergeCell ref="G15:G22"/>
    <mergeCell ref="H15:H22"/>
    <mergeCell ref="C23:C30"/>
    <mergeCell ref="D23:D30"/>
    <mergeCell ref="E23:E30"/>
    <mergeCell ref="F23:F30"/>
    <mergeCell ref="G23:G30"/>
    <mergeCell ref="H7:H14"/>
    <mergeCell ref="I39:I46"/>
    <mergeCell ref="I31:I38"/>
    <mergeCell ref="I23:I30"/>
    <mergeCell ref="I15:I22"/>
    <mergeCell ref="I7:I14"/>
  </mergeCells>
  <phoneticPr fontId="6"/>
  <printOptions horizontalCentered="1"/>
  <pageMargins left="0.70866141732283472" right="0.70866141732283472" top="0.74803149606299213" bottom="0.74803149606299213" header="0.31496062992125984" footer="0.31496062992125984"/>
  <pageSetup paperSize="8" scale="80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X551"/>
  <sheetViews>
    <sheetView showGridLines="0" zoomScale="80" zoomScaleNormal="80" zoomScaleSheetLayoutView="70" workbookViewId="0">
      <pane xSplit="10" ySplit="1" topLeftCell="K2" activePane="bottomRight" state="frozen"/>
      <selection pane="topRight"/>
      <selection pane="bottomLeft"/>
      <selection pane="bottomRight" activeCell="B7" sqref="B7:B15"/>
    </sheetView>
  </sheetViews>
  <sheetFormatPr defaultRowHeight="12"/>
  <cols>
    <col min="1" max="1" width="9.08984375" style="279" bestFit="1" customWidth="1"/>
    <col min="2" max="2" width="7.08984375" style="279" bestFit="1" customWidth="1"/>
    <col min="3" max="3" width="4.90625" style="3" customWidth="1"/>
    <col min="4" max="5" width="5.08984375" style="3" customWidth="1"/>
    <col min="6" max="6" width="9.6328125" style="3" customWidth="1"/>
    <col min="7" max="8" width="11.90625" style="3" customWidth="1"/>
    <col min="9" max="9" width="9.08984375" style="3" customWidth="1"/>
    <col min="10" max="10" width="10.90625" style="3" customWidth="1"/>
    <col min="11" max="14" width="13.36328125" style="35" customWidth="1"/>
    <col min="15" max="15" width="13.36328125" style="135" customWidth="1"/>
    <col min="16" max="16" width="13.36328125" style="4" customWidth="1"/>
    <col min="17" max="17" width="13.36328125" style="40" customWidth="1"/>
    <col min="18" max="18" width="13.36328125" style="4" customWidth="1"/>
    <col min="19" max="19" width="13.36328125" style="40" customWidth="1"/>
    <col min="20" max="20" width="13.36328125" style="4" customWidth="1"/>
    <col min="21" max="21" width="13.36328125" style="40" customWidth="1"/>
    <col min="22" max="22" width="13.90625" style="4" customWidth="1"/>
    <col min="23" max="23" width="16.453125" style="5" customWidth="1"/>
    <col min="24" max="258" width="9" style="3"/>
    <col min="259" max="259" width="9.90625" style="3" customWidth="1"/>
    <col min="260" max="261" width="5.08984375" style="3" customWidth="1"/>
    <col min="262" max="262" width="9.6328125" style="3" customWidth="1"/>
    <col min="263" max="264" width="11.90625" style="3" customWidth="1"/>
    <col min="265" max="265" width="15.36328125" style="3" customWidth="1"/>
    <col min="266" max="266" width="10.90625" style="3" customWidth="1"/>
    <col min="267" max="277" width="13.36328125" style="3" customWidth="1"/>
    <col min="278" max="278" width="13.90625" style="3" customWidth="1"/>
    <col min="279" max="279" width="16.453125" style="3" customWidth="1"/>
    <col min="280" max="514" width="9" style="3"/>
    <col min="515" max="515" width="9.90625" style="3" customWidth="1"/>
    <col min="516" max="517" width="5.08984375" style="3" customWidth="1"/>
    <col min="518" max="518" width="9.6328125" style="3" customWidth="1"/>
    <col min="519" max="520" width="11.90625" style="3" customWidth="1"/>
    <col min="521" max="521" width="15.36328125" style="3" customWidth="1"/>
    <col min="522" max="522" width="10.90625" style="3" customWidth="1"/>
    <col min="523" max="533" width="13.36328125" style="3" customWidth="1"/>
    <col min="534" max="534" width="13.90625" style="3" customWidth="1"/>
    <col min="535" max="535" width="16.453125" style="3" customWidth="1"/>
    <col min="536" max="770" width="9" style="3"/>
    <col min="771" max="771" width="9.90625" style="3" customWidth="1"/>
    <col min="772" max="773" width="5.08984375" style="3" customWidth="1"/>
    <col min="774" max="774" width="9.6328125" style="3" customWidth="1"/>
    <col min="775" max="776" width="11.90625" style="3" customWidth="1"/>
    <col min="777" max="777" width="15.36328125" style="3" customWidth="1"/>
    <col min="778" max="778" width="10.90625" style="3" customWidth="1"/>
    <col min="779" max="789" width="13.36328125" style="3" customWidth="1"/>
    <col min="790" max="790" width="13.90625" style="3" customWidth="1"/>
    <col min="791" max="791" width="16.453125" style="3" customWidth="1"/>
    <col min="792" max="1026" width="9" style="3"/>
    <col min="1027" max="1027" width="9.90625" style="3" customWidth="1"/>
    <col min="1028" max="1029" width="5.08984375" style="3" customWidth="1"/>
    <col min="1030" max="1030" width="9.6328125" style="3" customWidth="1"/>
    <col min="1031" max="1032" width="11.90625" style="3" customWidth="1"/>
    <col min="1033" max="1033" width="15.36328125" style="3" customWidth="1"/>
    <col min="1034" max="1034" width="10.90625" style="3" customWidth="1"/>
    <col min="1035" max="1045" width="13.36328125" style="3" customWidth="1"/>
    <col min="1046" max="1046" width="13.90625" style="3" customWidth="1"/>
    <col min="1047" max="1047" width="16.453125" style="3" customWidth="1"/>
    <col min="1048" max="1282" width="9" style="3"/>
    <col min="1283" max="1283" width="9.90625" style="3" customWidth="1"/>
    <col min="1284" max="1285" width="5.08984375" style="3" customWidth="1"/>
    <col min="1286" max="1286" width="9.6328125" style="3" customWidth="1"/>
    <col min="1287" max="1288" width="11.90625" style="3" customWidth="1"/>
    <col min="1289" max="1289" width="15.36328125" style="3" customWidth="1"/>
    <col min="1290" max="1290" width="10.90625" style="3" customWidth="1"/>
    <col min="1291" max="1301" width="13.36328125" style="3" customWidth="1"/>
    <col min="1302" max="1302" width="13.90625" style="3" customWidth="1"/>
    <col min="1303" max="1303" width="16.453125" style="3" customWidth="1"/>
    <col min="1304" max="1538" width="9" style="3"/>
    <col min="1539" max="1539" width="9.90625" style="3" customWidth="1"/>
    <col min="1540" max="1541" width="5.08984375" style="3" customWidth="1"/>
    <col min="1542" max="1542" width="9.6328125" style="3" customWidth="1"/>
    <col min="1543" max="1544" width="11.90625" style="3" customWidth="1"/>
    <col min="1545" max="1545" width="15.36328125" style="3" customWidth="1"/>
    <col min="1546" max="1546" width="10.90625" style="3" customWidth="1"/>
    <col min="1547" max="1557" width="13.36328125" style="3" customWidth="1"/>
    <col min="1558" max="1558" width="13.90625" style="3" customWidth="1"/>
    <col min="1559" max="1559" width="16.453125" style="3" customWidth="1"/>
    <col min="1560" max="1794" width="9" style="3"/>
    <col min="1795" max="1795" width="9.90625" style="3" customWidth="1"/>
    <col min="1796" max="1797" width="5.08984375" style="3" customWidth="1"/>
    <col min="1798" max="1798" width="9.6328125" style="3" customWidth="1"/>
    <col min="1799" max="1800" width="11.90625" style="3" customWidth="1"/>
    <col min="1801" max="1801" width="15.36328125" style="3" customWidth="1"/>
    <col min="1802" max="1802" width="10.90625" style="3" customWidth="1"/>
    <col min="1803" max="1813" width="13.36328125" style="3" customWidth="1"/>
    <col min="1814" max="1814" width="13.90625" style="3" customWidth="1"/>
    <col min="1815" max="1815" width="16.453125" style="3" customWidth="1"/>
    <col min="1816" max="2050" width="9" style="3"/>
    <col min="2051" max="2051" width="9.90625" style="3" customWidth="1"/>
    <col min="2052" max="2053" width="5.08984375" style="3" customWidth="1"/>
    <col min="2054" max="2054" width="9.6328125" style="3" customWidth="1"/>
    <col min="2055" max="2056" width="11.90625" style="3" customWidth="1"/>
    <col min="2057" max="2057" width="15.36328125" style="3" customWidth="1"/>
    <col min="2058" max="2058" width="10.90625" style="3" customWidth="1"/>
    <col min="2059" max="2069" width="13.36328125" style="3" customWidth="1"/>
    <col min="2070" max="2070" width="13.90625" style="3" customWidth="1"/>
    <col min="2071" max="2071" width="16.453125" style="3" customWidth="1"/>
    <col min="2072" max="2306" width="9" style="3"/>
    <col min="2307" max="2307" width="9.90625" style="3" customWidth="1"/>
    <col min="2308" max="2309" width="5.08984375" style="3" customWidth="1"/>
    <col min="2310" max="2310" width="9.6328125" style="3" customWidth="1"/>
    <col min="2311" max="2312" width="11.90625" style="3" customWidth="1"/>
    <col min="2313" max="2313" width="15.36328125" style="3" customWidth="1"/>
    <col min="2314" max="2314" width="10.90625" style="3" customWidth="1"/>
    <col min="2315" max="2325" width="13.36328125" style="3" customWidth="1"/>
    <col min="2326" max="2326" width="13.90625" style="3" customWidth="1"/>
    <col min="2327" max="2327" width="16.453125" style="3" customWidth="1"/>
    <col min="2328" max="2562" width="9" style="3"/>
    <col min="2563" max="2563" width="9.90625" style="3" customWidth="1"/>
    <col min="2564" max="2565" width="5.08984375" style="3" customWidth="1"/>
    <col min="2566" max="2566" width="9.6328125" style="3" customWidth="1"/>
    <col min="2567" max="2568" width="11.90625" style="3" customWidth="1"/>
    <col min="2569" max="2569" width="15.36328125" style="3" customWidth="1"/>
    <col min="2570" max="2570" width="10.90625" style="3" customWidth="1"/>
    <col min="2571" max="2581" width="13.36328125" style="3" customWidth="1"/>
    <col min="2582" max="2582" width="13.90625" style="3" customWidth="1"/>
    <col min="2583" max="2583" width="16.453125" style="3" customWidth="1"/>
    <col min="2584" max="2818" width="9" style="3"/>
    <col min="2819" max="2819" width="9.90625" style="3" customWidth="1"/>
    <col min="2820" max="2821" width="5.08984375" style="3" customWidth="1"/>
    <col min="2822" max="2822" width="9.6328125" style="3" customWidth="1"/>
    <col min="2823" max="2824" width="11.90625" style="3" customWidth="1"/>
    <col min="2825" max="2825" width="15.36328125" style="3" customWidth="1"/>
    <col min="2826" max="2826" width="10.90625" style="3" customWidth="1"/>
    <col min="2827" max="2837" width="13.36328125" style="3" customWidth="1"/>
    <col min="2838" max="2838" width="13.90625" style="3" customWidth="1"/>
    <col min="2839" max="2839" width="16.453125" style="3" customWidth="1"/>
    <col min="2840" max="3074" width="9" style="3"/>
    <col min="3075" max="3075" width="9.90625" style="3" customWidth="1"/>
    <col min="3076" max="3077" width="5.08984375" style="3" customWidth="1"/>
    <col min="3078" max="3078" width="9.6328125" style="3" customWidth="1"/>
    <col min="3079" max="3080" width="11.90625" style="3" customWidth="1"/>
    <col min="3081" max="3081" width="15.36328125" style="3" customWidth="1"/>
    <col min="3082" max="3082" width="10.90625" style="3" customWidth="1"/>
    <col min="3083" max="3093" width="13.36328125" style="3" customWidth="1"/>
    <col min="3094" max="3094" width="13.90625" style="3" customWidth="1"/>
    <col min="3095" max="3095" width="16.453125" style="3" customWidth="1"/>
    <col min="3096" max="3330" width="9" style="3"/>
    <col min="3331" max="3331" width="9.90625" style="3" customWidth="1"/>
    <col min="3332" max="3333" width="5.08984375" style="3" customWidth="1"/>
    <col min="3334" max="3334" width="9.6328125" style="3" customWidth="1"/>
    <col min="3335" max="3336" width="11.90625" style="3" customWidth="1"/>
    <col min="3337" max="3337" width="15.36328125" style="3" customWidth="1"/>
    <col min="3338" max="3338" width="10.90625" style="3" customWidth="1"/>
    <col min="3339" max="3349" width="13.36328125" style="3" customWidth="1"/>
    <col min="3350" max="3350" width="13.90625" style="3" customWidth="1"/>
    <col min="3351" max="3351" width="16.453125" style="3" customWidth="1"/>
    <col min="3352" max="3586" width="9" style="3"/>
    <col min="3587" max="3587" width="9.90625" style="3" customWidth="1"/>
    <col min="3588" max="3589" width="5.08984375" style="3" customWidth="1"/>
    <col min="3590" max="3590" width="9.6328125" style="3" customWidth="1"/>
    <col min="3591" max="3592" width="11.90625" style="3" customWidth="1"/>
    <col min="3593" max="3593" width="15.36328125" style="3" customWidth="1"/>
    <col min="3594" max="3594" width="10.90625" style="3" customWidth="1"/>
    <col min="3595" max="3605" width="13.36328125" style="3" customWidth="1"/>
    <col min="3606" max="3606" width="13.90625" style="3" customWidth="1"/>
    <col min="3607" max="3607" width="16.453125" style="3" customWidth="1"/>
    <col min="3608" max="3842" width="9" style="3"/>
    <col min="3843" max="3843" width="9.90625" style="3" customWidth="1"/>
    <col min="3844" max="3845" width="5.08984375" style="3" customWidth="1"/>
    <col min="3846" max="3846" width="9.6328125" style="3" customWidth="1"/>
    <col min="3847" max="3848" width="11.90625" style="3" customWidth="1"/>
    <col min="3849" max="3849" width="15.36328125" style="3" customWidth="1"/>
    <col min="3850" max="3850" width="10.90625" style="3" customWidth="1"/>
    <col min="3851" max="3861" width="13.36328125" style="3" customWidth="1"/>
    <col min="3862" max="3862" width="13.90625" style="3" customWidth="1"/>
    <col min="3863" max="3863" width="16.453125" style="3" customWidth="1"/>
    <col min="3864" max="4098" width="9" style="3"/>
    <col min="4099" max="4099" width="9.90625" style="3" customWidth="1"/>
    <col min="4100" max="4101" width="5.08984375" style="3" customWidth="1"/>
    <col min="4102" max="4102" width="9.6328125" style="3" customWidth="1"/>
    <col min="4103" max="4104" width="11.90625" style="3" customWidth="1"/>
    <col min="4105" max="4105" width="15.36328125" style="3" customWidth="1"/>
    <col min="4106" max="4106" width="10.90625" style="3" customWidth="1"/>
    <col min="4107" max="4117" width="13.36328125" style="3" customWidth="1"/>
    <col min="4118" max="4118" width="13.90625" style="3" customWidth="1"/>
    <col min="4119" max="4119" width="16.453125" style="3" customWidth="1"/>
    <col min="4120" max="4354" width="9" style="3"/>
    <col min="4355" max="4355" width="9.90625" style="3" customWidth="1"/>
    <col min="4356" max="4357" width="5.08984375" style="3" customWidth="1"/>
    <col min="4358" max="4358" width="9.6328125" style="3" customWidth="1"/>
    <col min="4359" max="4360" width="11.90625" style="3" customWidth="1"/>
    <col min="4361" max="4361" width="15.36328125" style="3" customWidth="1"/>
    <col min="4362" max="4362" width="10.90625" style="3" customWidth="1"/>
    <col min="4363" max="4373" width="13.36328125" style="3" customWidth="1"/>
    <col min="4374" max="4374" width="13.90625" style="3" customWidth="1"/>
    <col min="4375" max="4375" width="16.453125" style="3" customWidth="1"/>
    <col min="4376" max="4610" width="9" style="3"/>
    <col min="4611" max="4611" width="9.90625" style="3" customWidth="1"/>
    <col min="4612" max="4613" width="5.08984375" style="3" customWidth="1"/>
    <col min="4614" max="4614" width="9.6328125" style="3" customWidth="1"/>
    <col min="4615" max="4616" width="11.90625" style="3" customWidth="1"/>
    <col min="4617" max="4617" width="15.36328125" style="3" customWidth="1"/>
    <col min="4618" max="4618" width="10.90625" style="3" customWidth="1"/>
    <col min="4619" max="4629" width="13.36328125" style="3" customWidth="1"/>
    <col min="4630" max="4630" width="13.90625" style="3" customWidth="1"/>
    <col min="4631" max="4631" width="16.453125" style="3" customWidth="1"/>
    <col min="4632" max="4866" width="9" style="3"/>
    <col min="4867" max="4867" width="9.90625" style="3" customWidth="1"/>
    <col min="4868" max="4869" width="5.08984375" style="3" customWidth="1"/>
    <col min="4870" max="4870" width="9.6328125" style="3" customWidth="1"/>
    <col min="4871" max="4872" width="11.90625" style="3" customWidth="1"/>
    <col min="4873" max="4873" width="15.36328125" style="3" customWidth="1"/>
    <col min="4874" max="4874" width="10.90625" style="3" customWidth="1"/>
    <col min="4875" max="4885" width="13.36328125" style="3" customWidth="1"/>
    <col min="4886" max="4886" width="13.90625" style="3" customWidth="1"/>
    <col min="4887" max="4887" width="16.453125" style="3" customWidth="1"/>
    <col min="4888" max="5122" width="9" style="3"/>
    <col min="5123" max="5123" width="9.90625" style="3" customWidth="1"/>
    <col min="5124" max="5125" width="5.08984375" style="3" customWidth="1"/>
    <col min="5126" max="5126" width="9.6328125" style="3" customWidth="1"/>
    <col min="5127" max="5128" width="11.90625" style="3" customWidth="1"/>
    <col min="5129" max="5129" width="15.36328125" style="3" customWidth="1"/>
    <col min="5130" max="5130" width="10.90625" style="3" customWidth="1"/>
    <col min="5131" max="5141" width="13.36328125" style="3" customWidth="1"/>
    <col min="5142" max="5142" width="13.90625" style="3" customWidth="1"/>
    <col min="5143" max="5143" width="16.453125" style="3" customWidth="1"/>
    <col min="5144" max="5378" width="9" style="3"/>
    <col min="5379" max="5379" width="9.90625" style="3" customWidth="1"/>
    <col min="5380" max="5381" width="5.08984375" style="3" customWidth="1"/>
    <col min="5382" max="5382" width="9.6328125" style="3" customWidth="1"/>
    <col min="5383" max="5384" width="11.90625" style="3" customWidth="1"/>
    <col min="5385" max="5385" width="15.36328125" style="3" customWidth="1"/>
    <col min="5386" max="5386" width="10.90625" style="3" customWidth="1"/>
    <col min="5387" max="5397" width="13.36328125" style="3" customWidth="1"/>
    <col min="5398" max="5398" width="13.90625" style="3" customWidth="1"/>
    <col min="5399" max="5399" width="16.453125" style="3" customWidth="1"/>
    <col min="5400" max="5634" width="9" style="3"/>
    <col min="5635" max="5635" width="9.90625" style="3" customWidth="1"/>
    <col min="5636" max="5637" width="5.08984375" style="3" customWidth="1"/>
    <col min="5638" max="5638" width="9.6328125" style="3" customWidth="1"/>
    <col min="5639" max="5640" width="11.90625" style="3" customWidth="1"/>
    <col min="5641" max="5641" width="15.36328125" style="3" customWidth="1"/>
    <col min="5642" max="5642" width="10.90625" style="3" customWidth="1"/>
    <col min="5643" max="5653" width="13.36328125" style="3" customWidth="1"/>
    <col min="5654" max="5654" width="13.90625" style="3" customWidth="1"/>
    <col min="5655" max="5655" width="16.453125" style="3" customWidth="1"/>
    <col min="5656" max="5890" width="9" style="3"/>
    <col min="5891" max="5891" width="9.90625" style="3" customWidth="1"/>
    <col min="5892" max="5893" width="5.08984375" style="3" customWidth="1"/>
    <col min="5894" max="5894" width="9.6328125" style="3" customWidth="1"/>
    <col min="5895" max="5896" width="11.90625" style="3" customWidth="1"/>
    <col min="5897" max="5897" width="15.36328125" style="3" customWidth="1"/>
    <col min="5898" max="5898" width="10.90625" style="3" customWidth="1"/>
    <col min="5899" max="5909" width="13.36328125" style="3" customWidth="1"/>
    <col min="5910" max="5910" width="13.90625" style="3" customWidth="1"/>
    <col min="5911" max="5911" width="16.453125" style="3" customWidth="1"/>
    <col min="5912" max="6146" width="9" style="3"/>
    <col min="6147" max="6147" width="9.90625" style="3" customWidth="1"/>
    <col min="6148" max="6149" width="5.08984375" style="3" customWidth="1"/>
    <col min="6150" max="6150" width="9.6328125" style="3" customWidth="1"/>
    <col min="6151" max="6152" width="11.90625" style="3" customWidth="1"/>
    <col min="6153" max="6153" width="15.36328125" style="3" customWidth="1"/>
    <col min="6154" max="6154" width="10.90625" style="3" customWidth="1"/>
    <col min="6155" max="6165" width="13.36328125" style="3" customWidth="1"/>
    <col min="6166" max="6166" width="13.90625" style="3" customWidth="1"/>
    <col min="6167" max="6167" width="16.453125" style="3" customWidth="1"/>
    <col min="6168" max="6402" width="9" style="3"/>
    <col min="6403" max="6403" width="9.90625" style="3" customWidth="1"/>
    <col min="6404" max="6405" width="5.08984375" style="3" customWidth="1"/>
    <col min="6406" max="6406" width="9.6328125" style="3" customWidth="1"/>
    <col min="6407" max="6408" width="11.90625" style="3" customWidth="1"/>
    <col min="6409" max="6409" width="15.36328125" style="3" customWidth="1"/>
    <col min="6410" max="6410" width="10.90625" style="3" customWidth="1"/>
    <col min="6411" max="6421" width="13.36328125" style="3" customWidth="1"/>
    <col min="6422" max="6422" width="13.90625" style="3" customWidth="1"/>
    <col min="6423" max="6423" width="16.453125" style="3" customWidth="1"/>
    <col min="6424" max="6658" width="9" style="3"/>
    <col min="6659" max="6659" width="9.90625" style="3" customWidth="1"/>
    <col min="6660" max="6661" width="5.08984375" style="3" customWidth="1"/>
    <col min="6662" max="6662" width="9.6328125" style="3" customWidth="1"/>
    <col min="6663" max="6664" width="11.90625" style="3" customWidth="1"/>
    <col min="6665" max="6665" width="15.36328125" style="3" customWidth="1"/>
    <col min="6666" max="6666" width="10.90625" style="3" customWidth="1"/>
    <col min="6667" max="6677" width="13.36328125" style="3" customWidth="1"/>
    <col min="6678" max="6678" width="13.90625" style="3" customWidth="1"/>
    <col min="6679" max="6679" width="16.453125" style="3" customWidth="1"/>
    <col min="6680" max="6914" width="9" style="3"/>
    <col min="6915" max="6915" width="9.90625" style="3" customWidth="1"/>
    <col min="6916" max="6917" width="5.08984375" style="3" customWidth="1"/>
    <col min="6918" max="6918" width="9.6328125" style="3" customWidth="1"/>
    <col min="6919" max="6920" width="11.90625" style="3" customWidth="1"/>
    <col min="6921" max="6921" width="15.36328125" style="3" customWidth="1"/>
    <col min="6922" max="6922" width="10.90625" style="3" customWidth="1"/>
    <col min="6923" max="6933" width="13.36328125" style="3" customWidth="1"/>
    <col min="6934" max="6934" width="13.90625" style="3" customWidth="1"/>
    <col min="6935" max="6935" width="16.453125" style="3" customWidth="1"/>
    <col min="6936" max="7170" width="9" style="3"/>
    <col min="7171" max="7171" width="9.90625" style="3" customWidth="1"/>
    <col min="7172" max="7173" width="5.08984375" style="3" customWidth="1"/>
    <col min="7174" max="7174" width="9.6328125" style="3" customWidth="1"/>
    <col min="7175" max="7176" width="11.90625" style="3" customWidth="1"/>
    <col min="7177" max="7177" width="15.36328125" style="3" customWidth="1"/>
    <col min="7178" max="7178" width="10.90625" style="3" customWidth="1"/>
    <col min="7179" max="7189" width="13.36328125" style="3" customWidth="1"/>
    <col min="7190" max="7190" width="13.90625" style="3" customWidth="1"/>
    <col min="7191" max="7191" width="16.453125" style="3" customWidth="1"/>
    <col min="7192" max="7426" width="9" style="3"/>
    <col min="7427" max="7427" width="9.90625" style="3" customWidth="1"/>
    <col min="7428" max="7429" width="5.08984375" style="3" customWidth="1"/>
    <col min="7430" max="7430" width="9.6328125" style="3" customWidth="1"/>
    <col min="7431" max="7432" width="11.90625" style="3" customWidth="1"/>
    <col min="7433" max="7433" width="15.36328125" style="3" customWidth="1"/>
    <col min="7434" max="7434" width="10.90625" style="3" customWidth="1"/>
    <col min="7435" max="7445" width="13.36328125" style="3" customWidth="1"/>
    <col min="7446" max="7446" width="13.90625" style="3" customWidth="1"/>
    <col min="7447" max="7447" width="16.453125" style="3" customWidth="1"/>
    <col min="7448" max="7682" width="9" style="3"/>
    <col min="7683" max="7683" width="9.90625" style="3" customWidth="1"/>
    <col min="7684" max="7685" width="5.08984375" style="3" customWidth="1"/>
    <col min="7686" max="7686" width="9.6328125" style="3" customWidth="1"/>
    <col min="7687" max="7688" width="11.90625" style="3" customWidth="1"/>
    <col min="7689" max="7689" width="15.36328125" style="3" customWidth="1"/>
    <col min="7690" max="7690" width="10.90625" style="3" customWidth="1"/>
    <col min="7691" max="7701" width="13.36328125" style="3" customWidth="1"/>
    <col min="7702" max="7702" width="13.90625" style="3" customWidth="1"/>
    <col min="7703" max="7703" width="16.453125" style="3" customWidth="1"/>
    <col min="7704" max="7938" width="9" style="3"/>
    <col min="7939" max="7939" width="9.90625" style="3" customWidth="1"/>
    <col min="7940" max="7941" width="5.08984375" style="3" customWidth="1"/>
    <col min="7942" max="7942" width="9.6328125" style="3" customWidth="1"/>
    <col min="7943" max="7944" width="11.90625" style="3" customWidth="1"/>
    <col min="7945" max="7945" width="15.36328125" style="3" customWidth="1"/>
    <col min="7946" max="7946" width="10.90625" style="3" customWidth="1"/>
    <col min="7947" max="7957" width="13.36328125" style="3" customWidth="1"/>
    <col min="7958" max="7958" width="13.90625" style="3" customWidth="1"/>
    <col min="7959" max="7959" width="16.453125" style="3" customWidth="1"/>
    <col min="7960" max="8194" width="9" style="3"/>
    <col min="8195" max="8195" width="9.90625" style="3" customWidth="1"/>
    <col min="8196" max="8197" width="5.08984375" style="3" customWidth="1"/>
    <col min="8198" max="8198" width="9.6328125" style="3" customWidth="1"/>
    <col min="8199" max="8200" width="11.90625" style="3" customWidth="1"/>
    <col min="8201" max="8201" width="15.36328125" style="3" customWidth="1"/>
    <col min="8202" max="8202" width="10.90625" style="3" customWidth="1"/>
    <col min="8203" max="8213" width="13.36328125" style="3" customWidth="1"/>
    <col min="8214" max="8214" width="13.90625" style="3" customWidth="1"/>
    <col min="8215" max="8215" width="16.453125" style="3" customWidth="1"/>
    <col min="8216" max="8450" width="9" style="3"/>
    <col min="8451" max="8451" width="9.90625" style="3" customWidth="1"/>
    <col min="8452" max="8453" width="5.08984375" style="3" customWidth="1"/>
    <col min="8454" max="8454" width="9.6328125" style="3" customWidth="1"/>
    <col min="8455" max="8456" width="11.90625" style="3" customWidth="1"/>
    <col min="8457" max="8457" width="15.36328125" style="3" customWidth="1"/>
    <col min="8458" max="8458" width="10.90625" style="3" customWidth="1"/>
    <col min="8459" max="8469" width="13.36328125" style="3" customWidth="1"/>
    <col min="8470" max="8470" width="13.90625" style="3" customWidth="1"/>
    <col min="8471" max="8471" width="16.453125" style="3" customWidth="1"/>
    <col min="8472" max="8706" width="9" style="3"/>
    <col min="8707" max="8707" width="9.90625" style="3" customWidth="1"/>
    <col min="8708" max="8709" width="5.08984375" style="3" customWidth="1"/>
    <col min="8710" max="8710" width="9.6328125" style="3" customWidth="1"/>
    <col min="8711" max="8712" width="11.90625" style="3" customWidth="1"/>
    <col min="8713" max="8713" width="15.36328125" style="3" customWidth="1"/>
    <col min="8714" max="8714" width="10.90625" style="3" customWidth="1"/>
    <col min="8715" max="8725" width="13.36328125" style="3" customWidth="1"/>
    <col min="8726" max="8726" width="13.90625" style="3" customWidth="1"/>
    <col min="8727" max="8727" width="16.453125" style="3" customWidth="1"/>
    <col min="8728" max="8962" width="9" style="3"/>
    <col min="8963" max="8963" width="9.90625" style="3" customWidth="1"/>
    <col min="8964" max="8965" width="5.08984375" style="3" customWidth="1"/>
    <col min="8966" max="8966" width="9.6328125" style="3" customWidth="1"/>
    <col min="8967" max="8968" width="11.90625" style="3" customWidth="1"/>
    <col min="8969" max="8969" width="15.36328125" style="3" customWidth="1"/>
    <col min="8970" max="8970" width="10.90625" style="3" customWidth="1"/>
    <col min="8971" max="8981" width="13.36328125" style="3" customWidth="1"/>
    <col min="8982" max="8982" width="13.90625" style="3" customWidth="1"/>
    <col min="8983" max="8983" width="16.453125" style="3" customWidth="1"/>
    <col min="8984" max="9218" width="9" style="3"/>
    <col min="9219" max="9219" width="9.90625" style="3" customWidth="1"/>
    <col min="9220" max="9221" width="5.08984375" style="3" customWidth="1"/>
    <col min="9222" max="9222" width="9.6328125" style="3" customWidth="1"/>
    <col min="9223" max="9224" width="11.90625" style="3" customWidth="1"/>
    <col min="9225" max="9225" width="15.36328125" style="3" customWidth="1"/>
    <col min="9226" max="9226" width="10.90625" style="3" customWidth="1"/>
    <col min="9227" max="9237" width="13.36328125" style="3" customWidth="1"/>
    <col min="9238" max="9238" width="13.90625" style="3" customWidth="1"/>
    <col min="9239" max="9239" width="16.453125" style="3" customWidth="1"/>
    <col min="9240" max="9474" width="9" style="3"/>
    <col min="9475" max="9475" width="9.90625" style="3" customWidth="1"/>
    <col min="9476" max="9477" width="5.08984375" style="3" customWidth="1"/>
    <col min="9478" max="9478" width="9.6328125" style="3" customWidth="1"/>
    <col min="9479" max="9480" width="11.90625" style="3" customWidth="1"/>
    <col min="9481" max="9481" width="15.36328125" style="3" customWidth="1"/>
    <col min="9482" max="9482" width="10.90625" style="3" customWidth="1"/>
    <col min="9483" max="9493" width="13.36328125" style="3" customWidth="1"/>
    <col min="9494" max="9494" width="13.90625" style="3" customWidth="1"/>
    <col min="9495" max="9495" width="16.453125" style="3" customWidth="1"/>
    <col min="9496" max="9730" width="9" style="3"/>
    <col min="9731" max="9731" width="9.90625" style="3" customWidth="1"/>
    <col min="9732" max="9733" width="5.08984375" style="3" customWidth="1"/>
    <col min="9734" max="9734" width="9.6328125" style="3" customWidth="1"/>
    <col min="9735" max="9736" width="11.90625" style="3" customWidth="1"/>
    <col min="9737" max="9737" width="15.36328125" style="3" customWidth="1"/>
    <col min="9738" max="9738" width="10.90625" style="3" customWidth="1"/>
    <col min="9739" max="9749" width="13.36328125" style="3" customWidth="1"/>
    <col min="9750" max="9750" width="13.90625" style="3" customWidth="1"/>
    <col min="9751" max="9751" width="16.453125" style="3" customWidth="1"/>
    <col min="9752" max="9986" width="9" style="3"/>
    <col min="9987" max="9987" width="9.90625" style="3" customWidth="1"/>
    <col min="9988" max="9989" width="5.08984375" style="3" customWidth="1"/>
    <col min="9990" max="9990" width="9.6328125" style="3" customWidth="1"/>
    <col min="9991" max="9992" width="11.90625" style="3" customWidth="1"/>
    <col min="9993" max="9993" width="15.36328125" style="3" customWidth="1"/>
    <col min="9994" max="9994" width="10.90625" style="3" customWidth="1"/>
    <col min="9995" max="10005" width="13.36328125" style="3" customWidth="1"/>
    <col min="10006" max="10006" width="13.90625" style="3" customWidth="1"/>
    <col min="10007" max="10007" width="16.453125" style="3" customWidth="1"/>
    <col min="10008" max="10242" width="9" style="3"/>
    <col min="10243" max="10243" width="9.90625" style="3" customWidth="1"/>
    <col min="10244" max="10245" width="5.08984375" style="3" customWidth="1"/>
    <col min="10246" max="10246" width="9.6328125" style="3" customWidth="1"/>
    <col min="10247" max="10248" width="11.90625" style="3" customWidth="1"/>
    <col min="10249" max="10249" width="15.36328125" style="3" customWidth="1"/>
    <col min="10250" max="10250" width="10.90625" style="3" customWidth="1"/>
    <col min="10251" max="10261" width="13.36328125" style="3" customWidth="1"/>
    <col min="10262" max="10262" width="13.90625" style="3" customWidth="1"/>
    <col min="10263" max="10263" width="16.453125" style="3" customWidth="1"/>
    <col min="10264" max="10498" width="9" style="3"/>
    <col min="10499" max="10499" width="9.90625" style="3" customWidth="1"/>
    <col min="10500" max="10501" width="5.08984375" style="3" customWidth="1"/>
    <col min="10502" max="10502" width="9.6328125" style="3" customWidth="1"/>
    <col min="10503" max="10504" width="11.90625" style="3" customWidth="1"/>
    <col min="10505" max="10505" width="15.36328125" style="3" customWidth="1"/>
    <col min="10506" max="10506" width="10.90625" style="3" customWidth="1"/>
    <col min="10507" max="10517" width="13.36328125" style="3" customWidth="1"/>
    <col min="10518" max="10518" width="13.90625" style="3" customWidth="1"/>
    <col min="10519" max="10519" width="16.453125" style="3" customWidth="1"/>
    <col min="10520" max="10754" width="9" style="3"/>
    <col min="10755" max="10755" width="9.90625" style="3" customWidth="1"/>
    <col min="10756" max="10757" width="5.08984375" style="3" customWidth="1"/>
    <col min="10758" max="10758" width="9.6328125" style="3" customWidth="1"/>
    <col min="10759" max="10760" width="11.90625" style="3" customWidth="1"/>
    <col min="10761" max="10761" width="15.36328125" style="3" customWidth="1"/>
    <col min="10762" max="10762" width="10.90625" style="3" customWidth="1"/>
    <col min="10763" max="10773" width="13.36328125" style="3" customWidth="1"/>
    <col min="10774" max="10774" width="13.90625" style="3" customWidth="1"/>
    <col min="10775" max="10775" width="16.453125" style="3" customWidth="1"/>
    <col min="10776" max="11010" width="9" style="3"/>
    <col min="11011" max="11011" width="9.90625" style="3" customWidth="1"/>
    <col min="11012" max="11013" width="5.08984375" style="3" customWidth="1"/>
    <col min="11014" max="11014" width="9.6328125" style="3" customWidth="1"/>
    <col min="11015" max="11016" width="11.90625" style="3" customWidth="1"/>
    <col min="11017" max="11017" width="15.36328125" style="3" customWidth="1"/>
    <col min="11018" max="11018" width="10.90625" style="3" customWidth="1"/>
    <col min="11019" max="11029" width="13.36328125" style="3" customWidth="1"/>
    <col min="11030" max="11030" width="13.90625" style="3" customWidth="1"/>
    <col min="11031" max="11031" width="16.453125" style="3" customWidth="1"/>
    <col min="11032" max="11266" width="9" style="3"/>
    <col min="11267" max="11267" width="9.90625" style="3" customWidth="1"/>
    <col min="11268" max="11269" width="5.08984375" style="3" customWidth="1"/>
    <col min="11270" max="11270" width="9.6328125" style="3" customWidth="1"/>
    <col min="11271" max="11272" width="11.90625" style="3" customWidth="1"/>
    <col min="11273" max="11273" width="15.36328125" style="3" customWidth="1"/>
    <col min="11274" max="11274" width="10.90625" style="3" customWidth="1"/>
    <col min="11275" max="11285" width="13.36328125" style="3" customWidth="1"/>
    <col min="11286" max="11286" width="13.90625" style="3" customWidth="1"/>
    <col min="11287" max="11287" width="16.453125" style="3" customWidth="1"/>
    <col min="11288" max="11522" width="9" style="3"/>
    <col min="11523" max="11523" width="9.90625" style="3" customWidth="1"/>
    <col min="11524" max="11525" width="5.08984375" style="3" customWidth="1"/>
    <col min="11526" max="11526" width="9.6328125" style="3" customWidth="1"/>
    <col min="11527" max="11528" width="11.90625" style="3" customWidth="1"/>
    <col min="11529" max="11529" width="15.36328125" style="3" customWidth="1"/>
    <col min="11530" max="11530" width="10.90625" style="3" customWidth="1"/>
    <col min="11531" max="11541" width="13.36328125" style="3" customWidth="1"/>
    <col min="11542" max="11542" width="13.90625" style="3" customWidth="1"/>
    <col min="11543" max="11543" width="16.453125" style="3" customWidth="1"/>
    <col min="11544" max="11778" width="9" style="3"/>
    <col min="11779" max="11779" width="9.90625" style="3" customWidth="1"/>
    <col min="11780" max="11781" width="5.08984375" style="3" customWidth="1"/>
    <col min="11782" max="11782" width="9.6328125" style="3" customWidth="1"/>
    <col min="11783" max="11784" width="11.90625" style="3" customWidth="1"/>
    <col min="11785" max="11785" width="15.36328125" style="3" customWidth="1"/>
    <col min="11786" max="11786" width="10.90625" style="3" customWidth="1"/>
    <col min="11787" max="11797" width="13.36328125" style="3" customWidth="1"/>
    <col min="11798" max="11798" width="13.90625" style="3" customWidth="1"/>
    <col min="11799" max="11799" width="16.453125" style="3" customWidth="1"/>
    <col min="11800" max="12034" width="9" style="3"/>
    <col min="12035" max="12035" width="9.90625" style="3" customWidth="1"/>
    <col min="12036" max="12037" width="5.08984375" style="3" customWidth="1"/>
    <col min="12038" max="12038" width="9.6328125" style="3" customWidth="1"/>
    <col min="12039" max="12040" width="11.90625" style="3" customWidth="1"/>
    <col min="12041" max="12041" width="15.36328125" style="3" customWidth="1"/>
    <col min="12042" max="12042" width="10.90625" style="3" customWidth="1"/>
    <col min="12043" max="12053" width="13.36328125" style="3" customWidth="1"/>
    <col min="12054" max="12054" width="13.90625" style="3" customWidth="1"/>
    <col min="12055" max="12055" width="16.453125" style="3" customWidth="1"/>
    <col min="12056" max="12290" width="9" style="3"/>
    <col min="12291" max="12291" width="9.90625" style="3" customWidth="1"/>
    <col min="12292" max="12293" width="5.08984375" style="3" customWidth="1"/>
    <col min="12294" max="12294" width="9.6328125" style="3" customWidth="1"/>
    <col min="12295" max="12296" width="11.90625" style="3" customWidth="1"/>
    <col min="12297" max="12297" width="15.36328125" style="3" customWidth="1"/>
    <col min="12298" max="12298" width="10.90625" style="3" customWidth="1"/>
    <col min="12299" max="12309" width="13.36328125" style="3" customWidth="1"/>
    <col min="12310" max="12310" width="13.90625" style="3" customWidth="1"/>
    <col min="12311" max="12311" width="16.453125" style="3" customWidth="1"/>
    <col min="12312" max="12546" width="9" style="3"/>
    <col min="12547" max="12547" width="9.90625" style="3" customWidth="1"/>
    <col min="12548" max="12549" width="5.08984375" style="3" customWidth="1"/>
    <col min="12550" max="12550" width="9.6328125" style="3" customWidth="1"/>
    <col min="12551" max="12552" width="11.90625" style="3" customWidth="1"/>
    <col min="12553" max="12553" width="15.36328125" style="3" customWidth="1"/>
    <col min="12554" max="12554" width="10.90625" style="3" customWidth="1"/>
    <col min="12555" max="12565" width="13.36328125" style="3" customWidth="1"/>
    <col min="12566" max="12566" width="13.90625" style="3" customWidth="1"/>
    <col min="12567" max="12567" width="16.453125" style="3" customWidth="1"/>
    <col min="12568" max="12802" width="9" style="3"/>
    <col min="12803" max="12803" width="9.90625" style="3" customWidth="1"/>
    <col min="12804" max="12805" width="5.08984375" style="3" customWidth="1"/>
    <col min="12806" max="12806" width="9.6328125" style="3" customWidth="1"/>
    <col min="12807" max="12808" width="11.90625" style="3" customWidth="1"/>
    <col min="12809" max="12809" width="15.36328125" style="3" customWidth="1"/>
    <col min="12810" max="12810" width="10.90625" style="3" customWidth="1"/>
    <col min="12811" max="12821" width="13.36328125" style="3" customWidth="1"/>
    <col min="12822" max="12822" width="13.90625" style="3" customWidth="1"/>
    <col min="12823" max="12823" width="16.453125" style="3" customWidth="1"/>
    <col min="12824" max="13058" width="9" style="3"/>
    <col min="13059" max="13059" width="9.90625" style="3" customWidth="1"/>
    <col min="13060" max="13061" width="5.08984375" style="3" customWidth="1"/>
    <col min="13062" max="13062" width="9.6328125" style="3" customWidth="1"/>
    <col min="13063" max="13064" width="11.90625" style="3" customWidth="1"/>
    <col min="13065" max="13065" width="15.36328125" style="3" customWidth="1"/>
    <col min="13066" max="13066" width="10.90625" style="3" customWidth="1"/>
    <col min="13067" max="13077" width="13.36328125" style="3" customWidth="1"/>
    <col min="13078" max="13078" width="13.90625" style="3" customWidth="1"/>
    <col min="13079" max="13079" width="16.453125" style="3" customWidth="1"/>
    <col min="13080" max="13314" width="9" style="3"/>
    <col min="13315" max="13315" width="9.90625" style="3" customWidth="1"/>
    <col min="13316" max="13317" width="5.08984375" style="3" customWidth="1"/>
    <col min="13318" max="13318" width="9.6328125" style="3" customWidth="1"/>
    <col min="13319" max="13320" width="11.90625" style="3" customWidth="1"/>
    <col min="13321" max="13321" width="15.36328125" style="3" customWidth="1"/>
    <col min="13322" max="13322" width="10.90625" style="3" customWidth="1"/>
    <col min="13323" max="13333" width="13.36328125" style="3" customWidth="1"/>
    <col min="13334" max="13334" width="13.90625" style="3" customWidth="1"/>
    <col min="13335" max="13335" width="16.453125" style="3" customWidth="1"/>
    <col min="13336" max="13570" width="9" style="3"/>
    <col min="13571" max="13571" width="9.90625" style="3" customWidth="1"/>
    <col min="13572" max="13573" width="5.08984375" style="3" customWidth="1"/>
    <col min="13574" max="13574" width="9.6328125" style="3" customWidth="1"/>
    <col min="13575" max="13576" width="11.90625" style="3" customWidth="1"/>
    <col min="13577" max="13577" width="15.36328125" style="3" customWidth="1"/>
    <col min="13578" max="13578" width="10.90625" style="3" customWidth="1"/>
    <col min="13579" max="13589" width="13.36328125" style="3" customWidth="1"/>
    <col min="13590" max="13590" width="13.90625" style="3" customWidth="1"/>
    <col min="13591" max="13591" width="16.453125" style="3" customWidth="1"/>
    <col min="13592" max="13826" width="9" style="3"/>
    <col min="13827" max="13827" width="9.90625" style="3" customWidth="1"/>
    <col min="13828" max="13829" width="5.08984375" style="3" customWidth="1"/>
    <col min="13830" max="13830" width="9.6328125" style="3" customWidth="1"/>
    <col min="13831" max="13832" width="11.90625" style="3" customWidth="1"/>
    <col min="13833" max="13833" width="15.36328125" style="3" customWidth="1"/>
    <col min="13834" max="13834" width="10.90625" style="3" customWidth="1"/>
    <col min="13835" max="13845" width="13.36328125" style="3" customWidth="1"/>
    <col min="13846" max="13846" width="13.90625" style="3" customWidth="1"/>
    <col min="13847" max="13847" width="16.453125" style="3" customWidth="1"/>
    <col min="13848" max="14082" width="9" style="3"/>
    <col min="14083" max="14083" width="9.90625" style="3" customWidth="1"/>
    <col min="14084" max="14085" width="5.08984375" style="3" customWidth="1"/>
    <col min="14086" max="14086" width="9.6328125" style="3" customWidth="1"/>
    <col min="14087" max="14088" width="11.90625" style="3" customWidth="1"/>
    <col min="14089" max="14089" width="15.36328125" style="3" customWidth="1"/>
    <col min="14090" max="14090" width="10.90625" style="3" customWidth="1"/>
    <col min="14091" max="14101" width="13.36328125" style="3" customWidth="1"/>
    <col min="14102" max="14102" width="13.90625" style="3" customWidth="1"/>
    <col min="14103" max="14103" width="16.453125" style="3" customWidth="1"/>
    <col min="14104" max="14338" width="9" style="3"/>
    <col min="14339" max="14339" width="9.90625" style="3" customWidth="1"/>
    <col min="14340" max="14341" width="5.08984375" style="3" customWidth="1"/>
    <col min="14342" max="14342" width="9.6328125" style="3" customWidth="1"/>
    <col min="14343" max="14344" width="11.90625" style="3" customWidth="1"/>
    <col min="14345" max="14345" width="15.36328125" style="3" customWidth="1"/>
    <col min="14346" max="14346" width="10.90625" style="3" customWidth="1"/>
    <col min="14347" max="14357" width="13.36328125" style="3" customWidth="1"/>
    <col min="14358" max="14358" width="13.90625" style="3" customWidth="1"/>
    <col min="14359" max="14359" width="16.453125" style="3" customWidth="1"/>
    <col min="14360" max="14594" width="9" style="3"/>
    <col min="14595" max="14595" width="9.90625" style="3" customWidth="1"/>
    <col min="14596" max="14597" width="5.08984375" style="3" customWidth="1"/>
    <col min="14598" max="14598" width="9.6328125" style="3" customWidth="1"/>
    <col min="14599" max="14600" width="11.90625" style="3" customWidth="1"/>
    <col min="14601" max="14601" width="15.36328125" style="3" customWidth="1"/>
    <col min="14602" max="14602" width="10.90625" style="3" customWidth="1"/>
    <col min="14603" max="14613" width="13.36328125" style="3" customWidth="1"/>
    <col min="14614" max="14614" width="13.90625" style="3" customWidth="1"/>
    <col min="14615" max="14615" width="16.453125" style="3" customWidth="1"/>
    <col min="14616" max="14850" width="9" style="3"/>
    <col min="14851" max="14851" width="9.90625" style="3" customWidth="1"/>
    <col min="14852" max="14853" width="5.08984375" style="3" customWidth="1"/>
    <col min="14854" max="14854" width="9.6328125" style="3" customWidth="1"/>
    <col min="14855" max="14856" width="11.90625" style="3" customWidth="1"/>
    <col min="14857" max="14857" width="15.36328125" style="3" customWidth="1"/>
    <col min="14858" max="14858" width="10.90625" style="3" customWidth="1"/>
    <col min="14859" max="14869" width="13.36328125" style="3" customWidth="1"/>
    <col min="14870" max="14870" width="13.90625" style="3" customWidth="1"/>
    <col min="14871" max="14871" width="16.453125" style="3" customWidth="1"/>
    <col min="14872" max="15106" width="9" style="3"/>
    <col min="15107" max="15107" width="9.90625" style="3" customWidth="1"/>
    <col min="15108" max="15109" width="5.08984375" style="3" customWidth="1"/>
    <col min="15110" max="15110" width="9.6328125" style="3" customWidth="1"/>
    <col min="15111" max="15112" width="11.90625" style="3" customWidth="1"/>
    <col min="15113" max="15113" width="15.36328125" style="3" customWidth="1"/>
    <col min="15114" max="15114" width="10.90625" style="3" customWidth="1"/>
    <col min="15115" max="15125" width="13.36328125" style="3" customWidth="1"/>
    <col min="15126" max="15126" width="13.90625" style="3" customWidth="1"/>
    <col min="15127" max="15127" width="16.453125" style="3" customWidth="1"/>
    <col min="15128" max="15362" width="9" style="3"/>
    <col min="15363" max="15363" width="9.90625" style="3" customWidth="1"/>
    <col min="15364" max="15365" width="5.08984375" style="3" customWidth="1"/>
    <col min="15366" max="15366" width="9.6328125" style="3" customWidth="1"/>
    <col min="15367" max="15368" width="11.90625" style="3" customWidth="1"/>
    <col min="15369" max="15369" width="15.36328125" style="3" customWidth="1"/>
    <col min="15370" max="15370" width="10.90625" style="3" customWidth="1"/>
    <col min="15371" max="15381" width="13.36328125" style="3" customWidth="1"/>
    <col min="15382" max="15382" width="13.90625" style="3" customWidth="1"/>
    <col min="15383" max="15383" width="16.453125" style="3" customWidth="1"/>
    <col min="15384" max="15618" width="9" style="3"/>
    <col min="15619" max="15619" width="9.90625" style="3" customWidth="1"/>
    <col min="15620" max="15621" width="5.08984375" style="3" customWidth="1"/>
    <col min="15622" max="15622" width="9.6328125" style="3" customWidth="1"/>
    <col min="15623" max="15624" width="11.90625" style="3" customWidth="1"/>
    <col min="15625" max="15625" width="15.36328125" style="3" customWidth="1"/>
    <col min="15626" max="15626" width="10.90625" style="3" customWidth="1"/>
    <col min="15627" max="15637" width="13.36328125" style="3" customWidth="1"/>
    <col min="15638" max="15638" width="13.90625" style="3" customWidth="1"/>
    <col min="15639" max="15639" width="16.453125" style="3" customWidth="1"/>
    <col min="15640" max="15874" width="9" style="3"/>
    <col min="15875" max="15875" width="9.90625" style="3" customWidth="1"/>
    <col min="15876" max="15877" width="5.08984375" style="3" customWidth="1"/>
    <col min="15878" max="15878" width="9.6328125" style="3" customWidth="1"/>
    <col min="15879" max="15880" width="11.90625" style="3" customWidth="1"/>
    <col min="15881" max="15881" width="15.36328125" style="3" customWidth="1"/>
    <col min="15882" max="15882" width="10.90625" style="3" customWidth="1"/>
    <col min="15883" max="15893" width="13.36328125" style="3" customWidth="1"/>
    <col min="15894" max="15894" width="13.90625" style="3" customWidth="1"/>
    <col min="15895" max="15895" width="16.453125" style="3" customWidth="1"/>
    <col min="15896" max="16130" width="9" style="3"/>
    <col min="16131" max="16131" width="9.90625" style="3" customWidth="1"/>
    <col min="16132" max="16133" width="5.08984375" style="3" customWidth="1"/>
    <col min="16134" max="16134" width="9.6328125" style="3" customWidth="1"/>
    <col min="16135" max="16136" width="11.90625" style="3" customWidth="1"/>
    <col min="16137" max="16137" width="15.36328125" style="3" customWidth="1"/>
    <col min="16138" max="16138" width="10.90625" style="3" customWidth="1"/>
    <col min="16139" max="16149" width="13.36328125" style="3" customWidth="1"/>
    <col min="16150" max="16150" width="13.90625" style="3" customWidth="1"/>
    <col min="16151" max="16151" width="16.453125" style="3" customWidth="1"/>
    <col min="16152" max="16384" width="9" style="3"/>
  </cols>
  <sheetData>
    <row r="1" spans="1:24" s="1" customFormat="1" ht="36">
      <c r="A1" s="1" t="s">
        <v>67</v>
      </c>
      <c r="B1" s="1" t="s">
        <v>68</v>
      </c>
      <c r="C1" s="72" t="s">
        <v>0</v>
      </c>
      <c r="D1" s="73" t="s">
        <v>1</v>
      </c>
      <c r="E1" s="73" t="s">
        <v>2</v>
      </c>
      <c r="F1" s="74" t="s">
        <v>3</v>
      </c>
      <c r="G1" s="74" t="s">
        <v>4</v>
      </c>
      <c r="H1" s="75" t="s">
        <v>5</v>
      </c>
      <c r="I1" s="76" t="s">
        <v>6</v>
      </c>
      <c r="J1" s="34" t="s">
        <v>7</v>
      </c>
      <c r="K1" s="29" t="s">
        <v>8</v>
      </c>
      <c r="L1" s="39" t="s">
        <v>9</v>
      </c>
      <c r="M1" s="39" t="s">
        <v>10</v>
      </c>
      <c r="N1" s="262" t="s">
        <v>11</v>
      </c>
      <c r="O1" s="262" t="s">
        <v>12</v>
      </c>
      <c r="P1" s="262" t="s">
        <v>13</v>
      </c>
      <c r="Q1" s="262" t="s">
        <v>14</v>
      </c>
      <c r="R1" s="262" t="s">
        <v>15</v>
      </c>
      <c r="S1" s="262" t="s">
        <v>16</v>
      </c>
      <c r="T1" s="262" t="s">
        <v>17</v>
      </c>
      <c r="U1" s="262" t="s">
        <v>18</v>
      </c>
      <c r="V1" s="132" t="s">
        <v>19</v>
      </c>
      <c r="W1" s="23" t="s">
        <v>20</v>
      </c>
    </row>
    <row r="2" spans="1:24" s="1" customFormat="1">
      <c r="C2" s="353" t="s">
        <v>45</v>
      </c>
      <c r="D2" s="354"/>
      <c r="E2" s="354"/>
      <c r="F2" s="354"/>
      <c r="G2" s="354"/>
      <c r="H2" s="354"/>
      <c r="I2" s="355"/>
      <c r="J2" s="31" t="s">
        <v>21</v>
      </c>
      <c r="K2" s="46">
        <f t="shared" ref="K2:U2" si="0">K5+K6</f>
        <v>1584000</v>
      </c>
      <c r="L2" s="43">
        <f t="shared" si="0"/>
        <v>1584000</v>
      </c>
      <c r="M2" s="43">
        <f t="shared" si="0"/>
        <v>1584000</v>
      </c>
      <c r="N2" s="263">
        <f t="shared" si="0"/>
        <v>1584000</v>
      </c>
      <c r="O2" s="263">
        <f t="shared" si="0"/>
        <v>1584000</v>
      </c>
      <c r="P2" s="263">
        <f t="shared" si="0"/>
        <v>1584000</v>
      </c>
      <c r="Q2" s="263">
        <f t="shared" si="0"/>
        <v>1584000</v>
      </c>
      <c r="R2" s="263">
        <f t="shared" si="0"/>
        <v>1584000</v>
      </c>
      <c r="S2" s="263">
        <f t="shared" si="0"/>
        <v>1584000</v>
      </c>
      <c r="T2" s="263">
        <f t="shared" si="0"/>
        <v>1584000</v>
      </c>
      <c r="U2" s="263">
        <f t="shared" si="0"/>
        <v>1584000</v>
      </c>
      <c r="V2" s="107">
        <f t="shared" ref="V2" si="1">V5+V6</f>
        <v>1584000</v>
      </c>
      <c r="W2" s="52">
        <f>SUM(K2:V2)</f>
        <v>19008000</v>
      </c>
    </row>
    <row r="3" spans="1:24" s="1" customFormat="1">
      <c r="C3" s="356"/>
      <c r="D3" s="357"/>
      <c r="E3" s="357"/>
      <c r="F3" s="357"/>
      <c r="G3" s="357"/>
      <c r="H3" s="357"/>
      <c r="I3" s="358"/>
      <c r="J3" s="2" t="s">
        <v>22</v>
      </c>
      <c r="K3" s="47">
        <f t="shared" ref="K3:U3" si="2">K23</f>
        <v>1369420</v>
      </c>
      <c r="L3" s="44">
        <f t="shared" si="2"/>
        <v>1375670</v>
      </c>
      <c r="M3" s="44">
        <f t="shared" si="2"/>
        <v>1364420</v>
      </c>
      <c r="N3" s="264">
        <f t="shared" si="2"/>
        <v>1370964</v>
      </c>
      <c r="O3" s="264">
        <f t="shared" si="2"/>
        <v>1345701</v>
      </c>
      <c r="P3" s="264">
        <f t="shared" si="2"/>
        <v>1412119</v>
      </c>
      <c r="Q3" s="264">
        <f t="shared" si="2"/>
        <v>1369701</v>
      </c>
      <c r="R3" s="264">
        <f t="shared" si="2"/>
        <v>1373491</v>
      </c>
      <c r="S3" s="264">
        <f t="shared" si="2"/>
        <v>1378543</v>
      </c>
      <c r="T3" s="264">
        <f t="shared" si="2"/>
        <v>1380013</v>
      </c>
      <c r="U3" s="264">
        <f t="shared" si="2"/>
        <v>1368274</v>
      </c>
      <c r="V3" s="108">
        <f t="shared" ref="V3" si="3">V23</f>
        <v>1342910</v>
      </c>
      <c r="W3" s="54">
        <f>SUM(K3:V3)</f>
        <v>16451226</v>
      </c>
    </row>
    <row r="4" spans="1:24" s="1" customFormat="1">
      <c r="C4" s="359"/>
      <c r="D4" s="360"/>
      <c r="E4" s="360"/>
      <c r="F4" s="360"/>
      <c r="G4" s="360"/>
      <c r="H4" s="360"/>
      <c r="I4" s="361"/>
      <c r="J4" s="32" t="s">
        <v>23</v>
      </c>
      <c r="K4" s="48">
        <f t="shared" ref="K4:U4" si="4">K2-K3</f>
        <v>214580</v>
      </c>
      <c r="L4" s="45">
        <f t="shared" si="4"/>
        <v>208330</v>
      </c>
      <c r="M4" s="45">
        <f t="shared" si="4"/>
        <v>219580</v>
      </c>
      <c r="N4" s="265">
        <f t="shared" si="4"/>
        <v>213036</v>
      </c>
      <c r="O4" s="265">
        <f t="shared" si="4"/>
        <v>238299</v>
      </c>
      <c r="P4" s="265">
        <f t="shared" si="4"/>
        <v>171881</v>
      </c>
      <c r="Q4" s="265">
        <f t="shared" si="4"/>
        <v>214299</v>
      </c>
      <c r="R4" s="265">
        <f t="shared" si="4"/>
        <v>210509</v>
      </c>
      <c r="S4" s="265">
        <f t="shared" si="4"/>
        <v>205457</v>
      </c>
      <c r="T4" s="265">
        <f t="shared" si="4"/>
        <v>203987</v>
      </c>
      <c r="U4" s="265">
        <f t="shared" si="4"/>
        <v>215726</v>
      </c>
      <c r="V4" s="109">
        <f t="shared" ref="V4" si="5">V2-V3</f>
        <v>241090</v>
      </c>
      <c r="W4" s="55">
        <f>SUM(K4:V4)</f>
        <v>2556774</v>
      </c>
    </row>
    <row r="5" spans="1:24" s="1" customFormat="1" ht="27.75" customHeight="1">
      <c r="C5" s="362" t="s">
        <v>38</v>
      </c>
      <c r="D5" s="363"/>
      <c r="E5" s="363"/>
      <c r="F5" s="363"/>
      <c r="G5" s="363"/>
      <c r="H5" s="363"/>
      <c r="I5" s="364"/>
      <c r="J5" s="21"/>
      <c r="K5" s="45">
        <v>1584000</v>
      </c>
      <c r="L5" s="45">
        <v>1584000</v>
      </c>
      <c r="M5" s="45">
        <v>1584000</v>
      </c>
      <c r="N5" s="265">
        <v>1584000</v>
      </c>
      <c r="O5" s="265">
        <v>1584000</v>
      </c>
      <c r="P5" s="265">
        <v>1584000</v>
      </c>
      <c r="Q5" s="265">
        <v>1584000</v>
      </c>
      <c r="R5" s="265">
        <v>1584000</v>
      </c>
      <c r="S5" s="265">
        <v>1584000</v>
      </c>
      <c r="T5" s="265">
        <v>1584000</v>
      </c>
      <c r="U5" s="265">
        <v>1584000</v>
      </c>
      <c r="V5" s="62">
        <v>1584000</v>
      </c>
      <c r="W5" s="56">
        <f>SUM(K5:V5)</f>
        <v>19008000</v>
      </c>
    </row>
    <row r="6" spans="1:24" s="1" customFormat="1" ht="27.75" customHeight="1">
      <c r="C6" s="353" t="s">
        <v>39</v>
      </c>
      <c r="D6" s="354"/>
      <c r="E6" s="354"/>
      <c r="F6" s="354"/>
      <c r="G6" s="354"/>
      <c r="H6" s="354"/>
      <c r="I6" s="355"/>
      <c r="J6" s="77"/>
      <c r="K6" s="201"/>
      <c r="L6" s="202"/>
      <c r="M6" s="202"/>
      <c r="N6" s="271"/>
      <c r="O6" s="271"/>
      <c r="P6" s="271"/>
      <c r="Q6" s="271"/>
      <c r="R6" s="271"/>
      <c r="S6" s="271"/>
      <c r="T6" s="271"/>
      <c r="U6" s="271"/>
      <c r="V6" s="110"/>
      <c r="W6" s="111">
        <f>SUM(K6:V6)</f>
        <v>0</v>
      </c>
    </row>
    <row r="7" spans="1:24" ht="13.4" customHeight="1">
      <c r="A7" s="279">
        <v>2007001</v>
      </c>
      <c r="C7" s="390">
        <f>1</f>
        <v>1</v>
      </c>
      <c r="D7" s="387"/>
      <c r="E7" s="387"/>
      <c r="F7" s="393"/>
      <c r="G7" s="387" t="s">
        <v>46</v>
      </c>
      <c r="H7" s="387"/>
      <c r="I7" s="365" t="s">
        <v>31</v>
      </c>
      <c r="J7" s="92" t="s">
        <v>24</v>
      </c>
      <c r="K7" s="192">
        <f t="shared" ref="K7:U7" si="6">SUM(K8:K14)</f>
        <v>692328</v>
      </c>
      <c r="L7" s="141">
        <f t="shared" si="6"/>
        <v>698578</v>
      </c>
      <c r="M7" s="141">
        <f t="shared" si="6"/>
        <v>679828</v>
      </c>
      <c r="N7" s="273">
        <f t="shared" si="6"/>
        <v>685428</v>
      </c>
      <c r="O7" s="273">
        <f t="shared" si="6"/>
        <v>705638</v>
      </c>
      <c r="P7" s="273">
        <f t="shared" si="6"/>
        <v>683637</v>
      </c>
      <c r="Q7" s="273">
        <f t="shared" si="6"/>
        <v>686692</v>
      </c>
      <c r="R7" s="273">
        <f t="shared" si="6"/>
        <v>686692</v>
      </c>
      <c r="S7" s="273">
        <f t="shared" si="6"/>
        <v>696797</v>
      </c>
      <c r="T7" s="273">
        <f t="shared" si="6"/>
        <v>693742</v>
      </c>
      <c r="U7" s="273">
        <f t="shared" si="6"/>
        <v>681293</v>
      </c>
      <c r="V7" s="142">
        <f t="shared" ref="V7" si="7">SUM(V8:V14)</f>
        <v>663595.77777777775</v>
      </c>
      <c r="W7" s="91">
        <f t="shared" ref="W7:W22" si="8">SUM(K7:V7)</f>
        <v>8254248.777777778</v>
      </c>
    </row>
    <row r="8" spans="1:24">
      <c r="A8" s="280">
        <f>A7</f>
        <v>2007001</v>
      </c>
      <c r="B8" s="280"/>
      <c r="C8" s="391"/>
      <c r="D8" s="388"/>
      <c r="E8" s="388"/>
      <c r="F8" s="394"/>
      <c r="G8" s="388"/>
      <c r="H8" s="388"/>
      <c r="I8" s="366"/>
      <c r="J8" s="143" t="s">
        <v>25</v>
      </c>
      <c r="K8" s="194">
        <v>580000</v>
      </c>
      <c r="L8" s="194">
        <v>586250</v>
      </c>
      <c r="M8" s="194">
        <v>567500</v>
      </c>
      <c r="N8" s="274">
        <v>567500</v>
      </c>
      <c r="O8" s="274">
        <v>587500</v>
      </c>
      <c r="P8" s="274">
        <v>565000</v>
      </c>
      <c r="Q8" s="274">
        <v>568750</v>
      </c>
      <c r="R8" s="274">
        <v>568750</v>
      </c>
      <c r="S8" s="274">
        <v>578750</v>
      </c>
      <c r="T8" s="274">
        <v>575000</v>
      </c>
      <c r="U8" s="274">
        <v>562500</v>
      </c>
      <c r="V8" s="144">
        <v>506394.44444444444</v>
      </c>
      <c r="W8" s="94">
        <f t="shared" si="8"/>
        <v>6813894.444444444</v>
      </c>
      <c r="X8" s="136"/>
    </row>
    <row r="9" spans="1:24">
      <c r="A9" s="280">
        <f t="shared" ref="A9:A14" si="9">A8</f>
        <v>2007001</v>
      </c>
      <c r="B9" s="280"/>
      <c r="C9" s="391"/>
      <c r="D9" s="388"/>
      <c r="E9" s="388"/>
      <c r="F9" s="394"/>
      <c r="G9" s="388"/>
      <c r="H9" s="388"/>
      <c r="I9" s="366"/>
      <c r="J9" s="143" t="s">
        <v>30</v>
      </c>
      <c r="K9" s="194">
        <v>20000</v>
      </c>
      <c r="L9" s="194">
        <v>20000</v>
      </c>
      <c r="M9" s="194">
        <v>20000</v>
      </c>
      <c r="N9" s="274">
        <v>20000</v>
      </c>
      <c r="O9" s="274">
        <v>20000</v>
      </c>
      <c r="P9" s="274">
        <v>20000</v>
      </c>
      <c r="Q9" s="274">
        <v>20000</v>
      </c>
      <c r="R9" s="274">
        <v>20000</v>
      </c>
      <c r="S9" s="274">
        <v>20000</v>
      </c>
      <c r="T9" s="274">
        <v>20000</v>
      </c>
      <c r="U9" s="274">
        <v>20000</v>
      </c>
      <c r="V9" s="144">
        <v>64873.333333333336</v>
      </c>
      <c r="W9" s="94">
        <f t="shared" si="8"/>
        <v>284873.33333333331</v>
      </c>
      <c r="X9" s="136"/>
    </row>
    <row r="10" spans="1:24">
      <c r="A10" s="280">
        <f t="shared" si="9"/>
        <v>2007001</v>
      </c>
      <c r="B10" s="280"/>
      <c r="C10" s="391"/>
      <c r="D10" s="388"/>
      <c r="E10" s="388"/>
      <c r="F10" s="394"/>
      <c r="G10" s="388"/>
      <c r="H10" s="388"/>
      <c r="I10" s="366"/>
      <c r="J10" s="143" t="s">
        <v>33</v>
      </c>
      <c r="K10" s="194"/>
      <c r="L10" s="194"/>
      <c r="M10" s="194"/>
      <c r="N10" s="274"/>
      <c r="O10" s="274"/>
      <c r="P10" s="274"/>
      <c r="Q10" s="274"/>
      <c r="R10" s="274"/>
      <c r="S10" s="274"/>
      <c r="T10" s="274"/>
      <c r="U10" s="274"/>
      <c r="V10" s="144"/>
      <c r="W10" s="94">
        <f t="shared" si="8"/>
        <v>0</v>
      </c>
      <c r="X10" s="136"/>
    </row>
    <row r="11" spans="1:24">
      <c r="A11" s="280">
        <f t="shared" si="9"/>
        <v>2007001</v>
      </c>
      <c r="B11" s="280"/>
      <c r="C11" s="391"/>
      <c r="D11" s="388"/>
      <c r="E11" s="388"/>
      <c r="F11" s="394"/>
      <c r="G11" s="388"/>
      <c r="H11" s="388"/>
      <c r="I11" s="366"/>
      <c r="J11" s="143" t="s">
        <v>26</v>
      </c>
      <c r="K11" s="194">
        <v>30975</v>
      </c>
      <c r="L11" s="194">
        <v>30975</v>
      </c>
      <c r="M11" s="194">
        <v>30975</v>
      </c>
      <c r="N11" s="274">
        <v>35030</v>
      </c>
      <c r="O11" s="274">
        <v>35030</v>
      </c>
      <c r="P11" s="274">
        <v>35030</v>
      </c>
      <c r="Q11" s="274">
        <v>35030</v>
      </c>
      <c r="R11" s="274">
        <v>35030</v>
      </c>
      <c r="S11" s="274">
        <v>35030</v>
      </c>
      <c r="T11" s="274">
        <v>35030</v>
      </c>
      <c r="U11" s="274">
        <v>35030</v>
      </c>
      <c r="V11" s="144">
        <v>30975</v>
      </c>
      <c r="W11" s="94">
        <f t="shared" si="8"/>
        <v>404140</v>
      </c>
      <c r="X11" s="136"/>
    </row>
    <row r="12" spans="1:24">
      <c r="A12" s="280">
        <f t="shared" si="9"/>
        <v>2007001</v>
      </c>
      <c r="B12" s="280"/>
      <c r="C12" s="391"/>
      <c r="D12" s="388"/>
      <c r="E12" s="388"/>
      <c r="F12" s="394"/>
      <c r="G12" s="388"/>
      <c r="H12" s="388"/>
      <c r="I12" s="366"/>
      <c r="J12" s="143" t="s">
        <v>27</v>
      </c>
      <c r="K12" s="194">
        <v>53985</v>
      </c>
      <c r="L12" s="194">
        <v>53985</v>
      </c>
      <c r="M12" s="194">
        <v>53985</v>
      </c>
      <c r="N12" s="274">
        <v>56730</v>
      </c>
      <c r="O12" s="274">
        <v>56730</v>
      </c>
      <c r="P12" s="274">
        <v>56730</v>
      </c>
      <c r="Q12" s="274">
        <v>56730</v>
      </c>
      <c r="R12" s="274">
        <v>56730</v>
      </c>
      <c r="S12" s="274">
        <v>56730</v>
      </c>
      <c r="T12" s="274">
        <v>56730</v>
      </c>
      <c r="U12" s="274">
        <v>56730</v>
      </c>
      <c r="V12" s="144">
        <v>53985</v>
      </c>
      <c r="W12" s="94">
        <f t="shared" si="8"/>
        <v>669780</v>
      </c>
      <c r="X12" s="136"/>
    </row>
    <row r="13" spans="1:24">
      <c r="A13" s="280">
        <f t="shared" si="9"/>
        <v>2007001</v>
      </c>
      <c r="B13" s="280"/>
      <c r="C13" s="391"/>
      <c r="D13" s="388"/>
      <c r="E13" s="388"/>
      <c r="F13" s="394"/>
      <c r="G13" s="388"/>
      <c r="H13" s="388"/>
      <c r="I13" s="366"/>
      <c r="J13" s="143" t="s">
        <v>28</v>
      </c>
      <c r="K13" s="194">
        <v>2959</v>
      </c>
      <c r="L13" s="194">
        <v>2959</v>
      </c>
      <c r="M13" s="194">
        <v>2959</v>
      </c>
      <c r="N13" s="274">
        <v>2937</v>
      </c>
      <c r="O13" s="274">
        <v>3037</v>
      </c>
      <c r="P13" s="274">
        <v>3275</v>
      </c>
      <c r="Q13" s="274">
        <v>2944</v>
      </c>
      <c r="R13" s="274">
        <v>2944</v>
      </c>
      <c r="S13" s="274">
        <v>2994</v>
      </c>
      <c r="T13" s="274">
        <v>3325</v>
      </c>
      <c r="U13" s="274">
        <v>3349</v>
      </c>
      <c r="V13" s="144">
        <v>2959</v>
      </c>
      <c r="W13" s="94">
        <f t="shared" si="8"/>
        <v>36641</v>
      </c>
      <c r="X13" s="136"/>
    </row>
    <row r="14" spans="1:24">
      <c r="A14" s="280">
        <f t="shared" si="9"/>
        <v>2007001</v>
      </c>
      <c r="B14" s="280"/>
      <c r="C14" s="392"/>
      <c r="D14" s="389"/>
      <c r="E14" s="389"/>
      <c r="F14" s="395"/>
      <c r="G14" s="389"/>
      <c r="H14" s="389"/>
      <c r="I14" s="367"/>
      <c r="J14" s="257" t="s">
        <v>29</v>
      </c>
      <c r="K14" s="258">
        <v>4409</v>
      </c>
      <c r="L14" s="258">
        <v>4409</v>
      </c>
      <c r="M14" s="258">
        <v>4409</v>
      </c>
      <c r="N14" s="275">
        <v>3231</v>
      </c>
      <c r="O14" s="275">
        <v>3341</v>
      </c>
      <c r="P14" s="275">
        <v>3602</v>
      </c>
      <c r="Q14" s="275">
        <v>3238</v>
      </c>
      <c r="R14" s="275">
        <v>3238</v>
      </c>
      <c r="S14" s="275">
        <v>3293</v>
      </c>
      <c r="T14" s="275">
        <v>3657</v>
      </c>
      <c r="U14" s="275">
        <v>3684</v>
      </c>
      <c r="V14" s="259">
        <v>4409</v>
      </c>
      <c r="W14" s="260">
        <f t="shared" si="8"/>
        <v>44920</v>
      </c>
      <c r="X14" s="136"/>
    </row>
    <row r="15" spans="1:24">
      <c r="A15" s="279">
        <v>2015019</v>
      </c>
      <c r="C15" s="390">
        <f>C7+1</f>
        <v>2</v>
      </c>
      <c r="D15" s="387"/>
      <c r="E15" s="387"/>
      <c r="F15" s="393"/>
      <c r="G15" s="387" t="s">
        <v>47</v>
      </c>
      <c r="H15" s="387"/>
      <c r="I15" s="365" t="s">
        <v>31</v>
      </c>
      <c r="J15" s="92" t="s">
        <v>24</v>
      </c>
      <c r="K15" s="192">
        <f t="shared" ref="K15:U15" si="10">SUM(K16:K22)</f>
        <v>677092</v>
      </c>
      <c r="L15" s="141">
        <f t="shared" si="10"/>
        <v>677092</v>
      </c>
      <c r="M15" s="141">
        <f t="shared" si="10"/>
        <v>684592</v>
      </c>
      <c r="N15" s="273">
        <f t="shared" si="10"/>
        <v>685536</v>
      </c>
      <c r="O15" s="273">
        <f t="shared" si="10"/>
        <v>640063</v>
      </c>
      <c r="P15" s="273">
        <f t="shared" si="10"/>
        <v>728482</v>
      </c>
      <c r="Q15" s="273">
        <f t="shared" si="10"/>
        <v>683009</v>
      </c>
      <c r="R15" s="273">
        <f t="shared" si="10"/>
        <v>686799</v>
      </c>
      <c r="S15" s="273">
        <f t="shared" si="10"/>
        <v>681746</v>
      </c>
      <c r="T15" s="273">
        <f t="shared" si="10"/>
        <v>686271</v>
      </c>
      <c r="U15" s="273">
        <f t="shared" si="10"/>
        <v>686981</v>
      </c>
      <c r="V15" s="256">
        <f>SUM(V16:V22)</f>
        <v>679314.22222222225</v>
      </c>
      <c r="W15" s="93">
        <f t="shared" si="8"/>
        <v>8196977.222222222</v>
      </c>
    </row>
    <row r="16" spans="1:24" ht="13.4" customHeight="1">
      <c r="A16" s="280">
        <f>A15</f>
        <v>2015019</v>
      </c>
      <c r="B16" s="280">
        <f>B15</f>
        <v>0</v>
      </c>
      <c r="C16" s="391"/>
      <c r="D16" s="388"/>
      <c r="E16" s="388"/>
      <c r="F16" s="394"/>
      <c r="G16" s="388"/>
      <c r="H16" s="388"/>
      <c r="I16" s="366"/>
      <c r="J16" s="143" t="s">
        <v>25</v>
      </c>
      <c r="K16" s="195">
        <v>577500</v>
      </c>
      <c r="L16" s="195">
        <v>577500</v>
      </c>
      <c r="M16" s="195">
        <v>585000</v>
      </c>
      <c r="N16" s="276">
        <v>585000</v>
      </c>
      <c r="O16" s="276">
        <v>540000</v>
      </c>
      <c r="P16" s="276">
        <v>627500</v>
      </c>
      <c r="Q16" s="276">
        <v>582500</v>
      </c>
      <c r="R16" s="276">
        <v>586250</v>
      </c>
      <c r="S16" s="276">
        <v>581250</v>
      </c>
      <c r="T16" s="274">
        <v>585000</v>
      </c>
      <c r="U16" s="276">
        <v>586250</v>
      </c>
      <c r="V16" s="145">
        <v>542722.22222222225</v>
      </c>
      <c r="W16" s="94">
        <f t="shared" si="8"/>
        <v>6956472.222222222</v>
      </c>
      <c r="X16" s="136"/>
    </row>
    <row r="17" spans="1:24" ht="13.4" customHeight="1">
      <c r="A17" s="280">
        <f t="shared" ref="A17:A22" si="11">A16</f>
        <v>2015019</v>
      </c>
      <c r="B17" s="280">
        <f t="shared" ref="B17:B22" si="12">B16</f>
        <v>0</v>
      </c>
      <c r="C17" s="391"/>
      <c r="D17" s="388"/>
      <c r="E17" s="388"/>
      <c r="F17" s="394"/>
      <c r="G17" s="388"/>
      <c r="H17" s="388"/>
      <c r="I17" s="366"/>
      <c r="J17" s="143" t="s">
        <v>30</v>
      </c>
      <c r="K17" s="195">
        <v>7000</v>
      </c>
      <c r="L17" s="195">
        <v>7000</v>
      </c>
      <c r="M17" s="195">
        <v>7000</v>
      </c>
      <c r="N17" s="276">
        <v>7000</v>
      </c>
      <c r="O17" s="276">
        <v>7000</v>
      </c>
      <c r="P17" s="276">
        <v>7000</v>
      </c>
      <c r="Q17" s="276">
        <v>7000</v>
      </c>
      <c r="R17" s="276">
        <v>7000</v>
      </c>
      <c r="S17" s="276">
        <v>7000</v>
      </c>
      <c r="T17" s="276">
        <v>7000</v>
      </c>
      <c r="U17" s="276">
        <v>7000</v>
      </c>
      <c r="V17" s="145">
        <v>44000</v>
      </c>
      <c r="W17" s="94">
        <f t="shared" si="8"/>
        <v>121000</v>
      </c>
      <c r="X17" s="136"/>
    </row>
    <row r="18" spans="1:24" ht="13.4" customHeight="1">
      <c r="A18" s="280">
        <f t="shared" si="11"/>
        <v>2015019</v>
      </c>
      <c r="B18" s="280">
        <f t="shared" si="12"/>
        <v>0</v>
      </c>
      <c r="C18" s="391"/>
      <c r="D18" s="388"/>
      <c r="E18" s="388"/>
      <c r="F18" s="394"/>
      <c r="G18" s="388"/>
      <c r="H18" s="388"/>
      <c r="I18" s="366"/>
      <c r="J18" s="143" t="s">
        <v>33</v>
      </c>
      <c r="K18" s="195"/>
      <c r="L18" s="195"/>
      <c r="M18" s="195"/>
      <c r="N18" s="276"/>
      <c r="O18" s="276"/>
      <c r="P18" s="276"/>
      <c r="Q18" s="276"/>
      <c r="R18" s="276"/>
      <c r="S18" s="276"/>
      <c r="T18" s="276"/>
      <c r="U18" s="276"/>
      <c r="V18" s="145"/>
      <c r="W18" s="94">
        <f t="shared" si="8"/>
        <v>0</v>
      </c>
      <c r="X18" s="136"/>
    </row>
    <row r="19" spans="1:24" ht="13.4" customHeight="1">
      <c r="A19" s="280">
        <f t="shared" si="11"/>
        <v>2015019</v>
      </c>
      <c r="B19" s="280">
        <f t="shared" si="12"/>
        <v>0</v>
      </c>
      <c r="C19" s="391"/>
      <c r="D19" s="388"/>
      <c r="E19" s="388"/>
      <c r="F19" s="394"/>
      <c r="G19" s="388"/>
      <c r="H19" s="388"/>
      <c r="I19" s="366"/>
      <c r="J19" s="143" t="s">
        <v>26</v>
      </c>
      <c r="K19" s="194">
        <v>30975</v>
      </c>
      <c r="L19" s="194">
        <v>30975</v>
      </c>
      <c r="M19" s="194">
        <v>30975</v>
      </c>
      <c r="N19" s="274">
        <v>33335</v>
      </c>
      <c r="O19" s="274">
        <v>33335</v>
      </c>
      <c r="P19" s="274">
        <v>33335</v>
      </c>
      <c r="Q19" s="274">
        <v>33335</v>
      </c>
      <c r="R19" s="274">
        <v>33335</v>
      </c>
      <c r="S19" s="274">
        <v>33335</v>
      </c>
      <c r="T19" s="274">
        <v>33335</v>
      </c>
      <c r="U19" s="274">
        <v>33335</v>
      </c>
      <c r="V19" s="144">
        <v>30975</v>
      </c>
      <c r="W19" s="94">
        <f t="shared" si="8"/>
        <v>390580</v>
      </c>
      <c r="X19" s="136"/>
    </row>
    <row r="20" spans="1:24" ht="13.4" customHeight="1">
      <c r="A20" s="280">
        <f t="shared" si="11"/>
        <v>2015019</v>
      </c>
      <c r="B20" s="280">
        <f t="shared" si="12"/>
        <v>0</v>
      </c>
      <c r="C20" s="391"/>
      <c r="D20" s="388"/>
      <c r="E20" s="388"/>
      <c r="F20" s="394"/>
      <c r="G20" s="388"/>
      <c r="H20" s="388"/>
      <c r="I20" s="366"/>
      <c r="J20" s="143" t="s">
        <v>27</v>
      </c>
      <c r="K20" s="194">
        <v>53985</v>
      </c>
      <c r="L20" s="194">
        <v>53985</v>
      </c>
      <c r="M20" s="194">
        <v>53985</v>
      </c>
      <c r="N20" s="274">
        <v>53985</v>
      </c>
      <c r="O20" s="274">
        <v>53985</v>
      </c>
      <c r="P20" s="274">
        <v>53985</v>
      </c>
      <c r="Q20" s="274">
        <v>53985</v>
      </c>
      <c r="R20" s="274">
        <v>53985</v>
      </c>
      <c r="S20" s="274">
        <v>53985</v>
      </c>
      <c r="T20" s="274">
        <v>53985</v>
      </c>
      <c r="U20" s="274">
        <v>53985</v>
      </c>
      <c r="V20" s="144">
        <v>53985</v>
      </c>
      <c r="W20" s="94">
        <f t="shared" si="8"/>
        <v>647820</v>
      </c>
      <c r="X20" s="136"/>
    </row>
    <row r="21" spans="1:24" ht="13.4" customHeight="1">
      <c r="A21" s="280">
        <f t="shared" si="11"/>
        <v>2015019</v>
      </c>
      <c r="B21" s="280">
        <f t="shared" si="12"/>
        <v>0</v>
      </c>
      <c r="C21" s="391"/>
      <c r="D21" s="388"/>
      <c r="E21" s="388"/>
      <c r="F21" s="394"/>
      <c r="G21" s="388"/>
      <c r="H21" s="388"/>
      <c r="I21" s="366"/>
      <c r="J21" s="143" t="s">
        <v>28</v>
      </c>
      <c r="K21" s="194">
        <v>3065</v>
      </c>
      <c r="L21" s="194">
        <v>3065</v>
      </c>
      <c r="M21" s="194">
        <v>3065</v>
      </c>
      <c r="N21" s="274">
        <v>2960</v>
      </c>
      <c r="O21" s="274">
        <v>2735</v>
      </c>
      <c r="P21" s="274">
        <v>3172</v>
      </c>
      <c r="Q21" s="274">
        <v>2947</v>
      </c>
      <c r="R21" s="274">
        <v>2966</v>
      </c>
      <c r="S21" s="274">
        <v>2941</v>
      </c>
      <c r="T21" s="274">
        <v>3310</v>
      </c>
      <c r="U21" s="274">
        <v>3053</v>
      </c>
      <c r="V21" s="144">
        <v>3065</v>
      </c>
      <c r="W21" s="94">
        <f t="shared" si="8"/>
        <v>36344</v>
      </c>
      <c r="X21" s="136"/>
    </row>
    <row r="22" spans="1:24" ht="14.15" customHeight="1" thickBot="1">
      <c r="A22" s="280">
        <f t="shared" si="11"/>
        <v>2015019</v>
      </c>
      <c r="B22" s="280">
        <f t="shared" si="12"/>
        <v>0</v>
      </c>
      <c r="C22" s="405"/>
      <c r="D22" s="407"/>
      <c r="E22" s="407"/>
      <c r="F22" s="408"/>
      <c r="G22" s="407"/>
      <c r="H22" s="407"/>
      <c r="I22" s="377"/>
      <c r="J22" s="261" t="s">
        <v>29</v>
      </c>
      <c r="K22" s="196">
        <v>4567</v>
      </c>
      <c r="L22" s="196">
        <v>4567</v>
      </c>
      <c r="M22" s="196">
        <v>4567</v>
      </c>
      <c r="N22" s="277">
        <v>3256</v>
      </c>
      <c r="O22" s="277">
        <v>3008</v>
      </c>
      <c r="P22" s="277">
        <v>3490</v>
      </c>
      <c r="Q22" s="277">
        <v>3242</v>
      </c>
      <c r="R22" s="277">
        <v>3263</v>
      </c>
      <c r="S22" s="277">
        <v>3235</v>
      </c>
      <c r="T22" s="277">
        <v>3641</v>
      </c>
      <c r="U22" s="277">
        <v>3358</v>
      </c>
      <c r="V22" s="147">
        <v>4567</v>
      </c>
      <c r="W22" s="103">
        <f t="shared" si="8"/>
        <v>44761</v>
      </c>
      <c r="X22" s="136"/>
    </row>
    <row r="23" spans="1:24" s="1" customFormat="1" ht="33.75" customHeight="1" thickTop="1">
      <c r="C23" s="371" t="s">
        <v>45</v>
      </c>
      <c r="D23" s="372"/>
      <c r="E23" s="372"/>
      <c r="F23" s="372"/>
      <c r="G23" s="372"/>
      <c r="H23" s="372"/>
      <c r="I23" s="373"/>
      <c r="J23" s="68" t="s">
        <v>40</v>
      </c>
      <c r="K23" s="78">
        <f>K7+K15</f>
        <v>1369420</v>
      </c>
      <c r="L23" s="79">
        <f t="shared" ref="L23:V23" si="13">L7+L15</f>
        <v>1375670</v>
      </c>
      <c r="M23" s="79">
        <f t="shared" si="13"/>
        <v>1364420</v>
      </c>
      <c r="N23" s="272">
        <f t="shared" si="13"/>
        <v>1370964</v>
      </c>
      <c r="O23" s="272">
        <f t="shared" si="13"/>
        <v>1345701</v>
      </c>
      <c r="P23" s="272">
        <f t="shared" si="13"/>
        <v>1412119</v>
      </c>
      <c r="Q23" s="272">
        <f t="shared" si="13"/>
        <v>1369701</v>
      </c>
      <c r="R23" s="272">
        <f t="shared" si="13"/>
        <v>1373491</v>
      </c>
      <c r="S23" s="272">
        <f t="shared" si="13"/>
        <v>1378543</v>
      </c>
      <c r="T23" s="272">
        <f t="shared" si="13"/>
        <v>1380013</v>
      </c>
      <c r="U23" s="272">
        <f t="shared" si="13"/>
        <v>1368274</v>
      </c>
      <c r="V23" s="146">
        <f t="shared" si="13"/>
        <v>1342910</v>
      </c>
      <c r="W23" s="99">
        <f>SUM(K23:V23)</f>
        <v>16451226</v>
      </c>
      <c r="X23" s="3"/>
    </row>
    <row r="24" spans="1:24">
      <c r="O24" s="3"/>
      <c r="P24" s="3"/>
      <c r="Q24" s="35"/>
      <c r="R24" s="3"/>
      <c r="S24" s="35"/>
      <c r="T24" s="3"/>
      <c r="U24" s="35"/>
      <c r="V24" s="3"/>
      <c r="W24" s="3"/>
    </row>
    <row r="25" spans="1:24">
      <c r="O25" s="3"/>
      <c r="P25" s="3"/>
      <c r="Q25" s="35"/>
      <c r="R25" s="3"/>
      <c r="S25" s="35"/>
      <c r="T25" s="3"/>
      <c r="U25" s="35"/>
      <c r="V25" s="3"/>
      <c r="W25" s="3"/>
    </row>
    <row r="26" spans="1:24">
      <c r="O26" s="3"/>
      <c r="P26" s="3"/>
      <c r="Q26" s="35"/>
      <c r="R26" s="3"/>
      <c r="S26" s="35"/>
      <c r="T26" s="3"/>
      <c r="U26" s="35"/>
      <c r="V26" s="3"/>
      <c r="W26" s="3"/>
    </row>
    <row r="27" spans="1:24">
      <c r="O27" s="3"/>
      <c r="P27" s="3"/>
      <c r="Q27" s="35"/>
      <c r="R27" s="3"/>
      <c r="S27" s="35"/>
      <c r="T27" s="3"/>
      <c r="U27" s="35"/>
      <c r="V27" s="3"/>
      <c r="W27" s="3"/>
    </row>
    <row r="28" spans="1:24">
      <c r="O28" s="3"/>
      <c r="P28" s="3"/>
      <c r="Q28" s="35"/>
      <c r="R28" s="3"/>
      <c r="S28" s="35"/>
      <c r="T28" s="3"/>
      <c r="U28" s="35"/>
      <c r="V28" s="3"/>
      <c r="W28" s="3"/>
    </row>
    <row r="29" spans="1:24">
      <c r="O29" s="3"/>
      <c r="P29" s="3"/>
      <c r="Q29" s="35"/>
      <c r="R29" s="3"/>
      <c r="S29" s="35"/>
      <c r="T29" s="3"/>
      <c r="U29" s="35"/>
      <c r="V29" s="3"/>
      <c r="W29" s="3"/>
    </row>
    <row r="30" spans="1:24">
      <c r="O30" s="3"/>
      <c r="P30" s="3"/>
      <c r="Q30" s="35"/>
      <c r="R30" s="3"/>
      <c r="S30" s="35"/>
      <c r="T30" s="3"/>
      <c r="U30" s="35"/>
      <c r="V30" s="3"/>
      <c r="W30" s="3"/>
    </row>
    <row r="31" spans="1:24">
      <c r="O31" s="3"/>
      <c r="P31" s="3"/>
      <c r="Q31" s="35"/>
      <c r="R31" s="3"/>
      <c r="S31" s="35"/>
      <c r="T31" s="3"/>
      <c r="U31" s="35"/>
      <c r="V31" s="3"/>
      <c r="W31" s="3"/>
    </row>
    <row r="32" spans="1:24">
      <c r="O32" s="3"/>
      <c r="P32" s="3"/>
      <c r="Q32" s="35"/>
      <c r="R32" s="3"/>
      <c r="S32" s="35"/>
      <c r="T32" s="3"/>
      <c r="U32" s="35"/>
      <c r="V32" s="3"/>
      <c r="W32" s="3"/>
    </row>
    <row r="33" spans="1:21" s="3" customFormat="1">
      <c r="A33" s="279"/>
      <c r="B33" s="279"/>
      <c r="K33" s="35"/>
      <c r="L33" s="35"/>
      <c r="M33" s="35"/>
      <c r="N33" s="35"/>
      <c r="Q33" s="35"/>
      <c r="S33" s="35"/>
      <c r="U33" s="35"/>
    </row>
    <row r="34" spans="1:21" s="3" customFormat="1">
      <c r="A34" s="279"/>
      <c r="B34" s="279"/>
      <c r="K34" s="35"/>
      <c r="L34" s="35"/>
      <c r="M34" s="35"/>
      <c r="N34" s="35"/>
      <c r="Q34" s="35"/>
      <c r="S34" s="35"/>
      <c r="U34" s="35"/>
    </row>
    <row r="35" spans="1:21" s="3" customFormat="1">
      <c r="A35" s="279"/>
      <c r="B35" s="279"/>
      <c r="K35" s="35"/>
      <c r="L35" s="35"/>
      <c r="M35" s="35"/>
      <c r="N35" s="35"/>
      <c r="Q35" s="35"/>
      <c r="S35" s="35"/>
      <c r="U35" s="35"/>
    </row>
    <row r="36" spans="1:21" s="3" customFormat="1">
      <c r="A36" s="279"/>
      <c r="B36" s="279"/>
      <c r="K36" s="35"/>
      <c r="L36" s="35"/>
      <c r="M36" s="35"/>
      <c r="N36" s="35"/>
      <c r="Q36" s="35"/>
      <c r="S36" s="35"/>
      <c r="U36" s="35"/>
    </row>
    <row r="37" spans="1:21" s="3" customFormat="1">
      <c r="A37" s="279"/>
      <c r="B37" s="279"/>
      <c r="K37" s="35"/>
      <c r="L37" s="35"/>
      <c r="M37" s="35"/>
      <c r="N37" s="35"/>
      <c r="Q37" s="35"/>
      <c r="S37" s="35"/>
      <c r="U37" s="35"/>
    </row>
    <row r="38" spans="1:21" s="3" customFormat="1">
      <c r="A38" s="279"/>
      <c r="B38" s="279"/>
      <c r="K38" s="35"/>
      <c r="L38" s="35"/>
      <c r="M38" s="35"/>
      <c r="N38" s="35"/>
      <c r="Q38" s="35"/>
      <c r="S38" s="35"/>
      <c r="U38" s="35"/>
    </row>
    <row r="39" spans="1:21" s="3" customFormat="1">
      <c r="A39" s="279"/>
      <c r="B39" s="279"/>
      <c r="K39" s="35"/>
      <c r="L39" s="35"/>
      <c r="M39" s="35"/>
      <c r="N39" s="35"/>
      <c r="Q39" s="35"/>
      <c r="S39" s="35"/>
      <c r="U39" s="35"/>
    </row>
    <row r="40" spans="1:21" s="3" customFormat="1">
      <c r="A40" s="279"/>
      <c r="B40" s="279"/>
      <c r="K40" s="35"/>
      <c r="L40" s="35"/>
      <c r="M40" s="35"/>
      <c r="N40" s="35"/>
      <c r="Q40" s="35"/>
      <c r="S40" s="35"/>
      <c r="U40" s="35"/>
    </row>
    <row r="41" spans="1:21" s="3" customFormat="1">
      <c r="A41" s="279"/>
      <c r="B41" s="279"/>
      <c r="K41" s="35"/>
      <c r="L41" s="35"/>
      <c r="M41" s="35"/>
      <c r="N41" s="35"/>
      <c r="Q41" s="35"/>
      <c r="S41" s="35"/>
      <c r="U41" s="35"/>
    </row>
    <row r="42" spans="1:21" s="3" customFormat="1">
      <c r="A42" s="279"/>
      <c r="B42" s="279"/>
      <c r="K42" s="35"/>
      <c r="L42" s="35"/>
      <c r="M42" s="35"/>
      <c r="N42" s="35"/>
      <c r="Q42" s="35"/>
      <c r="S42" s="35"/>
      <c r="U42" s="35"/>
    </row>
    <row r="43" spans="1:21" s="3" customFormat="1">
      <c r="A43" s="279"/>
      <c r="B43" s="279"/>
      <c r="K43" s="35"/>
      <c r="L43" s="35"/>
      <c r="M43" s="35"/>
      <c r="N43" s="35"/>
      <c r="Q43" s="35"/>
      <c r="S43" s="35"/>
      <c r="U43" s="35"/>
    </row>
    <row r="44" spans="1:21" s="3" customFormat="1">
      <c r="A44" s="279"/>
      <c r="B44" s="279"/>
      <c r="K44" s="35"/>
      <c r="L44" s="35"/>
      <c r="M44" s="35"/>
      <c r="N44" s="35"/>
      <c r="Q44" s="35"/>
      <c r="S44" s="35"/>
      <c r="U44" s="35"/>
    </row>
    <row r="45" spans="1:21" s="3" customFormat="1">
      <c r="A45" s="279"/>
      <c r="B45" s="279"/>
      <c r="K45" s="35"/>
      <c r="L45" s="35"/>
      <c r="M45" s="35"/>
      <c r="N45" s="35"/>
      <c r="Q45" s="35"/>
      <c r="S45" s="35"/>
      <c r="U45" s="35"/>
    </row>
    <row r="46" spans="1:21" s="3" customFormat="1">
      <c r="A46" s="279"/>
      <c r="B46" s="279"/>
      <c r="K46" s="35"/>
      <c r="L46" s="35"/>
      <c r="M46" s="35"/>
      <c r="N46" s="35"/>
      <c r="Q46" s="35"/>
      <c r="S46" s="35"/>
      <c r="U46" s="35"/>
    </row>
    <row r="47" spans="1:21" s="3" customFormat="1">
      <c r="A47" s="279"/>
      <c r="B47" s="279"/>
      <c r="K47" s="35"/>
      <c r="L47" s="35"/>
      <c r="M47" s="35"/>
      <c r="N47" s="35"/>
      <c r="Q47" s="35"/>
      <c r="S47" s="35"/>
      <c r="U47" s="35"/>
    </row>
    <row r="48" spans="1:21" s="3" customFormat="1">
      <c r="A48" s="279"/>
      <c r="B48" s="279"/>
      <c r="K48" s="35"/>
      <c r="L48" s="35"/>
      <c r="M48" s="35"/>
      <c r="N48" s="35"/>
      <c r="Q48" s="35"/>
      <c r="S48" s="35"/>
      <c r="U48" s="35"/>
    </row>
    <row r="49" spans="1:21" s="3" customFormat="1">
      <c r="A49" s="279"/>
      <c r="B49" s="279"/>
      <c r="K49" s="35"/>
      <c r="L49" s="35"/>
      <c r="M49" s="35"/>
      <c r="N49" s="35"/>
      <c r="Q49" s="35"/>
      <c r="S49" s="35"/>
      <c r="U49" s="35"/>
    </row>
    <row r="50" spans="1:21" s="3" customFormat="1">
      <c r="A50" s="279"/>
      <c r="B50" s="279"/>
      <c r="K50" s="35"/>
      <c r="L50" s="35"/>
      <c r="M50" s="35"/>
      <c r="N50" s="35"/>
      <c r="Q50" s="35"/>
      <c r="S50" s="35"/>
      <c r="U50" s="35"/>
    </row>
    <row r="51" spans="1:21" s="3" customFormat="1">
      <c r="A51" s="279"/>
      <c r="B51" s="279"/>
      <c r="K51" s="35"/>
      <c r="L51" s="35"/>
      <c r="M51" s="35"/>
      <c r="N51" s="35"/>
      <c r="Q51" s="35"/>
      <c r="S51" s="35"/>
      <c r="U51" s="35"/>
    </row>
    <row r="52" spans="1:21" s="3" customFormat="1">
      <c r="A52" s="279"/>
      <c r="B52" s="279"/>
      <c r="K52" s="35"/>
      <c r="L52" s="35"/>
      <c r="M52" s="35"/>
      <c r="N52" s="35"/>
      <c r="Q52" s="35"/>
      <c r="S52" s="35"/>
      <c r="U52" s="35"/>
    </row>
    <row r="53" spans="1:21" s="3" customFormat="1">
      <c r="A53" s="279"/>
      <c r="B53" s="279"/>
      <c r="K53" s="35"/>
      <c r="L53" s="35"/>
      <c r="M53" s="35"/>
      <c r="N53" s="35"/>
      <c r="Q53" s="35"/>
      <c r="S53" s="35"/>
      <c r="U53" s="35"/>
    </row>
    <row r="54" spans="1:21" s="3" customFormat="1">
      <c r="A54" s="279"/>
      <c r="B54" s="279"/>
      <c r="K54" s="35"/>
      <c r="L54" s="35"/>
      <c r="M54" s="35"/>
      <c r="N54" s="35"/>
      <c r="Q54" s="35"/>
      <c r="S54" s="35"/>
      <c r="U54" s="35"/>
    </row>
    <row r="55" spans="1:21" s="3" customFormat="1">
      <c r="A55" s="279"/>
      <c r="B55" s="279"/>
      <c r="K55" s="35"/>
      <c r="L55" s="35"/>
      <c r="M55" s="35"/>
      <c r="N55" s="35"/>
      <c r="Q55" s="35"/>
      <c r="S55" s="35"/>
      <c r="U55" s="35"/>
    </row>
    <row r="56" spans="1:21" s="3" customFormat="1">
      <c r="A56" s="279"/>
      <c r="B56" s="279"/>
      <c r="K56" s="35"/>
      <c r="L56" s="35"/>
      <c r="M56" s="35"/>
      <c r="N56" s="35"/>
      <c r="Q56" s="35"/>
      <c r="S56" s="35"/>
      <c r="U56" s="35"/>
    </row>
    <row r="57" spans="1:21" s="3" customFormat="1">
      <c r="A57" s="279"/>
      <c r="B57" s="279"/>
      <c r="K57" s="35"/>
      <c r="L57" s="35"/>
      <c r="M57" s="35"/>
      <c r="N57" s="35"/>
      <c r="Q57" s="35"/>
      <c r="S57" s="35"/>
      <c r="U57" s="35"/>
    </row>
    <row r="58" spans="1:21" s="3" customFormat="1">
      <c r="A58" s="279"/>
      <c r="B58" s="279"/>
      <c r="K58" s="35"/>
      <c r="L58" s="35"/>
      <c r="M58" s="35"/>
      <c r="N58" s="35"/>
      <c r="Q58" s="35"/>
      <c r="S58" s="35"/>
      <c r="U58" s="35"/>
    </row>
    <row r="59" spans="1:21" s="3" customFormat="1">
      <c r="A59" s="279"/>
      <c r="B59" s="279"/>
      <c r="K59" s="35"/>
      <c r="L59" s="35"/>
      <c r="M59" s="35"/>
      <c r="N59" s="35"/>
      <c r="Q59" s="35"/>
      <c r="S59" s="35"/>
      <c r="U59" s="35"/>
    </row>
    <row r="60" spans="1:21" s="3" customFormat="1">
      <c r="A60" s="279"/>
      <c r="B60" s="279"/>
      <c r="K60" s="35"/>
      <c r="L60" s="35"/>
      <c r="M60" s="35"/>
      <c r="N60" s="35"/>
      <c r="Q60" s="35"/>
      <c r="S60" s="35"/>
      <c r="U60" s="35"/>
    </row>
    <row r="61" spans="1:21" s="3" customFormat="1">
      <c r="A61" s="279"/>
      <c r="B61" s="279"/>
      <c r="K61" s="35"/>
      <c r="L61" s="35"/>
      <c r="M61" s="35"/>
      <c r="N61" s="35"/>
      <c r="Q61" s="35"/>
      <c r="S61" s="35"/>
      <c r="U61" s="35"/>
    </row>
    <row r="62" spans="1:21" s="3" customFormat="1">
      <c r="A62" s="279"/>
      <c r="B62" s="279"/>
      <c r="K62" s="35"/>
      <c r="L62" s="35"/>
      <c r="M62" s="35"/>
      <c r="N62" s="35"/>
      <c r="Q62" s="35"/>
      <c r="S62" s="35"/>
      <c r="U62" s="35"/>
    </row>
    <row r="63" spans="1:21" s="3" customFormat="1">
      <c r="A63" s="279"/>
      <c r="B63" s="279"/>
      <c r="K63" s="35"/>
      <c r="L63" s="35"/>
      <c r="M63" s="35"/>
      <c r="N63" s="35"/>
      <c r="Q63" s="35"/>
      <c r="S63" s="35"/>
      <c r="U63" s="35"/>
    </row>
    <row r="64" spans="1:21" s="3" customFormat="1">
      <c r="A64" s="279"/>
      <c r="B64" s="279"/>
      <c r="K64" s="35"/>
      <c r="L64" s="35"/>
      <c r="M64" s="35"/>
      <c r="N64" s="35"/>
      <c r="Q64" s="35"/>
      <c r="S64" s="35"/>
      <c r="U64" s="35"/>
    </row>
    <row r="65" spans="1:21" s="3" customFormat="1">
      <c r="A65" s="279"/>
      <c r="B65" s="279"/>
      <c r="K65" s="35"/>
      <c r="L65" s="35"/>
      <c r="M65" s="35"/>
      <c r="N65" s="35"/>
      <c r="Q65" s="35"/>
      <c r="S65" s="35"/>
      <c r="U65" s="35"/>
    </row>
    <row r="66" spans="1:21" s="3" customFormat="1">
      <c r="A66" s="279"/>
      <c r="B66" s="279"/>
      <c r="K66" s="35"/>
      <c r="L66" s="35"/>
      <c r="M66" s="35"/>
      <c r="N66" s="35"/>
      <c r="Q66" s="35"/>
      <c r="S66" s="35"/>
      <c r="U66" s="35"/>
    </row>
    <row r="67" spans="1:21" s="3" customFormat="1">
      <c r="A67" s="279"/>
      <c r="B67" s="279"/>
      <c r="K67" s="35"/>
      <c r="L67" s="35"/>
      <c r="M67" s="35"/>
      <c r="N67" s="35"/>
      <c r="Q67" s="35"/>
      <c r="S67" s="35"/>
      <c r="U67" s="35"/>
    </row>
    <row r="68" spans="1:21" s="3" customFormat="1">
      <c r="A68" s="279"/>
      <c r="B68" s="279"/>
      <c r="K68" s="35"/>
      <c r="L68" s="35"/>
      <c r="M68" s="35"/>
      <c r="N68" s="35"/>
      <c r="Q68" s="35"/>
      <c r="S68" s="35"/>
      <c r="U68" s="35"/>
    </row>
    <row r="69" spans="1:21" s="3" customFormat="1">
      <c r="A69" s="279"/>
      <c r="B69" s="279"/>
      <c r="K69" s="35"/>
      <c r="L69" s="35"/>
      <c r="M69" s="35"/>
      <c r="N69" s="35"/>
      <c r="Q69" s="35"/>
      <c r="S69" s="35"/>
      <c r="U69" s="35"/>
    </row>
    <row r="70" spans="1:21" s="3" customFormat="1">
      <c r="A70" s="279"/>
      <c r="B70" s="279"/>
      <c r="K70" s="35"/>
      <c r="L70" s="35"/>
      <c r="M70" s="35"/>
      <c r="N70" s="35"/>
      <c r="Q70" s="35"/>
      <c r="S70" s="35"/>
      <c r="U70" s="35"/>
    </row>
    <row r="71" spans="1:21" s="3" customFormat="1">
      <c r="A71" s="279"/>
      <c r="B71" s="279"/>
      <c r="K71" s="35"/>
      <c r="L71" s="35"/>
      <c r="M71" s="35"/>
      <c r="N71" s="35"/>
      <c r="Q71" s="35"/>
      <c r="S71" s="35"/>
      <c r="U71" s="35"/>
    </row>
    <row r="72" spans="1:21" s="3" customFormat="1">
      <c r="A72" s="279"/>
      <c r="B72" s="279"/>
      <c r="K72" s="35"/>
      <c r="L72" s="35"/>
      <c r="M72" s="35"/>
      <c r="N72" s="35"/>
      <c r="Q72" s="35"/>
      <c r="S72" s="35"/>
      <c r="U72" s="35"/>
    </row>
    <row r="73" spans="1:21" s="3" customFormat="1">
      <c r="A73" s="279"/>
      <c r="B73" s="279"/>
      <c r="K73" s="35"/>
      <c r="L73" s="35"/>
      <c r="M73" s="35"/>
      <c r="N73" s="35"/>
      <c r="Q73" s="35"/>
      <c r="S73" s="35"/>
      <c r="U73" s="35"/>
    </row>
    <row r="74" spans="1:21" s="3" customFormat="1">
      <c r="A74" s="279"/>
      <c r="B74" s="279"/>
      <c r="K74" s="35"/>
      <c r="L74" s="35"/>
      <c r="M74" s="35"/>
      <c r="N74" s="35"/>
      <c r="Q74" s="35"/>
      <c r="S74" s="35"/>
      <c r="U74" s="35"/>
    </row>
    <row r="75" spans="1:21" s="3" customFormat="1">
      <c r="A75" s="279"/>
      <c r="B75" s="279"/>
      <c r="K75" s="35"/>
      <c r="L75" s="35"/>
      <c r="M75" s="35"/>
      <c r="N75" s="35"/>
      <c r="Q75" s="35"/>
      <c r="S75" s="35"/>
      <c r="U75" s="35"/>
    </row>
    <row r="76" spans="1:21" s="3" customFormat="1">
      <c r="A76" s="279"/>
      <c r="B76" s="279"/>
      <c r="K76" s="35"/>
      <c r="L76" s="35"/>
      <c r="M76" s="35"/>
      <c r="N76" s="35"/>
      <c r="Q76" s="35"/>
      <c r="S76" s="35"/>
      <c r="U76" s="35"/>
    </row>
    <row r="77" spans="1:21" s="3" customFormat="1">
      <c r="A77" s="279"/>
      <c r="B77" s="279"/>
      <c r="K77" s="35"/>
      <c r="L77" s="35"/>
      <c r="M77" s="35"/>
      <c r="N77" s="35"/>
      <c r="Q77" s="35"/>
      <c r="S77" s="35"/>
      <c r="U77" s="35"/>
    </row>
    <row r="78" spans="1:21" s="3" customFormat="1">
      <c r="A78" s="279"/>
      <c r="B78" s="279"/>
      <c r="K78" s="35"/>
      <c r="L78" s="35"/>
      <c r="M78" s="35"/>
      <c r="N78" s="35"/>
      <c r="Q78" s="35"/>
      <c r="S78" s="35"/>
      <c r="U78" s="35"/>
    </row>
    <row r="79" spans="1:21" s="3" customFormat="1">
      <c r="A79" s="279"/>
      <c r="B79" s="279"/>
      <c r="K79" s="35"/>
      <c r="L79" s="35"/>
      <c r="M79" s="35"/>
      <c r="N79" s="35"/>
      <c r="Q79" s="35"/>
      <c r="S79" s="35"/>
      <c r="U79" s="35"/>
    </row>
    <row r="80" spans="1:21" s="3" customFormat="1">
      <c r="A80" s="279"/>
      <c r="B80" s="279"/>
      <c r="K80" s="35"/>
      <c r="L80" s="35"/>
      <c r="M80" s="35"/>
      <c r="N80" s="35"/>
      <c r="Q80" s="35"/>
      <c r="S80" s="35"/>
      <c r="U80" s="35"/>
    </row>
    <row r="81" spans="1:21" s="3" customFormat="1">
      <c r="A81" s="279"/>
      <c r="B81" s="279"/>
      <c r="K81" s="35"/>
      <c r="L81" s="35"/>
      <c r="M81" s="35"/>
      <c r="N81" s="35"/>
      <c r="Q81" s="35"/>
      <c r="S81" s="35"/>
      <c r="U81" s="35"/>
    </row>
    <row r="82" spans="1:21" s="3" customFormat="1">
      <c r="A82" s="279"/>
      <c r="B82" s="279"/>
      <c r="K82" s="35"/>
      <c r="L82" s="35"/>
      <c r="M82" s="35"/>
      <c r="N82" s="35"/>
      <c r="Q82" s="35"/>
      <c r="S82" s="35"/>
      <c r="U82" s="35"/>
    </row>
    <row r="83" spans="1:21" s="3" customFormat="1">
      <c r="A83" s="279"/>
      <c r="B83" s="279"/>
      <c r="K83" s="35"/>
      <c r="L83" s="35"/>
      <c r="M83" s="35"/>
      <c r="N83" s="35"/>
      <c r="Q83" s="35"/>
      <c r="S83" s="35"/>
      <c r="U83" s="35"/>
    </row>
    <row r="84" spans="1:21" s="3" customFormat="1">
      <c r="A84" s="279"/>
      <c r="B84" s="279"/>
      <c r="K84" s="35"/>
      <c r="L84" s="35"/>
      <c r="M84" s="35"/>
      <c r="N84" s="35"/>
      <c r="Q84" s="35"/>
      <c r="S84" s="35"/>
      <c r="U84" s="35"/>
    </row>
    <row r="85" spans="1:21" s="3" customFormat="1">
      <c r="A85" s="279"/>
      <c r="B85" s="279"/>
      <c r="K85" s="35"/>
      <c r="L85" s="35"/>
      <c r="M85" s="35"/>
      <c r="N85" s="35"/>
      <c r="Q85" s="35"/>
      <c r="S85" s="35"/>
      <c r="U85" s="35"/>
    </row>
    <row r="86" spans="1:21" s="3" customFormat="1">
      <c r="A86" s="279"/>
      <c r="B86" s="279"/>
      <c r="K86" s="35"/>
      <c r="L86" s="35"/>
      <c r="M86" s="35"/>
      <c r="N86" s="35"/>
      <c r="Q86" s="35"/>
      <c r="S86" s="35"/>
      <c r="U86" s="35"/>
    </row>
    <row r="87" spans="1:21" s="3" customFormat="1">
      <c r="A87" s="279"/>
      <c r="B87" s="279"/>
      <c r="K87" s="35"/>
      <c r="L87" s="35"/>
      <c r="M87" s="35"/>
      <c r="N87" s="35"/>
      <c r="Q87" s="35"/>
      <c r="S87" s="35"/>
      <c r="U87" s="35"/>
    </row>
    <row r="88" spans="1:21" s="3" customFormat="1">
      <c r="A88" s="279"/>
      <c r="B88" s="279"/>
      <c r="K88" s="35"/>
      <c r="L88" s="35"/>
      <c r="M88" s="35"/>
      <c r="N88" s="35"/>
      <c r="Q88" s="35"/>
      <c r="S88" s="35"/>
      <c r="U88" s="35"/>
    </row>
    <row r="89" spans="1:21" s="3" customFormat="1">
      <c r="A89" s="279"/>
      <c r="B89" s="279"/>
      <c r="K89" s="35"/>
      <c r="L89" s="35"/>
      <c r="M89" s="35"/>
      <c r="N89" s="35"/>
      <c r="Q89" s="35"/>
      <c r="S89" s="35"/>
      <c r="U89" s="35"/>
    </row>
    <row r="90" spans="1:21" s="3" customFormat="1">
      <c r="A90" s="279"/>
      <c r="B90" s="279"/>
      <c r="K90" s="35"/>
      <c r="L90" s="35"/>
      <c r="M90" s="35"/>
      <c r="N90" s="35"/>
      <c r="Q90" s="35"/>
      <c r="S90" s="35"/>
      <c r="U90" s="35"/>
    </row>
    <row r="91" spans="1:21" s="3" customFormat="1">
      <c r="A91" s="279"/>
      <c r="B91" s="279"/>
      <c r="K91" s="35"/>
      <c r="L91" s="35"/>
      <c r="M91" s="35"/>
      <c r="N91" s="35"/>
      <c r="Q91" s="35"/>
      <c r="S91" s="35"/>
      <c r="U91" s="35"/>
    </row>
    <row r="92" spans="1:21" s="3" customFormat="1">
      <c r="A92" s="279"/>
      <c r="B92" s="279"/>
      <c r="K92" s="35"/>
      <c r="L92" s="35"/>
      <c r="M92" s="35"/>
      <c r="N92" s="35"/>
      <c r="Q92" s="35"/>
      <c r="S92" s="35"/>
      <c r="U92" s="35"/>
    </row>
    <row r="93" spans="1:21" s="3" customFormat="1">
      <c r="A93" s="279"/>
      <c r="B93" s="279"/>
      <c r="K93" s="35"/>
      <c r="L93" s="35"/>
      <c r="M93" s="35"/>
      <c r="N93" s="35"/>
      <c r="Q93" s="35"/>
      <c r="S93" s="35"/>
      <c r="U93" s="35"/>
    </row>
    <row r="94" spans="1:21" s="3" customFormat="1">
      <c r="A94" s="279"/>
      <c r="B94" s="279"/>
      <c r="K94" s="35"/>
      <c r="L94" s="35"/>
      <c r="M94" s="35"/>
      <c r="N94" s="35"/>
      <c r="Q94" s="35"/>
      <c r="S94" s="35"/>
      <c r="U94" s="35"/>
    </row>
    <row r="95" spans="1:21" s="3" customFormat="1">
      <c r="A95" s="279"/>
      <c r="B95" s="279"/>
      <c r="K95" s="35"/>
      <c r="L95" s="35"/>
      <c r="M95" s="35"/>
      <c r="N95" s="35"/>
      <c r="Q95" s="35"/>
      <c r="S95" s="35"/>
      <c r="U95" s="35"/>
    </row>
    <row r="96" spans="1:21" s="3" customFormat="1">
      <c r="A96" s="279"/>
      <c r="B96" s="279"/>
      <c r="K96" s="35"/>
      <c r="L96" s="35"/>
      <c r="M96" s="35"/>
      <c r="N96" s="35"/>
      <c r="Q96" s="35"/>
      <c r="S96" s="35"/>
      <c r="U96" s="35"/>
    </row>
    <row r="97" spans="1:21" s="3" customFormat="1">
      <c r="A97" s="279"/>
      <c r="B97" s="279"/>
      <c r="K97" s="35"/>
      <c r="L97" s="35"/>
      <c r="M97" s="35"/>
      <c r="N97" s="35"/>
      <c r="Q97" s="35"/>
      <c r="S97" s="35"/>
      <c r="U97" s="35"/>
    </row>
    <row r="98" spans="1:21" s="3" customFormat="1">
      <c r="A98" s="279"/>
      <c r="B98" s="279"/>
      <c r="K98" s="35"/>
      <c r="L98" s="35"/>
      <c r="M98" s="35"/>
      <c r="N98" s="35"/>
      <c r="Q98" s="35"/>
      <c r="S98" s="35"/>
      <c r="U98" s="35"/>
    </row>
    <row r="99" spans="1:21" s="3" customFormat="1">
      <c r="A99" s="279"/>
      <c r="B99" s="279"/>
      <c r="K99" s="35"/>
      <c r="L99" s="35"/>
      <c r="M99" s="35"/>
      <c r="N99" s="35"/>
      <c r="Q99" s="35"/>
      <c r="S99" s="35"/>
      <c r="U99" s="35"/>
    </row>
    <row r="100" spans="1:21" s="3" customFormat="1">
      <c r="A100" s="279"/>
      <c r="B100" s="279"/>
      <c r="K100" s="35"/>
      <c r="L100" s="35"/>
      <c r="M100" s="35"/>
      <c r="N100" s="35"/>
      <c r="Q100" s="35"/>
      <c r="S100" s="35"/>
      <c r="U100" s="35"/>
    </row>
    <row r="101" spans="1:21" s="3" customFormat="1">
      <c r="A101" s="279"/>
      <c r="B101" s="279"/>
      <c r="K101" s="35"/>
      <c r="L101" s="35"/>
      <c r="M101" s="35"/>
      <c r="N101" s="35"/>
      <c r="Q101" s="35"/>
      <c r="S101" s="35"/>
      <c r="U101" s="35"/>
    </row>
    <row r="102" spans="1:21" s="3" customFormat="1">
      <c r="A102" s="279"/>
      <c r="B102" s="279"/>
      <c r="K102" s="35"/>
      <c r="L102" s="35"/>
      <c r="M102" s="35"/>
      <c r="N102" s="35"/>
      <c r="Q102" s="35"/>
      <c r="S102" s="35"/>
      <c r="U102" s="35"/>
    </row>
    <row r="103" spans="1:21" s="3" customFormat="1">
      <c r="A103" s="279"/>
      <c r="B103" s="279"/>
      <c r="K103" s="35"/>
      <c r="L103" s="35"/>
      <c r="M103" s="35"/>
      <c r="N103" s="35"/>
      <c r="Q103" s="35"/>
      <c r="S103" s="35"/>
      <c r="U103" s="35"/>
    </row>
    <row r="104" spans="1:21" s="3" customFormat="1">
      <c r="A104" s="279"/>
      <c r="B104" s="279"/>
      <c r="K104" s="35"/>
      <c r="L104" s="35"/>
      <c r="M104" s="35"/>
      <c r="N104" s="35"/>
      <c r="Q104" s="35"/>
      <c r="S104" s="35"/>
      <c r="U104" s="35"/>
    </row>
    <row r="105" spans="1:21" s="3" customFormat="1">
      <c r="A105" s="279"/>
      <c r="B105" s="279"/>
      <c r="K105" s="35"/>
      <c r="L105" s="35"/>
      <c r="M105" s="35"/>
      <c r="N105" s="35"/>
      <c r="Q105" s="35"/>
      <c r="S105" s="35"/>
      <c r="U105" s="35"/>
    </row>
    <row r="106" spans="1:21" s="3" customFormat="1">
      <c r="A106" s="279"/>
      <c r="B106" s="279"/>
      <c r="K106" s="35"/>
      <c r="L106" s="35"/>
      <c r="M106" s="35"/>
      <c r="N106" s="35"/>
      <c r="Q106" s="35"/>
      <c r="S106" s="35"/>
      <c r="U106" s="35"/>
    </row>
    <row r="107" spans="1:21" s="3" customFormat="1">
      <c r="A107" s="279"/>
      <c r="B107" s="279"/>
      <c r="K107" s="35"/>
      <c r="L107" s="35"/>
      <c r="M107" s="35"/>
      <c r="N107" s="35"/>
      <c r="Q107" s="35"/>
      <c r="S107" s="35"/>
      <c r="U107" s="35"/>
    </row>
    <row r="108" spans="1:21" s="3" customFormat="1">
      <c r="A108" s="279"/>
      <c r="B108" s="279"/>
      <c r="K108" s="35"/>
      <c r="L108" s="35"/>
      <c r="M108" s="35"/>
      <c r="N108" s="35"/>
      <c r="Q108" s="35"/>
      <c r="S108" s="35"/>
      <c r="U108" s="35"/>
    </row>
    <row r="109" spans="1:21" s="3" customFormat="1">
      <c r="A109" s="279"/>
      <c r="B109" s="279"/>
      <c r="K109" s="35"/>
      <c r="L109" s="35"/>
      <c r="M109" s="35"/>
      <c r="N109" s="35"/>
      <c r="Q109" s="35"/>
      <c r="S109" s="35"/>
      <c r="U109" s="35"/>
    </row>
    <row r="110" spans="1:21" s="3" customFormat="1">
      <c r="A110" s="279"/>
      <c r="B110" s="279"/>
      <c r="K110" s="35"/>
      <c r="L110" s="35"/>
      <c r="M110" s="35"/>
      <c r="N110" s="35"/>
      <c r="Q110" s="35"/>
      <c r="S110" s="35"/>
      <c r="U110" s="35"/>
    </row>
    <row r="111" spans="1:21" s="3" customFormat="1">
      <c r="A111" s="279"/>
      <c r="B111" s="279"/>
      <c r="K111" s="35"/>
      <c r="L111" s="35"/>
      <c r="M111" s="35"/>
      <c r="N111" s="35"/>
      <c r="Q111" s="35"/>
      <c r="S111" s="35"/>
      <c r="U111" s="35"/>
    </row>
    <row r="112" spans="1:21" s="3" customFormat="1">
      <c r="A112" s="279"/>
      <c r="B112" s="279"/>
      <c r="K112" s="35"/>
      <c r="L112" s="35"/>
      <c r="M112" s="35"/>
      <c r="N112" s="35"/>
      <c r="Q112" s="35"/>
      <c r="S112" s="35"/>
      <c r="U112" s="35"/>
    </row>
    <row r="113" spans="1:21" s="3" customFormat="1">
      <c r="A113" s="279"/>
      <c r="B113" s="279"/>
      <c r="K113" s="35"/>
      <c r="L113" s="35"/>
      <c r="M113" s="35"/>
      <c r="N113" s="35"/>
      <c r="Q113" s="35"/>
      <c r="S113" s="35"/>
      <c r="U113" s="35"/>
    </row>
    <row r="114" spans="1:21" s="3" customFormat="1">
      <c r="A114" s="279"/>
      <c r="B114" s="279"/>
      <c r="K114" s="35"/>
      <c r="L114" s="35"/>
      <c r="M114" s="35"/>
      <c r="N114" s="35"/>
      <c r="Q114" s="35"/>
      <c r="S114" s="35"/>
      <c r="U114" s="35"/>
    </row>
    <row r="115" spans="1:21" s="3" customFormat="1">
      <c r="A115" s="279"/>
      <c r="B115" s="279"/>
      <c r="K115" s="35"/>
      <c r="L115" s="35"/>
      <c r="M115" s="35"/>
      <c r="N115" s="35"/>
      <c r="Q115" s="35"/>
      <c r="S115" s="35"/>
      <c r="U115" s="35"/>
    </row>
    <row r="116" spans="1:21" s="3" customFormat="1">
      <c r="A116" s="279"/>
      <c r="B116" s="279"/>
      <c r="K116" s="35"/>
      <c r="L116" s="35"/>
      <c r="M116" s="35"/>
      <c r="N116" s="35"/>
      <c r="Q116" s="35"/>
      <c r="S116" s="35"/>
      <c r="U116" s="35"/>
    </row>
    <row r="117" spans="1:21" s="3" customFormat="1">
      <c r="A117" s="279"/>
      <c r="B117" s="279"/>
      <c r="K117" s="35"/>
      <c r="L117" s="35"/>
      <c r="M117" s="35"/>
      <c r="N117" s="35"/>
      <c r="Q117" s="35"/>
      <c r="S117" s="35"/>
      <c r="U117" s="35"/>
    </row>
    <row r="118" spans="1:21" s="3" customFormat="1">
      <c r="A118" s="279"/>
      <c r="B118" s="279"/>
      <c r="K118" s="35"/>
      <c r="L118" s="35"/>
      <c r="M118" s="35"/>
      <c r="N118" s="35"/>
      <c r="Q118" s="35"/>
      <c r="S118" s="35"/>
      <c r="U118" s="35"/>
    </row>
    <row r="119" spans="1:21" s="3" customFormat="1">
      <c r="A119" s="279"/>
      <c r="B119" s="279"/>
      <c r="K119" s="35"/>
      <c r="L119" s="35"/>
      <c r="M119" s="35"/>
      <c r="N119" s="35"/>
      <c r="Q119" s="35"/>
      <c r="S119" s="35"/>
      <c r="U119" s="35"/>
    </row>
    <row r="120" spans="1:21" s="3" customFormat="1">
      <c r="A120" s="279"/>
      <c r="B120" s="279"/>
      <c r="K120" s="35"/>
      <c r="L120" s="35"/>
      <c r="M120" s="35"/>
      <c r="N120" s="35"/>
      <c r="Q120" s="35"/>
      <c r="S120" s="35"/>
      <c r="U120" s="35"/>
    </row>
    <row r="121" spans="1:21" s="3" customFormat="1">
      <c r="A121" s="279"/>
      <c r="B121" s="279"/>
      <c r="K121" s="35"/>
      <c r="L121" s="35"/>
      <c r="M121" s="35"/>
      <c r="N121" s="35"/>
      <c r="Q121" s="35"/>
      <c r="S121" s="35"/>
      <c r="U121" s="35"/>
    </row>
    <row r="122" spans="1:21" s="3" customFormat="1">
      <c r="A122" s="279"/>
      <c r="B122" s="279"/>
      <c r="K122" s="35"/>
      <c r="L122" s="35"/>
      <c r="M122" s="35"/>
      <c r="N122" s="35"/>
      <c r="Q122" s="35"/>
      <c r="S122" s="35"/>
      <c r="U122" s="35"/>
    </row>
    <row r="123" spans="1:21" s="3" customFormat="1">
      <c r="A123" s="279"/>
      <c r="B123" s="279"/>
      <c r="K123" s="35"/>
      <c r="L123" s="35"/>
      <c r="M123" s="35"/>
      <c r="N123" s="35"/>
      <c r="Q123" s="35"/>
      <c r="S123" s="35"/>
      <c r="U123" s="35"/>
    </row>
    <row r="124" spans="1:21" s="3" customFormat="1">
      <c r="A124" s="279"/>
      <c r="B124" s="279"/>
      <c r="K124" s="35"/>
      <c r="L124" s="35"/>
      <c r="M124" s="35"/>
      <c r="N124" s="35"/>
      <c r="Q124" s="35"/>
      <c r="S124" s="35"/>
      <c r="U124" s="35"/>
    </row>
    <row r="125" spans="1:21" s="3" customFormat="1">
      <c r="A125" s="279"/>
      <c r="B125" s="279"/>
      <c r="K125" s="35"/>
      <c r="L125" s="35"/>
      <c r="M125" s="35"/>
      <c r="N125" s="35"/>
      <c r="Q125" s="35"/>
      <c r="S125" s="35"/>
      <c r="U125" s="35"/>
    </row>
    <row r="126" spans="1:21" s="3" customFormat="1">
      <c r="A126" s="279"/>
      <c r="B126" s="279"/>
      <c r="K126" s="35"/>
      <c r="L126" s="35"/>
      <c r="M126" s="35"/>
      <c r="N126" s="35"/>
      <c r="Q126" s="35"/>
      <c r="S126" s="35"/>
      <c r="U126" s="35"/>
    </row>
    <row r="127" spans="1:21" s="3" customFormat="1">
      <c r="A127" s="279"/>
      <c r="B127" s="279"/>
      <c r="K127" s="35"/>
      <c r="L127" s="35"/>
      <c r="M127" s="35"/>
      <c r="N127" s="35"/>
      <c r="Q127" s="35"/>
      <c r="S127" s="35"/>
      <c r="U127" s="35"/>
    </row>
    <row r="128" spans="1:21" s="3" customFormat="1">
      <c r="A128" s="279"/>
      <c r="B128" s="279"/>
      <c r="K128" s="35"/>
      <c r="L128" s="35"/>
      <c r="M128" s="35"/>
      <c r="N128" s="35"/>
      <c r="Q128" s="35"/>
      <c r="S128" s="35"/>
      <c r="U128" s="35"/>
    </row>
    <row r="129" spans="1:21" s="3" customFormat="1">
      <c r="A129" s="279"/>
      <c r="B129" s="279"/>
      <c r="K129" s="35"/>
      <c r="L129" s="35"/>
      <c r="M129" s="35"/>
      <c r="N129" s="35"/>
      <c r="Q129" s="35"/>
      <c r="S129" s="35"/>
      <c r="U129" s="35"/>
    </row>
    <row r="130" spans="1:21" s="3" customFormat="1">
      <c r="A130" s="279"/>
      <c r="B130" s="279"/>
      <c r="K130" s="35"/>
      <c r="L130" s="35"/>
      <c r="M130" s="35"/>
      <c r="N130" s="35"/>
      <c r="Q130" s="35"/>
      <c r="S130" s="35"/>
      <c r="U130" s="35"/>
    </row>
    <row r="131" spans="1:21" s="3" customFormat="1">
      <c r="A131" s="279"/>
      <c r="B131" s="279"/>
      <c r="K131" s="35"/>
      <c r="L131" s="35"/>
      <c r="M131" s="35"/>
      <c r="N131" s="35"/>
      <c r="Q131" s="35"/>
      <c r="S131" s="35"/>
      <c r="U131" s="35"/>
    </row>
    <row r="132" spans="1:21" s="3" customFormat="1">
      <c r="A132" s="279"/>
      <c r="B132" s="279"/>
      <c r="K132" s="35"/>
      <c r="L132" s="35"/>
      <c r="M132" s="35"/>
      <c r="N132" s="35"/>
      <c r="Q132" s="35"/>
      <c r="S132" s="35"/>
      <c r="U132" s="35"/>
    </row>
    <row r="133" spans="1:21" s="3" customFormat="1">
      <c r="A133" s="279"/>
      <c r="B133" s="279"/>
      <c r="K133" s="35"/>
      <c r="L133" s="35"/>
      <c r="M133" s="35"/>
      <c r="N133" s="35"/>
      <c r="Q133" s="35"/>
      <c r="S133" s="35"/>
      <c r="U133" s="35"/>
    </row>
    <row r="134" spans="1:21" s="3" customFormat="1">
      <c r="A134" s="279"/>
      <c r="B134" s="279"/>
      <c r="K134" s="35"/>
      <c r="L134" s="35"/>
      <c r="M134" s="35"/>
      <c r="N134" s="35"/>
      <c r="Q134" s="35"/>
      <c r="S134" s="35"/>
      <c r="U134" s="35"/>
    </row>
    <row r="135" spans="1:21" s="3" customFormat="1">
      <c r="A135" s="279"/>
      <c r="B135" s="279"/>
      <c r="K135" s="35"/>
      <c r="L135" s="35"/>
      <c r="M135" s="35"/>
      <c r="N135" s="35"/>
      <c r="Q135" s="35"/>
      <c r="S135" s="35"/>
      <c r="U135" s="35"/>
    </row>
    <row r="136" spans="1:21" s="3" customFormat="1">
      <c r="A136" s="279"/>
      <c r="B136" s="279"/>
      <c r="K136" s="35"/>
      <c r="L136" s="35"/>
      <c r="M136" s="35"/>
      <c r="N136" s="35"/>
      <c r="Q136" s="35"/>
      <c r="S136" s="35"/>
      <c r="U136" s="35"/>
    </row>
    <row r="137" spans="1:21" s="3" customFormat="1">
      <c r="A137" s="279"/>
      <c r="B137" s="279"/>
      <c r="K137" s="35"/>
      <c r="L137" s="35"/>
      <c r="M137" s="35"/>
      <c r="N137" s="35"/>
      <c r="Q137" s="35"/>
      <c r="S137" s="35"/>
      <c r="U137" s="35"/>
    </row>
    <row r="138" spans="1:21" s="3" customFormat="1">
      <c r="A138" s="279"/>
      <c r="B138" s="279"/>
      <c r="K138" s="35"/>
      <c r="L138" s="35"/>
      <c r="M138" s="35"/>
      <c r="N138" s="35"/>
      <c r="Q138" s="35"/>
      <c r="S138" s="35"/>
      <c r="U138" s="35"/>
    </row>
    <row r="139" spans="1:21" s="3" customFormat="1">
      <c r="A139" s="279"/>
      <c r="B139" s="279"/>
      <c r="K139" s="35"/>
      <c r="L139" s="35"/>
      <c r="M139" s="35"/>
      <c r="N139" s="35"/>
      <c r="Q139" s="35"/>
      <c r="S139" s="35"/>
      <c r="U139" s="35"/>
    </row>
    <row r="140" spans="1:21" s="3" customFormat="1">
      <c r="A140" s="279"/>
      <c r="B140" s="279"/>
      <c r="K140" s="35"/>
      <c r="L140" s="35"/>
      <c r="M140" s="35"/>
      <c r="N140" s="35"/>
      <c r="Q140" s="35"/>
      <c r="S140" s="35"/>
      <c r="U140" s="35"/>
    </row>
    <row r="141" spans="1:21" s="3" customFormat="1">
      <c r="A141" s="279"/>
      <c r="B141" s="279"/>
      <c r="K141" s="35"/>
      <c r="L141" s="35"/>
      <c r="M141" s="35"/>
      <c r="N141" s="35"/>
      <c r="Q141" s="35"/>
      <c r="S141" s="35"/>
      <c r="U141" s="35"/>
    </row>
    <row r="142" spans="1:21" s="3" customFormat="1">
      <c r="A142" s="279"/>
      <c r="B142" s="279"/>
      <c r="K142" s="35"/>
      <c r="L142" s="35"/>
      <c r="M142" s="35"/>
      <c r="N142" s="35"/>
      <c r="Q142" s="35"/>
      <c r="S142" s="35"/>
      <c r="U142" s="35"/>
    </row>
    <row r="143" spans="1:21" s="3" customFormat="1">
      <c r="A143" s="279"/>
      <c r="B143" s="279"/>
      <c r="K143" s="35"/>
      <c r="L143" s="35"/>
      <c r="M143" s="35"/>
      <c r="N143" s="35"/>
      <c r="Q143" s="35"/>
      <c r="S143" s="35"/>
      <c r="U143" s="35"/>
    </row>
    <row r="144" spans="1:21" s="3" customFormat="1">
      <c r="A144" s="279"/>
      <c r="B144" s="279"/>
      <c r="K144" s="35"/>
      <c r="L144" s="35"/>
      <c r="M144" s="35"/>
      <c r="N144" s="35"/>
      <c r="Q144" s="35"/>
      <c r="S144" s="35"/>
      <c r="U144" s="35"/>
    </row>
    <row r="145" spans="1:21" s="3" customFormat="1">
      <c r="A145" s="279"/>
      <c r="B145" s="279"/>
      <c r="K145" s="35"/>
      <c r="L145" s="35"/>
      <c r="M145" s="35"/>
      <c r="N145" s="35"/>
      <c r="Q145" s="35"/>
      <c r="S145" s="35"/>
      <c r="U145" s="35"/>
    </row>
    <row r="146" spans="1:21" s="3" customFormat="1">
      <c r="A146" s="279"/>
      <c r="B146" s="279"/>
      <c r="K146" s="35"/>
      <c r="L146" s="35"/>
      <c r="M146" s="35"/>
      <c r="N146" s="35"/>
      <c r="Q146" s="35"/>
      <c r="S146" s="35"/>
      <c r="U146" s="35"/>
    </row>
    <row r="147" spans="1:21" s="3" customFormat="1">
      <c r="A147" s="279"/>
      <c r="B147" s="279"/>
      <c r="K147" s="35"/>
      <c r="L147" s="35"/>
      <c r="M147" s="35"/>
      <c r="N147" s="35"/>
      <c r="Q147" s="35"/>
      <c r="S147" s="35"/>
      <c r="U147" s="35"/>
    </row>
    <row r="148" spans="1:21" s="3" customFormat="1">
      <c r="A148" s="279"/>
      <c r="B148" s="279"/>
      <c r="K148" s="35"/>
      <c r="L148" s="35"/>
      <c r="M148" s="35"/>
      <c r="N148" s="35"/>
      <c r="Q148" s="35"/>
      <c r="S148" s="35"/>
      <c r="U148" s="35"/>
    </row>
    <row r="149" spans="1:21" s="3" customFormat="1">
      <c r="A149" s="279"/>
      <c r="B149" s="279"/>
      <c r="K149" s="35"/>
      <c r="L149" s="35"/>
      <c r="M149" s="35"/>
      <c r="N149" s="35"/>
      <c r="Q149" s="35"/>
      <c r="S149" s="35"/>
      <c r="U149" s="35"/>
    </row>
    <row r="150" spans="1:21" s="3" customFormat="1">
      <c r="A150" s="279"/>
      <c r="B150" s="279"/>
      <c r="K150" s="35"/>
      <c r="L150" s="35"/>
      <c r="M150" s="35"/>
      <c r="N150" s="35"/>
      <c r="Q150" s="35"/>
      <c r="S150" s="35"/>
      <c r="U150" s="35"/>
    </row>
    <row r="151" spans="1:21" s="3" customFormat="1">
      <c r="A151" s="279"/>
      <c r="B151" s="279"/>
      <c r="K151" s="35"/>
      <c r="L151" s="35"/>
      <c r="M151" s="35"/>
      <c r="N151" s="35"/>
      <c r="Q151" s="35"/>
      <c r="S151" s="35"/>
      <c r="U151" s="35"/>
    </row>
    <row r="152" spans="1:21" s="3" customFormat="1">
      <c r="A152" s="279"/>
      <c r="B152" s="279"/>
      <c r="K152" s="35"/>
      <c r="L152" s="35"/>
      <c r="M152" s="35"/>
      <c r="N152" s="35"/>
      <c r="Q152" s="35"/>
      <c r="S152" s="35"/>
      <c r="U152" s="35"/>
    </row>
    <row r="153" spans="1:21" s="3" customFormat="1">
      <c r="A153" s="279"/>
      <c r="B153" s="279"/>
      <c r="K153" s="35"/>
      <c r="L153" s="35"/>
      <c r="M153" s="35"/>
      <c r="N153" s="35"/>
      <c r="Q153" s="35"/>
      <c r="S153" s="35"/>
      <c r="U153" s="35"/>
    </row>
    <row r="154" spans="1:21" s="3" customFormat="1">
      <c r="A154" s="279"/>
      <c r="B154" s="279"/>
      <c r="K154" s="35"/>
      <c r="L154" s="35"/>
      <c r="M154" s="35"/>
      <c r="N154" s="35"/>
      <c r="Q154" s="35"/>
      <c r="S154" s="35"/>
      <c r="U154" s="35"/>
    </row>
    <row r="155" spans="1:21" s="3" customFormat="1">
      <c r="A155" s="279"/>
      <c r="B155" s="279"/>
      <c r="K155" s="35"/>
      <c r="L155" s="35"/>
      <c r="M155" s="35"/>
      <c r="N155" s="35"/>
      <c r="Q155" s="35"/>
      <c r="S155" s="35"/>
      <c r="U155" s="35"/>
    </row>
    <row r="156" spans="1:21" s="3" customFormat="1">
      <c r="A156" s="279"/>
      <c r="B156" s="279"/>
      <c r="K156" s="35"/>
      <c r="L156" s="35"/>
      <c r="M156" s="35"/>
      <c r="N156" s="35"/>
      <c r="Q156" s="35"/>
      <c r="S156" s="35"/>
      <c r="U156" s="35"/>
    </row>
    <row r="157" spans="1:21" s="3" customFormat="1">
      <c r="A157" s="279"/>
      <c r="B157" s="279"/>
      <c r="K157" s="35"/>
      <c r="L157" s="35"/>
      <c r="M157" s="35"/>
      <c r="N157" s="35"/>
      <c r="Q157" s="35"/>
      <c r="S157" s="35"/>
      <c r="U157" s="35"/>
    </row>
    <row r="158" spans="1:21" s="3" customFormat="1">
      <c r="A158" s="279"/>
      <c r="B158" s="279"/>
      <c r="K158" s="35"/>
      <c r="L158" s="35"/>
      <c r="M158" s="35"/>
      <c r="N158" s="35"/>
      <c r="Q158" s="35"/>
      <c r="S158" s="35"/>
      <c r="U158" s="35"/>
    </row>
    <row r="159" spans="1:21" s="3" customFormat="1">
      <c r="A159" s="279"/>
      <c r="B159" s="279"/>
      <c r="K159" s="35"/>
      <c r="L159" s="35"/>
      <c r="M159" s="35"/>
      <c r="N159" s="35"/>
      <c r="Q159" s="35"/>
      <c r="S159" s="35"/>
      <c r="U159" s="35"/>
    </row>
    <row r="160" spans="1:21" s="3" customFormat="1">
      <c r="A160" s="279"/>
      <c r="B160" s="279"/>
      <c r="K160" s="35"/>
      <c r="L160" s="35"/>
      <c r="M160" s="35"/>
      <c r="N160" s="35"/>
      <c r="Q160" s="35"/>
      <c r="S160" s="35"/>
      <c r="U160" s="35"/>
    </row>
    <row r="161" spans="1:21" s="3" customFormat="1">
      <c r="A161" s="279"/>
      <c r="B161" s="279"/>
      <c r="K161" s="35"/>
      <c r="L161" s="35"/>
      <c r="M161" s="35"/>
      <c r="N161" s="35"/>
      <c r="Q161" s="35"/>
      <c r="S161" s="35"/>
      <c r="U161" s="35"/>
    </row>
    <row r="162" spans="1:21" s="3" customFormat="1">
      <c r="A162" s="279"/>
      <c r="B162" s="279"/>
      <c r="K162" s="35"/>
      <c r="L162" s="35"/>
      <c r="M162" s="35"/>
      <c r="N162" s="35"/>
      <c r="Q162" s="35"/>
      <c r="S162" s="35"/>
      <c r="U162" s="35"/>
    </row>
    <row r="163" spans="1:21" s="3" customFormat="1">
      <c r="A163" s="279"/>
      <c r="B163" s="279"/>
      <c r="K163" s="35"/>
      <c r="L163" s="35"/>
      <c r="M163" s="35"/>
      <c r="N163" s="35"/>
      <c r="Q163" s="35"/>
      <c r="S163" s="35"/>
      <c r="U163" s="35"/>
    </row>
    <row r="164" spans="1:21" s="3" customFormat="1">
      <c r="A164" s="279"/>
      <c r="B164" s="279"/>
      <c r="K164" s="35"/>
      <c r="L164" s="35"/>
      <c r="M164" s="35"/>
      <c r="N164" s="35"/>
      <c r="Q164" s="35"/>
      <c r="S164" s="35"/>
      <c r="U164" s="35"/>
    </row>
    <row r="165" spans="1:21" s="3" customFormat="1">
      <c r="A165" s="279"/>
      <c r="B165" s="279"/>
      <c r="K165" s="35"/>
      <c r="L165" s="35"/>
      <c r="M165" s="35"/>
      <c r="N165" s="35"/>
      <c r="Q165" s="35"/>
      <c r="S165" s="35"/>
      <c r="U165" s="35"/>
    </row>
    <row r="166" spans="1:21" s="3" customFormat="1">
      <c r="A166" s="279"/>
      <c r="B166" s="279"/>
      <c r="K166" s="35"/>
      <c r="L166" s="35"/>
      <c r="M166" s="35"/>
      <c r="N166" s="35"/>
      <c r="Q166" s="35"/>
      <c r="S166" s="35"/>
      <c r="U166" s="35"/>
    </row>
    <row r="167" spans="1:21" s="3" customFormat="1">
      <c r="A167" s="279"/>
      <c r="B167" s="279"/>
      <c r="K167" s="35"/>
      <c r="L167" s="35"/>
      <c r="M167" s="35"/>
      <c r="N167" s="35"/>
      <c r="Q167" s="35"/>
      <c r="S167" s="35"/>
      <c r="U167" s="35"/>
    </row>
    <row r="168" spans="1:21" s="3" customFormat="1">
      <c r="A168" s="279"/>
      <c r="B168" s="279"/>
      <c r="K168" s="35"/>
      <c r="L168" s="35"/>
      <c r="M168" s="35"/>
      <c r="N168" s="35"/>
      <c r="Q168" s="35"/>
      <c r="S168" s="35"/>
      <c r="U168" s="35"/>
    </row>
    <row r="169" spans="1:21" s="3" customFormat="1">
      <c r="A169" s="279"/>
      <c r="B169" s="279"/>
      <c r="K169" s="35"/>
      <c r="L169" s="35"/>
      <c r="M169" s="35"/>
      <c r="N169" s="35"/>
      <c r="Q169" s="35"/>
      <c r="S169" s="35"/>
      <c r="U169" s="35"/>
    </row>
    <row r="170" spans="1:21" s="3" customFormat="1">
      <c r="A170" s="279"/>
      <c r="B170" s="279"/>
      <c r="K170" s="35"/>
      <c r="L170" s="35"/>
      <c r="M170" s="35"/>
      <c r="N170" s="35"/>
      <c r="Q170" s="35"/>
      <c r="S170" s="35"/>
      <c r="U170" s="35"/>
    </row>
    <row r="171" spans="1:21" s="3" customFormat="1">
      <c r="A171" s="279"/>
      <c r="B171" s="279"/>
      <c r="K171" s="35"/>
      <c r="L171" s="35"/>
      <c r="M171" s="35"/>
      <c r="N171" s="35"/>
      <c r="Q171" s="35"/>
      <c r="S171" s="35"/>
      <c r="U171" s="35"/>
    </row>
    <row r="172" spans="1:21" s="3" customFormat="1">
      <c r="A172" s="279"/>
      <c r="B172" s="279"/>
      <c r="K172" s="35"/>
      <c r="L172" s="35"/>
      <c r="M172" s="35"/>
      <c r="N172" s="35"/>
      <c r="Q172" s="35"/>
      <c r="S172" s="35"/>
      <c r="U172" s="35"/>
    </row>
    <row r="173" spans="1:21" s="3" customFormat="1">
      <c r="A173" s="279"/>
      <c r="B173" s="279"/>
      <c r="K173" s="35"/>
      <c r="L173" s="35"/>
      <c r="M173" s="35"/>
      <c r="N173" s="35"/>
      <c r="Q173" s="35"/>
      <c r="S173" s="35"/>
      <c r="U173" s="35"/>
    </row>
    <row r="174" spans="1:21" s="3" customFormat="1">
      <c r="A174" s="279"/>
      <c r="B174" s="279"/>
      <c r="K174" s="35"/>
      <c r="L174" s="35"/>
      <c r="M174" s="35"/>
      <c r="N174" s="35"/>
      <c r="Q174" s="35"/>
      <c r="S174" s="35"/>
      <c r="U174" s="35"/>
    </row>
    <row r="175" spans="1:21" s="3" customFormat="1">
      <c r="A175" s="279"/>
      <c r="B175" s="279"/>
      <c r="K175" s="35"/>
      <c r="L175" s="35"/>
      <c r="M175" s="35"/>
      <c r="N175" s="35"/>
      <c r="Q175" s="35"/>
      <c r="S175" s="35"/>
      <c r="U175" s="35"/>
    </row>
    <row r="176" spans="1:21" s="3" customFormat="1">
      <c r="A176" s="279"/>
      <c r="B176" s="279"/>
      <c r="K176" s="35"/>
      <c r="L176" s="35"/>
      <c r="M176" s="35"/>
      <c r="N176" s="35"/>
      <c r="Q176" s="35"/>
      <c r="S176" s="35"/>
      <c r="U176" s="35"/>
    </row>
    <row r="177" spans="1:21" s="3" customFormat="1">
      <c r="A177" s="279"/>
      <c r="B177" s="279"/>
      <c r="K177" s="35"/>
      <c r="L177" s="35"/>
      <c r="M177" s="35"/>
      <c r="N177" s="35"/>
      <c r="Q177" s="35"/>
      <c r="S177" s="35"/>
      <c r="U177" s="35"/>
    </row>
    <row r="178" spans="1:21" s="3" customFormat="1">
      <c r="A178" s="279"/>
      <c r="B178" s="279"/>
      <c r="K178" s="35"/>
      <c r="L178" s="35"/>
      <c r="M178" s="35"/>
      <c r="N178" s="35"/>
      <c r="Q178" s="35"/>
      <c r="S178" s="35"/>
      <c r="U178" s="35"/>
    </row>
    <row r="179" spans="1:21" s="3" customFormat="1">
      <c r="A179" s="279"/>
      <c r="B179" s="279"/>
      <c r="K179" s="35"/>
      <c r="L179" s="35"/>
      <c r="M179" s="35"/>
      <c r="N179" s="35"/>
      <c r="Q179" s="35"/>
      <c r="S179" s="35"/>
      <c r="U179" s="35"/>
    </row>
    <row r="180" spans="1:21" s="3" customFormat="1">
      <c r="A180" s="279"/>
      <c r="B180" s="279"/>
      <c r="K180" s="35"/>
      <c r="L180" s="35"/>
      <c r="M180" s="35"/>
      <c r="N180" s="35"/>
      <c r="Q180" s="35"/>
      <c r="S180" s="35"/>
      <c r="U180" s="35"/>
    </row>
    <row r="181" spans="1:21" s="3" customFormat="1">
      <c r="A181" s="279"/>
      <c r="B181" s="279"/>
      <c r="K181" s="35"/>
      <c r="L181" s="35"/>
      <c r="M181" s="35"/>
      <c r="N181" s="35"/>
      <c r="Q181" s="35"/>
      <c r="S181" s="35"/>
      <c r="U181" s="35"/>
    </row>
    <row r="182" spans="1:21" s="3" customFormat="1">
      <c r="A182" s="279"/>
      <c r="B182" s="279"/>
      <c r="K182" s="35"/>
      <c r="L182" s="35"/>
      <c r="M182" s="35"/>
      <c r="N182" s="35"/>
      <c r="Q182" s="35"/>
      <c r="S182" s="35"/>
      <c r="U182" s="35"/>
    </row>
    <row r="183" spans="1:21" s="3" customFormat="1">
      <c r="A183" s="279"/>
      <c r="B183" s="279"/>
      <c r="K183" s="35"/>
      <c r="L183" s="35"/>
      <c r="M183" s="35"/>
      <c r="N183" s="35"/>
      <c r="Q183" s="35"/>
      <c r="S183" s="35"/>
      <c r="U183" s="35"/>
    </row>
    <row r="184" spans="1:21" s="3" customFormat="1">
      <c r="A184" s="279"/>
      <c r="B184" s="279"/>
      <c r="K184" s="35"/>
      <c r="L184" s="35"/>
      <c r="M184" s="35"/>
      <c r="N184" s="35"/>
      <c r="Q184" s="35"/>
      <c r="S184" s="35"/>
      <c r="U184" s="35"/>
    </row>
    <row r="185" spans="1:21" s="3" customFormat="1">
      <c r="A185" s="279"/>
      <c r="B185" s="279"/>
      <c r="K185" s="35"/>
      <c r="L185" s="35"/>
      <c r="M185" s="35"/>
      <c r="N185" s="35"/>
      <c r="Q185" s="35"/>
      <c r="S185" s="35"/>
      <c r="U185" s="35"/>
    </row>
    <row r="186" spans="1:21" s="3" customFormat="1">
      <c r="A186" s="279"/>
      <c r="B186" s="279"/>
      <c r="K186" s="35"/>
      <c r="L186" s="35"/>
      <c r="M186" s="35"/>
      <c r="N186" s="35"/>
      <c r="Q186" s="35"/>
      <c r="S186" s="35"/>
      <c r="U186" s="35"/>
    </row>
    <row r="187" spans="1:21" s="3" customFormat="1">
      <c r="A187" s="279"/>
      <c r="B187" s="279"/>
      <c r="K187" s="35"/>
      <c r="L187" s="35"/>
      <c r="M187" s="35"/>
      <c r="N187" s="35"/>
      <c r="Q187" s="35"/>
      <c r="S187" s="35"/>
      <c r="U187" s="35"/>
    </row>
    <row r="188" spans="1:21" s="3" customFormat="1">
      <c r="A188" s="279"/>
      <c r="B188" s="279"/>
      <c r="K188" s="35"/>
      <c r="L188" s="35"/>
      <c r="M188" s="35"/>
      <c r="N188" s="35"/>
      <c r="Q188" s="35"/>
      <c r="S188" s="35"/>
      <c r="U188" s="35"/>
    </row>
    <row r="189" spans="1:21" s="3" customFormat="1">
      <c r="A189" s="279"/>
      <c r="B189" s="279"/>
      <c r="K189" s="35"/>
      <c r="L189" s="35"/>
      <c r="M189" s="35"/>
      <c r="N189" s="35"/>
      <c r="Q189" s="35"/>
      <c r="S189" s="35"/>
      <c r="U189" s="35"/>
    </row>
    <row r="190" spans="1:21" s="3" customFormat="1">
      <c r="A190" s="279"/>
      <c r="B190" s="279"/>
      <c r="K190" s="35"/>
      <c r="L190" s="35"/>
      <c r="M190" s="35"/>
      <c r="N190" s="35"/>
      <c r="Q190" s="35"/>
      <c r="S190" s="35"/>
      <c r="U190" s="35"/>
    </row>
    <row r="191" spans="1:21" s="3" customFormat="1">
      <c r="A191" s="279"/>
      <c r="B191" s="279"/>
      <c r="K191" s="35"/>
      <c r="L191" s="35"/>
      <c r="M191" s="35"/>
      <c r="N191" s="35"/>
      <c r="Q191" s="35"/>
      <c r="S191" s="35"/>
      <c r="U191" s="35"/>
    </row>
    <row r="192" spans="1:21" s="3" customFormat="1">
      <c r="A192" s="279"/>
      <c r="B192" s="279"/>
      <c r="K192" s="35"/>
      <c r="L192" s="35"/>
      <c r="M192" s="35"/>
      <c r="N192" s="35"/>
      <c r="Q192" s="35"/>
      <c r="S192" s="35"/>
      <c r="U192" s="35"/>
    </row>
    <row r="193" spans="1:21" s="3" customFormat="1">
      <c r="A193" s="279"/>
      <c r="B193" s="279"/>
      <c r="K193" s="35"/>
      <c r="L193" s="35"/>
      <c r="M193" s="35"/>
      <c r="N193" s="35"/>
      <c r="Q193" s="35"/>
      <c r="S193" s="35"/>
      <c r="U193" s="35"/>
    </row>
    <row r="194" spans="1:21" s="3" customFormat="1">
      <c r="A194" s="279"/>
      <c r="B194" s="279"/>
      <c r="K194" s="35"/>
      <c r="L194" s="35"/>
      <c r="M194" s="35"/>
      <c r="N194" s="35"/>
      <c r="Q194" s="35"/>
      <c r="S194" s="35"/>
      <c r="U194" s="35"/>
    </row>
    <row r="195" spans="1:21" s="3" customFormat="1">
      <c r="A195" s="279"/>
      <c r="B195" s="279"/>
      <c r="K195" s="35"/>
      <c r="L195" s="35"/>
      <c r="M195" s="35"/>
      <c r="N195" s="35"/>
      <c r="Q195" s="35"/>
      <c r="S195" s="35"/>
      <c r="U195" s="35"/>
    </row>
    <row r="196" spans="1:21" s="3" customFormat="1">
      <c r="A196" s="279"/>
      <c r="B196" s="279"/>
      <c r="K196" s="35"/>
      <c r="L196" s="35"/>
      <c r="M196" s="35"/>
      <c r="N196" s="35"/>
      <c r="Q196" s="35"/>
      <c r="S196" s="35"/>
      <c r="U196" s="35"/>
    </row>
    <row r="197" spans="1:21" s="3" customFormat="1">
      <c r="A197" s="279"/>
      <c r="B197" s="279"/>
      <c r="K197" s="35"/>
      <c r="L197" s="35"/>
      <c r="M197" s="35"/>
      <c r="N197" s="35"/>
      <c r="Q197" s="35"/>
      <c r="S197" s="35"/>
      <c r="U197" s="35"/>
    </row>
    <row r="198" spans="1:21" s="3" customFormat="1">
      <c r="A198" s="279"/>
      <c r="B198" s="279"/>
      <c r="K198" s="35"/>
      <c r="L198" s="35"/>
      <c r="M198" s="35"/>
      <c r="N198" s="35"/>
      <c r="Q198" s="35"/>
      <c r="S198" s="35"/>
      <c r="U198" s="35"/>
    </row>
    <row r="199" spans="1:21" s="3" customFormat="1">
      <c r="A199" s="279"/>
      <c r="B199" s="279"/>
      <c r="K199" s="35"/>
      <c r="L199" s="35"/>
      <c r="M199" s="35"/>
      <c r="N199" s="35"/>
      <c r="Q199" s="35"/>
      <c r="S199" s="35"/>
      <c r="U199" s="35"/>
    </row>
    <row r="200" spans="1:21" s="3" customFormat="1">
      <c r="A200" s="279"/>
      <c r="B200" s="279"/>
      <c r="K200" s="35"/>
      <c r="L200" s="35"/>
      <c r="M200" s="35"/>
      <c r="N200" s="35"/>
      <c r="Q200" s="35"/>
      <c r="S200" s="35"/>
      <c r="U200" s="35"/>
    </row>
    <row r="201" spans="1:21" s="3" customFormat="1">
      <c r="A201" s="279"/>
      <c r="B201" s="279"/>
      <c r="K201" s="35"/>
      <c r="L201" s="35"/>
      <c r="M201" s="35"/>
      <c r="N201" s="35"/>
      <c r="Q201" s="35"/>
      <c r="S201" s="35"/>
      <c r="U201" s="35"/>
    </row>
    <row r="202" spans="1:21" s="3" customFormat="1">
      <c r="A202" s="279"/>
      <c r="B202" s="279"/>
      <c r="K202" s="35"/>
      <c r="L202" s="35"/>
      <c r="M202" s="35"/>
      <c r="N202" s="35"/>
      <c r="Q202" s="35"/>
      <c r="S202" s="35"/>
      <c r="U202" s="35"/>
    </row>
    <row r="203" spans="1:21" s="3" customFormat="1">
      <c r="A203" s="279"/>
      <c r="B203" s="279"/>
      <c r="K203" s="35"/>
      <c r="L203" s="35"/>
      <c r="M203" s="35"/>
      <c r="N203" s="35"/>
      <c r="Q203" s="35"/>
      <c r="S203" s="35"/>
      <c r="U203" s="35"/>
    </row>
    <row r="204" spans="1:21" s="3" customFormat="1">
      <c r="A204" s="279"/>
      <c r="B204" s="279"/>
      <c r="K204" s="35"/>
      <c r="L204" s="35"/>
      <c r="M204" s="35"/>
      <c r="N204" s="35"/>
      <c r="Q204" s="35"/>
      <c r="S204" s="35"/>
      <c r="U204" s="35"/>
    </row>
    <row r="205" spans="1:21" s="3" customFormat="1">
      <c r="A205" s="279"/>
      <c r="B205" s="279"/>
      <c r="K205" s="35"/>
      <c r="L205" s="35"/>
      <c r="M205" s="35"/>
      <c r="N205" s="35"/>
      <c r="Q205" s="35"/>
      <c r="S205" s="35"/>
      <c r="U205" s="35"/>
    </row>
    <row r="206" spans="1:21" s="3" customFormat="1">
      <c r="A206" s="279"/>
      <c r="B206" s="279"/>
      <c r="K206" s="35"/>
      <c r="L206" s="35"/>
      <c r="M206" s="35"/>
      <c r="N206" s="35"/>
      <c r="Q206" s="35"/>
      <c r="S206" s="35"/>
      <c r="U206" s="35"/>
    </row>
    <row r="207" spans="1:21" s="3" customFormat="1">
      <c r="A207" s="279"/>
      <c r="B207" s="279"/>
      <c r="K207" s="35"/>
      <c r="L207" s="35"/>
      <c r="M207" s="35"/>
      <c r="N207" s="35"/>
      <c r="Q207" s="35"/>
      <c r="S207" s="35"/>
      <c r="U207" s="35"/>
    </row>
    <row r="208" spans="1:21" s="3" customFormat="1">
      <c r="A208" s="279"/>
      <c r="B208" s="279"/>
      <c r="K208" s="35"/>
      <c r="L208" s="35"/>
      <c r="M208" s="35"/>
      <c r="N208" s="35"/>
      <c r="Q208" s="35"/>
      <c r="S208" s="35"/>
      <c r="U208" s="35"/>
    </row>
    <row r="209" spans="1:21" s="3" customFormat="1">
      <c r="A209" s="279"/>
      <c r="B209" s="279"/>
      <c r="K209" s="35"/>
      <c r="L209" s="35"/>
      <c r="M209" s="35"/>
      <c r="N209" s="35"/>
      <c r="Q209" s="35"/>
      <c r="S209" s="35"/>
      <c r="U209" s="35"/>
    </row>
    <row r="210" spans="1:21" s="3" customFormat="1">
      <c r="A210" s="279"/>
      <c r="B210" s="279"/>
      <c r="K210" s="35"/>
      <c r="L210" s="35"/>
      <c r="M210" s="35"/>
      <c r="N210" s="35"/>
      <c r="Q210" s="35"/>
      <c r="S210" s="35"/>
      <c r="U210" s="35"/>
    </row>
    <row r="211" spans="1:21" s="3" customFormat="1">
      <c r="A211" s="279"/>
      <c r="B211" s="279"/>
      <c r="K211" s="35"/>
      <c r="L211" s="35"/>
      <c r="M211" s="35"/>
      <c r="N211" s="35"/>
      <c r="Q211" s="35"/>
      <c r="S211" s="35"/>
      <c r="U211" s="35"/>
    </row>
    <row r="212" spans="1:21" s="3" customFormat="1">
      <c r="A212" s="279"/>
      <c r="B212" s="279"/>
      <c r="K212" s="35"/>
      <c r="L212" s="35"/>
      <c r="M212" s="35"/>
      <c r="N212" s="35"/>
      <c r="Q212" s="35"/>
      <c r="S212" s="35"/>
      <c r="U212" s="35"/>
    </row>
    <row r="213" spans="1:21" s="3" customFormat="1">
      <c r="A213" s="279"/>
      <c r="B213" s="279"/>
      <c r="K213" s="35"/>
      <c r="L213" s="35"/>
      <c r="M213" s="35"/>
      <c r="N213" s="35"/>
      <c r="Q213" s="35"/>
      <c r="S213" s="35"/>
      <c r="U213" s="35"/>
    </row>
    <row r="214" spans="1:21" s="3" customFormat="1">
      <c r="A214" s="279"/>
      <c r="B214" s="279"/>
      <c r="K214" s="35"/>
      <c r="L214" s="35"/>
      <c r="M214" s="35"/>
      <c r="N214" s="35"/>
      <c r="Q214" s="35"/>
      <c r="S214" s="35"/>
      <c r="U214" s="35"/>
    </row>
    <row r="215" spans="1:21" s="3" customFormat="1">
      <c r="A215" s="279"/>
      <c r="B215" s="279"/>
      <c r="K215" s="35"/>
      <c r="L215" s="35"/>
      <c r="M215" s="35"/>
      <c r="N215" s="35"/>
      <c r="Q215" s="35"/>
      <c r="S215" s="35"/>
      <c r="U215" s="35"/>
    </row>
    <row r="216" spans="1:21" s="3" customFormat="1">
      <c r="A216" s="279"/>
      <c r="B216" s="279"/>
      <c r="K216" s="35"/>
      <c r="L216" s="35"/>
      <c r="M216" s="35"/>
      <c r="N216" s="35"/>
      <c r="Q216" s="35"/>
      <c r="S216" s="35"/>
      <c r="U216" s="35"/>
    </row>
    <row r="217" spans="1:21" s="3" customFormat="1">
      <c r="A217" s="279"/>
      <c r="B217" s="279"/>
      <c r="K217" s="35"/>
      <c r="L217" s="35"/>
      <c r="M217" s="35"/>
      <c r="N217" s="35"/>
      <c r="Q217" s="35"/>
      <c r="S217" s="35"/>
      <c r="U217" s="35"/>
    </row>
    <row r="218" spans="1:21" s="3" customFormat="1">
      <c r="A218" s="279"/>
      <c r="B218" s="279"/>
      <c r="K218" s="35"/>
      <c r="L218" s="35"/>
      <c r="M218" s="35"/>
      <c r="N218" s="35"/>
      <c r="Q218" s="35"/>
      <c r="S218" s="35"/>
      <c r="U218" s="35"/>
    </row>
    <row r="219" spans="1:21" s="3" customFormat="1">
      <c r="A219" s="279"/>
      <c r="B219" s="279"/>
      <c r="K219" s="35"/>
      <c r="L219" s="35"/>
      <c r="M219" s="35"/>
      <c r="N219" s="35"/>
      <c r="Q219" s="35"/>
      <c r="S219" s="35"/>
      <c r="U219" s="35"/>
    </row>
    <row r="220" spans="1:21" s="3" customFormat="1">
      <c r="A220" s="279"/>
      <c r="B220" s="279"/>
      <c r="K220" s="35"/>
      <c r="L220" s="35"/>
      <c r="M220" s="35"/>
      <c r="N220" s="35"/>
      <c r="Q220" s="35"/>
      <c r="S220" s="35"/>
      <c r="U220" s="35"/>
    </row>
    <row r="221" spans="1:21" s="3" customFormat="1">
      <c r="A221" s="279"/>
      <c r="B221" s="279"/>
      <c r="K221" s="35"/>
      <c r="L221" s="35"/>
      <c r="M221" s="35"/>
      <c r="N221" s="35"/>
      <c r="Q221" s="35"/>
      <c r="S221" s="35"/>
      <c r="U221" s="35"/>
    </row>
    <row r="222" spans="1:21" s="3" customFormat="1">
      <c r="A222" s="279"/>
      <c r="B222" s="279"/>
      <c r="K222" s="35"/>
      <c r="L222" s="35"/>
      <c r="M222" s="35"/>
      <c r="N222" s="35"/>
      <c r="Q222" s="35"/>
      <c r="S222" s="35"/>
      <c r="U222" s="35"/>
    </row>
    <row r="223" spans="1:21" s="3" customFormat="1">
      <c r="A223" s="279"/>
      <c r="B223" s="279"/>
      <c r="K223" s="35"/>
      <c r="L223" s="35"/>
      <c r="M223" s="35"/>
      <c r="N223" s="35"/>
      <c r="Q223" s="35"/>
      <c r="S223" s="35"/>
      <c r="U223" s="35"/>
    </row>
    <row r="224" spans="1:21" s="3" customFormat="1">
      <c r="A224" s="279"/>
      <c r="B224" s="279"/>
      <c r="K224" s="35"/>
      <c r="L224" s="35"/>
      <c r="M224" s="35"/>
      <c r="N224" s="35"/>
      <c r="Q224" s="35"/>
      <c r="S224" s="35"/>
      <c r="U224" s="35"/>
    </row>
    <row r="225" spans="1:21" s="3" customFormat="1">
      <c r="A225" s="279"/>
      <c r="B225" s="279"/>
      <c r="K225" s="35"/>
      <c r="L225" s="35"/>
      <c r="M225" s="35"/>
      <c r="N225" s="35"/>
      <c r="Q225" s="35"/>
      <c r="S225" s="35"/>
      <c r="U225" s="35"/>
    </row>
    <row r="226" spans="1:21" s="3" customFormat="1">
      <c r="A226" s="279"/>
      <c r="B226" s="279"/>
      <c r="K226" s="35"/>
      <c r="L226" s="35"/>
      <c r="M226" s="35"/>
      <c r="N226" s="35"/>
      <c r="Q226" s="35"/>
      <c r="S226" s="35"/>
      <c r="U226" s="35"/>
    </row>
    <row r="227" spans="1:21" s="3" customFormat="1">
      <c r="A227" s="279"/>
      <c r="B227" s="279"/>
      <c r="K227" s="35"/>
      <c r="L227" s="35"/>
      <c r="M227" s="35"/>
      <c r="N227" s="35"/>
      <c r="Q227" s="35"/>
      <c r="S227" s="35"/>
      <c r="U227" s="35"/>
    </row>
    <row r="228" spans="1:21" s="3" customFormat="1">
      <c r="A228" s="279"/>
      <c r="B228" s="279"/>
      <c r="K228" s="35"/>
      <c r="L228" s="35"/>
      <c r="M228" s="35"/>
      <c r="N228" s="35"/>
      <c r="Q228" s="35"/>
      <c r="S228" s="35"/>
      <c r="U228" s="35"/>
    </row>
    <row r="229" spans="1:21" s="3" customFormat="1">
      <c r="A229" s="279"/>
      <c r="B229" s="279"/>
      <c r="K229" s="35"/>
      <c r="L229" s="35"/>
      <c r="M229" s="35"/>
      <c r="N229" s="35"/>
      <c r="Q229" s="35"/>
      <c r="S229" s="35"/>
      <c r="U229" s="35"/>
    </row>
    <row r="230" spans="1:21" s="3" customFormat="1">
      <c r="A230" s="279"/>
      <c r="B230" s="279"/>
      <c r="K230" s="35"/>
      <c r="L230" s="35"/>
      <c r="M230" s="35"/>
      <c r="N230" s="35"/>
      <c r="Q230" s="35"/>
      <c r="S230" s="35"/>
      <c r="U230" s="35"/>
    </row>
    <row r="231" spans="1:21" s="3" customFormat="1">
      <c r="A231" s="279"/>
      <c r="B231" s="279"/>
      <c r="K231" s="35"/>
      <c r="L231" s="35"/>
      <c r="M231" s="35"/>
      <c r="N231" s="35"/>
      <c r="Q231" s="35"/>
      <c r="S231" s="35"/>
      <c r="U231" s="35"/>
    </row>
    <row r="232" spans="1:21" s="3" customFormat="1">
      <c r="A232" s="279"/>
      <c r="B232" s="279"/>
      <c r="K232" s="35"/>
      <c r="L232" s="35"/>
      <c r="M232" s="35"/>
      <c r="N232" s="35"/>
      <c r="Q232" s="35"/>
      <c r="S232" s="35"/>
      <c r="U232" s="35"/>
    </row>
    <row r="233" spans="1:21" s="3" customFormat="1">
      <c r="A233" s="279"/>
      <c r="B233" s="279"/>
      <c r="K233" s="35"/>
      <c r="L233" s="35"/>
      <c r="M233" s="35"/>
      <c r="N233" s="35"/>
      <c r="Q233" s="35"/>
      <c r="S233" s="35"/>
      <c r="U233" s="35"/>
    </row>
    <row r="234" spans="1:21" s="3" customFormat="1">
      <c r="A234" s="279"/>
      <c r="B234" s="279"/>
      <c r="K234" s="35"/>
      <c r="L234" s="35"/>
      <c r="M234" s="35"/>
      <c r="N234" s="35"/>
      <c r="Q234" s="35"/>
      <c r="S234" s="35"/>
      <c r="U234" s="35"/>
    </row>
    <row r="235" spans="1:21" s="3" customFormat="1">
      <c r="A235" s="279"/>
      <c r="B235" s="279"/>
      <c r="K235" s="35"/>
      <c r="L235" s="35"/>
      <c r="M235" s="35"/>
      <c r="N235" s="35"/>
      <c r="Q235" s="35"/>
      <c r="S235" s="35"/>
      <c r="U235" s="35"/>
    </row>
    <row r="236" spans="1:21" s="3" customFormat="1">
      <c r="A236" s="279"/>
      <c r="B236" s="279"/>
      <c r="K236" s="35"/>
      <c r="L236" s="35"/>
      <c r="M236" s="35"/>
      <c r="N236" s="35"/>
      <c r="Q236" s="35"/>
      <c r="S236" s="35"/>
      <c r="U236" s="35"/>
    </row>
    <row r="237" spans="1:21" s="3" customFormat="1">
      <c r="A237" s="279"/>
      <c r="B237" s="279"/>
      <c r="K237" s="35"/>
      <c r="L237" s="35"/>
      <c r="M237" s="35"/>
      <c r="N237" s="35"/>
      <c r="Q237" s="35"/>
      <c r="S237" s="35"/>
      <c r="U237" s="35"/>
    </row>
    <row r="238" spans="1:21" s="3" customFormat="1">
      <c r="A238" s="279"/>
      <c r="B238" s="279"/>
      <c r="K238" s="35"/>
      <c r="L238" s="35"/>
      <c r="M238" s="35"/>
      <c r="N238" s="35"/>
      <c r="Q238" s="35"/>
      <c r="S238" s="35"/>
      <c r="U238" s="35"/>
    </row>
    <row r="239" spans="1:21" s="3" customFormat="1">
      <c r="A239" s="279"/>
      <c r="B239" s="279"/>
      <c r="K239" s="35"/>
      <c r="L239" s="35"/>
      <c r="M239" s="35"/>
      <c r="N239" s="35"/>
      <c r="Q239" s="35"/>
      <c r="S239" s="35"/>
      <c r="U239" s="35"/>
    </row>
    <row r="240" spans="1:21" s="3" customFormat="1">
      <c r="A240" s="279"/>
      <c r="B240" s="279"/>
      <c r="K240" s="35"/>
      <c r="L240" s="35"/>
      <c r="M240" s="35"/>
      <c r="N240" s="35"/>
      <c r="Q240" s="35"/>
      <c r="S240" s="35"/>
      <c r="U240" s="35"/>
    </row>
    <row r="241" spans="1:21" s="3" customFormat="1">
      <c r="A241" s="279"/>
      <c r="B241" s="279"/>
      <c r="K241" s="35"/>
      <c r="L241" s="35"/>
      <c r="M241" s="35"/>
      <c r="N241" s="35"/>
      <c r="Q241" s="35"/>
      <c r="S241" s="35"/>
      <c r="U241" s="35"/>
    </row>
    <row r="242" spans="1:21" s="3" customFormat="1">
      <c r="A242" s="279"/>
      <c r="B242" s="279"/>
      <c r="K242" s="35"/>
      <c r="L242" s="35"/>
      <c r="M242" s="35"/>
      <c r="N242" s="35"/>
      <c r="Q242" s="35"/>
      <c r="S242" s="35"/>
      <c r="U242" s="35"/>
    </row>
    <row r="243" spans="1:21" s="3" customFormat="1">
      <c r="A243" s="279"/>
      <c r="B243" s="279"/>
      <c r="K243" s="35"/>
      <c r="L243" s="35"/>
      <c r="M243" s="35"/>
      <c r="N243" s="35"/>
      <c r="Q243" s="35"/>
      <c r="S243" s="35"/>
      <c r="U243" s="35"/>
    </row>
    <row r="244" spans="1:21" s="3" customFormat="1">
      <c r="A244" s="279"/>
      <c r="B244" s="279"/>
      <c r="K244" s="35"/>
      <c r="L244" s="35"/>
      <c r="M244" s="35"/>
      <c r="N244" s="35"/>
      <c r="Q244" s="35"/>
      <c r="S244" s="35"/>
      <c r="U244" s="35"/>
    </row>
    <row r="245" spans="1:21" s="3" customFormat="1">
      <c r="A245" s="279"/>
      <c r="B245" s="279"/>
      <c r="K245" s="35"/>
      <c r="L245" s="35"/>
      <c r="M245" s="35"/>
      <c r="N245" s="35"/>
      <c r="Q245" s="35"/>
      <c r="S245" s="35"/>
      <c r="U245" s="35"/>
    </row>
    <row r="246" spans="1:21" s="3" customFormat="1">
      <c r="A246" s="279"/>
      <c r="B246" s="279"/>
      <c r="K246" s="35"/>
      <c r="L246" s="35"/>
      <c r="M246" s="35"/>
      <c r="N246" s="35"/>
      <c r="Q246" s="35"/>
      <c r="S246" s="35"/>
      <c r="U246" s="35"/>
    </row>
    <row r="247" spans="1:21" s="3" customFormat="1">
      <c r="A247" s="279"/>
      <c r="B247" s="279"/>
      <c r="K247" s="35"/>
      <c r="L247" s="35"/>
      <c r="M247" s="35"/>
      <c r="N247" s="35"/>
      <c r="Q247" s="35"/>
      <c r="S247" s="35"/>
      <c r="U247" s="35"/>
    </row>
    <row r="248" spans="1:21" s="3" customFormat="1">
      <c r="A248" s="279"/>
      <c r="B248" s="279"/>
      <c r="K248" s="35"/>
      <c r="L248" s="35"/>
      <c r="M248" s="35"/>
      <c r="N248" s="35"/>
      <c r="Q248" s="35"/>
      <c r="S248" s="35"/>
      <c r="U248" s="35"/>
    </row>
    <row r="249" spans="1:21" s="3" customFormat="1">
      <c r="A249" s="279"/>
      <c r="B249" s="279"/>
      <c r="K249" s="35"/>
      <c r="L249" s="35"/>
      <c r="M249" s="35"/>
      <c r="N249" s="35"/>
      <c r="Q249" s="35"/>
      <c r="S249" s="35"/>
      <c r="U249" s="35"/>
    </row>
    <row r="250" spans="1:21" s="3" customFormat="1">
      <c r="A250" s="279"/>
      <c r="B250" s="279"/>
      <c r="K250" s="35"/>
      <c r="L250" s="35"/>
      <c r="M250" s="35"/>
      <c r="N250" s="35"/>
      <c r="Q250" s="35"/>
      <c r="S250" s="35"/>
      <c r="U250" s="35"/>
    </row>
    <row r="251" spans="1:21" s="3" customFormat="1">
      <c r="A251" s="279"/>
      <c r="B251" s="279"/>
      <c r="K251" s="35"/>
      <c r="L251" s="35"/>
      <c r="M251" s="35"/>
      <c r="N251" s="35"/>
      <c r="Q251" s="35"/>
      <c r="S251" s="35"/>
      <c r="U251" s="35"/>
    </row>
    <row r="252" spans="1:21" s="3" customFormat="1">
      <c r="A252" s="279"/>
      <c r="B252" s="279"/>
      <c r="K252" s="35"/>
      <c r="L252" s="35"/>
      <c r="M252" s="35"/>
      <c r="N252" s="35"/>
      <c r="Q252" s="35"/>
      <c r="S252" s="35"/>
      <c r="U252" s="35"/>
    </row>
    <row r="253" spans="1:21" s="3" customFormat="1">
      <c r="A253" s="279"/>
      <c r="B253" s="279"/>
      <c r="K253" s="35"/>
      <c r="L253" s="35"/>
      <c r="M253" s="35"/>
      <c r="N253" s="35"/>
      <c r="Q253" s="35"/>
      <c r="S253" s="35"/>
      <c r="U253" s="35"/>
    </row>
    <row r="254" spans="1:21" s="3" customFormat="1">
      <c r="A254" s="279"/>
      <c r="B254" s="279"/>
      <c r="K254" s="35"/>
      <c r="L254" s="35"/>
      <c r="M254" s="35"/>
      <c r="N254" s="35"/>
      <c r="Q254" s="35"/>
      <c r="S254" s="35"/>
      <c r="U254" s="35"/>
    </row>
    <row r="255" spans="1:21" s="3" customFormat="1">
      <c r="A255" s="279"/>
      <c r="B255" s="279"/>
      <c r="K255" s="35"/>
      <c r="L255" s="35"/>
      <c r="M255" s="35"/>
      <c r="N255" s="35"/>
      <c r="Q255" s="35"/>
      <c r="S255" s="35"/>
      <c r="U255" s="35"/>
    </row>
    <row r="256" spans="1:21" s="3" customFormat="1">
      <c r="A256" s="279"/>
      <c r="B256" s="279"/>
      <c r="K256" s="35"/>
      <c r="L256" s="35"/>
      <c r="M256" s="35"/>
      <c r="N256" s="35"/>
      <c r="Q256" s="35"/>
      <c r="S256" s="35"/>
      <c r="U256" s="35"/>
    </row>
    <row r="257" spans="1:21" s="3" customFormat="1">
      <c r="A257" s="279"/>
      <c r="B257" s="279"/>
      <c r="K257" s="35"/>
      <c r="L257" s="35"/>
      <c r="M257" s="35"/>
      <c r="N257" s="35"/>
      <c r="Q257" s="35"/>
      <c r="S257" s="35"/>
      <c r="U257" s="35"/>
    </row>
    <row r="258" spans="1:21" s="3" customFormat="1">
      <c r="A258" s="279"/>
      <c r="B258" s="279"/>
      <c r="K258" s="35"/>
      <c r="L258" s="35"/>
      <c r="M258" s="35"/>
      <c r="N258" s="35"/>
      <c r="Q258" s="35"/>
      <c r="S258" s="35"/>
      <c r="U258" s="35"/>
    </row>
    <row r="259" spans="1:21" s="3" customFormat="1">
      <c r="A259" s="279"/>
      <c r="B259" s="279"/>
      <c r="K259" s="35"/>
      <c r="L259" s="35"/>
      <c r="M259" s="35"/>
      <c r="N259" s="35"/>
      <c r="Q259" s="35"/>
      <c r="S259" s="35"/>
      <c r="U259" s="35"/>
    </row>
    <row r="260" spans="1:21" s="3" customFormat="1">
      <c r="A260" s="279"/>
      <c r="B260" s="279"/>
      <c r="K260" s="35"/>
      <c r="L260" s="35"/>
      <c r="M260" s="35"/>
      <c r="N260" s="35"/>
      <c r="Q260" s="35"/>
      <c r="S260" s="35"/>
      <c r="U260" s="35"/>
    </row>
    <row r="261" spans="1:21" s="3" customFormat="1">
      <c r="A261" s="279"/>
      <c r="B261" s="279"/>
      <c r="K261" s="35"/>
      <c r="L261" s="35"/>
      <c r="M261" s="35"/>
      <c r="N261" s="35"/>
      <c r="Q261" s="35"/>
      <c r="S261" s="35"/>
      <c r="U261" s="35"/>
    </row>
    <row r="262" spans="1:21" s="3" customFormat="1">
      <c r="A262" s="279"/>
      <c r="B262" s="279"/>
      <c r="K262" s="35"/>
      <c r="L262" s="35"/>
      <c r="M262" s="35"/>
      <c r="N262" s="35"/>
      <c r="Q262" s="35"/>
      <c r="S262" s="35"/>
      <c r="U262" s="35"/>
    </row>
    <row r="263" spans="1:21" s="3" customFormat="1">
      <c r="A263" s="279"/>
      <c r="B263" s="279"/>
      <c r="K263" s="35"/>
      <c r="L263" s="35"/>
      <c r="M263" s="35"/>
      <c r="N263" s="35"/>
      <c r="Q263" s="35"/>
      <c r="S263" s="35"/>
      <c r="U263" s="35"/>
    </row>
    <row r="264" spans="1:21" s="3" customFormat="1">
      <c r="A264" s="279"/>
      <c r="B264" s="279"/>
      <c r="K264" s="35"/>
      <c r="L264" s="35"/>
      <c r="M264" s="35"/>
      <c r="N264" s="35"/>
      <c r="Q264" s="35"/>
      <c r="S264" s="35"/>
      <c r="U264" s="35"/>
    </row>
    <row r="265" spans="1:21" s="3" customFormat="1">
      <c r="A265" s="279"/>
      <c r="B265" s="279"/>
      <c r="K265" s="35"/>
      <c r="L265" s="35"/>
      <c r="M265" s="35"/>
      <c r="N265" s="35"/>
      <c r="Q265" s="35"/>
      <c r="S265" s="35"/>
      <c r="U265" s="35"/>
    </row>
    <row r="266" spans="1:21" s="3" customFormat="1">
      <c r="A266" s="279"/>
      <c r="B266" s="279"/>
      <c r="K266" s="35"/>
      <c r="L266" s="35"/>
      <c r="M266" s="35"/>
      <c r="N266" s="35"/>
      <c r="Q266" s="35"/>
      <c r="S266" s="35"/>
      <c r="U266" s="35"/>
    </row>
    <row r="267" spans="1:21" s="3" customFormat="1">
      <c r="A267" s="279"/>
      <c r="B267" s="279"/>
      <c r="K267" s="35"/>
      <c r="L267" s="35"/>
      <c r="M267" s="35"/>
      <c r="N267" s="35"/>
      <c r="Q267" s="35"/>
      <c r="S267" s="35"/>
      <c r="U267" s="35"/>
    </row>
    <row r="268" spans="1:21" s="3" customFormat="1">
      <c r="A268" s="279"/>
      <c r="B268" s="279"/>
      <c r="K268" s="35"/>
      <c r="L268" s="35"/>
      <c r="M268" s="35"/>
      <c r="N268" s="35"/>
      <c r="Q268" s="35"/>
      <c r="S268" s="35"/>
      <c r="U268" s="35"/>
    </row>
    <row r="269" spans="1:21" s="3" customFormat="1">
      <c r="A269" s="279"/>
      <c r="B269" s="279"/>
      <c r="K269" s="35"/>
      <c r="L269" s="35"/>
      <c r="M269" s="35"/>
      <c r="N269" s="35"/>
      <c r="Q269" s="35"/>
      <c r="S269" s="35"/>
      <c r="U269" s="35"/>
    </row>
    <row r="270" spans="1:21" s="3" customFormat="1">
      <c r="A270" s="279"/>
      <c r="B270" s="279"/>
      <c r="K270" s="35"/>
      <c r="L270" s="35"/>
      <c r="M270" s="35"/>
      <c r="N270" s="35"/>
      <c r="Q270" s="35"/>
      <c r="S270" s="35"/>
      <c r="U270" s="35"/>
    </row>
    <row r="271" spans="1:21" s="3" customFormat="1">
      <c r="A271" s="279"/>
      <c r="B271" s="279"/>
      <c r="K271" s="35"/>
      <c r="L271" s="35"/>
      <c r="M271" s="35"/>
      <c r="N271" s="35"/>
      <c r="Q271" s="35"/>
      <c r="S271" s="35"/>
      <c r="U271" s="35"/>
    </row>
    <row r="272" spans="1:21" s="3" customFormat="1">
      <c r="A272" s="279"/>
      <c r="B272" s="279"/>
      <c r="K272" s="35"/>
      <c r="L272" s="35"/>
      <c r="M272" s="35"/>
      <c r="N272" s="35"/>
      <c r="Q272" s="35"/>
      <c r="S272" s="35"/>
      <c r="U272" s="35"/>
    </row>
    <row r="273" spans="1:21" s="3" customFormat="1">
      <c r="A273" s="279"/>
      <c r="B273" s="279"/>
      <c r="K273" s="35"/>
      <c r="L273" s="35"/>
      <c r="M273" s="35"/>
      <c r="N273" s="35"/>
      <c r="Q273" s="35"/>
      <c r="S273" s="35"/>
      <c r="U273" s="35"/>
    </row>
    <row r="274" spans="1:21" s="3" customFormat="1">
      <c r="A274" s="279"/>
      <c r="B274" s="279"/>
      <c r="K274" s="35"/>
      <c r="L274" s="35"/>
      <c r="M274" s="35"/>
      <c r="N274" s="35"/>
      <c r="Q274" s="35"/>
      <c r="S274" s="35"/>
      <c r="U274" s="35"/>
    </row>
    <row r="275" spans="1:21" s="3" customFormat="1">
      <c r="A275" s="279"/>
      <c r="B275" s="279"/>
      <c r="K275" s="35"/>
      <c r="L275" s="35"/>
      <c r="M275" s="35"/>
      <c r="N275" s="35"/>
      <c r="Q275" s="35"/>
      <c r="S275" s="35"/>
      <c r="U275" s="35"/>
    </row>
    <row r="276" spans="1:21" s="3" customFormat="1">
      <c r="A276" s="279"/>
      <c r="B276" s="279"/>
      <c r="K276" s="35"/>
      <c r="L276" s="35"/>
      <c r="M276" s="35"/>
      <c r="N276" s="35"/>
      <c r="Q276" s="35"/>
      <c r="S276" s="35"/>
      <c r="U276" s="35"/>
    </row>
    <row r="277" spans="1:21" s="3" customFormat="1">
      <c r="A277" s="279"/>
      <c r="B277" s="279"/>
      <c r="K277" s="35"/>
      <c r="L277" s="35"/>
      <c r="M277" s="35"/>
      <c r="N277" s="35"/>
      <c r="Q277" s="35"/>
      <c r="S277" s="35"/>
      <c r="U277" s="35"/>
    </row>
    <row r="278" spans="1:21" s="3" customFormat="1">
      <c r="A278" s="279"/>
      <c r="B278" s="279"/>
      <c r="K278" s="35"/>
      <c r="L278" s="35"/>
      <c r="M278" s="35"/>
      <c r="N278" s="35"/>
      <c r="Q278" s="35"/>
      <c r="S278" s="35"/>
      <c r="U278" s="35"/>
    </row>
    <row r="279" spans="1:21" s="3" customFormat="1">
      <c r="A279" s="279"/>
      <c r="B279" s="279"/>
      <c r="K279" s="35"/>
      <c r="L279" s="35"/>
      <c r="M279" s="35"/>
      <c r="N279" s="35"/>
      <c r="Q279" s="35"/>
      <c r="S279" s="35"/>
      <c r="U279" s="35"/>
    </row>
    <row r="280" spans="1:21" s="3" customFormat="1">
      <c r="A280" s="279"/>
      <c r="B280" s="279"/>
      <c r="K280" s="35"/>
      <c r="L280" s="35"/>
      <c r="M280" s="35"/>
      <c r="N280" s="35"/>
      <c r="Q280" s="35"/>
      <c r="S280" s="35"/>
      <c r="U280" s="35"/>
    </row>
    <row r="281" spans="1:21" s="3" customFormat="1">
      <c r="A281" s="279"/>
      <c r="B281" s="279"/>
      <c r="K281" s="35"/>
      <c r="L281" s="35"/>
      <c r="M281" s="35"/>
      <c r="N281" s="35"/>
      <c r="Q281" s="35"/>
      <c r="S281" s="35"/>
      <c r="U281" s="35"/>
    </row>
    <row r="282" spans="1:21" s="3" customFormat="1">
      <c r="A282" s="279"/>
      <c r="B282" s="279"/>
      <c r="K282" s="35"/>
      <c r="L282" s="35"/>
      <c r="M282" s="35"/>
      <c r="N282" s="35"/>
      <c r="Q282" s="35"/>
      <c r="S282" s="35"/>
      <c r="U282" s="35"/>
    </row>
    <row r="283" spans="1:21" s="3" customFormat="1">
      <c r="A283" s="279"/>
      <c r="B283" s="279"/>
      <c r="K283" s="35"/>
      <c r="L283" s="35"/>
      <c r="M283" s="35"/>
      <c r="N283" s="35"/>
      <c r="Q283" s="35"/>
      <c r="S283" s="35"/>
      <c r="U283" s="35"/>
    </row>
    <row r="284" spans="1:21" s="3" customFormat="1">
      <c r="A284" s="279"/>
      <c r="B284" s="279"/>
      <c r="K284" s="35"/>
      <c r="L284" s="35"/>
      <c r="M284" s="35"/>
      <c r="N284" s="35"/>
      <c r="Q284" s="35"/>
      <c r="S284" s="35"/>
      <c r="U284" s="35"/>
    </row>
    <row r="285" spans="1:21" s="3" customFormat="1">
      <c r="A285" s="279"/>
      <c r="B285" s="279"/>
      <c r="K285" s="35"/>
      <c r="L285" s="35"/>
      <c r="M285" s="35"/>
      <c r="N285" s="35"/>
      <c r="Q285" s="35"/>
      <c r="S285" s="35"/>
      <c r="U285" s="35"/>
    </row>
    <row r="286" spans="1:21" s="3" customFormat="1">
      <c r="A286" s="279"/>
      <c r="B286" s="279"/>
      <c r="K286" s="35"/>
      <c r="L286" s="35"/>
      <c r="M286" s="35"/>
      <c r="N286" s="35"/>
      <c r="Q286" s="35"/>
      <c r="S286" s="35"/>
      <c r="U286" s="35"/>
    </row>
    <row r="287" spans="1:21" s="3" customFormat="1">
      <c r="A287" s="279"/>
      <c r="B287" s="279"/>
      <c r="K287" s="35"/>
      <c r="L287" s="35"/>
      <c r="M287" s="35"/>
      <c r="N287" s="35"/>
      <c r="Q287" s="35"/>
      <c r="S287" s="35"/>
      <c r="U287" s="35"/>
    </row>
    <row r="288" spans="1:21" s="3" customFormat="1">
      <c r="A288" s="279"/>
      <c r="B288" s="279"/>
      <c r="K288" s="35"/>
      <c r="L288" s="35"/>
      <c r="M288" s="35"/>
      <c r="N288" s="35"/>
      <c r="Q288" s="35"/>
      <c r="S288" s="35"/>
      <c r="U288" s="35"/>
    </row>
    <row r="289" spans="1:21" s="3" customFormat="1">
      <c r="A289" s="279"/>
      <c r="B289" s="279"/>
      <c r="K289" s="35"/>
      <c r="L289" s="35"/>
      <c r="M289" s="35"/>
      <c r="N289" s="35"/>
      <c r="Q289" s="35"/>
      <c r="S289" s="35"/>
      <c r="U289" s="35"/>
    </row>
    <row r="290" spans="1:21" s="3" customFormat="1">
      <c r="A290" s="279"/>
      <c r="B290" s="279"/>
      <c r="K290" s="35"/>
      <c r="L290" s="35"/>
      <c r="M290" s="35"/>
      <c r="N290" s="35"/>
      <c r="Q290" s="35"/>
      <c r="S290" s="35"/>
      <c r="U290" s="35"/>
    </row>
    <row r="291" spans="1:21" s="3" customFormat="1">
      <c r="A291" s="279"/>
      <c r="B291" s="279"/>
      <c r="K291" s="35"/>
      <c r="L291" s="35"/>
      <c r="M291" s="35"/>
      <c r="N291" s="35"/>
      <c r="Q291" s="35"/>
      <c r="S291" s="35"/>
      <c r="U291" s="35"/>
    </row>
    <row r="292" spans="1:21" s="3" customFormat="1">
      <c r="A292" s="279"/>
      <c r="B292" s="279"/>
      <c r="K292" s="35"/>
      <c r="L292" s="35"/>
      <c r="M292" s="35"/>
      <c r="N292" s="35"/>
      <c r="Q292" s="35"/>
      <c r="S292" s="35"/>
      <c r="U292" s="35"/>
    </row>
    <row r="293" spans="1:21" s="3" customFormat="1">
      <c r="A293" s="279"/>
      <c r="B293" s="279"/>
      <c r="K293" s="35"/>
      <c r="L293" s="35"/>
      <c r="M293" s="35"/>
      <c r="N293" s="35"/>
      <c r="Q293" s="35"/>
      <c r="S293" s="35"/>
      <c r="U293" s="35"/>
    </row>
    <row r="294" spans="1:21" s="3" customFormat="1">
      <c r="A294" s="279"/>
      <c r="B294" s="279"/>
      <c r="K294" s="35"/>
      <c r="L294" s="35"/>
      <c r="M294" s="35"/>
      <c r="N294" s="35"/>
      <c r="Q294" s="35"/>
      <c r="S294" s="35"/>
      <c r="U294" s="35"/>
    </row>
    <row r="295" spans="1:21" s="3" customFormat="1">
      <c r="A295" s="279"/>
      <c r="B295" s="279"/>
      <c r="K295" s="35"/>
      <c r="L295" s="35"/>
      <c r="M295" s="35"/>
      <c r="N295" s="35"/>
      <c r="Q295" s="35"/>
      <c r="S295" s="35"/>
      <c r="U295" s="35"/>
    </row>
    <row r="296" spans="1:21" s="3" customFormat="1">
      <c r="A296" s="279"/>
      <c r="B296" s="279"/>
      <c r="K296" s="35"/>
      <c r="L296" s="35"/>
      <c r="M296" s="35"/>
      <c r="N296" s="35"/>
      <c r="Q296" s="35"/>
      <c r="S296" s="35"/>
      <c r="U296" s="35"/>
    </row>
    <row r="297" spans="1:21" s="3" customFormat="1">
      <c r="A297" s="279"/>
      <c r="B297" s="279"/>
      <c r="K297" s="35"/>
      <c r="L297" s="35"/>
      <c r="M297" s="35"/>
      <c r="N297" s="35"/>
      <c r="Q297" s="35"/>
      <c r="S297" s="35"/>
      <c r="U297" s="35"/>
    </row>
    <row r="298" spans="1:21" s="3" customFormat="1">
      <c r="A298" s="279"/>
      <c r="B298" s="279"/>
      <c r="K298" s="35"/>
      <c r="L298" s="35"/>
      <c r="M298" s="35"/>
      <c r="N298" s="35"/>
      <c r="Q298" s="35"/>
      <c r="S298" s="35"/>
      <c r="U298" s="35"/>
    </row>
    <row r="299" spans="1:21" s="3" customFormat="1">
      <c r="A299" s="279"/>
      <c r="B299" s="279"/>
      <c r="K299" s="35"/>
      <c r="L299" s="35"/>
      <c r="M299" s="35"/>
      <c r="N299" s="35"/>
      <c r="Q299" s="35"/>
      <c r="S299" s="35"/>
      <c r="U299" s="35"/>
    </row>
    <row r="300" spans="1:21" s="3" customFormat="1">
      <c r="A300" s="279"/>
      <c r="B300" s="279"/>
      <c r="K300" s="35"/>
      <c r="L300" s="35"/>
      <c r="M300" s="35"/>
      <c r="N300" s="35"/>
      <c r="Q300" s="35"/>
      <c r="S300" s="35"/>
      <c r="U300" s="35"/>
    </row>
    <row r="301" spans="1:21" s="3" customFormat="1">
      <c r="A301" s="279"/>
      <c r="B301" s="279"/>
      <c r="K301" s="35"/>
      <c r="L301" s="35"/>
      <c r="M301" s="35"/>
      <c r="N301" s="35"/>
      <c r="Q301" s="35"/>
      <c r="S301" s="35"/>
      <c r="U301" s="35"/>
    </row>
    <row r="302" spans="1:21" s="3" customFormat="1">
      <c r="A302" s="279"/>
      <c r="B302" s="279"/>
      <c r="K302" s="35"/>
      <c r="L302" s="35"/>
      <c r="M302" s="35"/>
      <c r="N302" s="35"/>
      <c r="Q302" s="35"/>
      <c r="S302" s="35"/>
      <c r="U302" s="35"/>
    </row>
    <row r="303" spans="1:21" s="3" customFormat="1">
      <c r="A303" s="279"/>
      <c r="B303" s="279"/>
      <c r="K303" s="35"/>
      <c r="L303" s="35"/>
      <c r="M303" s="35"/>
      <c r="N303" s="35"/>
      <c r="Q303" s="35"/>
      <c r="S303" s="35"/>
      <c r="U303" s="35"/>
    </row>
    <row r="304" spans="1:21" s="3" customFormat="1">
      <c r="A304" s="279"/>
      <c r="B304" s="279"/>
      <c r="K304" s="35"/>
      <c r="L304" s="35"/>
      <c r="M304" s="35"/>
      <c r="N304" s="35"/>
      <c r="Q304" s="35"/>
      <c r="S304" s="35"/>
      <c r="U304" s="35"/>
    </row>
    <row r="305" spans="1:21" s="3" customFormat="1">
      <c r="A305" s="279"/>
      <c r="B305" s="279"/>
      <c r="K305" s="35"/>
      <c r="L305" s="35"/>
      <c r="M305" s="35"/>
      <c r="N305" s="35"/>
      <c r="Q305" s="35"/>
      <c r="S305" s="35"/>
      <c r="U305" s="35"/>
    </row>
    <row r="306" spans="1:21" s="3" customFormat="1">
      <c r="A306" s="279"/>
      <c r="B306" s="279"/>
      <c r="K306" s="35"/>
      <c r="L306" s="35"/>
      <c r="M306" s="35"/>
      <c r="N306" s="35"/>
      <c r="Q306" s="35"/>
      <c r="S306" s="35"/>
      <c r="U306" s="35"/>
    </row>
    <row r="307" spans="1:21" s="3" customFormat="1">
      <c r="A307" s="279"/>
      <c r="B307" s="279"/>
      <c r="K307" s="35"/>
      <c r="L307" s="35"/>
      <c r="M307" s="35"/>
      <c r="N307" s="35"/>
      <c r="Q307" s="35"/>
      <c r="S307" s="35"/>
      <c r="U307" s="35"/>
    </row>
    <row r="308" spans="1:21" s="3" customFormat="1">
      <c r="A308" s="279"/>
      <c r="B308" s="279"/>
      <c r="K308" s="35"/>
      <c r="L308" s="35"/>
      <c r="M308" s="35"/>
      <c r="N308" s="35"/>
      <c r="Q308" s="35"/>
      <c r="S308" s="35"/>
      <c r="U308" s="35"/>
    </row>
    <row r="309" spans="1:21" s="3" customFormat="1">
      <c r="A309" s="279"/>
      <c r="B309" s="279"/>
      <c r="K309" s="35"/>
      <c r="L309" s="35"/>
      <c r="M309" s="35"/>
      <c r="N309" s="35"/>
      <c r="Q309" s="35"/>
      <c r="S309" s="35"/>
      <c r="U309" s="35"/>
    </row>
    <row r="310" spans="1:21" s="3" customFormat="1">
      <c r="A310" s="279"/>
      <c r="B310" s="279"/>
      <c r="K310" s="35"/>
      <c r="L310" s="35"/>
      <c r="M310" s="35"/>
      <c r="N310" s="35"/>
      <c r="Q310" s="35"/>
      <c r="S310" s="35"/>
      <c r="U310" s="35"/>
    </row>
    <row r="311" spans="1:21" s="3" customFormat="1">
      <c r="A311" s="279"/>
      <c r="B311" s="279"/>
      <c r="K311" s="35"/>
      <c r="L311" s="35"/>
      <c r="M311" s="35"/>
      <c r="N311" s="35"/>
      <c r="Q311" s="35"/>
      <c r="S311" s="35"/>
      <c r="U311" s="35"/>
    </row>
    <row r="312" spans="1:21" s="3" customFormat="1">
      <c r="A312" s="279"/>
      <c r="B312" s="279"/>
      <c r="K312" s="35"/>
      <c r="L312" s="35"/>
      <c r="M312" s="35"/>
      <c r="N312" s="35"/>
      <c r="Q312" s="35"/>
      <c r="S312" s="35"/>
      <c r="U312" s="35"/>
    </row>
    <row r="313" spans="1:21" s="3" customFormat="1">
      <c r="A313" s="279"/>
      <c r="B313" s="279"/>
      <c r="K313" s="35"/>
      <c r="L313" s="35"/>
      <c r="M313" s="35"/>
      <c r="N313" s="35"/>
      <c r="Q313" s="35"/>
      <c r="S313" s="35"/>
      <c r="U313" s="35"/>
    </row>
    <row r="314" spans="1:21" s="3" customFormat="1">
      <c r="A314" s="279"/>
      <c r="B314" s="279"/>
      <c r="K314" s="35"/>
      <c r="L314" s="35"/>
      <c r="M314" s="35"/>
      <c r="N314" s="35"/>
      <c r="Q314" s="35"/>
      <c r="S314" s="35"/>
      <c r="U314" s="35"/>
    </row>
    <row r="315" spans="1:21" s="3" customFormat="1">
      <c r="A315" s="279"/>
      <c r="B315" s="279"/>
      <c r="K315" s="35"/>
      <c r="L315" s="35"/>
      <c r="M315" s="35"/>
      <c r="N315" s="35"/>
      <c r="Q315" s="35"/>
      <c r="S315" s="35"/>
      <c r="U315" s="35"/>
    </row>
    <row r="316" spans="1:21" s="3" customFormat="1">
      <c r="A316" s="279"/>
      <c r="B316" s="279"/>
      <c r="K316" s="35"/>
      <c r="L316" s="35"/>
      <c r="M316" s="35"/>
      <c r="N316" s="35"/>
      <c r="Q316" s="35"/>
      <c r="S316" s="35"/>
      <c r="U316" s="35"/>
    </row>
    <row r="317" spans="1:21" s="3" customFormat="1">
      <c r="A317" s="279"/>
      <c r="B317" s="279"/>
      <c r="K317" s="35"/>
      <c r="L317" s="35"/>
      <c r="M317" s="35"/>
      <c r="N317" s="35"/>
      <c r="Q317" s="35"/>
      <c r="S317" s="35"/>
      <c r="U317" s="35"/>
    </row>
    <row r="318" spans="1:21" s="3" customFormat="1">
      <c r="A318" s="279"/>
      <c r="B318" s="279"/>
      <c r="K318" s="35"/>
      <c r="L318" s="35"/>
      <c r="M318" s="35"/>
      <c r="N318" s="35"/>
      <c r="Q318" s="35"/>
      <c r="S318" s="35"/>
      <c r="U318" s="35"/>
    </row>
    <row r="319" spans="1:21" s="3" customFormat="1">
      <c r="A319" s="279"/>
      <c r="B319" s="279"/>
      <c r="K319" s="35"/>
      <c r="L319" s="35"/>
      <c r="M319" s="35"/>
      <c r="N319" s="35"/>
      <c r="Q319" s="35"/>
      <c r="S319" s="35"/>
      <c r="U319" s="35"/>
    </row>
    <row r="320" spans="1:21" s="3" customFormat="1">
      <c r="A320" s="279"/>
      <c r="B320" s="279"/>
      <c r="K320" s="35"/>
      <c r="L320" s="35"/>
      <c r="M320" s="35"/>
      <c r="N320" s="35"/>
      <c r="Q320" s="35"/>
      <c r="S320" s="35"/>
      <c r="U320" s="35"/>
    </row>
    <row r="321" spans="1:21" s="3" customFormat="1">
      <c r="A321" s="279"/>
      <c r="B321" s="279"/>
      <c r="K321" s="35"/>
      <c r="L321" s="35"/>
      <c r="M321" s="35"/>
      <c r="N321" s="35"/>
      <c r="Q321" s="35"/>
      <c r="S321" s="35"/>
      <c r="U321" s="35"/>
    </row>
    <row r="322" spans="1:21" s="3" customFormat="1">
      <c r="A322" s="279"/>
      <c r="B322" s="279"/>
      <c r="K322" s="35"/>
      <c r="L322" s="35"/>
      <c r="M322" s="35"/>
      <c r="N322" s="35"/>
      <c r="Q322" s="35"/>
      <c r="S322" s="35"/>
      <c r="U322" s="35"/>
    </row>
    <row r="323" spans="1:21" s="3" customFormat="1">
      <c r="A323" s="279"/>
      <c r="B323" s="279"/>
      <c r="K323" s="35"/>
      <c r="L323" s="35"/>
      <c r="M323" s="35"/>
      <c r="N323" s="35"/>
      <c r="Q323" s="35"/>
      <c r="S323" s="35"/>
      <c r="U323" s="35"/>
    </row>
    <row r="324" spans="1:21" s="3" customFormat="1">
      <c r="A324" s="279"/>
      <c r="B324" s="279"/>
      <c r="K324" s="35"/>
      <c r="L324" s="35"/>
      <c r="M324" s="35"/>
      <c r="N324" s="35"/>
      <c r="Q324" s="35"/>
      <c r="S324" s="35"/>
      <c r="U324" s="35"/>
    </row>
    <row r="325" spans="1:21" s="3" customFormat="1">
      <c r="A325" s="279"/>
      <c r="B325" s="279"/>
      <c r="K325" s="35"/>
      <c r="L325" s="35"/>
      <c r="M325" s="35"/>
      <c r="N325" s="35"/>
      <c r="Q325" s="35"/>
      <c r="S325" s="35"/>
      <c r="U325" s="35"/>
    </row>
    <row r="326" spans="1:21" s="3" customFormat="1">
      <c r="A326" s="279"/>
      <c r="B326" s="279"/>
      <c r="K326" s="35"/>
      <c r="L326" s="35"/>
      <c r="M326" s="35"/>
      <c r="N326" s="35"/>
      <c r="Q326" s="35"/>
      <c r="S326" s="35"/>
      <c r="U326" s="35"/>
    </row>
    <row r="327" spans="1:21" s="3" customFormat="1">
      <c r="A327" s="279"/>
      <c r="B327" s="279"/>
      <c r="K327" s="35"/>
      <c r="L327" s="35"/>
      <c r="M327" s="35"/>
      <c r="N327" s="35"/>
      <c r="Q327" s="35"/>
      <c r="S327" s="35"/>
      <c r="U327" s="35"/>
    </row>
    <row r="328" spans="1:21" s="3" customFormat="1">
      <c r="A328" s="279"/>
      <c r="B328" s="279"/>
      <c r="K328" s="35"/>
      <c r="L328" s="35"/>
      <c r="M328" s="35"/>
      <c r="N328" s="35"/>
      <c r="Q328" s="35"/>
      <c r="S328" s="35"/>
      <c r="U328" s="35"/>
    </row>
    <row r="329" spans="1:21" s="3" customFormat="1">
      <c r="A329" s="279"/>
      <c r="B329" s="279"/>
      <c r="K329" s="35"/>
      <c r="L329" s="35"/>
      <c r="M329" s="35"/>
      <c r="N329" s="35"/>
      <c r="Q329" s="35"/>
      <c r="S329" s="35"/>
      <c r="U329" s="35"/>
    </row>
    <row r="330" spans="1:21" s="3" customFormat="1">
      <c r="A330" s="279"/>
      <c r="B330" s="279"/>
      <c r="K330" s="35"/>
      <c r="L330" s="35"/>
      <c r="M330" s="35"/>
      <c r="N330" s="35"/>
      <c r="Q330" s="35"/>
      <c r="S330" s="35"/>
      <c r="U330" s="35"/>
    </row>
    <row r="331" spans="1:21" s="3" customFormat="1">
      <c r="A331" s="279"/>
      <c r="B331" s="279"/>
      <c r="K331" s="35"/>
      <c r="L331" s="35"/>
      <c r="M331" s="35"/>
      <c r="N331" s="35"/>
      <c r="Q331" s="35"/>
      <c r="S331" s="35"/>
      <c r="U331" s="35"/>
    </row>
    <row r="332" spans="1:21" s="3" customFormat="1">
      <c r="A332" s="279"/>
      <c r="B332" s="279"/>
      <c r="K332" s="35"/>
      <c r="L332" s="35"/>
      <c r="M332" s="35"/>
      <c r="N332" s="35"/>
      <c r="Q332" s="35"/>
      <c r="S332" s="35"/>
      <c r="U332" s="35"/>
    </row>
    <row r="333" spans="1:21" s="3" customFormat="1">
      <c r="A333" s="279"/>
      <c r="B333" s="279"/>
      <c r="K333" s="35"/>
      <c r="L333" s="35"/>
      <c r="M333" s="35"/>
      <c r="N333" s="35"/>
      <c r="Q333" s="35"/>
      <c r="S333" s="35"/>
      <c r="U333" s="35"/>
    </row>
    <row r="334" spans="1:21" s="3" customFormat="1">
      <c r="A334" s="279"/>
      <c r="B334" s="279"/>
      <c r="K334" s="35"/>
      <c r="L334" s="35"/>
      <c r="M334" s="35"/>
      <c r="N334" s="35"/>
      <c r="Q334" s="35"/>
      <c r="S334" s="35"/>
      <c r="U334" s="35"/>
    </row>
    <row r="335" spans="1:21" s="3" customFormat="1">
      <c r="A335" s="279"/>
      <c r="B335" s="279"/>
      <c r="K335" s="35"/>
      <c r="L335" s="35"/>
      <c r="M335" s="35"/>
      <c r="N335" s="35"/>
      <c r="Q335" s="35"/>
      <c r="S335" s="35"/>
      <c r="U335" s="35"/>
    </row>
    <row r="336" spans="1:21" s="3" customFormat="1">
      <c r="A336" s="279"/>
      <c r="B336" s="279"/>
      <c r="K336" s="35"/>
      <c r="L336" s="35"/>
      <c r="M336" s="35"/>
      <c r="N336" s="35"/>
      <c r="Q336" s="35"/>
      <c r="S336" s="35"/>
      <c r="U336" s="35"/>
    </row>
    <row r="337" spans="1:21" s="3" customFormat="1">
      <c r="A337" s="279"/>
      <c r="B337" s="279"/>
      <c r="K337" s="35"/>
      <c r="L337" s="35"/>
      <c r="M337" s="35"/>
      <c r="N337" s="35"/>
      <c r="Q337" s="35"/>
      <c r="S337" s="35"/>
      <c r="U337" s="35"/>
    </row>
    <row r="338" spans="1:21" s="3" customFormat="1">
      <c r="A338" s="279"/>
      <c r="B338" s="279"/>
      <c r="K338" s="35"/>
      <c r="L338" s="35"/>
      <c r="M338" s="35"/>
      <c r="N338" s="35"/>
      <c r="Q338" s="35"/>
      <c r="S338" s="35"/>
      <c r="U338" s="35"/>
    </row>
    <row r="339" spans="1:21" s="3" customFormat="1">
      <c r="A339" s="279"/>
      <c r="B339" s="279"/>
      <c r="K339" s="35"/>
      <c r="L339" s="35"/>
      <c r="M339" s="35"/>
      <c r="N339" s="35"/>
      <c r="Q339" s="35"/>
      <c r="S339" s="35"/>
      <c r="U339" s="35"/>
    </row>
    <row r="340" spans="1:21" s="3" customFormat="1">
      <c r="A340" s="279"/>
      <c r="B340" s="279"/>
      <c r="K340" s="35"/>
      <c r="L340" s="35"/>
      <c r="M340" s="35"/>
      <c r="N340" s="35"/>
      <c r="Q340" s="35"/>
      <c r="S340" s="35"/>
      <c r="U340" s="35"/>
    </row>
    <row r="341" spans="1:21" s="3" customFormat="1">
      <c r="A341" s="279"/>
      <c r="B341" s="279"/>
      <c r="K341" s="35"/>
      <c r="L341" s="35"/>
      <c r="M341" s="35"/>
      <c r="N341" s="35"/>
      <c r="Q341" s="35"/>
      <c r="S341" s="35"/>
      <c r="U341" s="35"/>
    </row>
    <row r="342" spans="1:21" s="3" customFormat="1">
      <c r="A342" s="279"/>
      <c r="B342" s="279"/>
      <c r="K342" s="35"/>
      <c r="L342" s="35"/>
      <c r="M342" s="35"/>
      <c r="N342" s="35"/>
      <c r="Q342" s="35"/>
      <c r="S342" s="35"/>
      <c r="U342" s="35"/>
    </row>
    <row r="343" spans="1:21" s="3" customFormat="1">
      <c r="A343" s="279"/>
      <c r="B343" s="279"/>
      <c r="K343" s="35"/>
      <c r="L343" s="35"/>
      <c r="M343" s="35"/>
      <c r="N343" s="35"/>
      <c r="Q343" s="35"/>
      <c r="S343" s="35"/>
      <c r="U343" s="35"/>
    </row>
    <row r="344" spans="1:21" s="3" customFormat="1">
      <c r="A344" s="279"/>
      <c r="B344" s="279"/>
      <c r="K344" s="35"/>
      <c r="L344" s="35"/>
      <c r="M344" s="35"/>
      <c r="N344" s="35"/>
      <c r="Q344" s="35"/>
      <c r="S344" s="35"/>
      <c r="U344" s="35"/>
    </row>
    <row r="345" spans="1:21" s="3" customFormat="1">
      <c r="A345" s="279"/>
      <c r="B345" s="279"/>
      <c r="K345" s="35"/>
      <c r="L345" s="35"/>
      <c r="M345" s="35"/>
      <c r="N345" s="35"/>
      <c r="Q345" s="35"/>
      <c r="S345" s="35"/>
      <c r="U345" s="35"/>
    </row>
    <row r="346" spans="1:21" s="3" customFormat="1">
      <c r="A346" s="279"/>
      <c r="B346" s="279"/>
      <c r="K346" s="35"/>
      <c r="L346" s="35"/>
      <c r="M346" s="35"/>
      <c r="N346" s="35"/>
      <c r="Q346" s="35"/>
      <c r="S346" s="35"/>
      <c r="U346" s="35"/>
    </row>
    <row r="347" spans="1:21" s="3" customFormat="1">
      <c r="A347" s="279"/>
      <c r="B347" s="279"/>
      <c r="K347" s="35"/>
      <c r="L347" s="35"/>
      <c r="M347" s="35"/>
      <c r="N347" s="35"/>
      <c r="Q347" s="35"/>
      <c r="S347" s="35"/>
      <c r="U347" s="35"/>
    </row>
    <row r="348" spans="1:21" s="3" customFormat="1">
      <c r="A348" s="279"/>
      <c r="B348" s="279"/>
      <c r="K348" s="35"/>
      <c r="L348" s="35"/>
      <c r="M348" s="35"/>
      <c r="N348" s="35"/>
      <c r="Q348" s="35"/>
      <c r="S348" s="35"/>
      <c r="U348" s="35"/>
    </row>
    <row r="349" spans="1:21" s="3" customFormat="1">
      <c r="A349" s="279"/>
      <c r="B349" s="279"/>
      <c r="K349" s="35"/>
      <c r="L349" s="35"/>
      <c r="M349" s="35"/>
      <c r="N349" s="35"/>
      <c r="Q349" s="35"/>
      <c r="S349" s="35"/>
      <c r="U349" s="35"/>
    </row>
    <row r="350" spans="1:21" s="3" customFormat="1">
      <c r="A350" s="279"/>
      <c r="B350" s="279"/>
      <c r="K350" s="35"/>
      <c r="L350" s="35"/>
      <c r="M350" s="35"/>
      <c r="N350" s="35"/>
      <c r="Q350" s="35"/>
      <c r="S350" s="35"/>
      <c r="U350" s="35"/>
    </row>
    <row r="351" spans="1:21" s="3" customFormat="1">
      <c r="A351" s="279"/>
      <c r="B351" s="279"/>
      <c r="K351" s="35"/>
      <c r="L351" s="35"/>
      <c r="M351" s="35"/>
      <c r="N351" s="35"/>
      <c r="Q351" s="35"/>
      <c r="S351" s="35"/>
      <c r="U351" s="35"/>
    </row>
    <row r="352" spans="1:21" s="3" customFormat="1">
      <c r="A352" s="279"/>
      <c r="B352" s="279"/>
      <c r="K352" s="35"/>
      <c r="L352" s="35"/>
      <c r="M352" s="35"/>
      <c r="N352" s="35"/>
      <c r="Q352" s="35"/>
      <c r="S352" s="35"/>
      <c r="U352" s="35"/>
    </row>
    <row r="353" spans="1:21" s="3" customFormat="1">
      <c r="A353" s="279"/>
      <c r="B353" s="279"/>
      <c r="K353" s="35"/>
      <c r="L353" s="35"/>
      <c r="M353" s="35"/>
      <c r="N353" s="35"/>
      <c r="Q353" s="35"/>
      <c r="S353" s="35"/>
      <c r="U353" s="35"/>
    </row>
    <row r="354" spans="1:21" s="3" customFormat="1">
      <c r="A354" s="279"/>
      <c r="B354" s="279"/>
      <c r="K354" s="35"/>
      <c r="L354" s="35"/>
      <c r="M354" s="35"/>
      <c r="N354" s="35"/>
      <c r="Q354" s="35"/>
      <c r="S354" s="35"/>
      <c r="U354" s="35"/>
    </row>
    <row r="355" spans="1:21" s="3" customFormat="1">
      <c r="A355" s="279"/>
      <c r="B355" s="279"/>
      <c r="K355" s="35"/>
      <c r="L355" s="35"/>
      <c r="M355" s="35"/>
      <c r="N355" s="35"/>
      <c r="Q355" s="35"/>
      <c r="S355" s="35"/>
      <c r="U355" s="35"/>
    </row>
    <row r="356" spans="1:21" s="3" customFormat="1">
      <c r="A356" s="279"/>
      <c r="B356" s="279"/>
      <c r="K356" s="35"/>
      <c r="L356" s="35"/>
      <c r="M356" s="35"/>
      <c r="N356" s="35"/>
      <c r="Q356" s="35"/>
      <c r="S356" s="35"/>
      <c r="U356" s="35"/>
    </row>
    <row r="357" spans="1:21" s="3" customFormat="1">
      <c r="A357" s="279"/>
      <c r="B357" s="279"/>
      <c r="K357" s="35"/>
      <c r="L357" s="35"/>
      <c r="M357" s="35"/>
      <c r="N357" s="35"/>
      <c r="Q357" s="35"/>
      <c r="S357" s="35"/>
      <c r="U357" s="35"/>
    </row>
    <row r="358" spans="1:21" s="3" customFormat="1">
      <c r="A358" s="279"/>
      <c r="B358" s="279"/>
      <c r="K358" s="35"/>
      <c r="L358" s="35"/>
      <c r="M358" s="35"/>
      <c r="N358" s="35"/>
      <c r="Q358" s="35"/>
      <c r="S358" s="35"/>
      <c r="U358" s="35"/>
    </row>
    <row r="359" spans="1:21" s="3" customFormat="1">
      <c r="A359" s="279"/>
      <c r="B359" s="279"/>
      <c r="K359" s="35"/>
      <c r="L359" s="35"/>
      <c r="M359" s="35"/>
      <c r="N359" s="35"/>
      <c r="Q359" s="35"/>
      <c r="S359" s="35"/>
      <c r="U359" s="35"/>
    </row>
    <row r="360" spans="1:21" s="3" customFormat="1">
      <c r="A360" s="279"/>
      <c r="B360" s="279"/>
      <c r="K360" s="35"/>
      <c r="L360" s="35"/>
      <c r="M360" s="35"/>
      <c r="N360" s="35"/>
      <c r="Q360" s="35"/>
      <c r="S360" s="35"/>
      <c r="U360" s="35"/>
    </row>
    <row r="361" spans="1:21" s="3" customFormat="1">
      <c r="A361" s="279"/>
      <c r="B361" s="279"/>
      <c r="K361" s="35"/>
      <c r="L361" s="35"/>
      <c r="M361" s="35"/>
      <c r="N361" s="35"/>
      <c r="Q361" s="35"/>
      <c r="S361" s="35"/>
      <c r="U361" s="35"/>
    </row>
    <row r="362" spans="1:21" s="3" customFormat="1">
      <c r="A362" s="279"/>
      <c r="B362" s="279"/>
      <c r="K362" s="35"/>
      <c r="L362" s="35"/>
      <c r="M362" s="35"/>
      <c r="N362" s="35"/>
      <c r="Q362" s="35"/>
      <c r="S362" s="35"/>
      <c r="U362" s="35"/>
    </row>
    <row r="363" spans="1:21" s="3" customFormat="1">
      <c r="A363" s="279"/>
      <c r="B363" s="279"/>
      <c r="K363" s="35"/>
      <c r="L363" s="35"/>
      <c r="M363" s="35"/>
      <c r="N363" s="35"/>
      <c r="Q363" s="35"/>
      <c r="S363" s="35"/>
      <c r="U363" s="35"/>
    </row>
    <row r="364" spans="1:21" s="3" customFormat="1">
      <c r="A364" s="279"/>
      <c r="B364" s="279"/>
      <c r="K364" s="35"/>
      <c r="L364" s="35"/>
      <c r="M364" s="35"/>
      <c r="N364" s="35"/>
      <c r="Q364" s="35"/>
      <c r="S364" s="35"/>
      <c r="U364" s="35"/>
    </row>
    <row r="365" spans="1:21" s="3" customFormat="1">
      <c r="A365" s="279"/>
      <c r="B365" s="279"/>
      <c r="K365" s="35"/>
      <c r="L365" s="35"/>
      <c r="M365" s="35"/>
      <c r="N365" s="35"/>
      <c r="Q365" s="35"/>
      <c r="S365" s="35"/>
      <c r="U365" s="35"/>
    </row>
    <row r="366" spans="1:21" s="3" customFormat="1">
      <c r="A366" s="279"/>
      <c r="B366" s="279"/>
      <c r="K366" s="35"/>
      <c r="L366" s="35"/>
      <c r="M366" s="35"/>
      <c r="N366" s="35"/>
      <c r="Q366" s="35"/>
      <c r="S366" s="35"/>
      <c r="U366" s="35"/>
    </row>
    <row r="367" spans="1:21" s="3" customFormat="1">
      <c r="A367" s="279"/>
      <c r="B367" s="279"/>
      <c r="K367" s="35"/>
      <c r="L367" s="35"/>
      <c r="M367" s="35"/>
      <c r="N367" s="35"/>
      <c r="Q367" s="35"/>
      <c r="S367" s="35"/>
      <c r="U367" s="35"/>
    </row>
    <row r="368" spans="1:21" s="3" customFormat="1">
      <c r="A368" s="279"/>
      <c r="B368" s="279"/>
      <c r="K368" s="35"/>
      <c r="L368" s="35"/>
      <c r="M368" s="35"/>
      <c r="N368" s="35"/>
      <c r="Q368" s="35"/>
      <c r="S368" s="35"/>
      <c r="U368" s="35"/>
    </row>
    <row r="369" spans="1:21" s="3" customFormat="1">
      <c r="A369" s="279"/>
      <c r="B369" s="279"/>
      <c r="K369" s="35"/>
      <c r="L369" s="35"/>
      <c r="M369" s="35"/>
      <c r="N369" s="35"/>
      <c r="Q369" s="35"/>
      <c r="S369" s="35"/>
      <c r="U369" s="35"/>
    </row>
    <row r="370" spans="1:21" s="3" customFormat="1">
      <c r="A370" s="279"/>
      <c r="B370" s="279"/>
      <c r="K370" s="35"/>
      <c r="L370" s="35"/>
      <c r="M370" s="35"/>
      <c r="N370" s="35"/>
      <c r="Q370" s="35"/>
      <c r="S370" s="35"/>
      <c r="U370" s="35"/>
    </row>
    <row r="371" spans="1:21" s="3" customFormat="1">
      <c r="A371" s="279"/>
      <c r="B371" s="279"/>
      <c r="K371" s="35"/>
      <c r="L371" s="35"/>
      <c r="M371" s="35"/>
      <c r="N371" s="35"/>
      <c r="Q371" s="35"/>
      <c r="S371" s="35"/>
      <c r="U371" s="35"/>
    </row>
    <row r="372" spans="1:21" s="3" customFormat="1">
      <c r="A372" s="279"/>
      <c r="B372" s="279"/>
      <c r="K372" s="35"/>
      <c r="L372" s="35"/>
      <c r="M372" s="35"/>
      <c r="N372" s="35"/>
      <c r="Q372" s="35"/>
      <c r="S372" s="35"/>
      <c r="U372" s="35"/>
    </row>
    <row r="373" spans="1:21" s="3" customFormat="1">
      <c r="A373" s="279"/>
      <c r="B373" s="279"/>
      <c r="K373" s="35"/>
      <c r="L373" s="35"/>
      <c r="M373" s="35"/>
      <c r="N373" s="35"/>
      <c r="Q373" s="35"/>
      <c r="S373" s="35"/>
      <c r="U373" s="35"/>
    </row>
    <row r="374" spans="1:21" s="3" customFormat="1">
      <c r="A374" s="279"/>
      <c r="B374" s="279"/>
      <c r="K374" s="35"/>
      <c r="L374" s="35"/>
      <c r="M374" s="35"/>
      <c r="N374" s="35"/>
      <c r="Q374" s="35"/>
      <c r="S374" s="35"/>
      <c r="U374" s="35"/>
    </row>
    <row r="375" spans="1:21" s="3" customFormat="1">
      <c r="A375" s="279"/>
      <c r="B375" s="279"/>
      <c r="K375" s="35"/>
      <c r="L375" s="35"/>
      <c r="M375" s="35"/>
      <c r="N375" s="35"/>
      <c r="Q375" s="35"/>
      <c r="S375" s="35"/>
      <c r="U375" s="35"/>
    </row>
    <row r="376" spans="1:21" s="3" customFormat="1">
      <c r="A376" s="279"/>
      <c r="B376" s="279"/>
      <c r="K376" s="35"/>
      <c r="L376" s="35"/>
      <c r="M376" s="35"/>
      <c r="N376" s="35"/>
      <c r="Q376" s="35"/>
      <c r="S376" s="35"/>
      <c r="U376" s="35"/>
    </row>
    <row r="377" spans="1:21" s="3" customFormat="1">
      <c r="A377" s="279"/>
      <c r="B377" s="279"/>
      <c r="K377" s="35"/>
      <c r="L377" s="35"/>
      <c r="M377" s="35"/>
      <c r="N377" s="35"/>
      <c r="Q377" s="35"/>
      <c r="S377" s="35"/>
      <c r="U377" s="35"/>
    </row>
    <row r="378" spans="1:21" s="3" customFormat="1">
      <c r="A378" s="279"/>
      <c r="B378" s="279"/>
      <c r="K378" s="35"/>
      <c r="L378" s="35"/>
      <c r="M378" s="35"/>
      <c r="N378" s="35"/>
      <c r="Q378" s="35"/>
      <c r="S378" s="35"/>
      <c r="U378" s="35"/>
    </row>
    <row r="379" spans="1:21" s="3" customFormat="1">
      <c r="A379" s="279"/>
      <c r="B379" s="279"/>
      <c r="K379" s="35"/>
      <c r="L379" s="35"/>
      <c r="M379" s="35"/>
      <c r="N379" s="35"/>
      <c r="Q379" s="35"/>
      <c r="S379" s="35"/>
      <c r="U379" s="35"/>
    </row>
    <row r="380" spans="1:21" s="3" customFormat="1">
      <c r="A380" s="279"/>
      <c r="B380" s="279"/>
      <c r="K380" s="35"/>
      <c r="L380" s="35"/>
      <c r="M380" s="35"/>
      <c r="N380" s="35"/>
      <c r="Q380" s="35"/>
      <c r="S380" s="35"/>
      <c r="U380" s="35"/>
    </row>
    <row r="381" spans="1:21" s="3" customFormat="1">
      <c r="A381" s="279"/>
      <c r="B381" s="279"/>
      <c r="K381" s="35"/>
      <c r="L381" s="35"/>
      <c r="M381" s="35"/>
      <c r="N381" s="35"/>
      <c r="Q381" s="35"/>
      <c r="S381" s="35"/>
      <c r="U381" s="35"/>
    </row>
    <row r="382" spans="1:21" s="3" customFormat="1">
      <c r="A382" s="279"/>
      <c r="B382" s="279"/>
      <c r="K382" s="35"/>
      <c r="L382" s="35"/>
      <c r="M382" s="35"/>
      <c r="N382" s="35"/>
      <c r="Q382" s="35"/>
      <c r="S382" s="35"/>
      <c r="U382" s="35"/>
    </row>
    <row r="383" spans="1:21" s="3" customFormat="1">
      <c r="A383" s="279"/>
      <c r="B383" s="279"/>
      <c r="K383" s="35"/>
      <c r="L383" s="35"/>
      <c r="M383" s="35"/>
      <c r="N383" s="35"/>
      <c r="Q383" s="35"/>
      <c r="S383" s="35"/>
      <c r="U383" s="35"/>
    </row>
    <row r="384" spans="1:21" s="3" customFormat="1">
      <c r="A384" s="279"/>
      <c r="B384" s="279"/>
      <c r="K384" s="35"/>
      <c r="L384" s="35"/>
      <c r="M384" s="35"/>
      <c r="N384" s="35"/>
      <c r="Q384" s="35"/>
      <c r="S384" s="35"/>
      <c r="U384" s="35"/>
    </row>
    <row r="385" spans="1:21" s="3" customFormat="1">
      <c r="A385" s="279"/>
      <c r="B385" s="279"/>
      <c r="K385" s="35"/>
      <c r="L385" s="35"/>
      <c r="M385" s="35"/>
      <c r="N385" s="35"/>
      <c r="Q385" s="35"/>
      <c r="S385" s="35"/>
      <c r="U385" s="35"/>
    </row>
    <row r="386" spans="1:21" s="3" customFormat="1">
      <c r="A386" s="279"/>
      <c r="B386" s="279"/>
      <c r="K386" s="35"/>
      <c r="L386" s="35"/>
      <c r="M386" s="35"/>
      <c r="N386" s="35"/>
      <c r="Q386" s="35"/>
      <c r="S386" s="35"/>
      <c r="U386" s="35"/>
    </row>
    <row r="387" spans="1:21" s="3" customFormat="1">
      <c r="A387" s="279"/>
      <c r="B387" s="279"/>
      <c r="K387" s="35"/>
      <c r="L387" s="35"/>
      <c r="M387" s="35"/>
      <c r="N387" s="35"/>
      <c r="Q387" s="35"/>
      <c r="S387" s="35"/>
      <c r="U387" s="35"/>
    </row>
    <row r="388" spans="1:21" s="3" customFormat="1">
      <c r="A388" s="279"/>
      <c r="B388" s="279"/>
      <c r="K388" s="35"/>
      <c r="L388" s="35"/>
      <c r="M388" s="35"/>
      <c r="N388" s="35"/>
      <c r="Q388" s="35"/>
      <c r="S388" s="35"/>
      <c r="U388" s="35"/>
    </row>
    <row r="389" spans="1:21" s="3" customFormat="1">
      <c r="A389" s="279"/>
      <c r="B389" s="279"/>
      <c r="K389" s="35"/>
      <c r="L389" s="35"/>
      <c r="M389" s="35"/>
      <c r="N389" s="35"/>
      <c r="Q389" s="35"/>
      <c r="S389" s="35"/>
      <c r="U389" s="35"/>
    </row>
    <row r="390" spans="1:21" s="3" customFormat="1">
      <c r="A390" s="279"/>
      <c r="B390" s="279"/>
      <c r="K390" s="35"/>
      <c r="L390" s="35"/>
      <c r="M390" s="35"/>
      <c r="N390" s="35"/>
      <c r="Q390" s="35"/>
      <c r="S390" s="35"/>
      <c r="U390" s="35"/>
    </row>
    <row r="391" spans="1:21" s="3" customFormat="1">
      <c r="A391" s="279"/>
      <c r="B391" s="279"/>
      <c r="K391" s="35"/>
      <c r="L391" s="35"/>
      <c r="M391" s="35"/>
      <c r="N391" s="35"/>
      <c r="Q391" s="35"/>
      <c r="S391" s="35"/>
      <c r="U391" s="35"/>
    </row>
    <row r="392" spans="1:21" s="3" customFormat="1">
      <c r="A392" s="279"/>
      <c r="B392" s="279"/>
      <c r="K392" s="35"/>
      <c r="L392" s="35"/>
      <c r="M392" s="35"/>
      <c r="N392" s="35"/>
      <c r="Q392" s="35"/>
      <c r="S392" s="35"/>
      <c r="U392" s="35"/>
    </row>
    <row r="393" spans="1:21" s="3" customFormat="1">
      <c r="A393" s="279"/>
      <c r="B393" s="279"/>
      <c r="K393" s="35"/>
      <c r="L393" s="35"/>
      <c r="M393" s="35"/>
      <c r="N393" s="35"/>
      <c r="Q393" s="35"/>
      <c r="S393" s="35"/>
      <c r="U393" s="35"/>
    </row>
    <row r="394" spans="1:21" s="3" customFormat="1">
      <c r="A394" s="279"/>
      <c r="B394" s="279"/>
      <c r="K394" s="35"/>
      <c r="L394" s="35"/>
      <c r="M394" s="35"/>
      <c r="N394" s="35"/>
      <c r="Q394" s="35"/>
      <c r="S394" s="35"/>
      <c r="U394" s="35"/>
    </row>
    <row r="395" spans="1:21" s="3" customFormat="1">
      <c r="A395" s="279"/>
      <c r="B395" s="279"/>
      <c r="K395" s="35"/>
      <c r="L395" s="35"/>
      <c r="M395" s="35"/>
      <c r="N395" s="35"/>
      <c r="Q395" s="35"/>
      <c r="S395" s="35"/>
      <c r="U395" s="35"/>
    </row>
    <row r="396" spans="1:21" s="3" customFormat="1">
      <c r="A396" s="279"/>
      <c r="B396" s="279"/>
      <c r="K396" s="35"/>
      <c r="L396" s="35"/>
      <c r="M396" s="35"/>
      <c r="N396" s="35"/>
      <c r="Q396" s="35"/>
      <c r="S396" s="35"/>
      <c r="U396" s="35"/>
    </row>
    <row r="397" spans="1:21" s="3" customFormat="1">
      <c r="A397" s="279"/>
      <c r="B397" s="279"/>
      <c r="K397" s="35"/>
      <c r="L397" s="35"/>
      <c r="M397" s="35"/>
      <c r="N397" s="35"/>
      <c r="Q397" s="35"/>
      <c r="S397" s="35"/>
      <c r="U397" s="35"/>
    </row>
    <row r="398" spans="1:21" s="3" customFormat="1">
      <c r="A398" s="279"/>
      <c r="B398" s="279"/>
      <c r="K398" s="35"/>
      <c r="L398" s="35"/>
      <c r="M398" s="35"/>
      <c r="N398" s="35"/>
      <c r="Q398" s="35"/>
      <c r="S398" s="35"/>
      <c r="U398" s="35"/>
    </row>
    <row r="399" spans="1:21" s="3" customFormat="1">
      <c r="A399" s="279"/>
      <c r="B399" s="279"/>
      <c r="K399" s="35"/>
      <c r="L399" s="35"/>
      <c r="M399" s="35"/>
      <c r="N399" s="35"/>
      <c r="Q399" s="35"/>
      <c r="S399" s="35"/>
      <c r="U399" s="35"/>
    </row>
    <row r="400" spans="1:21" s="3" customFormat="1">
      <c r="A400" s="279"/>
      <c r="B400" s="279"/>
      <c r="K400" s="35"/>
      <c r="L400" s="35"/>
      <c r="M400" s="35"/>
      <c r="N400" s="35"/>
      <c r="Q400" s="35"/>
      <c r="S400" s="35"/>
      <c r="U400" s="35"/>
    </row>
    <row r="401" spans="1:21" s="3" customFormat="1">
      <c r="A401" s="279"/>
      <c r="B401" s="279"/>
      <c r="K401" s="35"/>
      <c r="L401" s="35"/>
      <c r="M401" s="35"/>
      <c r="N401" s="35"/>
      <c r="Q401" s="35"/>
      <c r="S401" s="35"/>
      <c r="U401" s="35"/>
    </row>
    <row r="402" spans="1:21" s="3" customFormat="1">
      <c r="A402" s="279"/>
      <c r="B402" s="279"/>
      <c r="K402" s="35"/>
      <c r="L402" s="35"/>
      <c r="M402" s="35"/>
      <c r="N402" s="35"/>
      <c r="Q402" s="35"/>
      <c r="S402" s="35"/>
      <c r="U402" s="35"/>
    </row>
    <row r="403" spans="1:21" s="3" customFormat="1">
      <c r="A403" s="279"/>
      <c r="B403" s="279"/>
      <c r="K403" s="35"/>
      <c r="L403" s="35"/>
      <c r="M403" s="35"/>
      <c r="N403" s="35"/>
      <c r="Q403" s="35"/>
      <c r="S403" s="35"/>
      <c r="U403" s="35"/>
    </row>
    <row r="404" spans="1:21" s="3" customFormat="1">
      <c r="A404" s="279"/>
      <c r="B404" s="279"/>
      <c r="K404" s="35"/>
      <c r="L404" s="35"/>
      <c r="M404" s="35"/>
      <c r="N404" s="35"/>
      <c r="Q404" s="35"/>
      <c r="S404" s="35"/>
      <c r="U404" s="35"/>
    </row>
    <row r="405" spans="1:21" s="3" customFormat="1">
      <c r="A405" s="279"/>
      <c r="B405" s="279"/>
      <c r="K405" s="35"/>
      <c r="L405" s="35"/>
      <c r="M405" s="35"/>
      <c r="N405" s="35"/>
      <c r="Q405" s="35"/>
      <c r="S405" s="35"/>
      <c r="U405" s="35"/>
    </row>
    <row r="406" spans="1:21" s="3" customFormat="1">
      <c r="A406" s="279"/>
      <c r="B406" s="279"/>
      <c r="K406" s="35"/>
      <c r="L406" s="35"/>
      <c r="M406" s="35"/>
      <c r="N406" s="35"/>
      <c r="Q406" s="35"/>
      <c r="S406" s="35"/>
      <c r="U406" s="35"/>
    </row>
    <row r="407" spans="1:21" s="3" customFormat="1">
      <c r="A407" s="279"/>
      <c r="B407" s="279"/>
      <c r="K407" s="35"/>
      <c r="L407" s="35"/>
      <c r="M407" s="35"/>
      <c r="N407" s="35"/>
      <c r="Q407" s="35"/>
      <c r="S407" s="35"/>
      <c r="U407" s="35"/>
    </row>
    <row r="408" spans="1:21" s="3" customFormat="1">
      <c r="A408" s="279"/>
      <c r="B408" s="279"/>
      <c r="K408" s="35"/>
      <c r="L408" s="35"/>
      <c r="M408" s="35"/>
      <c r="N408" s="35"/>
      <c r="Q408" s="35"/>
      <c r="S408" s="35"/>
      <c r="U408" s="35"/>
    </row>
    <row r="409" spans="1:21" s="3" customFormat="1">
      <c r="A409" s="279"/>
      <c r="B409" s="279"/>
      <c r="K409" s="35"/>
      <c r="L409" s="35"/>
      <c r="M409" s="35"/>
      <c r="N409" s="35"/>
      <c r="Q409" s="35"/>
      <c r="S409" s="35"/>
      <c r="U409" s="35"/>
    </row>
    <row r="410" spans="1:21" s="3" customFormat="1">
      <c r="A410" s="279"/>
      <c r="B410" s="279"/>
      <c r="K410" s="35"/>
      <c r="L410" s="35"/>
      <c r="M410" s="35"/>
      <c r="N410" s="35"/>
      <c r="Q410" s="35"/>
      <c r="S410" s="35"/>
      <c r="U410" s="35"/>
    </row>
    <row r="411" spans="1:21" s="3" customFormat="1">
      <c r="A411" s="279"/>
      <c r="B411" s="279"/>
      <c r="K411" s="35"/>
      <c r="L411" s="35"/>
      <c r="M411" s="35"/>
      <c r="N411" s="35"/>
      <c r="Q411" s="35"/>
      <c r="S411" s="35"/>
      <c r="U411" s="35"/>
    </row>
    <row r="412" spans="1:21" s="3" customFormat="1">
      <c r="A412" s="279"/>
      <c r="B412" s="279"/>
      <c r="K412" s="35"/>
      <c r="L412" s="35"/>
      <c r="M412" s="35"/>
      <c r="N412" s="35"/>
      <c r="Q412" s="35"/>
      <c r="S412" s="35"/>
      <c r="U412" s="35"/>
    </row>
    <row r="413" spans="1:21" s="3" customFormat="1">
      <c r="A413" s="279"/>
      <c r="B413" s="279"/>
      <c r="K413" s="35"/>
      <c r="L413" s="35"/>
      <c r="M413" s="35"/>
      <c r="N413" s="35"/>
      <c r="Q413" s="35"/>
      <c r="S413" s="35"/>
      <c r="U413" s="35"/>
    </row>
    <row r="414" spans="1:21" s="3" customFormat="1">
      <c r="A414" s="279"/>
      <c r="B414" s="279"/>
      <c r="K414" s="35"/>
      <c r="L414" s="35"/>
      <c r="M414" s="35"/>
      <c r="N414" s="35"/>
      <c r="Q414" s="35"/>
      <c r="S414" s="35"/>
      <c r="U414" s="35"/>
    </row>
    <row r="415" spans="1:21" s="3" customFormat="1">
      <c r="A415" s="279"/>
      <c r="B415" s="279"/>
      <c r="K415" s="35"/>
      <c r="L415" s="35"/>
      <c r="M415" s="35"/>
      <c r="N415" s="35"/>
      <c r="Q415" s="35"/>
      <c r="S415" s="35"/>
      <c r="U415" s="35"/>
    </row>
    <row r="416" spans="1:21" s="3" customFormat="1">
      <c r="A416" s="279"/>
      <c r="B416" s="279"/>
      <c r="K416" s="35"/>
      <c r="L416" s="35"/>
      <c r="M416" s="35"/>
      <c r="N416" s="35"/>
      <c r="Q416" s="35"/>
      <c r="S416" s="35"/>
      <c r="U416" s="35"/>
    </row>
    <row r="417" spans="1:21" s="3" customFormat="1">
      <c r="A417" s="279"/>
      <c r="B417" s="279"/>
      <c r="K417" s="35"/>
      <c r="L417" s="35"/>
      <c r="M417" s="35"/>
      <c r="N417" s="35"/>
      <c r="Q417" s="35"/>
      <c r="S417" s="35"/>
      <c r="U417" s="35"/>
    </row>
    <row r="418" spans="1:21" s="3" customFormat="1">
      <c r="A418" s="279"/>
      <c r="B418" s="279"/>
      <c r="K418" s="35"/>
      <c r="L418" s="35"/>
      <c r="M418" s="35"/>
      <c r="N418" s="35"/>
      <c r="Q418" s="35"/>
      <c r="S418" s="35"/>
      <c r="U418" s="35"/>
    </row>
    <row r="419" spans="1:21" s="3" customFormat="1">
      <c r="A419" s="279"/>
      <c r="B419" s="279"/>
      <c r="K419" s="35"/>
      <c r="L419" s="35"/>
      <c r="M419" s="35"/>
      <c r="N419" s="35"/>
      <c r="Q419" s="35"/>
      <c r="S419" s="35"/>
      <c r="U419" s="35"/>
    </row>
    <row r="420" spans="1:21" s="3" customFormat="1">
      <c r="A420" s="279"/>
      <c r="B420" s="279"/>
      <c r="K420" s="35"/>
      <c r="L420" s="35"/>
      <c r="M420" s="35"/>
      <c r="N420" s="35"/>
      <c r="Q420" s="35"/>
      <c r="S420" s="35"/>
      <c r="U420" s="35"/>
    </row>
    <row r="421" spans="1:21" s="3" customFormat="1">
      <c r="A421" s="279"/>
      <c r="B421" s="279"/>
      <c r="K421" s="35"/>
      <c r="L421" s="35"/>
      <c r="M421" s="35"/>
      <c r="N421" s="35"/>
      <c r="Q421" s="35"/>
      <c r="S421" s="35"/>
      <c r="U421" s="35"/>
    </row>
    <row r="422" spans="1:21" s="3" customFormat="1">
      <c r="A422" s="279"/>
      <c r="B422" s="279"/>
      <c r="K422" s="35"/>
      <c r="L422" s="35"/>
      <c r="M422" s="35"/>
      <c r="N422" s="35"/>
      <c r="Q422" s="35"/>
      <c r="S422" s="35"/>
      <c r="U422" s="35"/>
    </row>
    <row r="423" spans="1:21" s="3" customFormat="1">
      <c r="A423" s="279"/>
      <c r="B423" s="279"/>
      <c r="K423" s="35"/>
      <c r="L423" s="35"/>
      <c r="M423" s="35"/>
      <c r="N423" s="35"/>
      <c r="Q423" s="35"/>
      <c r="S423" s="35"/>
      <c r="U423" s="35"/>
    </row>
    <row r="424" spans="1:21" s="3" customFormat="1">
      <c r="A424" s="279"/>
      <c r="B424" s="279"/>
      <c r="K424" s="35"/>
      <c r="L424" s="35"/>
      <c r="M424" s="35"/>
      <c r="N424" s="35"/>
      <c r="Q424" s="35"/>
      <c r="S424" s="35"/>
      <c r="U424" s="35"/>
    </row>
    <row r="425" spans="1:21" s="3" customFormat="1">
      <c r="A425" s="279"/>
      <c r="B425" s="279"/>
      <c r="K425" s="35"/>
      <c r="L425" s="35"/>
      <c r="M425" s="35"/>
      <c r="N425" s="35"/>
      <c r="Q425" s="35"/>
      <c r="S425" s="35"/>
      <c r="U425" s="35"/>
    </row>
    <row r="426" spans="1:21" s="3" customFormat="1">
      <c r="A426" s="279"/>
      <c r="B426" s="279"/>
      <c r="K426" s="35"/>
      <c r="L426" s="35"/>
      <c r="M426" s="35"/>
      <c r="N426" s="35"/>
      <c r="Q426" s="35"/>
      <c r="S426" s="35"/>
      <c r="U426" s="35"/>
    </row>
    <row r="427" spans="1:21" s="3" customFormat="1">
      <c r="A427" s="279"/>
      <c r="B427" s="279"/>
      <c r="K427" s="35"/>
      <c r="L427" s="35"/>
      <c r="M427" s="35"/>
      <c r="N427" s="35"/>
      <c r="Q427" s="35"/>
      <c r="S427" s="35"/>
      <c r="U427" s="35"/>
    </row>
    <row r="428" spans="1:21" s="3" customFormat="1">
      <c r="A428" s="279"/>
      <c r="B428" s="279"/>
      <c r="K428" s="35"/>
      <c r="L428" s="35"/>
      <c r="M428" s="35"/>
      <c r="N428" s="35"/>
      <c r="Q428" s="35"/>
      <c r="S428" s="35"/>
      <c r="U428" s="35"/>
    </row>
    <row r="429" spans="1:21" s="3" customFormat="1">
      <c r="A429" s="279"/>
      <c r="B429" s="279"/>
      <c r="K429" s="35"/>
      <c r="L429" s="35"/>
      <c r="M429" s="35"/>
      <c r="N429" s="35"/>
      <c r="Q429" s="35"/>
      <c r="S429" s="35"/>
      <c r="U429" s="35"/>
    </row>
    <row r="430" spans="1:21" s="3" customFormat="1">
      <c r="A430" s="279"/>
      <c r="B430" s="279"/>
      <c r="K430" s="35"/>
      <c r="L430" s="35"/>
      <c r="M430" s="35"/>
      <c r="N430" s="35"/>
      <c r="Q430" s="35"/>
      <c r="S430" s="35"/>
      <c r="U430" s="35"/>
    </row>
    <row r="431" spans="1:21" s="3" customFormat="1">
      <c r="A431" s="279"/>
      <c r="B431" s="279"/>
      <c r="K431" s="35"/>
      <c r="L431" s="35"/>
      <c r="M431" s="35"/>
      <c r="N431" s="35"/>
      <c r="Q431" s="35"/>
      <c r="S431" s="35"/>
      <c r="U431" s="35"/>
    </row>
    <row r="432" spans="1:21" s="3" customFormat="1">
      <c r="A432" s="279"/>
      <c r="B432" s="279"/>
      <c r="K432" s="35"/>
      <c r="L432" s="35"/>
      <c r="M432" s="35"/>
      <c r="N432" s="35"/>
      <c r="Q432" s="35"/>
      <c r="S432" s="35"/>
      <c r="U432" s="35"/>
    </row>
    <row r="433" spans="1:21" s="3" customFormat="1">
      <c r="A433" s="279"/>
      <c r="B433" s="279"/>
      <c r="K433" s="35"/>
      <c r="L433" s="35"/>
      <c r="M433" s="35"/>
      <c r="N433" s="35"/>
      <c r="Q433" s="35"/>
      <c r="S433" s="35"/>
      <c r="U433" s="35"/>
    </row>
    <row r="434" spans="1:21" s="3" customFormat="1">
      <c r="A434" s="279"/>
      <c r="B434" s="279"/>
      <c r="K434" s="35"/>
      <c r="L434" s="35"/>
      <c r="M434" s="35"/>
      <c r="N434" s="35"/>
      <c r="Q434" s="35"/>
      <c r="S434" s="35"/>
      <c r="U434" s="35"/>
    </row>
    <row r="435" spans="1:21" s="3" customFormat="1">
      <c r="A435" s="279"/>
      <c r="B435" s="279"/>
      <c r="K435" s="35"/>
      <c r="L435" s="35"/>
      <c r="M435" s="35"/>
      <c r="N435" s="35"/>
      <c r="Q435" s="35"/>
      <c r="S435" s="35"/>
      <c r="U435" s="35"/>
    </row>
    <row r="436" spans="1:21" s="3" customFormat="1">
      <c r="A436" s="279"/>
      <c r="B436" s="279"/>
      <c r="K436" s="35"/>
      <c r="L436" s="35"/>
      <c r="M436" s="35"/>
      <c r="N436" s="35"/>
      <c r="Q436" s="35"/>
      <c r="S436" s="35"/>
      <c r="U436" s="35"/>
    </row>
    <row r="437" spans="1:21" s="3" customFormat="1">
      <c r="A437" s="279"/>
      <c r="B437" s="279"/>
      <c r="K437" s="35"/>
      <c r="L437" s="35"/>
      <c r="M437" s="35"/>
      <c r="N437" s="35"/>
      <c r="Q437" s="35"/>
      <c r="S437" s="35"/>
      <c r="U437" s="35"/>
    </row>
    <row r="438" spans="1:21" s="3" customFormat="1">
      <c r="A438" s="279"/>
      <c r="B438" s="279"/>
      <c r="K438" s="35"/>
      <c r="L438" s="35"/>
      <c r="M438" s="35"/>
      <c r="N438" s="35"/>
      <c r="Q438" s="35"/>
      <c r="S438" s="35"/>
      <c r="U438" s="35"/>
    </row>
    <row r="439" spans="1:21" s="3" customFormat="1">
      <c r="A439" s="279"/>
      <c r="B439" s="279"/>
      <c r="K439" s="35"/>
      <c r="L439" s="35"/>
      <c r="M439" s="35"/>
      <c r="N439" s="35"/>
      <c r="Q439" s="35"/>
      <c r="S439" s="35"/>
      <c r="U439" s="35"/>
    </row>
    <row r="440" spans="1:21" s="3" customFormat="1">
      <c r="A440" s="279"/>
      <c r="B440" s="279"/>
      <c r="K440" s="35"/>
      <c r="L440" s="35"/>
      <c r="M440" s="35"/>
      <c r="N440" s="35"/>
      <c r="Q440" s="35"/>
      <c r="S440" s="35"/>
      <c r="U440" s="35"/>
    </row>
    <row r="441" spans="1:21" s="3" customFormat="1">
      <c r="A441" s="279"/>
      <c r="B441" s="279"/>
      <c r="K441" s="35"/>
      <c r="L441" s="35"/>
      <c r="M441" s="35"/>
      <c r="N441" s="35"/>
      <c r="Q441" s="35"/>
      <c r="S441" s="35"/>
      <c r="U441" s="35"/>
    </row>
    <row r="442" spans="1:21" s="3" customFormat="1">
      <c r="A442" s="279"/>
      <c r="B442" s="279"/>
      <c r="K442" s="35"/>
      <c r="L442" s="35"/>
      <c r="M442" s="35"/>
      <c r="N442" s="35"/>
      <c r="Q442" s="35"/>
      <c r="S442" s="35"/>
      <c r="U442" s="35"/>
    </row>
    <row r="443" spans="1:21" s="3" customFormat="1">
      <c r="A443" s="279"/>
      <c r="B443" s="279"/>
      <c r="K443" s="35"/>
      <c r="L443" s="35"/>
      <c r="M443" s="35"/>
      <c r="N443" s="35"/>
      <c r="Q443" s="35"/>
      <c r="S443" s="35"/>
      <c r="U443" s="35"/>
    </row>
    <row r="444" spans="1:21" s="3" customFormat="1">
      <c r="A444" s="279"/>
      <c r="B444" s="279"/>
      <c r="K444" s="35"/>
      <c r="L444" s="35"/>
      <c r="M444" s="35"/>
      <c r="N444" s="35"/>
      <c r="Q444" s="35"/>
      <c r="S444" s="35"/>
      <c r="U444" s="35"/>
    </row>
    <row r="445" spans="1:21" s="3" customFormat="1">
      <c r="A445" s="279"/>
      <c r="B445" s="279"/>
      <c r="K445" s="35"/>
      <c r="L445" s="35"/>
      <c r="M445" s="35"/>
      <c r="N445" s="35"/>
      <c r="Q445" s="35"/>
      <c r="S445" s="35"/>
      <c r="U445" s="35"/>
    </row>
    <row r="446" spans="1:21" s="3" customFormat="1">
      <c r="A446" s="279"/>
      <c r="B446" s="279"/>
      <c r="K446" s="35"/>
      <c r="L446" s="35"/>
      <c r="M446" s="35"/>
      <c r="N446" s="35"/>
      <c r="Q446" s="35"/>
      <c r="S446" s="35"/>
      <c r="U446" s="35"/>
    </row>
    <row r="447" spans="1:21" s="3" customFormat="1">
      <c r="A447" s="279"/>
      <c r="B447" s="279"/>
      <c r="K447" s="35"/>
      <c r="L447" s="35"/>
      <c r="M447" s="35"/>
      <c r="N447" s="35"/>
      <c r="Q447" s="35"/>
      <c r="S447" s="35"/>
      <c r="U447" s="35"/>
    </row>
    <row r="448" spans="1:21" s="3" customFormat="1">
      <c r="A448" s="279"/>
      <c r="B448" s="279"/>
      <c r="K448" s="35"/>
      <c r="L448" s="35"/>
      <c r="M448" s="35"/>
      <c r="N448" s="35"/>
      <c r="Q448" s="35"/>
      <c r="S448" s="35"/>
      <c r="U448" s="35"/>
    </row>
    <row r="449" spans="1:21" s="3" customFormat="1">
      <c r="A449" s="279"/>
      <c r="B449" s="279"/>
      <c r="K449" s="35"/>
      <c r="L449" s="35"/>
      <c r="M449" s="35"/>
      <c r="N449" s="35"/>
      <c r="Q449" s="35"/>
      <c r="S449" s="35"/>
      <c r="U449" s="35"/>
    </row>
    <row r="450" spans="1:21" s="3" customFormat="1">
      <c r="A450" s="279"/>
      <c r="B450" s="279"/>
      <c r="K450" s="35"/>
      <c r="L450" s="35"/>
      <c r="M450" s="35"/>
      <c r="N450" s="35"/>
      <c r="Q450" s="35"/>
      <c r="S450" s="35"/>
      <c r="U450" s="35"/>
    </row>
    <row r="451" spans="1:21" s="3" customFormat="1">
      <c r="A451" s="279"/>
      <c r="B451" s="279"/>
      <c r="K451" s="35"/>
      <c r="L451" s="35"/>
      <c r="M451" s="35"/>
      <c r="N451" s="35"/>
      <c r="Q451" s="35"/>
      <c r="S451" s="35"/>
      <c r="U451" s="35"/>
    </row>
    <row r="452" spans="1:21" s="3" customFormat="1">
      <c r="A452" s="279"/>
      <c r="B452" s="279"/>
      <c r="K452" s="35"/>
      <c r="L452" s="35"/>
      <c r="M452" s="35"/>
      <c r="N452" s="35"/>
      <c r="Q452" s="35"/>
      <c r="S452" s="35"/>
      <c r="U452" s="35"/>
    </row>
    <row r="453" spans="1:21" s="3" customFormat="1">
      <c r="A453" s="279"/>
      <c r="B453" s="279"/>
      <c r="K453" s="35"/>
      <c r="L453" s="35"/>
      <c r="M453" s="35"/>
      <c r="N453" s="35"/>
      <c r="Q453" s="35"/>
      <c r="S453" s="35"/>
      <c r="U453" s="35"/>
    </row>
    <row r="454" spans="1:21" s="3" customFormat="1">
      <c r="A454" s="279"/>
      <c r="B454" s="279"/>
      <c r="K454" s="35"/>
      <c r="L454" s="35"/>
      <c r="M454" s="35"/>
      <c r="N454" s="35"/>
      <c r="Q454" s="35"/>
      <c r="S454" s="35"/>
      <c r="U454" s="35"/>
    </row>
    <row r="455" spans="1:21" s="3" customFormat="1">
      <c r="A455" s="279"/>
      <c r="B455" s="279"/>
      <c r="K455" s="35"/>
      <c r="L455" s="35"/>
      <c r="M455" s="35"/>
      <c r="N455" s="35"/>
      <c r="Q455" s="35"/>
      <c r="S455" s="35"/>
      <c r="U455" s="35"/>
    </row>
    <row r="456" spans="1:21" s="3" customFormat="1">
      <c r="A456" s="279"/>
      <c r="B456" s="279"/>
      <c r="K456" s="35"/>
      <c r="L456" s="35"/>
      <c r="M456" s="35"/>
      <c r="N456" s="35"/>
      <c r="Q456" s="35"/>
      <c r="S456" s="35"/>
      <c r="U456" s="35"/>
    </row>
    <row r="457" spans="1:21" s="3" customFormat="1">
      <c r="A457" s="279"/>
      <c r="B457" s="279"/>
      <c r="K457" s="35"/>
      <c r="L457" s="35"/>
      <c r="M457" s="35"/>
      <c r="N457" s="35"/>
      <c r="Q457" s="35"/>
      <c r="S457" s="35"/>
      <c r="U457" s="35"/>
    </row>
    <row r="458" spans="1:21" s="3" customFormat="1">
      <c r="A458" s="279"/>
      <c r="B458" s="279"/>
      <c r="K458" s="35"/>
      <c r="L458" s="35"/>
      <c r="M458" s="35"/>
      <c r="N458" s="35"/>
      <c r="Q458" s="35"/>
      <c r="S458" s="35"/>
      <c r="U458" s="35"/>
    </row>
    <row r="459" spans="1:21" s="3" customFormat="1">
      <c r="A459" s="279"/>
      <c r="B459" s="279"/>
      <c r="K459" s="35"/>
      <c r="L459" s="35"/>
      <c r="M459" s="35"/>
      <c r="N459" s="35"/>
      <c r="Q459" s="35"/>
      <c r="S459" s="35"/>
      <c r="U459" s="35"/>
    </row>
    <row r="460" spans="1:21" s="3" customFormat="1">
      <c r="A460" s="279"/>
      <c r="B460" s="279"/>
      <c r="K460" s="35"/>
      <c r="L460" s="35"/>
      <c r="M460" s="35"/>
      <c r="N460" s="35"/>
      <c r="Q460" s="35"/>
      <c r="S460" s="35"/>
      <c r="U460" s="35"/>
    </row>
    <row r="461" spans="1:21" s="3" customFormat="1">
      <c r="A461" s="279"/>
      <c r="B461" s="279"/>
      <c r="K461" s="35"/>
      <c r="L461" s="35"/>
      <c r="M461" s="35"/>
      <c r="N461" s="35"/>
      <c r="Q461" s="35"/>
      <c r="S461" s="35"/>
      <c r="U461" s="35"/>
    </row>
    <row r="462" spans="1:21" s="3" customFormat="1">
      <c r="A462" s="279"/>
      <c r="B462" s="279"/>
      <c r="K462" s="35"/>
      <c r="L462" s="35"/>
      <c r="M462" s="35"/>
      <c r="N462" s="35"/>
      <c r="Q462" s="35"/>
      <c r="S462" s="35"/>
      <c r="U462" s="35"/>
    </row>
    <row r="463" spans="1:21" s="3" customFormat="1">
      <c r="A463" s="279"/>
      <c r="B463" s="279"/>
      <c r="K463" s="35"/>
      <c r="L463" s="35"/>
      <c r="M463" s="35"/>
      <c r="N463" s="35"/>
      <c r="Q463" s="35"/>
      <c r="S463" s="35"/>
      <c r="U463" s="35"/>
    </row>
    <row r="464" spans="1:21" s="3" customFormat="1">
      <c r="A464" s="279"/>
      <c r="B464" s="279"/>
      <c r="K464" s="35"/>
      <c r="L464" s="35"/>
      <c r="M464" s="35"/>
      <c r="N464" s="35"/>
      <c r="Q464" s="35"/>
      <c r="S464" s="35"/>
      <c r="U464" s="35"/>
    </row>
    <row r="465" spans="1:21" s="3" customFormat="1">
      <c r="A465" s="279"/>
      <c r="B465" s="279"/>
      <c r="K465" s="35"/>
      <c r="L465" s="35"/>
      <c r="M465" s="35"/>
      <c r="N465" s="35"/>
      <c r="Q465" s="35"/>
      <c r="S465" s="35"/>
      <c r="U465" s="35"/>
    </row>
    <row r="466" spans="1:21" s="3" customFormat="1">
      <c r="A466" s="279"/>
      <c r="B466" s="279"/>
      <c r="K466" s="35"/>
      <c r="L466" s="35"/>
      <c r="M466" s="35"/>
      <c r="N466" s="35"/>
      <c r="Q466" s="35"/>
      <c r="S466" s="35"/>
      <c r="U466" s="35"/>
    </row>
    <row r="467" spans="1:21" s="3" customFormat="1">
      <c r="A467" s="279"/>
      <c r="B467" s="279"/>
      <c r="K467" s="35"/>
      <c r="L467" s="35"/>
      <c r="M467" s="35"/>
      <c r="N467" s="35"/>
      <c r="Q467" s="35"/>
      <c r="S467" s="35"/>
      <c r="U467" s="35"/>
    </row>
    <row r="468" spans="1:21" s="3" customFormat="1">
      <c r="A468" s="279"/>
      <c r="B468" s="279"/>
      <c r="K468" s="35"/>
      <c r="L468" s="35"/>
      <c r="M468" s="35"/>
      <c r="N468" s="35"/>
      <c r="Q468" s="35"/>
      <c r="S468" s="35"/>
      <c r="U468" s="35"/>
    </row>
    <row r="469" spans="1:21" s="3" customFormat="1">
      <c r="A469" s="279"/>
      <c r="B469" s="279"/>
      <c r="K469" s="35"/>
      <c r="L469" s="35"/>
      <c r="M469" s="35"/>
      <c r="N469" s="35"/>
      <c r="Q469" s="35"/>
      <c r="S469" s="35"/>
      <c r="U469" s="35"/>
    </row>
    <row r="470" spans="1:21" s="3" customFormat="1">
      <c r="A470" s="279"/>
      <c r="B470" s="279"/>
      <c r="K470" s="35"/>
      <c r="L470" s="35"/>
      <c r="M470" s="35"/>
      <c r="N470" s="35"/>
      <c r="Q470" s="35"/>
      <c r="S470" s="35"/>
      <c r="U470" s="35"/>
    </row>
    <row r="471" spans="1:21" s="3" customFormat="1">
      <c r="A471" s="279"/>
      <c r="B471" s="279"/>
      <c r="K471" s="35"/>
      <c r="L471" s="35"/>
      <c r="M471" s="35"/>
      <c r="N471" s="35"/>
      <c r="Q471" s="35"/>
      <c r="S471" s="35"/>
      <c r="U471" s="35"/>
    </row>
    <row r="472" spans="1:21" s="3" customFormat="1">
      <c r="A472" s="279"/>
      <c r="B472" s="279"/>
      <c r="K472" s="35"/>
      <c r="L472" s="35"/>
      <c r="M472" s="35"/>
      <c r="N472" s="35"/>
      <c r="Q472" s="35"/>
      <c r="S472" s="35"/>
      <c r="U472" s="35"/>
    </row>
    <row r="473" spans="1:21" s="3" customFormat="1">
      <c r="A473" s="279"/>
      <c r="B473" s="279"/>
      <c r="K473" s="35"/>
      <c r="L473" s="35"/>
      <c r="M473" s="35"/>
      <c r="N473" s="35"/>
      <c r="Q473" s="35"/>
      <c r="S473" s="35"/>
      <c r="U473" s="35"/>
    </row>
    <row r="474" spans="1:21" s="3" customFormat="1">
      <c r="A474" s="279"/>
      <c r="B474" s="279"/>
      <c r="K474" s="35"/>
      <c r="L474" s="35"/>
      <c r="M474" s="35"/>
      <c r="N474" s="35"/>
      <c r="Q474" s="35"/>
      <c r="S474" s="35"/>
      <c r="U474" s="35"/>
    </row>
    <row r="475" spans="1:21" s="3" customFormat="1">
      <c r="A475" s="279"/>
      <c r="B475" s="279"/>
      <c r="K475" s="35"/>
      <c r="L475" s="35"/>
      <c r="M475" s="35"/>
      <c r="N475" s="35"/>
      <c r="Q475" s="35"/>
      <c r="S475" s="35"/>
      <c r="U475" s="35"/>
    </row>
    <row r="476" spans="1:21" s="3" customFormat="1">
      <c r="A476" s="279"/>
      <c r="B476" s="279"/>
      <c r="K476" s="35"/>
      <c r="L476" s="35"/>
      <c r="M476" s="35"/>
      <c r="N476" s="35"/>
      <c r="Q476" s="35"/>
      <c r="S476" s="35"/>
      <c r="U476" s="35"/>
    </row>
    <row r="477" spans="1:21" s="3" customFormat="1">
      <c r="A477" s="279"/>
      <c r="B477" s="279"/>
      <c r="K477" s="35"/>
      <c r="L477" s="35"/>
      <c r="M477" s="35"/>
      <c r="N477" s="35"/>
      <c r="Q477" s="35"/>
      <c r="S477" s="35"/>
      <c r="U477" s="35"/>
    </row>
    <row r="478" spans="1:21" s="3" customFormat="1">
      <c r="A478" s="279"/>
      <c r="B478" s="279"/>
      <c r="K478" s="35"/>
      <c r="L478" s="35"/>
      <c r="M478" s="35"/>
      <c r="N478" s="35"/>
      <c r="Q478" s="35"/>
      <c r="S478" s="35"/>
      <c r="U478" s="35"/>
    </row>
    <row r="479" spans="1:21" s="3" customFormat="1">
      <c r="A479" s="279"/>
      <c r="B479" s="279"/>
      <c r="K479" s="35"/>
      <c r="L479" s="35"/>
      <c r="M479" s="35"/>
      <c r="N479" s="35"/>
      <c r="Q479" s="35"/>
      <c r="S479" s="35"/>
      <c r="U479" s="35"/>
    </row>
    <row r="480" spans="1:21" s="3" customFormat="1">
      <c r="A480" s="279"/>
      <c r="B480" s="279"/>
      <c r="K480" s="35"/>
      <c r="L480" s="35"/>
      <c r="M480" s="35"/>
      <c r="N480" s="35"/>
      <c r="Q480" s="35"/>
      <c r="S480" s="35"/>
      <c r="U480" s="35"/>
    </row>
    <row r="481" spans="1:21" s="3" customFormat="1">
      <c r="A481" s="279"/>
      <c r="B481" s="279"/>
      <c r="K481" s="35"/>
      <c r="L481" s="35"/>
      <c r="M481" s="35"/>
      <c r="N481" s="35"/>
      <c r="Q481" s="35"/>
      <c r="S481" s="35"/>
      <c r="U481" s="35"/>
    </row>
    <row r="482" spans="1:21" s="3" customFormat="1">
      <c r="A482" s="279"/>
      <c r="B482" s="279"/>
      <c r="K482" s="35"/>
      <c r="L482" s="35"/>
      <c r="M482" s="35"/>
      <c r="N482" s="35"/>
      <c r="Q482" s="35"/>
      <c r="S482" s="35"/>
      <c r="U482" s="35"/>
    </row>
    <row r="483" spans="1:21" s="3" customFormat="1">
      <c r="A483" s="279"/>
      <c r="B483" s="279"/>
      <c r="K483" s="35"/>
      <c r="L483" s="35"/>
      <c r="M483" s="35"/>
      <c r="N483" s="35"/>
      <c r="Q483" s="35"/>
      <c r="S483" s="35"/>
      <c r="U483" s="35"/>
    </row>
    <row r="484" spans="1:21" s="3" customFormat="1">
      <c r="A484" s="279"/>
      <c r="B484" s="279"/>
      <c r="K484" s="35"/>
      <c r="L484" s="35"/>
      <c r="M484" s="35"/>
      <c r="N484" s="35"/>
      <c r="Q484" s="35"/>
      <c r="S484" s="35"/>
      <c r="U484" s="35"/>
    </row>
    <row r="485" spans="1:21" s="3" customFormat="1">
      <c r="A485" s="279"/>
      <c r="B485" s="279"/>
      <c r="K485" s="35"/>
      <c r="L485" s="35"/>
      <c r="M485" s="35"/>
      <c r="N485" s="35"/>
      <c r="Q485" s="35"/>
      <c r="S485" s="35"/>
      <c r="U485" s="35"/>
    </row>
    <row r="486" spans="1:21" s="3" customFormat="1">
      <c r="A486" s="279"/>
      <c r="B486" s="279"/>
      <c r="K486" s="35"/>
      <c r="L486" s="35"/>
      <c r="M486" s="35"/>
      <c r="N486" s="35"/>
      <c r="Q486" s="35"/>
      <c r="S486" s="35"/>
      <c r="U486" s="35"/>
    </row>
    <row r="487" spans="1:21" s="3" customFormat="1">
      <c r="A487" s="279"/>
      <c r="B487" s="279"/>
      <c r="K487" s="35"/>
      <c r="L487" s="35"/>
      <c r="M487" s="35"/>
      <c r="N487" s="35"/>
      <c r="Q487" s="35"/>
      <c r="S487" s="35"/>
      <c r="U487" s="35"/>
    </row>
    <row r="488" spans="1:21" s="3" customFormat="1">
      <c r="A488" s="279"/>
      <c r="B488" s="279"/>
      <c r="K488" s="35"/>
      <c r="L488" s="35"/>
      <c r="M488" s="35"/>
      <c r="N488" s="35"/>
      <c r="Q488" s="35"/>
      <c r="S488" s="35"/>
      <c r="U488" s="35"/>
    </row>
    <row r="489" spans="1:21" s="3" customFormat="1">
      <c r="A489" s="279"/>
      <c r="B489" s="279"/>
      <c r="K489" s="35"/>
      <c r="L489" s="35"/>
      <c r="M489" s="35"/>
      <c r="N489" s="35"/>
      <c r="Q489" s="35"/>
      <c r="S489" s="35"/>
      <c r="U489" s="35"/>
    </row>
    <row r="490" spans="1:21" s="3" customFormat="1">
      <c r="A490" s="279"/>
      <c r="B490" s="279"/>
      <c r="K490" s="35"/>
      <c r="L490" s="35"/>
      <c r="M490" s="35"/>
      <c r="N490" s="35"/>
      <c r="Q490" s="35"/>
      <c r="S490" s="35"/>
      <c r="U490" s="35"/>
    </row>
    <row r="491" spans="1:21" s="3" customFormat="1">
      <c r="A491" s="279"/>
      <c r="B491" s="279"/>
      <c r="K491" s="35"/>
      <c r="L491" s="35"/>
      <c r="M491" s="35"/>
      <c r="N491" s="35"/>
      <c r="Q491" s="35"/>
      <c r="S491" s="35"/>
      <c r="U491" s="35"/>
    </row>
    <row r="492" spans="1:21" s="3" customFormat="1">
      <c r="A492" s="279"/>
      <c r="B492" s="279"/>
      <c r="K492" s="35"/>
      <c r="L492" s="35"/>
      <c r="M492" s="35"/>
      <c r="N492" s="35"/>
      <c r="Q492" s="35"/>
      <c r="S492" s="35"/>
      <c r="U492" s="35"/>
    </row>
    <row r="493" spans="1:21" s="3" customFormat="1">
      <c r="A493" s="279"/>
      <c r="B493" s="279"/>
      <c r="K493" s="35"/>
      <c r="L493" s="35"/>
      <c r="M493" s="35"/>
      <c r="N493" s="35"/>
      <c r="Q493" s="35"/>
      <c r="S493" s="35"/>
      <c r="U493" s="35"/>
    </row>
    <row r="494" spans="1:21" s="3" customFormat="1">
      <c r="A494" s="279"/>
      <c r="B494" s="279"/>
      <c r="K494" s="35"/>
      <c r="L494" s="35"/>
      <c r="M494" s="35"/>
      <c r="N494" s="35"/>
      <c r="Q494" s="35"/>
      <c r="S494" s="35"/>
      <c r="U494" s="35"/>
    </row>
    <row r="495" spans="1:21" s="3" customFormat="1">
      <c r="A495" s="279"/>
      <c r="B495" s="279"/>
      <c r="K495" s="35"/>
      <c r="L495" s="35"/>
      <c r="M495" s="35"/>
      <c r="N495" s="35"/>
      <c r="Q495" s="35"/>
      <c r="S495" s="35"/>
      <c r="U495" s="35"/>
    </row>
    <row r="496" spans="1:21" s="3" customFormat="1">
      <c r="A496" s="279"/>
      <c r="B496" s="279"/>
      <c r="K496" s="35"/>
      <c r="L496" s="35"/>
      <c r="M496" s="35"/>
      <c r="N496" s="35"/>
      <c r="Q496" s="35"/>
      <c r="S496" s="35"/>
      <c r="U496" s="35"/>
    </row>
    <row r="497" spans="1:21" s="3" customFormat="1">
      <c r="A497" s="279"/>
      <c r="B497" s="279"/>
      <c r="K497" s="35"/>
      <c r="L497" s="35"/>
      <c r="M497" s="35"/>
      <c r="N497" s="35"/>
      <c r="Q497" s="35"/>
      <c r="S497" s="35"/>
      <c r="U497" s="35"/>
    </row>
    <row r="498" spans="1:21" s="3" customFormat="1">
      <c r="A498" s="279"/>
      <c r="B498" s="279"/>
      <c r="K498" s="35"/>
      <c r="L498" s="35"/>
      <c r="M498" s="35"/>
      <c r="N498" s="35"/>
      <c r="Q498" s="35"/>
      <c r="S498" s="35"/>
      <c r="U498" s="35"/>
    </row>
    <row r="499" spans="1:21" s="3" customFormat="1">
      <c r="A499" s="279"/>
      <c r="B499" s="279"/>
      <c r="K499" s="35"/>
      <c r="L499" s="35"/>
      <c r="M499" s="35"/>
      <c r="N499" s="35"/>
      <c r="Q499" s="35"/>
      <c r="S499" s="35"/>
      <c r="U499" s="35"/>
    </row>
    <row r="500" spans="1:21" s="3" customFormat="1">
      <c r="A500" s="279"/>
      <c r="B500" s="279"/>
      <c r="K500" s="35"/>
      <c r="L500" s="35"/>
      <c r="M500" s="35"/>
      <c r="N500" s="35"/>
      <c r="Q500" s="35"/>
      <c r="S500" s="35"/>
      <c r="U500" s="35"/>
    </row>
    <row r="501" spans="1:21" s="3" customFormat="1">
      <c r="A501" s="279"/>
      <c r="B501" s="279"/>
      <c r="K501" s="35"/>
      <c r="L501" s="35"/>
      <c r="M501" s="35"/>
      <c r="N501" s="35"/>
      <c r="Q501" s="35"/>
      <c r="S501" s="35"/>
      <c r="U501" s="35"/>
    </row>
    <row r="502" spans="1:21" s="3" customFormat="1">
      <c r="A502" s="279"/>
      <c r="B502" s="279"/>
      <c r="K502" s="35"/>
      <c r="L502" s="35"/>
      <c r="M502" s="35"/>
      <c r="N502" s="35"/>
      <c r="Q502" s="35"/>
      <c r="S502" s="35"/>
      <c r="U502" s="35"/>
    </row>
    <row r="503" spans="1:21" s="3" customFormat="1">
      <c r="A503" s="279"/>
      <c r="B503" s="279"/>
      <c r="K503" s="35"/>
      <c r="L503" s="35"/>
      <c r="M503" s="35"/>
      <c r="N503" s="35"/>
      <c r="Q503" s="35"/>
      <c r="S503" s="35"/>
      <c r="U503" s="35"/>
    </row>
    <row r="504" spans="1:21" s="3" customFormat="1">
      <c r="A504" s="279"/>
      <c r="B504" s="279"/>
      <c r="K504" s="35"/>
      <c r="L504" s="35"/>
      <c r="M504" s="35"/>
      <c r="N504" s="35"/>
      <c r="Q504" s="35"/>
      <c r="S504" s="35"/>
      <c r="U504" s="35"/>
    </row>
    <row r="505" spans="1:21" s="3" customFormat="1">
      <c r="A505" s="279"/>
      <c r="B505" s="279"/>
      <c r="K505" s="35"/>
      <c r="L505" s="35"/>
      <c r="M505" s="35"/>
      <c r="N505" s="35"/>
      <c r="Q505" s="35"/>
      <c r="S505" s="35"/>
      <c r="U505" s="35"/>
    </row>
    <row r="506" spans="1:21" s="3" customFormat="1">
      <c r="A506" s="279"/>
      <c r="B506" s="279"/>
      <c r="K506" s="35"/>
      <c r="L506" s="35"/>
      <c r="M506" s="35"/>
      <c r="N506" s="35"/>
      <c r="Q506" s="35"/>
      <c r="S506" s="35"/>
      <c r="U506" s="35"/>
    </row>
    <row r="507" spans="1:21" s="3" customFormat="1">
      <c r="A507" s="279"/>
      <c r="B507" s="279"/>
      <c r="K507" s="35"/>
      <c r="L507" s="35"/>
      <c r="M507" s="35"/>
      <c r="N507" s="35"/>
      <c r="Q507" s="35"/>
      <c r="S507" s="35"/>
      <c r="U507" s="35"/>
    </row>
    <row r="508" spans="1:21" s="3" customFormat="1">
      <c r="A508" s="279"/>
      <c r="B508" s="279"/>
      <c r="K508" s="35"/>
      <c r="L508" s="35"/>
      <c r="M508" s="35"/>
      <c r="N508" s="35"/>
      <c r="Q508" s="35"/>
      <c r="S508" s="35"/>
      <c r="U508" s="35"/>
    </row>
    <row r="509" spans="1:21" s="3" customFormat="1">
      <c r="A509" s="279"/>
      <c r="B509" s="279"/>
      <c r="K509" s="35"/>
      <c r="L509" s="35"/>
      <c r="M509" s="35"/>
      <c r="N509" s="35"/>
      <c r="Q509" s="35"/>
      <c r="S509" s="35"/>
      <c r="U509" s="35"/>
    </row>
    <row r="510" spans="1:21" s="3" customFormat="1">
      <c r="A510" s="279"/>
      <c r="B510" s="279"/>
      <c r="K510" s="35"/>
      <c r="L510" s="35"/>
      <c r="M510" s="35"/>
      <c r="N510" s="35"/>
      <c r="Q510" s="35"/>
      <c r="S510" s="35"/>
      <c r="U510" s="35"/>
    </row>
    <row r="511" spans="1:21" s="3" customFormat="1">
      <c r="A511" s="279"/>
      <c r="B511" s="279"/>
      <c r="K511" s="35"/>
      <c r="L511" s="35"/>
      <c r="M511" s="35"/>
      <c r="N511" s="35"/>
      <c r="Q511" s="35"/>
      <c r="S511" s="35"/>
      <c r="U511" s="35"/>
    </row>
    <row r="512" spans="1:21" s="3" customFormat="1">
      <c r="A512" s="279"/>
      <c r="B512" s="279"/>
      <c r="K512" s="35"/>
      <c r="L512" s="35"/>
      <c r="M512" s="35"/>
      <c r="N512" s="35"/>
      <c r="Q512" s="35"/>
      <c r="S512" s="35"/>
      <c r="U512" s="35"/>
    </row>
    <row r="513" spans="1:21" s="3" customFormat="1">
      <c r="A513" s="279"/>
      <c r="B513" s="279"/>
      <c r="K513" s="35"/>
      <c r="L513" s="35"/>
      <c r="M513" s="35"/>
      <c r="N513" s="35"/>
      <c r="Q513" s="35"/>
      <c r="S513" s="35"/>
      <c r="U513" s="35"/>
    </row>
    <row r="514" spans="1:21" s="3" customFormat="1">
      <c r="A514" s="279"/>
      <c r="B514" s="279"/>
      <c r="K514" s="35"/>
      <c r="L514" s="35"/>
      <c r="M514" s="35"/>
      <c r="N514" s="35"/>
      <c r="Q514" s="35"/>
      <c r="S514" s="35"/>
      <c r="U514" s="35"/>
    </row>
    <row r="515" spans="1:21" s="3" customFormat="1">
      <c r="A515" s="279"/>
      <c r="B515" s="279"/>
      <c r="K515" s="35"/>
      <c r="L515" s="35"/>
      <c r="M515" s="35"/>
      <c r="N515" s="35"/>
      <c r="Q515" s="35"/>
      <c r="S515" s="35"/>
      <c r="U515" s="35"/>
    </row>
    <row r="516" spans="1:21" s="3" customFormat="1">
      <c r="A516" s="279"/>
      <c r="B516" s="279"/>
      <c r="K516" s="35"/>
      <c r="L516" s="35"/>
      <c r="M516" s="35"/>
      <c r="N516" s="35"/>
      <c r="Q516" s="35"/>
      <c r="S516" s="35"/>
      <c r="U516" s="35"/>
    </row>
    <row r="517" spans="1:21" s="3" customFormat="1">
      <c r="A517" s="279"/>
      <c r="B517" s="279"/>
      <c r="K517" s="35"/>
      <c r="L517" s="35"/>
      <c r="M517" s="35"/>
      <c r="N517" s="35"/>
      <c r="Q517" s="35"/>
      <c r="S517" s="35"/>
      <c r="U517" s="35"/>
    </row>
    <row r="518" spans="1:21" s="3" customFormat="1">
      <c r="A518" s="279"/>
      <c r="B518" s="279"/>
      <c r="K518" s="35"/>
      <c r="L518" s="35"/>
      <c r="M518" s="35"/>
      <c r="N518" s="35"/>
      <c r="Q518" s="35"/>
      <c r="S518" s="35"/>
      <c r="U518" s="35"/>
    </row>
    <row r="519" spans="1:21" s="3" customFormat="1">
      <c r="A519" s="279"/>
      <c r="B519" s="279"/>
      <c r="K519" s="35"/>
      <c r="L519" s="35"/>
      <c r="M519" s="35"/>
      <c r="N519" s="35"/>
      <c r="Q519" s="35"/>
      <c r="S519" s="35"/>
      <c r="U519" s="35"/>
    </row>
    <row r="520" spans="1:21" s="3" customFormat="1">
      <c r="A520" s="279"/>
      <c r="B520" s="279"/>
      <c r="K520" s="35"/>
      <c r="L520" s="35"/>
      <c r="M520" s="35"/>
      <c r="N520" s="35"/>
      <c r="Q520" s="35"/>
      <c r="S520" s="35"/>
      <c r="U520" s="35"/>
    </row>
    <row r="521" spans="1:21" s="3" customFormat="1">
      <c r="A521" s="279"/>
      <c r="B521" s="279"/>
      <c r="K521" s="35"/>
      <c r="L521" s="35"/>
      <c r="M521" s="35"/>
      <c r="N521" s="35"/>
      <c r="Q521" s="35"/>
      <c r="S521" s="35"/>
      <c r="U521" s="35"/>
    </row>
    <row r="522" spans="1:21" s="3" customFormat="1">
      <c r="A522" s="279"/>
      <c r="B522" s="279"/>
      <c r="K522" s="35"/>
      <c r="L522" s="35"/>
      <c r="M522" s="35"/>
      <c r="N522" s="35"/>
      <c r="Q522" s="35"/>
      <c r="S522" s="35"/>
      <c r="U522" s="35"/>
    </row>
    <row r="523" spans="1:21" s="3" customFormat="1">
      <c r="A523" s="279"/>
      <c r="B523" s="279"/>
      <c r="K523" s="35"/>
      <c r="L523" s="35"/>
      <c r="M523" s="35"/>
      <c r="N523" s="35"/>
      <c r="Q523" s="35"/>
      <c r="S523" s="35"/>
      <c r="U523" s="35"/>
    </row>
    <row r="524" spans="1:21" s="3" customFormat="1">
      <c r="A524" s="279"/>
      <c r="B524" s="279"/>
      <c r="K524" s="35"/>
      <c r="L524" s="35"/>
      <c r="M524" s="35"/>
      <c r="N524" s="35"/>
      <c r="Q524" s="35"/>
      <c r="S524" s="35"/>
      <c r="U524" s="35"/>
    </row>
    <row r="525" spans="1:21" s="3" customFormat="1">
      <c r="A525" s="279"/>
      <c r="B525" s="279"/>
      <c r="K525" s="35"/>
      <c r="L525" s="35"/>
      <c r="M525" s="35"/>
      <c r="N525" s="35"/>
      <c r="Q525" s="35"/>
      <c r="S525" s="35"/>
      <c r="U525" s="35"/>
    </row>
    <row r="526" spans="1:21" s="3" customFormat="1">
      <c r="A526" s="279"/>
      <c r="B526" s="279"/>
      <c r="K526" s="35"/>
      <c r="L526" s="35"/>
      <c r="M526" s="35"/>
      <c r="N526" s="35"/>
      <c r="Q526" s="35"/>
      <c r="S526" s="35"/>
      <c r="U526" s="35"/>
    </row>
    <row r="527" spans="1:21" s="3" customFormat="1">
      <c r="A527" s="279"/>
      <c r="B527" s="279"/>
      <c r="K527" s="35"/>
      <c r="L527" s="35"/>
      <c r="M527" s="35"/>
      <c r="N527" s="35"/>
      <c r="Q527" s="35"/>
      <c r="S527" s="35"/>
      <c r="U527" s="35"/>
    </row>
    <row r="528" spans="1:21" s="3" customFormat="1">
      <c r="A528" s="279"/>
      <c r="B528" s="279"/>
      <c r="K528" s="35"/>
      <c r="L528" s="35"/>
      <c r="M528" s="35"/>
      <c r="N528" s="35"/>
      <c r="Q528" s="35"/>
      <c r="S528" s="35"/>
      <c r="U528" s="35"/>
    </row>
    <row r="529" spans="1:21" s="3" customFormat="1">
      <c r="A529" s="279"/>
      <c r="B529" s="279"/>
      <c r="K529" s="35"/>
      <c r="L529" s="35"/>
      <c r="M529" s="35"/>
      <c r="N529" s="35"/>
      <c r="Q529" s="35"/>
      <c r="S529" s="35"/>
      <c r="U529" s="35"/>
    </row>
    <row r="530" spans="1:21" s="3" customFormat="1">
      <c r="A530" s="279"/>
      <c r="B530" s="279"/>
      <c r="K530" s="35"/>
      <c r="L530" s="35"/>
      <c r="M530" s="35"/>
      <c r="N530" s="35"/>
      <c r="Q530" s="35"/>
      <c r="S530" s="35"/>
      <c r="U530" s="35"/>
    </row>
    <row r="531" spans="1:21" s="3" customFormat="1">
      <c r="A531" s="279"/>
      <c r="B531" s="279"/>
      <c r="K531" s="35"/>
      <c r="L531" s="35"/>
      <c r="M531" s="35"/>
      <c r="N531" s="35"/>
      <c r="Q531" s="35"/>
      <c r="S531" s="35"/>
      <c r="U531" s="35"/>
    </row>
    <row r="532" spans="1:21" s="3" customFormat="1">
      <c r="A532" s="279"/>
      <c r="B532" s="279"/>
      <c r="K532" s="35"/>
      <c r="L532" s="35"/>
      <c r="M532" s="35"/>
      <c r="N532" s="35"/>
      <c r="Q532" s="35"/>
      <c r="S532" s="35"/>
      <c r="U532" s="35"/>
    </row>
    <row r="533" spans="1:21" s="3" customFormat="1">
      <c r="A533" s="279"/>
      <c r="B533" s="279"/>
      <c r="K533" s="35"/>
      <c r="L533" s="35"/>
      <c r="M533" s="35"/>
      <c r="N533" s="35"/>
      <c r="Q533" s="35"/>
      <c r="S533" s="35"/>
      <c r="U533" s="35"/>
    </row>
    <row r="534" spans="1:21" s="3" customFormat="1">
      <c r="A534" s="279"/>
      <c r="B534" s="279"/>
      <c r="K534" s="35"/>
      <c r="L534" s="35"/>
      <c r="M534" s="35"/>
      <c r="N534" s="35"/>
      <c r="Q534" s="35"/>
      <c r="S534" s="35"/>
      <c r="U534" s="35"/>
    </row>
    <row r="535" spans="1:21" s="3" customFormat="1">
      <c r="A535" s="279"/>
      <c r="B535" s="279"/>
      <c r="K535" s="35"/>
      <c r="L535" s="35"/>
      <c r="M535" s="35"/>
      <c r="N535" s="35"/>
      <c r="Q535" s="35"/>
      <c r="S535" s="35"/>
      <c r="U535" s="35"/>
    </row>
    <row r="536" spans="1:21" s="3" customFormat="1">
      <c r="A536" s="279"/>
      <c r="B536" s="279"/>
      <c r="K536" s="35"/>
      <c r="L536" s="35"/>
      <c r="M536" s="35"/>
      <c r="N536" s="35"/>
      <c r="Q536" s="35"/>
      <c r="S536" s="35"/>
      <c r="U536" s="35"/>
    </row>
    <row r="537" spans="1:21" s="3" customFormat="1">
      <c r="A537" s="279"/>
      <c r="B537" s="279"/>
      <c r="K537" s="35"/>
      <c r="L537" s="35"/>
      <c r="M537" s="35"/>
      <c r="N537" s="35"/>
      <c r="Q537" s="35"/>
      <c r="S537" s="35"/>
      <c r="U537" s="35"/>
    </row>
    <row r="538" spans="1:21" s="3" customFormat="1">
      <c r="A538" s="279"/>
      <c r="B538" s="279"/>
      <c r="K538" s="35"/>
      <c r="L538" s="35"/>
      <c r="M538" s="35"/>
      <c r="N538" s="35"/>
      <c r="Q538" s="35"/>
      <c r="S538" s="35"/>
      <c r="U538" s="35"/>
    </row>
    <row r="539" spans="1:21" s="3" customFormat="1">
      <c r="A539" s="279"/>
      <c r="B539" s="279"/>
      <c r="K539" s="35"/>
      <c r="L539" s="35"/>
      <c r="M539" s="35"/>
      <c r="N539" s="35"/>
      <c r="Q539" s="35"/>
      <c r="S539" s="35"/>
      <c r="U539" s="35"/>
    </row>
    <row r="540" spans="1:21" s="3" customFormat="1">
      <c r="A540" s="279"/>
      <c r="B540" s="279"/>
      <c r="K540" s="35"/>
      <c r="L540" s="35"/>
      <c r="M540" s="35"/>
      <c r="N540" s="35"/>
      <c r="Q540" s="35"/>
      <c r="S540" s="35"/>
      <c r="U540" s="35"/>
    </row>
    <row r="541" spans="1:21" s="3" customFormat="1">
      <c r="A541" s="279"/>
      <c r="B541" s="279"/>
      <c r="K541" s="35"/>
      <c r="L541" s="35"/>
      <c r="M541" s="35"/>
      <c r="N541" s="35"/>
      <c r="Q541" s="35"/>
      <c r="S541" s="35"/>
      <c r="U541" s="35"/>
    </row>
    <row r="542" spans="1:21" s="3" customFormat="1">
      <c r="A542" s="279"/>
      <c r="B542" s="279"/>
      <c r="K542" s="35"/>
      <c r="L542" s="35"/>
      <c r="M542" s="35"/>
      <c r="N542" s="35"/>
      <c r="Q542" s="35"/>
      <c r="S542" s="35"/>
      <c r="U542" s="35"/>
    </row>
    <row r="543" spans="1:21" s="3" customFormat="1">
      <c r="A543" s="279"/>
      <c r="B543" s="279"/>
      <c r="K543" s="35"/>
      <c r="L543" s="35"/>
      <c r="M543" s="35"/>
      <c r="N543" s="35"/>
      <c r="Q543" s="35"/>
      <c r="S543" s="35"/>
      <c r="U543" s="35"/>
    </row>
    <row r="544" spans="1:21" s="3" customFormat="1">
      <c r="A544" s="279"/>
      <c r="B544" s="279"/>
      <c r="K544" s="35"/>
      <c r="L544" s="35"/>
      <c r="M544" s="35"/>
      <c r="N544" s="35"/>
      <c r="Q544" s="35"/>
      <c r="S544" s="35"/>
      <c r="U544" s="35"/>
    </row>
    <row r="545" spans="1:21" s="3" customFormat="1">
      <c r="A545" s="279"/>
      <c r="B545" s="279"/>
      <c r="K545" s="35"/>
      <c r="L545" s="35"/>
      <c r="M545" s="35"/>
      <c r="N545" s="35"/>
      <c r="Q545" s="35"/>
      <c r="S545" s="35"/>
      <c r="U545" s="35"/>
    </row>
    <row r="546" spans="1:21" s="3" customFormat="1">
      <c r="A546" s="279"/>
      <c r="B546" s="279"/>
      <c r="K546" s="35"/>
      <c r="L546" s="35"/>
      <c r="M546" s="35"/>
      <c r="N546" s="35"/>
      <c r="Q546" s="35"/>
      <c r="S546" s="35"/>
      <c r="U546" s="35"/>
    </row>
    <row r="547" spans="1:21" s="3" customFormat="1">
      <c r="A547" s="279"/>
      <c r="B547" s="279"/>
      <c r="K547" s="35"/>
      <c r="L547" s="35"/>
      <c r="M547" s="35"/>
      <c r="N547" s="35"/>
      <c r="Q547" s="35"/>
      <c r="S547" s="35"/>
      <c r="U547" s="35"/>
    </row>
    <row r="548" spans="1:21" s="3" customFormat="1">
      <c r="A548" s="279"/>
      <c r="B548" s="279"/>
      <c r="K548" s="35"/>
      <c r="L548" s="35"/>
      <c r="M548" s="35"/>
      <c r="N548" s="35"/>
      <c r="Q548" s="35"/>
      <c r="S548" s="35"/>
      <c r="U548" s="35"/>
    </row>
    <row r="549" spans="1:21" s="3" customFormat="1">
      <c r="A549" s="279"/>
      <c r="B549" s="279"/>
      <c r="K549" s="35"/>
      <c r="L549" s="35"/>
      <c r="M549" s="35"/>
      <c r="N549" s="35"/>
      <c r="Q549" s="35"/>
      <c r="S549" s="35"/>
      <c r="U549" s="35"/>
    </row>
    <row r="550" spans="1:21" s="3" customFormat="1">
      <c r="A550" s="279"/>
      <c r="B550" s="279"/>
      <c r="K550" s="35"/>
      <c r="L550" s="35"/>
      <c r="M550" s="35"/>
      <c r="N550" s="35"/>
      <c r="Q550" s="35"/>
      <c r="S550" s="35"/>
      <c r="U550" s="35"/>
    </row>
    <row r="551" spans="1:21" s="3" customFormat="1">
      <c r="A551" s="279"/>
      <c r="B551" s="279"/>
      <c r="K551" s="35"/>
      <c r="L551" s="35"/>
      <c r="M551" s="35"/>
      <c r="N551" s="35"/>
      <c r="Q551" s="35"/>
      <c r="S551" s="35"/>
      <c r="U551" s="35"/>
    </row>
  </sheetData>
  <mergeCells count="18">
    <mergeCell ref="C23:I23"/>
    <mergeCell ref="C15:C22"/>
    <mergeCell ref="D15:D22"/>
    <mergeCell ref="E15:E22"/>
    <mergeCell ref="F15:F22"/>
    <mergeCell ref="G15:G22"/>
    <mergeCell ref="H15:H22"/>
    <mergeCell ref="I15:I22"/>
    <mergeCell ref="C2:I4"/>
    <mergeCell ref="C5:I5"/>
    <mergeCell ref="C6:I6"/>
    <mergeCell ref="C7:C14"/>
    <mergeCell ref="D7:D14"/>
    <mergeCell ref="E7:E14"/>
    <mergeCell ref="F7:F14"/>
    <mergeCell ref="G7:G14"/>
    <mergeCell ref="H7:H14"/>
    <mergeCell ref="I7:I14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80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W664"/>
  <sheetViews>
    <sheetView showGridLines="0" tabSelected="1" zoomScale="80" zoomScaleNormal="80" zoomScaleSheetLayoutView="80" workbookViewId="0">
      <pane xSplit="10" ySplit="1" topLeftCell="K2" activePane="bottomRight" state="frozen"/>
      <selection pane="topRight"/>
      <selection pane="bottomLeft"/>
      <selection pane="bottomRight" activeCell="F15" sqref="F15:F33"/>
    </sheetView>
  </sheetViews>
  <sheetFormatPr defaultRowHeight="12"/>
  <cols>
    <col min="1" max="1" width="9.08984375" style="17" bestFit="1" customWidth="1"/>
    <col min="2" max="2" width="11.36328125" style="81" bestFit="1" customWidth="1"/>
    <col min="3" max="3" width="4.90625" style="3" customWidth="1"/>
    <col min="4" max="5" width="5.08984375" style="3" customWidth="1"/>
    <col min="6" max="6" width="9.6328125" style="3" customWidth="1"/>
    <col min="7" max="8" width="11.90625" style="3" customWidth="1"/>
    <col min="9" max="9" width="9.08984375" style="3" customWidth="1"/>
    <col min="10" max="10" width="10.90625" style="35" customWidth="1"/>
    <col min="11" max="14" width="13.36328125" style="35" customWidth="1"/>
    <col min="15" max="15" width="13.36328125" style="49" customWidth="1"/>
    <col min="16" max="21" width="13.36328125" style="40" customWidth="1"/>
    <col min="22" max="22" width="13.90625" style="4" customWidth="1"/>
    <col min="23" max="23" width="16.453125" style="5" customWidth="1"/>
    <col min="24" max="258" width="9" style="3"/>
    <col min="259" max="259" width="9.90625" style="3" customWidth="1"/>
    <col min="260" max="261" width="5.08984375" style="3" customWidth="1"/>
    <col min="262" max="262" width="9.6328125" style="3" customWidth="1"/>
    <col min="263" max="264" width="11.90625" style="3" customWidth="1"/>
    <col min="265" max="265" width="15.36328125" style="3" customWidth="1"/>
    <col min="266" max="266" width="10.90625" style="3" customWidth="1"/>
    <col min="267" max="277" width="13.36328125" style="3" customWidth="1"/>
    <col min="278" max="278" width="13.90625" style="3" customWidth="1"/>
    <col min="279" max="279" width="16.453125" style="3" customWidth="1"/>
    <col min="280" max="514" width="9" style="3"/>
    <col min="515" max="515" width="9.90625" style="3" customWidth="1"/>
    <col min="516" max="517" width="5.08984375" style="3" customWidth="1"/>
    <col min="518" max="518" width="9.6328125" style="3" customWidth="1"/>
    <col min="519" max="520" width="11.90625" style="3" customWidth="1"/>
    <col min="521" max="521" width="15.36328125" style="3" customWidth="1"/>
    <col min="522" max="522" width="10.90625" style="3" customWidth="1"/>
    <col min="523" max="533" width="13.36328125" style="3" customWidth="1"/>
    <col min="534" max="534" width="13.90625" style="3" customWidth="1"/>
    <col min="535" max="535" width="16.453125" style="3" customWidth="1"/>
    <col min="536" max="770" width="9" style="3"/>
    <col min="771" max="771" width="9.90625" style="3" customWidth="1"/>
    <col min="772" max="773" width="5.08984375" style="3" customWidth="1"/>
    <col min="774" max="774" width="9.6328125" style="3" customWidth="1"/>
    <col min="775" max="776" width="11.90625" style="3" customWidth="1"/>
    <col min="777" max="777" width="15.36328125" style="3" customWidth="1"/>
    <col min="778" max="778" width="10.90625" style="3" customWidth="1"/>
    <col min="779" max="789" width="13.36328125" style="3" customWidth="1"/>
    <col min="790" max="790" width="13.90625" style="3" customWidth="1"/>
    <col min="791" max="791" width="16.453125" style="3" customWidth="1"/>
    <col min="792" max="1026" width="9" style="3"/>
    <col min="1027" max="1027" width="9.90625" style="3" customWidth="1"/>
    <col min="1028" max="1029" width="5.08984375" style="3" customWidth="1"/>
    <col min="1030" max="1030" width="9.6328125" style="3" customWidth="1"/>
    <col min="1031" max="1032" width="11.90625" style="3" customWidth="1"/>
    <col min="1033" max="1033" width="15.36328125" style="3" customWidth="1"/>
    <col min="1034" max="1034" width="10.90625" style="3" customWidth="1"/>
    <col min="1035" max="1045" width="13.36328125" style="3" customWidth="1"/>
    <col min="1046" max="1046" width="13.90625" style="3" customWidth="1"/>
    <col min="1047" max="1047" width="16.453125" style="3" customWidth="1"/>
    <col min="1048" max="1282" width="9" style="3"/>
    <col min="1283" max="1283" width="9.90625" style="3" customWidth="1"/>
    <col min="1284" max="1285" width="5.08984375" style="3" customWidth="1"/>
    <col min="1286" max="1286" width="9.6328125" style="3" customWidth="1"/>
    <col min="1287" max="1288" width="11.90625" style="3" customWidth="1"/>
    <col min="1289" max="1289" width="15.36328125" style="3" customWidth="1"/>
    <col min="1290" max="1290" width="10.90625" style="3" customWidth="1"/>
    <col min="1291" max="1301" width="13.36328125" style="3" customWidth="1"/>
    <col min="1302" max="1302" width="13.90625" style="3" customWidth="1"/>
    <col min="1303" max="1303" width="16.453125" style="3" customWidth="1"/>
    <col min="1304" max="1538" width="9" style="3"/>
    <col min="1539" max="1539" width="9.90625" style="3" customWidth="1"/>
    <col min="1540" max="1541" width="5.08984375" style="3" customWidth="1"/>
    <col min="1542" max="1542" width="9.6328125" style="3" customWidth="1"/>
    <col min="1543" max="1544" width="11.90625" style="3" customWidth="1"/>
    <col min="1545" max="1545" width="15.36328125" style="3" customWidth="1"/>
    <col min="1546" max="1546" width="10.90625" style="3" customWidth="1"/>
    <col min="1547" max="1557" width="13.36328125" style="3" customWidth="1"/>
    <col min="1558" max="1558" width="13.90625" style="3" customWidth="1"/>
    <col min="1559" max="1559" width="16.453125" style="3" customWidth="1"/>
    <col min="1560" max="1794" width="9" style="3"/>
    <col min="1795" max="1795" width="9.90625" style="3" customWidth="1"/>
    <col min="1796" max="1797" width="5.08984375" style="3" customWidth="1"/>
    <col min="1798" max="1798" width="9.6328125" style="3" customWidth="1"/>
    <col min="1799" max="1800" width="11.90625" style="3" customWidth="1"/>
    <col min="1801" max="1801" width="15.36328125" style="3" customWidth="1"/>
    <col min="1802" max="1802" width="10.90625" style="3" customWidth="1"/>
    <col min="1803" max="1813" width="13.36328125" style="3" customWidth="1"/>
    <col min="1814" max="1814" width="13.90625" style="3" customWidth="1"/>
    <col min="1815" max="1815" width="16.453125" style="3" customWidth="1"/>
    <col min="1816" max="2050" width="9" style="3"/>
    <col min="2051" max="2051" width="9.90625" style="3" customWidth="1"/>
    <col min="2052" max="2053" width="5.08984375" style="3" customWidth="1"/>
    <col min="2054" max="2054" width="9.6328125" style="3" customWidth="1"/>
    <col min="2055" max="2056" width="11.90625" style="3" customWidth="1"/>
    <col min="2057" max="2057" width="15.36328125" style="3" customWidth="1"/>
    <col min="2058" max="2058" width="10.90625" style="3" customWidth="1"/>
    <col min="2059" max="2069" width="13.36328125" style="3" customWidth="1"/>
    <col min="2070" max="2070" width="13.90625" style="3" customWidth="1"/>
    <col min="2071" max="2071" width="16.453125" style="3" customWidth="1"/>
    <col min="2072" max="2306" width="9" style="3"/>
    <col min="2307" max="2307" width="9.90625" style="3" customWidth="1"/>
    <col min="2308" max="2309" width="5.08984375" style="3" customWidth="1"/>
    <col min="2310" max="2310" width="9.6328125" style="3" customWidth="1"/>
    <col min="2311" max="2312" width="11.90625" style="3" customWidth="1"/>
    <col min="2313" max="2313" width="15.36328125" style="3" customWidth="1"/>
    <col min="2314" max="2314" width="10.90625" style="3" customWidth="1"/>
    <col min="2315" max="2325" width="13.36328125" style="3" customWidth="1"/>
    <col min="2326" max="2326" width="13.90625" style="3" customWidth="1"/>
    <col min="2327" max="2327" width="16.453125" style="3" customWidth="1"/>
    <col min="2328" max="2562" width="9" style="3"/>
    <col min="2563" max="2563" width="9.90625" style="3" customWidth="1"/>
    <col min="2564" max="2565" width="5.08984375" style="3" customWidth="1"/>
    <col min="2566" max="2566" width="9.6328125" style="3" customWidth="1"/>
    <col min="2567" max="2568" width="11.90625" style="3" customWidth="1"/>
    <col min="2569" max="2569" width="15.36328125" style="3" customWidth="1"/>
    <col min="2570" max="2570" width="10.90625" style="3" customWidth="1"/>
    <col min="2571" max="2581" width="13.36328125" style="3" customWidth="1"/>
    <col min="2582" max="2582" width="13.90625" style="3" customWidth="1"/>
    <col min="2583" max="2583" width="16.453125" style="3" customWidth="1"/>
    <col min="2584" max="2818" width="9" style="3"/>
    <col min="2819" max="2819" width="9.90625" style="3" customWidth="1"/>
    <col min="2820" max="2821" width="5.08984375" style="3" customWidth="1"/>
    <col min="2822" max="2822" width="9.6328125" style="3" customWidth="1"/>
    <col min="2823" max="2824" width="11.90625" style="3" customWidth="1"/>
    <col min="2825" max="2825" width="15.36328125" style="3" customWidth="1"/>
    <col min="2826" max="2826" width="10.90625" style="3" customWidth="1"/>
    <col min="2827" max="2837" width="13.36328125" style="3" customWidth="1"/>
    <col min="2838" max="2838" width="13.90625" style="3" customWidth="1"/>
    <col min="2839" max="2839" width="16.453125" style="3" customWidth="1"/>
    <col min="2840" max="3074" width="9" style="3"/>
    <col min="3075" max="3075" width="9.90625" style="3" customWidth="1"/>
    <col min="3076" max="3077" width="5.08984375" style="3" customWidth="1"/>
    <col min="3078" max="3078" width="9.6328125" style="3" customWidth="1"/>
    <col min="3079" max="3080" width="11.90625" style="3" customWidth="1"/>
    <col min="3081" max="3081" width="15.36328125" style="3" customWidth="1"/>
    <col min="3082" max="3082" width="10.90625" style="3" customWidth="1"/>
    <col min="3083" max="3093" width="13.36328125" style="3" customWidth="1"/>
    <col min="3094" max="3094" width="13.90625" style="3" customWidth="1"/>
    <col min="3095" max="3095" width="16.453125" style="3" customWidth="1"/>
    <col min="3096" max="3330" width="9" style="3"/>
    <col min="3331" max="3331" width="9.90625" style="3" customWidth="1"/>
    <col min="3332" max="3333" width="5.08984375" style="3" customWidth="1"/>
    <col min="3334" max="3334" width="9.6328125" style="3" customWidth="1"/>
    <col min="3335" max="3336" width="11.90625" style="3" customWidth="1"/>
    <col min="3337" max="3337" width="15.36328125" style="3" customWidth="1"/>
    <col min="3338" max="3338" width="10.90625" style="3" customWidth="1"/>
    <col min="3339" max="3349" width="13.36328125" style="3" customWidth="1"/>
    <col min="3350" max="3350" width="13.90625" style="3" customWidth="1"/>
    <col min="3351" max="3351" width="16.453125" style="3" customWidth="1"/>
    <col min="3352" max="3586" width="9" style="3"/>
    <col min="3587" max="3587" width="9.90625" style="3" customWidth="1"/>
    <col min="3588" max="3589" width="5.08984375" style="3" customWidth="1"/>
    <col min="3590" max="3590" width="9.6328125" style="3" customWidth="1"/>
    <col min="3591" max="3592" width="11.90625" style="3" customWidth="1"/>
    <col min="3593" max="3593" width="15.36328125" style="3" customWidth="1"/>
    <col min="3594" max="3594" width="10.90625" style="3" customWidth="1"/>
    <col min="3595" max="3605" width="13.36328125" style="3" customWidth="1"/>
    <col min="3606" max="3606" width="13.90625" style="3" customWidth="1"/>
    <col min="3607" max="3607" width="16.453125" style="3" customWidth="1"/>
    <col min="3608" max="3842" width="9" style="3"/>
    <col min="3843" max="3843" width="9.90625" style="3" customWidth="1"/>
    <col min="3844" max="3845" width="5.08984375" style="3" customWidth="1"/>
    <col min="3846" max="3846" width="9.6328125" style="3" customWidth="1"/>
    <col min="3847" max="3848" width="11.90625" style="3" customWidth="1"/>
    <col min="3849" max="3849" width="15.36328125" style="3" customWidth="1"/>
    <col min="3850" max="3850" width="10.90625" style="3" customWidth="1"/>
    <col min="3851" max="3861" width="13.36328125" style="3" customWidth="1"/>
    <col min="3862" max="3862" width="13.90625" style="3" customWidth="1"/>
    <col min="3863" max="3863" width="16.453125" style="3" customWidth="1"/>
    <col min="3864" max="4098" width="9" style="3"/>
    <col min="4099" max="4099" width="9.90625" style="3" customWidth="1"/>
    <col min="4100" max="4101" width="5.08984375" style="3" customWidth="1"/>
    <col min="4102" max="4102" width="9.6328125" style="3" customWidth="1"/>
    <col min="4103" max="4104" width="11.90625" style="3" customWidth="1"/>
    <col min="4105" max="4105" width="15.36328125" style="3" customWidth="1"/>
    <col min="4106" max="4106" width="10.90625" style="3" customWidth="1"/>
    <col min="4107" max="4117" width="13.36328125" style="3" customWidth="1"/>
    <col min="4118" max="4118" width="13.90625" style="3" customWidth="1"/>
    <col min="4119" max="4119" width="16.453125" style="3" customWidth="1"/>
    <col min="4120" max="4354" width="9" style="3"/>
    <col min="4355" max="4355" width="9.90625" style="3" customWidth="1"/>
    <col min="4356" max="4357" width="5.08984375" style="3" customWidth="1"/>
    <col min="4358" max="4358" width="9.6328125" style="3" customWidth="1"/>
    <col min="4359" max="4360" width="11.90625" style="3" customWidth="1"/>
    <col min="4361" max="4361" width="15.36328125" style="3" customWidth="1"/>
    <col min="4362" max="4362" width="10.90625" style="3" customWidth="1"/>
    <col min="4363" max="4373" width="13.36328125" style="3" customWidth="1"/>
    <col min="4374" max="4374" width="13.90625" style="3" customWidth="1"/>
    <col min="4375" max="4375" width="16.453125" style="3" customWidth="1"/>
    <col min="4376" max="4610" width="9" style="3"/>
    <col min="4611" max="4611" width="9.90625" style="3" customWidth="1"/>
    <col min="4612" max="4613" width="5.08984375" style="3" customWidth="1"/>
    <col min="4614" max="4614" width="9.6328125" style="3" customWidth="1"/>
    <col min="4615" max="4616" width="11.90625" style="3" customWidth="1"/>
    <col min="4617" max="4617" width="15.36328125" style="3" customWidth="1"/>
    <col min="4618" max="4618" width="10.90625" style="3" customWidth="1"/>
    <col min="4619" max="4629" width="13.36328125" style="3" customWidth="1"/>
    <col min="4630" max="4630" width="13.90625" style="3" customWidth="1"/>
    <col min="4631" max="4631" width="16.453125" style="3" customWidth="1"/>
    <col min="4632" max="4866" width="9" style="3"/>
    <col min="4867" max="4867" width="9.90625" style="3" customWidth="1"/>
    <col min="4868" max="4869" width="5.08984375" style="3" customWidth="1"/>
    <col min="4870" max="4870" width="9.6328125" style="3" customWidth="1"/>
    <col min="4871" max="4872" width="11.90625" style="3" customWidth="1"/>
    <col min="4873" max="4873" width="15.36328125" style="3" customWidth="1"/>
    <col min="4874" max="4874" width="10.90625" style="3" customWidth="1"/>
    <col min="4875" max="4885" width="13.36328125" style="3" customWidth="1"/>
    <col min="4886" max="4886" width="13.90625" style="3" customWidth="1"/>
    <col min="4887" max="4887" width="16.453125" style="3" customWidth="1"/>
    <col min="4888" max="5122" width="9" style="3"/>
    <col min="5123" max="5123" width="9.90625" style="3" customWidth="1"/>
    <col min="5124" max="5125" width="5.08984375" style="3" customWidth="1"/>
    <col min="5126" max="5126" width="9.6328125" style="3" customWidth="1"/>
    <col min="5127" max="5128" width="11.90625" style="3" customWidth="1"/>
    <col min="5129" max="5129" width="15.36328125" style="3" customWidth="1"/>
    <col min="5130" max="5130" width="10.90625" style="3" customWidth="1"/>
    <col min="5131" max="5141" width="13.36328125" style="3" customWidth="1"/>
    <col min="5142" max="5142" width="13.90625" style="3" customWidth="1"/>
    <col min="5143" max="5143" width="16.453125" style="3" customWidth="1"/>
    <col min="5144" max="5378" width="9" style="3"/>
    <col min="5379" max="5379" width="9.90625" style="3" customWidth="1"/>
    <col min="5380" max="5381" width="5.08984375" style="3" customWidth="1"/>
    <col min="5382" max="5382" width="9.6328125" style="3" customWidth="1"/>
    <col min="5383" max="5384" width="11.90625" style="3" customWidth="1"/>
    <col min="5385" max="5385" width="15.36328125" style="3" customWidth="1"/>
    <col min="5386" max="5386" width="10.90625" style="3" customWidth="1"/>
    <col min="5387" max="5397" width="13.36328125" style="3" customWidth="1"/>
    <col min="5398" max="5398" width="13.90625" style="3" customWidth="1"/>
    <col min="5399" max="5399" width="16.453125" style="3" customWidth="1"/>
    <col min="5400" max="5634" width="9" style="3"/>
    <col min="5635" max="5635" width="9.90625" style="3" customWidth="1"/>
    <col min="5636" max="5637" width="5.08984375" style="3" customWidth="1"/>
    <col min="5638" max="5638" width="9.6328125" style="3" customWidth="1"/>
    <col min="5639" max="5640" width="11.90625" style="3" customWidth="1"/>
    <col min="5641" max="5641" width="15.36328125" style="3" customWidth="1"/>
    <col min="5642" max="5642" width="10.90625" style="3" customWidth="1"/>
    <col min="5643" max="5653" width="13.36328125" style="3" customWidth="1"/>
    <col min="5654" max="5654" width="13.90625" style="3" customWidth="1"/>
    <col min="5655" max="5655" width="16.453125" style="3" customWidth="1"/>
    <col min="5656" max="5890" width="9" style="3"/>
    <col min="5891" max="5891" width="9.90625" style="3" customWidth="1"/>
    <col min="5892" max="5893" width="5.08984375" style="3" customWidth="1"/>
    <col min="5894" max="5894" width="9.6328125" style="3" customWidth="1"/>
    <col min="5895" max="5896" width="11.90625" style="3" customWidth="1"/>
    <col min="5897" max="5897" width="15.36328125" style="3" customWidth="1"/>
    <col min="5898" max="5898" width="10.90625" style="3" customWidth="1"/>
    <col min="5899" max="5909" width="13.36328125" style="3" customWidth="1"/>
    <col min="5910" max="5910" width="13.90625" style="3" customWidth="1"/>
    <col min="5911" max="5911" width="16.453125" style="3" customWidth="1"/>
    <col min="5912" max="6146" width="9" style="3"/>
    <col min="6147" max="6147" width="9.90625" style="3" customWidth="1"/>
    <col min="6148" max="6149" width="5.08984375" style="3" customWidth="1"/>
    <col min="6150" max="6150" width="9.6328125" style="3" customWidth="1"/>
    <col min="6151" max="6152" width="11.90625" style="3" customWidth="1"/>
    <col min="6153" max="6153" width="15.36328125" style="3" customWidth="1"/>
    <col min="6154" max="6154" width="10.90625" style="3" customWidth="1"/>
    <col min="6155" max="6165" width="13.36328125" style="3" customWidth="1"/>
    <col min="6166" max="6166" width="13.90625" style="3" customWidth="1"/>
    <col min="6167" max="6167" width="16.453125" style="3" customWidth="1"/>
    <col min="6168" max="6402" width="9" style="3"/>
    <col min="6403" max="6403" width="9.90625" style="3" customWidth="1"/>
    <col min="6404" max="6405" width="5.08984375" style="3" customWidth="1"/>
    <col min="6406" max="6406" width="9.6328125" style="3" customWidth="1"/>
    <col min="6407" max="6408" width="11.90625" style="3" customWidth="1"/>
    <col min="6409" max="6409" width="15.36328125" style="3" customWidth="1"/>
    <col min="6410" max="6410" width="10.90625" style="3" customWidth="1"/>
    <col min="6411" max="6421" width="13.36328125" style="3" customWidth="1"/>
    <col min="6422" max="6422" width="13.90625" style="3" customWidth="1"/>
    <col min="6423" max="6423" width="16.453125" style="3" customWidth="1"/>
    <col min="6424" max="6658" width="9" style="3"/>
    <col min="6659" max="6659" width="9.90625" style="3" customWidth="1"/>
    <col min="6660" max="6661" width="5.08984375" style="3" customWidth="1"/>
    <col min="6662" max="6662" width="9.6328125" style="3" customWidth="1"/>
    <col min="6663" max="6664" width="11.90625" style="3" customWidth="1"/>
    <col min="6665" max="6665" width="15.36328125" style="3" customWidth="1"/>
    <col min="6666" max="6666" width="10.90625" style="3" customWidth="1"/>
    <col min="6667" max="6677" width="13.36328125" style="3" customWidth="1"/>
    <col min="6678" max="6678" width="13.90625" style="3" customWidth="1"/>
    <col min="6679" max="6679" width="16.453125" style="3" customWidth="1"/>
    <col min="6680" max="6914" width="9" style="3"/>
    <col min="6915" max="6915" width="9.90625" style="3" customWidth="1"/>
    <col min="6916" max="6917" width="5.08984375" style="3" customWidth="1"/>
    <col min="6918" max="6918" width="9.6328125" style="3" customWidth="1"/>
    <col min="6919" max="6920" width="11.90625" style="3" customWidth="1"/>
    <col min="6921" max="6921" width="15.36328125" style="3" customWidth="1"/>
    <col min="6922" max="6922" width="10.90625" style="3" customWidth="1"/>
    <col min="6923" max="6933" width="13.36328125" style="3" customWidth="1"/>
    <col min="6934" max="6934" width="13.90625" style="3" customWidth="1"/>
    <col min="6935" max="6935" width="16.453125" style="3" customWidth="1"/>
    <col min="6936" max="7170" width="9" style="3"/>
    <col min="7171" max="7171" width="9.90625" style="3" customWidth="1"/>
    <col min="7172" max="7173" width="5.08984375" style="3" customWidth="1"/>
    <col min="7174" max="7174" width="9.6328125" style="3" customWidth="1"/>
    <col min="7175" max="7176" width="11.90625" style="3" customWidth="1"/>
    <col min="7177" max="7177" width="15.36328125" style="3" customWidth="1"/>
    <col min="7178" max="7178" width="10.90625" style="3" customWidth="1"/>
    <col min="7179" max="7189" width="13.36328125" style="3" customWidth="1"/>
    <col min="7190" max="7190" width="13.90625" style="3" customWidth="1"/>
    <col min="7191" max="7191" width="16.453125" style="3" customWidth="1"/>
    <col min="7192" max="7426" width="9" style="3"/>
    <col min="7427" max="7427" width="9.90625" style="3" customWidth="1"/>
    <col min="7428" max="7429" width="5.08984375" style="3" customWidth="1"/>
    <col min="7430" max="7430" width="9.6328125" style="3" customWidth="1"/>
    <col min="7431" max="7432" width="11.90625" style="3" customWidth="1"/>
    <col min="7433" max="7433" width="15.36328125" style="3" customWidth="1"/>
    <col min="7434" max="7434" width="10.90625" style="3" customWidth="1"/>
    <col min="7435" max="7445" width="13.36328125" style="3" customWidth="1"/>
    <col min="7446" max="7446" width="13.90625" style="3" customWidth="1"/>
    <col min="7447" max="7447" width="16.453125" style="3" customWidth="1"/>
    <col min="7448" max="7682" width="9" style="3"/>
    <col min="7683" max="7683" width="9.90625" style="3" customWidth="1"/>
    <col min="7684" max="7685" width="5.08984375" style="3" customWidth="1"/>
    <col min="7686" max="7686" width="9.6328125" style="3" customWidth="1"/>
    <col min="7687" max="7688" width="11.90625" style="3" customWidth="1"/>
    <col min="7689" max="7689" width="15.36328125" style="3" customWidth="1"/>
    <col min="7690" max="7690" width="10.90625" style="3" customWidth="1"/>
    <col min="7691" max="7701" width="13.36328125" style="3" customWidth="1"/>
    <col min="7702" max="7702" width="13.90625" style="3" customWidth="1"/>
    <col min="7703" max="7703" width="16.453125" style="3" customWidth="1"/>
    <col min="7704" max="7938" width="9" style="3"/>
    <col min="7939" max="7939" width="9.90625" style="3" customWidth="1"/>
    <col min="7940" max="7941" width="5.08984375" style="3" customWidth="1"/>
    <col min="7942" max="7942" width="9.6328125" style="3" customWidth="1"/>
    <col min="7943" max="7944" width="11.90625" style="3" customWidth="1"/>
    <col min="7945" max="7945" width="15.36328125" style="3" customWidth="1"/>
    <col min="7946" max="7946" width="10.90625" style="3" customWidth="1"/>
    <col min="7947" max="7957" width="13.36328125" style="3" customWidth="1"/>
    <col min="7958" max="7958" width="13.90625" style="3" customWidth="1"/>
    <col min="7959" max="7959" width="16.453125" style="3" customWidth="1"/>
    <col min="7960" max="8194" width="9" style="3"/>
    <col min="8195" max="8195" width="9.90625" style="3" customWidth="1"/>
    <col min="8196" max="8197" width="5.08984375" style="3" customWidth="1"/>
    <col min="8198" max="8198" width="9.6328125" style="3" customWidth="1"/>
    <col min="8199" max="8200" width="11.90625" style="3" customWidth="1"/>
    <col min="8201" max="8201" width="15.36328125" style="3" customWidth="1"/>
    <col min="8202" max="8202" width="10.90625" style="3" customWidth="1"/>
    <col min="8203" max="8213" width="13.36328125" style="3" customWidth="1"/>
    <col min="8214" max="8214" width="13.90625" style="3" customWidth="1"/>
    <col min="8215" max="8215" width="16.453125" style="3" customWidth="1"/>
    <col min="8216" max="8450" width="9" style="3"/>
    <col min="8451" max="8451" width="9.90625" style="3" customWidth="1"/>
    <col min="8452" max="8453" width="5.08984375" style="3" customWidth="1"/>
    <col min="8454" max="8454" width="9.6328125" style="3" customWidth="1"/>
    <col min="8455" max="8456" width="11.90625" style="3" customWidth="1"/>
    <col min="8457" max="8457" width="15.36328125" style="3" customWidth="1"/>
    <col min="8458" max="8458" width="10.90625" style="3" customWidth="1"/>
    <col min="8459" max="8469" width="13.36328125" style="3" customWidth="1"/>
    <col min="8470" max="8470" width="13.90625" style="3" customWidth="1"/>
    <col min="8471" max="8471" width="16.453125" style="3" customWidth="1"/>
    <col min="8472" max="8706" width="9" style="3"/>
    <col min="8707" max="8707" width="9.90625" style="3" customWidth="1"/>
    <col min="8708" max="8709" width="5.08984375" style="3" customWidth="1"/>
    <col min="8710" max="8710" width="9.6328125" style="3" customWidth="1"/>
    <col min="8711" max="8712" width="11.90625" style="3" customWidth="1"/>
    <col min="8713" max="8713" width="15.36328125" style="3" customWidth="1"/>
    <col min="8714" max="8714" width="10.90625" style="3" customWidth="1"/>
    <col min="8715" max="8725" width="13.36328125" style="3" customWidth="1"/>
    <col min="8726" max="8726" width="13.90625" style="3" customWidth="1"/>
    <col min="8727" max="8727" width="16.453125" style="3" customWidth="1"/>
    <col min="8728" max="8962" width="9" style="3"/>
    <col min="8963" max="8963" width="9.90625" style="3" customWidth="1"/>
    <col min="8964" max="8965" width="5.08984375" style="3" customWidth="1"/>
    <col min="8966" max="8966" width="9.6328125" style="3" customWidth="1"/>
    <col min="8967" max="8968" width="11.90625" style="3" customWidth="1"/>
    <col min="8969" max="8969" width="15.36328125" style="3" customWidth="1"/>
    <col min="8970" max="8970" width="10.90625" style="3" customWidth="1"/>
    <col min="8971" max="8981" width="13.36328125" style="3" customWidth="1"/>
    <col min="8982" max="8982" width="13.90625" style="3" customWidth="1"/>
    <col min="8983" max="8983" width="16.453125" style="3" customWidth="1"/>
    <col min="8984" max="9218" width="9" style="3"/>
    <col min="9219" max="9219" width="9.90625" style="3" customWidth="1"/>
    <col min="9220" max="9221" width="5.08984375" style="3" customWidth="1"/>
    <col min="9222" max="9222" width="9.6328125" style="3" customWidth="1"/>
    <col min="9223" max="9224" width="11.90625" style="3" customWidth="1"/>
    <col min="9225" max="9225" width="15.36328125" style="3" customWidth="1"/>
    <col min="9226" max="9226" width="10.90625" style="3" customWidth="1"/>
    <col min="9227" max="9237" width="13.36328125" style="3" customWidth="1"/>
    <col min="9238" max="9238" width="13.90625" style="3" customWidth="1"/>
    <col min="9239" max="9239" width="16.453125" style="3" customWidth="1"/>
    <col min="9240" max="9474" width="9" style="3"/>
    <col min="9475" max="9475" width="9.90625" style="3" customWidth="1"/>
    <col min="9476" max="9477" width="5.08984375" style="3" customWidth="1"/>
    <col min="9478" max="9478" width="9.6328125" style="3" customWidth="1"/>
    <col min="9479" max="9480" width="11.90625" style="3" customWidth="1"/>
    <col min="9481" max="9481" width="15.36328125" style="3" customWidth="1"/>
    <col min="9482" max="9482" width="10.90625" style="3" customWidth="1"/>
    <col min="9483" max="9493" width="13.36328125" style="3" customWidth="1"/>
    <col min="9494" max="9494" width="13.90625" style="3" customWidth="1"/>
    <col min="9495" max="9495" width="16.453125" style="3" customWidth="1"/>
    <col min="9496" max="9730" width="9" style="3"/>
    <col min="9731" max="9731" width="9.90625" style="3" customWidth="1"/>
    <col min="9732" max="9733" width="5.08984375" style="3" customWidth="1"/>
    <col min="9734" max="9734" width="9.6328125" style="3" customWidth="1"/>
    <col min="9735" max="9736" width="11.90625" style="3" customWidth="1"/>
    <col min="9737" max="9737" width="15.36328125" style="3" customWidth="1"/>
    <col min="9738" max="9738" width="10.90625" style="3" customWidth="1"/>
    <col min="9739" max="9749" width="13.36328125" style="3" customWidth="1"/>
    <col min="9750" max="9750" width="13.90625" style="3" customWidth="1"/>
    <col min="9751" max="9751" width="16.453125" style="3" customWidth="1"/>
    <col min="9752" max="9986" width="9" style="3"/>
    <col min="9987" max="9987" width="9.90625" style="3" customWidth="1"/>
    <col min="9988" max="9989" width="5.08984375" style="3" customWidth="1"/>
    <col min="9990" max="9990" width="9.6328125" style="3" customWidth="1"/>
    <col min="9991" max="9992" width="11.90625" style="3" customWidth="1"/>
    <col min="9993" max="9993" width="15.36328125" style="3" customWidth="1"/>
    <col min="9994" max="9994" width="10.90625" style="3" customWidth="1"/>
    <col min="9995" max="10005" width="13.36328125" style="3" customWidth="1"/>
    <col min="10006" max="10006" width="13.90625" style="3" customWidth="1"/>
    <col min="10007" max="10007" width="16.453125" style="3" customWidth="1"/>
    <col min="10008" max="10242" width="9" style="3"/>
    <col min="10243" max="10243" width="9.90625" style="3" customWidth="1"/>
    <col min="10244" max="10245" width="5.08984375" style="3" customWidth="1"/>
    <col min="10246" max="10246" width="9.6328125" style="3" customWidth="1"/>
    <col min="10247" max="10248" width="11.90625" style="3" customWidth="1"/>
    <col min="10249" max="10249" width="15.36328125" style="3" customWidth="1"/>
    <col min="10250" max="10250" width="10.90625" style="3" customWidth="1"/>
    <col min="10251" max="10261" width="13.36328125" style="3" customWidth="1"/>
    <col min="10262" max="10262" width="13.90625" style="3" customWidth="1"/>
    <col min="10263" max="10263" width="16.453125" style="3" customWidth="1"/>
    <col min="10264" max="10498" width="9" style="3"/>
    <col min="10499" max="10499" width="9.90625" style="3" customWidth="1"/>
    <col min="10500" max="10501" width="5.08984375" style="3" customWidth="1"/>
    <col min="10502" max="10502" width="9.6328125" style="3" customWidth="1"/>
    <col min="10503" max="10504" width="11.90625" style="3" customWidth="1"/>
    <col min="10505" max="10505" width="15.36328125" style="3" customWidth="1"/>
    <col min="10506" max="10506" width="10.90625" style="3" customWidth="1"/>
    <col min="10507" max="10517" width="13.36328125" style="3" customWidth="1"/>
    <col min="10518" max="10518" width="13.90625" style="3" customWidth="1"/>
    <col min="10519" max="10519" width="16.453125" style="3" customWidth="1"/>
    <col min="10520" max="10754" width="9" style="3"/>
    <col min="10755" max="10755" width="9.90625" style="3" customWidth="1"/>
    <col min="10756" max="10757" width="5.08984375" style="3" customWidth="1"/>
    <col min="10758" max="10758" width="9.6328125" style="3" customWidth="1"/>
    <col min="10759" max="10760" width="11.90625" style="3" customWidth="1"/>
    <col min="10761" max="10761" width="15.36328125" style="3" customWidth="1"/>
    <col min="10762" max="10762" width="10.90625" style="3" customWidth="1"/>
    <col min="10763" max="10773" width="13.36328125" style="3" customWidth="1"/>
    <col min="10774" max="10774" width="13.90625" style="3" customWidth="1"/>
    <col min="10775" max="10775" width="16.453125" style="3" customWidth="1"/>
    <col min="10776" max="11010" width="9" style="3"/>
    <col min="11011" max="11011" width="9.90625" style="3" customWidth="1"/>
    <col min="11012" max="11013" width="5.08984375" style="3" customWidth="1"/>
    <col min="11014" max="11014" width="9.6328125" style="3" customWidth="1"/>
    <col min="11015" max="11016" width="11.90625" style="3" customWidth="1"/>
    <col min="11017" max="11017" width="15.36328125" style="3" customWidth="1"/>
    <col min="11018" max="11018" width="10.90625" style="3" customWidth="1"/>
    <col min="11019" max="11029" width="13.36328125" style="3" customWidth="1"/>
    <col min="11030" max="11030" width="13.90625" style="3" customWidth="1"/>
    <col min="11031" max="11031" width="16.453125" style="3" customWidth="1"/>
    <col min="11032" max="11266" width="9" style="3"/>
    <col min="11267" max="11267" width="9.90625" style="3" customWidth="1"/>
    <col min="11268" max="11269" width="5.08984375" style="3" customWidth="1"/>
    <col min="11270" max="11270" width="9.6328125" style="3" customWidth="1"/>
    <col min="11271" max="11272" width="11.90625" style="3" customWidth="1"/>
    <col min="11273" max="11273" width="15.36328125" style="3" customWidth="1"/>
    <col min="11274" max="11274" width="10.90625" style="3" customWidth="1"/>
    <col min="11275" max="11285" width="13.36328125" style="3" customWidth="1"/>
    <col min="11286" max="11286" width="13.90625" style="3" customWidth="1"/>
    <col min="11287" max="11287" width="16.453125" style="3" customWidth="1"/>
    <col min="11288" max="11522" width="9" style="3"/>
    <col min="11523" max="11523" width="9.90625" style="3" customWidth="1"/>
    <col min="11524" max="11525" width="5.08984375" style="3" customWidth="1"/>
    <col min="11526" max="11526" width="9.6328125" style="3" customWidth="1"/>
    <col min="11527" max="11528" width="11.90625" style="3" customWidth="1"/>
    <col min="11529" max="11529" width="15.36328125" style="3" customWidth="1"/>
    <col min="11530" max="11530" width="10.90625" style="3" customWidth="1"/>
    <col min="11531" max="11541" width="13.36328125" style="3" customWidth="1"/>
    <col min="11542" max="11542" width="13.90625" style="3" customWidth="1"/>
    <col min="11543" max="11543" width="16.453125" style="3" customWidth="1"/>
    <col min="11544" max="11778" width="9" style="3"/>
    <col min="11779" max="11779" width="9.90625" style="3" customWidth="1"/>
    <col min="11780" max="11781" width="5.08984375" style="3" customWidth="1"/>
    <col min="11782" max="11782" width="9.6328125" style="3" customWidth="1"/>
    <col min="11783" max="11784" width="11.90625" style="3" customWidth="1"/>
    <col min="11785" max="11785" width="15.36328125" style="3" customWidth="1"/>
    <col min="11786" max="11786" width="10.90625" style="3" customWidth="1"/>
    <col min="11787" max="11797" width="13.36328125" style="3" customWidth="1"/>
    <col min="11798" max="11798" width="13.90625" style="3" customWidth="1"/>
    <col min="11799" max="11799" width="16.453125" style="3" customWidth="1"/>
    <col min="11800" max="12034" width="9" style="3"/>
    <col min="12035" max="12035" width="9.90625" style="3" customWidth="1"/>
    <col min="12036" max="12037" width="5.08984375" style="3" customWidth="1"/>
    <col min="12038" max="12038" width="9.6328125" style="3" customWidth="1"/>
    <col min="12039" max="12040" width="11.90625" style="3" customWidth="1"/>
    <col min="12041" max="12041" width="15.36328125" style="3" customWidth="1"/>
    <col min="12042" max="12042" width="10.90625" style="3" customWidth="1"/>
    <col min="12043" max="12053" width="13.36328125" style="3" customWidth="1"/>
    <col min="12054" max="12054" width="13.90625" style="3" customWidth="1"/>
    <col min="12055" max="12055" width="16.453125" style="3" customWidth="1"/>
    <col min="12056" max="12290" width="9" style="3"/>
    <col min="12291" max="12291" width="9.90625" style="3" customWidth="1"/>
    <col min="12292" max="12293" width="5.08984375" style="3" customWidth="1"/>
    <col min="12294" max="12294" width="9.6328125" style="3" customWidth="1"/>
    <col min="12295" max="12296" width="11.90625" style="3" customWidth="1"/>
    <col min="12297" max="12297" width="15.36328125" style="3" customWidth="1"/>
    <col min="12298" max="12298" width="10.90625" style="3" customWidth="1"/>
    <col min="12299" max="12309" width="13.36328125" style="3" customWidth="1"/>
    <col min="12310" max="12310" width="13.90625" style="3" customWidth="1"/>
    <col min="12311" max="12311" width="16.453125" style="3" customWidth="1"/>
    <col min="12312" max="12546" width="9" style="3"/>
    <col min="12547" max="12547" width="9.90625" style="3" customWidth="1"/>
    <col min="12548" max="12549" width="5.08984375" style="3" customWidth="1"/>
    <col min="12550" max="12550" width="9.6328125" style="3" customWidth="1"/>
    <col min="12551" max="12552" width="11.90625" style="3" customWidth="1"/>
    <col min="12553" max="12553" width="15.36328125" style="3" customWidth="1"/>
    <col min="12554" max="12554" width="10.90625" style="3" customWidth="1"/>
    <col min="12555" max="12565" width="13.36328125" style="3" customWidth="1"/>
    <col min="12566" max="12566" width="13.90625" style="3" customWidth="1"/>
    <col min="12567" max="12567" width="16.453125" style="3" customWidth="1"/>
    <col min="12568" max="12802" width="9" style="3"/>
    <col min="12803" max="12803" width="9.90625" style="3" customWidth="1"/>
    <col min="12804" max="12805" width="5.08984375" style="3" customWidth="1"/>
    <col min="12806" max="12806" width="9.6328125" style="3" customWidth="1"/>
    <col min="12807" max="12808" width="11.90625" style="3" customWidth="1"/>
    <col min="12809" max="12809" width="15.36328125" style="3" customWidth="1"/>
    <col min="12810" max="12810" width="10.90625" style="3" customWidth="1"/>
    <col min="12811" max="12821" width="13.36328125" style="3" customWidth="1"/>
    <col min="12822" max="12822" width="13.90625" style="3" customWidth="1"/>
    <col min="12823" max="12823" width="16.453125" style="3" customWidth="1"/>
    <col min="12824" max="13058" width="9" style="3"/>
    <col min="13059" max="13059" width="9.90625" style="3" customWidth="1"/>
    <col min="13060" max="13061" width="5.08984375" style="3" customWidth="1"/>
    <col min="13062" max="13062" width="9.6328125" style="3" customWidth="1"/>
    <col min="13063" max="13064" width="11.90625" style="3" customWidth="1"/>
    <col min="13065" max="13065" width="15.36328125" style="3" customWidth="1"/>
    <col min="13066" max="13066" width="10.90625" style="3" customWidth="1"/>
    <col min="13067" max="13077" width="13.36328125" style="3" customWidth="1"/>
    <col min="13078" max="13078" width="13.90625" style="3" customWidth="1"/>
    <col min="13079" max="13079" width="16.453125" style="3" customWidth="1"/>
    <col min="13080" max="13314" width="9" style="3"/>
    <col min="13315" max="13315" width="9.90625" style="3" customWidth="1"/>
    <col min="13316" max="13317" width="5.08984375" style="3" customWidth="1"/>
    <col min="13318" max="13318" width="9.6328125" style="3" customWidth="1"/>
    <col min="13319" max="13320" width="11.90625" style="3" customWidth="1"/>
    <col min="13321" max="13321" width="15.36328125" style="3" customWidth="1"/>
    <col min="13322" max="13322" width="10.90625" style="3" customWidth="1"/>
    <col min="13323" max="13333" width="13.36328125" style="3" customWidth="1"/>
    <col min="13334" max="13334" width="13.90625" style="3" customWidth="1"/>
    <col min="13335" max="13335" width="16.453125" style="3" customWidth="1"/>
    <col min="13336" max="13570" width="9" style="3"/>
    <col min="13571" max="13571" width="9.90625" style="3" customWidth="1"/>
    <col min="13572" max="13573" width="5.08984375" style="3" customWidth="1"/>
    <col min="13574" max="13574" width="9.6328125" style="3" customWidth="1"/>
    <col min="13575" max="13576" width="11.90625" style="3" customWidth="1"/>
    <col min="13577" max="13577" width="15.36328125" style="3" customWidth="1"/>
    <col min="13578" max="13578" width="10.90625" style="3" customWidth="1"/>
    <col min="13579" max="13589" width="13.36328125" style="3" customWidth="1"/>
    <col min="13590" max="13590" width="13.90625" style="3" customWidth="1"/>
    <col min="13591" max="13591" width="16.453125" style="3" customWidth="1"/>
    <col min="13592" max="13826" width="9" style="3"/>
    <col min="13827" max="13827" width="9.90625" style="3" customWidth="1"/>
    <col min="13828" max="13829" width="5.08984375" style="3" customWidth="1"/>
    <col min="13830" max="13830" width="9.6328125" style="3" customWidth="1"/>
    <col min="13831" max="13832" width="11.90625" style="3" customWidth="1"/>
    <col min="13833" max="13833" width="15.36328125" style="3" customWidth="1"/>
    <col min="13834" max="13834" width="10.90625" style="3" customWidth="1"/>
    <col min="13835" max="13845" width="13.36328125" style="3" customWidth="1"/>
    <col min="13846" max="13846" width="13.90625" style="3" customWidth="1"/>
    <col min="13847" max="13847" width="16.453125" style="3" customWidth="1"/>
    <col min="13848" max="14082" width="9" style="3"/>
    <col min="14083" max="14083" width="9.90625" style="3" customWidth="1"/>
    <col min="14084" max="14085" width="5.08984375" style="3" customWidth="1"/>
    <col min="14086" max="14086" width="9.6328125" style="3" customWidth="1"/>
    <col min="14087" max="14088" width="11.90625" style="3" customWidth="1"/>
    <col min="14089" max="14089" width="15.36328125" style="3" customWidth="1"/>
    <col min="14090" max="14090" width="10.90625" style="3" customWidth="1"/>
    <col min="14091" max="14101" width="13.36328125" style="3" customWidth="1"/>
    <col min="14102" max="14102" width="13.90625" style="3" customWidth="1"/>
    <col min="14103" max="14103" width="16.453125" style="3" customWidth="1"/>
    <col min="14104" max="14338" width="9" style="3"/>
    <col min="14339" max="14339" width="9.90625" style="3" customWidth="1"/>
    <col min="14340" max="14341" width="5.08984375" style="3" customWidth="1"/>
    <col min="14342" max="14342" width="9.6328125" style="3" customWidth="1"/>
    <col min="14343" max="14344" width="11.90625" style="3" customWidth="1"/>
    <col min="14345" max="14345" width="15.36328125" style="3" customWidth="1"/>
    <col min="14346" max="14346" width="10.90625" style="3" customWidth="1"/>
    <col min="14347" max="14357" width="13.36328125" style="3" customWidth="1"/>
    <col min="14358" max="14358" width="13.90625" style="3" customWidth="1"/>
    <col min="14359" max="14359" width="16.453125" style="3" customWidth="1"/>
    <col min="14360" max="14594" width="9" style="3"/>
    <col min="14595" max="14595" width="9.90625" style="3" customWidth="1"/>
    <col min="14596" max="14597" width="5.08984375" style="3" customWidth="1"/>
    <col min="14598" max="14598" width="9.6328125" style="3" customWidth="1"/>
    <col min="14599" max="14600" width="11.90625" style="3" customWidth="1"/>
    <col min="14601" max="14601" width="15.36328125" style="3" customWidth="1"/>
    <col min="14602" max="14602" width="10.90625" style="3" customWidth="1"/>
    <col min="14603" max="14613" width="13.36328125" style="3" customWidth="1"/>
    <col min="14614" max="14614" width="13.90625" style="3" customWidth="1"/>
    <col min="14615" max="14615" width="16.453125" style="3" customWidth="1"/>
    <col min="14616" max="14850" width="9" style="3"/>
    <col min="14851" max="14851" width="9.90625" style="3" customWidth="1"/>
    <col min="14852" max="14853" width="5.08984375" style="3" customWidth="1"/>
    <col min="14854" max="14854" width="9.6328125" style="3" customWidth="1"/>
    <col min="14855" max="14856" width="11.90625" style="3" customWidth="1"/>
    <col min="14857" max="14857" width="15.36328125" style="3" customWidth="1"/>
    <col min="14858" max="14858" width="10.90625" style="3" customWidth="1"/>
    <col min="14859" max="14869" width="13.36328125" style="3" customWidth="1"/>
    <col min="14870" max="14870" width="13.90625" style="3" customWidth="1"/>
    <col min="14871" max="14871" width="16.453125" style="3" customWidth="1"/>
    <col min="14872" max="15106" width="9" style="3"/>
    <col min="15107" max="15107" width="9.90625" style="3" customWidth="1"/>
    <col min="15108" max="15109" width="5.08984375" style="3" customWidth="1"/>
    <col min="15110" max="15110" width="9.6328125" style="3" customWidth="1"/>
    <col min="15111" max="15112" width="11.90625" style="3" customWidth="1"/>
    <col min="15113" max="15113" width="15.36328125" style="3" customWidth="1"/>
    <col min="15114" max="15114" width="10.90625" style="3" customWidth="1"/>
    <col min="15115" max="15125" width="13.36328125" style="3" customWidth="1"/>
    <col min="15126" max="15126" width="13.90625" style="3" customWidth="1"/>
    <col min="15127" max="15127" width="16.453125" style="3" customWidth="1"/>
    <col min="15128" max="15362" width="9" style="3"/>
    <col min="15363" max="15363" width="9.90625" style="3" customWidth="1"/>
    <col min="15364" max="15365" width="5.08984375" style="3" customWidth="1"/>
    <col min="15366" max="15366" width="9.6328125" style="3" customWidth="1"/>
    <col min="15367" max="15368" width="11.90625" style="3" customWidth="1"/>
    <col min="15369" max="15369" width="15.36328125" style="3" customWidth="1"/>
    <col min="15370" max="15370" width="10.90625" style="3" customWidth="1"/>
    <col min="15371" max="15381" width="13.36328125" style="3" customWidth="1"/>
    <col min="15382" max="15382" width="13.90625" style="3" customWidth="1"/>
    <col min="15383" max="15383" width="16.453125" style="3" customWidth="1"/>
    <col min="15384" max="15618" width="9" style="3"/>
    <col min="15619" max="15619" width="9.90625" style="3" customWidth="1"/>
    <col min="15620" max="15621" width="5.08984375" style="3" customWidth="1"/>
    <col min="15622" max="15622" width="9.6328125" style="3" customWidth="1"/>
    <col min="15623" max="15624" width="11.90625" style="3" customWidth="1"/>
    <col min="15625" max="15625" width="15.36328125" style="3" customWidth="1"/>
    <col min="15626" max="15626" width="10.90625" style="3" customWidth="1"/>
    <col min="15627" max="15637" width="13.36328125" style="3" customWidth="1"/>
    <col min="15638" max="15638" width="13.90625" style="3" customWidth="1"/>
    <col min="15639" max="15639" width="16.453125" style="3" customWidth="1"/>
    <col min="15640" max="15874" width="9" style="3"/>
    <col min="15875" max="15875" width="9.90625" style="3" customWidth="1"/>
    <col min="15876" max="15877" width="5.08984375" style="3" customWidth="1"/>
    <col min="15878" max="15878" width="9.6328125" style="3" customWidth="1"/>
    <col min="15879" max="15880" width="11.90625" style="3" customWidth="1"/>
    <col min="15881" max="15881" width="15.36328125" style="3" customWidth="1"/>
    <col min="15882" max="15882" width="10.90625" style="3" customWidth="1"/>
    <col min="15883" max="15893" width="13.36328125" style="3" customWidth="1"/>
    <col min="15894" max="15894" width="13.90625" style="3" customWidth="1"/>
    <col min="15895" max="15895" width="16.453125" style="3" customWidth="1"/>
    <col min="15896" max="16130" width="9" style="3"/>
    <col min="16131" max="16131" width="9.90625" style="3" customWidth="1"/>
    <col min="16132" max="16133" width="5.08984375" style="3" customWidth="1"/>
    <col min="16134" max="16134" width="9.6328125" style="3" customWidth="1"/>
    <col min="16135" max="16136" width="11.90625" style="3" customWidth="1"/>
    <col min="16137" max="16137" width="15.36328125" style="3" customWidth="1"/>
    <col min="16138" max="16138" width="10.90625" style="3" customWidth="1"/>
    <col min="16139" max="16149" width="13.36328125" style="3" customWidth="1"/>
    <col min="16150" max="16150" width="13.90625" style="3" customWidth="1"/>
    <col min="16151" max="16151" width="16.453125" style="3" customWidth="1"/>
    <col min="16152" max="16383" width="9" style="3"/>
    <col min="16384" max="16384" width="9" style="3" customWidth="1"/>
  </cols>
  <sheetData>
    <row r="1" spans="1:23" s="1" customFormat="1" ht="36">
      <c r="A1" s="319" t="s">
        <v>67</v>
      </c>
      <c r="B1" s="1" t="s">
        <v>68</v>
      </c>
      <c r="C1" s="72" t="s">
        <v>0</v>
      </c>
      <c r="D1" s="73" t="s">
        <v>1</v>
      </c>
      <c r="E1" s="73" t="s">
        <v>2</v>
      </c>
      <c r="F1" s="74" t="s">
        <v>3</v>
      </c>
      <c r="G1" s="74" t="s">
        <v>4</v>
      </c>
      <c r="H1" s="75" t="s">
        <v>5</v>
      </c>
      <c r="I1" s="76" t="s">
        <v>6</v>
      </c>
      <c r="J1" s="22" t="s">
        <v>7</v>
      </c>
      <c r="K1" s="29" t="s">
        <v>8</v>
      </c>
      <c r="L1" s="39" t="s">
        <v>9</v>
      </c>
      <c r="M1" s="39" t="s">
        <v>10</v>
      </c>
      <c r="N1" s="39" t="s">
        <v>11</v>
      </c>
      <c r="O1" s="39" t="s">
        <v>12</v>
      </c>
      <c r="P1" s="39" t="s">
        <v>13</v>
      </c>
      <c r="Q1" s="39" t="s">
        <v>14</v>
      </c>
      <c r="R1" s="39" t="s">
        <v>15</v>
      </c>
      <c r="S1" s="39" t="s">
        <v>16</v>
      </c>
      <c r="T1" s="39" t="s">
        <v>17</v>
      </c>
      <c r="U1" s="39" t="s">
        <v>18</v>
      </c>
      <c r="V1" s="132" t="s">
        <v>19</v>
      </c>
      <c r="W1" s="23" t="s">
        <v>20</v>
      </c>
    </row>
    <row r="2" spans="1:23" s="1" customFormat="1">
      <c r="A2" s="16"/>
      <c r="B2" s="80"/>
      <c r="C2" s="353" t="s">
        <v>65</v>
      </c>
      <c r="D2" s="354"/>
      <c r="E2" s="354"/>
      <c r="F2" s="354"/>
      <c r="G2" s="354"/>
      <c r="H2" s="354"/>
      <c r="I2" s="355"/>
      <c r="J2" s="282" t="s">
        <v>21</v>
      </c>
      <c r="K2" s="46">
        <f t="shared" ref="K2:V2" si="0">K5+K6</f>
        <v>50400</v>
      </c>
      <c r="L2" s="43">
        <f t="shared" si="0"/>
        <v>990400</v>
      </c>
      <c r="M2" s="43">
        <f t="shared" si="0"/>
        <v>50400</v>
      </c>
      <c r="N2" s="43">
        <f t="shared" si="0"/>
        <v>50400</v>
      </c>
      <c r="O2" s="43">
        <f t="shared" si="0"/>
        <v>450400</v>
      </c>
      <c r="P2" s="43">
        <f t="shared" si="0"/>
        <v>50400</v>
      </c>
      <c r="Q2" s="43">
        <f t="shared" si="0"/>
        <v>250400</v>
      </c>
      <c r="R2" s="43">
        <f t="shared" si="0"/>
        <v>50400</v>
      </c>
      <c r="S2" s="43">
        <f t="shared" si="0"/>
        <v>980400</v>
      </c>
      <c r="T2" s="43">
        <f t="shared" si="0"/>
        <v>50400</v>
      </c>
      <c r="U2" s="43">
        <f t="shared" si="0"/>
        <v>50400</v>
      </c>
      <c r="V2" s="107">
        <f t="shared" si="0"/>
        <v>50400</v>
      </c>
      <c r="W2" s="52">
        <f t="shared" ref="W2:W7" si="1">SUM(K2:V2)</f>
        <v>3074800</v>
      </c>
    </row>
    <row r="3" spans="1:23" s="1" customFormat="1">
      <c r="A3" s="16"/>
      <c r="B3" s="80"/>
      <c r="C3" s="356"/>
      <c r="D3" s="357"/>
      <c r="E3" s="357"/>
      <c r="F3" s="357"/>
      <c r="G3" s="357"/>
      <c r="H3" s="357"/>
      <c r="I3" s="358"/>
      <c r="J3" s="283" t="s">
        <v>22</v>
      </c>
      <c r="K3" s="47">
        <f>K34</f>
        <v>0</v>
      </c>
      <c r="L3" s="44">
        <f t="shared" ref="L3:V3" si="2">L34</f>
        <v>180000</v>
      </c>
      <c r="M3" s="44">
        <f t="shared" si="2"/>
        <v>0</v>
      </c>
      <c r="N3" s="44">
        <f t="shared" si="2"/>
        <v>0</v>
      </c>
      <c r="O3" s="44">
        <f t="shared" si="2"/>
        <v>70000</v>
      </c>
      <c r="P3" s="44">
        <f t="shared" si="2"/>
        <v>140000</v>
      </c>
      <c r="Q3" s="44">
        <f t="shared" si="2"/>
        <v>60000</v>
      </c>
      <c r="R3" s="44">
        <f t="shared" si="2"/>
        <v>0</v>
      </c>
      <c r="S3" s="44">
        <f t="shared" si="2"/>
        <v>0</v>
      </c>
      <c r="T3" s="44">
        <f t="shared" si="2"/>
        <v>210000</v>
      </c>
      <c r="U3" s="44">
        <f t="shared" si="2"/>
        <v>140000</v>
      </c>
      <c r="V3" s="108">
        <f t="shared" si="2"/>
        <v>0</v>
      </c>
      <c r="W3" s="54">
        <f t="shared" si="1"/>
        <v>800000</v>
      </c>
    </row>
    <row r="4" spans="1:23" s="1" customFormat="1">
      <c r="A4" s="16"/>
      <c r="B4" s="80"/>
      <c r="C4" s="359"/>
      <c r="D4" s="360"/>
      <c r="E4" s="360"/>
      <c r="F4" s="360"/>
      <c r="G4" s="360"/>
      <c r="H4" s="360"/>
      <c r="I4" s="361"/>
      <c r="J4" s="284" t="s">
        <v>23</v>
      </c>
      <c r="K4" s="48">
        <f>K2-K3</f>
        <v>50400</v>
      </c>
      <c r="L4" s="45">
        <f>L2-L3</f>
        <v>810400</v>
      </c>
      <c r="M4" s="45">
        <f t="shared" ref="M4:V4" si="3">M2-M3</f>
        <v>50400</v>
      </c>
      <c r="N4" s="45">
        <f t="shared" si="3"/>
        <v>50400</v>
      </c>
      <c r="O4" s="45">
        <f t="shared" si="3"/>
        <v>380400</v>
      </c>
      <c r="P4" s="45">
        <f t="shared" si="3"/>
        <v>-89600</v>
      </c>
      <c r="Q4" s="45">
        <f t="shared" si="3"/>
        <v>190400</v>
      </c>
      <c r="R4" s="45">
        <f t="shared" si="3"/>
        <v>50400</v>
      </c>
      <c r="S4" s="45">
        <f t="shared" si="3"/>
        <v>980400</v>
      </c>
      <c r="T4" s="45">
        <f>T2-T3</f>
        <v>-159600</v>
      </c>
      <c r="U4" s="45">
        <f>U2-U3</f>
        <v>-89600</v>
      </c>
      <c r="V4" s="109">
        <f t="shared" si="3"/>
        <v>50400</v>
      </c>
      <c r="W4" s="55">
        <f t="shared" si="1"/>
        <v>2274800</v>
      </c>
    </row>
    <row r="5" spans="1:23" s="1" customFormat="1" ht="27.75" customHeight="1">
      <c r="A5" s="16"/>
      <c r="B5" s="80"/>
      <c r="C5" s="362" t="s">
        <v>39</v>
      </c>
      <c r="D5" s="363"/>
      <c r="E5" s="363"/>
      <c r="F5" s="363"/>
      <c r="G5" s="363"/>
      <c r="H5" s="363"/>
      <c r="I5" s="364"/>
      <c r="J5" s="285"/>
      <c r="K5" s="38"/>
      <c r="L5" s="37">
        <f>460000+480000</f>
        <v>940000</v>
      </c>
      <c r="M5" s="37"/>
      <c r="N5" s="37"/>
      <c r="O5" s="37">
        <f>400000</f>
        <v>400000</v>
      </c>
      <c r="P5" s="37"/>
      <c r="Q5" s="37">
        <v>200000</v>
      </c>
      <c r="R5" s="37"/>
      <c r="S5" s="37">
        <f>580000+350000</f>
        <v>930000</v>
      </c>
      <c r="T5" s="37"/>
      <c r="U5" s="37"/>
      <c r="V5" s="130"/>
      <c r="W5" s="56">
        <f t="shared" si="1"/>
        <v>2470000</v>
      </c>
    </row>
    <row r="6" spans="1:23" s="1" customFormat="1" ht="27.75" customHeight="1">
      <c r="A6" s="16"/>
      <c r="B6" s="81"/>
      <c r="C6" s="362" t="s">
        <v>62</v>
      </c>
      <c r="D6" s="363"/>
      <c r="E6" s="363"/>
      <c r="F6" s="363"/>
      <c r="G6" s="363"/>
      <c r="H6" s="363"/>
      <c r="I6" s="364"/>
      <c r="J6" s="286"/>
      <c r="K6" s="45">
        <v>50400</v>
      </c>
      <c r="L6" s="45">
        <v>50400</v>
      </c>
      <c r="M6" s="45">
        <v>50400</v>
      </c>
      <c r="N6" s="45">
        <v>50400</v>
      </c>
      <c r="O6" s="45">
        <v>50400</v>
      </c>
      <c r="P6" s="45">
        <v>50400</v>
      </c>
      <c r="Q6" s="45">
        <v>50400</v>
      </c>
      <c r="R6" s="45">
        <v>50400</v>
      </c>
      <c r="S6" s="45">
        <v>50400</v>
      </c>
      <c r="T6" s="45">
        <v>50400</v>
      </c>
      <c r="U6" s="45">
        <v>50400</v>
      </c>
      <c r="V6" s="62">
        <v>50400</v>
      </c>
      <c r="W6" s="56">
        <f t="shared" si="1"/>
        <v>604800</v>
      </c>
    </row>
    <row r="7" spans="1:23">
      <c r="A7" s="17">
        <v>6000002</v>
      </c>
      <c r="B7" s="81" t="s">
        <v>63</v>
      </c>
      <c r="C7" s="368">
        <f>1</f>
        <v>1</v>
      </c>
      <c r="D7" s="350"/>
      <c r="E7" s="350"/>
      <c r="F7" s="347" t="s">
        <v>63</v>
      </c>
      <c r="G7" s="350" t="s">
        <v>50</v>
      </c>
      <c r="H7" s="350"/>
      <c r="I7" s="365"/>
      <c r="J7" s="98" t="s">
        <v>24</v>
      </c>
      <c r="K7" s="84">
        <f>SUM(K8:K14)</f>
        <v>0</v>
      </c>
      <c r="L7" s="85">
        <f t="shared" ref="L7:V7" si="4">SUM(L8:L14)</f>
        <v>0</v>
      </c>
      <c r="M7" s="85">
        <f t="shared" si="4"/>
        <v>0</v>
      </c>
      <c r="N7" s="85">
        <f t="shared" si="4"/>
        <v>0</v>
      </c>
      <c r="O7" s="85">
        <f t="shared" si="4"/>
        <v>0</v>
      </c>
      <c r="P7" s="85">
        <f t="shared" si="4"/>
        <v>0</v>
      </c>
      <c r="Q7" s="85">
        <f t="shared" si="4"/>
        <v>0</v>
      </c>
      <c r="R7" s="85">
        <f t="shared" si="4"/>
        <v>0</v>
      </c>
      <c r="S7" s="85">
        <f t="shared" si="4"/>
        <v>0</v>
      </c>
      <c r="T7" s="85">
        <f t="shared" si="4"/>
        <v>0</v>
      </c>
      <c r="U7" s="85">
        <f t="shared" si="4"/>
        <v>0</v>
      </c>
      <c r="V7" s="90">
        <f t="shared" si="4"/>
        <v>0</v>
      </c>
      <c r="W7" s="91">
        <f t="shared" si="1"/>
        <v>0</v>
      </c>
    </row>
    <row r="8" spans="1:23">
      <c r="A8" s="17">
        <v>2020012</v>
      </c>
      <c r="C8" s="369"/>
      <c r="D8" s="351"/>
      <c r="E8" s="351"/>
      <c r="F8" s="348"/>
      <c r="G8" s="351"/>
      <c r="H8" s="351"/>
      <c r="I8" s="366"/>
      <c r="J8" s="287" t="s">
        <v>78</v>
      </c>
      <c r="K8" s="66"/>
      <c r="L8" s="41"/>
      <c r="M8" s="41"/>
      <c r="N8" s="41"/>
      <c r="O8" s="41"/>
      <c r="P8" s="41"/>
      <c r="Q8" s="41"/>
      <c r="R8" s="41"/>
      <c r="S8" s="59"/>
      <c r="T8" s="41"/>
      <c r="U8" s="41"/>
      <c r="V8" s="245"/>
      <c r="W8" s="250">
        <f>SUM(K8:V8)</f>
        <v>0</v>
      </c>
    </row>
    <row r="9" spans="1:23">
      <c r="A9" s="18">
        <v>2009001</v>
      </c>
      <c r="C9" s="369"/>
      <c r="D9" s="351"/>
      <c r="E9" s="351"/>
      <c r="F9" s="348"/>
      <c r="G9" s="351"/>
      <c r="H9" s="351"/>
      <c r="I9" s="366"/>
      <c r="J9" s="287" t="s">
        <v>76</v>
      </c>
      <c r="K9" s="66"/>
      <c r="L9" s="41"/>
      <c r="M9" s="41"/>
      <c r="N9" s="41"/>
      <c r="O9" s="41"/>
      <c r="P9" s="41"/>
      <c r="Q9" s="41"/>
      <c r="R9" s="41"/>
      <c r="S9" s="59"/>
      <c r="T9" s="41"/>
      <c r="U9" s="41"/>
      <c r="V9" s="245"/>
      <c r="W9" s="250">
        <f t="shared" ref="W9:W14" si="5">SUM(K9:V9)</f>
        <v>0</v>
      </c>
    </row>
    <row r="10" spans="1:23">
      <c r="A10" s="19">
        <v>2007001</v>
      </c>
      <c r="B10" s="15"/>
      <c r="C10" s="369"/>
      <c r="D10" s="351"/>
      <c r="E10" s="351"/>
      <c r="F10" s="348"/>
      <c r="G10" s="351"/>
      <c r="H10" s="351"/>
      <c r="I10" s="366"/>
      <c r="J10" s="287" t="s">
        <v>74</v>
      </c>
      <c r="K10" s="66"/>
      <c r="L10" s="41"/>
      <c r="M10" s="41"/>
      <c r="N10" s="41"/>
      <c r="O10" s="41"/>
      <c r="P10" s="41"/>
      <c r="Q10" s="41"/>
      <c r="R10" s="41"/>
      <c r="S10" s="59"/>
      <c r="T10" s="41"/>
      <c r="U10" s="41"/>
      <c r="V10" s="245"/>
      <c r="W10" s="250">
        <f t="shared" si="5"/>
        <v>0</v>
      </c>
    </row>
    <row r="11" spans="1:23">
      <c r="A11" s="19">
        <v>2015019</v>
      </c>
      <c r="B11" s="15"/>
      <c r="C11" s="369"/>
      <c r="D11" s="351"/>
      <c r="E11" s="351"/>
      <c r="F11" s="348"/>
      <c r="G11" s="351"/>
      <c r="H11" s="351"/>
      <c r="I11" s="366"/>
      <c r="J11" s="287" t="s">
        <v>75</v>
      </c>
      <c r="K11" s="66"/>
      <c r="L11" s="41"/>
      <c r="M11" s="41"/>
      <c r="N11" s="41"/>
      <c r="O11" s="41"/>
      <c r="P11" s="41"/>
      <c r="Q11" s="41"/>
      <c r="R11" s="41"/>
      <c r="S11" s="59"/>
      <c r="T11" s="41"/>
      <c r="U11" s="41"/>
      <c r="V11" s="245"/>
      <c r="W11" s="250">
        <f t="shared" si="5"/>
        <v>0</v>
      </c>
    </row>
    <row r="12" spans="1:23">
      <c r="A12" s="18">
        <v>2017016</v>
      </c>
      <c r="C12" s="369"/>
      <c r="D12" s="351"/>
      <c r="E12" s="351"/>
      <c r="F12" s="348"/>
      <c r="G12" s="351"/>
      <c r="H12" s="351"/>
      <c r="I12" s="366"/>
      <c r="J12" s="287" t="s">
        <v>73</v>
      </c>
      <c r="K12" s="66"/>
      <c r="L12" s="41"/>
      <c r="M12" s="41"/>
      <c r="N12" s="41"/>
      <c r="O12" s="41"/>
      <c r="P12" s="41"/>
      <c r="Q12" s="41"/>
      <c r="R12" s="41"/>
      <c r="S12" s="59"/>
      <c r="T12" s="41"/>
      <c r="U12" s="41"/>
      <c r="V12" s="245"/>
      <c r="W12" s="250">
        <f t="shared" si="5"/>
        <v>0</v>
      </c>
    </row>
    <row r="13" spans="1:23">
      <c r="A13" s="17">
        <v>2013011</v>
      </c>
      <c r="C13" s="369"/>
      <c r="D13" s="351"/>
      <c r="E13" s="351"/>
      <c r="F13" s="348"/>
      <c r="G13" s="351"/>
      <c r="H13" s="351"/>
      <c r="I13" s="366"/>
      <c r="J13" s="288" t="s">
        <v>72</v>
      </c>
      <c r="K13" s="67"/>
      <c r="L13" s="42"/>
      <c r="M13" s="42"/>
      <c r="N13" s="42"/>
      <c r="O13" s="42"/>
      <c r="P13" s="42"/>
      <c r="Q13" s="42"/>
      <c r="R13" s="42"/>
      <c r="S13" s="60"/>
      <c r="T13" s="42"/>
      <c r="U13" s="42"/>
      <c r="V13" s="246"/>
      <c r="W13" s="250">
        <f t="shared" si="5"/>
        <v>0</v>
      </c>
    </row>
    <row r="14" spans="1:23">
      <c r="C14" s="370"/>
      <c r="D14" s="352"/>
      <c r="E14" s="352"/>
      <c r="F14" s="349"/>
      <c r="G14" s="352"/>
      <c r="H14" s="352"/>
      <c r="I14" s="367"/>
      <c r="J14" s="289" t="s">
        <v>80</v>
      </c>
      <c r="K14" s="104"/>
      <c r="L14" s="105"/>
      <c r="M14" s="105"/>
      <c r="N14" s="105"/>
      <c r="O14" s="105"/>
      <c r="P14" s="105"/>
      <c r="Q14" s="105"/>
      <c r="R14" s="105"/>
      <c r="S14" s="106"/>
      <c r="T14" s="105"/>
      <c r="U14" s="105"/>
      <c r="V14" s="247"/>
      <c r="W14" s="250">
        <f t="shared" si="5"/>
        <v>0</v>
      </c>
    </row>
    <row r="15" spans="1:23" ht="12" customHeight="1">
      <c r="A15" s="19">
        <v>6000003</v>
      </c>
      <c r="B15" s="81" t="s">
        <v>71</v>
      </c>
      <c r="C15" s="390">
        <f>C7+1</f>
        <v>2</v>
      </c>
      <c r="D15" s="387"/>
      <c r="E15" s="387"/>
      <c r="F15" s="393" t="s">
        <v>64</v>
      </c>
      <c r="G15" s="387"/>
      <c r="H15" s="387"/>
      <c r="I15" s="384"/>
      <c r="J15" s="98" t="s">
        <v>24</v>
      </c>
      <c r="K15" s="84">
        <f t="shared" ref="K15:V15" si="6">SUM(K16:K33)</f>
        <v>0</v>
      </c>
      <c r="L15" s="85">
        <f t="shared" si="6"/>
        <v>180000</v>
      </c>
      <c r="M15" s="85">
        <f t="shared" si="6"/>
        <v>0</v>
      </c>
      <c r="N15" s="85">
        <f t="shared" si="6"/>
        <v>0</v>
      </c>
      <c r="O15" s="85">
        <f t="shared" si="6"/>
        <v>70000</v>
      </c>
      <c r="P15" s="85">
        <f t="shared" si="6"/>
        <v>140000</v>
      </c>
      <c r="Q15" s="85">
        <f t="shared" si="6"/>
        <v>60000</v>
      </c>
      <c r="R15" s="85">
        <f t="shared" si="6"/>
        <v>0</v>
      </c>
      <c r="S15" s="89">
        <f t="shared" si="6"/>
        <v>0</v>
      </c>
      <c r="T15" s="85">
        <f t="shared" si="6"/>
        <v>210000</v>
      </c>
      <c r="U15" s="85">
        <f t="shared" si="6"/>
        <v>140000</v>
      </c>
      <c r="V15" s="244">
        <f t="shared" si="6"/>
        <v>0</v>
      </c>
      <c r="W15" s="91">
        <f>SUM(K15:V15)</f>
        <v>800000</v>
      </c>
    </row>
    <row r="16" spans="1:23" ht="13.4" customHeight="1">
      <c r="C16" s="391"/>
      <c r="D16" s="388"/>
      <c r="E16" s="388"/>
      <c r="F16" s="394"/>
      <c r="G16" s="388"/>
      <c r="H16" s="388"/>
      <c r="I16" s="385"/>
      <c r="J16" s="290" t="s">
        <v>51</v>
      </c>
      <c r="K16" s="66"/>
      <c r="L16" s="41"/>
      <c r="M16" s="41"/>
      <c r="N16" s="41"/>
      <c r="O16" s="41"/>
      <c r="P16" s="41"/>
      <c r="Q16" s="41"/>
      <c r="R16" s="41"/>
      <c r="S16" s="59"/>
      <c r="T16" s="41"/>
      <c r="U16" s="41"/>
      <c r="V16" s="245"/>
      <c r="W16" s="250">
        <f>SUM(K16:V16)</f>
        <v>0</v>
      </c>
    </row>
    <row r="17" spans="1:23" ht="13.4" customHeight="1">
      <c r="A17" s="19"/>
      <c r="B17" s="15"/>
      <c r="C17" s="391"/>
      <c r="D17" s="388"/>
      <c r="E17" s="388"/>
      <c r="F17" s="394"/>
      <c r="G17" s="388"/>
      <c r="H17" s="388"/>
      <c r="I17" s="385"/>
      <c r="J17" s="291" t="s">
        <v>87</v>
      </c>
      <c r="K17" s="199"/>
      <c r="L17" s="198"/>
      <c r="M17" s="198"/>
      <c r="N17" s="198"/>
      <c r="O17" s="198"/>
      <c r="P17" s="198"/>
      <c r="Q17" s="198"/>
      <c r="R17" s="198"/>
      <c r="S17" s="200"/>
      <c r="T17" s="96">
        <f>35000*2</f>
        <v>70000</v>
      </c>
      <c r="U17" s="198"/>
      <c r="V17" s="253"/>
      <c r="W17" s="250">
        <f t="shared" ref="W17:W32" si="7">SUM(K17:V17)</f>
        <v>70000</v>
      </c>
    </row>
    <row r="18" spans="1:23" ht="13.4" customHeight="1">
      <c r="C18" s="391"/>
      <c r="D18" s="388"/>
      <c r="E18" s="388"/>
      <c r="F18" s="394"/>
      <c r="G18" s="388"/>
      <c r="H18" s="388"/>
      <c r="I18" s="385"/>
      <c r="J18" s="287" t="s">
        <v>52</v>
      </c>
      <c r="K18" s="66"/>
      <c r="L18" s="41"/>
      <c r="M18" s="41"/>
      <c r="N18" s="41"/>
      <c r="O18" s="41"/>
      <c r="P18" s="41"/>
      <c r="Q18" s="41"/>
      <c r="R18" s="41"/>
      <c r="S18" s="59"/>
      <c r="T18" s="41"/>
      <c r="U18" s="41"/>
      <c r="V18" s="245"/>
      <c r="W18" s="250">
        <f t="shared" si="7"/>
        <v>0</v>
      </c>
    </row>
    <row r="19" spans="1:23" ht="13.4" customHeight="1">
      <c r="C19" s="391"/>
      <c r="D19" s="388"/>
      <c r="E19" s="388"/>
      <c r="F19" s="394"/>
      <c r="G19" s="388"/>
      <c r="H19" s="388"/>
      <c r="I19" s="385"/>
      <c r="J19" s="287" t="s">
        <v>81</v>
      </c>
      <c r="K19" s="95"/>
      <c r="L19" s="96"/>
      <c r="M19" s="96"/>
      <c r="N19" s="96"/>
      <c r="O19" s="96"/>
      <c r="P19" s="96"/>
      <c r="Q19" s="96"/>
      <c r="R19" s="96"/>
      <c r="S19" s="97"/>
      <c r="T19" s="96"/>
      <c r="U19" s="96"/>
      <c r="V19" s="248"/>
      <c r="W19" s="250">
        <f t="shared" si="7"/>
        <v>0</v>
      </c>
    </row>
    <row r="20" spans="1:23" ht="13.4" customHeight="1">
      <c r="A20" s="17">
        <v>2020012</v>
      </c>
      <c r="C20" s="391"/>
      <c r="D20" s="388"/>
      <c r="E20" s="388"/>
      <c r="F20" s="394"/>
      <c r="G20" s="388"/>
      <c r="H20" s="388"/>
      <c r="I20" s="385"/>
      <c r="J20" s="287" t="s">
        <v>78</v>
      </c>
      <c r="K20" s="95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248"/>
      <c r="W20" s="250">
        <f t="shared" si="7"/>
        <v>0</v>
      </c>
    </row>
    <row r="21" spans="1:23" ht="13.4" customHeight="1">
      <c r="A21" s="18">
        <v>2009001</v>
      </c>
      <c r="C21" s="391"/>
      <c r="D21" s="388"/>
      <c r="E21" s="388"/>
      <c r="F21" s="394"/>
      <c r="G21" s="388"/>
      <c r="H21" s="388"/>
      <c r="I21" s="385"/>
      <c r="J21" s="287" t="s">
        <v>76</v>
      </c>
      <c r="K21" s="95"/>
      <c r="L21" s="96"/>
      <c r="M21" s="96"/>
      <c r="N21" s="96"/>
      <c r="O21" s="96">
        <f>35000*2</f>
        <v>70000</v>
      </c>
      <c r="P21" s="96">
        <f>35000*2</f>
        <v>70000</v>
      </c>
      <c r="Q21" s="96"/>
      <c r="R21" s="96"/>
      <c r="S21" s="97"/>
      <c r="T21" s="96">
        <f>35000*2</f>
        <v>70000</v>
      </c>
      <c r="U21" s="96">
        <f>35000*2</f>
        <v>70000</v>
      </c>
      <c r="V21" s="248"/>
      <c r="W21" s="250">
        <f t="shared" si="7"/>
        <v>280000</v>
      </c>
    </row>
    <row r="22" spans="1:23" ht="13.4" customHeight="1">
      <c r="A22" s="18">
        <v>2007001</v>
      </c>
      <c r="C22" s="391"/>
      <c r="D22" s="388"/>
      <c r="E22" s="388"/>
      <c r="F22" s="394"/>
      <c r="G22" s="388"/>
      <c r="H22" s="388"/>
      <c r="I22" s="385"/>
      <c r="J22" s="287" t="s">
        <v>86</v>
      </c>
      <c r="K22" s="95"/>
      <c r="L22" s="96"/>
      <c r="M22" s="96"/>
      <c r="N22" s="96"/>
      <c r="O22" s="96"/>
      <c r="P22" s="96">
        <f>35000*2</f>
        <v>70000</v>
      </c>
      <c r="Q22" s="96"/>
      <c r="R22" s="96"/>
      <c r="S22" s="97"/>
      <c r="T22" s="96">
        <f>35000*2</f>
        <v>70000</v>
      </c>
      <c r="U22" s="96">
        <f>35000*2</f>
        <v>70000</v>
      </c>
      <c r="V22" s="248"/>
      <c r="W22" s="250">
        <f t="shared" ref="W22" si="8">SUM(K22:V22)</f>
        <v>210000</v>
      </c>
    </row>
    <row r="23" spans="1:23" ht="13.4" customHeight="1">
      <c r="A23" s="18">
        <v>2017026</v>
      </c>
      <c r="C23" s="391"/>
      <c r="D23" s="388"/>
      <c r="E23" s="388"/>
      <c r="F23" s="394"/>
      <c r="G23" s="388"/>
      <c r="H23" s="388"/>
      <c r="I23" s="385"/>
      <c r="J23" s="287" t="s">
        <v>66</v>
      </c>
      <c r="K23" s="95"/>
      <c r="L23" s="96"/>
      <c r="M23" s="96"/>
      <c r="N23" s="96"/>
      <c r="O23" s="96"/>
      <c r="P23" s="96"/>
      <c r="Q23" s="96"/>
      <c r="R23" s="96"/>
      <c r="S23" s="97"/>
      <c r="T23" s="96"/>
      <c r="U23" s="96"/>
      <c r="V23" s="248"/>
      <c r="W23" s="250">
        <f t="shared" si="7"/>
        <v>0</v>
      </c>
    </row>
    <row r="24" spans="1:23" ht="13.4" customHeight="1">
      <c r="A24" s="18">
        <v>2019050</v>
      </c>
      <c r="C24" s="391"/>
      <c r="D24" s="388"/>
      <c r="E24" s="388"/>
      <c r="F24" s="394"/>
      <c r="G24" s="388"/>
      <c r="H24" s="388"/>
      <c r="I24" s="385"/>
      <c r="J24" s="287" t="s">
        <v>69</v>
      </c>
      <c r="K24" s="95"/>
      <c r="L24" s="96"/>
      <c r="M24" s="96"/>
      <c r="N24" s="96"/>
      <c r="O24" s="96"/>
      <c r="P24" s="96"/>
      <c r="Q24" s="96"/>
      <c r="R24" s="96"/>
      <c r="S24" s="97"/>
      <c r="T24" s="96"/>
      <c r="U24" s="96"/>
      <c r="V24" s="248"/>
      <c r="W24" s="250">
        <f t="shared" si="7"/>
        <v>0</v>
      </c>
    </row>
    <row r="25" spans="1:23" ht="13.4" customHeight="1">
      <c r="A25" s="18">
        <v>2015022</v>
      </c>
      <c r="C25" s="391"/>
      <c r="D25" s="388"/>
      <c r="E25" s="388"/>
      <c r="F25" s="394"/>
      <c r="G25" s="388"/>
      <c r="H25" s="388"/>
      <c r="I25" s="385"/>
      <c r="J25" s="287" t="s">
        <v>53</v>
      </c>
      <c r="K25" s="95"/>
      <c r="L25" s="96"/>
      <c r="M25" s="96"/>
      <c r="N25" s="96"/>
      <c r="O25" s="96"/>
      <c r="P25" s="96"/>
      <c r="Q25" s="96"/>
      <c r="R25" s="96"/>
      <c r="S25" s="97"/>
      <c r="T25" s="96"/>
      <c r="U25" s="96"/>
      <c r="V25" s="248"/>
      <c r="W25" s="250">
        <f t="shared" si="7"/>
        <v>0</v>
      </c>
    </row>
    <row r="26" spans="1:23" ht="13.4" customHeight="1">
      <c r="A26" s="18">
        <v>2019029</v>
      </c>
      <c r="C26" s="391"/>
      <c r="D26" s="388"/>
      <c r="E26" s="388"/>
      <c r="F26" s="394"/>
      <c r="G26" s="388"/>
      <c r="H26" s="388"/>
      <c r="I26" s="385"/>
      <c r="J26" s="287" t="s">
        <v>70</v>
      </c>
      <c r="K26" s="95"/>
      <c r="L26" s="96"/>
      <c r="M26" s="96"/>
      <c r="N26" s="96"/>
      <c r="O26" s="96"/>
      <c r="P26" s="96"/>
      <c r="Q26" s="96"/>
      <c r="R26" s="96"/>
      <c r="S26" s="97"/>
      <c r="T26" s="96"/>
      <c r="U26" s="96"/>
      <c r="V26" s="248"/>
      <c r="W26" s="250">
        <f t="shared" si="7"/>
        <v>0</v>
      </c>
    </row>
    <row r="27" spans="1:23" ht="13.4" customHeight="1">
      <c r="A27" s="18">
        <v>2016007</v>
      </c>
      <c r="C27" s="391"/>
      <c r="D27" s="388"/>
      <c r="E27" s="388"/>
      <c r="F27" s="394"/>
      <c r="G27" s="388"/>
      <c r="H27" s="388"/>
      <c r="I27" s="385"/>
      <c r="J27" s="287" t="s">
        <v>54</v>
      </c>
      <c r="K27" s="95"/>
      <c r="L27" s="96"/>
      <c r="M27" s="96"/>
      <c r="N27" s="96"/>
      <c r="O27" s="96"/>
      <c r="P27" s="96"/>
      <c r="Q27" s="96"/>
      <c r="R27" s="96"/>
      <c r="S27" s="97"/>
      <c r="T27" s="96"/>
      <c r="U27" s="96"/>
      <c r="V27" s="248"/>
      <c r="W27" s="250">
        <f t="shared" si="7"/>
        <v>0</v>
      </c>
    </row>
    <row r="28" spans="1:23" ht="13.4" customHeight="1">
      <c r="A28" s="18">
        <v>2015009</v>
      </c>
      <c r="C28" s="391"/>
      <c r="D28" s="388"/>
      <c r="E28" s="388"/>
      <c r="F28" s="394"/>
      <c r="G28" s="388"/>
      <c r="H28" s="388"/>
      <c r="I28" s="385"/>
      <c r="J28" s="287" t="s">
        <v>55</v>
      </c>
      <c r="K28" s="95"/>
      <c r="L28" s="96"/>
      <c r="M28" s="96"/>
      <c r="N28" s="96"/>
      <c r="O28" s="96"/>
      <c r="P28" s="96"/>
      <c r="Q28" s="96"/>
      <c r="R28" s="96"/>
      <c r="S28" s="97"/>
      <c r="T28" s="96"/>
      <c r="U28" s="96"/>
      <c r="V28" s="248"/>
      <c r="W28" s="250">
        <f t="shared" si="7"/>
        <v>0</v>
      </c>
    </row>
    <row r="29" spans="1:23" ht="13.4" customHeight="1">
      <c r="A29" s="18">
        <v>2015020</v>
      </c>
      <c r="C29" s="391"/>
      <c r="D29" s="388"/>
      <c r="E29" s="388"/>
      <c r="F29" s="394"/>
      <c r="G29" s="388"/>
      <c r="H29" s="388"/>
      <c r="I29" s="385"/>
      <c r="J29" s="287" t="s">
        <v>56</v>
      </c>
      <c r="K29" s="95"/>
      <c r="L29" s="96"/>
      <c r="M29" s="96"/>
      <c r="N29" s="96"/>
      <c r="O29" s="96"/>
      <c r="P29" s="96"/>
      <c r="Q29" s="96"/>
      <c r="R29" s="96"/>
      <c r="S29" s="97"/>
      <c r="T29" s="96"/>
      <c r="U29" s="96"/>
      <c r="V29" s="248"/>
      <c r="W29" s="250">
        <f t="shared" si="7"/>
        <v>0</v>
      </c>
    </row>
    <row r="30" spans="1:23" ht="13.4" customHeight="1">
      <c r="A30" s="18">
        <v>2017022</v>
      </c>
      <c r="C30" s="391"/>
      <c r="D30" s="388"/>
      <c r="E30" s="388"/>
      <c r="F30" s="394"/>
      <c r="G30" s="388"/>
      <c r="H30" s="388"/>
      <c r="I30" s="385"/>
      <c r="J30" s="287" t="s">
        <v>58</v>
      </c>
      <c r="K30" s="95"/>
      <c r="L30" s="96"/>
      <c r="M30" s="96"/>
      <c r="N30" s="96"/>
      <c r="O30" s="96"/>
      <c r="P30" s="96"/>
      <c r="Q30" s="96">
        <v>60000</v>
      </c>
      <c r="R30" s="96"/>
      <c r="S30" s="97"/>
      <c r="T30" s="96"/>
      <c r="U30" s="96"/>
      <c r="V30" s="248"/>
      <c r="W30" s="250">
        <f t="shared" si="7"/>
        <v>60000</v>
      </c>
    </row>
    <row r="31" spans="1:23" ht="13.4" customHeight="1">
      <c r="A31" s="18">
        <v>2016008</v>
      </c>
      <c r="C31" s="391"/>
      <c r="D31" s="388"/>
      <c r="E31" s="388"/>
      <c r="F31" s="394"/>
      <c r="G31" s="388"/>
      <c r="H31" s="388"/>
      <c r="I31" s="385"/>
      <c r="J31" s="287" t="s">
        <v>57</v>
      </c>
      <c r="K31" s="95"/>
      <c r="L31" s="96"/>
      <c r="M31" s="96"/>
      <c r="N31" s="96"/>
      <c r="O31" s="96"/>
      <c r="P31" s="96"/>
      <c r="Q31" s="96"/>
      <c r="R31" s="96"/>
      <c r="S31" s="97"/>
      <c r="T31" s="96"/>
      <c r="U31" s="96"/>
      <c r="V31" s="248"/>
      <c r="W31" s="250">
        <f t="shared" si="7"/>
        <v>0</v>
      </c>
    </row>
    <row r="32" spans="1:23" ht="13.4" customHeight="1">
      <c r="A32" s="18">
        <v>2017016</v>
      </c>
      <c r="C32" s="391"/>
      <c r="D32" s="388"/>
      <c r="E32" s="388"/>
      <c r="F32" s="394"/>
      <c r="G32" s="388"/>
      <c r="H32" s="388"/>
      <c r="I32" s="385"/>
      <c r="J32" s="287" t="s">
        <v>73</v>
      </c>
      <c r="K32" s="95"/>
      <c r="L32" s="96">
        <f>30000*3</f>
        <v>90000</v>
      </c>
      <c r="M32" s="96"/>
      <c r="N32" s="96"/>
      <c r="O32" s="96"/>
      <c r="P32" s="96"/>
      <c r="Q32" s="96"/>
      <c r="R32" s="96"/>
      <c r="S32" s="97"/>
      <c r="T32" s="96"/>
      <c r="U32" s="96"/>
      <c r="V32" s="248"/>
      <c r="W32" s="250">
        <f t="shared" si="7"/>
        <v>90000</v>
      </c>
    </row>
    <row r="33" spans="1:23" ht="14.15" customHeight="1" thickBot="1">
      <c r="A33" s="17">
        <v>2013011</v>
      </c>
      <c r="C33" s="405"/>
      <c r="D33" s="407"/>
      <c r="E33" s="407"/>
      <c r="F33" s="408"/>
      <c r="G33" s="407"/>
      <c r="H33" s="407"/>
      <c r="I33" s="406"/>
      <c r="J33" s="292" t="s">
        <v>72</v>
      </c>
      <c r="K33" s="100"/>
      <c r="L33" s="101">
        <f>30000*3</f>
        <v>90000</v>
      </c>
      <c r="M33" s="101"/>
      <c r="N33" s="101"/>
      <c r="O33" s="101"/>
      <c r="P33" s="101"/>
      <c r="Q33" s="101"/>
      <c r="R33" s="101"/>
      <c r="S33" s="102"/>
      <c r="T33" s="101"/>
      <c r="U33" s="101"/>
      <c r="V33" s="249"/>
      <c r="W33" s="251">
        <f t="shared" ref="W33" si="9">SUM(K33:V33)</f>
        <v>90000</v>
      </c>
    </row>
    <row r="34" spans="1:23" s="1" customFormat="1" ht="33.75" customHeight="1" thickTop="1">
      <c r="A34" s="16"/>
      <c r="B34" s="80"/>
      <c r="C34" s="371" t="s">
        <v>49</v>
      </c>
      <c r="D34" s="372"/>
      <c r="E34" s="372"/>
      <c r="F34" s="372"/>
      <c r="G34" s="372"/>
      <c r="H34" s="372"/>
      <c r="I34" s="373"/>
      <c r="J34" s="293" t="s">
        <v>40</v>
      </c>
      <c r="K34" s="242">
        <f>K7+K15</f>
        <v>0</v>
      </c>
      <c r="L34" s="243">
        <f t="shared" ref="L34:V34" si="10">L7+L15</f>
        <v>180000</v>
      </c>
      <c r="M34" s="243">
        <f t="shared" si="10"/>
        <v>0</v>
      </c>
      <c r="N34" s="243">
        <f t="shared" si="10"/>
        <v>0</v>
      </c>
      <c r="O34" s="243">
        <f t="shared" si="10"/>
        <v>70000</v>
      </c>
      <c r="P34" s="243">
        <f t="shared" si="10"/>
        <v>140000</v>
      </c>
      <c r="Q34" s="243">
        <f t="shared" si="10"/>
        <v>60000</v>
      </c>
      <c r="R34" s="243">
        <f t="shared" si="10"/>
        <v>0</v>
      </c>
      <c r="S34" s="243">
        <f t="shared" si="10"/>
        <v>0</v>
      </c>
      <c r="T34" s="243">
        <f t="shared" si="10"/>
        <v>210000</v>
      </c>
      <c r="U34" s="243">
        <f t="shared" si="10"/>
        <v>140000</v>
      </c>
      <c r="V34" s="252">
        <f t="shared" si="10"/>
        <v>0</v>
      </c>
      <c r="W34" s="69">
        <f>SUM(K34:V34)</f>
        <v>800000</v>
      </c>
    </row>
    <row r="35" spans="1:23">
      <c r="O35" s="35"/>
      <c r="P35" s="35"/>
      <c r="Q35" s="35"/>
      <c r="R35" s="35"/>
      <c r="S35" s="35"/>
      <c r="T35" s="35"/>
      <c r="U35" s="35"/>
      <c r="V35" s="3"/>
      <c r="W35" s="3"/>
    </row>
    <row r="36" spans="1:23">
      <c r="O36" s="35"/>
      <c r="P36" s="35"/>
      <c r="Q36" s="35"/>
      <c r="R36" s="35"/>
      <c r="S36" s="35"/>
      <c r="T36" s="35"/>
      <c r="U36" s="35"/>
      <c r="V36" s="3"/>
      <c r="W36" s="3"/>
    </row>
    <row r="37" spans="1:23">
      <c r="O37" s="35"/>
      <c r="P37" s="35"/>
      <c r="Q37" s="35"/>
      <c r="R37" s="35"/>
      <c r="S37" s="35"/>
      <c r="T37" s="35"/>
      <c r="U37" s="35"/>
      <c r="V37" s="3"/>
      <c r="W37" s="3"/>
    </row>
    <row r="38" spans="1:23">
      <c r="O38" s="35"/>
      <c r="P38" s="35"/>
      <c r="Q38" s="35"/>
      <c r="R38" s="35"/>
      <c r="S38" s="35"/>
      <c r="T38" s="35"/>
      <c r="U38" s="35"/>
      <c r="V38" s="3"/>
      <c r="W38" s="3"/>
    </row>
    <row r="39" spans="1:23">
      <c r="O39" s="35"/>
      <c r="P39" s="35"/>
      <c r="Q39" s="35"/>
      <c r="R39" s="35"/>
      <c r="S39" s="35"/>
      <c r="T39" s="35"/>
      <c r="U39" s="35"/>
      <c r="V39" s="3"/>
      <c r="W39" s="3"/>
    </row>
    <row r="40" spans="1:23">
      <c r="O40" s="35"/>
      <c r="P40" s="35"/>
      <c r="Q40" s="35"/>
      <c r="R40" s="35"/>
      <c r="S40" s="35"/>
      <c r="T40" s="35"/>
      <c r="U40" s="35"/>
      <c r="V40" s="3"/>
      <c r="W40" s="3"/>
    </row>
    <row r="41" spans="1:23">
      <c r="O41" s="35"/>
      <c r="P41" s="35"/>
      <c r="Q41" s="35"/>
      <c r="R41" s="35"/>
      <c r="S41" s="35"/>
      <c r="T41" s="35"/>
      <c r="U41" s="35"/>
      <c r="V41" s="3"/>
      <c r="W41" s="3"/>
    </row>
    <row r="42" spans="1:23">
      <c r="O42" s="35"/>
      <c r="P42" s="35"/>
      <c r="Q42" s="35"/>
      <c r="R42" s="35"/>
      <c r="S42" s="35"/>
      <c r="T42" s="35"/>
      <c r="U42" s="35"/>
      <c r="V42" s="3"/>
      <c r="W42" s="3"/>
    </row>
    <row r="43" spans="1:23">
      <c r="O43" s="35"/>
      <c r="P43" s="35"/>
      <c r="Q43" s="35"/>
      <c r="R43" s="35"/>
      <c r="S43" s="35"/>
      <c r="T43" s="35"/>
      <c r="U43" s="35"/>
      <c r="V43" s="3"/>
      <c r="W43" s="3"/>
    </row>
    <row r="44" spans="1:23">
      <c r="O44" s="35"/>
      <c r="P44" s="35"/>
      <c r="Q44" s="35"/>
      <c r="R44" s="35"/>
      <c r="S44" s="35"/>
      <c r="T44" s="35"/>
      <c r="U44" s="35"/>
      <c r="V44" s="3"/>
      <c r="W44" s="3"/>
    </row>
    <row r="45" spans="1:23">
      <c r="O45" s="35"/>
      <c r="P45" s="35"/>
      <c r="Q45" s="35"/>
      <c r="R45" s="35"/>
      <c r="S45" s="35"/>
      <c r="T45" s="35"/>
      <c r="U45" s="35"/>
      <c r="V45" s="3"/>
      <c r="W45" s="3"/>
    </row>
    <row r="46" spans="1:23">
      <c r="O46" s="35"/>
      <c r="P46" s="35"/>
      <c r="Q46" s="35"/>
      <c r="R46" s="35"/>
      <c r="S46" s="35"/>
      <c r="T46" s="35"/>
      <c r="U46" s="35"/>
      <c r="V46" s="3"/>
      <c r="W46" s="3"/>
    </row>
    <row r="47" spans="1:23">
      <c r="O47" s="35"/>
      <c r="P47" s="35"/>
      <c r="Q47" s="35"/>
      <c r="R47" s="35"/>
      <c r="S47" s="35"/>
      <c r="T47" s="35"/>
      <c r="U47" s="35"/>
      <c r="V47" s="3"/>
      <c r="W47" s="3"/>
    </row>
    <row r="48" spans="1:23">
      <c r="O48" s="35"/>
      <c r="P48" s="35"/>
      <c r="Q48" s="35"/>
      <c r="R48" s="35"/>
      <c r="S48" s="35"/>
      <c r="T48" s="35"/>
      <c r="U48" s="35"/>
      <c r="V48" s="3"/>
      <c r="W48" s="3"/>
    </row>
    <row r="49" spans="15:23">
      <c r="O49" s="35"/>
      <c r="P49" s="35"/>
      <c r="Q49" s="35"/>
      <c r="R49" s="35"/>
      <c r="S49" s="35"/>
      <c r="T49" s="35"/>
      <c r="U49" s="35"/>
      <c r="V49" s="3"/>
      <c r="W49" s="3"/>
    </row>
    <row r="50" spans="15:23">
      <c r="O50" s="35"/>
      <c r="P50" s="35"/>
      <c r="Q50" s="35"/>
      <c r="R50" s="35"/>
      <c r="S50" s="35"/>
      <c r="T50" s="35"/>
      <c r="U50" s="35"/>
      <c r="V50" s="3"/>
      <c r="W50" s="3"/>
    </row>
    <row r="51" spans="15:23">
      <c r="O51" s="35"/>
      <c r="P51" s="35"/>
      <c r="Q51" s="35"/>
      <c r="R51" s="35"/>
      <c r="S51" s="35"/>
      <c r="T51" s="35"/>
      <c r="U51" s="35"/>
      <c r="V51" s="3"/>
      <c r="W51" s="3"/>
    </row>
    <row r="52" spans="15:23">
      <c r="O52" s="35"/>
      <c r="P52" s="35"/>
      <c r="Q52" s="35"/>
      <c r="R52" s="35"/>
      <c r="S52" s="35"/>
      <c r="T52" s="35"/>
      <c r="U52" s="35"/>
      <c r="V52" s="3"/>
      <c r="W52" s="3"/>
    </row>
    <row r="53" spans="15:23">
      <c r="O53" s="35"/>
      <c r="P53" s="35"/>
      <c r="Q53" s="35"/>
      <c r="R53" s="35"/>
      <c r="S53" s="35"/>
      <c r="T53" s="35"/>
      <c r="U53" s="35"/>
      <c r="V53" s="3"/>
      <c r="W53" s="3"/>
    </row>
    <row r="54" spans="15:23">
      <c r="O54" s="35"/>
      <c r="P54" s="35"/>
      <c r="Q54" s="35"/>
      <c r="R54" s="35"/>
      <c r="S54" s="35"/>
      <c r="T54" s="35"/>
      <c r="U54" s="35"/>
      <c r="V54" s="3"/>
      <c r="W54" s="3"/>
    </row>
    <row r="55" spans="15:23">
      <c r="O55" s="35"/>
      <c r="P55" s="35"/>
      <c r="Q55" s="35"/>
      <c r="R55" s="35"/>
      <c r="S55" s="35"/>
      <c r="T55" s="35"/>
      <c r="U55" s="35"/>
      <c r="V55" s="3"/>
      <c r="W55" s="3"/>
    </row>
    <row r="56" spans="15:23">
      <c r="O56" s="35"/>
      <c r="P56" s="35"/>
      <c r="Q56" s="35"/>
      <c r="R56" s="35"/>
      <c r="S56" s="35"/>
      <c r="T56" s="35"/>
      <c r="U56" s="35"/>
      <c r="V56" s="3"/>
      <c r="W56" s="3"/>
    </row>
    <row r="57" spans="15:23">
      <c r="O57" s="35"/>
      <c r="P57" s="35"/>
      <c r="Q57" s="35"/>
      <c r="R57" s="35"/>
      <c r="S57" s="35"/>
      <c r="T57" s="35"/>
      <c r="U57" s="35"/>
      <c r="V57" s="3"/>
      <c r="W57" s="3"/>
    </row>
    <row r="58" spans="15:23">
      <c r="O58" s="35"/>
      <c r="P58" s="35"/>
      <c r="Q58" s="35"/>
      <c r="R58" s="35"/>
      <c r="S58" s="35"/>
      <c r="T58" s="35"/>
      <c r="U58" s="35"/>
      <c r="V58" s="3"/>
      <c r="W58" s="3"/>
    </row>
    <row r="59" spans="15:23">
      <c r="O59" s="35"/>
      <c r="P59" s="35"/>
      <c r="Q59" s="35"/>
      <c r="R59" s="35"/>
      <c r="S59" s="35"/>
      <c r="T59" s="35"/>
      <c r="U59" s="35"/>
      <c r="V59" s="3"/>
      <c r="W59" s="3"/>
    </row>
    <row r="60" spans="15:23">
      <c r="O60" s="35"/>
      <c r="P60" s="35"/>
      <c r="Q60" s="35"/>
      <c r="R60" s="35"/>
      <c r="S60" s="35"/>
      <c r="T60" s="35"/>
      <c r="U60" s="35"/>
      <c r="V60" s="3"/>
      <c r="W60" s="3"/>
    </row>
    <row r="61" spans="15:23">
      <c r="O61" s="35"/>
      <c r="P61" s="35"/>
      <c r="Q61" s="35"/>
      <c r="R61" s="35"/>
      <c r="S61" s="35"/>
      <c r="T61" s="35"/>
      <c r="U61" s="35"/>
      <c r="V61" s="3"/>
      <c r="W61" s="3"/>
    </row>
    <row r="62" spans="15:23">
      <c r="O62" s="35"/>
      <c r="P62" s="35"/>
      <c r="Q62" s="35"/>
      <c r="R62" s="35"/>
      <c r="S62" s="35"/>
      <c r="T62" s="35"/>
      <c r="U62" s="35"/>
      <c r="V62" s="3"/>
      <c r="W62" s="3"/>
    </row>
    <row r="63" spans="15:23">
      <c r="O63" s="35"/>
      <c r="P63" s="35"/>
      <c r="Q63" s="35"/>
      <c r="R63" s="35"/>
      <c r="S63" s="35"/>
      <c r="T63" s="35"/>
      <c r="U63" s="35"/>
      <c r="V63" s="3"/>
      <c r="W63" s="3"/>
    </row>
    <row r="64" spans="15:23">
      <c r="O64" s="35"/>
      <c r="P64" s="35"/>
      <c r="Q64" s="35"/>
      <c r="R64" s="35"/>
      <c r="S64" s="35"/>
      <c r="T64" s="35"/>
      <c r="U64" s="35"/>
      <c r="V64" s="3"/>
      <c r="W64" s="3"/>
    </row>
    <row r="65" spans="15:23">
      <c r="O65" s="35"/>
      <c r="P65" s="35"/>
      <c r="Q65" s="35"/>
      <c r="R65" s="35"/>
      <c r="S65" s="35"/>
      <c r="T65" s="35"/>
      <c r="U65" s="35"/>
      <c r="V65" s="3"/>
      <c r="W65" s="3"/>
    </row>
    <row r="66" spans="15:23">
      <c r="O66" s="35"/>
      <c r="P66" s="35"/>
      <c r="Q66" s="35"/>
      <c r="R66" s="35"/>
      <c r="S66" s="35"/>
      <c r="T66" s="35"/>
      <c r="U66" s="35"/>
      <c r="V66" s="3"/>
      <c r="W66" s="3"/>
    </row>
    <row r="67" spans="15:23">
      <c r="O67" s="35"/>
      <c r="P67" s="35"/>
      <c r="Q67" s="35"/>
      <c r="R67" s="35"/>
      <c r="S67" s="35"/>
      <c r="T67" s="35"/>
      <c r="U67" s="35"/>
      <c r="V67" s="3"/>
      <c r="W67" s="3"/>
    </row>
    <row r="68" spans="15:23">
      <c r="O68" s="35"/>
      <c r="P68" s="35"/>
      <c r="Q68" s="35"/>
      <c r="R68" s="35"/>
      <c r="S68" s="35"/>
      <c r="T68" s="35"/>
      <c r="U68" s="35"/>
      <c r="V68" s="3"/>
      <c r="W68" s="3"/>
    </row>
    <row r="69" spans="15:23">
      <c r="O69" s="35"/>
      <c r="P69" s="35"/>
      <c r="Q69" s="35"/>
      <c r="R69" s="35"/>
      <c r="S69" s="35"/>
      <c r="T69" s="35"/>
      <c r="U69" s="35"/>
      <c r="V69" s="3"/>
      <c r="W69" s="3"/>
    </row>
    <row r="70" spans="15:23">
      <c r="O70" s="35"/>
      <c r="P70" s="35"/>
      <c r="Q70" s="35"/>
      <c r="R70" s="35"/>
      <c r="S70" s="35"/>
      <c r="T70" s="35"/>
      <c r="U70" s="35"/>
      <c r="V70" s="3"/>
      <c r="W70" s="3"/>
    </row>
    <row r="71" spans="15:23">
      <c r="O71" s="35"/>
      <c r="P71" s="35"/>
      <c r="Q71" s="35"/>
      <c r="R71" s="35"/>
      <c r="S71" s="35"/>
      <c r="T71" s="35"/>
      <c r="U71" s="35"/>
      <c r="V71" s="3"/>
      <c r="W71" s="3"/>
    </row>
    <row r="72" spans="15:23">
      <c r="O72" s="35"/>
      <c r="P72" s="35"/>
      <c r="Q72" s="35"/>
      <c r="R72" s="35"/>
      <c r="S72" s="35"/>
      <c r="T72" s="35"/>
      <c r="U72" s="35"/>
      <c r="V72" s="3"/>
      <c r="W72" s="3"/>
    </row>
    <row r="73" spans="15:23">
      <c r="O73" s="35"/>
      <c r="P73" s="35"/>
      <c r="Q73" s="35"/>
      <c r="R73" s="35"/>
      <c r="S73" s="35"/>
      <c r="T73" s="35"/>
      <c r="U73" s="35"/>
      <c r="V73" s="3"/>
      <c r="W73" s="3"/>
    </row>
    <row r="74" spans="15:23">
      <c r="O74" s="35"/>
      <c r="P74" s="35"/>
      <c r="Q74" s="35"/>
      <c r="R74" s="35"/>
      <c r="S74" s="35"/>
      <c r="T74" s="35"/>
      <c r="U74" s="35"/>
      <c r="V74" s="3"/>
      <c r="W74" s="3"/>
    </row>
    <row r="75" spans="15:23">
      <c r="O75" s="35"/>
      <c r="P75" s="35"/>
      <c r="Q75" s="35"/>
      <c r="R75" s="35"/>
      <c r="S75" s="35"/>
      <c r="T75" s="35"/>
      <c r="U75" s="35"/>
      <c r="V75" s="3"/>
      <c r="W75" s="3"/>
    </row>
    <row r="76" spans="15:23">
      <c r="O76" s="35"/>
      <c r="P76" s="35"/>
      <c r="Q76" s="35"/>
      <c r="R76" s="35"/>
      <c r="S76" s="35"/>
      <c r="T76" s="35"/>
      <c r="U76" s="35"/>
      <c r="V76" s="3"/>
      <c r="W76" s="3"/>
    </row>
    <row r="77" spans="15:23">
      <c r="O77" s="35"/>
      <c r="P77" s="35"/>
      <c r="Q77" s="35"/>
      <c r="R77" s="35"/>
      <c r="S77" s="35"/>
      <c r="T77" s="35"/>
      <c r="U77" s="35"/>
      <c r="V77" s="3"/>
      <c r="W77" s="3"/>
    </row>
    <row r="78" spans="15:23">
      <c r="O78" s="35"/>
      <c r="P78" s="35"/>
      <c r="Q78" s="35"/>
      <c r="R78" s="35"/>
      <c r="S78" s="35"/>
      <c r="T78" s="35"/>
      <c r="U78" s="35"/>
      <c r="V78" s="3"/>
      <c r="W78" s="3"/>
    </row>
    <row r="79" spans="15:23">
      <c r="O79" s="35"/>
      <c r="P79" s="35"/>
      <c r="Q79" s="35"/>
      <c r="R79" s="35"/>
      <c r="S79" s="35"/>
      <c r="T79" s="35"/>
      <c r="U79" s="35"/>
      <c r="V79" s="3"/>
      <c r="W79" s="3"/>
    </row>
    <row r="80" spans="15:23">
      <c r="O80" s="35"/>
      <c r="P80" s="35"/>
      <c r="Q80" s="35"/>
      <c r="R80" s="35"/>
      <c r="S80" s="35"/>
      <c r="T80" s="35"/>
      <c r="U80" s="35"/>
      <c r="V80" s="3"/>
      <c r="W80" s="3"/>
    </row>
    <row r="81" spans="15:23">
      <c r="O81" s="35"/>
      <c r="P81" s="35"/>
      <c r="Q81" s="35"/>
      <c r="R81" s="35"/>
      <c r="S81" s="35"/>
      <c r="T81" s="35"/>
      <c r="U81" s="35"/>
      <c r="V81" s="3"/>
      <c r="W81" s="3"/>
    </row>
    <row r="82" spans="15:23">
      <c r="O82" s="35"/>
      <c r="P82" s="35"/>
      <c r="Q82" s="35"/>
      <c r="R82" s="35"/>
      <c r="S82" s="35"/>
      <c r="T82" s="35"/>
      <c r="U82" s="35"/>
      <c r="V82" s="3"/>
      <c r="W82" s="3"/>
    </row>
    <row r="83" spans="15:23">
      <c r="O83" s="35"/>
      <c r="P83" s="35"/>
      <c r="Q83" s="35"/>
      <c r="R83" s="35"/>
      <c r="S83" s="35"/>
      <c r="T83" s="35"/>
      <c r="U83" s="35"/>
      <c r="V83" s="3"/>
      <c r="W83" s="3"/>
    </row>
    <row r="84" spans="15:23">
      <c r="O84" s="35"/>
      <c r="P84" s="35"/>
      <c r="Q84" s="35"/>
      <c r="R84" s="35"/>
      <c r="S84" s="35"/>
      <c r="T84" s="35"/>
      <c r="U84" s="35"/>
      <c r="V84" s="3"/>
      <c r="W84" s="3"/>
    </row>
    <row r="85" spans="15:23">
      <c r="O85" s="35"/>
      <c r="P85" s="35"/>
      <c r="Q85" s="35"/>
      <c r="R85" s="35"/>
      <c r="S85" s="35"/>
      <c r="T85" s="35"/>
      <c r="U85" s="35"/>
      <c r="V85" s="3"/>
      <c r="W85" s="3"/>
    </row>
    <row r="86" spans="15:23">
      <c r="O86" s="35"/>
      <c r="P86" s="35"/>
      <c r="Q86" s="35"/>
      <c r="R86" s="35"/>
      <c r="S86" s="35"/>
      <c r="T86" s="35"/>
      <c r="U86" s="35"/>
      <c r="V86" s="3"/>
      <c r="W86" s="3"/>
    </row>
    <row r="87" spans="15:23">
      <c r="O87" s="35"/>
      <c r="P87" s="35"/>
      <c r="Q87" s="35"/>
      <c r="R87" s="35"/>
      <c r="S87" s="35"/>
      <c r="T87" s="35"/>
      <c r="U87" s="35"/>
      <c r="V87" s="3"/>
      <c r="W87" s="3"/>
    </row>
    <row r="88" spans="15:23">
      <c r="O88" s="35"/>
      <c r="P88" s="35"/>
      <c r="Q88" s="35"/>
      <c r="R88" s="35"/>
      <c r="S88" s="35"/>
      <c r="T88" s="35"/>
      <c r="U88" s="35"/>
      <c r="V88" s="3"/>
      <c r="W88" s="3"/>
    </row>
    <row r="89" spans="15:23">
      <c r="O89" s="35"/>
      <c r="P89" s="35"/>
      <c r="Q89" s="35"/>
      <c r="R89" s="35"/>
      <c r="S89" s="35"/>
      <c r="T89" s="35"/>
      <c r="U89" s="35"/>
      <c r="V89" s="3"/>
      <c r="W89" s="3"/>
    </row>
    <row r="90" spans="15:23">
      <c r="O90" s="35"/>
      <c r="P90" s="35"/>
      <c r="Q90" s="35"/>
      <c r="R90" s="35"/>
      <c r="S90" s="35"/>
      <c r="T90" s="35"/>
      <c r="U90" s="35"/>
      <c r="V90" s="3"/>
      <c r="W90" s="3"/>
    </row>
    <row r="91" spans="15:23">
      <c r="O91" s="35"/>
      <c r="P91" s="35"/>
      <c r="Q91" s="35"/>
      <c r="R91" s="35"/>
      <c r="S91" s="35"/>
      <c r="T91" s="35"/>
      <c r="U91" s="35"/>
      <c r="V91" s="3"/>
      <c r="W91" s="3"/>
    </row>
    <row r="92" spans="15:23">
      <c r="O92" s="35"/>
      <c r="P92" s="35"/>
      <c r="Q92" s="35"/>
      <c r="R92" s="35"/>
      <c r="S92" s="35"/>
      <c r="T92" s="35"/>
      <c r="U92" s="35"/>
      <c r="V92" s="3"/>
      <c r="W92" s="3"/>
    </row>
    <row r="93" spans="15:23">
      <c r="O93" s="35"/>
      <c r="P93" s="35"/>
      <c r="Q93" s="35"/>
      <c r="R93" s="35"/>
      <c r="S93" s="35"/>
      <c r="T93" s="35"/>
      <c r="U93" s="35"/>
      <c r="V93" s="3"/>
      <c r="W93" s="3"/>
    </row>
    <row r="94" spans="15:23">
      <c r="O94" s="35"/>
      <c r="P94" s="35"/>
      <c r="Q94" s="35"/>
      <c r="R94" s="35"/>
      <c r="S94" s="35"/>
      <c r="T94" s="35"/>
      <c r="U94" s="35"/>
      <c r="V94" s="3"/>
      <c r="W94" s="3"/>
    </row>
    <row r="95" spans="15:23">
      <c r="O95" s="35"/>
      <c r="P95" s="35"/>
      <c r="Q95" s="35"/>
      <c r="R95" s="35"/>
      <c r="S95" s="35"/>
      <c r="T95" s="35"/>
      <c r="U95" s="35"/>
      <c r="V95" s="3"/>
      <c r="W95" s="3"/>
    </row>
    <row r="96" spans="15:23">
      <c r="O96" s="35"/>
      <c r="P96" s="35"/>
      <c r="Q96" s="35"/>
      <c r="R96" s="35"/>
      <c r="S96" s="35"/>
      <c r="T96" s="35"/>
      <c r="U96" s="35"/>
      <c r="V96" s="3"/>
      <c r="W96" s="3"/>
    </row>
    <row r="97" spans="15:23">
      <c r="O97" s="35"/>
      <c r="P97" s="35"/>
      <c r="Q97" s="35"/>
      <c r="R97" s="35"/>
      <c r="S97" s="35"/>
      <c r="T97" s="35"/>
      <c r="U97" s="35"/>
      <c r="V97" s="3"/>
      <c r="W97" s="3"/>
    </row>
    <row r="98" spans="15:23">
      <c r="O98" s="35"/>
      <c r="P98" s="35"/>
      <c r="Q98" s="35"/>
      <c r="R98" s="35"/>
      <c r="S98" s="35"/>
      <c r="T98" s="35"/>
      <c r="U98" s="35"/>
      <c r="V98" s="3"/>
      <c r="W98" s="3"/>
    </row>
    <row r="99" spans="15:23">
      <c r="O99" s="35"/>
      <c r="P99" s="35"/>
      <c r="Q99" s="35"/>
      <c r="R99" s="35"/>
      <c r="S99" s="35"/>
      <c r="T99" s="35"/>
      <c r="U99" s="35"/>
      <c r="V99" s="3"/>
      <c r="W99" s="3"/>
    </row>
    <row r="100" spans="15:23">
      <c r="O100" s="35"/>
      <c r="P100" s="35"/>
      <c r="Q100" s="35"/>
      <c r="R100" s="35"/>
      <c r="S100" s="35"/>
      <c r="T100" s="35"/>
      <c r="U100" s="35"/>
      <c r="V100" s="3"/>
      <c r="W100" s="3"/>
    </row>
    <row r="101" spans="15:23">
      <c r="O101" s="35"/>
      <c r="P101" s="35"/>
      <c r="Q101" s="35"/>
      <c r="R101" s="35"/>
      <c r="S101" s="35"/>
      <c r="T101" s="35"/>
      <c r="U101" s="35"/>
      <c r="V101" s="3"/>
      <c r="W101" s="3"/>
    </row>
    <row r="102" spans="15:23">
      <c r="O102" s="35"/>
      <c r="P102" s="35"/>
      <c r="Q102" s="35"/>
      <c r="R102" s="35"/>
      <c r="S102" s="35"/>
      <c r="T102" s="35"/>
      <c r="U102" s="35"/>
      <c r="V102" s="3"/>
      <c r="W102" s="3"/>
    </row>
    <row r="103" spans="15:23">
      <c r="O103" s="35"/>
      <c r="P103" s="35"/>
      <c r="Q103" s="35"/>
      <c r="R103" s="35"/>
      <c r="S103" s="35"/>
      <c r="T103" s="35"/>
      <c r="U103" s="35"/>
      <c r="V103" s="3"/>
      <c r="W103" s="3"/>
    </row>
    <row r="104" spans="15:23">
      <c r="O104" s="35"/>
      <c r="P104" s="35"/>
      <c r="Q104" s="35"/>
      <c r="R104" s="35"/>
      <c r="S104" s="35"/>
      <c r="T104" s="35"/>
      <c r="U104" s="35"/>
      <c r="V104" s="3"/>
      <c r="W104" s="3"/>
    </row>
    <row r="105" spans="15:23">
      <c r="O105" s="35"/>
      <c r="P105" s="35"/>
      <c r="Q105" s="35"/>
      <c r="R105" s="35"/>
      <c r="S105" s="35"/>
      <c r="T105" s="35"/>
      <c r="U105" s="35"/>
      <c r="V105" s="3"/>
      <c r="W105" s="3"/>
    </row>
    <row r="106" spans="15:23">
      <c r="O106" s="35"/>
      <c r="P106" s="35"/>
      <c r="Q106" s="35"/>
      <c r="R106" s="35"/>
      <c r="S106" s="35"/>
      <c r="T106" s="35"/>
      <c r="U106" s="35"/>
      <c r="V106" s="3"/>
      <c r="W106" s="3"/>
    </row>
    <row r="107" spans="15:23">
      <c r="O107" s="35"/>
      <c r="P107" s="35"/>
      <c r="Q107" s="35"/>
      <c r="R107" s="35"/>
      <c r="S107" s="35"/>
      <c r="T107" s="35"/>
      <c r="U107" s="35"/>
      <c r="V107" s="3"/>
      <c r="W107" s="3"/>
    </row>
    <row r="108" spans="15:23">
      <c r="O108" s="35"/>
      <c r="P108" s="35"/>
      <c r="Q108" s="35"/>
      <c r="R108" s="35"/>
      <c r="S108" s="35"/>
      <c r="T108" s="35"/>
      <c r="U108" s="35"/>
      <c r="V108" s="3"/>
      <c r="W108" s="3"/>
    </row>
    <row r="109" spans="15:23">
      <c r="O109" s="35"/>
      <c r="P109" s="35"/>
      <c r="Q109" s="35"/>
      <c r="R109" s="35"/>
      <c r="S109" s="35"/>
      <c r="T109" s="35"/>
      <c r="U109" s="35"/>
      <c r="V109" s="3"/>
      <c r="W109" s="3"/>
    </row>
    <row r="110" spans="15:23">
      <c r="O110" s="35"/>
      <c r="P110" s="35"/>
      <c r="Q110" s="35"/>
      <c r="R110" s="35"/>
      <c r="S110" s="35"/>
      <c r="T110" s="35"/>
      <c r="U110" s="35"/>
      <c r="V110" s="3"/>
      <c r="W110" s="3"/>
    </row>
    <row r="111" spans="15:23">
      <c r="O111" s="35"/>
      <c r="P111" s="35"/>
      <c r="Q111" s="35"/>
      <c r="R111" s="35"/>
      <c r="S111" s="35"/>
      <c r="T111" s="35"/>
      <c r="U111" s="35"/>
      <c r="V111" s="3"/>
      <c r="W111" s="3"/>
    </row>
    <row r="112" spans="15:23">
      <c r="O112" s="35"/>
      <c r="P112" s="35"/>
      <c r="Q112" s="35"/>
      <c r="R112" s="35"/>
      <c r="S112" s="35"/>
      <c r="T112" s="35"/>
      <c r="U112" s="35"/>
      <c r="V112" s="3"/>
      <c r="W112" s="3"/>
    </row>
    <row r="113" spans="15:23">
      <c r="O113" s="35"/>
      <c r="P113" s="35"/>
      <c r="Q113" s="35"/>
      <c r="R113" s="35"/>
      <c r="S113" s="35"/>
      <c r="T113" s="35"/>
      <c r="U113" s="35"/>
      <c r="V113" s="3"/>
      <c r="W113" s="3"/>
    </row>
    <row r="114" spans="15:23">
      <c r="O114" s="35"/>
      <c r="P114" s="35"/>
      <c r="Q114" s="35"/>
      <c r="R114" s="35"/>
      <c r="S114" s="35"/>
      <c r="T114" s="35"/>
      <c r="U114" s="35"/>
      <c r="V114" s="3"/>
      <c r="W114" s="3"/>
    </row>
    <row r="115" spans="15:23">
      <c r="O115" s="35"/>
      <c r="P115" s="35"/>
      <c r="Q115" s="35"/>
      <c r="R115" s="35"/>
      <c r="S115" s="35"/>
      <c r="T115" s="35"/>
      <c r="U115" s="35"/>
      <c r="V115" s="3"/>
      <c r="W115" s="3"/>
    </row>
    <row r="116" spans="15:23">
      <c r="O116" s="35"/>
      <c r="P116" s="35"/>
      <c r="Q116" s="35"/>
      <c r="R116" s="35"/>
      <c r="S116" s="35"/>
      <c r="T116" s="35"/>
      <c r="U116" s="35"/>
      <c r="V116" s="3"/>
      <c r="W116" s="3"/>
    </row>
    <row r="117" spans="15:23">
      <c r="O117" s="35"/>
      <c r="P117" s="35"/>
      <c r="Q117" s="35"/>
      <c r="R117" s="35"/>
      <c r="S117" s="35"/>
      <c r="T117" s="35"/>
      <c r="U117" s="35"/>
      <c r="V117" s="3"/>
      <c r="W117" s="3"/>
    </row>
    <row r="118" spans="15:23">
      <c r="O118" s="35"/>
      <c r="P118" s="35"/>
      <c r="Q118" s="35"/>
      <c r="R118" s="35"/>
      <c r="S118" s="35"/>
      <c r="T118" s="35"/>
      <c r="U118" s="35"/>
      <c r="V118" s="3"/>
      <c r="W118" s="3"/>
    </row>
    <row r="119" spans="15:23">
      <c r="O119" s="35"/>
      <c r="P119" s="35"/>
      <c r="Q119" s="35"/>
      <c r="R119" s="35"/>
      <c r="S119" s="35"/>
      <c r="T119" s="35"/>
      <c r="U119" s="35"/>
      <c r="V119" s="3"/>
      <c r="W119" s="3"/>
    </row>
    <row r="120" spans="15:23">
      <c r="O120" s="35"/>
      <c r="P120" s="35"/>
      <c r="Q120" s="35"/>
      <c r="R120" s="35"/>
      <c r="S120" s="35"/>
      <c r="T120" s="35"/>
      <c r="U120" s="35"/>
      <c r="V120" s="3"/>
      <c r="W120" s="3"/>
    </row>
    <row r="121" spans="15:23">
      <c r="O121" s="35"/>
      <c r="P121" s="35"/>
      <c r="Q121" s="35"/>
      <c r="R121" s="35"/>
      <c r="S121" s="35"/>
      <c r="T121" s="35"/>
      <c r="U121" s="35"/>
      <c r="V121" s="3"/>
      <c r="W121" s="3"/>
    </row>
    <row r="122" spans="15:23">
      <c r="O122" s="35"/>
      <c r="P122" s="35"/>
      <c r="Q122" s="35"/>
      <c r="R122" s="35"/>
      <c r="S122" s="35"/>
      <c r="T122" s="35"/>
      <c r="U122" s="35"/>
      <c r="V122" s="3"/>
      <c r="W122" s="3"/>
    </row>
    <row r="123" spans="15:23">
      <c r="O123" s="35"/>
      <c r="P123" s="35"/>
      <c r="Q123" s="35"/>
      <c r="R123" s="35"/>
      <c r="S123" s="35"/>
      <c r="T123" s="35"/>
      <c r="U123" s="35"/>
      <c r="V123" s="3"/>
      <c r="W123" s="3"/>
    </row>
    <row r="124" spans="15:23">
      <c r="O124" s="35"/>
      <c r="P124" s="35"/>
      <c r="Q124" s="35"/>
      <c r="R124" s="35"/>
      <c r="S124" s="35"/>
      <c r="T124" s="35"/>
      <c r="U124" s="35"/>
      <c r="V124" s="3"/>
      <c r="W124" s="3"/>
    </row>
    <row r="125" spans="15:23">
      <c r="O125" s="35"/>
      <c r="P125" s="35"/>
      <c r="Q125" s="35"/>
      <c r="R125" s="35"/>
      <c r="S125" s="35"/>
      <c r="T125" s="35"/>
      <c r="U125" s="35"/>
      <c r="V125" s="3"/>
      <c r="W125" s="3"/>
    </row>
    <row r="126" spans="15:23">
      <c r="O126" s="35"/>
      <c r="P126" s="35"/>
      <c r="Q126" s="35"/>
      <c r="R126" s="35"/>
      <c r="S126" s="35"/>
      <c r="T126" s="35"/>
      <c r="U126" s="35"/>
      <c r="V126" s="3"/>
      <c r="W126" s="3"/>
    </row>
    <row r="127" spans="15:23">
      <c r="O127" s="35"/>
      <c r="P127" s="35"/>
      <c r="Q127" s="35"/>
      <c r="R127" s="35"/>
      <c r="S127" s="35"/>
      <c r="T127" s="35"/>
      <c r="U127" s="35"/>
      <c r="V127" s="3"/>
      <c r="W127" s="3"/>
    </row>
    <row r="128" spans="15:23">
      <c r="O128" s="35"/>
      <c r="P128" s="35"/>
      <c r="Q128" s="35"/>
      <c r="R128" s="35"/>
      <c r="S128" s="35"/>
      <c r="T128" s="35"/>
      <c r="U128" s="35"/>
      <c r="V128" s="3"/>
      <c r="W128" s="3"/>
    </row>
    <row r="129" spans="15:23">
      <c r="O129" s="35"/>
      <c r="P129" s="35"/>
      <c r="Q129" s="35"/>
      <c r="R129" s="35"/>
      <c r="S129" s="35"/>
      <c r="T129" s="35"/>
      <c r="U129" s="35"/>
      <c r="V129" s="3"/>
      <c r="W129" s="3"/>
    </row>
    <row r="130" spans="15:23">
      <c r="O130" s="35"/>
      <c r="P130" s="35"/>
      <c r="Q130" s="35"/>
      <c r="R130" s="35"/>
      <c r="S130" s="35"/>
      <c r="T130" s="35"/>
      <c r="U130" s="35"/>
      <c r="V130" s="3"/>
      <c r="W130" s="3"/>
    </row>
    <row r="131" spans="15:23">
      <c r="O131" s="35"/>
      <c r="P131" s="35"/>
      <c r="Q131" s="35"/>
      <c r="R131" s="35"/>
      <c r="S131" s="35"/>
      <c r="T131" s="35"/>
      <c r="U131" s="35"/>
      <c r="V131" s="3"/>
      <c r="W131" s="3"/>
    </row>
    <row r="132" spans="15:23">
      <c r="O132" s="35"/>
      <c r="P132" s="35"/>
      <c r="Q132" s="35"/>
      <c r="R132" s="35"/>
      <c r="S132" s="35"/>
      <c r="T132" s="35"/>
      <c r="U132" s="35"/>
      <c r="V132" s="3"/>
      <c r="W132" s="3"/>
    </row>
    <row r="133" spans="15:23">
      <c r="O133" s="35"/>
      <c r="P133" s="35"/>
      <c r="Q133" s="35"/>
      <c r="R133" s="35"/>
      <c r="S133" s="35"/>
      <c r="T133" s="35"/>
      <c r="U133" s="35"/>
      <c r="V133" s="3"/>
      <c r="W133" s="3"/>
    </row>
    <row r="134" spans="15:23">
      <c r="O134" s="35"/>
      <c r="P134" s="35"/>
      <c r="Q134" s="35"/>
      <c r="R134" s="35"/>
      <c r="S134" s="35"/>
      <c r="T134" s="35"/>
      <c r="U134" s="35"/>
      <c r="V134" s="3"/>
      <c r="W134" s="3"/>
    </row>
    <row r="135" spans="15:23">
      <c r="O135" s="35"/>
      <c r="P135" s="35"/>
      <c r="Q135" s="35"/>
      <c r="R135" s="35"/>
      <c r="S135" s="35"/>
      <c r="T135" s="35"/>
      <c r="U135" s="35"/>
      <c r="V135" s="3"/>
      <c r="W135" s="3"/>
    </row>
    <row r="136" spans="15:23">
      <c r="O136" s="35"/>
      <c r="P136" s="35"/>
      <c r="Q136" s="35"/>
      <c r="R136" s="35"/>
      <c r="S136" s="35"/>
      <c r="T136" s="35"/>
      <c r="U136" s="35"/>
      <c r="V136" s="3"/>
      <c r="W136" s="3"/>
    </row>
    <row r="137" spans="15:23">
      <c r="O137" s="35"/>
      <c r="P137" s="35"/>
      <c r="Q137" s="35"/>
      <c r="R137" s="35"/>
      <c r="S137" s="35"/>
      <c r="T137" s="35"/>
      <c r="U137" s="35"/>
      <c r="V137" s="3"/>
      <c r="W137" s="3"/>
    </row>
    <row r="138" spans="15:23">
      <c r="O138" s="35"/>
      <c r="P138" s="35"/>
      <c r="Q138" s="35"/>
      <c r="R138" s="35"/>
      <c r="S138" s="35"/>
      <c r="T138" s="35"/>
      <c r="U138" s="35"/>
      <c r="V138" s="3"/>
      <c r="W138" s="3"/>
    </row>
    <row r="139" spans="15:23">
      <c r="O139" s="35"/>
      <c r="P139" s="35"/>
      <c r="Q139" s="35"/>
      <c r="R139" s="35"/>
      <c r="S139" s="35"/>
      <c r="T139" s="35"/>
      <c r="U139" s="35"/>
      <c r="V139" s="3"/>
      <c r="W139" s="3"/>
    </row>
    <row r="140" spans="15:23">
      <c r="O140" s="35"/>
      <c r="P140" s="35"/>
      <c r="Q140" s="35"/>
      <c r="R140" s="35"/>
      <c r="S140" s="35"/>
      <c r="T140" s="35"/>
      <c r="U140" s="35"/>
      <c r="V140" s="3"/>
      <c r="W140" s="3"/>
    </row>
    <row r="141" spans="15:23">
      <c r="O141" s="35"/>
      <c r="P141" s="35"/>
      <c r="Q141" s="35"/>
      <c r="R141" s="35"/>
      <c r="S141" s="35"/>
      <c r="T141" s="35"/>
      <c r="U141" s="35"/>
      <c r="V141" s="3"/>
      <c r="W141" s="3"/>
    </row>
    <row r="142" spans="15:23">
      <c r="O142" s="35"/>
      <c r="P142" s="35"/>
      <c r="Q142" s="35"/>
      <c r="R142" s="35"/>
      <c r="S142" s="35"/>
      <c r="T142" s="35"/>
      <c r="U142" s="35"/>
      <c r="V142" s="3"/>
      <c r="W142" s="3"/>
    </row>
    <row r="143" spans="15:23">
      <c r="O143" s="35"/>
      <c r="P143" s="35"/>
      <c r="Q143" s="35"/>
      <c r="R143" s="35"/>
      <c r="S143" s="35"/>
      <c r="T143" s="35"/>
      <c r="U143" s="35"/>
      <c r="V143" s="3"/>
      <c r="W143" s="3"/>
    </row>
    <row r="144" spans="15:23">
      <c r="O144" s="35"/>
      <c r="P144" s="35"/>
      <c r="Q144" s="35"/>
      <c r="R144" s="35"/>
      <c r="S144" s="35"/>
      <c r="T144" s="35"/>
      <c r="U144" s="35"/>
      <c r="V144" s="3"/>
      <c r="W144" s="3"/>
    </row>
    <row r="145" spans="15:23">
      <c r="O145" s="35"/>
      <c r="P145" s="35"/>
      <c r="Q145" s="35"/>
      <c r="R145" s="35"/>
      <c r="S145" s="35"/>
      <c r="T145" s="35"/>
      <c r="U145" s="35"/>
      <c r="V145" s="3"/>
      <c r="W145" s="3"/>
    </row>
    <row r="146" spans="15:23">
      <c r="O146" s="35"/>
      <c r="P146" s="35"/>
      <c r="Q146" s="35"/>
      <c r="R146" s="35"/>
      <c r="S146" s="35"/>
      <c r="T146" s="35"/>
      <c r="U146" s="35"/>
      <c r="V146" s="3"/>
      <c r="W146" s="3"/>
    </row>
    <row r="147" spans="15:23">
      <c r="O147" s="35"/>
      <c r="P147" s="35"/>
      <c r="Q147" s="35"/>
      <c r="R147" s="35"/>
      <c r="S147" s="35"/>
      <c r="T147" s="35"/>
      <c r="U147" s="35"/>
      <c r="V147" s="3"/>
      <c r="W147" s="3"/>
    </row>
    <row r="148" spans="15:23">
      <c r="O148" s="35"/>
      <c r="P148" s="35"/>
      <c r="Q148" s="35"/>
      <c r="R148" s="35"/>
      <c r="S148" s="35"/>
      <c r="T148" s="35"/>
      <c r="U148" s="35"/>
      <c r="V148" s="3"/>
      <c r="W148" s="3"/>
    </row>
    <row r="149" spans="15:23">
      <c r="O149" s="35"/>
      <c r="P149" s="35"/>
      <c r="Q149" s="35"/>
      <c r="R149" s="35"/>
      <c r="S149" s="35"/>
      <c r="T149" s="35"/>
      <c r="U149" s="35"/>
      <c r="V149" s="3"/>
      <c r="W149" s="3"/>
    </row>
    <row r="150" spans="15:23">
      <c r="O150" s="35"/>
      <c r="P150" s="35"/>
      <c r="Q150" s="35"/>
      <c r="R150" s="35"/>
      <c r="S150" s="35"/>
      <c r="T150" s="35"/>
      <c r="U150" s="35"/>
      <c r="V150" s="3"/>
      <c r="W150" s="3"/>
    </row>
    <row r="151" spans="15:23">
      <c r="O151" s="35"/>
      <c r="P151" s="35"/>
      <c r="Q151" s="35"/>
      <c r="R151" s="35"/>
      <c r="S151" s="35"/>
      <c r="T151" s="35"/>
      <c r="U151" s="35"/>
      <c r="V151" s="3"/>
      <c r="W151" s="3"/>
    </row>
    <row r="152" spans="15:23">
      <c r="O152" s="35"/>
      <c r="P152" s="35"/>
      <c r="Q152" s="35"/>
      <c r="R152" s="35"/>
      <c r="S152" s="35"/>
      <c r="T152" s="35"/>
      <c r="U152" s="35"/>
      <c r="V152" s="3"/>
      <c r="W152" s="3"/>
    </row>
    <row r="153" spans="15:23">
      <c r="O153" s="35"/>
      <c r="P153" s="35"/>
      <c r="Q153" s="35"/>
      <c r="R153" s="35"/>
      <c r="S153" s="35"/>
      <c r="T153" s="35"/>
      <c r="U153" s="35"/>
      <c r="V153" s="3"/>
      <c r="W153" s="3"/>
    </row>
    <row r="154" spans="15:23">
      <c r="O154" s="35"/>
      <c r="P154" s="35"/>
      <c r="Q154" s="35"/>
      <c r="R154" s="35"/>
      <c r="S154" s="35"/>
      <c r="T154" s="35"/>
      <c r="U154" s="35"/>
      <c r="V154" s="3"/>
      <c r="W154" s="3"/>
    </row>
    <row r="155" spans="15:23">
      <c r="O155" s="35"/>
      <c r="P155" s="35"/>
      <c r="Q155" s="35"/>
      <c r="R155" s="35"/>
      <c r="S155" s="35"/>
      <c r="T155" s="35"/>
      <c r="U155" s="35"/>
      <c r="V155" s="3"/>
      <c r="W155" s="3"/>
    </row>
    <row r="156" spans="15:23">
      <c r="O156" s="35"/>
      <c r="P156" s="35"/>
      <c r="Q156" s="35"/>
      <c r="R156" s="35"/>
      <c r="S156" s="35"/>
      <c r="T156" s="35"/>
      <c r="U156" s="35"/>
      <c r="V156" s="3"/>
      <c r="W156" s="3"/>
    </row>
    <row r="157" spans="15:23">
      <c r="O157" s="35"/>
      <c r="P157" s="35"/>
      <c r="Q157" s="35"/>
      <c r="R157" s="35"/>
      <c r="S157" s="35"/>
      <c r="T157" s="35"/>
      <c r="U157" s="35"/>
      <c r="V157" s="3"/>
      <c r="W157" s="3"/>
    </row>
    <row r="158" spans="15:23">
      <c r="O158" s="35"/>
      <c r="P158" s="35"/>
      <c r="Q158" s="35"/>
      <c r="R158" s="35"/>
      <c r="S158" s="35"/>
      <c r="T158" s="35"/>
      <c r="U158" s="35"/>
      <c r="V158" s="3"/>
      <c r="W158" s="3"/>
    </row>
    <row r="159" spans="15:23">
      <c r="O159" s="35"/>
      <c r="P159" s="35"/>
      <c r="Q159" s="35"/>
      <c r="R159" s="35"/>
      <c r="S159" s="35"/>
      <c r="T159" s="35"/>
      <c r="U159" s="35"/>
      <c r="V159" s="3"/>
      <c r="W159" s="3"/>
    </row>
    <row r="160" spans="15:23">
      <c r="O160" s="35"/>
      <c r="P160" s="35"/>
      <c r="Q160" s="35"/>
      <c r="R160" s="35"/>
      <c r="S160" s="35"/>
      <c r="T160" s="35"/>
      <c r="U160" s="35"/>
      <c r="V160" s="3"/>
      <c r="W160" s="3"/>
    </row>
    <row r="161" spans="15:23">
      <c r="O161" s="35"/>
      <c r="P161" s="35"/>
      <c r="Q161" s="35"/>
      <c r="R161" s="35"/>
      <c r="S161" s="35"/>
      <c r="T161" s="35"/>
      <c r="U161" s="35"/>
      <c r="V161" s="3"/>
      <c r="W161" s="3"/>
    </row>
    <row r="162" spans="15:23">
      <c r="O162" s="35"/>
      <c r="P162" s="35"/>
      <c r="Q162" s="35"/>
      <c r="R162" s="35"/>
      <c r="S162" s="35"/>
      <c r="T162" s="35"/>
      <c r="U162" s="35"/>
      <c r="V162" s="3"/>
      <c r="W162" s="3"/>
    </row>
    <row r="163" spans="15:23">
      <c r="O163" s="35"/>
      <c r="P163" s="35"/>
      <c r="Q163" s="35"/>
      <c r="R163" s="35"/>
      <c r="S163" s="35"/>
      <c r="T163" s="35"/>
      <c r="U163" s="35"/>
      <c r="V163" s="3"/>
      <c r="W163" s="3"/>
    </row>
    <row r="164" spans="15:23">
      <c r="O164" s="35"/>
      <c r="P164" s="35"/>
      <c r="Q164" s="35"/>
      <c r="R164" s="35"/>
      <c r="S164" s="35"/>
      <c r="T164" s="35"/>
      <c r="U164" s="35"/>
      <c r="V164" s="3"/>
      <c r="W164" s="3"/>
    </row>
    <row r="165" spans="15:23">
      <c r="O165" s="35"/>
      <c r="P165" s="35"/>
      <c r="Q165" s="35"/>
      <c r="R165" s="35"/>
      <c r="S165" s="35"/>
      <c r="T165" s="35"/>
      <c r="U165" s="35"/>
      <c r="V165" s="3"/>
      <c r="W165" s="3"/>
    </row>
    <row r="166" spans="15:23">
      <c r="O166" s="35"/>
      <c r="P166" s="35"/>
      <c r="Q166" s="35"/>
      <c r="R166" s="35"/>
      <c r="S166" s="35"/>
      <c r="T166" s="35"/>
      <c r="U166" s="35"/>
      <c r="V166" s="3"/>
      <c r="W166" s="3"/>
    </row>
    <row r="167" spans="15:23">
      <c r="O167" s="35"/>
      <c r="P167" s="35"/>
      <c r="Q167" s="35"/>
      <c r="R167" s="35"/>
      <c r="S167" s="35"/>
      <c r="T167" s="35"/>
      <c r="U167" s="35"/>
      <c r="V167" s="3"/>
      <c r="W167" s="3"/>
    </row>
    <row r="168" spans="15:23">
      <c r="O168" s="35"/>
      <c r="P168" s="35"/>
      <c r="Q168" s="35"/>
      <c r="R168" s="35"/>
      <c r="S168" s="35"/>
      <c r="T168" s="35"/>
      <c r="U168" s="35"/>
      <c r="V168" s="3"/>
      <c r="W168" s="3"/>
    </row>
    <row r="169" spans="15:23">
      <c r="O169" s="35"/>
      <c r="P169" s="35"/>
      <c r="Q169" s="35"/>
      <c r="R169" s="35"/>
      <c r="S169" s="35"/>
      <c r="T169" s="35"/>
      <c r="U169" s="35"/>
      <c r="V169" s="3"/>
      <c r="W169" s="3"/>
    </row>
    <row r="170" spans="15:23">
      <c r="O170" s="35"/>
      <c r="P170" s="35"/>
      <c r="Q170" s="35"/>
      <c r="R170" s="35"/>
      <c r="S170" s="35"/>
      <c r="T170" s="35"/>
      <c r="U170" s="35"/>
      <c r="V170" s="3"/>
      <c r="W170" s="3"/>
    </row>
    <row r="171" spans="15:23">
      <c r="O171" s="35"/>
      <c r="P171" s="35"/>
      <c r="Q171" s="35"/>
      <c r="R171" s="35"/>
      <c r="S171" s="35"/>
      <c r="T171" s="35"/>
      <c r="U171" s="35"/>
      <c r="V171" s="3"/>
      <c r="W171" s="3"/>
    </row>
    <row r="172" spans="15:23">
      <c r="O172" s="35"/>
      <c r="P172" s="35"/>
      <c r="Q172" s="35"/>
      <c r="R172" s="35"/>
      <c r="S172" s="35"/>
      <c r="T172" s="35"/>
      <c r="U172" s="35"/>
      <c r="V172" s="3"/>
      <c r="W172" s="3"/>
    </row>
    <row r="173" spans="15:23">
      <c r="O173" s="35"/>
      <c r="P173" s="35"/>
      <c r="Q173" s="35"/>
      <c r="R173" s="35"/>
      <c r="S173" s="35"/>
      <c r="T173" s="35"/>
      <c r="U173" s="35"/>
      <c r="V173" s="3"/>
      <c r="W173" s="3"/>
    </row>
    <row r="174" spans="15:23">
      <c r="O174" s="35"/>
      <c r="P174" s="35"/>
      <c r="Q174" s="35"/>
      <c r="R174" s="35"/>
      <c r="S174" s="35"/>
      <c r="T174" s="35"/>
      <c r="U174" s="35"/>
      <c r="V174" s="3"/>
      <c r="W174" s="3"/>
    </row>
    <row r="175" spans="15:23">
      <c r="O175" s="35"/>
      <c r="P175" s="35"/>
      <c r="Q175" s="35"/>
      <c r="R175" s="35"/>
      <c r="S175" s="35"/>
      <c r="T175" s="35"/>
      <c r="U175" s="35"/>
      <c r="V175" s="3"/>
      <c r="W175" s="3"/>
    </row>
    <row r="176" spans="15:23">
      <c r="O176" s="35"/>
      <c r="P176" s="35"/>
      <c r="Q176" s="35"/>
      <c r="R176" s="35"/>
      <c r="S176" s="35"/>
      <c r="T176" s="35"/>
      <c r="U176" s="35"/>
      <c r="V176" s="3"/>
      <c r="W176" s="3"/>
    </row>
    <row r="177" spans="15:23">
      <c r="O177" s="35"/>
      <c r="P177" s="35"/>
      <c r="Q177" s="35"/>
      <c r="R177" s="35"/>
      <c r="S177" s="35"/>
      <c r="T177" s="35"/>
      <c r="U177" s="35"/>
      <c r="V177" s="3"/>
      <c r="W177" s="3"/>
    </row>
    <row r="178" spans="15:23">
      <c r="O178" s="35"/>
      <c r="P178" s="35"/>
      <c r="Q178" s="35"/>
      <c r="R178" s="35"/>
      <c r="S178" s="35"/>
      <c r="T178" s="35"/>
      <c r="U178" s="35"/>
      <c r="V178" s="3"/>
      <c r="W178" s="3"/>
    </row>
    <row r="179" spans="15:23">
      <c r="O179" s="35"/>
      <c r="P179" s="35"/>
      <c r="Q179" s="35"/>
      <c r="R179" s="35"/>
      <c r="S179" s="35"/>
      <c r="T179" s="35"/>
      <c r="U179" s="35"/>
      <c r="V179" s="3"/>
      <c r="W179" s="3"/>
    </row>
    <row r="180" spans="15:23">
      <c r="O180" s="35"/>
      <c r="P180" s="35"/>
      <c r="Q180" s="35"/>
      <c r="R180" s="35"/>
      <c r="S180" s="35"/>
      <c r="T180" s="35"/>
      <c r="U180" s="35"/>
      <c r="V180" s="3"/>
      <c r="W180" s="3"/>
    </row>
    <row r="181" spans="15:23">
      <c r="O181" s="35"/>
      <c r="P181" s="35"/>
      <c r="Q181" s="35"/>
      <c r="R181" s="35"/>
      <c r="S181" s="35"/>
      <c r="T181" s="35"/>
      <c r="U181" s="35"/>
      <c r="V181" s="3"/>
      <c r="W181" s="3"/>
    </row>
    <row r="182" spans="15:23">
      <c r="O182" s="35"/>
      <c r="P182" s="35"/>
      <c r="Q182" s="35"/>
      <c r="R182" s="35"/>
      <c r="S182" s="35"/>
      <c r="T182" s="35"/>
      <c r="U182" s="35"/>
      <c r="V182" s="3"/>
      <c r="W182" s="3"/>
    </row>
    <row r="183" spans="15:23">
      <c r="O183" s="35"/>
      <c r="P183" s="35"/>
      <c r="Q183" s="35"/>
      <c r="R183" s="35"/>
      <c r="S183" s="35"/>
      <c r="T183" s="35"/>
      <c r="U183" s="35"/>
      <c r="V183" s="3"/>
      <c r="W183" s="3"/>
    </row>
    <row r="184" spans="15:23">
      <c r="O184" s="35"/>
      <c r="P184" s="35"/>
      <c r="Q184" s="35"/>
      <c r="R184" s="35"/>
      <c r="S184" s="35"/>
      <c r="T184" s="35"/>
      <c r="U184" s="35"/>
      <c r="V184" s="3"/>
      <c r="W184" s="3"/>
    </row>
    <row r="185" spans="15:23">
      <c r="O185" s="35"/>
      <c r="P185" s="35"/>
      <c r="Q185" s="35"/>
      <c r="R185" s="35"/>
      <c r="S185" s="35"/>
      <c r="T185" s="35"/>
      <c r="U185" s="35"/>
      <c r="V185" s="3"/>
      <c r="W185" s="3"/>
    </row>
    <row r="186" spans="15:23">
      <c r="O186" s="35"/>
      <c r="P186" s="35"/>
      <c r="Q186" s="35"/>
      <c r="R186" s="35"/>
      <c r="S186" s="35"/>
      <c r="T186" s="35"/>
      <c r="U186" s="35"/>
      <c r="V186" s="3"/>
      <c r="W186" s="3"/>
    </row>
    <row r="187" spans="15:23">
      <c r="O187" s="35"/>
      <c r="P187" s="35"/>
      <c r="Q187" s="35"/>
      <c r="R187" s="35"/>
      <c r="S187" s="35"/>
      <c r="T187" s="35"/>
      <c r="U187" s="35"/>
      <c r="V187" s="3"/>
      <c r="W187" s="3"/>
    </row>
    <row r="188" spans="15:23">
      <c r="O188" s="35"/>
      <c r="P188" s="35"/>
      <c r="Q188" s="35"/>
      <c r="R188" s="35"/>
      <c r="S188" s="35"/>
      <c r="T188" s="35"/>
      <c r="U188" s="35"/>
      <c r="V188" s="3"/>
      <c r="W188" s="3"/>
    </row>
    <row r="189" spans="15:23">
      <c r="O189" s="35"/>
      <c r="P189" s="35"/>
      <c r="Q189" s="35"/>
      <c r="R189" s="35"/>
      <c r="S189" s="35"/>
      <c r="T189" s="35"/>
      <c r="U189" s="35"/>
      <c r="V189" s="3"/>
      <c r="W189" s="3"/>
    </row>
    <row r="190" spans="15:23">
      <c r="O190" s="35"/>
      <c r="P190" s="35"/>
      <c r="Q190" s="35"/>
      <c r="R190" s="35"/>
      <c r="S190" s="35"/>
      <c r="T190" s="35"/>
      <c r="U190" s="35"/>
      <c r="V190" s="3"/>
      <c r="W190" s="3"/>
    </row>
    <row r="191" spans="15:23">
      <c r="O191" s="35"/>
      <c r="P191" s="35"/>
      <c r="Q191" s="35"/>
      <c r="R191" s="35"/>
      <c r="S191" s="35"/>
      <c r="T191" s="35"/>
      <c r="U191" s="35"/>
      <c r="V191" s="3"/>
      <c r="W191" s="3"/>
    </row>
    <row r="192" spans="15:23">
      <c r="O192" s="35"/>
      <c r="P192" s="35"/>
      <c r="Q192" s="35"/>
      <c r="R192" s="35"/>
      <c r="S192" s="35"/>
      <c r="T192" s="35"/>
      <c r="U192" s="35"/>
      <c r="V192" s="3"/>
      <c r="W192" s="3"/>
    </row>
    <row r="193" spans="15:23">
      <c r="O193" s="35"/>
      <c r="P193" s="35"/>
      <c r="Q193" s="35"/>
      <c r="R193" s="35"/>
      <c r="S193" s="35"/>
      <c r="T193" s="35"/>
      <c r="U193" s="35"/>
      <c r="V193" s="3"/>
      <c r="W193" s="3"/>
    </row>
    <row r="194" spans="15:23">
      <c r="O194" s="35"/>
      <c r="P194" s="35"/>
      <c r="Q194" s="35"/>
      <c r="R194" s="35"/>
      <c r="S194" s="35"/>
      <c r="T194" s="35"/>
      <c r="U194" s="35"/>
      <c r="V194" s="3"/>
      <c r="W194" s="3"/>
    </row>
    <row r="195" spans="15:23">
      <c r="O195" s="35"/>
      <c r="P195" s="35"/>
      <c r="Q195" s="35"/>
      <c r="R195" s="35"/>
      <c r="S195" s="35"/>
      <c r="T195" s="35"/>
      <c r="U195" s="35"/>
      <c r="V195" s="3"/>
      <c r="W195" s="3"/>
    </row>
    <row r="196" spans="15:23">
      <c r="O196" s="35"/>
      <c r="P196" s="35"/>
      <c r="Q196" s="35"/>
      <c r="R196" s="35"/>
      <c r="S196" s="35"/>
      <c r="T196" s="35"/>
      <c r="U196" s="35"/>
      <c r="V196" s="3"/>
      <c r="W196" s="3"/>
    </row>
    <row r="197" spans="15:23">
      <c r="O197" s="35"/>
      <c r="P197" s="35"/>
      <c r="Q197" s="35"/>
      <c r="R197" s="35"/>
      <c r="S197" s="35"/>
      <c r="T197" s="35"/>
      <c r="U197" s="35"/>
      <c r="V197" s="3"/>
      <c r="W197" s="3"/>
    </row>
    <row r="198" spans="15:23">
      <c r="O198" s="35"/>
      <c r="P198" s="35"/>
      <c r="Q198" s="35"/>
      <c r="R198" s="35"/>
      <c r="S198" s="35"/>
      <c r="T198" s="35"/>
      <c r="U198" s="35"/>
      <c r="V198" s="3"/>
      <c r="W198" s="3"/>
    </row>
    <row r="199" spans="15:23">
      <c r="O199" s="35"/>
      <c r="P199" s="35"/>
      <c r="Q199" s="35"/>
      <c r="R199" s="35"/>
      <c r="S199" s="35"/>
      <c r="T199" s="35"/>
      <c r="U199" s="35"/>
      <c r="V199" s="3"/>
      <c r="W199" s="3"/>
    </row>
    <row r="200" spans="15:23">
      <c r="O200" s="35"/>
      <c r="P200" s="35"/>
      <c r="Q200" s="35"/>
      <c r="R200" s="35"/>
      <c r="S200" s="35"/>
      <c r="T200" s="35"/>
      <c r="U200" s="35"/>
      <c r="V200" s="3"/>
      <c r="W200" s="3"/>
    </row>
    <row r="201" spans="15:23">
      <c r="O201" s="35"/>
      <c r="P201" s="35"/>
      <c r="Q201" s="35"/>
      <c r="R201" s="35"/>
      <c r="S201" s="35"/>
      <c r="T201" s="35"/>
      <c r="U201" s="35"/>
      <c r="V201" s="3"/>
      <c r="W201" s="3"/>
    </row>
    <row r="202" spans="15:23">
      <c r="O202" s="35"/>
      <c r="P202" s="35"/>
      <c r="Q202" s="35"/>
      <c r="R202" s="35"/>
      <c r="S202" s="35"/>
      <c r="T202" s="35"/>
      <c r="U202" s="35"/>
      <c r="V202" s="3"/>
      <c r="W202" s="3"/>
    </row>
    <row r="203" spans="15:23">
      <c r="O203" s="35"/>
      <c r="P203" s="35"/>
      <c r="Q203" s="35"/>
      <c r="R203" s="35"/>
      <c r="S203" s="35"/>
      <c r="T203" s="35"/>
      <c r="U203" s="35"/>
      <c r="V203" s="3"/>
      <c r="W203" s="3"/>
    </row>
    <row r="204" spans="15:23">
      <c r="O204" s="35"/>
      <c r="P204" s="35"/>
      <c r="Q204" s="35"/>
      <c r="R204" s="35"/>
      <c r="S204" s="35"/>
      <c r="T204" s="35"/>
      <c r="U204" s="35"/>
      <c r="V204" s="3"/>
      <c r="W204" s="3"/>
    </row>
    <row r="205" spans="15:23">
      <c r="O205" s="35"/>
      <c r="P205" s="35"/>
      <c r="Q205" s="35"/>
      <c r="R205" s="35"/>
      <c r="S205" s="35"/>
      <c r="T205" s="35"/>
      <c r="U205" s="35"/>
      <c r="V205" s="3"/>
      <c r="W205" s="3"/>
    </row>
    <row r="206" spans="15:23">
      <c r="O206" s="35"/>
      <c r="P206" s="35"/>
      <c r="Q206" s="35"/>
      <c r="R206" s="35"/>
      <c r="S206" s="35"/>
      <c r="T206" s="35"/>
      <c r="U206" s="35"/>
      <c r="V206" s="3"/>
      <c r="W206" s="3"/>
    </row>
    <row r="207" spans="15:23">
      <c r="O207" s="35"/>
      <c r="P207" s="35"/>
      <c r="Q207" s="35"/>
      <c r="R207" s="35"/>
      <c r="S207" s="35"/>
      <c r="T207" s="35"/>
      <c r="U207" s="35"/>
      <c r="V207" s="3"/>
      <c r="W207" s="3"/>
    </row>
    <row r="208" spans="15:23">
      <c r="O208" s="35"/>
      <c r="P208" s="35"/>
      <c r="Q208" s="35"/>
      <c r="R208" s="35"/>
      <c r="S208" s="35"/>
      <c r="T208" s="35"/>
      <c r="U208" s="35"/>
      <c r="V208" s="3"/>
      <c r="W208" s="3"/>
    </row>
    <row r="209" spans="15:23">
      <c r="O209" s="35"/>
      <c r="P209" s="35"/>
      <c r="Q209" s="35"/>
      <c r="R209" s="35"/>
      <c r="S209" s="35"/>
      <c r="T209" s="35"/>
      <c r="U209" s="35"/>
      <c r="V209" s="3"/>
      <c r="W209" s="3"/>
    </row>
    <row r="210" spans="15:23">
      <c r="O210" s="35"/>
      <c r="P210" s="35"/>
      <c r="Q210" s="35"/>
      <c r="R210" s="35"/>
      <c r="S210" s="35"/>
      <c r="T210" s="35"/>
      <c r="U210" s="35"/>
      <c r="V210" s="3"/>
      <c r="W210" s="3"/>
    </row>
    <row r="211" spans="15:23">
      <c r="O211" s="35"/>
      <c r="P211" s="35"/>
      <c r="Q211" s="35"/>
      <c r="R211" s="35"/>
      <c r="S211" s="35"/>
      <c r="T211" s="35"/>
      <c r="U211" s="35"/>
      <c r="V211" s="3"/>
      <c r="W211" s="3"/>
    </row>
    <row r="212" spans="15:23">
      <c r="O212" s="35"/>
      <c r="P212" s="35"/>
      <c r="Q212" s="35"/>
      <c r="R212" s="35"/>
      <c r="S212" s="35"/>
      <c r="T212" s="35"/>
      <c r="U212" s="35"/>
      <c r="V212" s="3"/>
      <c r="W212" s="3"/>
    </row>
    <row r="213" spans="15:23">
      <c r="O213" s="35"/>
      <c r="P213" s="35"/>
      <c r="Q213" s="35"/>
      <c r="R213" s="35"/>
      <c r="S213" s="35"/>
      <c r="T213" s="35"/>
      <c r="U213" s="35"/>
      <c r="V213" s="3"/>
      <c r="W213" s="3"/>
    </row>
    <row r="214" spans="15:23">
      <c r="O214" s="35"/>
      <c r="P214" s="35"/>
      <c r="Q214" s="35"/>
      <c r="R214" s="35"/>
      <c r="S214" s="35"/>
      <c r="T214" s="35"/>
      <c r="U214" s="35"/>
      <c r="V214" s="3"/>
      <c r="W214" s="3"/>
    </row>
    <row r="215" spans="15:23">
      <c r="O215" s="35"/>
      <c r="P215" s="35"/>
      <c r="Q215" s="35"/>
      <c r="R215" s="35"/>
      <c r="S215" s="35"/>
      <c r="T215" s="35"/>
      <c r="U215" s="35"/>
      <c r="V215" s="3"/>
      <c r="W215" s="3"/>
    </row>
    <row r="216" spans="15:23">
      <c r="O216" s="35"/>
      <c r="P216" s="35"/>
      <c r="Q216" s="35"/>
      <c r="R216" s="35"/>
      <c r="S216" s="35"/>
      <c r="T216" s="35"/>
      <c r="U216" s="35"/>
      <c r="V216" s="3"/>
      <c r="W216" s="3"/>
    </row>
    <row r="217" spans="15:23">
      <c r="O217" s="35"/>
      <c r="P217" s="35"/>
      <c r="Q217" s="35"/>
      <c r="R217" s="35"/>
      <c r="S217" s="35"/>
      <c r="T217" s="35"/>
      <c r="U217" s="35"/>
      <c r="V217" s="3"/>
      <c r="W217" s="3"/>
    </row>
    <row r="218" spans="15:23">
      <c r="O218" s="35"/>
      <c r="P218" s="35"/>
      <c r="Q218" s="35"/>
      <c r="R218" s="35"/>
      <c r="S218" s="35"/>
      <c r="T218" s="35"/>
      <c r="U218" s="35"/>
      <c r="V218" s="3"/>
      <c r="W218" s="3"/>
    </row>
    <row r="219" spans="15:23">
      <c r="O219" s="35"/>
      <c r="P219" s="35"/>
      <c r="Q219" s="35"/>
      <c r="R219" s="35"/>
      <c r="S219" s="35"/>
      <c r="T219" s="35"/>
      <c r="U219" s="35"/>
      <c r="V219" s="3"/>
      <c r="W219" s="3"/>
    </row>
    <row r="220" spans="15:23">
      <c r="O220" s="35"/>
      <c r="P220" s="35"/>
      <c r="Q220" s="35"/>
      <c r="R220" s="35"/>
      <c r="S220" s="35"/>
      <c r="T220" s="35"/>
      <c r="U220" s="35"/>
      <c r="V220" s="3"/>
      <c r="W220" s="3"/>
    </row>
    <row r="221" spans="15:23">
      <c r="O221" s="35"/>
      <c r="P221" s="35"/>
      <c r="Q221" s="35"/>
      <c r="R221" s="35"/>
      <c r="S221" s="35"/>
      <c r="T221" s="35"/>
      <c r="U221" s="35"/>
      <c r="V221" s="3"/>
      <c r="W221" s="3"/>
    </row>
    <row r="222" spans="15:23">
      <c r="O222" s="35"/>
      <c r="P222" s="35"/>
      <c r="Q222" s="35"/>
      <c r="R222" s="35"/>
      <c r="S222" s="35"/>
      <c r="T222" s="35"/>
      <c r="U222" s="35"/>
      <c r="V222" s="3"/>
      <c r="W222" s="3"/>
    </row>
    <row r="223" spans="15:23">
      <c r="O223" s="35"/>
      <c r="P223" s="35"/>
      <c r="Q223" s="35"/>
      <c r="R223" s="35"/>
      <c r="S223" s="35"/>
      <c r="T223" s="35"/>
      <c r="U223" s="35"/>
      <c r="V223" s="3"/>
      <c r="W223" s="3"/>
    </row>
    <row r="224" spans="15:23">
      <c r="O224" s="35"/>
      <c r="P224" s="35"/>
      <c r="Q224" s="35"/>
      <c r="R224" s="35"/>
      <c r="S224" s="35"/>
      <c r="T224" s="35"/>
      <c r="U224" s="35"/>
      <c r="V224" s="3"/>
      <c r="W224" s="3"/>
    </row>
    <row r="225" spans="15:23">
      <c r="O225" s="35"/>
      <c r="P225" s="35"/>
      <c r="Q225" s="35"/>
      <c r="R225" s="35"/>
      <c r="S225" s="35"/>
      <c r="T225" s="35"/>
      <c r="U225" s="35"/>
      <c r="V225" s="3"/>
      <c r="W225" s="3"/>
    </row>
    <row r="226" spans="15:23">
      <c r="O226" s="35"/>
      <c r="P226" s="35"/>
      <c r="Q226" s="35"/>
      <c r="R226" s="35"/>
      <c r="S226" s="35"/>
      <c r="T226" s="35"/>
      <c r="U226" s="35"/>
      <c r="V226" s="3"/>
      <c r="W226" s="3"/>
    </row>
    <row r="227" spans="15:23">
      <c r="O227" s="35"/>
      <c r="P227" s="35"/>
      <c r="Q227" s="35"/>
      <c r="R227" s="35"/>
      <c r="S227" s="35"/>
      <c r="T227" s="35"/>
      <c r="U227" s="35"/>
      <c r="V227" s="3"/>
      <c r="W227" s="3"/>
    </row>
    <row r="228" spans="15:23">
      <c r="O228" s="35"/>
      <c r="P228" s="35"/>
      <c r="Q228" s="35"/>
      <c r="R228" s="35"/>
      <c r="S228" s="35"/>
      <c r="T228" s="35"/>
      <c r="U228" s="35"/>
      <c r="V228" s="3"/>
      <c r="W228" s="3"/>
    </row>
    <row r="229" spans="15:23">
      <c r="O229" s="35"/>
      <c r="P229" s="35"/>
      <c r="Q229" s="35"/>
      <c r="R229" s="35"/>
      <c r="S229" s="35"/>
      <c r="T229" s="35"/>
      <c r="U229" s="35"/>
      <c r="V229" s="3"/>
      <c r="W229" s="3"/>
    </row>
    <row r="230" spans="15:23">
      <c r="O230" s="35"/>
      <c r="P230" s="35"/>
      <c r="Q230" s="35"/>
      <c r="R230" s="35"/>
      <c r="S230" s="35"/>
      <c r="T230" s="35"/>
      <c r="U230" s="35"/>
      <c r="V230" s="3"/>
      <c r="W230" s="3"/>
    </row>
    <row r="231" spans="15:23">
      <c r="O231" s="35"/>
      <c r="P231" s="35"/>
      <c r="Q231" s="35"/>
      <c r="R231" s="35"/>
      <c r="S231" s="35"/>
      <c r="T231" s="35"/>
      <c r="U231" s="35"/>
      <c r="V231" s="3"/>
      <c r="W231" s="3"/>
    </row>
    <row r="232" spans="15:23">
      <c r="O232" s="35"/>
      <c r="P232" s="35"/>
      <c r="Q232" s="35"/>
      <c r="R232" s="35"/>
      <c r="S232" s="35"/>
      <c r="T232" s="35"/>
      <c r="U232" s="35"/>
      <c r="V232" s="3"/>
      <c r="W232" s="3"/>
    </row>
    <row r="233" spans="15:23">
      <c r="O233" s="35"/>
      <c r="P233" s="35"/>
      <c r="Q233" s="35"/>
      <c r="R233" s="35"/>
      <c r="S233" s="35"/>
      <c r="T233" s="35"/>
      <c r="U233" s="35"/>
      <c r="V233" s="3"/>
      <c r="W233" s="3"/>
    </row>
    <row r="234" spans="15:23">
      <c r="O234" s="35"/>
      <c r="P234" s="35"/>
      <c r="Q234" s="35"/>
      <c r="R234" s="35"/>
      <c r="S234" s="35"/>
      <c r="T234" s="35"/>
      <c r="U234" s="35"/>
      <c r="V234" s="3"/>
      <c r="W234" s="3"/>
    </row>
    <row r="235" spans="15:23">
      <c r="O235" s="35"/>
      <c r="P235" s="35"/>
      <c r="Q235" s="35"/>
      <c r="R235" s="35"/>
      <c r="S235" s="35"/>
      <c r="T235" s="35"/>
      <c r="U235" s="35"/>
      <c r="V235" s="3"/>
      <c r="W235" s="3"/>
    </row>
    <row r="236" spans="15:23">
      <c r="O236" s="35"/>
      <c r="P236" s="35"/>
      <c r="Q236" s="35"/>
      <c r="R236" s="35"/>
      <c r="S236" s="35"/>
      <c r="T236" s="35"/>
      <c r="U236" s="35"/>
      <c r="V236" s="3"/>
      <c r="W236" s="3"/>
    </row>
    <row r="237" spans="15:23">
      <c r="O237" s="35"/>
      <c r="P237" s="35"/>
      <c r="Q237" s="35"/>
      <c r="R237" s="35"/>
      <c r="S237" s="35"/>
      <c r="T237" s="35"/>
      <c r="U237" s="35"/>
      <c r="V237" s="3"/>
      <c r="W237" s="3"/>
    </row>
    <row r="238" spans="15:23">
      <c r="O238" s="35"/>
      <c r="P238" s="35"/>
      <c r="Q238" s="35"/>
      <c r="R238" s="35"/>
      <c r="S238" s="35"/>
      <c r="T238" s="35"/>
      <c r="U238" s="35"/>
      <c r="V238" s="3"/>
      <c r="W238" s="3"/>
    </row>
    <row r="239" spans="15:23">
      <c r="O239" s="35"/>
      <c r="P239" s="35"/>
      <c r="Q239" s="35"/>
      <c r="R239" s="35"/>
      <c r="S239" s="35"/>
      <c r="T239" s="35"/>
      <c r="U239" s="35"/>
      <c r="V239" s="3"/>
      <c r="W239" s="3"/>
    </row>
    <row r="240" spans="15:23">
      <c r="O240" s="35"/>
      <c r="P240" s="35"/>
      <c r="Q240" s="35"/>
      <c r="R240" s="35"/>
      <c r="S240" s="35"/>
      <c r="T240" s="35"/>
      <c r="U240" s="35"/>
      <c r="V240" s="3"/>
      <c r="W240" s="3"/>
    </row>
    <row r="241" spans="15:23">
      <c r="O241" s="35"/>
      <c r="P241" s="35"/>
      <c r="Q241" s="35"/>
      <c r="R241" s="35"/>
      <c r="S241" s="35"/>
      <c r="T241" s="35"/>
      <c r="U241" s="35"/>
      <c r="V241" s="3"/>
      <c r="W241" s="3"/>
    </row>
    <row r="242" spans="15:23">
      <c r="O242" s="35"/>
      <c r="P242" s="35"/>
      <c r="Q242" s="35"/>
      <c r="R242" s="35"/>
      <c r="S242" s="35"/>
      <c r="T242" s="35"/>
      <c r="U242" s="35"/>
      <c r="V242" s="3"/>
      <c r="W242" s="3"/>
    </row>
    <row r="243" spans="15:23">
      <c r="O243" s="35"/>
      <c r="P243" s="35"/>
      <c r="Q243" s="35"/>
      <c r="R243" s="35"/>
      <c r="S243" s="35"/>
      <c r="T243" s="35"/>
      <c r="U243" s="35"/>
      <c r="V243" s="3"/>
      <c r="W243" s="3"/>
    </row>
    <row r="244" spans="15:23">
      <c r="O244" s="35"/>
      <c r="P244" s="35"/>
      <c r="Q244" s="35"/>
      <c r="R244" s="35"/>
      <c r="S244" s="35"/>
      <c r="T244" s="35"/>
      <c r="U244" s="35"/>
      <c r="V244" s="3"/>
      <c r="W244" s="3"/>
    </row>
    <row r="245" spans="15:23">
      <c r="O245" s="35"/>
      <c r="P245" s="35"/>
      <c r="Q245" s="35"/>
      <c r="R245" s="35"/>
      <c r="S245" s="35"/>
      <c r="T245" s="35"/>
      <c r="U245" s="35"/>
      <c r="V245" s="3"/>
      <c r="W245" s="3"/>
    </row>
    <row r="246" spans="15:23">
      <c r="O246" s="35"/>
      <c r="P246" s="35"/>
      <c r="Q246" s="35"/>
      <c r="R246" s="35"/>
      <c r="S246" s="35"/>
      <c r="T246" s="35"/>
      <c r="U246" s="35"/>
      <c r="V246" s="3"/>
      <c r="W246" s="3"/>
    </row>
    <row r="247" spans="15:23">
      <c r="O247" s="35"/>
      <c r="P247" s="35"/>
      <c r="Q247" s="35"/>
      <c r="R247" s="35"/>
      <c r="S247" s="35"/>
      <c r="T247" s="35"/>
      <c r="U247" s="35"/>
      <c r="V247" s="3"/>
      <c r="W247" s="3"/>
    </row>
    <row r="248" spans="15:23">
      <c r="O248" s="35"/>
      <c r="P248" s="35"/>
      <c r="Q248" s="35"/>
      <c r="R248" s="35"/>
      <c r="S248" s="35"/>
      <c r="T248" s="35"/>
      <c r="U248" s="35"/>
      <c r="V248" s="3"/>
      <c r="W248" s="3"/>
    </row>
    <row r="249" spans="15:23">
      <c r="O249" s="35"/>
      <c r="P249" s="35"/>
      <c r="Q249" s="35"/>
      <c r="R249" s="35"/>
      <c r="S249" s="35"/>
      <c r="T249" s="35"/>
      <c r="U249" s="35"/>
      <c r="V249" s="3"/>
      <c r="W249" s="3"/>
    </row>
    <row r="250" spans="15:23">
      <c r="O250" s="35"/>
      <c r="P250" s="35"/>
      <c r="Q250" s="35"/>
      <c r="R250" s="35"/>
      <c r="S250" s="35"/>
      <c r="T250" s="35"/>
      <c r="U250" s="35"/>
      <c r="V250" s="3"/>
      <c r="W250" s="3"/>
    </row>
    <row r="251" spans="15:23">
      <c r="O251" s="35"/>
      <c r="P251" s="35"/>
      <c r="Q251" s="35"/>
      <c r="R251" s="35"/>
      <c r="S251" s="35"/>
      <c r="T251" s="35"/>
      <c r="U251" s="35"/>
      <c r="V251" s="3"/>
      <c r="W251" s="3"/>
    </row>
    <row r="252" spans="15:23">
      <c r="O252" s="35"/>
      <c r="P252" s="35"/>
      <c r="Q252" s="35"/>
      <c r="R252" s="35"/>
      <c r="S252" s="35"/>
      <c r="T252" s="35"/>
      <c r="U252" s="35"/>
      <c r="V252" s="3"/>
      <c r="W252" s="3"/>
    </row>
    <row r="253" spans="15:23">
      <c r="O253" s="35"/>
      <c r="P253" s="35"/>
      <c r="Q253" s="35"/>
      <c r="R253" s="35"/>
      <c r="S253" s="35"/>
      <c r="T253" s="35"/>
      <c r="U253" s="35"/>
      <c r="V253" s="3"/>
      <c r="W253" s="3"/>
    </row>
    <row r="254" spans="15:23">
      <c r="O254" s="35"/>
      <c r="P254" s="35"/>
      <c r="Q254" s="35"/>
      <c r="R254" s="35"/>
      <c r="S254" s="35"/>
      <c r="T254" s="35"/>
      <c r="U254" s="35"/>
      <c r="V254" s="3"/>
      <c r="W254" s="3"/>
    </row>
    <row r="255" spans="15:23">
      <c r="O255" s="35"/>
      <c r="P255" s="35"/>
      <c r="Q255" s="35"/>
      <c r="R255" s="35"/>
      <c r="S255" s="35"/>
      <c r="T255" s="35"/>
      <c r="U255" s="35"/>
      <c r="V255" s="3"/>
      <c r="W255" s="3"/>
    </row>
    <row r="256" spans="15:23">
      <c r="O256" s="35"/>
      <c r="P256" s="35"/>
      <c r="Q256" s="35"/>
      <c r="R256" s="35"/>
      <c r="S256" s="35"/>
      <c r="T256" s="35"/>
      <c r="U256" s="35"/>
      <c r="V256" s="3"/>
      <c r="W256" s="3"/>
    </row>
    <row r="257" spans="15:23">
      <c r="O257" s="35"/>
      <c r="P257" s="35"/>
      <c r="Q257" s="35"/>
      <c r="R257" s="35"/>
      <c r="S257" s="35"/>
      <c r="T257" s="35"/>
      <c r="U257" s="35"/>
      <c r="V257" s="3"/>
      <c r="W257" s="3"/>
    </row>
    <row r="258" spans="15:23">
      <c r="O258" s="35"/>
      <c r="P258" s="35"/>
      <c r="Q258" s="35"/>
      <c r="R258" s="35"/>
      <c r="S258" s="35"/>
      <c r="T258" s="35"/>
      <c r="U258" s="35"/>
      <c r="V258" s="3"/>
      <c r="W258" s="3"/>
    </row>
    <row r="259" spans="15:23">
      <c r="O259" s="35"/>
      <c r="P259" s="35"/>
      <c r="Q259" s="35"/>
      <c r="R259" s="35"/>
      <c r="S259" s="35"/>
      <c r="T259" s="35"/>
      <c r="U259" s="35"/>
      <c r="V259" s="3"/>
      <c r="W259" s="3"/>
    </row>
    <row r="260" spans="15:23">
      <c r="O260" s="35"/>
      <c r="P260" s="35"/>
      <c r="Q260" s="35"/>
      <c r="R260" s="35"/>
      <c r="S260" s="35"/>
      <c r="T260" s="35"/>
      <c r="U260" s="35"/>
      <c r="V260" s="3"/>
      <c r="W260" s="3"/>
    </row>
    <row r="261" spans="15:23">
      <c r="O261" s="35"/>
      <c r="P261" s="35"/>
      <c r="Q261" s="35"/>
      <c r="R261" s="35"/>
      <c r="S261" s="35"/>
      <c r="T261" s="35"/>
      <c r="U261" s="35"/>
      <c r="V261" s="3"/>
      <c r="W261" s="3"/>
    </row>
    <row r="262" spans="15:23">
      <c r="O262" s="35"/>
      <c r="P262" s="35"/>
      <c r="Q262" s="35"/>
      <c r="R262" s="35"/>
      <c r="S262" s="35"/>
      <c r="T262" s="35"/>
      <c r="U262" s="35"/>
      <c r="V262" s="3"/>
      <c r="W262" s="3"/>
    </row>
    <row r="263" spans="15:23">
      <c r="O263" s="35"/>
      <c r="P263" s="35"/>
      <c r="Q263" s="35"/>
      <c r="R263" s="35"/>
      <c r="S263" s="35"/>
      <c r="T263" s="35"/>
      <c r="U263" s="35"/>
      <c r="V263" s="3"/>
      <c r="W263" s="3"/>
    </row>
    <row r="264" spans="15:23">
      <c r="O264" s="35"/>
      <c r="P264" s="35"/>
      <c r="Q264" s="35"/>
      <c r="R264" s="35"/>
      <c r="S264" s="35"/>
      <c r="T264" s="35"/>
      <c r="U264" s="35"/>
      <c r="V264" s="3"/>
      <c r="W264" s="3"/>
    </row>
    <row r="265" spans="15:23">
      <c r="O265" s="35"/>
      <c r="P265" s="35"/>
      <c r="Q265" s="35"/>
      <c r="R265" s="35"/>
      <c r="S265" s="35"/>
      <c r="T265" s="35"/>
      <c r="U265" s="35"/>
      <c r="V265" s="3"/>
      <c r="W265" s="3"/>
    </row>
    <row r="266" spans="15:23">
      <c r="O266" s="35"/>
      <c r="P266" s="35"/>
      <c r="Q266" s="35"/>
      <c r="R266" s="35"/>
      <c r="S266" s="35"/>
      <c r="T266" s="35"/>
      <c r="U266" s="35"/>
      <c r="V266" s="3"/>
      <c r="W266" s="3"/>
    </row>
    <row r="267" spans="15:23">
      <c r="O267" s="35"/>
      <c r="P267" s="35"/>
      <c r="Q267" s="35"/>
      <c r="R267" s="35"/>
      <c r="S267" s="35"/>
      <c r="T267" s="35"/>
      <c r="U267" s="35"/>
      <c r="V267" s="3"/>
      <c r="W267" s="3"/>
    </row>
    <row r="268" spans="15:23">
      <c r="O268" s="35"/>
      <c r="P268" s="35"/>
      <c r="Q268" s="35"/>
      <c r="R268" s="35"/>
      <c r="S268" s="35"/>
      <c r="T268" s="35"/>
      <c r="U268" s="35"/>
      <c r="V268" s="3"/>
      <c r="W268" s="3"/>
    </row>
    <row r="269" spans="15:23">
      <c r="O269" s="35"/>
      <c r="P269" s="35"/>
      <c r="Q269" s="35"/>
      <c r="R269" s="35"/>
      <c r="S269" s="35"/>
      <c r="T269" s="35"/>
      <c r="U269" s="35"/>
      <c r="V269" s="3"/>
      <c r="W269" s="3"/>
    </row>
    <row r="270" spans="15:23">
      <c r="O270" s="35"/>
      <c r="P270" s="35"/>
      <c r="Q270" s="35"/>
      <c r="R270" s="35"/>
      <c r="S270" s="35"/>
      <c r="T270" s="35"/>
      <c r="U270" s="35"/>
      <c r="V270" s="3"/>
      <c r="W270" s="3"/>
    </row>
    <row r="271" spans="15:23">
      <c r="O271" s="35"/>
      <c r="P271" s="35"/>
      <c r="Q271" s="35"/>
      <c r="R271" s="35"/>
      <c r="S271" s="35"/>
      <c r="T271" s="35"/>
      <c r="U271" s="35"/>
      <c r="V271" s="3"/>
      <c r="W271" s="3"/>
    </row>
    <row r="272" spans="15:23">
      <c r="O272" s="35"/>
      <c r="P272" s="35"/>
      <c r="Q272" s="35"/>
      <c r="R272" s="35"/>
      <c r="S272" s="35"/>
      <c r="T272" s="35"/>
      <c r="U272" s="35"/>
      <c r="V272" s="3"/>
      <c r="W272" s="3"/>
    </row>
    <row r="273" spans="15:23">
      <c r="O273" s="35"/>
      <c r="P273" s="35"/>
      <c r="Q273" s="35"/>
      <c r="R273" s="35"/>
      <c r="S273" s="35"/>
      <c r="T273" s="35"/>
      <c r="U273" s="35"/>
      <c r="V273" s="3"/>
      <c r="W273" s="3"/>
    </row>
    <row r="274" spans="15:23">
      <c r="O274" s="35"/>
      <c r="P274" s="35"/>
      <c r="Q274" s="35"/>
      <c r="R274" s="35"/>
      <c r="S274" s="35"/>
      <c r="T274" s="35"/>
      <c r="U274" s="35"/>
      <c r="V274" s="3"/>
      <c r="W274" s="3"/>
    </row>
    <row r="275" spans="15:23">
      <c r="O275" s="35"/>
      <c r="P275" s="35"/>
      <c r="Q275" s="35"/>
      <c r="R275" s="35"/>
      <c r="S275" s="35"/>
      <c r="T275" s="35"/>
      <c r="U275" s="35"/>
      <c r="V275" s="3"/>
      <c r="W275" s="3"/>
    </row>
    <row r="276" spans="15:23">
      <c r="O276" s="35"/>
      <c r="P276" s="35"/>
      <c r="Q276" s="35"/>
      <c r="R276" s="35"/>
      <c r="S276" s="35"/>
      <c r="T276" s="35"/>
      <c r="U276" s="35"/>
      <c r="V276" s="3"/>
      <c r="W276" s="3"/>
    </row>
    <row r="277" spans="15:23">
      <c r="O277" s="35"/>
      <c r="P277" s="35"/>
      <c r="Q277" s="35"/>
      <c r="R277" s="35"/>
      <c r="S277" s="35"/>
      <c r="T277" s="35"/>
      <c r="U277" s="35"/>
      <c r="V277" s="3"/>
      <c r="W277" s="3"/>
    </row>
    <row r="278" spans="15:23">
      <c r="O278" s="35"/>
      <c r="P278" s="35"/>
      <c r="Q278" s="35"/>
      <c r="R278" s="35"/>
      <c r="S278" s="35"/>
      <c r="T278" s="35"/>
      <c r="U278" s="35"/>
      <c r="V278" s="3"/>
      <c r="W278" s="3"/>
    </row>
    <row r="279" spans="15:23">
      <c r="O279" s="35"/>
      <c r="P279" s="35"/>
      <c r="Q279" s="35"/>
      <c r="R279" s="35"/>
      <c r="S279" s="35"/>
      <c r="T279" s="35"/>
      <c r="U279" s="35"/>
      <c r="V279" s="3"/>
      <c r="W279" s="3"/>
    </row>
    <row r="280" spans="15:23">
      <c r="O280" s="35"/>
      <c r="P280" s="35"/>
      <c r="Q280" s="35"/>
      <c r="R280" s="35"/>
      <c r="S280" s="35"/>
      <c r="T280" s="35"/>
      <c r="U280" s="35"/>
      <c r="V280" s="3"/>
      <c r="W280" s="3"/>
    </row>
    <row r="281" spans="15:23">
      <c r="O281" s="35"/>
      <c r="P281" s="35"/>
      <c r="Q281" s="35"/>
      <c r="R281" s="35"/>
      <c r="S281" s="35"/>
      <c r="T281" s="35"/>
      <c r="U281" s="35"/>
      <c r="V281" s="3"/>
      <c r="W281" s="3"/>
    </row>
    <row r="282" spans="15:23">
      <c r="O282" s="35"/>
      <c r="P282" s="35"/>
      <c r="Q282" s="35"/>
      <c r="R282" s="35"/>
      <c r="S282" s="35"/>
      <c r="T282" s="35"/>
      <c r="U282" s="35"/>
      <c r="V282" s="3"/>
      <c r="W282" s="3"/>
    </row>
    <row r="283" spans="15:23">
      <c r="O283" s="35"/>
      <c r="P283" s="35"/>
      <c r="Q283" s="35"/>
      <c r="R283" s="35"/>
      <c r="S283" s="35"/>
      <c r="T283" s="35"/>
      <c r="U283" s="35"/>
      <c r="V283" s="3"/>
      <c r="W283" s="3"/>
    </row>
    <row r="284" spans="15:23">
      <c r="O284" s="35"/>
      <c r="P284" s="35"/>
      <c r="Q284" s="35"/>
      <c r="R284" s="35"/>
      <c r="S284" s="35"/>
      <c r="T284" s="35"/>
      <c r="U284" s="35"/>
      <c r="V284" s="3"/>
      <c r="W284" s="3"/>
    </row>
    <row r="285" spans="15:23">
      <c r="O285" s="35"/>
      <c r="P285" s="35"/>
      <c r="Q285" s="35"/>
      <c r="R285" s="35"/>
      <c r="S285" s="35"/>
      <c r="T285" s="35"/>
      <c r="U285" s="35"/>
      <c r="V285" s="3"/>
      <c r="W285" s="3"/>
    </row>
    <row r="286" spans="15:23">
      <c r="O286" s="35"/>
      <c r="P286" s="35"/>
      <c r="Q286" s="35"/>
      <c r="R286" s="35"/>
      <c r="S286" s="35"/>
      <c r="T286" s="35"/>
      <c r="U286" s="35"/>
      <c r="V286" s="3"/>
      <c r="W286" s="3"/>
    </row>
    <row r="287" spans="15:23">
      <c r="O287" s="35"/>
      <c r="P287" s="35"/>
      <c r="Q287" s="35"/>
      <c r="R287" s="35"/>
      <c r="S287" s="35"/>
      <c r="T287" s="35"/>
      <c r="U287" s="35"/>
      <c r="V287" s="3"/>
      <c r="W287" s="3"/>
    </row>
    <row r="288" spans="15:23">
      <c r="O288" s="35"/>
      <c r="P288" s="35"/>
      <c r="Q288" s="35"/>
      <c r="R288" s="35"/>
      <c r="S288" s="35"/>
      <c r="T288" s="35"/>
      <c r="U288" s="35"/>
      <c r="V288" s="3"/>
      <c r="W288" s="3"/>
    </row>
    <row r="289" spans="15:23">
      <c r="O289" s="35"/>
      <c r="P289" s="35"/>
      <c r="Q289" s="35"/>
      <c r="R289" s="35"/>
      <c r="S289" s="35"/>
      <c r="T289" s="35"/>
      <c r="U289" s="35"/>
      <c r="V289" s="3"/>
      <c r="W289" s="3"/>
    </row>
    <row r="290" spans="15:23">
      <c r="O290" s="35"/>
      <c r="P290" s="35"/>
      <c r="Q290" s="35"/>
      <c r="R290" s="35"/>
      <c r="S290" s="35"/>
      <c r="T290" s="35"/>
      <c r="U290" s="35"/>
      <c r="V290" s="3"/>
      <c r="W290" s="3"/>
    </row>
    <row r="291" spans="15:23">
      <c r="O291" s="35"/>
      <c r="P291" s="35"/>
      <c r="Q291" s="35"/>
      <c r="R291" s="35"/>
      <c r="S291" s="35"/>
      <c r="T291" s="35"/>
      <c r="U291" s="35"/>
      <c r="V291" s="3"/>
      <c r="W291" s="3"/>
    </row>
    <row r="292" spans="15:23">
      <c r="O292" s="35"/>
      <c r="P292" s="35"/>
      <c r="Q292" s="35"/>
      <c r="R292" s="35"/>
      <c r="S292" s="35"/>
      <c r="T292" s="35"/>
      <c r="U292" s="35"/>
      <c r="V292" s="3"/>
      <c r="W292" s="3"/>
    </row>
    <row r="293" spans="15:23">
      <c r="O293" s="35"/>
      <c r="P293" s="35"/>
      <c r="Q293" s="35"/>
      <c r="R293" s="35"/>
      <c r="S293" s="35"/>
      <c r="T293" s="35"/>
      <c r="U293" s="35"/>
      <c r="V293" s="3"/>
      <c r="W293" s="3"/>
    </row>
    <row r="294" spans="15:23">
      <c r="O294" s="35"/>
      <c r="P294" s="35"/>
      <c r="Q294" s="35"/>
      <c r="R294" s="35"/>
      <c r="S294" s="35"/>
      <c r="T294" s="35"/>
      <c r="U294" s="35"/>
      <c r="V294" s="3"/>
      <c r="W294" s="3"/>
    </row>
    <row r="295" spans="15:23">
      <c r="O295" s="35"/>
      <c r="P295" s="35"/>
      <c r="Q295" s="35"/>
      <c r="R295" s="35"/>
      <c r="S295" s="35"/>
      <c r="T295" s="35"/>
      <c r="U295" s="35"/>
      <c r="V295" s="3"/>
      <c r="W295" s="3"/>
    </row>
    <row r="296" spans="15:23">
      <c r="O296" s="35"/>
      <c r="P296" s="35"/>
      <c r="Q296" s="35"/>
      <c r="R296" s="35"/>
      <c r="S296" s="35"/>
      <c r="T296" s="35"/>
      <c r="U296" s="35"/>
      <c r="V296" s="3"/>
      <c r="W296" s="3"/>
    </row>
    <row r="297" spans="15:23">
      <c r="O297" s="35"/>
      <c r="P297" s="35"/>
      <c r="Q297" s="35"/>
      <c r="R297" s="35"/>
      <c r="S297" s="35"/>
      <c r="T297" s="35"/>
      <c r="U297" s="35"/>
      <c r="V297" s="3"/>
      <c r="W297" s="3"/>
    </row>
    <row r="298" spans="15:23">
      <c r="O298" s="35"/>
      <c r="P298" s="35"/>
      <c r="Q298" s="35"/>
      <c r="R298" s="35"/>
      <c r="S298" s="35"/>
      <c r="T298" s="35"/>
      <c r="U298" s="35"/>
      <c r="V298" s="3"/>
      <c r="W298" s="3"/>
    </row>
    <row r="299" spans="15:23">
      <c r="O299" s="35"/>
      <c r="P299" s="35"/>
      <c r="Q299" s="35"/>
      <c r="R299" s="35"/>
      <c r="S299" s="35"/>
      <c r="T299" s="35"/>
      <c r="U299" s="35"/>
      <c r="V299" s="3"/>
      <c r="W299" s="3"/>
    </row>
    <row r="300" spans="15:23">
      <c r="O300" s="35"/>
      <c r="P300" s="35"/>
      <c r="Q300" s="35"/>
      <c r="R300" s="35"/>
      <c r="S300" s="35"/>
      <c r="T300" s="35"/>
      <c r="U300" s="35"/>
      <c r="V300" s="3"/>
      <c r="W300" s="3"/>
    </row>
    <row r="301" spans="15:23">
      <c r="O301" s="35"/>
      <c r="P301" s="35"/>
      <c r="Q301" s="35"/>
      <c r="R301" s="35"/>
      <c r="S301" s="35"/>
      <c r="T301" s="35"/>
      <c r="U301" s="35"/>
      <c r="V301" s="3"/>
      <c r="W301" s="3"/>
    </row>
    <row r="302" spans="15:23">
      <c r="O302" s="35"/>
      <c r="P302" s="35"/>
      <c r="Q302" s="35"/>
      <c r="R302" s="35"/>
      <c r="S302" s="35"/>
      <c r="T302" s="35"/>
      <c r="U302" s="35"/>
      <c r="V302" s="3"/>
      <c r="W302" s="3"/>
    </row>
    <row r="303" spans="15:23">
      <c r="O303" s="35"/>
      <c r="P303" s="35"/>
      <c r="Q303" s="35"/>
      <c r="R303" s="35"/>
      <c r="S303" s="35"/>
      <c r="T303" s="35"/>
      <c r="U303" s="35"/>
      <c r="V303" s="3"/>
      <c r="W303" s="3"/>
    </row>
    <row r="304" spans="15:23">
      <c r="O304" s="35"/>
      <c r="P304" s="35"/>
      <c r="Q304" s="35"/>
      <c r="R304" s="35"/>
      <c r="S304" s="35"/>
      <c r="T304" s="35"/>
      <c r="U304" s="35"/>
      <c r="V304" s="3"/>
      <c r="W304" s="3"/>
    </row>
    <row r="305" spans="15:23">
      <c r="O305" s="35"/>
      <c r="P305" s="35"/>
      <c r="Q305" s="35"/>
      <c r="R305" s="35"/>
      <c r="S305" s="35"/>
      <c r="T305" s="35"/>
      <c r="U305" s="35"/>
      <c r="V305" s="3"/>
      <c r="W305" s="3"/>
    </row>
    <row r="306" spans="15:23">
      <c r="O306" s="35"/>
      <c r="P306" s="35"/>
      <c r="Q306" s="35"/>
      <c r="R306" s="35"/>
      <c r="S306" s="35"/>
      <c r="T306" s="35"/>
      <c r="U306" s="35"/>
      <c r="V306" s="3"/>
      <c r="W306" s="3"/>
    </row>
    <row r="307" spans="15:23">
      <c r="O307" s="35"/>
      <c r="P307" s="35"/>
      <c r="Q307" s="35"/>
      <c r="R307" s="35"/>
      <c r="S307" s="35"/>
      <c r="T307" s="35"/>
      <c r="U307" s="35"/>
      <c r="V307" s="3"/>
      <c r="W307" s="3"/>
    </row>
    <row r="308" spans="15:23">
      <c r="O308" s="35"/>
      <c r="P308" s="35"/>
      <c r="Q308" s="35"/>
      <c r="R308" s="35"/>
      <c r="S308" s="35"/>
      <c r="T308" s="35"/>
      <c r="U308" s="35"/>
      <c r="V308" s="3"/>
      <c r="W308" s="3"/>
    </row>
    <row r="309" spans="15:23">
      <c r="O309" s="35"/>
      <c r="P309" s="35"/>
      <c r="Q309" s="35"/>
      <c r="R309" s="35"/>
      <c r="S309" s="35"/>
      <c r="T309" s="35"/>
      <c r="U309" s="35"/>
      <c r="V309" s="3"/>
      <c r="W309" s="3"/>
    </row>
    <row r="310" spans="15:23">
      <c r="O310" s="35"/>
      <c r="P310" s="35"/>
      <c r="Q310" s="35"/>
      <c r="R310" s="35"/>
      <c r="S310" s="35"/>
      <c r="T310" s="35"/>
      <c r="U310" s="35"/>
      <c r="V310" s="3"/>
      <c r="W310" s="3"/>
    </row>
    <row r="311" spans="15:23">
      <c r="O311" s="35"/>
      <c r="P311" s="35"/>
      <c r="Q311" s="35"/>
      <c r="R311" s="35"/>
      <c r="S311" s="35"/>
      <c r="T311" s="35"/>
      <c r="U311" s="35"/>
      <c r="V311" s="3"/>
      <c r="W311" s="3"/>
    </row>
    <row r="312" spans="15:23">
      <c r="O312" s="35"/>
      <c r="P312" s="35"/>
      <c r="Q312" s="35"/>
      <c r="R312" s="35"/>
      <c r="S312" s="35"/>
      <c r="T312" s="35"/>
      <c r="U312" s="35"/>
      <c r="V312" s="3"/>
      <c r="W312" s="3"/>
    </row>
    <row r="313" spans="15:23">
      <c r="O313" s="35"/>
      <c r="P313" s="35"/>
      <c r="Q313" s="35"/>
      <c r="R313" s="35"/>
      <c r="S313" s="35"/>
      <c r="T313" s="35"/>
      <c r="U313" s="35"/>
      <c r="V313" s="3"/>
      <c r="W313" s="3"/>
    </row>
    <row r="314" spans="15:23">
      <c r="O314" s="35"/>
      <c r="P314" s="35"/>
      <c r="Q314" s="35"/>
      <c r="R314" s="35"/>
      <c r="S314" s="35"/>
      <c r="T314" s="35"/>
      <c r="U314" s="35"/>
      <c r="V314" s="3"/>
      <c r="W314" s="3"/>
    </row>
    <row r="315" spans="15:23">
      <c r="O315" s="35"/>
      <c r="P315" s="35"/>
      <c r="Q315" s="35"/>
      <c r="R315" s="35"/>
      <c r="S315" s="35"/>
      <c r="T315" s="35"/>
      <c r="U315" s="35"/>
      <c r="V315" s="3"/>
      <c r="W315" s="3"/>
    </row>
    <row r="316" spans="15:23">
      <c r="O316" s="35"/>
      <c r="P316" s="35"/>
      <c r="Q316" s="35"/>
      <c r="R316" s="35"/>
      <c r="S316" s="35"/>
      <c r="T316" s="35"/>
      <c r="U316" s="35"/>
      <c r="V316" s="3"/>
      <c r="W316" s="3"/>
    </row>
    <row r="317" spans="15:23">
      <c r="O317" s="35"/>
      <c r="P317" s="35"/>
      <c r="Q317" s="35"/>
      <c r="R317" s="35"/>
      <c r="S317" s="35"/>
      <c r="T317" s="35"/>
      <c r="U317" s="35"/>
      <c r="V317" s="3"/>
      <c r="W317" s="3"/>
    </row>
    <row r="318" spans="15:23">
      <c r="O318" s="35"/>
      <c r="P318" s="35"/>
      <c r="Q318" s="35"/>
      <c r="R318" s="35"/>
      <c r="S318" s="35"/>
      <c r="T318" s="35"/>
      <c r="U318" s="35"/>
      <c r="V318" s="3"/>
      <c r="W318" s="3"/>
    </row>
    <row r="319" spans="15:23">
      <c r="O319" s="35"/>
      <c r="P319" s="35"/>
      <c r="Q319" s="35"/>
      <c r="R319" s="35"/>
      <c r="S319" s="35"/>
      <c r="T319" s="35"/>
      <c r="U319" s="35"/>
      <c r="V319" s="3"/>
      <c r="W319" s="3"/>
    </row>
    <row r="320" spans="15:23">
      <c r="O320" s="35"/>
      <c r="P320" s="35"/>
      <c r="Q320" s="35"/>
      <c r="R320" s="35"/>
      <c r="S320" s="35"/>
      <c r="T320" s="35"/>
      <c r="U320" s="35"/>
      <c r="V320" s="3"/>
      <c r="W320" s="3"/>
    </row>
    <row r="321" spans="15:23">
      <c r="O321" s="35"/>
      <c r="P321" s="35"/>
      <c r="Q321" s="35"/>
      <c r="R321" s="35"/>
      <c r="S321" s="35"/>
      <c r="T321" s="35"/>
      <c r="U321" s="35"/>
      <c r="V321" s="3"/>
      <c r="W321" s="3"/>
    </row>
    <row r="322" spans="15:23">
      <c r="O322" s="35"/>
      <c r="P322" s="35"/>
      <c r="Q322" s="35"/>
      <c r="R322" s="35"/>
      <c r="S322" s="35"/>
      <c r="T322" s="35"/>
      <c r="U322" s="35"/>
      <c r="V322" s="3"/>
      <c r="W322" s="3"/>
    </row>
    <row r="323" spans="15:23">
      <c r="O323" s="35"/>
      <c r="P323" s="35"/>
      <c r="Q323" s="35"/>
      <c r="R323" s="35"/>
      <c r="S323" s="35"/>
      <c r="T323" s="35"/>
      <c r="U323" s="35"/>
      <c r="V323" s="3"/>
      <c r="W323" s="3"/>
    </row>
    <row r="324" spans="15:23">
      <c r="O324" s="35"/>
      <c r="P324" s="35"/>
      <c r="Q324" s="35"/>
      <c r="R324" s="35"/>
      <c r="S324" s="35"/>
      <c r="T324" s="35"/>
      <c r="U324" s="35"/>
      <c r="V324" s="3"/>
      <c r="W324" s="3"/>
    </row>
    <row r="325" spans="15:23">
      <c r="O325" s="35"/>
      <c r="P325" s="35"/>
      <c r="Q325" s="35"/>
      <c r="R325" s="35"/>
      <c r="S325" s="35"/>
      <c r="T325" s="35"/>
      <c r="U325" s="35"/>
      <c r="V325" s="3"/>
      <c r="W325" s="3"/>
    </row>
    <row r="326" spans="15:23">
      <c r="O326" s="35"/>
      <c r="P326" s="35"/>
      <c r="Q326" s="35"/>
      <c r="R326" s="35"/>
      <c r="S326" s="35"/>
      <c r="T326" s="35"/>
      <c r="U326" s="35"/>
      <c r="V326" s="3"/>
      <c r="W326" s="3"/>
    </row>
    <row r="327" spans="15:23">
      <c r="O327" s="35"/>
      <c r="P327" s="35"/>
      <c r="Q327" s="35"/>
      <c r="R327" s="35"/>
      <c r="S327" s="35"/>
      <c r="T327" s="35"/>
      <c r="U327" s="35"/>
      <c r="V327" s="3"/>
      <c r="W327" s="3"/>
    </row>
    <row r="328" spans="15:23">
      <c r="O328" s="35"/>
      <c r="P328" s="35"/>
      <c r="Q328" s="35"/>
      <c r="R328" s="35"/>
      <c r="S328" s="35"/>
      <c r="T328" s="35"/>
      <c r="U328" s="35"/>
      <c r="V328" s="3"/>
      <c r="W328" s="3"/>
    </row>
    <row r="329" spans="15:23">
      <c r="O329" s="35"/>
      <c r="P329" s="35"/>
      <c r="Q329" s="35"/>
      <c r="R329" s="35"/>
      <c r="S329" s="35"/>
      <c r="T329" s="35"/>
      <c r="U329" s="35"/>
      <c r="V329" s="3"/>
      <c r="W329" s="3"/>
    </row>
    <row r="330" spans="15:23">
      <c r="O330" s="35"/>
      <c r="P330" s="35"/>
      <c r="Q330" s="35"/>
      <c r="R330" s="35"/>
      <c r="S330" s="35"/>
      <c r="T330" s="35"/>
      <c r="U330" s="35"/>
      <c r="V330" s="3"/>
      <c r="W330" s="3"/>
    </row>
    <row r="331" spans="15:23">
      <c r="O331" s="35"/>
      <c r="P331" s="35"/>
      <c r="Q331" s="35"/>
      <c r="R331" s="35"/>
      <c r="S331" s="35"/>
      <c r="T331" s="35"/>
      <c r="U331" s="35"/>
      <c r="V331" s="3"/>
      <c r="W331" s="3"/>
    </row>
    <row r="332" spans="15:23">
      <c r="O332" s="35"/>
      <c r="P332" s="35"/>
      <c r="Q332" s="35"/>
      <c r="R332" s="35"/>
      <c r="S332" s="35"/>
      <c r="T332" s="35"/>
      <c r="U332" s="35"/>
      <c r="V332" s="3"/>
      <c r="W332" s="3"/>
    </row>
    <row r="333" spans="15:23">
      <c r="O333" s="35"/>
      <c r="P333" s="35"/>
      <c r="Q333" s="35"/>
      <c r="R333" s="35"/>
      <c r="S333" s="35"/>
      <c r="T333" s="35"/>
      <c r="U333" s="35"/>
      <c r="V333" s="3"/>
      <c r="W333" s="3"/>
    </row>
    <row r="334" spans="15:23">
      <c r="O334" s="35"/>
      <c r="P334" s="35"/>
      <c r="Q334" s="35"/>
      <c r="R334" s="35"/>
      <c r="S334" s="35"/>
      <c r="T334" s="35"/>
      <c r="U334" s="35"/>
      <c r="V334" s="3"/>
      <c r="W334" s="3"/>
    </row>
    <row r="335" spans="15:23">
      <c r="O335" s="35"/>
      <c r="P335" s="35"/>
      <c r="Q335" s="35"/>
      <c r="R335" s="35"/>
      <c r="S335" s="35"/>
      <c r="T335" s="35"/>
      <c r="U335" s="35"/>
      <c r="V335" s="3"/>
      <c r="W335" s="3"/>
    </row>
    <row r="336" spans="15:23">
      <c r="O336" s="35"/>
      <c r="P336" s="35"/>
      <c r="Q336" s="35"/>
      <c r="R336" s="35"/>
      <c r="S336" s="35"/>
      <c r="T336" s="35"/>
      <c r="U336" s="35"/>
      <c r="V336" s="3"/>
      <c r="W336" s="3"/>
    </row>
    <row r="337" spans="15:23">
      <c r="O337" s="35"/>
      <c r="P337" s="35"/>
      <c r="Q337" s="35"/>
      <c r="R337" s="35"/>
      <c r="S337" s="35"/>
      <c r="T337" s="35"/>
      <c r="U337" s="35"/>
      <c r="V337" s="3"/>
      <c r="W337" s="3"/>
    </row>
    <row r="338" spans="15:23">
      <c r="O338" s="35"/>
      <c r="P338" s="35"/>
      <c r="Q338" s="35"/>
      <c r="R338" s="35"/>
      <c r="S338" s="35"/>
      <c r="T338" s="35"/>
      <c r="U338" s="35"/>
      <c r="V338" s="3"/>
      <c r="W338" s="3"/>
    </row>
    <row r="339" spans="15:23">
      <c r="O339" s="35"/>
      <c r="P339" s="35"/>
      <c r="Q339" s="35"/>
      <c r="R339" s="35"/>
      <c r="S339" s="35"/>
      <c r="T339" s="35"/>
      <c r="U339" s="35"/>
      <c r="V339" s="3"/>
      <c r="W339" s="3"/>
    </row>
    <row r="340" spans="15:23">
      <c r="O340" s="35"/>
      <c r="P340" s="35"/>
      <c r="Q340" s="35"/>
      <c r="R340" s="35"/>
      <c r="S340" s="35"/>
      <c r="T340" s="35"/>
      <c r="U340" s="35"/>
      <c r="V340" s="3"/>
      <c r="W340" s="3"/>
    </row>
    <row r="341" spans="15:23">
      <c r="O341" s="35"/>
      <c r="P341" s="35"/>
      <c r="Q341" s="35"/>
      <c r="R341" s="35"/>
      <c r="S341" s="35"/>
      <c r="T341" s="35"/>
      <c r="U341" s="35"/>
      <c r="V341" s="3"/>
      <c r="W341" s="3"/>
    </row>
    <row r="342" spans="15:23">
      <c r="O342" s="35"/>
      <c r="P342" s="35"/>
      <c r="Q342" s="35"/>
      <c r="R342" s="35"/>
      <c r="S342" s="35"/>
      <c r="T342" s="35"/>
      <c r="U342" s="35"/>
      <c r="V342" s="3"/>
      <c r="W342" s="3"/>
    </row>
    <row r="343" spans="15:23">
      <c r="O343" s="35"/>
      <c r="P343" s="35"/>
      <c r="Q343" s="35"/>
      <c r="R343" s="35"/>
      <c r="S343" s="35"/>
      <c r="T343" s="35"/>
      <c r="U343" s="35"/>
      <c r="V343" s="3"/>
      <c r="W343" s="3"/>
    </row>
    <row r="344" spans="15:23">
      <c r="O344" s="35"/>
      <c r="P344" s="35"/>
      <c r="Q344" s="35"/>
      <c r="R344" s="35"/>
      <c r="S344" s="35"/>
      <c r="T344" s="35"/>
      <c r="U344" s="35"/>
      <c r="V344" s="3"/>
      <c r="W344" s="3"/>
    </row>
    <row r="345" spans="15:23">
      <c r="O345" s="35"/>
      <c r="P345" s="35"/>
      <c r="Q345" s="35"/>
      <c r="R345" s="35"/>
      <c r="S345" s="35"/>
      <c r="T345" s="35"/>
      <c r="U345" s="35"/>
      <c r="V345" s="3"/>
      <c r="W345" s="3"/>
    </row>
    <row r="346" spans="15:23">
      <c r="O346" s="35"/>
      <c r="P346" s="35"/>
      <c r="Q346" s="35"/>
      <c r="R346" s="35"/>
      <c r="S346" s="35"/>
      <c r="T346" s="35"/>
      <c r="U346" s="35"/>
      <c r="V346" s="3"/>
      <c r="W346" s="3"/>
    </row>
    <row r="347" spans="15:23">
      <c r="O347" s="35"/>
      <c r="P347" s="35"/>
      <c r="Q347" s="35"/>
      <c r="R347" s="35"/>
      <c r="S347" s="35"/>
      <c r="T347" s="35"/>
      <c r="U347" s="35"/>
      <c r="V347" s="3"/>
      <c r="W347" s="3"/>
    </row>
    <row r="348" spans="15:23">
      <c r="O348" s="35"/>
      <c r="P348" s="35"/>
      <c r="Q348" s="35"/>
      <c r="R348" s="35"/>
      <c r="S348" s="35"/>
      <c r="T348" s="35"/>
      <c r="U348" s="35"/>
      <c r="V348" s="3"/>
      <c r="W348" s="3"/>
    </row>
    <row r="349" spans="15:23">
      <c r="O349" s="35"/>
      <c r="P349" s="35"/>
      <c r="Q349" s="35"/>
      <c r="R349" s="35"/>
      <c r="S349" s="35"/>
      <c r="T349" s="35"/>
      <c r="U349" s="35"/>
      <c r="V349" s="3"/>
      <c r="W349" s="3"/>
    </row>
    <row r="350" spans="15:23">
      <c r="O350" s="35"/>
      <c r="P350" s="35"/>
      <c r="Q350" s="35"/>
      <c r="R350" s="35"/>
      <c r="S350" s="35"/>
      <c r="T350" s="35"/>
      <c r="U350" s="35"/>
      <c r="V350" s="3"/>
      <c r="W350" s="3"/>
    </row>
    <row r="351" spans="15:23">
      <c r="O351" s="35"/>
      <c r="P351" s="35"/>
      <c r="Q351" s="35"/>
      <c r="R351" s="35"/>
      <c r="S351" s="35"/>
      <c r="T351" s="35"/>
      <c r="U351" s="35"/>
      <c r="V351" s="3"/>
      <c r="W351" s="3"/>
    </row>
    <row r="352" spans="15:23">
      <c r="O352" s="35"/>
      <c r="P352" s="35"/>
      <c r="Q352" s="35"/>
      <c r="R352" s="35"/>
      <c r="S352" s="35"/>
      <c r="T352" s="35"/>
      <c r="U352" s="35"/>
      <c r="V352" s="3"/>
      <c r="W352" s="3"/>
    </row>
    <row r="353" spans="15:23">
      <c r="O353" s="35"/>
      <c r="P353" s="35"/>
      <c r="Q353" s="35"/>
      <c r="R353" s="35"/>
      <c r="S353" s="35"/>
      <c r="T353" s="35"/>
      <c r="U353" s="35"/>
      <c r="V353" s="3"/>
      <c r="W353" s="3"/>
    </row>
    <row r="354" spans="15:23">
      <c r="O354" s="35"/>
      <c r="P354" s="35"/>
      <c r="Q354" s="35"/>
      <c r="R354" s="35"/>
      <c r="S354" s="35"/>
      <c r="T354" s="35"/>
      <c r="U354" s="35"/>
      <c r="V354" s="3"/>
      <c r="W354" s="3"/>
    </row>
    <row r="355" spans="15:23">
      <c r="O355" s="35"/>
      <c r="P355" s="35"/>
      <c r="Q355" s="35"/>
      <c r="R355" s="35"/>
      <c r="S355" s="35"/>
      <c r="T355" s="35"/>
      <c r="U355" s="35"/>
      <c r="V355" s="3"/>
      <c r="W355" s="3"/>
    </row>
    <row r="356" spans="15:23">
      <c r="O356" s="35"/>
      <c r="P356" s="35"/>
      <c r="Q356" s="35"/>
      <c r="R356" s="35"/>
      <c r="S356" s="35"/>
      <c r="T356" s="35"/>
      <c r="U356" s="35"/>
      <c r="V356" s="3"/>
      <c r="W356" s="3"/>
    </row>
    <row r="357" spans="15:23">
      <c r="O357" s="35"/>
      <c r="P357" s="35"/>
      <c r="Q357" s="35"/>
      <c r="R357" s="35"/>
      <c r="S357" s="35"/>
      <c r="T357" s="35"/>
      <c r="U357" s="35"/>
      <c r="V357" s="3"/>
      <c r="W357" s="3"/>
    </row>
    <row r="358" spans="15:23">
      <c r="O358" s="35"/>
      <c r="P358" s="35"/>
      <c r="Q358" s="35"/>
      <c r="R358" s="35"/>
      <c r="S358" s="35"/>
      <c r="T358" s="35"/>
      <c r="U358" s="35"/>
      <c r="V358" s="3"/>
      <c r="W358" s="3"/>
    </row>
    <row r="359" spans="15:23">
      <c r="O359" s="35"/>
      <c r="P359" s="35"/>
      <c r="Q359" s="35"/>
      <c r="R359" s="35"/>
      <c r="S359" s="35"/>
      <c r="T359" s="35"/>
      <c r="U359" s="35"/>
      <c r="V359" s="3"/>
      <c r="W359" s="3"/>
    </row>
    <row r="360" spans="15:23">
      <c r="O360" s="35"/>
      <c r="P360" s="35"/>
      <c r="Q360" s="35"/>
      <c r="R360" s="35"/>
      <c r="S360" s="35"/>
      <c r="T360" s="35"/>
      <c r="U360" s="35"/>
      <c r="V360" s="3"/>
      <c r="W360" s="3"/>
    </row>
    <row r="361" spans="15:23">
      <c r="O361" s="35"/>
      <c r="P361" s="35"/>
      <c r="Q361" s="35"/>
      <c r="R361" s="35"/>
      <c r="S361" s="35"/>
      <c r="T361" s="35"/>
      <c r="U361" s="35"/>
      <c r="V361" s="3"/>
      <c r="W361" s="3"/>
    </row>
    <row r="362" spans="15:23">
      <c r="O362" s="35"/>
      <c r="P362" s="35"/>
      <c r="Q362" s="35"/>
      <c r="R362" s="35"/>
      <c r="S362" s="35"/>
      <c r="T362" s="35"/>
      <c r="U362" s="35"/>
      <c r="V362" s="3"/>
      <c r="W362" s="3"/>
    </row>
    <row r="363" spans="15:23">
      <c r="O363" s="35"/>
      <c r="P363" s="35"/>
      <c r="Q363" s="35"/>
      <c r="R363" s="35"/>
      <c r="S363" s="35"/>
      <c r="T363" s="35"/>
      <c r="U363" s="35"/>
      <c r="V363" s="3"/>
      <c r="W363" s="3"/>
    </row>
    <row r="364" spans="15:23">
      <c r="O364" s="35"/>
      <c r="P364" s="35"/>
      <c r="Q364" s="35"/>
      <c r="R364" s="35"/>
      <c r="S364" s="35"/>
      <c r="T364" s="35"/>
      <c r="U364" s="35"/>
      <c r="V364" s="3"/>
      <c r="W364" s="3"/>
    </row>
    <row r="365" spans="15:23">
      <c r="O365" s="35"/>
      <c r="P365" s="35"/>
      <c r="Q365" s="35"/>
      <c r="R365" s="35"/>
      <c r="S365" s="35"/>
      <c r="T365" s="35"/>
      <c r="U365" s="35"/>
      <c r="V365" s="3"/>
      <c r="W365" s="3"/>
    </row>
    <row r="366" spans="15:23">
      <c r="O366" s="35"/>
      <c r="P366" s="35"/>
      <c r="Q366" s="35"/>
      <c r="R366" s="35"/>
      <c r="S366" s="35"/>
      <c r="T366" s="35"/>
      <c r="U366" s="35"/>
      <c r="V366" s="3"/>
      <c r="W366" s="3"/>
    </row>
    <row r="367" spans="15:23">
      <c r="O367" s="35"/>
      <c r="P367" s="35"/>
      <c r="Q367" s="35"/>
      <c r="R367" s="35"/>
      <c r="S367" s="35"/>
      <c r="T367" s="35"/>
      <c r="U367" s="35"/>
      <c r="V367" s="3"/>
      <c r="W367" s="3"/>
    </row>
    <row r="368" spans="15:23">
      <c r="O368" s="35"/>
      <c r="P368" s="35"/>
      <c r="Q368" s="35"/>
      <c r="R368" s="35"/>
      <c r="S368" s="35"/>
      <c r="T368" s="35"/>
      <c r="U368" s="35"/>
      <c r="V368" s="3"/>
      <c r="W368" s="3"/>
    </row>
    <row r="369" spans="15:23">
      <c r="O369" s="35"/>
      <c r="P369" s="35"/>
      <c r="Q369" s="35"/>
      <c r="R369" s="35"/>
      <c r="S369" s="35"/>
      <c r="T369" s="35"/>
      <c r="U369" s="35"/>
      <c r="V369" s="3"/>
      <c r="W369" s="3"/>
    </row>
    <row r="370" spans="15:23">
      <c r="O370" s="35"/>
      <c r="P370" s="35"/>
      <c r="Q370" s="35"/>
      <c r="R370" s="35"/>
      <c r="S370" s="35"/>
      <c r="T370" s="35"/>
      <c r="U370" s="35"/>
      <c r="V370" s="3"/>
      <c r="W370" s="3"/>
    </row>
    <row r="371" spans="15:23">
      <c r="O371" s="35"/>
      <c r="P371" s="35"/>
      <c r="Q371" s="35"/>
      <c r="R371" s="35"/>
      <c r="S371" s="35"/>
      <c r="T371" s="35"/>
      <c r="U371" s="35"/>
      <c r="V371" s="3"/>
      <c r="W371" s="3"/>
    </row>
    <row r="372" spans="15:23">
      <c r="O372" s="35"/>
      <c r="P372" s="35"/>
      <c r="Q372" s="35"/>
      <c r="R372" s="35"/>
      <c r="S372" s="35"/>
      <c r="T372" s="35"/>
      <c r="U372" s="35"/>
      <c r="V372" s="3"/>
      <c r="W372" s="3"/>
    </row>
    <row r="373" spans="15:23">
      <c r="O373" s="35"/>
      <c r="P373" s="35"/>
      <c r="Q373" s="35"/>
      <c r="R373" s="35"/>
      <c r="S373" s="35"/>
      <c r="T373" s="35"/>
      <c r="U373" s="35"/>
      <c r="V373" s="3"/>
      <c r="W373" s="3"/>
    </row>
    <row r="374" spans="15:23">
      <c r="O374" s="35"/>
      <c r="P374" s="35"/>
      <c r="Q374" s="35"/>
      <c r="R374" s="35"/>
      <c r="S374" s="35"/>
      <c r="T374" s="35"/>
      <c r="U374" s="35"/>
      <c r="V374" s="3"/>
      <c r="W374" s="3"/>
    </row>
    <row r="375" spans="15:23">
      <c r="O375" s="35"/>
      <c r="P375" s="35"/>
      <c r="Q375" s="35"/>
      <c r="R375" s="35"/>
      <c r="S375" s="35"/>
      <c r="T375" s="35"/>
      <c r="U375" s="35"/>
      <c r="V375" s="3"/>
      <c r="W375" s="3"/>
    </row>
    <row r="376" spans="15:23">
      <c r="O376" s="35"/>
      <c r="P376" s="35"/>
      <c r="Q376" s="35"/>
      <c r="R376" s="35"/>
      <c r="S376" s="35"/>
      <c r="T376" s="35"/>
      <c r="U376" s="35"/>
      <c r="V376" s="3"/>
      <c r="W376" s="3"/>
    </row>
    <row r="377" spans="15:23">
      <c r="O377" s="35"/>
      <c r="P377" s="35"/>
      <c r="Q377" s="35"/>
      <c r="R377" s="35"/>
      <c r="S377" s="35"/>
      <c r="T377" s="35"/>
      <c r="U377" s="35"/>
      <c r="V377" s="3"/>
      <c r="W377" s="3"/>
    </row>
    <row r="378" spans="15:23">
      <c r="O378" s="35"/>
      <c r="P378" s="35"/>
      <c r="Q378" s="35"/>
      <c r="R378" s="35"/>
      <c r="S378" s="35"/>
      <c r="T378" s="35"/>
      <c r="U378" s="35"/>
      <c r="V378" s="3"/>
      <c r="W378" s="3"/>
    </row>
    <row r="379" spans="15:23">
      <c r="O379" s="35"/>
      <c r="P379" s="35"/>
      <c r="Q379" s="35"/>
      <c r="R379" s="35"/>
      <c r="S379" s="35"/>
      <c r="T379" s="35"/>
      <c r="U379" s="35"/>
      <c r="V379" s="3"/>
      <c r="W379" s="3"/>
    </row>
    <row r="380" spans="15:23">
      <c r="O380" s="35"/>
      <c r="P380" s="35"/>
      <c r="Q380" s="35"/>
      <c r="R380" s="35"/>
      <c r="S380" s="35"/>
      <c r="T380" s="35"/>
      <c r="U380" s="35"/>
      <c r="V380" s="3"/>
      <c r="W380" s="3"/>
    </row>
    <row r="381" spans="15:23">
      <c r="O381" s="35"/>
      <c r="P381" s="35"/>
      <c r="Q381" s="35"/>
      <c r="R381" s="35"/>
      <c r="S381" s="35"/>
      <c r="T381" s="35"/>
      <c r="U381" s="35"/>
      <c r="V381" s="3"/>
      <c r="W381" s="3"/>
    </row>
    <row r="382" spans="15:23">
      <c r="O382" s="35"/>
      <c r="P382" s="35"/>
      <c r="Q382" s="35"/>
      <c r="R382" s="35"/>
      <c r="S382" s="35"/>
      <c r="T382" s="35"/>
      <c r="U382" s="35"/>
      <c r="V382" s="3"/>
      <c r="W382" s="3"/>
    </row>
    <row r="383" spans="15:23">
      <c r="O383" s="35"/>
      <c r="P383" s="35"/>
      <c r="Q383" s="35"/>
      <c r="R383" s="35"/>
      <c r="S383" s="35"/>
      <c r="T383" s="35"/>
      <c r="U383" s="35"/>
      <c r="V383" s="3"/>
      <c r="W383" s="3"/>
    </row>
    <row r="384" spans="15:23">
      <c r="O384" s="35"/>
      <c r="P384" s="35"/>
      <c r="Q384" s="35"/>
      <c r="R384" s="35"/>
      <c r="S384" s="35"/>
      <c r="T384" s="35"/>
      <c r="U384" s="35"/>
      <c r="V384" s="3"/>
      <c r="W384" s="3"/>
    </row>
    <row r="385" spans="15:23">
      <c r="O385" s="35"/>
      <c r="P385" s="35"/>
      <c r="Q385" s="35"/>
      <c r="R385" s="35"/>
      <c r="S385" s="35"/>
      <c r="T385" s="35"/>
      <c r="U385" s="35"/>
      <c r="V385" s="3"/>
      <c r="W385" s="3"/>
    </row>
    <row r="386" spans="15:23">
      <c r="O386" s="35"/>
      <c r="P386" s="35"/>
      <c r="Q386" s="35"/>
      <c r="R386" s="35"/>
      <c r="S386" s="35"/>
      <c r="T386" s="35"/>
      <c r="U386" s="35"/>
      <c r="V386" s="3"/>
      <c r="W386" s="3"/>
    </row>
    <row r="387" spans="15:23">
      <c r="O387" s="35"/>
      <c r="P387" s="35"/>
      <c r="Q387" s="35"/>
      <c r="R387" s="35"/>
      <c r="S387" s="35"/>
      <c r="T387" s="35"/>
      <c r="U387" s="35"/>
      <c r="V387" s="3"/>
      <c r="W387" s="3"/>
    </row>
    <row r="388" spans="15:23">
      <c r="O388" s="35"/>
      <c r="P388" s="35"/>
      <c r="Q388" s="35"/>
      <c r="R388" s="35"/>
      <c r="S388" s="35"/>
      <c r="T388" s="35"/>
      <c r="U388" s="35"/>
      <c r="V388" s="3"/>
      <c r="W388" s="3"/>
    </row>
    <row r="389" spans="15:23">
      <c r="O389" s="35"/>
      <c r="P389" s="35"/>
      <c r="Q389" s="35"/>
      <c r="R389" s="35"/>
      <c r="S389" s="35"/>
      <c r="T389" s="35"/>
      <c r="U389" s="35"/>
      <c r="V389" s="3"/>
      <c r="W389" s="3"/>
    </row>
    <row r="390" spans="15:23">
      <c r="O390" s="35"/>
      <c r="P390" s="35"/>
      <c r="Q390" s="35"/>
      <c r="R390" s="35"/>
      <c r="S390" s="35"/>
      <c r="T390" s="35"/>
      <c r="U390" s="35"/>
      <c r="V390" s="3"/>
      <c r="W390" s="3"/>
    </row>
    <row r="391" spans="15:23">
      <c r="O391" s="35"/>
      <c r="P391" s="35"/>
      <c r="Q391" s="35"/>
      <c r="R391" s="35"/>
      <c r="S391" s="35"/>
      <c r="T391" s="35"/>
      <c r="U391" s="35"/>
      <c r="V391" s="3"/>
      <c r="W391" s="3"/>
    </row>
    <row r="392" spans="15:23">
      <c r="O392" s="35"/>
      <c r="P392" s="35"/>
      <c r="Q392" s="35"/>
      <c r="R392" s="35"/>
      <c r="S392" s="35"/>
      <c r="T392" s="35"/>
      <c r="U392" s="35"/>
      <c r="V392" s="3"/>
      <c r="W392" s="3"/>
    </row>
    <row r="393" spans="15:23">
      <c r="O393" s="35"/>
      <c r="P393" s="35"/>
      <c r="Q393" s="35"/>
      <c r="R393" s="35"/>
      <c r="S393" s="35"/>
      <c r="T393" s="35"/>
      <c r="U393" s="35"/>
      <c r="V393" s="3"/>
      <c r="W393" s="3"/>
    </row>
    <row r="394" spans="15:23">
      <c r="O394" s="35"/>
      <c r="P394" s="35"/>
      <c r="Q394" s="35"/>
      <c r="R394" s="35"/>
      <c r="S394" s="35"/>
      <c r="T394" s="35"/>
      <c r="U394" s="35"/>
      <c r="V394" s="3"/>
      <c r="W394" s="3"/>
    </row>
    <row r="395" spans="15:23">
      <c r="O395" s="35"/>
      <c r="P395" s="35"/>
      <c r="Q395" s="35"/>
      <c r="R395" s="35"/>
      <c r="S395" s="35"/>
      <c r="T395" s="35"/>
      <c r="U395" s="35"/>
      <c r="V395" s="3"/>
      <c r="W395" s="3"/>
    </row>
    <row r="396" spans="15:23">
      <c r="O396" s="35"/>
      <c r="P396" s="35"/>
      <c r="Q396" s="35"/>
      <c r="R396" s="35"/>
      <c r="S396" s="35"/>
      <c r="T396" s="35"/>
      <c r="U396" s="35"/>
      <c r="V396" s="3"/>
      <c r="W396" s="3"/>
    </row>
    <row r="397" spans="15:23">
      <c r="O397" s="35"/>
      <c r="P397" s="35"/>
      <c r="Q397" s="35"/>
      <c r="R397" s="35"/>
      <c r="S397" s="35"/>
      <c r="T397" s="35"/>
      <c r="U397" s="35"/>
      <c r="V397" s="3"/>
      <c r="W397" s="3"/>
    </row>
    <row r="398" spans="15:23">
      <c r="O398" s="35"/>
      <c r="P398" s="35"/>
      <c r="Q398" s="35"/>
      <c r="R398" s="35"/>
      <c r="S398" s="35"/>
      <c r="T398" s="35"/>
      <c r="U398" s="35"/>
      <c r="V398" s="3"/>
      <c r="W398" s="3"/>
    </row>
    <row r="399" spans="15:23">
      <c r="O399" s="35"/>
      <c r="P399" s="35"/>
      <c r="Q399" s="35"/>
      <c r="R399" s="35"/>
      <c r="S399" s="35"/>
      <c r="T399" s="35"/>
      <c r="U399" s="35"/>
      <c r="V399" s="3"/>
      <c r="W399" s="3"/>
    </row>
    <row r="400" spans="15:23">
      <c r="O400" s="35"/>
      <c r="P400" s="35"/>
      <c r="Q400" s="35"/>
      <c r="R400" s="35"/>
      <c r="S400" s="35"/>
      <c r="T400" s="35"/>
      <c r="U400" s="35"/>
      <c r="V400" s="3"/>
      <c r="W400" s="3"/>
    </row>
    <row r="401" spans="15:23">
      <c r="O401" s="35"/>
      <c r="P401" s="35"/>
      <c r="Q401" s="35"/>
      <c r="R401" s="35"/>
      <c r="S401" s="35"/>
      <c r="T401" s="35"/>
      <c r="U401" s="35"/>
      <c r="V401" s="3"/>
      <c r="W401" s="3"/>
    </row>
    <row r="402" spans="15:23">
      <c r="O402" s="35"/>
      <c r="P402" s="35"/>
      <c r="Q402" s="35"/>
      <c r="R402" s="35"/>
      <c r="S402" s="35"/>
      <c r="T402" s="35"/>
      <c r="U402" s="35"/>
      <c r="V402" s="3"/>
      <c r="W402" s="3"/>
    </row>
    <row r="403" spans="15:23">
      <c r="O403" s="35"/>
      <c r="P403" s="35"/>
      <c r="Q403" s="35"/>
      <c r="R403" s="35"/>
      <c r="S403" s="35"/>
      <c r="T403" s="35"/>
      <c r="U403" s="35"/>
      <c r="V403" s="3"/>
      <c r="W403" s="3"/>
    </row>
    <row r="404" spans="15:23">
      <c r="O404" s="35"/>
      <c r="P404" s="35"/>
      <c r="Q404" s="35"/>
      <c r="R404" s="35"/>
      <c r="S404" s="35"/>
      <c r="T404" s="35"/>
      <c r="U404" s="35"/>
      <c r="V404" s="3"/>
      <c r="W404" s="3"/>
    </row>
    <row r="405" spans="15:23">
      <c r="O405" s="35"/>
      <c r="P405" s="35"/>
      <c r="Q405" s="35"/>
      <c r="R405" s="35"/>
      <c r="S405" s="35"/>
      <c r="T405" s="35"/>
      <c r="U405" s="35"/>
      <c r="V405" s="3"/>
      <c r="W405" s="3"/>
    </row>
    <row r="406" spans="15:23">
      <c r="O406" s="35"/>
      <c r="P406" s="35"/>
      <c r="Q406" s="35"/>
      <c r="R406" s="35"/>
      <c r="S406" s="35"/>
      <c r="T406" s="35"/>
      <c r="U406" s="35"/>
      <c r="V406" s="3"/>
      <c r="W406" s="3"/>
    </row>
    <row r="407" spans="15:23">
      <c r="O407" s="35"/>
      <c r="P407" s="35"/>
      <c r="Q407" s="35"/>
      <c r="R407" s="35"/>
      <c r="S407" s="35"/>
      <c r="T407" s="35"/>
      <c r="U407" s="35"/>
      <c r="V407" s="3"/>
      <c r="W407" s="3"/>
    </row>
    <row r="408" spans="15:23">
      <c r="O408" s="35"/>
      <c r="P408" s="35"/>
      <c r="Q408" s="35"/>
      <c r="R408" s="35"/>
      <c r="S408" s="35"/>
      <c r="T408" s="35"/>
      <c r="U408" s="35"/>
      <c r="V408" s="3"/>
      <c r="W408" s="3"/>
    </row>
    <row r="409" spans="15:23">
      <c r="O409" s="35"/>
      <c r="P409" s="35"/>
      <c r="Q409" s="35"/>
      <c r="R409" s="35"/>
      <c r="S409" s="35"/>
      <c r="T409" s="35"/>
      <c r="U409" s="35"/>
      <c r="V409" s="3"/>
      <c r="W409" s="3"/>
    </row>
    <row r="410" spans="15:23">
      <c r="O410" s="35"/>
      <c r="P410" s="35"/>
      <c r="Q410" s="35"/>
      <c r="R410" s="35"/>
      <c r="S410" s="35"/>
      <c r="T410" s="35"/>
      <c r="U410" s="35"/>
      <c r="V410" s="3"/>
      <c r="W410" s="3"/>
    </row>
    <row r="411" spans="15:23">
      <c r="O411" s="35"/>
      <c r="P411" s="35"/>
      <c r="Q411" s="35"/>
      <c r="R411" s="35"/>
      <c r="S411" s="35"/>
      <c r="T411" s="35"/>
      <c r="U411" s="35"/>
      <c r="V411" s="3"/>
      <c r="W411" s="3"/>
    </row>
    <row r="412" spans="15:23">
      <c r="O412" s="35"/>
      <c r="P412" s="35"/>
      <c r="Q412" s="35"/>
      <c r="R412" s="35"/>
      <c r="S412" s="35"/>
      <c r="T412" s="35"/>
      <c r="U412" s="35"/>
      <c r="V412" s="3"/>
      <c r="W412" s="3"/>
    </row>
    <row r="413" spans="15:23">
      <c r="O413" s="35"/>
      <c r="P413" s="35"/>
      <c r="Q413" s="35"/>
      <c r="R413" s="35"/>
      <c r="S413" s="35"/>
      <c r="T413" s="35"/>
      <c r="U413" s="35"/>
      <c r="V413" s="3"/>
      <c r="W413" s="3"/>
    </row>
    <row r="414" spans="15:23">
      <c r="O414" s="35"/>
      <c r="P414" s="35"/>
      <c r="Q414" s="35"/>
      <c r="R414" s="35"/>
      <c r="S414" s="35"/>
      <c r="T414" s="35"/>
      <c r="U414" s="35"/>
      <c r="V414" s="3"/>
      <c r="W414" s="3"/>
    </row>
    <row r="415" spans="15:23">
      <c r="O415" s="35"/>
      <c r="P415" s="35"/>
      <c r="Q415" s="35"/>
      <c r="R415" s="35"/>
      <c r="S415" s="35"/>
      <c r="T415" s="35"/>
      <c r="U415" s="35"/>
      <c r="V415" s="3"/>
      <c r="W415" s="3"/>
    </row>
    <row r="416" spans="15:23">
      <c r="O416" s="35"/>
      <c r="P416" s="35"/>
      <c r="Q416" s="35"/>
      <c r="R416" s="35"/>
      <c r="S416" s="35"/>
      <c r="T416" s="35"/>
      <c r="U416" s="35"/>
      <c r="V416" s="3"/>
      <c r="W416" s="3"/>
    </row>
    <row r="417" spans="15:23">
      <c r="O417" s="35"/>
      <c r="P417" s="35"/>
      <c r="Q417" s="35"/>
      <c r="R417" s="35"/>
      <c r="S417" s="35"/>
      <c r="T417" s="35"/>
      <c r="U417" s="35"/>
      <c r="V417" s="3"/>
      <c r="W417" s="3"/>
    </row>
    <row r="418" spans="15:23">
      <c r="O418" s="35"/>
      <c r="P418" s="35"/>
      <c r="Q418" s="35"/>
      <c r="R418" s="35"/>
      <c r="S418" s="35"/>
      <c r="T418" s="35"/>
      <c r="U418" s="35"/>
      <c r="V418" s="3"/>
      <c r="W418" s="3"/>
    </row>
    <row r="419" spans="15:23">
      <c r="O419" s="35"/>
      <c r="P419" s="35"/>
      <c r="Q419" s="35"/>
      <c r="R419" s="35"/>
      <c r="S419" s="35"/>
      <c r="T419" s="35"/>
      <c r="U419" s="35"/>
      <c r="V419" s="3"/>
      <c r="W419" s="3"/>
    </row>
    <row r="420" spans="15:23">
      <c r="O420" s="35"/>
      <c r="P420" s="35"/>
      <c r="Q420" s="35"/>
      <c r="R420" s="35"/>
      <c r="S420" s="35"/>
      <c r="T420" s="35"/>
      <c r="U420" s="35"/>
      <c r="V420" s="3"/>
      <c r="W420" s="3"/>
    </row>
    <row r="421" spans="15:23">
      <c r="O421" s="35"/>
      <c r="P421" s="35"/>
      <c r="Q421" s="35"/>
      <c r="R421" s="35"/>
      <c r="S421" s="35"/>
      <c r="T421" s="35"/>
      <c r="U421" s="35"/>
      <c r="V421" s="3"/>
      <c r="W421" s="3"/>
    </row>
    <row r="422" spans="15:23">
      <c r="O422" s="35"/>
      <c r="P422" s="35"/>
      <c r="Q422" s="35"/>
      <c r="R422" s="35"/>
      <c r="S422" s="35"/>
      <c r="T422" s="35"/>
      <c r="U422" s="35"/>
      <c r="V422" s="3"/>
      <c r="W422" s="3"/>
    </row>
    <row r="423" spans="15:23">
      <c r="O423" s="35"/>
      <c r="P423" s="35"/>
      <c r="Q423" s="35"/>
      <c r="R423" s="35"/>
      <c r="S423" s="35"/>
      <c r="T423" s="35"/>
      <c r="U423" s="35"/>
      <c r="V423" s="3"/>
      <c r="W423" s="3"/>
    </row>
    <row r="424" spans="15:23">
      <c r="O424" s="35"/>
      <c r="P424" s="35"/>
      <c r="Q424" s="35"/>
      <c r="R424" s="35"/>
      <c r="S424" s="35"/>
      <c r="T424" s="35"/>
      <c r="U424" s="35"/>
      <c r="V424" s="3"/>
      <c r="W424" s="3"/>
    </row>
    <row r="425" spans="15:23">
      <c r="O425" s="35"/>
      <c r="P425" s="35"/>
      <c r="Q425" s="35"/>
      <c r="R425" s="35"/>
      <c r="S425" s="35"/>
      <c r="T425" s="35"/>
      <c r="U425" s="35"/>
      <c r="V425" s="3"/>
      <c r="W425" s="3"/>
    </row>
    <row r="426" spans="15:23">
      <c r="O426" s="35"/>
      <c r="P426" s="35"/>
      <c r="Q426" s="35"/>
      <c r="R426" s="35"/>
      <c r="S426" s="35"/>
      <c r="T426" s="35"/>
      <c r="U426" s="35"/>
      <c r="V426" s="3"/>
      <c r="W426" s="3"/>
    </row>
    <row r="427" spans="15:23">
      <c r="O427" s="35"/>
      <c r="P427" s="35"/>
      <c r="Q427" s="35"/>
      <c r="R427" s="35"/>
      <c r="S427" s="35"/>
      <c r="T427" s="35"/>
      <c r="U427" s="35"/>
      <c r="V427" s="3"/>
      <c r="W427" s="3"/>
    </row>
    <row r="428" spans="15:23">
      <c r="O428" s="35"/>
      <c r="P428" s="35"/>
      <c r="Q428" s="35"/>
      <c r="R428" s="35"/>
      <c r="S428" s="35"/>
      <c r="T428" s="35"/>
      <c r="U428" s="35"/>
      <c r="V428" s="3"/>
      <c r="W428" s="3"/>
    </row>
    <row r="429" spans="15:23">
      <c r="O429" s="35"/>
      <c r="P429" s="35"/>
      <c r="Q429" s="35"/>
      <c r="R429" s="35"/>
      <c r="S429" s="35"/>
      <c r="T429" s="35"/>
      <c r="U429" s="35"/>
      <c r="V429" s="3"/>
      <c r="W429" s="3"/>
    </row>
    <row r="430" spans="15:23">
      <c r="O430" s="35"/>
      <c r="P430" s="35"/>
      <c r="Q430" s="35"/>
      <c r="R430" s="35"/>
      <c r="S430" s="35"/>
      <c r="T430" s="35"/>
      <c r="U430" s="35"/>
      <c r="V430" s="3"/>
      <c r="W430" s="3"/>
    </row>
    <row r="431" spans="15:23">
      <c r="O431" s="35"/>
      <c r="P431" s="35"/>
      <c r="Q431" s="35"/>
      <c r="R431" s="35"/>
      <c r="S431" s="35"/>
      <c r="T431" s="35"/>
      <c r="U431" s="35"/>
      <c r="V431" s="3"/>
      <c r="W431" s="3"/>
    </row>
    <row r="432" spans="15:23">
      <c r="O432" s="35"/>
      <c r="P432" s="35"/>
      <c r="Q432" s="35"/>
      <c r="R432" s="35"/>
      <c r="S432" s="35"/>
      <c r="T432" s="35"/>
      <c r="U432" s="35"/>
      <c r="V432" s="3"/>
      <c r="W432" s="3"/>
    </row>
    <row r="433" spans="15:23">
      <c r="O433" s="35"/>
      <c r="P433" s="35"/>
      <c r="Q433" s="35"/>
      <c r="R433" s="35"/>
      <c r="S433" s="35"/>
      <c r="T433" s="35"/>
      <c r="U433" s="35"/>
      <c r="V433" s="3"/>
      <c r="W433" s="3"/>
    </row>
    <row r="434" spans="15:23">
      <c r="O434" s="35"/>
      <c r="P434" s="35"/>
      <c r="Q434" s="35"/>
      <c r="R434" s="35"/>
      <c r="S434" s="35"/>
      <c r="T434" s="35"/>
      <c r="U434" s="35"/>
      <c r="V434" s="3"/>
      <c r="W434" s="3"/>
    </row>
    <row r="435" spans="15:23">
      <c r="O435" s="35"/>
      <c r="P435" s="35"/>
      <c r="Q435" s="35"/>
      <c r="R435" s="35"/>
      <c r="S435" s="35"/>
      <c r="T435" s="35"/>
      <c r="U435" s="35"/>
      <c r="V435" s="3"/>
      <c r="W435" s="3"/>
    </row>
    <row r="436" spans="15:23">
      <c r="O436" s="35"/>
      <c r="P436" s="35"/>
      <c r="Q436" s="35"/>
      <c r="R436" s="35"/>
      <c r="S436" s="35"/>
      <c r="T436" s="35"/>
      <c r="U436" s="35"/>
      <c r="V436" s="3"/>
      <c r="W436" s="3"/>
    </row>
    <row r="437" spans="15:23">
      <c r="O437" s="35"/>
      <c r="P437" s="35"/>
      <c r="Q437" s="35"/>
      <c r="R437" s="35"/>
      <c r="S437" s="35"/>
      <c r="T437" s="35"/>
      <c r="U437" s="35"/>
      <c r="V437" s="3"/>
      <c r="W437" s="3"/>
    </row>
    <row r="438" spans="15:23">
      <c r="O438" s="35"/>
      <c r="P438" s="35"/>
      <c r="Q438" s="35"/>
      <c r="R438" s="35"/>
      <c r="S438" s="35"/>
      <c r="T438" s="35"/>
      <c r="U438" s="35"/>
      <c r="V438" s="3"/>
      <c r="W438" s="3"/>
    </row>
    <row r="439" spans="15:23">
      <c r="O439" s="35"/>
      <c r="P439" s="35"/>
      <c r="Q439" s="35"/>
      <c r="R439" s="35"/>
      <c r="S439" s="35"/>
      <c r="T439" s="35"/>
      <c r="U439" s="35"/>
      <c r="V439" s="3"/>
      <c r="W439" s="3"/>
    </row>
    <row r="440" spans="15:23">
      <c r="O440" s="35"/>
      <c r="P440" s="35"/>
      <c r="Q440" s="35"/>
      <c r="R440" s="35"/>
      <c r="S440" s="35"/>
      <c r="T440" s="35"/>
      <c r="U440" s="35"/>
      <c r="V440" s="3"/>
      <c r="W440" s="3"/>
    </row>
    <row r="441" spans="15:23">
      <c r="O441" s="35"/>
      <c r="P441" s="35"/>
      <c r="Q441" s="35"/>
      <c r="R441" s="35"/>
      <c r="S441" s="35"/>
      <c r="T441" s="35"/>
      <c r="U441" s="35"/>
      <c r="V441" s="3"/>
      <c r="W441" s="3"/>
    </row>
    <row r="442" spans="15:23">
      <c r="O442" s="35"/>
      <c r="P442" s="35"/>
      <c r="Q442" s="35"/>
      <c r="R442" s="35"/>
      <c r="S442" s="35"/>
      <c r="T442" s="35"/>
      <c r="U442" s="35"/>
      <c r="V442" s="3"/>
      <c r="W442" s="3"/>
    </row>
    <row r="443" spans="15:23">
      <c r="O443" s="35"/>
      <c r="P443" s="35"/>
      <c r="Q443" s="35"/>
      <c r="R443" s="35"/>
      <c r="S443" s="35"/>
      <c r="T443" s="35"/>
      <c r="U443" s="35"/>
      <c r="V443" s="3"/>
      <c r="W443" s="3"/>
    </row>
    <row r="444" spans="15:23">
      <c r="O444" s="35"/>
      <c r="P444" s="35"/>
      <c r="Q444" s="35"/>
      <c r="R444" s="35"/>
      <c r="S444" s="35"/>
      <c r="T444" s="35"/>
      <c r="U444" s="35"/>
      <c r="V444" s="3"/>
      <c r="W444" s="3"/>
    </row>
    <row r="445" spans="15:23">
      <c r="O445" s="35"/>
      <c r="P445" s="35"/>
      <c r="Q445" s="35"/>
      <c r="R445" s="35"/>
      <c r="S445" s="35"/>
      <c r="T445" s="35"/>
      <c r="U445" s="35"/>
      <c r="V445" s="3"/>
      <c r="W445" s="3"/>
    </row>
    <row r="446" spans="15:23">
      <c r="O446" s="35"/>
      <c r="P446" s="35"/>
      <c r="Q446" s="35"/>
      <c r="R446" s="35"/>
      <c r="S446" s="35"/>
      <c r="T446" s="35"/>
      <c r="U446" s="35"/>
      <c r="V446" s="3"/>
      <c r="W446" s="3"/>
    </row>
    <row r="447" spans="15:23">
      <c r="O447" s="35"/>
      <c r="P447" s="35"/>
      <c r="Q447" s="35"/>
      <c r="R447" s="35"/>
      <c r="S447" s="35"/>
      <c r="T447" s="35"/>
      <c r="U447" s="35"/>
      <c r="V447" s="3"/>
      <c r="W447" s="3"/>
    </row>
    <row r="448" spans="15:23">
      <c r="O448" s="35"/>
      <c r="P448" s="35"/>
      <c r="Q448" s="35"/>
      <c r="R448" s="35"/>
      <c r="S448" s="35"/>
      <c r="T448" s="35"/>
      <c r="U448" s="35"/>
      <c r="V448" s="3"/>
      <c r="W448" s="3"/>
    </row>
    <row r="449" spans="15:23">
      <c r="O449" s="35"/>
      <c r="P449" s="35"/>
      <c r="Q449" s="35"/>
      <c r="R449" s="35"/>
      <c r="S449" s="35"/>
      <c r="T449" s="35"/>
      <c r="U449" s="35"/>
      <c r="V449" s="3"/>
      <c r="W449" s="3"/>
    </row>
    <row r="450" spans="15:23">
      <c r="O450" s="35"/>
      <c r="P450" s="35"/>
      <c r="Q450" s="35"/>
      <c r="R450" s="35"/>
      <c r="S450" s="35"/>
      <c r="T450" s="35"/>
      <c r="U450" s="35"/>
      <c r="V450" s="3"/>
      <c r="W450" s="3"/>
    </row>
    <row r="451" spans="15:23">
      <c r="O451" s="35"/>
      <c r="P451" s="35"/>
      <c r="Q451" s="35"/>
      <c r="R451" s="35"/>
      <c r="S451" s="35"/>
      <c r="T451" s="35"/>
      <c r="U451" s="35"/>
      <c r="V451" s="3"/>
      <c r="W451" s="3"/>
    </row>
    <row r="452" spans="15:23">
      <c r="O452" s="35"/>
      <c r="P452" s="35"/>
      <c r="Q452" s="35"/>
      <c r="R452" s="35"/>
      <c r="S452" s="35"/>
      <c r="T452" s="35"/>
      <c r="U452" s="35"/>
      <c r="V452" s="3"/>
      <c r="W452" s="3"/>
    </row>
    <row r="453" spans="15:23">
      <c r="O453" s="35"/>
      <c r="P453" s="35"/>
      <c r="Q453" s="35"/>
      <c r="R453" s="35"/>
      <c r="S453" s="35"/>
      <c r="T453" s="35"/>
      <c r="U453" s="35"/>
      <c r="V453" s="3"/>
      <c r="W453" s="3"/>
    </row>
    <row r="454" spans="15:23">
      <c r="O454" s="35"/>
      <c r="P454" s="35"/>
      <c r="Q454" s="35"/>
      <c r="R454" s="35"/>
      <c r="S454" s="35"/>
      <c r="T454" s="35"/>
      <c r="U454" s="35"/>
      <c r="V454" s="3"/>
      <c r="W454" s="3"/>
    </row>
    <row r="455" spans="15:23">
      <c r="O455" s="35"/>
      <c r="P455" s="35"/>
      <c r="Q455" s="35"/>
      <c r="R455" s="35"/>
      <c r="S455" s="35"/>
      <c r="T455" s="35"/>
      <c r="U455" s="35"/>
      <c r="V455" s="3"/>
      <c r="W455" s="3"/>
    </row>
    <row r="456" spans="15:23">
      <c r="O456" s="35"/>
      <c r="P456" s="35"/>
      <c r="Q456" s="35"/>
      <c r="R456" s="35"/>
      <c r="S456" s="35"/>
      <c r="T456" s="35"/>
      <c r="U456" s="35"/>
      <c r="V456" s="3"/>
      <c r="W456" s="3"/>
    </row>
    <row r="457" spans="15:23">
      <c r="O457" s="35"/>
      <c r="P457" s="35"/>
      <c r="Q457" s="35"/>
      <c r="R457" s="35"/>
      <c r="S457" s="35"/>
      <c r="T457" s="35"/>
      <c r="U457" s="35"/>
      <c r="V457" s="3"/>
      <c r="W457" s="3"/>
    </row>
    <row r="458" spans="15:23">
      <c r="O458" s="35"/>
      <c r="P458" s="35"/>
      <c r="Q458" s="35"/>
      <c r="R458" s="35"/>
      <c r="S458" s="35"/>
      <c r="T458" s="35"/>
      <c r="U458" s="35"/>
      <c r="V458" s="3"/>
      <c r="W458" s="3"/>
    </row>
    <row r="459" spans="15:23">
      <c r="O459" s="35"/>
      <c r="P459" s="35"/>
      <c r="Q459" s="35"/>
      <c r="R459" s="35"/>
      <c r="S459" s="35"/>
      <c r="T459" s="35"/>
      <c r="U459" s="35"/>
      <c r="V459" s="3"/>
      <c r="W459" s="3"/>
    </row>
    <row r="460" spans="15:23">
      <c r="O460" s="35"/>
      <c r="P460" s="35"/>
      <c r="Q460" s="35"/>
      <c r="R460" s="35"/>
      <c r="S460" s="35"/>
      <c r="T460" s="35"/>
      <c r="U460" s="35"/>
      <c r="V460" s="3"/>
      <c r="W460" s="3"/>
    </row>
    <row r="461" spans="15:23">
      <c r="O461" s="35"/>
      <c r="P461" s="35"/>
      <c r="Q461" s="35"/>
      <c r="R461" s="35"/>
      <c r="S461" s="35"/>
      <c r="T461" s="35"/>
      <c r="U461" s="35"/>
      <c r="V461" s="3"/>
      <c r="W461" s="3"/>
    </row>
    <row r="462" spans="15:23">
      <c r="O462" s="35"/>
      <c r="P462" s="35"/>
      <c r="Q462" s="35"/>
      <c r="R462" s="35"/>
      <c r="S462" s="35"/>
      <c r="T462" s="35"/>
      <c r="U462" s="35"/>
      <c r="V462" s="3"/>
      <c r="W462" s="3"/>
    </row>
    <row r="463" spans="15:23">
      <c r="O463" s="35"/>
      <c r="P463" s="35"/>
      <c r="Q463" s="35"/>
      <c r="R463" s="35"/>
      <c r="S463" s="35"/>
      <c r="T463" s="35"/>
      <c r="U463" s="35"/>
      <c r="V463" s="3"/>
      <c r="W463" s="3"/>
    </row>
    <row r="464" spans="15:23">
      <c r="O464" s="35"/>
      <c r="P464" s="35"/>
      <c r="Q464" s="35"/>
      <c r="R464" s="35"/>
      <c r="S464" s="35"/>
      <c r="T464" s="35"/>
      <c r="U464" s="35"/>
      <c r="V464" s="3"/>
      <c r="W464" s="3"/>
    </row>
    <row r="465" spans="15:23">
      <c r="O465" s="35"/>
      <c r="P465" s="35"/>
      <c r="Q465" s="35"/>
      <c r="R465" s="35"/>
      <c r="S465" s="35"/>
      <c r="T465" s="35"/>
      <c r="U465" s="35"/>
      <c r="V465" s="3"/>
      <c r="W465" s="3"/>
    </row>
    <row r="466" spans="15:23">
      <c r="O466" s="35"/>
      <c r="P466" s="35"/>
      <c r="Q466" s="35"/>
      <c r="R466" s="35"/>
      <c r="S466" s="35"/>
      <c r="T466" s="35"/>
      <c r="U466" s="35"/>
      <c r="V466" s="3"/>
      <c r="W466" s="3"/>
    </row>
    <row r="467" spans="15:23">
      <c r="O467" s="35"/>
      <c r="P467" s="35"/>
      <c r="Q467" s="35"/>
      <c r="R467" s="35"/>
      <c r="S467" s="35"/>
      <c r="T467" s="35"/>
      <c r="U467" s="35"/>
      <c r="V467" s="3"/>
      <c r="W467" s="3"/>
    </row>
    <row r="468" spans="15:23">
      <c r="O468" s="35"/>
      <c r="P468" s="35"/>
      <c r="Q468" s="35"/>
      <c r="R468" s="35"/>
      <c r="S468" s="35"/>
      <c r="T468" s="35"/>
      <c r="U468" s="35"/>
      <c r="V468" s="3"/>
      <c r="W468" s="3"/>
    </row>
    <row r="469" spans="15:23">
      <c r="O469" s="35"/>
      <c r="P469" s="35"/>
      <c r="Q469" s="35"/>
      <c r="R469" s="35"/>
      <c r="S469" s="35"/>
      <c r="T469" s="35"/>
      <c r="U469" s="35"/>
      <c r="V469" s="3"/>
      <c r="W469" s="3"/>
    </row>
    <row r="470" spans="15:23">
      <c r="O470" s="35"/>
      <c r="P470" s="35"/>
      <c r="Q470" s="35"/>
      <c r="R470" s="35"/>
      <c r="S470" s="35"/>
      <c r="T470" s="35"/>
      <c r="U470" s="35"/>
      <c r="V470" s="3"/>
      <c r="W470" s="3"/>
    </row>
    <row r="471" spans="15:23">
      <c r="O471" s="35"/>
      <c r="P471" s="35"/>
      <c r="Q471" s="35"/>
      <c r="R471" s="35"/>
      <c r="S471" s="35"/>
      <c r="T471" s="35"/>
      <c r="U471" s="35"/>
      <c r="V471" s="3"/>
      <c r="W471" s="3"/>
    </row>
    <row r="472" spans="15:23">
      <c r="O472" s="35"/>
      <c r="P472" s="35"/>
      <c r="Q472" s="35"/>
      <c r="R472" s="35"/>
      <c r="S472" s="35"/>
      <c r="T472" s="35"/>
      <c r="U472" s="35"/>
      <c r="V472" s="3"/>
      <c r="W472" s="3"/>
    </row>
    <row r="473" spans="15:23">
      <c r="O473" s="35"/>
      <c r="P473" s="35"/>
      <c r="Q473" s="35"/>
      <c r="R473" s="35"/>
      <c r="S473" s="35"/>
      <c r="T473" s="35"/>
      <c r="U473" s="35"/>
      <c r="V473" s="3"/>
      <c r="W473" s="3"/>
    </row>
    <row r="474" spans="15:23">
      <c r="O474" s="35"/>
      <c r="P474" s="35"/>
      <c r="Q474" s="35"/>
      <c r="R474" s="35"/>
      <c r="S474" s="35"/>
      <c r="T474" s="35"/>
      <c r="U474" s="35"/>
      <c r="V474" s="3"/>
      <c r="W474" s="3"/>
    </row>
    <row r="475" spans="15:23">
      <c r="O475" s="35"/>
      <c r="P475" s="35"/>
      <c r="Q475" s="35"/>
      <c r="R475" s="35"/>
      <c r="S475" s="35"/>
      <c r="T475" s="35"/>
      <c r="U475" s="35"/>
      <c r="V475" s="3"/>
      <c r="W475" s="3"/>
    </row>
    <row r="476" spans="15:23">
      <c r="O476" s="35"/>
      <c r="P476" s="35"/>
      <c r="Q476" s="35"/>
      <c r="R476" s="35"/>
      <c r="S476" s="35"/>
      <c r="T476" s="35"/>
      <c r="U476" s="35"/>
      <c r="V476" s="3"/>
      <c r="W476" s="3"/>
    </row>
    <row r="477" spans="15:23">
      <c r="O477" s="35"/>
      <c r="P477" s="35"/>
      <c r="Q477" s="35"/>
      <c r="R477" s="35"/>
      <c r="S477" s="35"/>
      <c r="T477" s="35"/>
      <c r="U477" s="35"/>
      <c r="V477" s="3"/>
      <c r="W477" s="3"/>
    </row>
    <row r="478" spans="15:23">
      <c r="O478" s="35"/>
      <c r="P478" s="35"/>
      <c r="Q478" s="35"/>
      <c r="R478" s="35"/>
      <c r="S478" s="35"/>
      <c r="T478" s="35"/>
      <c r="U478" s="35"/>
      <c r="V478" s="3"/>
      <c r="W478" s="3"/>
    </row>
    <row r="479" spans="15:23">
      <c r="O479" s="35"/>
      <c r="P479" s="35"/>
      <c r="Q479" s="35"/>
      <c r="R479" s="35"/>
      <c r="S479" s="35"/>
      <c r="T479" s="35"/>
      <c r="U479" s="35"/>
      <c r="V479" s="3"/>
      <c r="W479" s="3"/>
    </row>
    <row r="480" spans="15:23">
      <c r="O480" s="35"/>
      <c r="P480" s="35"/>
      <c r="Q480" s="35"/>
      <c r="R480" s="35"/>
      <c r="S480" s="35"/>
      <c r="T480" s="35"/>
      <c r="U480" s="35"/>
      <c r="V480" s="3"/>
      <c r="W480" s="3"/>
    </row>
    <row r="481" spans="15:23">
      <c r="O481" s="35"/>
      <c r="P481" s="35"/>
      <c r="Q481" s="35"/>
      <c r="R481" s="35"/>
      <c r="S481" s="35"/>
      <c r="T481" s="35"/>
      <c r="U481" s="35"/>
      <c r="V481" s="3"/>
      <c r="W481" s="3"/>
    </row>
    <row r="482" spans="15:23">
      <c r="O482" s="35"/>
      <c r="P482" s="35"/>
      <c r="Q482" s="35"/>
      <c r="R482" s="35"/>
      <c r="S482" s="35"/>
      <c r="T482" s="35"/>
      <c r="U482" s="35"/>
      <c r="V482" s="3"/>
      <c r="W482" s="3"/>
    </row>
    <row r="483" spans="15:23">
      <c r="O483" s="35"/>
      <c r="P483" s="35"/>
      <c r="Q483" s="35"/>
      <c r="R483" s="35"/>
      <c r="S483" s="35"/>
      <c r="T483" s="35"/>
      <c r="U483" s="35"/>
      <c r="V483" s="3"/>
      <c r="W483" s="3"/>
    </row>
    <row r="484" spans="15:23">
      <c r="O484" s="35"/>
      <c r="P484" s="35"/>
      <c r="Q484" s="35"/>
      <c r="R484" s="35"/>
      <c r="S484" s="35"/>
      <c r="T484" s="35"/>
      <c r="U484" s="35"/>
      <c r="V484" s="3"/>
      <c r="W484" s="3"/>
    </row>
    <row r="485" spans="15:23">
      <c r="O485" s="35"/>
      <c r="P485" s="35"/>
      <c r="Q485" s="35"/>
      <c r="R485" s="35"/>
      <c r="S485" s="35"/>
      <c r="T485" s="35"/>
      <c r="U485" s="35"/>
      <c r="V485" s="3"/>
      <c r="W485" s="3"/>
    </row>
    <row r="486" spans="15:23">
      <c r="O486" s="35"/>
      <c r="P486" s="35"/>
      <c r="Q486" s="35"/>
      <c r="R486" s="35"/>
      <c r="S486" s="35"/>
      <c r="T486" s="35"/>
      <c r="U486" s="35"/>
      <c r="V486" s="3"/>
      <c r="W486" s="3"/>
    </row>
    <row r="487" spans="15:23">
      <c r="O487" s="35"/>
      <c r="P487" s="35"/>
      <c r="Q487" s="35"/>
      <c r="R487" s="35"/>
      <c r="S487" s="35"/>
      <c r="T487" s="35"/>
      <c r="U487" s="35"/>
      <c r="V487" s="3"/>
      <c r="W487" s="3"/>
    </row>
    <row r="488" spans="15:23">
      <c r="O488" s="35"/>
      <c r="P488" s="35"/>
      <c r="Q488" s="35"/>
      <c r="R488" s="35"/>
      <c r="S488" s="35"/>
      <c r="T488" s="35"/>
      <c r="U488" s="35"/>
      <c r="V488" s="3"/>
      <c r="W488" s="3"/>
    </row>
    <row r="489" spans="15:23">
      <c r="O489" s="35"/>
      <c r="P489" s="35"/>
      <c r="Q489" s="35"/>
      <c r="R489" s="35"/>
      <c r="S489" s="35"/>
      <c r="T489" s="35"/>
      <c r="U489" s="35"/>
      <c r="V489" s="3"/>
      <c r="W489" s="3"/>
    </row>
    <row r="490" spans="15:23">
      <c r="O490" s="35"/>
      <c r="P490" s="35"/>
      <c r="Q490" s="35"/>
      <c r="R490" s="35"/>
      <c r="S490" s="35"/>
      <c r="T490" s="35"/>
      <c r="U490" s="35"/>
      <c r="V490" s="3"/>
      <c r="W490" s="3"/>
    </row>
    <row r="491" spans="15:23">
      <c r="O491" s="35"/>
      <c r="P491" s="35"/>
      <c r="Q491" s="35"/>
      <c r="R491" s="35"/>
      <c r="S491" s="35"/>
      <c r="T491" s="35"/>
      <c r="U491" s="35"/>
      <c r="V491" s="3"/>
      <c r="W491" s="3"/>
    </row>
    <row r="492" spans="15:23">
      <c r="O492" s="35"/>
      <c r="P492" s="35"/>
      <c r="Q492" s="35"/>
      <c r="R492" s="35"/>
      <c r="S492" s="35"/>
      <c r="T492" s="35"/>
      <c r="U492" s="35"/>
      <c r="V492" s="3"/>
      <c r="W492" s="3"/>
    </row>
    <row r="493" spans="15:23">
      <c r="O493" s="35"/>
      <c r="P493" s="35"/>
      <c r="Q493" s="35"/>
      <c r="R493" s="35"/>
      <c r="S493" s="35"/>
      <c r="T493" s="35"/>
      <c r="U493" s="35"/>
      <c r="V493" s="3"/>
      <c r="W493" s="3"/>
    </row>
    <row r="494" spans="15:23">
      <c r="O494" s="35"/>
      <c r="P494" s="35"/>
      <c r="Q494" s="35"/>
      <c r="R494" s="35"/>
      <c r="S494" s="35"/>
      <c r="T494" s="35"/>
      <c r="U494" s="35"/>
      <c r="V494" s="3"/>
      <c r="W494" s="3"/>
    </row>
    <row r="495" spans="15:23">
      <c r="O495" s="35"/>
      <c r="P495" s="35"/>
      <c r="Q495" s="35"/>
      <c r="R495" s="35"/>
      <c r="S495" s="35"/>
      <c r="T495" s="35"/>
      <c r="U495" s="35"/>
      <c r="V495" s="3"/>
      <c r="W495" s="3"/>
    </row>
    <row r="496" spans="15:23">
      <c r="O496" s="35"/>
      <c r="P496" s="35"/>
      <c r="Q496" s="35"/>
      <c r="R496" s="35"/>
      <c r="S496" s="35"/>
      <c r="T496" s="35"/>
      <c r="U496" s="35"/>
      <c r="V496" s="3"/>
      <c r="W496" s="3"/>
    </row>
    <row r="497" spans="15:23">
      <c r="O497" s="35"/>
      <c r="P497" s="35"/>
      <c r="Q497" s="35"/>
      <c r="R497" s="35"/>
      <c r="S497" s="35"/>
      <c r="T497" s="35"/>
      <c r="U497" s="35"/>
      <c r="V497" s="3"/>
      <c r="W497" s="3"/>
    </row>
    <row r="498" spans="15:23">
      <c r="O498" s="35"/>
      <c r="P498" s="35"/>
      <c r="Q498" s="35"/>
      <c r="R498" s="35"/>
      <c r="S498" s="35"/>
      <c r="T498" s="35"/>
      <c r="U498" s="35"/>
      <c r="V498" s="3"/>
      <c r="W498" s="3"/>
    </row>
    <row r="499" spans="15:23">
      <c r="O499" s="35"/>
      <c r="P499" s="35"/>
      <c r="Q499" s="35"/>
      <c r="R499" s="35"/>
      <c r="S499" s="35"/>
      <c r="T499" s="35"/>
      <c r="U499" s="35"/>
      <c r="V499" s="3"/>
      <c r="W499" s="3"/>
    </row>
    <row r="500" spans="15:23">
      <c r="O500" s="35"/>
      <c r="P500" s="35"/>
      <c r="Q500" s="35"/>
      <c r="R500" s="35"/>
      <c r="S500" s="35"/>
      <c r="T500" s="35"/>
      <c r="U500" s="35"/>
      <c r="V500" s="3"/>
      <c r="W500" s="3"/>
    </row>
    <row r="501" spans="15:23">
      <c r="O501" s="35"/>
      <c r="P501" s="35"/>
      <c r="Q501" s="35"/>
      <c r="R501" s="35"/>
      <c r="S501" s="35"/>
      <c r="T501" s="35"/>
      <c r="U501" s="35"/>
      <c r="V501" s="3"/>
      <c r="W501" s="3"/>
    </row>
    <row r="502" spans="15:23">
      <c r="O502" s="35"/>
      <c r="P502" s="35"/>
      <c r="Q502" s="35"/>
      <c r="R502" s="35"/>
      <c r="S502" s="35"/>
      <c r="T502" s="35"/>
      <c r="U502" s="35"/>
      <c r="V502" s="3"/>
      <c r="W502" s="3"/>
    </row>
    <row r="503" spans="15:23">
      <c r="O503" s="35"/>
      <c r="P503" s="35"/>
      <c r="Q503" s="35"/>
      <c r="R503" s="35"/>
      <c r="S503" s="35"/>
      <c r="T503" s="35"/>
      <c r="U503" s="35"/>
      <c r="V503" s="3"/>
      <c r="W503" s="3"/>
    </row>
    <row r="504" spans="15:23">
      <c r="O504" s="35"/>
      <c r="P504" s="35"/>
      <c r="Q504" s="35"/>
      <c r="R504" s="35"/>
      <c r="S504" s="35"/>
      <c r="T504" s="35"/>
      <c r="U504" s="35"/>
      <c r="V504" s="3"/>
      <c r="W504" s="3"/>
    </row>
    <row r="505" spans="15:23">
      <c r="O505" s="35"/>
      <c r="P505" s="35"/>
      <c r="Q505" s="35"/>
      <c r="R505" s="35"/>
      <c r="S505" s="35"/>
      <c r="T505" s="35"/>
      <c r="U505" s="35"/>
      <c r="V505" s="3"/>
      <c r="W505" s="3"/>
    </row>
    <row r="506" spans="15:23">
      <c r="O506" s="35"/>
      <c r="P506" s="35"/>
      <c r="Q506" s="35"/>
      <c r="R506" s="35"/>
      <c r="S506" s="35"/>
      <c r="T506" s="35"/>
      <c r="U506" s="35"/>
      <c r="V506" s="3"/>
      <c r="W506" s="3"/>
    </row>
    <row r="507" spans="15:23">
      <c r="O507" s="35"/>
      <c r="P507" s="35"/>
      <c r="Q507" s="35"/>
      <c r="R507" s="35"/>
      <c r="S507" s="35"/>
      <c r="T507" s="35"/>
      <c r="U507" s="35"/>
      <c r="V507" s="3"/>
      <c r="W507" s="3"/>
    </row>
    <row r="508" spans="15:23">
      <c r="O508" s="35"/>
      <c r="P508" s="35"/>
      <c r="Q508" s="35"/>
      <c r="R508" s="35"/>
      <c r="S508" s="35"/>
      <c r="T508" s="35"/>
      <c r="U508" s="35"/>
      <c r="V508" s="3"/>
      <c r="W508" s="3"/>
    </row>
    <row r="509" spans="15:23">
      <c r="O509" s="35"/>
      <c r="P509" s="35"/>
      <c r="Q509" s="35"/>
      <c r="R509" s="35"/>
      <c r="S509" s="35"/>
      <c r="T509" s="35"/>
      <c r="U509" s="35"/>
      <c r="V509" s="3"/>
      <c r="W509" s="3"/>
    </row>
    <row r="510" spans="15:23">
      <c r="O510" s="35"/>
      <c r="P510" s="35"/>
      <c r="Q510" s="35"/>
      <c r="R510" s="35"/>
      <c r="S510" s="35"/>
      <c r="T510" s="35"/>
      <c r="U510" s="35"/>
      <c r="V510" s="3"/>
      <c r="W510" s="3"/>
    </row>
    <row r="511" spans="15:23">
      <c r="O511" s="35"/>
      <c r="P511" s="35"/>
      <c r="Q511" s="35"/>
      <c r="R511" s="35"/>
      <c r="S511" s="35"/>
      <c r="T511" s="35"/>
      <c r="U511" s="35"/>
      <c r="V511" s="3"/>
      <c r="W511" s="3"/>
    </row>
    <row r="512" spans="15:23">
      <c r="O512" s="35"/>
      <c r="P512" s="35"/>
      <c r="Q512" s="35"/>
      <c r="R512" s="35"/>
      <c r="S512" s="35"/>
      <c r="T512" s="35"/>
      <c r="U512" s="35"/>
      <c r="V512" s="3"/>
      <c r="W512" s="3"/>
    </row>
    <row r="513" spans="15:23">
      <c r="O513" s="35"/>
      <c r="P513" s="35"/>
      <c r="Q513" s="35"/>
      <c r="R513" s="35"/>
      <c r="S513" s="35"/>
      <c r="T513" s="35"/>
      <c r="U513" s="35"/>
      <c r="V513" s="3"/>
      <c r="W513" s="3"/>
    </row>
    <row r="514" spans="15:23">
      <c r="O514" s="35"/>
      <c r="P514" s="35"/>
      <c r="Q514" s="35"/>
      <c r="R514" s="35"/>
      <c r="S514" s="35"/>
      <c r="T514" s="35"/>
      <c r="U514" s="35"/>
      <c r="V514" s="3"/>
      <c r="W514" s="3"/>
    </row>
    <row r="515" spans="15:23">
      <c r="O515" s="35"/>
      <c r="P515" s="35"/>
      <c r="Q515" s="35"/>
      <c r="R515" s="35"/>
      <c r="S515" s="35"/>
      <c r="T515" s="35"/>
      <c r="U515" s="35"/>
      <c r="V515" s="3"/>
      <c r="W515" s="3"/>
    </row>
    <row r="516" spans="15:23">
      <c r="O516" s="35"/>
      <c r="P516" s="35"/>
      <c r="Q516" s="35"/>
      <c r="R516" s="35"/>
      <c r="S516" s="35"/>
      <c r="T516" s="35"/>
      <c r="U516" s="35"/>
      <c r="V516" s="3"/>
      <c r="W516" s="3"/>
    </row>
    <row r="517" spans="15:23">
      <c r="O517" s="35"/>
      <c r="P517" s="35"/>
      <c r="Q517" s="35"/>
      <c r="R517" s="35"/>
      <c r="S517" s="35"/>
      <c r="T517" s="35"/>
      <c r="U517" s="35"/>
      <c r="V517" s="3"/>
      <c r="W517" s="3"/>
    </row>
    <row r="518" spans="15:23">
      <c r="O518" s="35"/>
      <c r="P518" s="35"/>
      <c r="Q518" s="35"/>
      <c r="R518" s="35"/>
      <c r="S518" s="35"/>
      <c r="T518" s="35"/>
      <c r="U518" s="35"/>
      <c r="V518" s="3"/>
      <c r="W518" s="3"/>
    </row>
    <row r="519" spans="15:23">
      <c r="O519" s="35"/>
      <c r="P519" s="35"/>
      <c r="Q519" s="35"/>
      <c r="R519" s="35"/>
      <c r="S519" s="35"/>
      <c r="T519" s="35"/>
      <c r="U519" s="35"/>
      <c r="V519" s="3"/>
      <c r="W519" s="3"/>
    </row>
    <row r="520" spans="15:23">
      <c r="O520" s="35"/>
      <c r="P520" s="35"/>
      <c r="Q520" s="35"/>
      <c r="R520" s="35"/>
      <c r="S520" s="35"/>
      <c r="T520" s="35"/>
      <c r="U520" s="35"/>
      <c r="V520" s="3"/>
      <c r="W520" s="3"/>
    </row>
    <row r="521" spans="15:23">
      <c r="O521" s="35"/>
      <c r="P521" s="35"/>
      <c r="Q521" s="35"/>
      <c r="R521" s="35"/>
      <c r="S521" s="35"/>
      <c r="T521" s="35"/>
      <c r="U521" s="35"/>
      <c r="V521" s="3"/>
      <c r="W521" s="3"/>
    </row>
    <row r="522" spans="15:23">
      <c r="O522" s="35"/>
      <c r="P522" s="35"/>
      <c r="Q522" s="35"/>
      <c r="R522" s="35"/>
      <c r="S522" s="35"/>
      <c r="T522" s="35"/>
      <c r="U522" s="35"/>
      <c r="V522" s="3"/>
      <c r="W522" s="3"/>
    </row>
    <row r="523" spans="15:23">
      <c r="O523" s="35"/>
      <c r="P523" s="35"/>
      <c r="Q523" s="35"/>
      <c r="R523" s="35"/>
      <c r="S523" s="35"/>
      <c r="T523" s="35"/>
      <c r="U523" s="35"/>
      <c r="V523" s="3"/>
      <c r="W523" s="3"/>
    </row>
    <row r="524" spans="15:23">
      <c r="O524" s="35"/>
      <c r="P524" s="35"/>
      <c r="Q524" s="35"/>
      <c r="R524" s="35"/>
      <c r="S524" s="35"/>
      <c r="T524" s="35"/>
      <c r="U524" s="35"/>
      <c r="V524" s="3"/>
      <c r="W524" s="3"/>
    </row>
    <row r="525" spans="15:23">
      <c r="O525" s="35"/>
      <c r="P525" s="35"/>
      <c r="Q525" s="35"/>
      <c r="R525" s="35"/>
      <c r="S525" s="35"/>
      <c r="T525" s="35"/>
      <c r="U525" s="35"/>
      <c r="V525" s="3"/>
      <c r="W525" s="3"/>
    </row>
    <row r="526" spans="15:23">
      <c r="O526" s="35"/>
      <c r="P526" s="35"/>
      <c r="Q526" s="35"/>
      <c r="R526" s="35"/>
      <c r="S526" s="35"/>
      <c r="T526" s="35"/>
      <c r="U526" s="35"/>
      <c r="V526" s="3"/>
      <c r="W526" s="3"/>
    </row>
    <row r="527" spans="15:23">
      <c r="O527" s="35"/>
      <c r="P527" s="35"/>
      <c r="Q527" s="35"/>
      <c r="R527" s="35"/>
      <c r="S527" s="35"/>
      <c r="T527" s="35"/>
      <c r="U527" s="35"/>
      <c r="V527" s="3"/>
      <c r="W527" s="3"/>
    </row>
    <row r="528" spans="15:23">
      <c r="O528" s="35"/>
      <c r="P528" s="35"/>
      <c r="Q528" s="35"/>
      <c r="R528" s="35"/>
      <c r="S528" s="35"/>
      <c r="T528" s="35"/>
      <c r="U528" s="35"/>
      <c r="V528" s="3"/>
      <c r="W528" s="3"/>
    </row>
    <row r="529" spans="15:23">
      <c r="O529" s="35"/>
      <c r="P529" s="35"/>
      <c r="Q529" s="35"/>
      <c r="R529" s="35"/>
      <c r="S529" s="35"/>
      <c r="T529" s="35"/>
      <c r="U529" s="35"/>
      <c r="V529" s="3"/>
      <c r="W529" s="3"/>
    </row>
    <row r="530" spans="15:23">
      <c r="O530" s="35"/>
      <c r="P530" s="35"/>
      <c r="Q530" s="35"/>
      <c r="R530" s="35"/>
      <c r="S530" s="35"/>
      <c r="T530" s="35"/>
      <c r="U530" s="35"/>
      <c r="V530" s="3"/>
      <c r="W530" s="3"/>
    </row>
    <row r="531" spans="15:23">
      <c r="O531" s="35"/>
      <c r="P531" s="35"/>
      <c r="Q531" s="35"/>
      <c r="R531" s="35"/>
      <c r="S531" s="35"/>
      <c r="T531" s="35"/>
      <c r="U531" s="35"/>
      <c r="V531" s="3"/>
      <c r="W531" s="3"/>
    </row>
    <row r="532" spans="15:23">
      <c r="O532" s="35"/>
      <c r="P532" s="35"/>
      <c r="Q532" s="35"/>
      <c r="R532" s="35"/>
      <c r="S532" s="35"/>
      <c r="T532" s="35"/>
      <c r="U532" s="35"/>
      <c r="V532" s="3"/>
      <c r="W532" s="3"/>
    </row>
    <row r="533" spans="15:23">
      <c r="O533" s="35"/>
      <c r="P533" s="35"/>
      <c r="Q533" s="35"/>
      <c r="R533" s="35"/>
      <c r="S533" s="35"/>
      <c r="T533" s="35"/>
      <c r="U533" s="35"/>
      <c r="V533" s="3"/>
      <c r="W533" s="3"/>
    </row>
    <row r="534" spans="15:23">
      <c r="O534" s="35"/>
      <c r="P534" s="35"/>
      <c r="Q534" s="35"/>
      <c r="R534" s="35"/>
      <c r="S534" s="35"/>
      <c r="T534" s="35"/>
      <c r="U534" s="35"/>
      <c r="V534" s="3"/>
      <c r="W534" s="3"/>
    </row>
    <row r="535" spans="15:23">
      <c r="O535" s="35"/>
      <c r="P535" s="35"/>
      <c r="Q535" s="35"/>
      <c r="R535" s="35"/>
      <c r="S535" s="35"/>
      <c r="T535" s="35"/>
      <c r="U535" s="35"/>
      <c r="V535" s="3"/>
      <c r="W535" s="3"/>
    </row>
    <row r="536" spans="15:23">
      <c r="O536" s="35"/>
      <c r="P536" s="35"/>
      <c r="Q536" s="35"/>
      <c r="R536" s="35"/>
      <c r="S536" s="35"/>
      <c r="T536" s="35"/>
      <c r="U536" s="35"/>
      <c r="V536" s="3"/>
      <c r="W536" s="3"/>
    </row>
    <row r="537" spans="15:23">
      <c r="O537" s="35"/>
      <c r="P537" s="35"/>
      <c r="Q537" s="35"/>
      <c r="R537" s="35"/>
      <c r="S537" s="35"/>
      <c r="T537" s="35"/>
      <c r="U537" s="35"/>
      <c r="V537" s="3"/>
      <c r="W537" s="3"/>
    </row>
    <row r="538" spans="15:23">
      <c r="O538" s="35"/>
      <c r="P538" s="35"/>
      <c r="Q538" s="35"/>
      <c r="R538" s="35"/>
      <c r="S538" s="35"/>
      <c r="T538" s="35"/>
      <c r="U538" s="35"/>
      <c r="V538" s="3"/>
      <c r="W538" s="3"/>
    </row>
    <row r="539" spans="15:23">
      <c r="O539" s="35"/>
      <c r="P539" s="35"/>
      <c r="Q539" s="35"/>
      <c r="R539" s="35"/>
      <c r="S539" s="35"/>
      <c r="T539" s="35"/>
      <c r="U539" s="35"/>
      <c r="V539" s="3"/>
      <c r="W539" s="3"/>
    </row>
    <row r="540" spans="15:23">
      <c r="O540" s="35"/>
      <c r="P540" s="35"/>
      <c r="Q540" s="35"/>
      <c r="R540" s="35"/>
      <c r="S540" s="35"/>
      <c r="T540" s="35"/>
      <c r="U540" s="35"/>
      <c r="V540" s="3"/>
      <c r="W540" s="3"/>
    </row>
    <row r="541" spans="15:23">
      <c r="O541" s="35"/>
      <c r="P541" s="35"/>
      <c r="Q541" s="35"/>
      <c r="R541" s="35"/>
      <c r="S541" s="35"/>
      <c r="T541" s="35"/>
      <c r="U541" s="35"/>
      <c r="V541" s="3"/>
      <c r="W541" s="3"/>
    </row>
    <row r="542" spans="15:23">
      <c r="O542" s="35"/>
      <c r="P542" s="35"/>
      <c r="Q542" s="35"/>
      <c r="R542" s="35"/>
      <c r="S542" s="35"/>
      <c r="T542" s="35"/>
      <c r="U542" s="35"/>
      <c r="V542" s="3"/>
      <c r="W542" s="3"/>
    </row>
    <row r="543" spans="15:23">
      <c r="O543" s="35"/>
      <c r="P543" s="35"/>
      <c r="Q543" s="35"/>
      <c r="R543" s="35"/>
      <c r="S543" s="35"/>
      <c r="T543" s="35"/>
      <c r="U543" s="35"/>
      <c r="V543" s="3"/>
      <c r="W543" s="3"/>
    </row>
    <row r="544" spans="15:23">
      <c r="O544" s="35"/>
      <c r="P544" s="35"/>
      <c r="Q544" s="35"/>
      <c r="R544" s="35"/>
      <c r="S544" s="35"/>
      <c r="T544" s="35"/>
      <c r="U544" s="35"/>
      <c r="V544" s="3"/>
      <c r="W544" s="3"/>
    </row>
    <row r="545" spans="15:23">
      <c r="O545" s="35"/>
      <c r="P545" s="35"/>
      <c r="Q545" s="35"/>
      <c r="R545" s="35"/>
      <c r="S545" s="35"/>
      <c r="T545" s="35"/>
      <c r="U545" s="35"/>
      <c r="V545" s="3"/>
      <c r="W545" s="3"/>
    </row>
    <row r="546" spans="15:23">
      <c r="O546" s="35"/>
      <c r="P546" s="35"/>
      <c r="Q546" s="35"/>
      <c r="R546" s="35"/>
      <c r="S546" s="35"/>
      <c r="T546" s="35"/>
      <c r="U546" s="35"/>
      <c r="V546" s="3"/>
      <c r="W546" s="3"/>
    </row>
    <row r="547" spans="15:23">
      <c r="O547" s="35"/>
      <c r="P547" s="35"/>
      <c r="Q547" s="35"/>
      <c r="R547" s="35"/>
      <c r="S547" s="35"/>
      <c r="T547" s="35"/>
      <c r="U547" s="35"/>
      <c r="V547" s="3"/>
      <c r="W547" s="3"/>
    </row>
    <row r="548" spans="15:23">
      <c r="O548" s="35"/>
      <c r="P548" s="35"/>
      <c r="Q548" s="35"/>
      <c r="R548" s="35"/>
      <c r="S548" s="35"/>
      <c r="T548" s="35"/>
      <c r="U548" s="35"/>
      <c r="V548" s="3"/>
      <c r="W548" s="3"/>
    </row>
    <row r="549" spans="15:23">
      <c r="O549" s="35"/>
      <c r="P549" s="35"/>
      <c r="Q549" s="35"/>
      <c r="R549" s="35"/>
      <c r="S549" s="35"/>
      <c r="T549" s="35"/>
      <c r="U549" s="35"/>
      <c r="V549" s="3"/>
      <c r="W549" s="3"/>
    </row>
    <row r="550" spans="15:23">
      <c r="O550" s="35"/>
      <c r="P550" s="35"/>
      <c r="Q550" s="35"/>
      <c r="R550" s="35"/>
      <c r="S550" s="35"/>
      <c r="T550" s="35"/>
      <c r="U550" s="35"/>
      <c r="V550" s="3"/>
      <c r="W550" s="3"/>
    </row>
    <row r="551" spans="15:23">
      <c r="O551" s="35"/>
      <c r="P551" s="35"/>
      <c r="Q551" s="35"/>
      <c r="R551" s="35"/>
      <c r="S551" s="35"/>
      <c r="T551" s="35"/>
      <c r="U551" s="35"/>
      <c r="V551" s="3"/>
      <c r="W551" s="3"/>
    </row>
    <row r="552" spans="15:23">
      <c r="O552" s="35"/>
      <c r="P552" s="35"/>
      <c r="Q552" s="35"/>
      <c r="R552" s="35"/>
      <c r="S552" s="35"/>
      <c r="T552" s="35"/>
      <c r="U552" s="35"/>
      <c r="V552" s="3"/>
      <c r="W552" s="3"/>
    </row>
    <row r="553" spans="15:23">
      <c r="O553" s="35"/>
      <c r="P553" s="35"/>
      <c r="Q553" s="35"/>
      <c r="R553" s="35"/>
      <c r="S553" s="35"/>
      <c r="T553" s="35"/>
      <c r="U553" s="35"/>
      <c r="V553" s="3"/>
      <c r="W553" s="3"/>
    </row>
    <row r="554" spans="15:23">
      <c r="O554" s="35"/>
      <c r="P554" s="35"/>
      <c r="Q554" s="35"/>
      <c r="R554" s="35"/>
      <c r="S554" s="35"/>
      <c r="T554" s="35"/>
      <c r="U554" s="35"/>
      <c r="V554" s="3"/>
      <c r="W554" s="3"/>
    </row>
    <row r="555" spans="15:23">
      <c r="O555" s="35"/>
      <c r="P555" s="35"/>
      <c r="Q555" s="35"/>
      <c r="R555" s="35"/>
      <c r="S555" s="35"/>
      <c r="T555" s="35"/>
      <c r="U555" s="35"/>
      <c r="V555" s="3"/>
      <c r="W555" s="3"/>
    </row>
    <row r="556" spans="15:23">
      <c r="O556" s="35"/>
      <c r="P556" s="35"/>
      <c r="Q556" s="35"/>
      <c r="R556" s="35"/>
      <c r="S556" s="35"/>
      <c r="T556" s="35"/>
      <c r="U556" s="35"/>
      <c r="V556" s="3"/>
      <c r="W556" s="3"/>
    </row>
    <row r="557" spans="15:23">
      <c r="O557" s="35"/>
      <c r="P557" s="35"/>
      <c r="Q557" s="35"/>
      <c r="R557" s="35"/>
      <c r="S557" s="35"/>
      <c r="T557" s="35"/>
      <c r="U557" s="35"/>
      <c r="V557" s="3"/>
      <c r="W557" s="3"/>
    </row>
    <row r="558" spans="15:23">
      <c r="O558" s="35"/>
      <c r="P558" s="35"/>
      <c r="Q558" s="35"/>
      <c r="R558" s="35"/>
      <c r="S558" s="35"/>
      <c r="T558" s="35"/>
      <c r="U558" s="35"/>
      <c r="V558" s="3"/>
      <c r="W558" s="3"/>
    </row>
    <row r="559" spans="15:23">
      <c r="O559" s="35"/>
      <c r="P559" s="35"/>
      <c r="Q559" s="35"/>
      <c r="R559" s="35"/>
      <c r="S559" s="35"/>
      <c r="T559" s="35"/>
      <c r="U559" s="35"/>
      <c r="V559" s="3"/>
      <c r="W559" s="3"/>
    </row>
    <row r="560" spans="15:23">
      <c r="O560" s="35"/>
      <c r="P560" s="35"/>
      <c r="Q560" s="35"/>
      <c r="R560" s="35"/>
      <c r="S560" s="35"/>
      <c r="T560" s="35"/>
      <c r="U560" s="35"/>
      <c r="V560" s="3"/>
      <c r="W560" s="3"/>
    </row>
    <row r="561" spans="15:23">
      <c r="O561" s="35"/>
      <c r="P561" s="35"/>
      <c r="Q561" s="35"/>
      <c r="R561" s="35"/>
      <c r="S561" s="35"/>
      <c r="T561" s="35"/>
      <c r="U561" s="35"/>
      <c r="V561" s="3"/>
      <c r="W561" s="3"/>
    </row>
    <row r="562" spans="15:23">
      <c r="O562" s="35"/>
      <c r="P562" s="35"/>
      <c r="Q562" s="35"/>
      <c r="R562" s="35"/>
      <c r="S562" s="35"/>
      <c r="T562" s="35"/>
      <c r="U562" s="35"/>
      <c r="V562" s="3"/>
      <c r="W562" s="3"/>
    </row>
    <row r="563" spans="15:23">
      <c r="O563" s="35"/>
      <c r="P563" s="35"/>
      <c r="Q563" s="35"/>
      <c r="R563" s="35"/>
      <c r="S563" s="35"/>
      <c r="T563" s="35"/>
      <c r="U563" s="35"/>
      <c r="V563" s="3"/>
      <c r="W563" s="3"/>
    </row>
    <row r="564" spans="15:23">
      <c r="O564" s="35"/>
      <c r="P564" s="35"/>
      <c r="Q564" s="35"/>
      <c r="R564" s="35"/>
      <c r="S564" s="35"/>
      <c r="T564" s="35"/>
      <c r="U564" s="35"/>
      <c r="V564" s="3"/>
      <c r="W564" s="3"/>
    </row>
    <row r="565" spans="15:23">
      <c r="O565" s="35"/>
      <c r="P565" s="35"/>
      <c r="Q565" s="35"/>
      <c r="R565" s="35"/>
      <c r="S565" s="35"/>
      <c r="T565" s="35"/>
      <c r="U565" s="35"/>
      <c r="V565" s="3"/>
      <c r="W565" s="3"/>
    </row>
    <row r="566" spans="15:23">
      <c r="O566" s="35"/>
      <c r="P566" s="35"/>
      <c r="Q566" s="35"/>
      <c r="R566" s="35"/>
      <c r="S566" s="35"/>
      <c r="T566" s="35"/>
      <c r="U566" s="35"/>
      <c r="V566" s="3"/>
      <c r="W566" s="3"/>
    </row>
    <row r="567" spans="15:23">
      <c r="O567" s="35"/>
      <c r="P567" s="35"/>
      <c r="Q567" s="35"/>
      <c r="R567" s="35"/>
      <c r="S567" s="35"/>
      <c r="T567" s="35"/>
      <c r="U567" s="35"/>
      <c r="V567" s="3"/>
      <c r="W567" s="3"/>
    </row>
    <row r="568" spans="15:23">
      <c r="O568" s="35"/>
      <c r="P568" s="35"/>
      <c r="Q568" s="35"/>
      <c r="R568" s="35"/>
      <c r="S568" s="35"/>
      <c r="T568" s="35"/>
      <c r="U568" s="35"/>
      <c r="V568" s="3"/>
      <c r="W568" s="3"/>
    </row>
    <row r="569" spans="15:23">
      <c r="O569" s="35"/>
      <c r="P569" s="35"/>
      <c r="Q569" s="35"/>
      <c r="R569" s="35"/>
      <c r="S569" s="35"/>
      <c r="T569" s="35"/>
      <c r="U569" s="35"/>
      <c r="V569" s="3"/>
      <c r="W569" s="3"/>
    </row>
    <row r="570" spans="15:23">
      <c r="O570" s="35"/>
      <c r="P570" s="35"/>
      <c r="Q570" s="35"/>
      <c r="R570" s="35"/>
      <c r="S570" s="35"/>
      <c r="T570" s="35"/>
      <c r="U570" s="35"/>
      <c r="V570" s="3"/>
      <c r="W570" s="3"/>
    </row>
    <row r="571" spans="15:23">
      <c r="O571" s="35"/>
      <c r="P571" s="35"/>
      <c r="Q571" s="35"/>
      <c r="R571" s="35"/>
      <c r="S571" s="35"/>
      <c r="T571" s="35"/>
      <c r="U571" s="35"/>
      <c r="V571" s="3"/>
      <c r="W571" s="3"/>
    </row>
    <row r="572" spans="15:23">
      <c r="O572" s="35"/>
      <c r="P572" s="35"/>
      <c r="Q572" s="35"/>
      <c r="R572" s="35"/>
      <c r="S572" s="35"/>
      <c r="T572" s="35"/>
      <c r="U572" s="35"/>
      <c r="V572" s="3"/>
      <c r="W572" s="3"/>
    </row>
    <row r="573" spans="15:23">
      <c r="O573" s="35"/>
      <c r="P573" s="35"/>
      <c r="Q573" s="35"/>
      <c r="R573" s="35"/>
      <c r="S573" s="35"/>
      <c r="T573" s="35"/>
      <c r="U573" s="35"/>
      <c r="V573" s="3"/>
      <c r="W573" s="3"/>
    </row>
    <row r="574" spans="15:23">
      <c r="O574" s="35"/>
      <c r="P574" s="35"/>
      <c r="Q574" s="35"/>
      <c r="R574" s="35"/>
      <c r="S574" s="35"/>
      <c r="T574" s="35"/>
      <c r="U574" s="35"/>
      <c r="V574" s="3"/>
      <c r="W574" s="3"/>
    </row>
    <row r="575" spans="15:23">
      <c r="O575" s="35"/>
      <c r="P575" s="35"/>
      <c r="Q575" s="35"/>
      <c r="R575" s="35"/>
      <c r="S575" s="35"/>
      <c r="T575" s="35"/>
      <c r="U575" s="35"/>
      <c r="V575" s="3"/>
      <c r="W575" s="3"/>
    </row>
    <row r="576" spans="15:23">
      <c r="O576" s="35"/>
      <c r="P576" s="35"/>
      <c r="Q576" s="35"/>
      <c r="R576" s="35"/>
      <c r="S576" s="35"/>
      <c r="T576" s="35"/>
      <c r="U576" s="35"/>
      <c r="V576" s="3"/>
      <c r="W576" s="3"/>
    </row>
    <row r="577" spans="15:23">
      <c r="O577" s="35"/>
      <c r="P577" s="35"/>
      <c r="Q577" s="35"/>
      <c r="R577" s="35"/>
      <c r="S577" s="35"/>
      <c r="T577" s="35"/>
      <c r="U577" s="35"/>
      <c r="V577" s="3"/>
      <c r="W577" s="3"/>
    </row>
    <row r="578" spans="15:23">
      <c r="O578" s="35"/>
      <c r="P578" s="35"/>
      <c r="Q578" s="35"/>
      <c r="R578" s="35"/>
      <c r="S578" s="35"/>
      <c r="T578" s="35"/>
      <c r="U578" s="35"/>
      <c r="V578" s="3"/>
      <c r="W578" s="3"/>
    </row>
    <row r="579" spans="15:23">
      <c r="O579" s="35"/>
      <c r="P579" s="35"/>
      <c r="Q579" s="35"/>
      <c r="R579" s="35"/>
      <c r="S579" s="35"/>
      <c r="T579" s="35"/>
      <c r="U579" s="35"/>
      <c r="V579" s="3"/>
      <c r="W579" s="3"/>
    </row>
    <row r="580" spans="15:23">
      <c r="O580" s="35"/>
      <c r="P580" s="35"/>
      <c r="Q580" s="35"/>
      <c r="R580" s="35"/>
      <c r="S580" s="35"/>
      <c r="T580" s="35"/>
      <c r="U580" s="35"/>
      <c r="V580" s="3"/>
      <c r="W580" s="3"/>
    </row>
    <row r="581" spans="15:23">
      <c r="O581" s="35"/>
      <c r="P581" s="35"/>
      <c r="Q581" s="35"/>
      <c r="R581" s="35"/>
      <c r="S581" s="35"/>
      <c r="T581" s="35"/>
      <c r="U581" s="35"/>
      <c r="V581" s="3"/>
      <c r="W581" s="3"/>
    </row>
    <row r="582" spans="15:23">
      <c r="O582" s="35"/>
      <c r="P582" s="35"/>
      <c r="Q582" s="35"/>
      <c r="R582" s="35"/>
      <c r="S582" s="35"/>
      <c r="T582" s="35"/>
      <c r="U582" s="35"/>
      <c r="V582" s="3"/>
      <c r="W582" s="3"/>
    </row>
    <row r="583" spans="15:23">
      <c r="O583" s="35"/>
      <c r="P583" s="35"/>
      <c r="Q583" s="35"/>
      <c r="R583" s="35"/>
      <c r="S583" s="35"/>
      <c r="T583" s="35"/>
      <c r="U583" s="35"/>
      <c r="V583" s="3"/>
      <c r="W583" s="3"/>
    </row>
    <row r="584" spans="15:23">
      <c r="O584" s="35"/>
      <c r="P584" s="35"/>
      <c r="Q584" s="35"/>
      <c r="R584" s="35"/>
      <c r="S584" s="35"/>
      <c r="T584" s="35"/>
      <c r="U584" s="35"/>
      <c r="V584" s="3"/>
      <c r="W584" s="3"/>
    </row>
    <row r="585" spans="15:23">
      <c r="O585" s="35"/>
      <c r="P585" s="35"/>
      <c r="Q585" s="35"/>
      <c r="R585" s="35"/>
      <c r="S585" s="35"/>
      <c r="T585" s="35"/>
      <c r="U585" s="35"/>
      <c r="V585" s="3"/>
      <c r="W585" s="3"/>
    </row>
    <row r="586" spans="15:23">
      <c r="O586" s="35"/>
      <c r="P586" s="35"/>
      <c r="Q586" s="35"/>
      <c r="R586" s="35"/>
      <c r="S586" s="35"/>
      <c r="T586" s="35"/>
      <c r="U586" s="35"/>
      <c r="V586" s="3"/>
      <c r="W586" s="3"/>
    </row>
    <row r="587" spans="15:23">
      <c r="O587" s="35"/>
      <c r="P587" s="35"/>
      <c r="Q587" s="35"/>
      <c r="R587" s="35"/>
      <c r="S587" s="35"/>
      <c r="T587" s="35"/>
      <c r="U587" s="35"/>
      <c r="V587" s="3"/>
      <c r="W587" s="3"/>
    </row>
    <row r="588" spans="15:23">
      <c r="O588" s="35"/>
      <c r="P588" s="35"/>
      <c r="Q588" s="35"/>
      <c r="R588" s="35"/>
      <c r="S588" s="35"/>
      <c r="T588" s="35"/>
      <c r="U588" s="35"/>
      <c r="V588" s="3"/>
      <c r="W588" s="3"/>
    </row>
    <row r="589" spans="15:23">
      <c r="O589" s="35"/>
      <c r="P589" s="35"/>
      <c r="Q589" s="35"/>
      <c r="R589" s="35"/>
      <c r="S589" s="35"/>
      <c r="T589" s="35"/>
      <c r="U589" s="35"/>
      <c r="V589" s="3"/>
      <c r="W589" s="3"/>
    </row>
    <row r="590" spans="15:23">
      <c r="O590" s="35"/>
      <c r="P590" s="35"/>
      <c r="Q590" s="35"/>
      <c r="R590" s="35"/>
      <c r="S590" s="35"/>
      <c r="T590" s="35"/>
      <c r="U590" s="35"/>
      <c r="V590" s="3"/>
      <c r="W590" s="3"/>
    </row>
    <row r="591" spans="15:23">
      <c r="O591" s="35"/>
      <c r="P591" s="35"/>
      <c r="Q591" s="35"/>
      <c r="R591" s="35"/>
      <c r="S591" s="35"/>
      <c r="T591" s="35"/>
      <c r="U591" s="35"/>
      <c r="V591" s="3"/>
      <c r="W591" s="3"/>
    </row>
    <row r="592" spans="15:23">
      <c r="O592" s="35"/>
      <c r="P592" s="35"/>
      <c r="Q592" s="35"/>
      <c r="R592" s="35"/>
      <c r="S592" s="35"/>
      <c r="T592" s="35"/>
      <c r="U592" s="35"/>
      <c r="V592" s="3"/>
      <c r="W592" s="3"/>
    </row>
    <row r="593" spans="15:23">
      <c r="O593" s="35"/>
      <c r="P593" s="35"/>
      <c r="Q593" s="35"/>
      <c r="R593" s="35"/>
      <c r="S593" s="35"/>
      <c r="T593" s="35"/>
      <c r="U593" s="35"/>
      <c r="V593" s="3"/>
      <c r="W593" s="3"/>
    </row>
    <row r="594" spans="15:23">
      <c r="O594" s="35"/>
      <c r="P594" s="35"/>
      <c r="Q594" s="35"/>
      <c r="R594" s="35"/>
      <c r="S594" s="35"/>
      <c r="T594" s="35"/>
      <c r="U594" s="35"/>
      <c r="V594" s="3"/>
      <c r="W594" s="3"/>
    </row>
    <row r="595" spans="15:23">
      <c r="O595" s="35"/>
      <c r="P595" s="35"/>
      <c r="Q595" s="35"/>
      <c r="R595" s="35"/>
      <c r="S595" s="35"/>
      <c r="T595" s="35"/>
      <c r="U595" s="35"/>
      <c r="V595" s="3"/>
      <c r="W595" s="3"/>
    </row>
    <row r="596" spans="15:23">
      <c r="O596" s="35"/>
      <c r="P596" s="35"/>
      <c r="Q596" s="35"/>
      <c r="R596" s="35"/>
      <c r="S596" s="35"/>
      <c r="T596" s="35"/>
      <c r="U596" s="35"/>
      <c r="V596" s="3"/>
      <c r="W596" s="3"/>
    </row>
    <row r="597" spans="15:23">
      <c r="O597" s="35"/>
      <c r="P597" s="35"/>
      <c r="Q597" s="35"/>
      <c r="R597" s="35"/>
      <c r="S597" s="35"/>
      <c r="T597" s="35"/>
      <c r="U597" s="35"/>
      <c r="V597" s="3"/>
      <c r="W597" s="3"/>
    </row>
    <row r="598" spans="15:23">
      <c r="O598" s="35"/>
      <c r="P598" s="35"/>
      <c r="Q598" s="35"/>
      <c r="R598" s="35"/>
      <c r="S598" s="35"/>
      <c r="T598" s="35"/>
      <c r="U598" s="35"/>
      <c r="V598" s="3"/>
      <c r="W598" s="3"/>
    </row>
    <row r="599" spans="15:23">
      <c r="O599" s="35"/>
      <c r="P599" s="35"/>
      <c r="Q599" s="35"/>
      <c r="R599" s="35"/>
      <c r="S599" s="35"/>
      <c r="T599" s="35"/>
      <c r="U599" s="35"/>
      <c r="V599" s="3"/>
      <c r="W599" s="3"/>
    </row>
    <row r="600" spans="15:23">
      <c r="O600" s="35"/>
      <c r="P600" s="35"/>
      <c r="Q600" s="35"/>
      <c r="R600" s="35"/>
      <c r="S600" s="35"/>
      <c r="T600" s="35"/>
      <c r="U600" s="35"/>
      <c r="V600" s="3"/>
      <c r="W600" s="3"/>
    </row>
    <row r="601" spans="15:23">
      <c r="O601" s="35"/>
      <c r="P601" s="35"/>
      <c r="Q601" s="35"/>
      <c r="R601" s="35"/>
      <c r="S601" s="35"/>
      <c r="T601" s="35"/>
      <c r="U601" s="35"/>
      <c r="V601" s="3"/>
      <c r="W601" s="3"/>
    </row>
    <row r="602" spans="15:23">
      <c r="O602" s="35"/>
      <c r="P602" s="35"/>
      <c r="Q602" s="35"/>
      <c r="R602" s="35"/>
      <c r="S602" s="35"/>
      <c r="T602" s="35"/>
      <c r="U602" s="35"/>
      <c r="V602" s="3"/>
      <c r="W602" s="3"/>
    </row>
    <row r="603" spans="15:23">
      <c r="O603" s="35"/>
      <c r="P603" s="35"/>
      <c r="Q603" s="35"/>
      <c r="R603" s="35"/>
      <c r="S603" s="35"/>
      <c r="T603" s="35"/>
      <c r="U603" s="35"/>
      <c r="V603" s="3"/>
      <c r="W603" s="3"/>
    </row>
    <row r="604" spans="15:23">
      <c r="O604" s="35"/>
      <c r="P604" s="35"/>
      <c r="Q604" s="35"/>
      <c r="R604" s="35"/>
      <c r="S604" s="35"/>
      <c r="T604" s="35"/>
      <c r="U604" s="35"/>
      <c r="V604" s="3"/>
      <c r="W604" s="3"/>
    </row>
    <row r="605" spans="15:23">
      <c r="O605" s="35"/>
      <c r="P605" s="35"/>
      <c r="Q605" s="35"/>
      <c r="R605" s="35"/>
      <c r="S605" s="35"/>
      <c r="T605" s="35"/>
      <c r="U605" s="35"/>
      <c r="V605" s="3"/>
      <c r="W605" s="3"/>
    </row>
    <row r="606" spans="15:23">
      <c r="O606" s="35"/>
      <c r="P606" s="35"/>
      <c r="Q606" s="35"/>
      <c r="R606" s="35"/>
      <c r="S606" s="35"/>
      <c r="T606" s="35"/>
      <c r="U606" s="35"/>
      <c r="V606" s="3"/>
      <c r="W606" s="3"/>
    </row>
    <row r="607" spans="15:23">
      <c r="O607" s="35"/>
      <c r="P607" s="35"/>
      <c r="Q607" s="35"/>
      <c r="R607" s="35"/>
      <c r="S607" s="35"/>
      <c r="T607" s="35"/>
      <c r="U607" s="35"/>
      <c r="V607" s="3"/>
      <c r="W607" s="3"/>
    </row>
    <row r="608" spans="15:23">
      <c r="O608" s="35"/>
      <c r="P608" s="35"/>
      <c r="Q608" s="35"/>
      <c r="R608" s="35"/>
      <c r="S608" s="35"/>
      <c r="T608" s="35"/>
      <c r="U608" s="35"/>
      <c r="V608" s="3"/>
      <c r="W608" s="3"/>
    </row>
    <row r="609" spans="15:23">
      <c r="O609" s="35"/>
      <c r="P609" s="35"/>
      <c r="Q609" s="35"/>
      <c r="R609" s="35"/>
      <c r="S609" s="35"/>
      <c r="T609" s="35"/>
      <c r="U609" s="35"/>
      <c r="V609" s="3"/>
      <c r="W609" s="3"/>
    </row>
    <row r="610" spans="15:23">
      <c r="O610" s="35"/>
      <c r="P610" s="35"/>
      <c r="Q610" s="35"/>
      <c r="R610" s="35"/>
      <c r="S610" s="35"/>
      <c r="T610" s="35"/>
      <c r="U610" s="35"/>
      <c r="V610" s="3"/>
      <c r="W610" s="3"/>
    </row>
    <row r="611" spans="15:23">
      <c r="O611" s="35"/>
      <c r="P611" s="35"/>
      <c r="Q611" s="35"/>
      <c r="R611" s="35"/>
      <c r="S611" s="35"/>
      <c r="T611" s="35"/>
      <c r="U611" s="35"/>
      <c r="V611" s="3"/>
      <c r="W611" s="3"/>
    </row>
    <row r="612" spans="15:23">
      <c r="O612" s="35"/>
      <c r="P612" s="35"/>
      <c r="Q612" s="35"/>
      <c r="R612" s="35"/>
      <c r="S612" s="35"/>
      <c r="T612" s="35"/>
      <c r="U612" s="35"/>
      <c r="V612" s="3"/>
      <c r="W612" s="3"/>
    </row>
    <row r="613" spans="15:23">
      <c r="O613" s="35"/>
      <c r="P613" s="35"/>
      <c r="Q613" s="35"/>
      <c r="R613" s="35"/>
      <c r="S613" s="35"/>
      <c r="T613" s="35"/>
      <c r="U613" s="35"/>
      <c r="V613" s="3"/>
      <c r="W613" s="3"/>
    </row>
    <row r="614" spans="15:23">
      <c r="O614" s="35"/>
      <c r="P614" s="35"/>
      <c r="Q614" s="35"/>
      <c r="R614" s="35"/>
      <c r="S614" s="35"/>
      <c r="T614" s="35"/>
      <c r="U614" s="35"/>
      <c r="V614" s="3"/>
      <c r="W614" s="3"/>
    </row>
    <row r="615" spans="15:23">
      <c r="O615" s="35"/>
      <c r="P615" s="35"/>
      <c r="Q615" s="35"/>
      <c r="R615" s="35"/>
      <c r="S615" s="35"/>
      <c r="T615" s="35"/>
      <c r="U615" s="35"/>
      <c r="V615" s="3"/>
      <c r="W615" s="3"/>
    </row>
    <row r="616" spans="15:23">
      <c r="O616" s="35"/>
      <c r="P616" s="35"/>
      <c r="Q616" s="35"/>
      <c r="R616" s="35"/>
      <c r="S616" s="35"/>
      <c r="T616" s="35"/>
      <c r="U616" s="35"/>
      <c r="V616" s="3"/>
      <c r="W616" s="3"/>
    </row>
    <row r="617" spans="15:23">
      <c r="O617" s="35"/>
      <c r="P617" s="35"/>
      <c r="Q617" s="35"/>
      <c r="R617" s="35"/>
      <c r="S617" s="35"/>
      <c r="T617" s="35"/>
      <c r="U617" s="35"/>
      <c r="V617" s="3"/>
      <c r="W617" s="3"/>
    </row>
    <row r="618" spans="15:23">
      <c r="O618" s="35"/>
      <c r="P618" s="35"/>
      <c r="Q618" s="35"/>
      <c r="R618" s="35"/>
      <c r="S618" s="35"/>
      <c r="T618" s="35"/>
      <c r="U618" s="35"/>
      <c r="V618" s="3"/>
      <c r="W618" s="3"/>
    </row>
    <row r="619" spans="15:23">
      <c r="O619" s="35"/>
      <c r="P619" s="35"/>
      <c r="Q619" s="35"/>
      <c r="R619" s="35"/>
      <c r="S619" s="35"/>
      <c r="T619" s="35"/>
      <c r="U619" s="35"/>
      <c r="V619" s="3"/>
      <c r="W619" s="3"/>
    </row>
    <row r="620" spans="15:23">
      <c r="O620" s="35"/>
      <c r="P620" s="35"/>
      <c r="Q620" s="35"/>
      <c r="R620" s="35"/>
      <c r="S620" s="35"/>
      <c r="T620" s="35"/>
      <c r="U620" s="35"/>
      <c r="V620" s="3"/>
      <c r="W620" s="3"/>
    </row>
    <row r="621" spans="15:23">
      <c r="O621" s="35"/>
      <c r="P621" s="35"/>
      <c r="Q621" s="35"/>
      <c r="R621" s="35"/>
      <c r="S621" s="35"/>
      <c r="T621" s="35"/>
      <c r="U621" s="35"/>
      <c r="V621" s="3"/>
      <c r="W621" s="3"/>
    </row>
    <row r="622" spans="15:23">
      <c r="O622" s="35"/>
      <c r="P622" s="35"/>
      <c r="Q622" s="35"/>
      <c r="R622" s="35"/>
      <c r="S622" s="35"/>
      <c r="T622" s="35"/>
      <c r="U622" s="35"/>
      <c r="V622" s="3"/>
      <c r="W622" s="3"/>
    </row>
    <row r="623" spans="15:23">
      <c r="O623" s="35"/>
      <c r="P623" s="35"/>
      <c r="Q623" s="35"/>
      <c r="R623" s="35"/>
      <c r="S623" s="35"/>
      <c r="T623" s="35"/>
      <c r="U623" s="35"/>
      <c r="V623" s="3"/>
      <c r="W623" s="3"/>
    </row>
    <row r="624" spans="15:23">
      <c r="O624" s="35"/>
      <c r="P624" s="35"/>
      <c r="Q624" s="35"/>
      <c r="R624" s="35"/>
      <c r="S624" s="35"/>
      <c r="T624" s="35"/>
      <c r="U624" s="35"/>
      <c r="V624" s="3"/>
      <c r="W624" s="3"/>
    </row>
    <row r="625" spans="15:23">
      <c r="O625" s="35"/>
      <c r="P625" s="35"/>
      <c r="Q625" s="35"/>
      <c r="R625" s="35"/>
      <c r="S625" s="35"/>
      <c r="T625" s="35"/>
      <c r="U625" s="35"/>
      <c r="V625" s="3"/>
      <c r="W625" s="3"/>
    </row>
    <row r="626" spans="15:23">
      <c r="O626" s="35"/>
      <c r="P626" s="35"/>
      <c r="Q626" s="35"/>
      <c r="R626" s="35"/>
      <c r="S626" s="35"/>
      <c r="T626" s="35"/>
      <c r="U626" s="35"/>
      <c r="V626" s="3"/>
      <c r="W626" s="3"/>
    </row>
    <row r="627" spans="15:23">
      <c r="O627" s="35"/>
      <c r="P627" s="35"/>
      <c r="Q627" s="35"/>
      <c r="R627" s="35"/>
      <c r="S627" s="35"/>
      <c r="T627" s="35"/>
      <c r="U627" s="35"/>
      <c r="V627" s="3"/>
      <c r="W627" s="3"/>
    </row>
    <row r="628" spans="15:23">
      <c r="O628" s="35"/>
      <c r="P628" s="35"/>
      <c r="Q628" s="35"/>
      <c r="R628" s="35"/>
      <c r="S628" s="35"/>
      <c r="T628" s="35"/>
      <c r="U628" s="35"/>
      <c r="V628" s="3"/>
      <c r="W628" s="3"/>
    </row>
    <row r="629" spans="15:23">
      <c r="O629" s="35"/>
      <c r="P629" s="35"/>
      <c r="Q629" s="35"/>
      <c r="R629" s="35"/>
      <c r="S629" s="35"/>
      <c r="T629" s="35"/>
      <c r="U629" s="35"/>
      <c r="V629" s="3"/>
      <c r="W629" s="3"/>
    </row>
    <row r="630" spans="15:23">
      <c r="O630" s="35"/>
      <c r="P630" s="35"/>
      <c r="Q630" s="35"/>
      <c r="R630" s="35"/>
      <c r="S630" s="35"/>
      <c r="T630" s="35"/>
      <c r="U630" s="35"/>
      <c r="V630" s="3"/>
      <c r="W630" s="3"/>
    </row>
    <row r="631" spans="15:23">
      <c r="O631" s="35"/>
      <c r="P631" s="35"/>
      <c r="Q631" s="35"/>
      <c r="R631" s="35"/>
      <c r="S631" s="35"/>
      <c r="T631" s="35"/>
      <c r="U631" s="35"/>
      <c r="V631" s="3"/>
      <c r="W631" s="3"/>
    </row>
    <row r="632" spans="15:23">
      <c r="O632" s="35"/>
      <c r="P632" s="35"/>
      <c r="Q632" s="35"/>
      <c r="R632" s="35"/>
      <c r="S632" s="35"/>
      <c r="T632" s="35"/>
      <c r="U632" s="35"/>
      <c r="V632" s="3"/>
      <c r="W632" s="3"/>
    </row>
    <row r="633" spans="15:23">
      <c r="O633" s="35"/>
      <c r="P633" s="35"/>
      <c r="Q633" s="35"/>
      <c r="R633" s="35"/>
      <c r="S633" s="35"/>
      <c r="T633" s="35"/>
      <c r="U633" s="35"/>
      <c r="V633" s="3"/>
      <c r="W633" s="3"/>
    </row>
    <row r="634" spans="15:23">
      <c r="O634" s="35"/>
      <c r="P634" s="35"/>
      <c r="Q634" s="35"/>
      <c r="R634" s="35"/>
      <c r="S634" s="35"/>
      <c r="T634" s="35"/>
      <c r="U634" s="35"/>
      <c r="V634" s="3"/>
      <c r="W634" s="3"/>
    </row>
    <row r="635" spans="15:23">
      <c r="O635" s="35"/>
      <c r="P635" s="35"/>
      <c r="Q635" s="35"/>
      <c r="R635" s="35"/>
      <c r="S635" s="35"/>
      <c r="T635" s="35"/>
      <c r="U635" s="35"/>
      <c r="V635" s="3"/>
      <c r="W635" s="3"/>
    </row>
    <row r="636" spans="15:23">
      <c r="O636" s="35"/>
      <c r="P636" s="35"/>
      <c r="Q636" s="35"/>
      <c r="R636" s="35"/>
      <c r="S636" s="35"/>
      <c r="T636" s="35"/>
      <c r="U636" s="35"/>
      <c r="V636" s="3"/>
      <c r="W636" s="3"/>
    </row>
    <row r="637" spans="15:23">
      <c r="O637" s="35"/>
      <c r="P637" s="35"/>
      <c r="Q637" s="35"/>
      <c r="R637" s="35"/>
      <c r="S637" s="35"/>
      <c r="T637" s="35"/>
      <c r="U637" s="35"/>
      <c r="V637" s="3"/>
      <c r="W637" s="3"/>
    </row>
    <row r="638" spans="15:23">
      <c r="O638" s="35"/>
      <c r="P638" s="35"/>
      <c r="Q638" s="35"/>
      <c r="R638" s="35"/>
      <c r="S638" s="35"/>
      <c r="T638" s="35"/>
      <c r="U638" s="35"/>
      <c r="V638" s="3"/>
      <c r="W638" s="3"/>
    </row>
    <row r="639" spans="15:23">
      <c r="O639" s="35"/>
      <c r="P639" s="35"/>
      <c r="Q639" s="35"/>
      <c r="R639" s="35"/>
      <c r="S639" s="35"/>
      <c r="T639" s="35"/>
      <c r="U639" s="35"/>
      <c r="V639" s="3"/>
      <c r="W639" s="3"/>
    </row>
    <row r="640" spans="15:23">
      <c r="O640" s="35"/>
      <c r="P640" s="35"/>
      <c r="Q640" s="35"/>
      <c r="R640" s="35"/>
      <c r="S640" s="35"/>
      <c r="T640" s="35"/>
      <c r="U640" s="35"/>
      <c r="V640" s="3"/>
      <c r="W640" s="3"/>
    </row>
    <row r="641" spans="15:23">
      <c r="O641" s="35"/>
      <c r="P641" s="35"/>
      <c r="Q641" s="35"/>
      <c r="R641" s="35"/>
      <c r="S641" s="35"/>
      <c r="T641" s="35"/>
      <c r="U641" s="35"/>
      <c r="V641" s="3"/>
      <c r="W641" s="3"/>
    </row>
    <row r="642" spans="15:23">
      <c r="O642" s="35"/>
      <c r="P642" s="35"/>
      <c r="Q642" s="35"/>
      <c r="R642" s="35"/>
      <c r="S642" s="35"/>
      <c r="T642" s="35"/>
      <c r="U642" s="35"/>
      <c r="V642" s="3"/>
      <c r="W642" s="3"/>
    </row>
    <row r="643" spans="15:23">
      <c r="O643" s="35"/>
      <c r="P643" s="35"/>
      <c r="Q643" s="35"/>
      <c r="R643" s="35"/>
      <c r="S643" s="35"/>
      <c r="T643" s="35"/>
      <c r="U643" s="35"/>
      <c r="V643" s="3"/>
      <c r="W643" s="3"/>
    </row>
    <row r="644" spans="15:23">
      <c r="O644" s="35"/>
      <c r="P644" s="35"/>
      <c r="Q644" s="35"/>
      <c r="R644" s="35"/>
      <c r="S644" s="35"/>
      <c r="T644" s="35"/>
      <c r="U644" s="35"/>
      <c r="V644" s="3"/>
      <c r="W644" s="3"/>
    </row>
    <row r="645" spans="15:23">
      <c r="O645" s="35"/>
      <c r="P645" s="35"/>
      <c r="Q645" s="35"/>
      <c r="R645" s="35"/>
      <c r="S645" s="35"/>
      <c r="T645" s="35"/>
      <c r="U645" s="35"/>
      <c r="V645" s="3"/>
      <c r="W645" s="3"/>
    </row>
    <row r="646" spans="15:23">
      <c r="O646" s="35"/>
      <c r="P646" s="35"/>
      <c r="Q646" s="35"/>
      <c r="R646" s="35"/>
      <c r="S646" s="35"/>
      <c r="T646" s="35"/>
      <c r="U646" s="35"/>
      <c r="V646" s="3"/>
      <c r="W646" s="3"/>
    </row>
    <row r="647" spans="15:23">
      <c r="O647" s="35"/>
      <c r="P647" s="35"/>
      <c r="Q647" s="35"/>
      <c r="R647" s="35"/>
      <c r="S647" s="35"/>
      <c r="T647" s="35"/>
      <c r="U647" s="35"/>
      <c r="V647" s="3"/>
      <c r="W647" s="3"/>
    </row>
    <row r="648" spans="15:23">
      <c r="O648" s="35"/>
      <c r="P648" s="35"/>
      <c r="Q648" s="35"/>
      <c r="R648" s="35"/>
      <c r="S648" s="35"/>
      <c r="T648" s="35"/>
      <c r="U648" s="35"/>
      <c r="V648" s="3"/>
      <c r="W648" s="3"/>
    </row>
    <row r="649" spans="15:23">
      <c r="O649" s="35"/>
      <c r="P649" s="35"/>
      <c r="Q649" s="35"/>
      <c r="R649" s="35"/>
      <c r="S649" s="35"/>
      <c r="T649" s="35"/>
      <c r="U649" s="35"/>
      <c r="V649" s="3"/>
      <c r="W649" s="3"/>
    </row>
    <row r="650" spans="15:23">
      <c r="O650" s="35"/>
      <c r="P650" s="35"/>
      <c r="Q650" s="35"/>
      <c r="R650" s="35"/>
      <c r="S650" s="35"/>
      <c r="T650" s="35"/>
      <c r="U650" s="35"/>
      <c r="V650" s="3"/>
      <c r="W650" s="3"/>
    </row>
    <row r="651" spans="15:23">
      <c r="O651" s="35"/>
      <c r="P651" s="35"/>
      <c r="Q651" s="35"/>
      <c r="R651" s="35"/>
      <c r="S651" s="35"/>
      <c r="T651" s="35"/>
      <c r="U651" s="35"/>
      <c r="V651" s="3"/>
      <c r="W651" s="3"/>
    </row>
    <row r="652" spans="15:23">
      <c r="O652" s="35"/>
      <c r="P652" s="35"/>
      <c r="Q652" s="35"/>
      <c r="R652" s="35"/>
      <c r="S652" s="35"/>
      <c r="T652" s="35"/>
      <c r="U652" s="35"/>
      <c r="V652" s="3"/>
      <c r="W652" s="3"/>
    </row>
    <row r="653" spans="15:23">
      <c r="O653" s="35"/>
      <c r="P653" s="35"/>
      <c r="Q653" s="35"/>
      <c r="R653" s="35"/>
      <c r="S653" s="35"/>
      <c r="T653" s="35"/>
      <c r="U653" s="35"/>
      <c r="V653" s="3"/>
      <c r="W653" s="3"/>
    </row>
    <row r="654" spans="15:23">
      <c r="O654" s="35"/>
      <c r="P654" s="35"/>
      <c r="Q654" s="35"/>
      <c r="R654" s="35"/>
      <c r="S654" s="35"/>
      <c r="T654" s="35"/>
      <c r="U654" s="35"/>
      <c r="V654" s="3"/>
      <c r="W654" s="3"/>
    </row>
    <row r="655" spans="15:23">
      <c r="O655" s="35"/>
      <c r="P655" s="35"/>
      <c r="Q655" s="35"/>
      <c r="R655" s="35"/>
      <c r="S655" s="35"/>
      <c r="T655" s="35"/>
      <c r="U655" s="35"/>
      <c r="V655" s="3"/>
      <c r="W655" s="3"/>
    </row>
    <row r="656" spans="15:23">
      <c r="O656" s="35"/>
      <c r="P656" s="35"/>
      <c r="Q656" s="35"/>
      <c r="R656" s="35"/>
      <c r="S656" s="35"/>
      <c r="T656" s="35"/>
      <c r="U656" s="35"/>
      <c r="V656" s="3"/>
      <c r="W656" s="3"/>
    </row>
    <row r="657" spans="15:23">
      <c r="O657" s="35"/>
      <c r="P657" s="35"/>
      <c r="Q657" s="35"/>
      <c r="R657" s="35"/>
      <c r="S657" s="35"/>
      <c r="T657" s="35"/>
      <c r="U657" s="35"/>
      <c r="V657" s="3"/>
      <c r="W657" s="3"/>
    </row>
    <row r="658" spans="15:23">
      <c r="O658" s="35"/>
      <c r="P658" s="35"/>
      <c r="Q658" s="35"/>
      <c r="R658" s="35"/>
      <c r="S658" s="35"/>
      <c r="T658" s="35"/>
      <c r="U658" s="35"/>
      <c r="V658" s="3"/>
      <c r="W658" s="3"/>
    </row>
    <row r="659" spans="15:23">
      <c r="O659" s="35"/>
      <c r="P659" s="35"/>
      <c r="Q659" s="35"/>
      <c r="R659" s="35"/>
      <c r="S659" s="35"/>
      <c r="T659" s="35"/>
      <c r="U659" s="35"/>
      <c r="V659" s="3"/>
      <c r="W659" s="3"/>
    </row>
    <row r="660" spans="15:23">
      <c r="O660" s="35"/>
      <c r="P660" s="35"/>
      <c r="Q660" s="35"/>
      <c r="R660" s="35"/>
      <c r="S660" s="35"/>
      <c r="T660" s="35"/>
      <c r="U660" s="35"/>
      <c r="V660" s="3"/>
      <c r="W660" s="3"/>
    </row>
    <row r="661" spans="15:23">
      <c r="O661" s="35"/>
      <c r="P661" s="35"/>
      <c r="Q661" s="35"/>
      <c r="R661" s="35"/>
      <c r="S661" s="35"/>
      <c r="T661" s="35"/>
      <c r="U661" s="35"/>
      <c r="V661" s="3"/>
      <c r="W661" s="3"/>
    </row>
    <row r="662" spans="15:23">
      <c r="O662" s="35"/>
      <c r="P662" s="35"/>
      <c r="Q662" s="35"/>
      <c r="R662" s="35"/>
      <c r="S662" s="35"/>
      <c r="T662" s="35"/>
      <c r="U662" s="35"/>
      <c r="V662" s="3"/>
      <c r="W662" s="3"/>
    </row>
    <row r="663" spans="15:23">
      <c r="O663" s="35"/>
      <c r="P663" s="35"/>
      <c r="Q663" s="35"/>
      <c r="R663" s="35"/>
      <c r="S663" s="35"/>
      <c r="T663" s="35"/>
      <c r="U663" s="35"/>
      <c r="V663" s="3"/>
      <c r="W663" s="3"/>
    </row>
    <row r="664" spans="15:23">
      <c r="O664" s="35"/>
      <c r="P664" s="35"/>
      <c r="Q664" s="35"/>
      <c r="R664" s="35"/>
      <c r="S664" s="35"/>
      <c r="T664" s="35"/>
      <c r="U664" s="35"/>
      <c r="V664" s="3"/>
      <c r="W664" s="3"/>
    </row>
  </sheetData>
  <mergeCells count="18">
    <mergeCell ref="C34:I34"/>
    <mergeCell ref="C15:C33"/>
    <mergeCell ref="D15:D33"/>
    <mergeCell ref="E15:E33"/>
    <mergeCell ref="F15:F33"/>
    <mergeCell ref="G15:G33"/>
    <mergeCell ref="H15:H33"/>
    <mergeCell ref="I15:I33"/>
    <mergeCell ref="C7:C14"/>
    <mergeCell ref="C2:I4"/>
    <mergeCell ref="C5:I5"/>
    <mergeCell ref="C6:I6"/>
    <mergeCell ref="I7:I14"/>
    <mergeCell ref="H7:H14"/>
    <mergeCell ref="G7:G14"/>
    <mergeCell ref="F7:F14"/>
    <mergeCell ref="E7:E14"/>
    <mergeCell ref="D7:D14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まとめ</vt:lpstr>
      <vt:lpstr>TV_Web会議（HGT)</vt:lpstr>
      <vt:lpstr>OF（HGT)</vt:lpstr>
      <vt:lpstr>DC（さくら) </vt:lpstr>
      <vt:lpstr>NWサポート（HGT)</vt:lpstr>
      <vt:lpstr>スポット_定常外</vt:lpstr>
      <vt:lpstr>'DC（さくら) '!Print_Area</vt:lpstr>
      <vt:lpstr>'NWサポート（HGT)'!Print_Area</vt:lpstr>
      <vt:lpstr>'OF（HGT)'!Print_Area</vt:lpstr>
      <vt:lpstr>'TV_Web会議（HGT)'!Print_Area</vt:lpstr>
      <vt:lpstr>スポット_定常外!Print_Area</vt:lpstr>
      <vt:lpstr>まとめ!Print_Area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2026-04-16T04:51:47Z</dcterms:modified>
</cp:coreProperties>
</file>