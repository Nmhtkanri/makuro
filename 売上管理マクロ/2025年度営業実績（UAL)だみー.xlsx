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2.xml" ContentType="application/vnd.openxmlformats-officedocument.drawing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filterPrivacy="1" codeName="ThisWorkbook" defaultThemeVersion="124226"/>
  <xr:revisionPtr revIDLastSave="0" documentId="13_ncr:1_{44144D74-3C0D-4F66-A042-8F5DC0ACB56F}" xr6:coauthVersionLast="47" xr6:coauthVersionMax="47" xr10:uidLastSave="{00000000-0000-0000-0000-000000000000}"/>
  <bookViews>
    <workbookView xWindow="-28920" yWindow="-120" windowWidth="29040" windowHeight="15720" tabRatio="819" firstSheet="11" activeTab="19" xr2:uid="{00000000-000D-0000-FFFF-FFFF00000000}"/>
  </bookViews>
  <sheets>
    <sheet name="地域区分" sheetId="39" r:id="rId1"/>
    <sheet name="地域区分 (2)" sheetId="42" r:id="rId2"/>
    <sheet name="まとめ" sheetId="9" r:id="rId3"/>
    <sheet name="グラフ" sheetId="34" r:id="rId4"/>
    <sheet name="本社営業本部" sheetId="15" r:id="rId5"/>
    <sheet name="パートナー営業本部" sheetId="24" r:id="rId6"/>
    <sheet name="ビジネス推進本部" sheetId="18" r:id="rId7"/>
    <sheet name="DXシステム本部" sheetId="17" r:id="rId8"/>
    <sheet name="マーケティングコミュニケーション本部" sheetId="40" r:id="rId9"/>
    <sheet name="ネットワークサービス本部" sheetId="43" r:id="rId10"/>
    <sheet name="アカウントサービス第一本部" sheetId="19" r:id="rId11"/>
    <sheet name="アカウントサービス第二本部" sheetId="44" r:id="rId12"/>
    <sheet name="アカウントサービス第五本部" sheetId="35" r:id="rId13"/>
    <sheet name="マネージドサービス第一本部" sheetId="14" r:id="rId14"/>
    <sheet name="マネージドサービス第二本部" sheetId="7" r:id="rId15"/>
    <sheet name="セキュリティサービス本部" sheetId="45" r:id="rId16"/>
    <sheet name="カスタマーリレーション本部" sheetId="38" r:id="rId17"/>
    <sheet name="中部支店" sheetId="21" r:id="rId18"/>
    <sheet name="関西支店" sheetId="23" r:id="rId19"/>
    <sheet name="地方" sheetId="30" r:id="rId20"/>
  </sheets>
  <definedNames>
    <definedName name="_xlnm._FilterDatabase" localSheetId="18" hidden="1">関西支店!$A$1:$X$166</definedName>
    <definedName name="_xlnm.Print_Area" localSheetId="7">DXシステム本部!$C$1:$X$94</definedName>
    <definedName name="_xlnm.Print_Area" localSheetId="10">アカウントサービス第一本部!$C$1:$X$130</definedName>
    <definedName name="_xlnm.Print_Area" localSheetId="12">アカウントサービス第五本部!$C$1:$X$142</definedName>
    <definedName name="_xlnm.Print_Area" localSheetId="11">アカウントサービス第二本部!$C$1:$X$46</definedName>
    <definedName name="_xlnm.Print_Area" localSheetId="16">カスタマーリレーション本部!$C$1:$X$118</definedName>
    <definedName name="_xlnm.Print_Area" localSheetId="15">セキュリティサービス本部!$C$1:$X$34</definedName>
    <definedName name="_xlnm.Print_Area" localSheetId="9">ネットワークサービス本部!$C$1:$X$34</definedName>
    <definedName name="_xlnm.Print_Area" localSheetId="5">パートナー営業本部!$C$1:$X$58</definedName>
    <definedName name="_xlnm.Print_Area" localSheetId="6">ビジネス推進本部!$C$1:$X$142</definedName>
    <definedName name="_xlnm.Print_Area" localSheetId="8">マーケティングコミュニケーション本部!$C$1:$X$70</definedName>
    <definedName name="_xlnm.Print_Area" localSheetId="2">まとめ!$A$1:$Q$58</definedName>
    <definedName name="_xlnm.Print_Area" localSheetId="13">マネージドサービス第一本部!$C$1:$X$214</definedName>
    <definedName name="_xlnm.Print_Area" localSheetId="14">マネージドサービス第二本部!$C$1:$W$130</definedName>
    <definedName name="_xlnm.Print_Area" localSheetId="18">関西支店!$C$1:$X$166</definedName>
    <definedName name="_xlnm.Print_Area" localSheetId="0">地域区分!$A$1:$Q$16</definedName>
    <definedName name="_xlnm.Print_Area" localSheetId="1">'地域区分 (2)'!$A$1:$Q$16</definedName>
    <definedName name="_xlnm.Print_Area" localSheetId="19">地方!$C$1:$X$106</definedName>
    <definedName name="_xlnm.Print_Area" localSheetId="17">中部支店!$C$1:$X$82</definedName>
    <definedName name="_xlnm.Print_Area" localSheetId="4">本社営業本部!$C$1:$X$94</definedName>
    <definedName name="_xlnm.Print_Titles" localSheetId="7">DXシステム本部!$1:$1</definedName>
    <definedName name="_xlnm.Print_Titles" localSheetId="10">アカウントサービス第一本部!$1:$1</definedName>
    <definedName name="_xlnm.Print_Titles" localSheetId="12">アカウントサービス第五本部!$1:$1</definedName>
    <definedName name="_xlnm.Print_Titles" localSheetId="11">アカウントサービス第二本部!$1:$1</definedName>
    <definedName name="_xlnm.Print_Titles" localSheetId="16">カスタマーリレーション本部!$1:$1</definedName>
    <definedName name="_xlnm.Print_Titles" localSheetId="15">セキュリティサービス本部!$1:$1</definedName>
    <definedName name="_xlnm.Print_Titles" localSheetId="9">ネットワークサービス本部!$1:$1</definedName>
    <definedName name="_xlnm.Print_Titles" localSheetId="5">パートナー営業本部!$1:$1</definedName>
    <definedName name="_xlnm.Print_Titles" localSheetId="6">ビジネス推進本部!$1:$1</definedName>
    <definedName name="_xlnm.Print_Titles" localSheetId="8">マーケティングコミュニケーション本部!$1:$1</definedName>
    <definedName name="_xlnm.Print_Titles" localSheetId="13">マネージドサービス第一本部!$1:$1</definedName>
    <definedName name="_xlnm.Print_Titles" localSheetId="14">マネージドサービス第二本部!$1:$1</definedName>
    <definedName name="_xlnm.Print_Titles" localSheetId="18">関西支店!$1:$1</definedName>
    <definedName name="_xlnm.Print_Titles" localSheetId="19">地方!$1:$1</definedName>
    <definedName name="_xlnm.Print_Titles" localSheetId="17">中部支店!$1:$1</definedName>
    <definedName name="_xlnm.Print_Titles" localSheetId="4">本社営業本部!$1:$1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15" i="40" l="1"/>
  <c r="V14" i="40"/>
  <c r="V13" i="40"/>
  <c r="V12" i="40"/>
  <c r="V11" i="40"/>
  <c r="V9" i="40"/>
  <c r="U15" i="40" l="1"/>
  <c r="U14" i="40"/>
  <c r="U13" i="40"/>
  <c r="U12" i="40"/>
  <c r="U11" i="40"/>
  <c r="U9" i="40"/>
  <c r="T15" i="40"/>
  <c r="T14" i="40"/>
  <c r="T13" i="40"/>
  <c r="T12" i="40"/>
  <c r="T11" i="40"/>
  <c r="T9" i="40"/>
  <c r="M137" i="35" l="1"/>
  <c r="N137" i="35"/>
  <c r="O137" i="35"/>
  <c r="P137" i="35"/>
  <c r="Q137" i="35"/>
  <c r="R137" i="35"/>
  <c r="S137" i="35"/>
  <c r="T137" i="35"/>
  <c r="M138" i="35"/>
  <c r="N138" i="35"/>
  <c r="O138" i="35"/>
  <c r="P138" i="35"/>
  <c r="Q138" i="35"/>
  <c r="R138" i="35"/>
  <c r="S138" i="35"/>
  <c r="T138" i="35"/>
  <c r="L138" i="35"/>
  <c r="L137" i="35"/>
  <c r="T136" i="35"/>
  <c r="L136" i="35"/>
  <c r="X135" i="35"/>
  <c r="X134" i="35"/>
  <c r="X133" i="35"/>
  <c r="X132" i="35"/>
  <c r="X131" i="35"/>
  <c r="X130" i="35"/>
  <c r="X129" i="35"/>
  <c r="W128" i="35"/>
  <c r="V128" i="35"/>
  <c r="U128" i="35"/>
  <c r="T128" i="35"/>
  <c r="S128" i="35"/>
  <c r="R128" i="35"/>
  <c r="Q128" i="35"/>
  <c r="P128" i="35"/>
  <c r="O128" i="35"/>
  <c r="N128" i="35"/>
  <c r="M128" i="35"/>
  <c r="L128" i="35"/>
  <c r="X127" i="35"/>
  <c r="B127" i="35"/>
  <c r="B128" i="35" s="1"/>
  <c r="B129" i="35" s="1"/>
  <c r="B130" i="35" s="1"/>
  <c r="B131" i="35" s="1"/>
  <c r="B132" i="35" s="1"/>
  <c r="B133" i="35" s="1"/>
  <c r="B134" i="35" s="1"/>
  <c r="B135" i="35" s="1"/>
  <c r="B136" i="35" s="1"/>
  <c r="X126" i="35"/>
  <c r="B126" i="35"/>
  <c r="A126" i="35"/>
  <c r="A127" i="35" s="1"/>
  <c r="A128" i="35" s="1"/>
  <c r="A129" i="35" s="1"/>
  <c r="A130" i="35" s="1"/>
  <c r="A131" i="35" s="1"/>
  <c r="A132" i="35" s="1"/>
  <c r="A133" i="35" s="1"/>
  <c r="A134" i="35" s="1"/>
  <c r="A135" i="35" s="1"/>
  <c r="A136" i="35" s="1"/>
  <c r="W125" i="35"/>
  <c r="V125" i="35"/>
  <c r="U125" i="35"/>
  <c r="T125" i="35"/>
  <c r="S125" i="35"/>
  <c r="S136" i="35" s="1"/>
  <c r="R125" i="35"/>
  <c r="R136" i="35" s="1"/>
  <c r="Q125" i="35"/>
  <c r="Q136" i="35" s="1"/>
  <c r="P125" i="35"/>
  <c r="P136" i="35" s="1"/>
  <c r="O125" i="35"/>
  <c r="O136" i="35" s="1"/>
  <c r="N125" i="35"/>
  <c r="N136" i="35" s="1"/>
  <c r="M125" i="35"/>
  <c r="L125" i="35"/>
  <c r="M101" i="30"/>
  <c r="N101" i="30"/>
  <c r="O101" i="30"/>
  <c r="P101" i="30"/>
  <c r="Q101" i="30"/>
  <c r="R101" i="30"/>
  <c r="W101" i="30"/>
  <c r="M102" i="30"/>
  <c r="N102" i="30"/>
  <c r="O102" i="30"/>
  <c r="P102" i="30"/>
  <c r="Q102" i="30"/>
  <c r="R102" i="30"/>
  <c r="W102" i="30"/>
  <c r="L101" i="30"/>
  <c r="L102" i="30"/>
  <c r="W136" i="35" l="1"/>
  <c r="U136" i="35"/>
  <c r="X128" i="35"/>
  <c r="V136" i="35"/>
  <c r="X125" i="35"/>
  <c r="M136" i="35"/>
  <c r="S15" i="40"/>
  <c r="S14" i="40"/>
  <c r="S13" i="40"/>
  <c r="S12" i="40"/>
  <c r="S11" i="40"/>
  <c r="S9" i="40"/>
  <c r="X136" i="35" l="1"/>
  <c r="R9" i="40"/>
  <c r="S90" i="15" l="1"/>
  <c r="S89" i="15"/>
  <c r="S87" i="15"/>
  <c r="S86" i="15"/>
  <c r="S85" i="15"/>
  <c r="S84" i="15"/>
  <c r="S83" i="15"/>
  <c r="S81" i="15"/>
  <c r="W89" i="15"/>
  <c r="X21" i="18"/>
  <c r="X18" i="18"/>
  <c r="X27" i="18"/>
  <c r="X26" i="18"/>
  <c r="X25" i="18"/>
  <c r="X24" i="18"/>
  <c r="X23" i="18"/>
  <c r="X22" i="18"/>
  <c r="X19" i="18"/>
  <c r="U92" i="30"/>
  <c r="V92" i="30"/>
  <c r="W92" i="30"/>
  <c r="W89" i="30"/>
  <c r="V89" i="30"/>
  <c r="U89" i="30"/>
  <c r="X99" i="30"/>
  <c r="X98" i="30"/>
  <c r="X97" i="30"/>
  <c r="X96" i="30"/>
  <c r="X95" i="30"/>
  <c r="X94" i="30"/>
  <c r="X93" i="30"/>
  <c r="T92" i="30"/>
  <c r="S92" i="30"/>
  <c r="R92" i="30"/>
  <c r="R100" i="30" s="1"/>
  <c r="Q92" i="30"/>
  <c r="Q100" i="30" s="1"/>
  <c r="P92" i="30"/>
  <c r="P100" i="30" s="1"/>
  <c r="O92" i="30"/>
  <c r="O100" i="30" s="1"/>
  <c r="N92" i="30"/>
  <c r="N100" i="30" s="1"/>
  <c r="M92" i="30"/>
  <c r="M100" i="30" s="1"/>
  <c r="L92" i="30"/>
  <c r="X91" i="30"/>
  <c r="X90" i="30"/>
  <c r="B90" i="30"/>
  <c r="B91" i="30" s="1"/>
  <c r="B92" i="30" s="1"/>
  <c r="B93" i="30" s="1"/>
  <c r="B94" i="30" s="1"/>
  <c r="B95" i="30" s="1"/>
  <c r="B96" i="30" s="1"/>
  <c r="B97" i="30" s="1"/>
  <c r="B98" i="30" s="1"/>
  <c r="B99" i="30" s="1"/>
  <c r="B100" i="30" s="1"/>
  <c r="A90" i="30"/>
  <c r="A91" i="30" s="1"/>
  <c r="A92" i="30" s="1"/>
  <c r="A93" i="30" s="1"/>
  <c r="A94" i="30" s="1"/>
  <c r="A95" i="30" s="1"/>
  <c r="A96" i="30" s="1"/>
  <c r="A97" i="30" s="1"/>
  <c r="A98" i="30" s="1"/>
  <c r="A99" i="30" s="1"/>
  <c r="A100" i="30" s="1"/>
  <c r="T89" i="30"/>
  <c r="S89" i="30"/>
  <c r="R89" i="30"/>
  <c r="Q89" i="30"/>
  <c r="P89" i="30"/>
  <c r="O89" i="30"/>
  <c r="N89" i="30"/>
  <c r="M89" i="30"/>
  <c r="L89" i="30"/>
  <c r="L100" i="30" s="1"/>
  <c r="M89" i="17"/>
  <c r="N89" i="17"/>
  <c r="O89" i="17"/>
  <c r="P89" i="17"/>
  <c r="Q89" i="17"/>
  <c r="R89" i="17"/>
  <c r="W89" i="17"/>
  <c r="M90" i="17"/>
  <c r="N90" i="17"/>
  <c r="O90" i="17"/>
  <c r="P90" i="17"/>
  <c r="Q90" i="17"/>
  <c r="R90" i="17"/>
  <c r="W90" i="17"/>
  <c r="L90" i="17"/>
  <c r="L89" i="17"/>
  <c r="W56" i="35"/>
  <c r="W138" i="35" s="1"/>
  <c r="W53" i="35"/>
  <c r="W137" i="35" s="1"/>
  <c r="V56" i="35"/>
  <c r="V53" i="35"/>
  <c r="X87" i="17"/>
  <c r="X86" i="17"/>
  <c r="X85" i="17"/>
  <c r="X84" i="17"/>
  <c r="X83" i="17"/>
  <c r="X82" i="17"/>
  <c r="X81" i="17"/>
  <c r="W80" i="17"/>
  <c r="V80" i="17"/>
  <c r="U80" i="17"/>
  <c r="T80" i="17"/>
  <c r="S80" i="17"/>
  <c r="R80" i="17"/>
  <c r="Q80" i="17"/>
  <c r="P80" i="17"/>
  <c r="O80" i="17"/>
  <c r="N80" i="17"/>
  <c r="M80" i="17"/>
  <c r="L80" i="17"/>
  <c r="X78" i="17"/>
  <c r="B79" i="17"/>
  <c r="B80" i="17" s="1"/>
  <c r="B81" i="17" s="1"/>
  <c r="B82" i="17" s="1"/>
  <c r="B83" i="17" s="1"/>
  <c r="B84" i="17" s="1"/>
  <c r="B85" i="17" s="1"/>
  <c r="B86" i="17" s="1"/>
  <c r="B87" i="17" s="1"/>
  <c r="B88" i="17" s="1"/>
  <c r="A78" i="17"/>
  <c r="A79" i="17" s="1"/>
  <c r="A80" i="17" s="1"/>
  <c r="A81" i="17" s="1"/>
  <c r="A82" i="17" s="1"/>
  <c r="A83" i="17" s="1"/>
  <c r="A84" i="17" s="1"/>
  <c r="A85" i="17" s="1"/>
  <c r="A86" i="17" s="1"/>
  <c r="A87" i="17" s="1"/>
  <c r="A88" i="17" s="1"/>
  <c r="W77" i="17"/>
  <c r="V77" i="17"/>
  <c r="U77" i="17"/>
  <c r="T77" i="17"/>
  <c r="T88" i="17" s="1"/>
  <c r="S77" i="17"/>
  <c r="R77" i="17"/>
  <c r="Q77" i="17"/>
  <c r="Q88" i="17" s="1"/>
  <c r="P77" i="17"/>
  <c r="P88" i="17" s="1"/>
  <c r="O77" i="17"/>
  <c r="O88" i="17" s="1"/>
  <c r="N77" i="17"/>
  <c r="N88" i="17" s="1"/>
  <c r="M77" i="17"/>
  <c r="M88" i="17" s="1"/>
  <c r="L77" i="17"/>
  <c r="X87" i="30"/>
  <c r="X86" i="30"/>
  <c r="X85" i="30"/>
  <c r="X84" i="30"/>
  <c r="X83" i="30"/>
  <c r="X82" i="30"/>
  <c r="X81" i="30"/>
  <c r="W80" i="30"/>
  <c r="V80" i="30"/>
  <c r="U80" i="30"/>
  <c r="T80" i="30"/>
  <c r="S80" i="30"/>
  <c r="S102" i="30" s="1"/>
  <c r="R80" i="30"/>
  <c r="R88" i="30" s="1"/>
  <c r="Q80" i="30"/>
  <c r="Q88" i="30" s="1"/>
  <c r="P80" i="30"/>
  <c r="P88" i="30" s="1"/>
  <c r="O80" i="30"/>
  <c r="O88" i="30" s="1"/>
  <c r="N80" i="30"/>
  <c r="M80" i="30"/>
  <c r="L80" i="30"/>
  <c r="X79" i="30"/>
  <c r="X78" i="30"/>
  <c r="A78" i="30"/>
  <c r="A79" i="30" s="1"/>
  <c r="A80" i="30" s="1"/>
  <c r="A81" i="30" s="1"/>
  <c r="A82" i="30" s="1"/>
  <c r="A83" i="30" s="1"/>
  <c r="A84" i="30" s="1"/>
  <c r="A85" i="30" s="1"/>
  <c r="A86" i="30" s="1"/>
  <c r="A87" i="30" s="1"/>
  <c r="A88" i="30" s="1"/>
  <c r="W77" i="30"/>
  <c r="W88" i="30" s="1"/>
  <c r="V77" i="30"/>
  <c r="V88" i="30" s="1"/>
  <c r="U77" i="30"/>
  <c r="U88" i="30" s="1"/>
  <c r="T77" i="30"/>
  <c r="S77" i="30"/>
  <c r="R77" i="30"/>
  <c r="Q77" i="30"/>
  <c r="P77" i="30"/>
  <c r="O77" i="30"/>
  <c r="N77" i="30"/>
  <c r="N88" i="30" s="1"/>
  <c r="M77" i="30"/>
  <c r="M88" i="30" s="1"/>
  <c r="L77" i="30"/>
  <c r="L88" i="30" s="1"/>
  <c r="R207" i="14"/>
  <c r="R206" i="14"/>
  <c r="R205" i="14"/>
  <c r="R204" i="14"/>
  <c r="R203" i="14"/>
  <c r="R201" i="14"/>
  <c r="R66" i="40"/>
  <c r="R65" i="40"/>
  <c r="R15" i="40"/>
  <c r="R14" i="40"/>
  <c r="R13" i="40"/>
  <c r="R12" i="40"/>
  <c r="R11" i="40"/>
  <c r="Q9" i="40"/>
  <c r="U88" i="17" l="1"/>
  <c r="T88" i="30"/>
  <c r="T101" i="30"/>
  <c r="T100" i="30"/>
  <c r="S88" i="30"/>
  <c r="S101" i="30"/>
  <c r="S88" i="17"/>
  <c r="S100" i="30"/>
  <c r="X92" i="30"/>
  <c r="U100" i="30"/>
  <c r="W100" i="30"/>
  <c r="V100" i="30"/>
  <c r="X89" i="30"/>
  <c r="X77" i="30"/>
  <c r="W88" i="17"/>
  <c r="V88" i="17"/>
  <c r="X80" i="17"/>
  <c r="R88" i="17"/>
  <c r="X77" i="17"/>
  <c r="L88" i="17"/>
  <c r="X80" i="30"/>
  <c r="R138" i="18"/>
  <c r="R137" i="18"/>
  <c r="L90" i="15"/>
  <c r="L89" i="15"/>
  <c r="L210" i="14"/>
  <c r="L209" i="14"/>
  <c r="M65" i="40"/>
  <c r="N65" i="40"/>
  <c r="O65" i="40"/>
  <c r="P65" i="40"/>
  <c r="Q65" i="40"/>
  <c r="W65" i="40"/>
  <c r="M66" i="40"/>
  <c r="N66" i="40"/>
  <c r="O66" i="40"/>
  <c r="P66" i="40"/>
  <c r="Q66" i="40"/>
  <c r="W66" i="40"/>
  <c r="L65" i="40"/>
  <c r="L66" i="40"/>
  <c r="S17" i="14"/>
  <c r="T17" i="14"/>
  <c r="U17" i="14"/>
  <c r="V17" i="14"/>
  <c r="R17" i="14"/>
  <c r="Q17" i="14"/>
  <c r="M209" i="14"/>
  <c r="N209" i="14"/>
  <c r="O209" i="14"/>
  <c r="P209" i="14"/>
  <c r="Q209" i="14"/>
  <c r="W209" i="14"/>
  <c r="M210" i="14"/>
  <c r="N210" i="14"/>
  <c r="O210" i="14"/>
  <c r="P210" i="14"/>
  <c r="W210" i="14"/>
  <c r="X100" i="30" l="1"/>
  <c r="X88" i="30"/>
  <c r="X88" i="17"/>
  <c r="M89" i="15"/>
  <c r="N89" i="15"/>
  <c r="O89" i="15"/>
  <c r="P89" i="15"/>
  <c r="Q89" i="15"/>
  <c r="M90" i="15"/>
  <c r="N90" i="15"/>
  <c r="O90" i="15"/>
  <c r="P90" i="15"/>
  <c r="Q90" i="15"/>
  <c r="W66" i="21" l="1"/>
  <c r="W18" i="45"/>
  <c r="W42" i="40"/>
  <c r="X123" i="35"/>
  <c r="X122" i="35"/>
  <c r="X121" i="35"/>
  <c r="X120" i="35"/>
  <c r="X119" i="35"/>
  <c r="X118" i="35"/>
  <c r="X117" i="35"/>
  <c r="W116" i="35"/>
  <c r="V116" i="35"/>
  <c r="U116" i="35"/>
  <c r="T116" i="35"/>
  <c r="S116" i="35"/>
  <c r="R116" i="35"/>
  <c r="Q116" i="35"/>
  <c r="P116" i="35"/>
  <c r="O116" i="35"/>
  <c r="N116" i="35"/>
  <c r="M116" i="35"/>
  <c r="L116" i="35"/>
  <c r="X115" i="35"/>
  <c r="X114" i="35"/>
  <c r="A114" i="35"/>
  <c r="A115" i="35" s="1"/>
  <c r="A116" i="35" s="1"/>
  <c r="A117" i="35" s="1"/>
  <c r="A118" i="35" s="1"/>
  <c r="A119" i="35" s="1"/>
  <c r="A120" i="35" s="1"/>
  <c r="A121" i="35" s="1"/>
  <c r="A122" i="35" s="1"/>
  <c r="A123" i="35" s="1"/>
  <c r="A124" i="35" s="1"/>
  <c r="W113" i="35"/>
  <c r="V113" i="35"/>
  <c r="U113" i="35"/>
  <c r="T113" i="35"/>
  <c r="S113" i="35"/>
  <c r="R113" i="35"/>
  <c r="Q113" i="35"/>
  <c r="P113" i="35"/>
  <c r="O113" i="35"/>
  <c r="N113" i="35"/>
  <c r="N124" i="35" s="1"/>
  <c r="M113" i="35"/>
  <c r="L113" i="35"/>
  <c r="X111" i="35"/>
  <c r="X110" i="35"/>
  <c r="X109" i="35"/>
  <c r="X108" i="35"/>
  <c r="X107" i="35"/>
  <c r="X106" i="35"/>
  <c r="X105" i="35"/>
  <c r="W104" i="35"/>
  <c r="V104" i="35"/>
  <c r="U104" i="35"/>
  <c r="T104" i="35"/>
  <c r="S104" i="35"/>
  <c r="R104" i="35"/>
  <c r="Q104" i="35"/>
  <c r="P104" i="35"/>
  <c r="O104" i="35"/>
  <c r="N104" i="35"/>
  <c r="M104" i="35"/>
  <c r="L104" i="35"/>
  <c r="X103" i="35"/>
  <c r="X102" i="35"/>
  <c r="A102" i="35"/>
  <c r="A103" i="35" s="1"/>
  <c r="A104" i="35" s="1"/>
  <c r="A105" i="35" s="1"/>
  <c r="A106" i="35" s="1"/>
  <c r="A107" i="35" s="1"/>
  <c r="A108" i="35" s="1"/>
  <c r="A109" i="35" s="1"/>
  <c r="A110" i="35" s="1"/>
  <c r="A111" i="35" s="1"/>
  <c r="A112" i="35" s="1"/>
  <c r="W101" i="35"/>
  <c r="V101" i="35"/>
  <c r="U101" i="35"/>
  <c r="T101" i="35"/>
  <c r="S101" i="35"/>
  <c r="R101" i="35"/>
  <c r="Q101" i="35"/>
  <c r="Q112" i="35" s="1"/>
  <c r="P101" i="35"/>
  <c r="P112" i="35" s="1"/>
  <c r="O101" i="35"/>
  <c r="O112" i="35" s="1"/>
  <c r="N101" i="35"/>
  <c r="N112" i="35" s="1"/>
  <c r="M101" i="35"/>
  <c r="L101" i="35"/>
  <c r="L65" i="15"/>
  <c r="Q65" i="15"/>
  <c r="Q75" i="15"/>
  <c r="X75" i="15" s="1"/>
  <c r="Q74" i="15"/>
  <c r="X74" i="15" s="1"/>
  <c r="Q73" i="15"/>
  <c r="X73" i="15" s="1"/>
  <c r="Q72" i="15"/>
  <c r="X72" i="15" s="1"/>
  <c r="Q71" i="15"/>
  <c r="X71" i="15" s="1"/>
  <c r="X70" i="15"/>
  <c r="Q69" i="15"/>
  <c r="W68" i="15"/>
  <c r="V68" i="15"/>
  <c r="U68" i="15"/>
  <c r="T68" i="15"/>
  <c r="S68" i="15"/>
  <c r="R68" i="15"/>
  <c r="P68" i="15"/>
  <c r="O68" i="15"/>
  <c r="N68" i="15"/>
  <c r="M68" i="15"/>
  <c r="L68" i="15"/>
  <c r="X67" i="15"/>
  <c r="X66" i="15"/>
  <c r="A66" i="15"/>
  <c r="A67" i="15" s="1"/>
  <c r="A68" i="15" s="1"/>
  <c r="A69" i="15" s="1"/>
  <c r="A70" i="15" s="1"/>
  <c r="A71" i="15" s="1"/>
  <c r="A72" i="15" s="1"/>
  <c r="A73" i="15" s="1"/>
  <c r="A74" i="15" s="1"/>
  <c r="A75" i="15" s="1"/>
  <c r="A76" i="15" s="1"/>
  <c r="W65" i="15"/>
  <c r="V65" i="15"/>
  <c r="U65" i="15"/>
  <c r="T65" i="15"/>
  <c r="S65" i="15"/>
  <c r="R65" i="15"/>
  <c r="P65" i="15"/>
  <c r="O65" i="15"/>
  <c r="N65" i="15"/>
  <c r="M65" i="15"/>
  <c r="O124" i="35" l="1"/>
  <c r="Q124" i="35"/>
  <c r="M124" i="35"/>
  <c r="T124" i="35"/>
  <c r="S124" i="35"/>
  <c r="R124" i="35"/>
  <c r="U124" i="35"/>
  <c r="T112" i="35"/>
  <c r="U112" i="35"/>
  <c r="V112" i="35"/>
  <c r="W112" i="35"/>
  <c r="S112" i="35"/>
  <c r="W124" i="35"/>
  <c r="V124" i="35"/>
  <c r="P124" i="35"/>
  <c r="X116" i="35"/>
  <c r="X113" i="35"/>
  <c r="M112" i="35"/>
  <c r="L124" i="35"/>
  <c r="R112" i="35"/>
  <c r="X101" i="35"/>
  <c r="X104" i="35"/>
  <c r="L112" i="35"/>
  <c r="L76" i="15"/>
  <c r="M76" i="15"/>
  <c r="N76" i="15"/>
  <c r="O76" i="15"/>
  <c r="P76" i="15"/>
  <c r="Q68" i="15"/>
  <c r="Q76" i="15" s="1"/>
  <c r="R76" i="15"/>
  <c r="S76" i="15"/>
  <c r="T76" i="15"/>
  <c r="U76" i="15"/>
  <c r="V76" i="15"/>
  <c r="W76" i="15"/>
  <c r="X65" i="15"/>
  <c r="X69" i="15"/>
  <c r="X124" i="35" l="1"/>
  <c r="X112" i="35"/>
  <c r="X68" i="15"/>
  <c r="X76" i="15" s="1"/>
  <c r="Q15" i="40" l="1"/>
  <c r="Q14" i="40"/>
  <c r="Q13" i="40"/>
  <c r="Q12" i="40"/>
  <c r="Q11" i="40"/>
  <c r="P15" i="40"/>
  <c r="P14" i="40"/>
  <c r="P13" i="40"/>
  <c r="P12" i="40"/>
  <c r="P11" i="40"/>
  <c r="P9" i="40"/>
  <c r="M162" i="23" l="1"/>
  <c r="N162" i="23"/>
  <c r="O162" i="23"/>
  <c r="P162" i="23"/>
  <c r="L162" i="23"/>
  <c r="M77" i="21"/>
  <c r="N77" i="21"/>
  <c r="O77" i="21"/>
  <c r="P77" i="21"/>
  <c r="M78" i="21"/>
  <c r="N78" i="21"/>
  <c r="O78" i="21"/>
  <c r="P78" i="21"/>
  <c r="W78" i="21"/>
  <c r="L78" i="21"/>
  <c r="L77" i="21"/>
  <c r="M113" i="38"/>
  <c r="N113" i="38"/>
  <c r="O113" i="38"/>
  <c r="P113" i="38"/>
  <c r="W113" i="38"/>
  <c r="M114" i="38"/>
  <c r="N114" i="38"/>
  <c r="O114" i="38"/>
  <c r="P114" i="38"/>
  <c r="W114" i="38"/>
  <c r="L114" i="38"/>
  <c r="L113" i="38"/>
  <c r="M29" i="45"/>
  <c r="N29" i="45"/>
  <c r="O29" i="45"/>
  <c r="P29" i="45"/>
  <c r="M30" i="45"/>
  <c r="N30" i="45"/>
  <c r="O30" i="45"/>
  <c r="W30" i="45"/>
  <c r="L30" i="45"/>
  <c r="L29" i="45"/>
  <c r="L125" i="7"/>
  <c r="M125" i="7"/>
  <c r="N125" i="7"/>
  <c r="O125" i="7"/>
  <c r="L126" i="7"/>
  <c r="M126" i="7"/>
  <c r="N126" i="7"/>
  <c r="O126" i="7"/>
  <c r="K126" i="7"/>
  <c r="K125" i="7"/>
  <c r="M41" i="44"/>
  <c r="N41" i="44"/>
  <c r="O41" i="44"/>
  <c r="P41" i="44"/>
  <c r="M42" i="44"/>
  <c r="N42" i="44"/>
  <c r="O42" i="44"/>
  <c r="P42" i="44"/>
  <c r="W42" i="44"/>
  <c r="L42" i="44"/>
  <c r="L41" i="44"/>
  <c r="M125" i="19"/>
  <c r="N125" i="19"/>
  <c r="O125" i="19"/>
  <c r="P125" i="19"/>
  <c r="W125" i="19"/>
  <c r="M126" i="19"/>
  <c r="N126" i="19"/>
  <c r="O126" i="19"/>
  <c r="P126" i="19"/>
  <c r="W126" i="19"/>
  <c r="L126" i="19"/>
  <c r="L125" i="19"/>
  <c r="M29" i="43"/>
  <c r="N29" i="43"/>
  <c r="O29" i="43"/>
  <c r="P29" i="43"/>
  <c r="M30" i="43"/>
  <c r="N30" i="43"/>
  <c r="O30" i="43"/>
  <c r="P30" i="43"/>
  <c r="W30" i="43"/>
  <c r="L30" i="43"/>
  <c r="L29" i="43"/>
  <c r="M137" i="18"/>
  <c r="N137" i="18"/>
  <c r="O137" i="18"/>
  <c r="P137" i="18"/>
  <c r="M138" i="18"/>
  <c r="N138" i="18"/>
  <c r="O138" i="18"/>
  <c r="P138" i="18"/>
  <c r="L138" i="18"/>
  <c r="L137" i="18"/>
  <c r="M53" i="24"/>
  <c r="N53" i="24"/>
  <c r="O53" i="24"/>
  <c r="P53" i="24"/>
  <c r="W53" i="24"/>
  <c r="M54" i="24"/>
  <c r="N54" i="24"/>
  <c r="O54" i="24"/>
  <c r="P54" i="24"/>
  <c r="W54" i="24"/>
  <c r="L54" i="24"/>
  <c r="L53" i="24"/>
  <c r="X207" i="14"/>
  <c r="X206" i="14"/>
  <c r="X205" i="14"/>
  <c r="X204" i="14"/>
  <c r="X203" i="14"/>
  <c r="X202" i="14"/>
  <c r="X201" i="14"/>
  <c r="W200" i="14"/>
  <c r="V200" i="14"/>
  <c r="U200" i="14"/>
  <c r="T200" i="14"/>
  <c r="S200" i="14"/>
  <c r="R200" i="14"/>
  <c r="Q200" i="14"/>
  <c r="P200" i="14"/>
  <c r="O200" i="14"/>
  <c r="N200" i="14"/>
  <c r="M200" i="14"/>
  <c r="L200" i="14"/>
  <c r="X199" i="14"/>
  <c r="X198" i="14"/>
  <c r="B198" i="14"/>
  <c r="B199" i="14" s="1"/>
  <c r="B200" i="14" s="1"/>
  <c r="B201" i="14" s="1"/>
  <c r="B202" i="14" s="1"/>
  <c r="B203" i="14" s="1"/>
  <c r="B204" i="14" s="1"/>
  <c r="B205" i="14" s="1"/>
  <c r="B206" i="14" s="1"/>
  <c r="B207" i="14" s="1"/>
  <c r="B208" i="14" s="1"/>
  <c r="A198" i="14"/>
  <c r="A199" i="14" s="1"/>
  <c r="A200" i="14" s="1"/>
  <c r="A201" i="14" s="1"/>
  <c r="A202" i="14" s="1"/>
  <c r="A203" i="14" s="1"/>
  <c r="A204" i="14" s="1"/>
  <c r="A205" i="14" s="1"/>
  <c r="A206" i="14" s="1"/>
  <c r="A207" i="14" s="1"/>
  <c r="A208" i="14" s="1"/>
  <c r="W197" i="14"/>
  <c r="W208" i="14" s="1"/>
  <c r="V197" i="14"/>
  <c r="V208" i="14" s="1"/>
  <c r="U197" i="14"/>
  <c r="T197" i="14"/>
  <c r="T208" i="14" s="1"/>
  <c r="S197" i="14"/>
  <c r="R197" i="14"/>
  <c r="Q197" i="14"/>
  <c r="Q208" i="14" s="1"/>
  <c r="P197" i="14"/>
  <c r="P208" i="14" s="1"/>
  <c r="O197" i="14"/>
  <c r="O208" i="14" s="1"/>
  <c r="N197" i="14"/>
  <c r="M197" i="14"/>
  <c r="M208" i="14" s="1"/>
  <c r="L197" i="14"/>
  <c r="L208" i="14" s="1"/>
  <c r="U208" i="14" l="1"/>
  <c r="R208" i="14"/>
  <c r="S208" i="14"/>
  <c r="X200" i="14"/>
  <c r="N208" i="14"/>
  <c r="X197" i="14"/>
  <c r="X208" i="14" l="1"/>
  <c r="X63" i="17"/>
  <c r="X62" i="17"/>
  <c r="X61" i="17"/>
  <c r="X60" i="17"/>
  <c r="X59" i="17"/>
  <c r="X58" i="17"/>
  <c r="X57" i="17"/>
  <c r="W56" i="17"/>
  <c r="V56" i="17"/>
  <c r="V64" i="17" s="1"/>
  <c r="U56" i="17"/>
  <c r="T56" i="17"/>
  <c r="S56" i="17"/>
  <c r="R56" i="17"/>
  <c r="Q56" i="17"/>
  <c r="P56" i="17"/>
  <c r="O56" i="17"/>
  <c r="N56" i="17"/>
  <c r="M56" i="17"/>
  <c r="L56" i="17"/>
  <c r="X54" i="17"/>
  <c r="A54" i="17"/>
  <c r="A55" i="17" s="1"/>
  <c r="A56" i="17" s="1"/>
  <c r="A57" i="17" s="1"/>
  <c r="A58" i="17" s="1"/>
  <c r="A59" i="17" s="1"/>
  <c r="A60" i="17" s="1"/>
  <c r="A61" i="17" s="1"/>
  <c r="A62" i="17" s="1"/>
  <c r="A63" i="17" s="1"/>
  <c r="A64" i="17" s="1"/>
  <c r="W53" i="17"/>
  <c r="V53" i="17"/>
  <c r="U53" i="17"/>
  <c r="T53" i="17"/>
  <c r="S53" i="17"/>
  <c r="R53" i="17"/>
  <c r="Q53" i="17"/>
  <c r="P53" i="17"/>
  <c r="O53" i="17"/>
  <c r="N53" i="17"/>
  <c r="N64" i="17" s="1"/>
  <c r="M53" i="17"/>
  <c r="L53" i="17"/>
  <c r="M64" i="17" l="1"/>
  <c r="R64" i="17"/>
  <c r="Q64" i="17"/>
  <c r="S64" i="17"/>
  <c r="W64" i="17"/>
  <c r="U64" i="17"/>
  <c r="T64" i="17"/>
  <c r="P64" i="17"/>
  <c r="L64" i="17"/>
  <c r="X56" i="17"/>
  <c r="O64" i="17"/>
  <c r="X53" i="17"/>
  <c r="X64" i="17" l="1"/>
  <c r="A102" i="19" l="1"/>
  <c r="A103" i="19"/>
  <c r="A104" i="19" s="1"/>
  <c r="A105" i="19" s="1"/>
  <c r="A106" i="19" s="1"/>
  <c r="A107" i="19" s="1"/>
  <c r="A108" i="19" s="1"/>
  <c r="A109" i="19" s="1"/>
  <c r="A110" i="19" s="1"/>
  <c r="A111" i="19" s="1"/>
  <c r="A112" i="19" s="1"/>
  <c r="A114" i="19"/>
  <c r="A115" i="19" s="1"/>
  <c r="A116" i="19" s="1"/>
  <c r="A117" i="19" s="1"/>
  <c r="A118" i="19" s="1"/>
  <c r="A119" i="19" s="1"/>
  <c r="A120" i="19" s="1"/>
  <c r="A121" i="19" s="1"/>
  <c r="A122" i="19" s="1"/>
  <c r="A123" i="19" s="1"/>
  <c r="A124" i="19" s="1"/>
  <c r="W153" i="23" l="1"/>
  <c r="Q68" i="21" l="1"/>
  <c r="R68" i="21"/>
  <c r="T68" i="21"/>
  <c r="U68" i="21"/>
  <c r="V68" i="21"/>
  <c r="W69" i="21"/>
  <c r="W68" i="21" s="1"/>
  <c r="Q65" i="21"/>
  <c r="R65" i="21"/>
  <c r="S65" i="21"/>
  <c r="T65" i="21"/>
  <c r="U65" i="21"/>
  <c r="V65" i="21"/>
  <c r="W65" i="21"/>
  <c r="W77" i="21" s="1"/>
  <c r="P68" i="21"/>
  <c r="P65" i="21"/>
  <c r="X75" i="21"/>
  <c r="X74" i="21"/>
  <c r="X73" i="21"/>
  <c r="X72" i="21"/>
  <c r="X71" i="21"/>
  <c r="X70" i="21"/>
  <c r="S68" i="21"/>
  <c r="O68" i="21"/>
  <c r="N68" i="21"/>
  <c r="M68" i="21"/>
  <c r="L68" i="21"/>
  <c r="X67" i="21"/>
  <c r="B66" i="21"/>
  <c r="B67" i="21" s="1"/>
  <c r="B68" i="21" s="1"/>
  <c r="B69" i="21" s="1"/>
  <c r="B70" i="21" s="1"/>
  <c r="B71" i="21" s="1"/>
  <c r="B72" i="21" s="1"/>
  <c r="B73" i="21" s="1"/>
  <c r="B74" i="21" s="1"/>
  <c r="B75" i="21" s="1"/>
  <c r="B76" i="21" s="1"/>
  <c r="A66" i="21"/>
  <c r="A67" i="21" s="1"/>
  <c r="A68" i="21" s="1"/>
  <c r="A69" i="21" s="1"/>
  <c r="A70" i="21" s="1"/>
  <c r="A71" i="21" s="1"/>
  <c r="A72" i="21" s="1"/>
  <c r="A73" i="21" s="1"/>
  <c r="A74" i="21" s="1"/>
  <c r="A75" i="21" s="1"/>
  <c r="A76" i="21" s="1"/>
  <c r="O65" i="21"/>
  <c r="N65" i="21"/>
  <c r="N76" i="21" s="1"/>
  <c r="M65" i="21"/>
  <c r="M76" i="21" s="1"/>
  <c r="L65" i="21"/>
  <c r="L76" i="21" s="1"/>
  <c r="O76" i="21" l="1"/>
  <c r="V76" i="21"/>
  <c r="T76" i="21"/>
  <c r="X69" i="21"/>
  <c r="R76" i="21"/>
  <c r="Q76" i="21"/>
  <c r="S76" i="21"/>
  <c r="W76" i="21"/>
  <c r="U76" i="21"/>
  <c r="P76" i="21"/>
  <c r="X66" i="21"/>
  <c r="X68" i="21"/>
  <c r="X65" i="21"/>
  <c r="X76" i="21" l="1"/>
  <c r="X75" i="30"/>
  <c r="X74" i="30"/>
  <c r="X73" i="30"/>
  <c r="X72" i="30"/>
  <c r="X71" i="30"/>
  <c r="X70" i="30"/>
  <c r="X69" i="30"/>
  <c r="W68" i="30"/>
  <c r="V68" i="30"/>
  <c r="U68" i="30"/>
  <c r="T68" i="30"/>
  <c r="S68" i="30"/>
  <c r="R68" i="30"/>
  <c r="Q68" i="30"/>
  <c r="P68" i="30"/>
  <c r="O68" i="30"/>
  <c r="N68" i="30"/>
  <c r="M68" i="30"/>
  <c r="L68" i="30"/>
  <c r="X67" i="30"/>
  <c r="X66" i="30"/>
  <c r="A66" i="30"/>
  <c r="A67" i="30" s="1"/>
  <c r="A68" i="30" s="1"/>
  <c r="A69" i="30" s="1"/>
  <c r="A70" i="30" s="1"/>
  <c r="A71" i="30" s="1"/>
  <c r="A72" i="30" s="1"/>
  <c r="A73" i="30" s="1"/>
  <c r="A74" i="30" s="1"/>
  <c r="A75" i="30" s="1"/>
  <c r="A76" i="30" s="1"/>
  <c r="W65" i="30"/>
  <c r="V65" i="30"/>
  <c r="V76" i="30" s="1"/>
  <c r="U65" i="30"/>
  <c r="U76" i="30" s="1"/>
  <c r="T65" i="30"/>
  <c r="T76" i="30" s="1"/>
  <c r="S65" i="30"/>
  <c r="R65" i="30"/>
  <c r="Q65" i="30"/>
  <c r="P65" i="30"/>
  <c r="O65" i="30"/>
  <c r="N65" i="30"/>
  <c r="M65" i="30"/>
  <c r="L65" i="30"/>
  <c r="F63" i="24"/>
  <c r="W53" i="40"/>
  <c r="T53" i="40"/>
  <c r="S53" i="40"/>
  <c r="X54" i="40"/>
  <c r="L64" i="40"/>
  <c r="X63" i="40"/>
  <c r="X62" i="40"/>
  <c r="X61" i="40"/>
  <c r="X60" i="40"/>
  <c r="X59" i="40"/>
  <c r="X58" i="40"/>
  <c r="X57" i="40"/>
  <c r="W56" i="40"/>
  <c r="V56" i="40"/>
  <c r="U56" i="40"/>
  <c r="T56" i="40"/>
  <c r="S56" i="40"/>
  <c r="R56" i="40"/>
  <c r="Q56" i="40"/>
  <c r="P56" i="40"/>
  <c r="O56" i="40"/>
  <c r="N56" i="40"/>
  <c r="M56" i="40"/>
  <c r="L56" i="40"/>
  <c r="X55" i="40"/>
  <c r="B54" i="40"/>
  <c r="B55" i="40" s="1"/>
  <c r="B56" i="40" s="1"/>
  <c r="B57" i="40" s="1"/>
  <c r="B58" i="40" s="1"/>
  <c r="B59" i="40" s="1"/>
  <c r="B60" i="40" s="1"/>
  <c r="B61" i="40" s="1"/>
  <c r="B62" i="40" s="1"/>
  <c r="B63" i="40" s="1"/>
  <c r="B64" i="40" s="1"/>
  <c r="A54" i="40"/>
  <c r="A55" i="40" s="1"/>
  <c r="A56" i="40" s="1"/>
  <c r="A57" i="40" s="1"/>
  <c r="A58" i="40" s="1"/>
  <c r="A59" i="40" s="1"/>
  <c r="A60" i="40" s="1"/>
  <c r="A61" i="40" s="1"/>
  <c r="A62" i="40" s="1"/>
  <c r="A63" i="40" s="1"/>
  <c r="A64" i="40" s="1"/>
  <c r="V53" i="40"/>
  <c r="U53" i="40"/>
  <c r="R53" i="40"/>
  <c r="Q53" i="40"/>
  <c r="P53" i="40"/>
  <c r="O53" i="40"/>
  <c r="N53" i="40"/>
  <c r="M53" i="40"/>
  <c r="M64" i="40" s="1"/>
  <c r="L53" i="40"/>
  <c r="Q41" i="40"/>
  <c r="X42" i="40"/>
  <c r="X51" i="40"/>
  <c r="X50" i="40"/>
  <c r="X49" i="40"/>
  <c r="X48" i="40"/>
  <c r="X47" i="40"/>
  <c r="X46" i="40"/>
  <c r="X45" i="40"/>
  <c r="W44" i="40"/>
  <c r="V44" i="40"/>
  <c r="U44" i="40"/>
  <c r="T44" i="40"/>
  <c r="S44" i="40"/>
  <c r="R44" i="40"/>
  <c r="Q44" i="40"/>
  <c r="P44" i="40"/>
  <c r="O44" i="40"/>
  <c r="N44" i="40"/>
  <c r="M44" i="40"/>
  <c r="L44" i="40"/>
  <c r="X43" i="40"/>
  <c r="A42" i="40"/>
  <c r="A43" i="40" s="1"/>
  <c r="A44" i="40" s="1"/>
  <c r="A45" i="40" s="1"/>
  <c r="A46" i="40" s="1"/>
  <c r="A47" i="40" s="1"/>
  <c r="A48" i="40" s="1"/>
  <c r="A49" i="40" s="1"/>
  <c r="A50" i="40" s="1"/>
  <c r="A51" i="40" s="1"/>
  <c r="A52" i="40" s="1"/>
  <c r="W41" i="40"/>
  <c r="V41" i="40"/>
  <c r="U41" i="40"/>
  <c r="T41" i="40"/>
  <c r="S41" i="40"/>
  <c r="R41" i="40"/>
  <c r="P41" i="40"/>
  <c r="O41" i="40"/>
  <c r="N41" i="40"/>
  <c r="M41" i="40"/>
  <c r="L41" i="40"/>
  <c r="X39" i="44"/>
  <c r="X38" i="44"/>
  <c r="X37" i="44"/>
  <c r="X36" i="44"/>
  <c r="X35" i="44"/>
  <c r="X34" i="44"/>
  <c r="X33" i="44"/>
  <c r="W32" i="44"/>
  <c r="V32" i="44"/>
  <c r="U32" i="44"/>
  <c r="T32" i="44"/>
  <c r="S32" i="44"/>
  <c r="R32" i="44"/>
  <c r="Q32" i="44"/>
  <c r="P32" i="44"/>
  <c r="O32" i="44"/>
  <c r="N32" i="44"/>
  <c r="M32" i="44"/>
  <c r="L32" i="44"/>
  <c r="X30" i="44"/>
  <c r="B30" i="44"/>
  <c r="B31" i="44" s="1"/>
  <c r="B32" i="44" s="1"/>
  <c r="B33" i="44" s="1"/>
  <c r="B34" i="44" s="1"/>
  <c r="B35" i="44" s="1"/>
  <c r="B36" i="44" s="1"/>
  <c r="B37" i="44" s="1"/>
  <c r="B38" i="44" s="1"/>
  <c r="B39" i="44" s="1"/>
  <c r="B40" i="44" s="1"/>
  <c r="A30" i="44"/>
  <c r="A31" i="44" s="1"/>
  <c r="A32" i="44" s="1"/>
  <c r="A33" i="44" s="1"/>
  <c r="A34" i="44" s="1"/>
  <c r="A35" i="44" s="1"/>
  <c r="A36" i="44" s="1"/>
  <c r="A37" i="44" s="1"/>
  <c r="A38" i="44" s="1"/>
  <c r="A39" i="44" s="1"/>
  <c r="A40" i="44" s="1"/>
  <c r="W29" i="44"/>
  <c r="W41" i="44" s="1"/>
  <c r="V29" i="44"/>
  <c r="U29" i="44"/>
  <c r="T29" i="44"/>
  <c r="S29" i="44"/>
  <c r="R29" i="44"/>
  <c r="Q29" i="44"/>
  <c r="P29" i="44"/>
  <c r="P40" i="44" s="1"/>
  <c r="O29" i="44"/>
  <c r="N29" i="44"/>
  <c r="M29" i="44"/>
  <c r="L29" i="44"/>
  <c r="X153" i="23"/>
  <c r="U152" i="23"/>
  <c r="V152" i="23"/>
  <c r="W152" i="23"/>
  <c r="P149" i="23"/>
  <c r="Q149" i="23"/>
  <c r="R149" i="23"/>
  <c r="S149" i="23"/>
  <c r="W150" i="23"/>
  <c r="O149" i="23"/>
  <c r="X159" i="23"/>
  <c r="X158" i="23"/>
  <c r="X157" i="23"/>
  <c r="X156" i="23"/>
  <c r="X155" i="23"/>
  <c r="X154" i="23"/>
  <c r="T152" i="23"/>
  <c r="S152" i="23"/>
  <c r="R152" i="23"/>
  <c r="Q152" i="23"/>
  <c r="P152" i="23"/>
  <c r="O152" i="23"/>
  <c r="N152" i="23"/>
  <c r="M152" i="23"/>
  <c r="L152" i="23"/>
  <c r="X151" i="23"/>
  <c r="B150" i="23"/>
  <c r="B151" i="23" s="1"/>
  <c r="B152" i="23" s="1"/>
  <c r="B153" i="23" s="1"/>
  <c r="B154" i="23" s="1"/>
  <c r="B155" i="23" s="1"/>
  <c r="B156" i="23" s="1"/>
  <c r="B157" i="23" s="1"/>
  <c r="B158" i="23" s="1"/>
  <c r="B159" i="23" s="1"/>
  <c r="B160" i="23" s="1"/>
  <c r="A150" i="23"/>
  <c r="A151" i="23" s="1"/>
  <c r="A152" i="23" s="1"/>
  <c r="A153" i="23" s="1"/>
  <c r="A154" i="23" s="1"/>
  <c r="A155" i="23" s="1"/>
  <c r="A156" i="23" s="1"/>
  <c r="A157" i="23" s="1"/>
  <c r="A158" i="23" s="1"/>
  <c r="A159" i="23" s="1"/>
  <c r="A160" i="23" s="1"/>
  <c r="W149" i="23"/>
  <c r="V149" i="23"/>
  <c r="U149" i="23"/>
  <c r="T149" i="23"/>
  <c r="T160" i="23" s="1"/>
  <c r="N149" i="23"/>
  <c r="M149" i="23"/>
  <c r="M160" i="23" s="1"/>
  <c r="L149" i="23"/>
  <c r="L160" i="23" s="1"/>
  <c r="X87" i="15"/>
  <c r="X86" i="15"/>
  <c r="X85" i="15"/>
  <c r="X84" i="15"/>
  <c r="X83" i="15"/>
  <c r="X82" i="15"/>
  <c r="X81" i="15"/>
  <c r="W80" i="15"/>
  <c r="W90" i="15" s="1"/>
  <c r="V80" i="15"/>
  <c r="U80" i="15"/>
  <c r="T80" i="15"/>
  <c r="S80" i="15"/>
  <c r="P80" i="15"/>
  <c r="O80" i="15"/>
  <c r="N80" i="15"/>
  <c r="M80" i="15"/>
  <c r="L80" i="15"/>
  <c r="X79" i="15"/>
  <c r="B78" i="15"/>
  <c r="B79" i="15" s="1"/>
  <c r="B80" i="15" s="1"/>
  <c r="B81" i="15" s="1"/>
  <c r="B82" i="15" s="1"/>
  <c r="B83" i="15" s="1"/>
  <c r="B84" i="15" s="1"/>
  <c r="B85" i="15" s="1"/>
  <c r="B86" i="15" s="1"/>
  <c r="B87" i="15" s="1"/>
  <c r="B88" i="15" s="1"/>
  <c r="A78" i="15"/>
  <c r="A79" i="15" s="1"/>
  <c r="A80" i="15" s="1"/>
  <c r="A81" i="15" s="1"/>
  <c r="A82" i="15" s="1"/>
  <c r="A83" i="15" s="1"/>
  <c r="A84" i="15" s="1"/>
  <c r="A85" i="15" s="1"/>
  <c r="A86" i="15" s="1"/>
  <c r="A87" i="15" s="1"/>
  <c r="A88" i="15" s="1"/>
  <c r="W77" i="15"/>
  <c r="V77" i="15"/>
  <c r="U77" i="15"/>
  <c r="T77" i="15"/>
  <c r="S77" i="15"/>
  <c r="R77" i="15"/>
  <c r="P77" i="15"/>
  <c r="O77" i="15"/>
  <c r="N77" i="15"/>
  <c r="M77" i="15"/>
  <c r="L77" i="15"/>
  <c r="M15" i="40"/>
  <c r="M14" i="40"/>
  <c r="M13" i="40"/>
  <c r="M12" i="40"/>
  <c r="M11" i="40"/>
  <c r="M9" i="40"/>
  <c r="L9" i="40"/>
  <c r="O76" i="30" l="1"/>
  <c r="U64" i="40"/>
  <c r="W64" i="40"/>
  <c r="R88" i="15"/>
  <c r="S88" i="15"/>
  <c r="X78" i="15"/>
  <c r="W88" i="15"/>
  <c r="V88" i="15"/>
  <c r="M88" i="15"/>
  <c r="Q88" i="15"/>
  <c r="P64" i="40"/>
  <c r="R64" i="40"/>
  <c r="V64" i="40"/>
  <c r="S64" i="40"/>
  <c r="W52" i="40"/>
  <c r="U40" i="44"/>
  <c r="W40" i="44"/>
  <c r="V40" i="44"/>
  <c r="N76" i="30"/>
  <c r="N160" i="23"/>
  <c r="N64" i="40"/>
  <c r="W76" i="30"/>
  <c r="R76" i="30"/>
  <c r="S76" i="30"/>
  <c r="Q76" i="30"/>
  <c r="X68" i="30"/>
  <c r="X65" i="30"/>
  <c r="M76" i="30"/>
  <c r="P76" i="30"/>
  <c r="L76" i="30"/>
  <c r="O52" i="40"/>
  <c r="O64" i="40"/>
  <c r="X56" i="40"/>
  <c r="Q64" i="40"/>
  <c r="T64" i="40"/>
  <c r="P88" i="15"/>
  <c r="T52" i="40"/>
  <c r="X53" i="40"/>
  <c r="U52" i="40"/>
  <c r="R52" i="40"/>
  <c r="Q52" i="40"/>
  <c r="S52" i="40"/>
  <c r="V52" i="40"/>
  <c r="P52" i="40"/>
  <c r="X41" i="40"/>
  <c r="M52" i="40"/>
  <c r="X44" i="40"/>
  <c r="N52" i="40"/>
  <c r="L52" i="40"/>
  <c r="T40" i="44"/>
  <c r="R40" i="44"/>
  <c r="Q40" i="44"/>
  <c r="S40" i="44"/>
  <c r="O40" i="44"/>
  <c r="N40" i="44"/>
  <c r="M40" i="44"/>
  <c r="X32" i="44"/>
  <c r="X29" i="44"/>
  <c r="L40" i="44"/>
  <c r="V160" i="23"/>
  <c r="P160" i="23"/>
  <c r="R160" i="23"/>
  <c r="U160" i="23"/>
  <c r="Q160" i="23"/>
  <c r="W160" i="23"/>
  <c r="X152" i="23"/>
  <c r="S160" i="23"/>
  <c r="O160" i="23"/>
  <c r="X149" i="23"/>
  <c r="X150" i="23"/>
  <c r="T88" i="15"/>
  <c r="U88" i="15"/>
  <c r="X77" i="15"/>
  <c r="X80" i="15"/>
  <c r="O88" i="15"/>
  <c r="N88" i="15"/>
  <c r="L88" i="15"/>
  <c r="G106" i="15"/>
  <c r="X147" i="23"/>
  <c r="X146" i="23"/>
  <c r="X145" i="23"/>
  <c r="X144" i="23"/>
  <c r="X143" i="23"/>
  <c r="X142" i="23"/>
  <c r="X141" i="23"/>
  <c r="W140" i="23"/>
  <c r="V140" i="23"/>
  <c r="U140" i="23"/>
  <c r="T140" i="23"/>
  <c r="S140" i="23"/>
  <c r="R140" i="23"/>
  <c r="Q140" i="23"/>
  <c r="P140" i="23"/>
  <c r="O140" i="23"/>
  <c r="N140" i="23"/>
  <c r="M140" i="23"/>
  <c r="L140" i="23"/>
  <c r="X139" i="23"/>
  <c r="X138" i="23"/>
  <c r="A138" i="23"/>
  <c r="A139" i="23" s="1"/>
  <c r="A140" i="23" s="1"/>
  <c r="A141" i="23" s="1"/>
  <c r="A142" i="23" s="1"/>
  <c r="A143" i="23" s="1"/>
  <c r="A144" i="23" s="1"/>
  <c r="A145" i="23" s="1"/>
  <c r="A146" i="23" s="1"/>
  <c r="A147" i="23" s="1"/>
  <c r="A148" i="23" s="1"/>
  <c r="W137" i="23"/>
  <c r="W148" i="23" s="1"/>
  <c r="V137" i="23"/>
  <c r="U137" i="23"/>
  <c r="U148" i="23" s="1"/>
  <c r="T137" i="23"/>
  <c r="S137" i="23"/>
  <c r="S148" i="23" s="1"/>
  <c r="R137" i="23"/>
  <c r="R148" i="23" s="1"/>
  <c r="Q137" i="23"/>
  <c r="P137" i="23"/>
  <c r="O137" i="23"/>
  <c r="O148" i="23" s="1"/>
  <c r="N137" i="23"/>
  <c r="M137" i="23"/>
  <c r="M148" i="23" s="1"/>
  <c r="L137" i="23"/>
  <c r="M5" i="15"/>
  <c r="M17" i="15"/>
  <c r="W9" i="40"/>
  <c r="V148" i="23" l="1"/>
  <c r="Q148" i="23"/>
  <c r="P148" i="23"/>
  <c r="X64" i="40"/>
  <c r="X76" i="30"/>
  <c r="X52" i="40"/>
  <c r="X40" i="44"/>
  <c r="X160" i="23"/>
  <c r="X88" i="15"/>
  <c r="T148" i="23"/>
  <c r="X140" i="23"/>
  <c r="N148" i="23"/>
  <c r="X137" i="23"/>
  <c r="L148" i="23"/>
  <c r="X63" i="23"/>
  <c r="X62" i="23"/>
  <c r="X61" i="23"/>
  <c r="X60" i="23"/>
  <c r="X59" i="23"/>
  <c r="X58" i="23"/>
  <c r="X57" i="23"/>
  <c r="W56" i="23"/>
  <c r="V56" i="23"/>
  <c r="U56" i="23"/>
  <c r="T56" i="23"/>
  <c r="S56" i="23"/>
  <c r="R56" i="23"/>
  <c r="Q56" i="23"/>
  <c r="P56" i="23"/>
  <c r="O56" i="23"/>
  <c r="N56" i="23"/>
  <c r="M56" i="23"/>
  <c r="L56" i="23"/>
  <c r="X55" i="23"/>
  <c r="X54" i="23"/>
  <c r="A54" i="23"/>
  <c r="A55" i="23" s="1"/>
  <c r="A56" i="23" s="1"/>
  <c r="A57" i="23" s="1"/>
  <c r="A58" i="23" s="1"/>
  <c r="A59" i="23" s="1"/>
  <c r="A60" i="23" s="1"/>
  <c r="A61" i="23" s="1"/>
  <c r="A62" i="23" s="1"/>
  <c r="A63" i="23" s="1"/>
  <c r="A64" i="23" s="1"/>
  <c r="W53" i="23"/>
  <c r="V53" i="23"/>
  <c r="U53" i="23"/>
  <c r="T53" i="23"/>
  <c r="S53" i="23"/>
  <c r="S64" i="23" s="1"/>
  <c r="R53" i="23"/>
  <c r="Q53" i="23"/>
  <c r="P53" i="23"/>
  <c r="P161" i="23" s="1"/>
  <c r="O53" i="23"/>
  <c r="O161" i="23" s="1"/>
  <c r="N53" i="23"/>
  <c r="M53" i="23"/>
  <c r="M161" i="23" s="1"/>
  <c r="L53" i="23"/>
  <c r="L161" i="23" s="1"/>
  <c r="N64" i="23" l="1"/>
  <c r="N161" i="23"/>
  <c r="T64" i="23"/>
  <c r="U64" i="23"/>
  <c r="V64" i="23"/>
  <c r="X148" i="23"/>
  <c r="W64" i="23"/>
  <c r="M64" i="23"/>
  <c r="O64" i="23"/>
  <c r="P64" i="23"/>
  <c r="Q64" i="23"/>
  <c r="X56" i="23"/>
  <c r="R64" i="23"/>
  <c r="X53" i="23"/>
  <c r="L64" i="23"/>
  <c r="X64" i="23" l="1"/>
  <c r="X63" i="30" l="1"/>
  <c r="X62" i="30"/>
  <c r="X61" i="30"/>
  <c r="X60" i="30"/>
  <c r="X59" i="30"/>
  <c r="X58" i="30"/>
  <c r="X57" i="30"/>
  <c r="W56" i="30"/>
  <c r="V56" i="30"/>
  <c r="U56" i="30"/>
  <c r="T56" i="30"/>
  <c r="S56" i="30"/>
  <c r="R56" i="30"/>
  <c r="Q56" i="30"/>
  <c r="P56" i="30"/>
  <c r="O56" i="30"/>
  <c r="N56" i="30"/>
  <c r="M56" i="30"/>
  <c r="L56" i="30"/>
  <c r="X55" i="30"/>
  <c r="X54" i="30"/>
  <c r="A54" i="30"/>
  <c r="A55" i="30" s="1"/>
  <c r="A56" i="30" s="1"/>
  <c r="A57" i="30" s="1"/>
  <c r="A58" i="30" s="1"/>
  <c r="A59" i="30" s="1"/>
  <c r="A60" i="30" s="1"/>
  <c r="A61" i="30" s="1"/>
  <c r="A62" i="30" s="1"/>
  <c r="A63" i="30" s="1"/>
  <c r="A64" i="30" s="1"/>
  <c r="W53" i="30"/>
  <c r="V53" i="30"/>
  <c r="U53" i="30"/>
  <c r="T53" i="30"/>
  <c r="S53" i="30"/>
  <c r="R53" i="30"/>
  <c r="Q53" i="30"/>
  <c r="P53" i="30"/>
  <c r="O53" i="30"/>
  <c r="N53" i="30"/>
  <c r="N64" i="30" s="1"/>
  <c r="M53" i="30"/>
  <c r="L53" i="30"/>
  <c r="V64" i="30" l="1"/>
  <c r="X53" i="30"/>
  <c r="Q64" i="30"/>
  <c r="M64" i="30"/>
  <c r="P64" i="30"/>
  <c r="O64" i="30"/>
  <c r="T64" i="30"/>
  <c r="S64" i="30"/>
  <c r="U64" i="30"/>
  <c r="W64" i="30"/>
  <c r="R64" i="30"/>
  <c r="X56" i="30"/>
  <c r="L64" i="30"/>
  <c r="X64" i="30" l="1"/>
  <c r="X99" i="35" l="1"/>
  <c r="X98" i="35"/>
  <c r="X97" i="35"/>
  <c r="X96" i="35"/>
  <c r="X95" i="35"/>
  <c r="X94" i="35"/>
  <c r="X93" i="35"/>
  <c r="W92" i="35"/>
  <c r="V92" i="35"/>
  <c r="U92" i="35"/>
  <c r="T92" i="35"/>
  <c r="S92" i="35"/>
  <c r="R92" i="35"/>
  <c r="Q92" i="35"/>
  <c r="P92" i="35"/>
  <c r="O92" i="35"/>
  <c r="N92" i="35"/>
  <c r="M92" i="35"/>
  <c r="L92" i="35"/>
  <c r="X91" i="35"/>
  <c r="X90" i="35"/>
  <c r="A90" i="35"/>
  <c r="A91" i="35" s="1"/>
  <c r="A92" i="35" s="1"/>
  <c r="A93" i="35" s="1"/>
  <c r="A94" i="35" s="1"/>
  <c r="A95" i="35" s="1"/>
  <c r="A96" i="35" s="1"/>
  <c r="A97" i="35" s="1"/>
  <c r="A98" i="35" s="1"/>
  <c r="A99" i="35" s="1"/>
  <c r="A100" i="35" s="1"/>
  <c r="W89" i="35"/>
  <c r="W100" i="35" s="1"/>
  <c r="V89" i="35"/>
  <c r="U89" i="35"/>
  <c r="T89" i="35"/>
  <c r="S89" i="35"/>
  <c r="R89" i="35"/>
  <c r="R100" i="35" s="1"/>
  <c r="Q89" i="35"/>
  <c r="Q100" i="35" s="1"/>
  <c r="P89" i="35"/>
  <c r="O89" i="35"/>
  <c r="O100" i="35" s="1"/>
  <c r="N89" i="35"/>
  <c r="N100" i="35" s="1"/>
  <c r="M89" i="35"/>
  <c r="L89" i="35"/>
  <c r="P100" i="35" l="1"/>
  <c r="V100" i="35"/>
  <c r="S100" i="35"/>
  <c r="T100" i="35"/>
  <c r="U100" i="35"/>
  <c r="X92" i="35"/>
  <c r="M100" i="35"/>
  <c r="L100" i="35"/>
  <c r="X89" i="35"/>
  <c r="L27" i="40"/>
  <c r="L26" i="40"/>
  <c r="L25" i="40"/>
  <c r="L24" i="40"/>
  <c r="L23" i="40"/>
  <c r="L21" i="40"/>
  <c r="X100" i="35" l="1"/>
  <c r="L15" i="17"/>
  <c r="L14" i="17"/>
  <c r="L13" i="17"/>
  <c r="L12" i="17"/>
  <c r="L11" i="17"/>
  <c r="L9" i="17"/>
  <c r="A38" i="9" l="1"/>
  <c r="A26" i="9"/>
  <c r="A14" i="9"/>
  <c r="A11" i="9"/>
  <c r="A8" i="9"/>
  <c r="A5" i="9"/>
  <c r="A20" i="9"/>
  <c r="C29" i="38"/>
  <c r="C41" i="38" s="1"/>
  <c r="C53" i="38" s="1"/>
  <c r="C65" i="38" s="1"/>
  <c r="C77" i="38" s="1"/>
  <c r="C89" i="38" s="1"/>
  <c r="C101" i="38" s="1"/>
  <c r="C65" i="7"/>
  <c r="C17" i="45"/>
  <c r="X27" i="45"/>
  <c r="X26" i="45"/>
  <c r="X25" i="45"/>
  <c r="X24" i="45"/>
  <c r="X23" i="45"/>
  <c r="X22" i="45"/>
  <c r="X21" i="45"/>
  <c r="W20" i="45"/>
  <c r="V20" i="45"/>
  <c r="U20" i="45"/>
  <c r="T20" i="45"/>
  <c r="S20" i="45"/>
  <c r="R20" i="45"/>
  <c r="Q20" i="45"/>
  <c r="P20" i="45"/>
  <c r="O20" i="45"/>
  <c r="N20" i="45"/>
  <c r="M20" i="45"/>
  <c r="L20" i="45"/>
  <c r="X19" i="45"/>
  <c r="A19" i="45"/>
  <c r="A20" i="45" s="1"/>
  <c r="A21" i="45" s="1"/>
  <c r="A22" i="45" s="1"/>
  <c r="A23" i="45" s="1"/>
  <c r="A24" i="45" s="1"/>
  <c r="A25" i="45" s="1"/>
  <c r="A26" i="45" s="1"/>
  <c r="A27" i="45" s="1"/>
  <c r="A28" i="45" s="1"/>
  <c r="X18" i="45"/>
  <c r="B18" i="45"/>
  <c r="B19" i="45" s="1"/>
  <c r="B20" i="45" s="1"/>
  <c r="B21" i="45" s="1"/>
  <c r="B22" i="45" s="1"/>
  <c r="B23" i="45" s="1"/>
  <c r="B24" i="45" s="1"/>
  <c r="B25" i="45" s="1"/>
  <c r="B26" i="45" s="1"/>
  <c r="B27" i="45" s="1"/>
  <c r="B28" i="45" s="1"/>
  <c r="A18" i="45"/>
  <c r="W17" i="45"/>
  <c r="V17" i="45"/>
  <c r="U17" i="45"/>
  <c r="T17" i="45"/>
  <c r="S17" i="45"/>
  <c r="R17" i="45"/>
  <c r="Q17" i="45"/>
  <c r="P17" i="45"/>
  <c r="O17" i="45"/>
  <c r="N17" i="45"/>
  <c r="M17" i="45"/>
  <c r="L17" i="45"/>
  <c r="U28" i="45" l="1"/>
  <c r="T28" i="45"/>
  <c r="W28" i="45"/>
  <c r="W29" i="45"/>
  <c r="O28" i="45"/>
  <c r="N28" i="45"/>
  <c r="V28" i="45"/>
  <c r="R28" i="45"/>
  <c r="P28" i="45"/>
  <c r="M28" i="45"/>
  <c r="S28" i="45"/>
  <c r="X20" i="45"/>
  <c r="Q28" i="45"/>
  <c r="X17" i="45"/>
  <c r="L28" i="45"/>
  <c r="X28" i="45" l="1"/>
  <c r="C101" i="7" l="1"/>
  <c r="C113" i="7" s="1"/>
  <c r="W111" i="7"/>
  <c r="W110" i="7"/>
  <c r="W109" i="7"/>
  <c r="W108" i="7"/>
  <c r="W107" i="7"/>
  <c r="W106" i="7"/>
  <c r="W105" i="7"/>
  <c r="V104" i="7"/>
  <c r="U104" i="7"/>
  <c r="T104" i="7"/>
  <c r="S104" i="7"/>
  <c r="R104" i="7"/>
  <c r="Q104" i="7"/>
  <c r="P104" i="7"/>
  <c r="O104" i="7"/>
  <c r="N104" i="7"/>
  <c r="M104" i="7"/>
  <c r="L104" i="7"/>
  <c r="K104" i="7"/>
  <c r="W103" i="7"/>
  <c r="W102" i="7"/>
  <c r="A102" i="7"/>
  <c r="A103" i="7" s="1"/>
  <c r="A104" i="7" s="1"/>
  <c r="A105" i="7" s="1"/>
  <c r="A106" i="7" s="1"/>
  <c r="A107" i="7" s="1"/>
  <c r="A108" i="7" s="1"/>
  <c r="A109" i="7" s="1"/>
  <c r="A110" i="7" s="1"/>
  <c r="A111" i="7" s="1"/>
  <c r="A112" i="7" s="1"/>
  <c r="V101" i="7"/>
  <c r="U101" i="7"/>
  <c r="T101" i="7"/>
  <c r="T112" i="7" s="1"/>
  <c r="S101" i="7"/>
  <c r="R101" i="7"/>
  <c r="Q101" i="7"/>
  <c r="P101" i="7"/>
  <c r="P112" i="7" s="1"/>
  <c r="O101" i="7"/>
  <c r="N101" i="7"/>
  <c r="N112" i="7" s="1"/>
  <c r="M101" i="7"/>
  <c r="L101" i="7"/>
  <c r="K101" i="7"/>
  <c r="S112" i="7" l="1"/>
  <c r="R112" i="7"/>
  <c r="L112" i="7"/>
  <c r="V112" i="7"/>
  <c r="O112" i="7"/>
  <c r="W104" i="7"/>
  <c r="M112" i="7"/>
  <c r="U112" i="7"/>
  <c r="W101" i="7"/>
  <c r="K112" i="7"/>
  <c r="Q112" i="7"/>
  <c r="W112" i="7" l="1"/>
  <c r="C17" i="7"/>
  <c r="C29" i="7" s="1"/>
  <c r="C41" i="7" s="1"/>
  <c r="C53" i="7" s="1"/>
  <c r="C77" i="7" s="1"/>
  <c r="C89" i="7" s="1"/>
  <c r="K113" i="7" l="1"/>
  <c r="L113" i="7"/>
  <c r="M113" i="7"/>
  <c r="N113" i="7"/>
  <c r="O113" i="7"/>
  <c r="P113" i="7"/>
  <c r="Q113" i="7"/>
  <c r="R113" i="7"/>
  <c r="S113" i="7"/>
  <c r="T113" i="7"/>
  <c r="U113" i="7"/>
  <c r="V113" i="7"/>
  <c r="A114" i="7"/>
  <c r="A115" i="7" s="1"/>
  <c r="A116" i="7" s="1"/>
  <c r="A117" i="7" s="1"/>
  <c r="A118" i="7" s="1"/>
  <c r="A119" i="7" s="1"/>
  <c r="A120" i="7" s="1"/>
  <c r="A121" i="7" s="1"/>
  <c r="A122" i="7" s="1"/>
  <c r="A123" i="7" s="1"/>
  <c r="A124" i="7" s="1"/>
  <c r="B114" i="7"/>
  <c r="B115" i="7" s="1"/>
  <c r="B116" i="7" s="1"/>
  <c r="B117" i="7" s="1"/>
  <c r="B118" i="7" s="1"/>
  <c r="B119" i="7" s="1"/>
  <c r="B120" i="7" s="1"/>
  <c r="B121" i="7" s="1"/>
  <c r="B122" i="7" s="1"/>
  <c r="B123" i="7" s="1"/>
  <c r="B124" i="7" s="1"/>
  <c r="W114" i="7"/>
  <c r="W115" i="7"/>
  <c r="K116" i="7"/>
  <c r="L116" i="7"/>
  <c r="M116" i="7"/>
  <c r="N116" i="7"/>
  <c r="O116" i="7"/>
  <c r="P116" i="7"/>
  <c r="Q116" i="7"/>
  <c r="R116" i="7"/>
  <c r="S116" i="7"/>
  <c r="T116" i="7"/>
  <c r="U116" i="7"/>
  <c r="V116" i="7"/>
  <c r="W117" i="7"/>
  <c r="W118" i="7"/>
  <c r="W119" i="7"/>
  <c r="W120" i="7"/>
  <c r="W121" i="7"/>
  <c r="W122" i="7"/>
  <c r="W123" i="7"/>
  <c r="O124" i="7"/>
  <c r="P124" i="7"/>
  <c r="U124" i="7"/>
  <c r="V124" i="7"/>
  <c r="M124" i="7" l="1"/>
  <c r="L124" i="7"/>
  <c r="R124" i="7"/>
  <c r="T124" i="7"/>
  <c r="S124" i="7"/>
  <c r="N124" i="7"/>
  <c r="W116" i="7"/>
  <c r="Q124" i="7"/>
  <c r="K124" i="7"/>
  <c r="W113" i="7"/>
  <c r="K53" i="7"/>
  <c r="L53" i="7"/>
  <c r="M53" i="7"/>
  <c r="N53" i="7"/>
  <c r="O53" i="7"/>
  <c r="P53" i="7"/>
  <c r="Q53" i="7"/>
  <c r="R53" i="7"/>
  <c r="S53" i="7"/>
  <c r="T53" i="7"/>
  <c r="U53" i="7"/>
  <c r="V53" i="7"/>
  <c r="A54" i="7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W54" i="7"/>
  <c r="W55" i="7"/>
  <c r="K56" i="7"/>
  <c r="L56" i="7"/>
  <c r="L64" i="7" s="1"/>
  <c r="M56" i="7"/>
  <c r="N56" i="7"/>
  <c r="O56" i="7"/>
  <c r="P56" i="7"/>
  <c r="Q56" i="7"/>
  <c r="R56" i="7"/>
  <c r="R64" i="7" s="1"/>
  <c r="S56" i="7"/>
  <c r="S64" i="7" s="1"/>
  <c r="T56" i="7"/>
  <c r="U56" i="7"/>
  <c r="V56" i="7"/>
  <c r="W57" i="7"/>
  <c r="W58" i="7"/>
  <c r="W59" i="7"/>
  <c r="W60" i="7"/>
  <c r="W61" i="7"/>
  <c r="W62" i="7"/>
  <c r="W63" i="7"/>
  <c r="K65" i="7"/>
  <c r="L65" i="7"/>
  <c r="M65" i="7"/>
  <c r="N65" i="7"/>
  <c r="O65" i="7"/>
  <c r="P65" i="7"/>
  <c r="Q65" i="7"/>
  <c r="R65" i="7"/>
  <c r="S65" i="7"/>
  <c r="T65" i="7"/>
  <c r="U65" i="7"/>
  <c r="V65" i="7"/>
  <c r="A66" i="7"/>
  <c r="A67" i="7" s="1"/>
  <c r="A68" i="7" s="1"/>
  <c r="A69" i="7" s="1"/>
  <c r="A70" i="7" s="1"/>
  <c r="A71" i="7" s="1"/>
  <c r="A72" i="7" s="1"/>
  <c r="A73" i="7" s="1"/>
  <c r="A74" i="7" s="1"/>
  <c r="A75" i="7" s="1"/>
  <c r="A76" i="7" s="1"/>
  <c r="W66" i="7"/>
  <c r="W67" i="7"/>
  <c r="K68" i="7"/>
  <c r="L68" i="7"/>
  <c r="L76" i="7" s="1"/>
  <c r="M68" i="7"/>
  <c r="M76" i="7" s="1"/>
  <c r="N68" i="7"/>
  <c r="O68" i="7"/>
  <c r="P68" i="7"/>
  <c r="Q68" i="7"/>
  <c r="R68" i="7"/>
  <c r="S68" i="7"/>
  <c r="S76" i="7" s="1"/>
  <c r="T68" i="7"/>
  <c r="T76" i="7" s="1"/>
  <c r="U68" i="7"/>
  <c r="U76" i="7" s="1"/>
  <c r="V68" i="7"/>
  <c r="W69" i="7"/>
  <c r="W70" i="7"/>
  <c r="W71" i="7"/>
  <c r="W72" i="7"/>
  <c r="W73" i="7"/>
  <c r="W74" i="7"/>
  <c r="W75" i="7"/>
  <c r="N76" i="7"/>
  <c r="K77" i="7"/>
  <c r="L77" i="7"/>
  <c r="M77" i="7"/>
  <c r="N77" i="7"/>
  <c r="O77" i="7"/>
  <c r="P77" i="7"/>
  <c r="Q77" i="7"/>
  <c r="R77" i="7"/>
  <c r="S77" i="7"/>
  <c r="T77" i="7"/>
  <c r="U77" i="7"/>
  <c r="V77" i="7"/>
  <c r="A78" i="7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W78" i="7"/>
  <c r="W79" i="7"/>
  <c r="K80" i="7"/>
  <c r="L80" i="7"/>
  <c r="L88" i="7" s="1"/>
  <c r="M80" i="7"/>
  <c r="M88" i="7" s="1"/>
  <c r="N80" i="7"/>
  <c r="O80" i="7"/>
  <c r="O88" i="7" s="1"/>
  <c r="P80" i="7"/>
  <c r="P88" i="7" s="1"/>
  <c r="Q80" i="7"/>
  <c r="R80" i="7"/>
  <c r="S80" i="7"/>
  <c r="T80" i="7"/>
  <c r="T88" i="7" s="1"/>
  <c r="U80" i="7"/>
  <c r="U88" i="7" s="1"/>
  <c r="V80" i="7"/>
  <c r="V88" i="7" s="1"/>
  <c r="W81" i="7"/>
  <c r="W82" i="7"/>
  <c r="W83" i="7"/>
  <c r="W84" i="7"/>
  <c r="W85" i="7"/>
  <c r="W86" i="7"/>
  <c r="W87" i="7"/>
  <c r="K89" i="7"/>
  <c r="L89" i="7"/>
  <c r="M89" i="7"/>
  <c r="N89" i="7"/>
  <c r="O89" i="7"/>
  <c r="P89" i="7"/>
  <c r="Q89" i="7"/>
  <c r="R89" i="7"/>
  <c r="S89" i="7"/>
  <c r="T89" i="7"/>
  <c r="U89" i="7"/>
  <c r="V89" i="7"/>
  <c r="A90" i="7"/>
  <c r="A91" i="7" s="1"/>
  <c r="A92" i="7" s="1"/>
  <c r="A93" i="7" s="1"/>
  <c r="A94" i="7" s="1"/>
  <c r="A95" i="7" s="1"/>
  <c r="A96" i="7" s="1"/>
  <c r="A97" i="7" s="1"/>
  <c r="A98" i="7" s="1"/>
  <c r="A99" i="7" s="1"/>
  <c r="A100" i="7" s="1"/>
  <c r="W90" i="7"/>
  <c r="W91" i="7"/>
  <c r="K92" i="7"/>
  <c r="L92" i="7"/>
  <c r="M92" i="7"/>
  <c r="N92" i="7"/>
  <c r="N100" i="7" s="1"/>
  <c r="O92" i="7"/>
  <c r="O100" i="7" s="1"/>
  <c r="P92" i="7"/>
  <c r="P100" i="7" s="1"/>
  <c r="Q92" i="7"/>
  <c r="R92" i="7"/>
  <c r="S92" i="7"/>
  <c r="T92" i="7"/>
  <c r="T100" i="7" s="1"/>
  <c r="U92" i="7"/>
  <c r="V92" i="7"/>
  <c r="V100" i="7" s="1"/>
  <c r="W93" i="7"/>
  <c r="W94" i="7"/>
  <c r="W95" i="7"/>
  <c r="W96" i="7"/>
  <c r="W97" i="7"/>
  <c r="W98" i="7"/>
  <c r="W99" i="7"/>
  <c r="C17" i="14"/>
  <c r="C29" i="14" s="1"/>
  <c r="C41" i="14" s="1"/>
  <c r="C53" i="14" s="1"/>
  <c r="C65" i="14" s="1"/>
  <c r="C77" i="14" s="1"/>
  <c r="C89" i="14" s="1"/>
  <c r="C101" i="14" s="1"/>
  <c r="C113" i="14" s="1"/>
  <c r="C125" i="14" s="1"/>
  <c r="C137" i="14" s="1"/>
  <c r="C149" i="14" s="1"/>
  <c r="C161" i="14" s="1"/>
  <c r="C173" i="14" s="1"/>
  <c r="C185" i="14" s="1"/>
  <c r="C197" i="14" s="1"/>
  <c r="C29" i="45"/>
  <c r="X15" i="45"/>
  <c r="X14" i="45"/>
  <c r="X13" i="45"/>
  <c r="X12" i="45"/>
  <c r="X11" i="45"/>
  <c r="X10" i="45"/>
  <c r="X9" i="45"/>
  <c r="W8" i="45"/>
  <c r="W3" i="45" s="1"/>
  <c r="P39" i="9" s="1"/>
  <c r="V8" i="45"/>
  <c r="V30" i="45" s="1"/>
  <c r="U8" i="45"/>
  <c r="U30" i="45" s="1"/>
  <c r="T8" i="45"/>
  <c r="T30" i="45" s="1"/>
  <c r="S8" i="45"/>
  <c r="S30" i="45" s="1"/>
  <c r="R8" i="45"/>
  <c r="R30" i="45" s="1"/>
  <c r="Q8" i="45"/>
  <c r="Q30" i="45" s="1"/>
  <c r="P8" i="45"/>
  <c r="P30" i="45" s="1"/>
  <c r="O8" i="45"/>
  <c r="N8" i="45"/>
  <c r="M8" i="45"/>
  <c r="L8" i="45"/>
  <c r="X7" i="45"/>
  <c r="X6" i="45"/>
  <c r="A6" i="45"/>
  <c r="A7" i="45" s="1"/>
  <c r="A8" i="45" s="1"/>
  <c r="A9" i="45" s="1"/>
  <c r="A10" i="45" s="1"/>
  <c r="A11" i="45" s="1"/>
  <c r="A12" i="45" s="1"/>
  <c r="A13" i="45" s="1"/>
  <c r="A14" i="45" s="1"/>
  <c r="A15" i="45" s="1"/>
  <c r="A16" i="45" s="1"/>
  <c r="W5" i="45"/>
  <c r="V5" i="45"/>
  <c r="V29" i="45" s="1"/>
  <c r="U5" i="45"/>
  <c r="U29" i="45" s="1"/>
  <c r="T5" i="45"/>
  <c r="T29" i="45" s="1"/>
  <c r="S5" i="45"/>
  <c r="S29" i="45" s="1"/>
  <c r="R5" i="45"/>
  <c r="R29" i="45" s="1"/>
  <c r="Q5" i="45"/>
  <c r="Q29" i="45" s="1"/>
  <c r="P5" i="45"/>
  <c r="O5" i="45"/>
  <c r="N5" i="45"/>
  <c r="M5" i="45"/>
  <c r="L5" i="45"/>
  <c r="X111" i="38"/>
  <c r="X110" i="38"/>
  <c r="X109" i="38"/>
  <c r="X108" i="38"/>
  <c r="X107" i="38"/>
  <c r="X106" i="38"/>
  <c r="X105" i="38"/>
  <c r="W104" i="38"/>
  <c r="V104" i="38"/>
  <c r="U104" i="38"/>
  <c r="T104" i="38"/>
  <c r="S104" i="38"/>
  <c r="R104" i="38"/>
  <c r="Q104" i="38"/>
  <c r="P104" i="38"/>
  <c r="O104" i="38"/>
  <c r="N104" i="38"/>
  <c r="M104" i="38"/>
  <c r="L104" i="38"/>
  <c r="X103" i="38"/>
  <c r="X102" i="38"/>
  <c r="B102" i="38"/>
  <c r="B103" i="38" s="1"/>
  <c r="B104" i="38" s="1"/>
  <c r="B105" i="38" s="1"/>
  <c r="B106" i="38" s="1"/>
  <c r="B107" i="38" s="1"/>
  <c r="B108" i="38" s="1"/>
  <c r="B109" i="38" s="1"/>
  <c r="B110" i="38" s="1"/>
  <c r="B111" i="38" s="1"/>
  <c r="B112" i="38" s="1"/>
  <c r="A102" i="38"/>
  <c r="A103" i="38" s="1"/>
  <c r="A104" i="38" s="1"/>
  <c r="A105" i="38" s="1"/>
  <c r="A106" i="38" s="1"/>
  <c r="A107" i="38" s="1"/>
  <c r="A108" i="38" s="1"/>
  <c r="A109" i="38" s="1"/>
  <c r="A110" i="38" s="1"/>
  <c r="A111" i="38" s="1"/>
  <c r="A112" i="38" s="1"/>
  <c r="W101" i="38"/>
  <c r="W112" i="38" s="1"/>
  <c r="V101" i="38"/>
  <c r="V112" i="38" s="1"/>
  <c r="U101" i="38"/>
  <c r="U112" i="38" s="1"/>
  <c r="T101" i="38"/>
  <c r="T112" i="38" s="1"/>
  <c r="S101" i="38"/>
  <c r="S112" i="38" s="1"/>
  <c r="R101" i="38"/>
  <c r="R112" i="38" s="1"/>
  <c r="Q101" i="38"/>
  <c r="P101" i="38"/>
  <c r="O101" i="38"/>
  <c r="N101" i="38"/>
  <c r="M101" i="38"/>
  <c r="M112" i="38" s="1"/>
  <c r="L101" i="38"/>
  <c r="X87" i="38"/>
  <c r="X86" i="38"/>
  <c r="X85" i="38"/>
  <c r="X84" i="38"/>
  <c r="X83" i="38"/>
  <c r="X82" i="38"/>
  <c r="X81" i="38"/>
  <c r="W80" i="38"/>
  <c r="V80" i="38"/>
  <c r="U80" i="38"/>
  <c r="T80" i="38"/>
  <c r="S80" i="38"/>
  <c r="R80" i="38"/>
  <c r="Q80" i="38"/>
  <c r="P80" i="38"/>
  <c r="O80" i="38"/>
  <c r="N80" i="38"/>
  <c r="M80" i="38"/>
  <c r="L80" i="38"/>
  <c r="X79" i="38"/>
  <c r="X78" i="38"/>
  <c r="A78" i="38"/>
  <c r="A79" i="38" s="1"/>
  <c r="A80" i="38" s="1"/>
  <c r="A81" i="38" s="1"/>
  <c r="A82" i="38" s="1"/>
  <c r="A83" i="38" s="1"/>
  <c r="A84" i="38" s="1"/>
  <c r="A85" i="38" s="1"/>
  <c r="A86" i="38" s="1"/>
  <c r="A87" i="38" s="1"/>
  <c r="A88" i="38" s="1"/>
  <c r="W77" i="38"/>
  <c r="V77" i="38"/>
  <c r="V88" i="38" s="1"/>
  <c r="U77" i="38"/>
  <c r="T77" i="38"/>
  <c r="T88" i="38" s="1"/>
  <c r="S77" i="38"/>
  <c r="S88" i="38" s="1"/>
  <c r="R77" i="38"/>
  <c r="R88" i="38" s="1"/>
  <c r="Q77" i="38"/>
  <c r="Q88" i="38" s="1"/>
  <c r="P77" i="38"/>
  <c r="O77" i="38"/>
  <c r="N77" i="38"/>
  <c r="M77" i="38"/>
  <c r="L77" i="38"/>
  <c r="C17" i="35"/>
  <c r="C29" i="35" s="1"/>
  <c r="C41" i="35" s="1"/>
  <c r="C53" i="35" s="1"/>
  <c r="C65" i="35" s="1"/>
  <c r="C77" i="35" s="1"/>
  <c r="C89" i="35" s="1"/>
  <c r="C101" i="35" s="1"/>
  <c r="C113" i="35" s="1"/>
  <c r="C125" i="35" s="1"/>
  <c r="X15" i="35"/>
  <c r="X14" i="35"/>
  <c r="X13" i="35"/>
  <c r="X12" i="35"/>
  <c r="X11" i="35"/>
  <c r="X10" i="35"/>
  <c r="X9" i="35"/>
  <c r="W8" i="35"/>
  <c r="V8" i="35"/>
  <c r="U8" i="35"/>
  <c r="T8" i="35"/>
  <c r="S8" i="35"/>
  <c r="R8" i="35"/>
  <c r="Q8" i="35"/>
  <c r="P8" i="35"/>
  <c r="O8" i="35"/>
  <c r="N8" i="35"/>
  <c r="M8" i="35"/>
  <c r="L8" i="35"/>
  <c r="X7" i="35"/>
  <c r="X6" i="35"/>
  <c r="A6" i="35"/>
  <c r="A7" i="35" s="1"/>
  <c r="A8" i="35" s="1"/>
  <c r="A9" i="35" s="1"/>
  <c r="A10" i="35" s="1"/>
  <c r="A11" i="35" s="1"/>
  <c r="A12" i="35" s="1"/>
  <c r="A13" i="35" s="1"/>
  <c r="A14" i="35" s="1"/>
  <c r="A15" i="35" s="1"/>
  <c r="A16" i="35" s="1"/>
  <c r="W5" i="35"/>
  <c r="V5" i="35"/>
  <c r="U5" i="35"/>
  <c r="T5" i="35"/>
  <c r="S5" i="35"/>
  <c r="R5" i="35"/>
  <c r="Q5" i="35"/>
  <c r="P5" i="35"/>
  <c r="O5" i="35"/>
  <c r="N5" i="35"/>
  <c r="M5" i="35"/>
  <c r="L5" i="35"/>
  <c r="C17" i="44"/>
  <c r="C29" i="44" s="1"/>
  <c r="C41" i="44"/>
  <c r="X27" i="44"/>
  <c r="X26" i="44"/>
  <c r="X25" i="44"/>
  <c r="X24" i="44"/>
  <c r="X23" i="44"/>
  <c r="X22" i="44"/>
  <c r="X21" i="44"/>
  <c r="W20" i="44"/>
  <c r="V20" i="44"/>
  <c r="U20" i="44"/>
  <c r="T20" i="44"/>
  <c r="S20" i="44"/>
  <c r="R20" i="44"/>
  <c r="Q20" i="44"/>
  <c r="P20" i="44"/>
  <c r="O20" i="44"/>
  <c r="N20" i="44"/>
  <c r="L20" i="44"/>
  <c r="X18" i="44"/>
  <c r="A18" i="44"/>
  <c r="A19" i="44" s="1"/>
  <c r="A20" i="44" s="1"/>
  <c r="A21" i="44" s="1"/>
  <c r="A22" i="44" s="1"/>
  <c r="A23" i="44" s="1"/>
  <c r="A24" i="44" s="1"/>
  <c r="A25" i="44" s="1"/>
  <c r="A26" i="44" s="1"/>
  <c r="A27" i="44" s="1"/>
  <c r="A28" i="44" s="1"/>
  <c r="W17" i="44"/>
  <c r="V17" i="44"/>
  <c r="U17" i="44"/>
  <c r="T17" i="44"/>
  <c r="S17" i="44"/>
  <c r="R17" i="44"/>
  <c r="Q17" i="44"/>
  <c r="P17" i="44"/>
  <c r="O17" i="44"/>
  <c r="N17" i="44"/>
  <c r="M17" i="44"/>
  <c r="L17" i="44"/>
  <c r="L28" i="44" s="1"/>
  <c r="X15" i="44"/>
  <c r="X14" i="44"/>
  <c r="X13" i="44"/>
  <c r="X12" i="44"/>
  <c r="X11" i="44"/>
  <c r="X10" i="44"/>
  <c r="X9" i="44"/>
  <c r="W8" i="44"/>
  <c r="V8" i="44"/>
  <c r="V42" i="44" s="1"/>
  <c r="U8" i="44"/>
  <c r="U42" i="44" s="1"/>
  <c r="T8" i="44"/>
  <c r="T42" i="44" s="1"/>
  <c r="S8" i="44"/>
  <c r="S42" i="44" s="1"/>
  <c r="R8" i="44"/>
  <c r="R42" i="44" s="1"/>
  <c r="Q8" i="44"/>
  <c r="Q42" i="44" s="1"/>
  <c r="P8" i="44"/>
  <c r="O8" i="44"/>
  <c r="N8" i="44"/>
  <c r="M8" i="44"/>
  <c r="L8" i="44"/>
  <c r="X6" i="44"/>
  <c r="A6" i="44"/>
  <c r="A7" i="44" s="1"/>
  <c r="A8" i="44" s="1"/>
  <c r="A9" i="44" s="1"/>
  <c r="A10" i="44" s="1"/>
  <c r="A11" i="44" s="1"/>
  <c r="A12" i="44" s="1"/>
  <c r="A13" i="44" s="1"/>
  <c r="A14" i="44" s="1"/>
  <c r="A15" i="44" s="1"/>
  <c r="A16" i="44" s="1"/>
  <c r="W5" i="44"/>
  <c r="V5" i="44"/>
  <c r="V41" i="44" s="1"/>
  <c r="U5" i="44"/>
  <c r="U41" i="44" s="1"/>
  <c r="T5" i="44"/>
  <c r="T41" i="44" s="1"/>
  <c r="S5" i="44"/>
  <c r="S41" i="44" s="1"/>
  <c r="R5" i="44"/>
  <c r="R41" i="44" s="1"/>
  <c r="Q5" i="44"/>
  <c r="Q41" i="44" s="1"/>
  <c r="P5" i="44"/>
  <c r="O5" i="44"/>
  <c r="N5" i="44"/>
  <c r="M5" i="44"/>
  <c r="L5" i="44"/>
  <c r="C29" i="19"/>
  <c r="C41" i="19"/>
  <c r="C53" i="19" s="1"/>
  <c r="C65" i="19" s="1"/>
  <c r="C77" i="19" s="1"/>
  <c r="C89" i="19" s="1"/>
  <c r="C101" i="19" s="1"/>
  <c r="C113" i="19" s="1"/>
  <c r="C17" i="19"/>
  <c r="C29" i="43"/>
  <c r="X27" i="43"/>
  <c r="X26" i="43"/>
  <c r="X25" i="43"/>
  <c r="X24" i="43"/>
  <c r="X23" i="43"/>
  <c r="X22" i="43"/>
  <c r="X21" i="43"/>
  <c r="W20" i="43"/>
  <c r="V20" i="43"/>
  <c r="U20" i="43"/>
  <c r="T20" i="43"/>
  <c r="S20" i="43"/>
  <c r="R20" i="43"/>
  <c r="Q20" i="43"/>
  <c r="P20" i="43"/>
  <c r="O20" i="43"/>
  <c r="N20" i="43"/>
  <c r="M20" i="43"/>
  <c r="L20" i="43"/>
  <c r="X18" i="43"/>
  <c r="B18" i="43"/>
  <c r="B19" i="43" s="1"/>
  <c r="B20" i="43" s="1"/>
  <c r="B21" i="43" s="1"/>
  <c r="B22" i="43" s="1"/>
  <c r="B23" i="43" s="1"/>
  <c r="B24" i="43" s="1"/>
  <c r="B25" i="43" s="1"/>
  <c r="B26" i="43" s="1"/>
  <c r="B27" i="43" s="1"/>
  <c r="B28" i="43" s="1"/>
  <c r="A18" i="43"/>
  <c r="A19" i="43" s="1"/>
  <c r="A20" i="43" s="1"/>
  <c r="A21" i="43" s="1"/>
  <c r="A22" i="43" s="1"/>
  <c r="A23" i="43" s="1"/>
  <c r="A24" i="43" s="1"/>
  <c r="A25" i="43" s="1"/>
  <c r="A26" i="43" s="1"/>
  <c r="A27" i="43" s="1"/>
  <c r="A28" i="43" s="1"/>
  <c r="W17" i="43"/>
  <c r="W29" i="43" s="1"/>
  <c r="V17" i="43"/>
  <c r="U17" i="43"/>
  <c r="T17" i="43"/>
  <c r="S17" i="43"/>
  <c r="R17" i="43"/>
  <c r="Q17" i="43"/>
  <c r="P17" i="43"/>
  <c r="O17" i="43"/>
  <c r="N17" i="43"/>
  <c r="M17" i="43"/>
  <c r="L17" i="43"/>
  <c r="X15" i="43"/>
  <c r="X14" i="43"/>
  <c r="X13" i="43"/>
  <c r="X12" i="43"/>
  <c r="X11" i="43"/>
  <c r="X10" i="43"/>
  <c r="X9" i="43"/>
  <c r="W8" i="43"/>
  <c r="V8" i="43"/>
  <c r="U8" i="43"/>
  <c r="U30" i="43" s="1"/>
  <c r="T8" i="43"/>
  <c r="T30" i="43" s="1"/>
  <c r="S8" i="43"/>
  <c r="R8" i="43"/>
  <c r="R30" i="43" s="1"/>
  <c r="Q8" i="43"/>
  <c r="P8" i="43"/>
  <c r="O8" i="43"/>
  <c r="N8" i="43"/>
  <c r="M8" i="43"/>
  <c r="L8" i="43"/>
  <c r="X6" i="43"/>
  <c r="A6" i="43"/>
  <c r="A7" i="43" s="1"/>
  <c r="A8" i="43" s="1"/>
  <c r="A9" i="43" s="1"/>
  <c r="A10" i="43" s="1"/>
  <c r="A11" i="43" s="1"/>
  <c r="A12" i="43" s="1"/>
  <c r="A13" i="43" s="1"/>
  <c r="A14" i="43" s="1"/>
  <c r="A15" i="43" s="1"/>
  <c r="A16" i="43" s="1"/>
  <c r="W5" i="43"/>
  <c r="V5" i="43"/>
  <c r="V29" i="43" s="1"/>
  <c r="U5" i="43"/>
  <c r="U29" i="43" s="1"/>
  <c r="T5" i="43"/>
  <c r="T29" i="43" s="1"/>
  <c r="S5" i="43"/>
  <c r="R5" i="43"/>
  <c r="Q5" i="43"/>
  <c r="P5" i="43"/>
  <c r="O5" i="43"/>
  <c r="N5" i="43"/>
  <c r="N16" i="43" s="1"/>
  <c r="M5" i="43"/>
  <c r="L5" i="43"/>
  <c r="C17" i="43"/>
  <c r="C17" i="17"/>
  <c r="C29" i="17" s="1"/>
  <c r="C41" i="17" s="1"/>
  <c r="C53" i="17" s="1"/>
  <c r="C65" i="17" s="1"/>
  <c r="C77" i="17" s="1"/>
  <c r="C29" i="18"/>
  <c r="C41" i="18"/>
  <c r="C53" i="18" s="1"/>
  <c r="C65" i="18" s="1"/>
  <c r="C77" i="18" s="1"/>
  <c r="C89" i="18" s="1"/>
  <c r="C101" i="18" s="1"/>
  <c r="C113" i="18" s="1"/>
  <c r="C125" i="18" s="1"/>
  <c r="C17" i="18"/>
  <c r="C29" i="24"/>
  <c r="C41" i="24" s="1"/>
  <c r="C17" i="24"/>
  <c r="C17" i="15"/>
  <c r="C29" i="15" s="1"/>
  <c r="V30" i="43" l="1"/>
  <c r="S29" i="43"/>
  <c r="S30" i="43"/>
  <c r="R16" i="43"/>
  <c r="R29" i="43"/>
  <c r="X29" i="43" s="1"/>
  <c r="C41" i="15"/>
  <c r="C53" i="15" s="1"/>
  <c r="Q30" i="43"/>
  <c r="Q29" i="43"/>
  <c r="Q28" i="43"/>
  <c r="S16" i="44"/>
  <c r="W16" i="44"/>
  <c r="W43" i="44"/>
  <c r="U2" i="44"/>
  <c r="N26" i="9" s="1"/>
  <c r="N2" i="44"/>
  <c r="V16" i="44"/>
  <c r="L16" i="44"/>
  <c r="V3" i="44"/>
  <c r="O27" i="9" s="1"/>
  <c r="O28" i="44"/>
  <c r="P28" i="44"/>
  <c r="W28" i="44"/>
  <c r="Q28" i="44"/>
  <c r="U28" i="44"/>
  <c r="W3" i="44"/>
  <c r="P27" i="9" s="1"/>
  <c r="P3" i="44"/>
  <c r="I27" i="9" s="1"/>
  <c r="Q3" i="44"/>
  <c r="J27" i="9" s="1"/>
  <c r="S16" i="45"/>
  <c r="T16" i="35"/>
  <c r="M16" i="35"/>
  <c r="U16" i="35"/>
  <c r="V16" i="35"/>
  <c r="T16" i="44"/>
  <c r="O16" i="43"/>
  <c r="O3" i="43"/>
  <c r="H21" i="9" s="1"/>
  <c r="N112" i="38"/>
  <c r="O112" i="38"/>
  <c r="P112" i="38"/>
  <c r="Q112" i="38"/>
  <c r="W88" i="38"/>
  <c r="N88" i="38"/>
  <c r="O88" i="38"/>
  <c r="V3" i="45"/>
  <c r="O39" i="9" s="1"/>
  <c r="P16" i="45"/>
  <c r="M3" i="45"/>
  <c r="F39" i="9" s="1"/>
  <c r="R16" i="45"/>
  <c r="N3" i="45"/>
  <c r="G39" i="9" s="1"/>
  <c r="N16" i="35"/>
  <c r="Q16" i="35"/>
  <c r="N16" i="44"/>
  <c r="O16" i="44"/>
  <c r="U33" i="43"/>
  <c r="M3" i="43"/>
  <c r="F21" i="9" s="1"/>
  <c r="T28" i="43"/>
  <c r="X8" i="43"/>
  <c r="S3" i="43"/>
  <c r="L21" i="9" s="1"/>
  <c r="V16" i="43"/>
  <c r="O16" i="35"/>
  <c r="W16" i="35"/>
  <c r="S16" i="35"/>
  <c r="W124" i="7"/>
  <c r="X101" i="38"/>
  <c r="X104" i="38"/>
  <c r="U88" i="38"/>
  <c r="M64" i="7"/>
  <c r="R100" i="7"/>
  <c r="Q76" i="7"/>
  <c r="Q100" i="7"/>
  <c r="R88" i="7"/>
  <c r="O76" i="7"/>
  <c r="Q88" i="7"/>
  <c r="L100" i="7"/>
  <c r="V64" i="7"/>
  <c r="W53" i="7"/>
  <c r="U64" i="7"/>
  <c r="V76" i="7"/>
  <c r="T64" i="7"/>
  <c r="P64" i="7"/>
  <c r="N64" i="7"/>
  <c r="N88" i="7"/>
  <c r="O64" i="7"/>
  <c r="U100" i="7"/>
  <c r="M100" i="7"/>
  <c r="W80" i="7"/>
  <c r="W68" i="7"/>
  <c r="W56" i="7"/>
  <c r="S88" i="7"/>
  <c r="K88" i="7"/>
  <c r="R76" i="7"/>
  <c r="S100" i="7"/>
  <c r="W89" i="7"/>
  <c r="W65" i="7"/>
  <c r="Q64" i="7"/>
  <c r="K100" i="7"/>
  <c r="W92" i="7"/>
  <c r="P76" i="7"/>
  <c r="W77" i="7"/>
  <c r="K64" i="7"/>
  <c r="K76" i="7"/>
  <c r="N16" i="45"/>
  <c r="V16" i="45"/>
  <c r="X8" i="45"/>
  <c r="M16" i="45"/>
  <c r="U16" i="45"/>
  <c r="Q16" i="45"/>
  <c r="O16" i="45"/>
  <c r="W16" i="45"/>
  <c r="U32" i="45"/>
  <c r="U2" i="45"/>
  <c r="N38" i="9" s="1"/>
  <c r="O33" i="45"/>
  <c r="O3" i="45"/>
  <c r="H39" i="9" s="1"/>
  <c r="S3" i="45"/>
  <c r="L39" i="9" s="1"/>
  <c r="U31" i="45"/>
  <c r="T3" i="45"/>
  <c r="M39" i="9" s="1"/>
  <c r="X5" i="45"/>
  <c r="L16" i="45"/>
  <c r="T16" i="45"/>
  <c r="P3" i="45"/>
  <c r="I39" i="9" s="1"/>
  <c r="Q3" i="45"/>
  <c r="J39" i="9" s="1"/>
  <c r="X77" i="38"/>
  <c r="L112" i="38"/>
  <c r="M88" i="38"/>
  <c r="P88" i="38"/>
  <c r="X80" i="38"/>
  <c r="L88" i="38"/>
  <c r="R16" i="35"/>
  <c r="X5" i="35"/>
  <c r="X8" i="35"/>
  <c r="P16" i="35"/>
  <c r="L16" i="35"/>
  <c r="P16" i="44"/>
  <c r="R28" i="44"/>
  <c r="S28" i="44"/>
  <c r="T28" i="44"/>
  <c r="M16" i="44"/>
  <c r="U16" i="44"/>
  <c r="X8" i="44"/>
  <c r="R3" i="44"/>
  <c r="K27" i="9" s="1"/>
  <c r="T2" i="44"/>
  <c r="M26" i="9" s="1"/>
  <c r="M2" i="44"/>
  <c r="V43" i="44"/>
  <c r="V2" i="44"/>
  <c r="U3" i="44"/>
  <c r="N27" i="9" s="1"/>
  <c r="O43" i="44"/>
  <c r="O2" i="44"/>
  <c r="H26" i="9" s="1"/>
  <c r="O3" i="44"/>
  <c r="H27" i="9" s="1"/>
  <c r="N28" i="44"/>
  <c r="V28" i="44"/>
  <c r="N3" i="44"/>
  <c r="G27" i="9" s="1"/>
  <c r="S3" i="44"/>
  <c r="L27" i="9" s="1"/>
  <c r="T3" i="44"/>
  <c r="M27" i="9" s="1"/>
  <c r="X5" i="44"/>
  <c r="X17" i="44"/>
  <c r="M20" i="44"/>
  <c r="X20" i="44" s="1"/>
  <c r="Q16" i="44"/>
  <c r="R16" i="44"/>
  <c r="W16" i="43"/>
  <c r="P16" i="43"/>
  <c r="Q16" i="43"/>
  <c r="O28" i="43"/>
  <c r="W28" i="43"/>
  <c r="L16" i="43"/>
  <c r="T16" i="43"/>
  <c r="R28" i="43"/>
  <c r="S16" i="43"/>
  <c r="U16" i="43"/>
  <c r="S28" i="43"/>
  <c r="N28" i="43"/>
  <c r="V28" i="43"/>
  <c r="L3" i="43"/>
  <c r="E21" i="9" s="1"/>
  <c r="T3" i="43"/>
  <c r="M21" i="9" s="1"/>
  <c r="X5" i="43"/>
  <c r="W2" i="43"/>
  <c r="P20" i="9" s="1"/>
  <c r="N3" i="43"/>
  <c r="G21" i="9" s="1"/>
  <c r="V3" i="43"/>
  <c r="O21" i="9" s="1"/>
  <c r="X17" i="43"/>
  <c r="P31" i="43"/>
  <c r="W3" i="43"/>
  <c r="P21" i="9" s="1"/>
  <c r="M28" i="43"/>
  <c r="U28" i="43"/>
  <c r="Q2" i="43"/>
  <c r="J20" i="9" s="1"/>
  <c r="P3" i="43"/>
  <c r="I21" i="9" s="1"/>
  <c r="X20" i="43"/>
  <c r="Q3" i="43"/>
  <c r="J21" i="9" s="1"/>
  <c r="S2" i="43"/>
  <c r="L20" i="9" s="1"/>
  <c r="R3" i="43"/>
  <c r="K21" i="9" s="1"/>
  <c r="P28" i="43"/>
  <c r="O33" i="43"/>
  <c r="L33" i="43"/>
  <c r="M2" i="43"/>
  <c r="U2" i="43"/>
  <c r="N20" i="9" s="1"/>
  <c r="U31" i="43"/>
  <c r="U32" i="43"/>
  <c r="U3" i="43"/>
  <c r="N21" i="9" s="1"/>
  <c r="L28" i="43"/>
  <c r="M16" i="43"/>
  <c r="X16" i="43" l="1"/>
  <c r="U43" i="44"/>
  <c r="U45" i="44"/>
  <c r="U44" i="44"/>
  <c r="W2" i="44"/>
  <c r="X41" i="44"/>
  <c r="O45" i="44"/>
  <c r="X42" i="44"/>
  <c r="X45" i="44" s="1"/>
  <c r="M31" i="43"/>
  <c r="N4" i="44"/>
  <c r="G26" i="9"/>
  <c r="F26" i="9"/>
  <c r="V4" i="44"/>
  <c r="O26" i="9"/>
  <c r="W4" i="44"/>
  <c r="P26" i="9"/>
  <c r="X30" i="43"/>
  <c r="X33" i="43" s="1"/>
  <c r="M4" i="43"/>
  <c r="F20" i="9"/>
  <c r="X16" i="44"/>
  <c r="S4" i="43"/>
  <c r="X112" i="38"/>
  <c r="X88" i="38"/>
  <c r="W64" i="7"/>
  <c r="W88" i="7"/>
  <c r="W76" i="7"/>
  <c r="W100" i="7"/>
  <c r="X16" i="45"/>
  <c r="L33" i="45"/>
  <c r="X30" i="45"/>
  <c r="X33" i="45" s="1"/>
  <c r="L3" i="45"/>
  <c r="E39" i="9" s="1"/>
  <c r="T31" i="45"/>
  <c r="T2" i="45"/>
  <c r="N31" i="45"/>
  <c r="N2" i="45"/>
  <c r="U33" i="45"/>
  <c r="U3" i="45"/>
  <c r="P31" i="45"/>
  <c r="P2" i="45"/>
  <c r="W31" i="45"/>
  <c r="W2" i="45"/>
  <c r="O31" i="45"/>
  <c r="O32" i="45"/>
  <c r="O2" i="45"/>
  <c r="R33" i="45"/>
  <c r="R3" i="45"/>
  <c r="K39" i="9" s="1"/>
  <c r="X29" i="45"/>
  <c r="X32" i="45" s="1"/>
  <c r="L31" i="45"/>
  <c r="L32" i="45"/>
  <c r="L2" i="45"/>
  <c r="E38" i="9" s="1"/>
  <c r="R32" i="45"/>
  <c r="R2" i="45"/>
  <c r="K38" i="9" s="1"/>
  <c r="R31" i="45"/>
  <c r="Q31" i="45"/>
  <c r="Q2" i="45"/>
  <c r="M31" i="45"/>
  <c r="M2" i="45"/>
  <c r="S31" i="45"/>
  <c r="S2" i="45"/>
  <c r="V31" i="45"/>
  <c r="V2" i="45"/>
  <c r="X16" i="35"/>
  <c r="U46" i="44"/>
  <c r="S2" i="44"/>
  <c r="S43" i="44"/>
  <c r="Q43" i="44"/>
  <c r="Q2" i="44"/>
  <c r="P43" i="44"/>
  <c r="P2" i="44"/>
  <c r="L2" i="44"/>
  <c r="E26" i="9" s="1"/>
  <c r="L44" i="44"/>
  <c r="L43" i="44"/>
  <c r="M28" i="44"/>
  <c r="R2" i="44"/>
  <c r="R44" i="44"/>
  <c r="R43" i="44"/>
  <c r="T43" i="44"/>
  <c r="X28" i="44"/>
  <c r="O4" i="44"/>
  <c r="N43" i="44"/>
  <c r="T4" i="44"/>
  <c r="L45" i="44"/>
  <c r="L3" i="44"/>
  <c r="O44" i="44"/>
  <c r="U4" i="44"/>
  <c r="R45" i="44"/>
  <c r="X3" i="43"/>
  <c r="Q4" i="43"/>
  <c r="S31" i="43"/>
  <c r="Q31" i="43"/>
  <c r="P2" i="43"/>
  <c r="W4" i="43"/>
  <c r="R33" i="43"/>
  <c r="O31" i="43"/>
  <c r="W31" i="43"/>
  <c r="O2" i="43"/>
  <c r="O32" i="43"/>
  <c r="X28" i="43"/>
  <c r="V2" i="43"/>
  <c r="V31" i="43"/>
  <c r="R32" i="43"/>
  <c r="R2" i="43"/>
  <c r="R31" i="43"/>
  <c r="U4" i="43"/>
  <c r="T2" i="43"/>
  <c r="T31" i="43"/>
  <c r="N2" i="43"/>
  <c r="N31" i="43"/>
  <c r="X32" i="43"/>
  <c r="L2" i="43"/>
  <c r="E20" i="9" s="1"/>
  <c r="L31" i="43"/>
  <c r="L32" i="43"/>
  <c r="K40" i="9" l="1"/>
  <c r="M3" i="44"/>
  <c r="X3" i="44" s="1"/>
  <c r="M43" i="44"/>
  <c r="O46" i="44"/>
  <c r="V4" i="45"/>
  <c r="O38" i="9"/>
  <c r="O40" i="9" s="1"/>
  <c r="N4" i="45"/>
  <c r="G38" i="9"/>
  <c r="G40" i="9" s="1"/>
  <c r="Q4" i="45"/>
  <c r="J38" i="9"/>
  <c r="J40" i="9" s="1"/>
  <c r="P4" i="45"/>
  <c r="I38" i="9"/>
  <c r="I40" i="9" s="1"/>
  <c r="O4" i="45"/>
  <c r="H38" i="9"/>
  <c r="H40" i="9" s="1"/>
  <c r="S4" i="45"/>
  <c r="L38" i="9"/>
  <c r="L40" i="9" s="1"/>
  <c r="R34" i="45"/>
  <c r="M4" i="45"/>
  <c r="F38" i="9"/>
  <c r="F40" i="9" s="1"/>
  <c r="W4" i="45"/>
  <c r="P38" i="9"/>
  <c r="P40" i="9" s="1"/>
  <c r="T4" i="45"/>
  <c r="M38" i="9"/>
  <c r="M40" i="9" s="1"/>
  <c r="S4" i="44"/>
  <c r="L26" i="9"/>
  <c r="P4" i="44"/>
  <c r="I26" i="9"/>
  <c r="Q4" i="44"/>
  <c r="J26" i="9"/>
  <c r="R4" i="44"/>
  <c r="K26" i="9"/>
  <c r="R4" i="43"/>
  <c r="K20" i="9"/>
  <c r="P4" i="43"/>
  <c r="I20" i="9"/>
  <c r="O4" i="43"/>
  <c r="H20" i="9"/>
  <c r="U34" i="43"/>
  <c r="N4" i="43"/>
  <c r="G20" i="9"/>
  <c r="V4" i="43"/>
  <c r="O20" i="9"/>
  <c r="T4" i="43"/>
  <c r="M20" i="9"/>
  <c r="U4" i="45"/>
  <c r="N39" i="9"/>
  <c r="N40" i="9" s="1"/>
  <c r="U34" i="45"/>
  <c r="X43" i="44"/>
  <c r="X46" i="44" s="1"/>
  <c r="O34" i="43"/>
  <c r="X31" i="43"/>
  <c r="X34" i="43" s="1"/>
  <c r="E40" i="9"/>
  <c r="E27" i="9"/>
  <c r="O34" i="45"/>
  <c r="X3" i="45"/>
  <c r="R4" i="45"/>
  <c r="L34" i="45"/>
  <c r="X31" i="45"/>
  <c r="X34" i="45" s="1"/>
  <c r="L4" i="45"/>
  <c r="X2" i="45"/>
  <c r="R46" i="44"/>
  <c r="L46" i="44"/>
  <c r="L4" i="44"/>
  <c r="X2" i="44"/>
  <c r="X44" i="44"/>
  <c r="R34" i="43"/>
  <c r="L34" i="43"/>
  <c r="L4" i="43"/>
  <c r="X2" i="43"/>
  <c r="F27" i="9" l="1"/>
  <c r="M4" i="44"/>
  <c r="Q40" i="9"/>
  <c r="Q38" i="9"/>
  <c r="X4" i="44"/>
  <c r="X4" i="43"/>
  <c r="X4" i="45"/>
  <c r="Q39" i="9"/>
  <c r="C17" i="40"/>
  <c r="C29" i="40" s="1"/>
  <c r="C41" i="40" s="1"/>
  <c r="C53" i="40" s="1"/>
  <c r="X15" i="17"/>
  <c r="X14" i="17"/>
  <c r="X13" i="17"/>
  <c r="X12" i="17"/>
  <c r="X11" i="17"/>
  <c r="X10" i="17"/>
  <c r="X9" i="17"/>
  <c r="W8" i="17"/>
  <c r="V8" i="17"/>
  <c r="U8" i="17"/>
  <c r="T8" i="17"/>
  <c r="S8" i="17"/>
  <c r="R8" i="17"/>
  <c r="Q8" i="17"/>
  <c r="P8" i="17"/>
  <c r="O8" i="17"/>
  <c r="N8" i="17"/>
  <c r="M8" i="17"/>
  <c r="L8" i="17"/>
  <c r="X6" i="17"/>
  <c r="A6" i="17"/>
  <c r="A7" i="17" s="1"/>
  <c r="A8" i="17" s="1"/>
  <c r="A9" i="17" s="1"/>
  <c r="A10" i="17" s="1"/>
  <c r="A11" i="17" s="1"/>
  <c r="A12" i="17" s="1"/>
  <c r="A13" i="17" s="1"/>
  <c r="A14" i="17" s="1"/>
  <c r="A15" i="17" s="1"/>
  <c r="A16" i="17" s="1"/>
  <c r="W5" i="17"/>
  <c r="V5" i="17"/>
  <c r="U5" i="17"/>
  <c r="T5" i="17"/>
  <c r="S5" i="17"/>
  <c r="R5" i="17"/>
  <c r="Q5" i="17"/>
  <c r="P5" i="17"/>
  <c r="O5" i="17"/>
  <c r="N5" i="17"/>
  <c r="M5" i="17"/>
  <c r="L5" i="17"/>
  <c r="N17" i="40"/>
  <c r="O17" i="40"/>
  <c r="P17" i="40"/>
  <c r="Q17" i="40"/>
  <c r="T17" i="40"/>
  <c r="U17" i="40"/>
  <c r="V17" i="40"/>
  <c r="M17" i="40"/>
  <c r="X27" i="40"/>
  <c r="X26" i="40"/>
  <c r="X25" i="40"/>
  <c r="X24" i="40"/>
  <c r="X23" i="40"/>
  <c r="X22" i="40"/>
  <c r="X21" i="40"/>
  <c r="W20" i="40"/>
  <c r="V20" i="40"/>
  <c r="U20" i="40"/>
  <c r="T20" i="40"/>
  <c r="S20" i="40"/>
  <c r="R20" i="40"/>
  <c r="Q20" i="40"/>
  <c r="P20" i="40"/>
  <c r="O20" i="40"/>
  <c r="N20" i="40"/>
  <c r="M20" i="40"/>
  <c r="L20" i="40"/>
  <c r="X19" i="40"/>
  <c r="A18" i="40"/>
  <c r="A19" i="40" s="1"/>
  <c r="A20" i="40" s="1"/>
  <c r="A21" i="40" s="1"/>
  <c r="A22" i="40" s="1"/>
  <c r="A23" i="40" s="1"/>
  <c r="A24" i="40" s="1"/>
  <c r="A25" i="40" s="1"/>
  <c r="A26" i="40" s="1"/>
  <c r="A27" i="40" s="1"/>
  <c r="A28" i="40" s="1"/>
  <c r="W17" i="40"/>
  <c r="S17" i="40"/>
  <c r="L17" i="40"/>
  <c r="W32" i="40"/>
  <c r="O32" i="40"/>
  <c r="X39" i="40"/>
  <c r="X38" i="40"/>
  <c r="X37" i="40"/>
  <c r="X36" i="40"/>
  <c r="V32" i="40"/>
  <c r="R32" i="40"/>
  <c r="X35" i="40"/>
  <c r="X34" i="40"/>
  <c r="U32" i="40"/>
  <c r="T32" i="40"/>
  <c r="Q32" i="40"/>
  <c r="P32" i="40"/>
  <c r="M32" i="40"/>
  <c r="L32" i="40"/>
  <c r="S32" i="40"/>
  <c r="X31" i="40"/>
  <c r="V29" i="40"/>
  <c r="U29" i="40"/>
  <c r="Q29" i="40"/>
  <c r="N29" i="40"/>
  <c r="M29" i="40"/>
  <c r="X30" i="40"/>
  <c r="A30" i="40"/>
  <c r="A31" i="40" s="1"/>
  <c r="A32" i="40" s="1"/>
  <c r="A33" i="40" s="1"/>
  <c r="A34" i="40" s="1"/>
  <c r="A35" i="40" s="1"/>
  <c r="A36" i="40" s="1"/>
  <c r="A37" i="40" s="1"/>
  <c r="A38" i="40" s="1"/>
  <c r="A39" i="40" s="1"/>
  <c r="A40" i="40" s="1"/>
  <c r="W29" i="40"/>
  <c r="T29" i="40"/>
  <c r="S29" i="40"/>
  <c r="R29" i="40"/>
  <c r="P29" i="40"/>
  <c r="O29" i="40"/>
  <c r="L29" i="40"/>
  <c r="L40" i="40" s="1"/>
  <c r="P40" i="40" l="1"/>
  <c r="S28" i="40"/>
  <c r="W28" i="40"/>
  <c r="Q28" i="40"/>
  <c r="V28" i="40"/>
  <c r="R40" i="40"/>
  <c r="R16" i="17"/>
  <c r="M16" i="17"/>
  <c r="U40" i="40"/>
  <c r="X18" i="40"/>
  <c r="T16" i="17"/>
  <c r="U16" i="17"/>
  <c r="S16" i="17"/>
  <c r="V16" i="17"/>
  <c r="W16" i="17"/>
  <c r="N16" i="17"/>
  <c r="O16" i="17"/>
  <c r="P16" i="17"/>
  <c r="Q16" i="17"/>
  <c r="X8" i="17"/>
  <c r="L16" i="17"/>
  <c r="X5" i="17"/>
  <c r="P28" i="40"/>
  <c r="N28" i="40"/>
  <c r="X20" i="40"/>
  <c r="T28" i="40"/>
  <c r="O28" i="40"/>
  <c r="M28" i="40"/>
  <c r="U28" i="40"/>
  <c r="L28" i="40"/>
  <c r="R17" i="40"/>
  <c r="X17" i="40"/>
  <c r="S40" i="40"/>
  <c r="W40" i="40"/>
  <c r="Q40" i="40"/>
  <c r="M40" i="40"/>
  <c r="O40" i="40"/>
  <c r="V40" i="40"/>
  <c r="T40" i="40"/>
  <c r="N32" i="40"/>
  <c r="X29" i="40"/>
  <c r="X33" i="40"/>
  <c r="X15" i="15"/>
  <c r="X14" i="15"/>
  <c r="X13" i="15"/>
  <c r="X12" i="15"/>
  <c r="X11" i="15"/>
  <c r="X10" i="15"/>
  <c r="X9" i="15"/>
  <c r="W8" i="15"/>
  <c r="V8" i="15"/>
  <c r="U8" i="15"/>
  <c r="T8" i="15"/>
  <c r="S8" i="15"/>
  <c r="R8" i="15"/>
  <c r="Q8" i="15"/>
  <c r="P8" i="15"/>
  <c r="O8" i="15"/>
  <c r="N8" i="15"/>
  <c r="M8" i="15"/>
  <c r="L8" i="15"/>
  <c r="X7" i="15"/>
  <c r="X6" i="15"/>
  <c r="A6" i="15"/>
  <c r="A7" i="15" s="1"/>
  <c r="A8" i="15" s="1"/>
  <c r="A9" i="15" s="1"/>
  <c r="A10" i="15" s="1"/>
  <c r="A11" i="15" s="1"/>
  <c r="A12" i="15" s="1"/>
  <c r="A13" i="15" s="1"/>
  <c r="A14" i="15" s="1"/>
  <c r="A15" i="15" s="1"/>
  <c r="A16" i="15" s="1"/>
  <c r="W5" i="15"/>
  <c r="V5" i="15"/>
  <c r="U5" i="15"/>
  <c r="T5" i="15"/>
  <c r="S5" i="15"/>
  <c r="R5" i="15"/>
  <c r="Q5" i="15"/>
  <c r="P5" i="15"/>
  <c r="O5" i="15"/>
  <c r="N5" i="15"/>
  <c r="L5" i="15"/>
  <c r="W44" i="38"/>
  <c r="V44" i="38"/>
  <c r="U44" i="38"/>
  <c r="T44" i="38"/>
  <c r="S44" i="38"/>
  <c r="R44" i="38"/>
  <c r="Q44" i="38"/>
  <c r="P44" i="38"/>
  <c r="O44" i="38"/>
  <c r="N44" i="38"/>
  <c r="M44" i="38"/>
  <c r="L44" i="38"/>
  <c r="X51" i="38"/>
  <c r="X50" i="38"/>
  <c r="X49" i="38"/>
  <c r="X48" i="38"/>
  <c r="X47" i="38"/>
  <c r="X46" i="38"/>
  <c r="X45" i="38"/>
  <c r="X43" i="38"/>
  <c r="X42" i="38"/>
  <c r="A42" i="38"/>
  <c r="A43" i="38" s="1"/>
  <c r="A44" i="38" s="1"/>
  <c r="A45" i="38" s="1"/>
  <c r="A46" i="38" s="1"/>
  <c r="A47" i="38" s="1"/>
  <c r="A48" i="38" s="1"/>
  <c r="A49" i="38" s="1"/>
  <c r="A50" i="38" s="1"/>
  <c r="A51" i="38" s="1"/>
  <c r="A52" i="38" s="1"/>
  <c r="W41" i="38"/>
  <c r="V41" i="38"/>
  <c r="U41" i="38"/>
  <c r="T41" i="38"/>
  <c r="S41" i="38"/>
  <c r="R41" i="38"/>
  <c r="Q41" i="38"/>
  <c r="P41" i="38"/>
  <c r="O41" i="38"/>
  <c r="N41" i="38"/>
  <c r="M41" i="38"/>
  <c r="L41" i="38"/>
  <c r="T52" i="38" l="1"/>
  <c r="R28" i="40"/>
  <c r="N40" i="40"/>
  <c r="N52" i="38"/>
  <c r="V52" i="38"/>
  <c r="S52" i="38"/>
  <c r="M52" i="38"/>
  <c r="Q52" i="38"/>
  <c r="U52" i="38"/>
  <c r="P16" i="15"/>
  <c r="Q16" i="15"/>
  <c r="R16" i="15"/>
  <c r="L16" i="15"/>
  <c r="W16" i="15"/>
  <c r="X16" i="17"/>
  <c r="X28" i="40"/>
  <c r="X32" i="40"/>
  <c r="X40" i="40" s="1"/>
  <c r="N16" i="15"/>
  <c r="M16" i="15"/>
  <c r="S16" i="15"/>
  <c r="T16" i="15"/>
  <c r="X8" i="15"/>
  <c r="U16" i="15"/>
  <c r="O16" i="15"/>
  <c r="V16" i="15"/>
  <c r="X5" i="15"/>
  <c r="P52" i="38"/>
  <c r="R52" i="38"/>
  <c r="X44" i="38"/>
  <c r="O52" i="38"/>
  <c r="W52" i="38"/>
  <c r="L52" i="38"/>
  <c r="X41" i="38"/>
  <c r="X51" i="30"/>
  <c r="X50" i="30"/>
  <c r="X49" i="30"/>
  <c r="X48" i="30"/>
  <c r="X47" i="30"/>
  <c r="X46" i="30"/>
  <c r="X45" i="30"/>
  <c r="W44" i="30"/>
  <c r="V44" i="30"/>
  <c r="U44" i="30"/>
  <c r="T44" i="30"/>
  <c r="S44" i="30"/>
  <c r="R44" i="30"/>
  <c r="Q44" i="30"/>
  <c r="P44" i="30"/>
  <c r="O44" i="30"/>
  <c r="N44" i="30"/>
  <c r="M44" i="30"/>
  <c r="L44" i="30"/>
  <c r="X43" i="30"/>
  <c r="X42" i="30"/>
  <c r="A42" i="30"/>
  <c r="A43" i="30" s="1"/>
  <c r="A44" i="30" s="1"/>
  <c r="A45" i="30" s="1"/>
  <c r="A46" i="30" s="1"/>
  <c r="A47" i="30" s="1"/>
  <c r="A48" i="30" s="1"/>
  <c r="A49" i="30" s="1"/>
  <c r="A50" i="30" s="1"/>
  <c r="A51" i="30" s="1"/>
  <c r="A52" i="30" s="1"/>
  <c r="W41" i="30"/>
  <c r="W52" i="30" s="1"/>
  <c r="V41" i="30"/>
  <c r="U41" i="30"/>
  <c r="T41" i="30"/>
  <c r="S41" i="30"/>
  <c r="R41" i="30"/>
  <c r="Q41" i="30"/>
  <c r="P41" i="30"/>
  <c r="O41" i="30"/>
  <c r="N41" i="30"/>
  <c r="M41" i="30"/>
  <c r="L41" i="30"/>
  <c r="X27" i="19"/>
  <c r="X26" i="19"/>
  <c r="X25" i="19"/>
  <c r="X24" i="19"/>
  <c r="X23" i="19"/>
  <c r="X22" i="19"/>
  <c r="X21" i="19"/>
  <c r="W20" i="19"/>
  <c r="V20" i="19"/>
  <c r="U20" i="19"/>
  <c r="T20" i="19"/>
  <c r="S20" i="19"/>
  <c r="R20" i="19"/>
  <c r="Q20" i="19"/>
  <c r="P20" i="19"/>
  <c r="O20" i="19"/>
  <c r="N20" i="19"/>
  <c r="M20" i="19"/>
  <c r="L20" i="19"/>
  <c r="X18" i="19"/>
  <c r="A18" i="19"/>
  <c r="A19" i="19" s="1"/>
  <c r="A20" i="19" s="1"/>
  <c r="A21" i="19" s="1"/>
  <c r="A22" i="19" s="1"/>
  <c r="A23" i="19" s="1"/>
  <c r="A24" i="19" s="1"/>
  <c r="A25" i="19" s="1"/>
  <c r="A26" i="19" s="1"/>
  <c r="A27" i="19" s="1"/>
  <c r="A28" i="19" s="1"/>
  <c r="W17" i="19"/>
  <c r="V17" i="19"/>
  <c r="U17" i="19"/>
  <c r="T17" i="19"/>
  <c r="S17" i="19"/>
  <c r="R17" i="19"/>
  <c r="Q17" i="19"/>
  <c r="P17" i="19"/>
  <c r="O17" i="19"/>
  <c r="N17" i="19"/>
  <c r="M17" i="19"/>
  <c r="L17" i="19"/>
  <c r="V52" i="30" l="1"/>
  <c r="U52" i="30"/>
  <c r="T52" i="30"/>
  <c r="S52" i="30"/>
  <c r="X16" i="15"/>
  <c r="R52" i="30"/>
  <c r="P52" i="30"/>
  <c r="O52" i="30"/>
  <c r="Q52" i="30"/>
  <c r="L52" i="30"/>
  <c r="V28" i="19"/>
  <c r="M28" i="19"/>
  <c r="U28" i="19"/>
  <c r="P28" i="19"/>
  <c r="O28" i="19"/>
  <c r="R28" i="19"/>
  <c r="W28" i="19"/>
  <c r="Q28" i="19"/>
  <c r="X20" i="19"/>
  <c r="L28" i="19"/>
  <c r="T28" i="19"/>
  <c r="N28" i="19"/>
  <c r="S28" i="19"/>
  <c r="X52" i="38"/>
  <c r="M52" i="30"/>
  <c r="N52" i="30"/>
  <c r="X44" i="30"/>
  <c r="X41" i="30"/>
  <c r="X17" i="19"/>
  <c r="X28" i="19" l="1"/>
  <c r="X52" i="30"/>
  <c r="A17" i="9" l="1"/>
  <c r="X15" i="40"/>
  <c r="X14" i="40"/>
  <c r="X13" i="40"/>
  <c r="X12" i="40"/>
  <c r="X11" i="40"/>
  <c r="V8" i="40"/>
  <c r="V66" i="40" s="1"/>
  <c r="U8" i="40"/>
  <c r="U66" i="40" s="1"/>
  <c r="W5" i="40"/>
  <c r="V5" i="40"/>
  <c r="V65" i="40" s="1"/>
  <c r="U5" i="40"/>
  <c r="U65" i="40" s="1"/>
  <c r="T5" i="40"/>
  <c r="T65" i="40" s="1"/>
  <c r="R5" i="40"/>
  <c r="Q5" i="40"/>
  <c r="P5" i="40"/>
  <c r="O5" i="40"/>
  <c r="N5" i="40"/>
  <c r="M5" i="40"/>
  <c r="L5" i="40"/>
  <c r="C65" i="40"/>
  <c r="X10" i="40"/>
  <c r="W8" i="40"/>
  <c r="T8" i="40"/>
  <c r="T66" i="40" s="1"/>
  <c r="S8" i="40"/>
  <c r="S66" i="40" s="1"/>
  <c r="R8" i="40"/>
  <c r="Q8" i="40"/>
  <c r="P8" i="40"/>
  <c r="O8" i="40"/>
  <c r="N8" i="40"/>
  <c r="M8" i="40"/>
  <c r="L8" i="40"/>
  <c r="X7" i="40"/>
  <c r="A6" i="40"/>
  <c r="A7" i="40" s="1"/>
  <c r="A8" i="40" s="1"/>
  <c r="A9" i="40" s="1"/>
  <c r="A10" i="40" s="1"/>
  <c r="A11" i="40" s="1"/>
  <c r="A12" i="40" s="1"/>
  <c r="A13" i="40" s="1"/>
  <c r="A14" i="40" s="1"/>
  <c r="A15" i="40" s="1"/>
  <c r="A16" i="40" s="1"/>
  <c r="S5" i="40"/>
  <c r="S65" i="40" s="1"/>
  <c r="X39" i="24"/>
  <c r="X38" i="24"/>
  <c r="X37" i="24"/>
  <c r="X36" i="24"/>
  <c r="X35" i="24"/>
  <c r="X34" i="24"/>
  <c r="X33" i="24"/>
  <c r="W32" i="24"/>
  <c r="V32" i="24"/>
  <c r="U32" i="24"/>
  <c r="T32" i="24"/>
  <c r="S32" i="24"/>
  <c r="R32" i="24"/>
  <c r="Q32" i="24"/>
  <c r="P32" i="24"/>
  <c r="O32" i="24"/>
  <c r="N32" i="24"/>
  <c r="M32" i="24"/>
  <c r="L32" i="24"/>
  <c r="X31" i="24"/>
  <c r="X30" i="24"/>
  <c r="A30" i="24"/>
  <c r="A31" i="24" s="1"/>
  <c r="A32" i="24" s="1"/>
  <c r="A33" i="24" s="1"/>
  <c r="A34" i="24" s="1"/>
  <c r="A35" i="24" s="1"/>
  <c r="A36" i="24" s="1"/>
  <c r="A37" i="24" s="1"/>
  <c r="A38" i="24" s="1"/>
  <c r="A39" i="24" s="1"/>
  <c r="A40" i="24" s="1"/>
  <c r="W29" i="24"/>
  <c r="W40" i="24" s="1"/>
  <c r="V29" i="24"/>
  <c r="U29" i="24"/>
  <c r="T29" i="24"/>
  <c r="S29" i="24"/>
  <c r="R29" i="24"/>
  <c r="Q29" i="24"/>
  <c r="P29" i="24"/>
  <c r="O29" i="24"/>
  <c r="N29" i="24"/>
  <c r="M29" i="24"/>
  <c r="L29" i="24"/>
  <c r="C5" i="23"/>
  <c r="C17" i="21"/>
  <c r="L17" i="14"/>
  <c r="S20" i="14"/>
  <c r="R20" i="14"/>
  <c r="R44" i="23"/>
  <c r="R32" i="23"/>
  <c r="R20" i="21"/>
  <c r="S67" i="40" l="1"/>
  <c r="U67" i="40"/>
  <c r="M67" i="40"/>
  <c r="R69" i="40"/>
  <c r="V67" i="40"/>
  <c r="W67" i="40"/>
  <c r="N67" i="40"/>
  <c r="X65" i="40"/>
  <c r="O67" i="40"/>
  <c r="P67" i="40"/>
  <c r="Q67" i="40"/>
  <c r="R67" i="40"/>
  <c r="V40" i="24"/>
  <c r="L67" i="40"/>
  <c r="U40" i="24"/>
  <c r="N40" i="24"/>
  <c r="P40" i="24"/>
  <c r="Q40" i="24"/>
  <c r="R40" i="24"/>
  <c r="O40" i="24"/>
  <c r="S40" i="24"/>
  <c r="X29" i="24"/>
  <c r="L40" i="24"/>
  <c r="T40" i="24"/>
  <c r="M40" i="24"/>
  <c r="R3" i="40"/>
  <c r="K18" i="9" s="1"/>
  <c r="S3" i="40"/>
  <c r="L18" i="9" s="1"/>
  <c r="W2" i="40"/>
  <c r="P17" i="9" s="1"/>
  <c r="N3" i="40"/>
  <c r="G18" i="9" s="1"/>
  <c r="V2" i="40"/>
  <c r="O17" i="9" s="1"/>
  <c r="O69" i="40"/>
  <c r="T2" i="40"/>
  <c r="M17" i="9" s="1"/>
  <c r="S2" i="40"/>
  <c r="L17" i="9" s="1"/>
  <c r="Q3" i="40"/>
  <c r="J18" i="9" s="1"/>
  <c r="L68" i="40"/>
  <c r="X6" i="40"/>
  <c r="R16" i="40"/>
  <c r="S16" i="40"/>
  <c r="X9" i="40"/>
  <c r="X8" i="40"/>
  <c r="O2" i="40"/>
  <c r="H17" i="9" s="1"/>
  <c r="U68" i="40"/>
  <c r="U2" i="40"/>
  <c r="N17" i="9" s="1"/>
  <c r="X5" i="40"/>
  <c r="L2" i="40"/>
  <c r="E17" i="9" s="1"/>
  <c r="V16" i="40"/>
  <c r="M16" i="40"/>
  <c r="U3" i="40"/>
  <c r="N18" i="9" s="1"/>
  <c r="P2" i="40"/>
  <c r="I17" i="9" s="1"/>
  <c r="L3" i="40"/>
  <c r="E18" i="9" s="1"/>
  <c r="N2" i="40"/>
  <c r="G17" i="9" s="1"/>
  <c r="Q2" i="40"/>
  <c r="J17" i="9" s="1"/>
  <c r="O3" i="40"/>
  <c r="H18" i="9" s="1"/>
  <c r="T16" i="40"/>
  <c r="U16" i="40"/>
  <c r="P16" i="40"/>
  <c r="M3" i="40"/>
  <c r="F18" i="9" s="1"/>
  <c r="W16" i="40"/>
  <c r="L16" i="40"/>
  <c r="V3" i="40"/>
  <c r="O18" i="9" s="1"/>
  <c r="N16" i="40"/>
  <c r="O16" i="40"/>
  <c r="R2" i="40"/>
  <c r="K17" i="9" s="1"/>
  <c r="O68" i="40"/>
  <c r="T3" i="40"/>
  <c r="M18" i="9" s="1"/>
  <c r="Q16" i="40"/>
  <c r="X32" i="24"/>
  <c r="S28" i="14"/>
  <c r="T67" i="40" l="1"/>
  <c r="X67" i="40" s="1"/>
  <c r="W3" i="40"/>
  <c r="P18" i="9" s="1"/>
  <c r="X66" i="40"/>
  <c r="X40" i="24"/>
  <c r="X16" i="40"/>
  <c r="W4" i="40"/>
  <c r="P19" i="9" s="1"/>
  <c r="S4" i="40"/>
  <c r="L19" i="9" s="1"/>
  <c r="R68" i="40"/>
  <c r="M2" i="40"/>
  <c r="F17" i="9" s="1"/>
  <c r="P3" i="40"/>
  <c r="I18" i="9" s="1"/>
  <c r="Q4" i="40"/>
  <c r="J19" i="9" s="1"/>
  <c r="R4" i="40"/>
  <c r="K19" i="9" s="1"/>
  <c r="N4" i="40"/>
  <c r="G19" i="9" s="1"/>
  <c r="V4" i="40"/>
  <c r="O19" i="9" s="1"/>
  <c r="O4" i="40"/>
  <c r="H19" i="9" s="1"/>
  <c r="T4" i="40"/>
  <c r="M19" i="9" s="1"/>
  <c r="U4" i="40"/>
  <c r="N19" i="9" s="1"/>
  <c r="L69" i="40"/>
  <c r="U70" i="40"/>
  <c r="O70" i="40"/>
  <c r="L4" i="40"/>
  <c r="L70" i="40"/>
  <c r="U69" i="40"/>
  <c r="P4" i="40" l="1"/>
  <c r="I19" i="9" s="1"/>
  <c r="X3" i="40"/>
  <c r="R70" i="40"/>
  <c r="M4" i="40"/>
  <c r="F19" i="9" s="1"/>
  <c r="X2" i="40"/>
  <c r="Q17" i="9"/>
  <c r="Q18" i="9"/>
  <c r="E19" i="9"/>
  <c r="S29" i="30"/>
  <c r="X39" i="30"/>
  <c r="X38" i="30"/>
  <c r="X37" i="30"/>
  <c r="X36" i="30"/>
  <c r="X35" i="30"/>
  <c r="X34" i="30"/>
  <c r="X33" i="30"/>
  <c r="W32" i="30"/>
  <c r="V32" i="30"/>
  <c r="U32" i="30"/>
  <c r="T32" i="30"/>
  <c r="S32" i="30"/>
  <c r="R32" i="30"/>
  <c r="Q32" i="30"/>
  <c r="P32" i="30"/>
  <c r="O32" i="30"/>
  <c r="N32" i="30"/>
  <c r="M32" i="30"/>
  <c r="L32" i="30"/>
  <c r="X31" i="30"/>
  <c r="A30" i="30"/>
  <c r="A31" i="30" s="1"/>
  <c r="A32" i="30" s="1"/>
  <c r="A33" i="30" s="1"/>
  <c r="A34" i="30" s="1"/>
  <c r="A35" i="30" s="1"/>
  <c r="A36" i="30" s="1"/>
  <c r="A37" i="30" s="1"/>
  <c r="A38" i="30" s="1"/>
  <c r="A39" i="30" s="1"/>
  <c r="A40" i="30" s="1"/>
  <c r="W29" i="30"/>
  <c r="V29" i="30"/>
  <c r="U29" i="30"/>
  <c r="T29" i="30"/>
  <c r="R29" i="30"/>
  <c r="Q29" i="30"/>
  <c r="P29" i="30"/>
  <c r="O29" i="30"/>
  <c r="N29" i="30"/>
  <c r="M29" i="30"/>
  <c r="L29" i="30"/>
  <c r="X87" i="35"/>
  <c r="X86" i="35"/>
  <c r="X85" i="35"/>
  <c r="X84" i="35"/>
  <c r="X83" i="35"/>
  <c r="X82" i="35"/>
  <c r="X81" i="35"/>
  <c r="W80" i="35"/>
  <c r="V80" i="35"/>
  <c r="U80" i="35"/>
  <c r="T80" i="35"/>
  <c r="S80" i="35"/>
  <c r="R80" i="35"/>
  <c r="Q80" i="35"/>
  <c r="P80" i="35"/>
  <c r="O80" i="35"/>
  <c r="N80" i="35"/>
  <c r="M80" i="35"/>
  <c r="L80" i="35"/>
  <c r="X79" i="35"/>
  <c r="X78" i="35"/>
  <c r="A78" i="35"/>
  <c r="A79" i="35" s="1"/>
  <c r="A80" i="35" s="1"/>
  <c r="A81" i="35" s="1"/>
  <c r="A82" i="35" s="1"/>
  <c r="A83" i="35" s="1"/>
  <c r="A84" i="35" s="1"/>
  <c r="A85" i="35" s="1"/>
  <c r="A86" i="35" s="1"/>
  <c r="A87" i="35" s="1"/>
  <c r="W77" i="35"/>
  <c r="V77" i="35"/>
  <c r="U77" i="35"/>
  <c r="T77" i="35"/>
  <c r="S77" i="35"/>
  <c r="R77" i="35"/>
  <c r="Q77" i="35"/>
  <c r="P77" i="35"/>
  <c r="O77" i="35"/>
  <c r="N77" i="35"/>
  <c r="M77" i="35"/>
  <c r="L77" i="35"/>
  <c r="X4" i="40" l="1"/>
  <c r="M40" i="30"/>
  <c r="N40" i="30"/>
  <c r="Q19" i="9"/>
  <c r="O40" i="30"/>
  <c r="W40" i="30"/>
  <c r="P40" i="30"/>
  <c r="Q40" i="30"/>
  <c r="V40" i="30"/>
  <c r="R40" i="30"/>
  <c r="X30" i="30"/>
  <c r="S40" i="30"/>
  <c r="U40" i="30"/>
  <c r="T40" i="30"/>
  <c r="X32" i="30"/>
  <c r="X29" i="30"/>
  <c r="L40" i="30"/>
  <c r="X77" i="35"/>
  <c r="X80" i="35"/>
  <c r="X40" i="30" l="1"/>
  <c r="X39" i="14"/>
  <c r="X38" i="14"/>
  <c r="X37" i="14"/>
  <c r="X36" i="14"/>
  <c r="X35" i="14"/>
  <c r="X34" i="14"/>
  <c r="X33" i="14"/>
  <c r="W32" i="14"/>
  <c r="V32" i="14"/>
  <c r="U32" i="14"/>
  <c r="T32" i="14"/>
  <c r="S32" i="14"/>
  <c r="R32" i="14"/>
  <c r="Q32" i="14"/>
  <c r="P32" i="14"/>
  <c r="O32" i="14"/>
  <c r="N32" i="14"/>
  <c r="M32" i="14"/>
  <c r="L32" i="14"/>
  <c r="X31" i="14"/>
  <c r="X30" i="14"/>
  <c r="A30" i="14"/>
  <c r="A31" i="14" s="1"/>
  <c r="A32" i="14" s="1"/>
  <c r="A33" i="14" s="1"/>
  <c r="A34" i="14" s="1"/>
  <c r="A35" i="14" s="1"/>
  <c r="A36" i="14" s="1"/>
  <c r="A37" i="14" s="1"/>
  <c r="A38" i="14" s="1"/>
  <c r="A39" i="14" s="1"/>
  <c r="A40" i="14" s="1"/>
  <c r="W29" i="14"/>
  <c r="V29" i="14"/>
  <c r="U29" i="14"/>
  <c r="T29" i="14"/>
  <c r="S29" i="14"/>
  <c r="R29" i="14"/>
  <c r="Q29" i="14"/>
  <c r="P29" i="14"/>
  <c r="O29" i="14"/>
  <c r="N29" i="14"/>
  <c r="M29" i="14"/>
  <c r="L29" i="14"/>
  <c r="L40" i="14" l="1"/>
  <c r="M40" i="14"/>
  <c r="N40" i="14"/>
  <c r="U40" i="14"/>
  <c r="V40" i="14"/>
  <c r="W40" i="14"/>
  <c r="T40" i="14"/>
  <c r="S40" i="14"/>
  <c r="X29" i="14"/>
  <c r="P40" i="14"/>
  <c r="Q40" i="14"/>
  <c r="R40" i="14"/>
  <c r="X32" i="14"/>
  <c r="O40" i="14"/>
  <c r="X40" i="14" l="1"/>
  <c r="X63" i="38"/>
  <c r="X62" i="38"/>
  <c r="X61" i="38"/>
  <c r="X60" i="38"/>
  <c r="X59" i="38"/>
  <c r="X58" i="38"/>
  <c r="X57" i="38"/>
  <c r="W56" i="38"/>
  <c r="V56" i="38"/>
  <c r="U56" i="38"/>
  <c r="T56" i="38"/>
  <c r="S56" i="38"/>
  <c r="R56" i="38"/>
  <c r="Q56" i="38"/>
  <c r="P56" i="38"/>
  <c r="O56" i="38"/>
  <c r="N56" i="38"/>
  <c r="M56" i="38"/>
  <c r="L56" i="38"/>
  <c r="X55" i="38"/>
  <c r="X54" i="38"/>
  <c r="A54" i="38"/>
  <c r="A55" i="38" s="1"/>
  <c r="A56" i="38" s="1"/>
  <c r="A57" i="38" s="1"/>
  <c r="A58" i="38" s="1"/>
  <c r="A59" i="38" s="1"/>
  <c r="A60" i="38" s="1"/>
  <c r="A61" i="38" s="1"/>
  <c r="A62" i="38" s="1"/>
  <c r="A63" i="38" s="1"/>
  <c r="A64" i="38" s="1"/>
  <c r="W53" i="38"/>
  <c r="V53" i="38"/>
  <c r="U53" i="38"/>
  <c r="T53" i="38"/>
  <c r="S53" i="38"/>
  <c r="R53" i="38"/>
  <c r="R64" i="38" s="1"/>
  <c r="Q53" i="38"/>
  <c r="P53" i="38"/>
  <c r="O53" i="38"/>
  <c r="N53" i="38"/>
  <c r="N64" i="38" s="1"/>
  <c r="M53" i="38"/>
  <c r="L53" i="38"/>
  <c r="X135" i="23"/>
  <c r="X134" i="23"/>
  <c r="X133" i="23"/>
  <c r="X132" i="23"/>
  <c r="X131" i="23"/>
  <c r="X130" i="23"/>
  <c r="X129" i="23"/>
  <c r="W128" i="23"/>
  <c r="V128" i="23"/>
  <c r="U128" i="23"/>
  <c r="T128" i="23"/>
  <c r="S128" i="23"/>
  <c r="R128" i="23"/>
  <c r="Q128" i="23"/>
  <c r="P128" i="23"/>
  <c r="O128" i="23"/>
  <c r="N128" i="23"/>
  <c r="M128" i="23"/>
  <c r="L128" i="23"/>
  <c r="X127" i="23"/>
  <c r="X126" i="23"/>
  <c r="A126" i="23"/>
  <c r="A127" i="23" s="1"/>
  <c r="A128" i="23" s="1"/>
  <c r="A129" i="23" s="1"/>
  <c r="A130" i="23" s="1"/>
  <c r="A131" i="23" s="1"/>
  <c r="A132" i="23" s="1"/>
  <c r="A133" i="23" s="1"/>
  <c r="A134" i="23" s="1"/>
  <c r="A135" i="23" s="1"/>
  <c r="A136" i="23" s="1"/>
  <c r="W125" i="23"/>
  <c r="W136" i="23" s="1"/>
  <c r="V125" i="23"/>
  <c r="U125" i="23"/>
  <c r="T125" i="23"/>
  <c r="S125" i="23"/>
  <c r="R125" i="23"/>
  <c r="Q125" i="23"/>
  <c r="P125" i="23"/>
  <c r="O125" i="23"/>
  <c r="N125" i="23"/>
  <c r="N136" i="23" s="1"/>
  <c r="M125" i="23"/>
  <c r="L125" i="23"/>
  <c r="X27" i="14"/>
  <c r="X26" i="14"/>
  <c r="X25" i="14"/>
  <c r="X24" i="14"/>
  <c r="X23" i="14"/>
  <c r="X22" i="14"/>
  <c r="X21" i="14"/>
  <c r="W20" i="14"/>
  <c r="V20" i="14"/>
  <c r="U20" i="14"/>
  <c r="T20" i="14"/>
  <c r="Q20" i="14"/>
  <c r="P20" i="14"/>
  <c r="O20" i="14"/>
  <c r="N20" i="14"/>
  <c r="M20" i="14"/>
  <c r="L20" i="14"/>
  <c r="L28" i="14" s="1"/>
  <c r="X19" i="14"/>
  <c r="X18" i="14"/>
  <c r="A18" i="14"/>
  <c r="A19" i="14" s="1"/>
  <c r="A20" i="14" s="1"/>
  <c r="A21" i="14" s="1"/>
  <c r="A22" i="14" s="1"/>
  <c r="A23" i="14" s="1"/>
  <c r="A24" i="14" s="1"/>
  <c r="A25" i="14" s="1"/>
  <c r="A26" i="14" s="1"/>
  <c r="A27" i="14" s="1"/>
  <c r="A28" i="14" s="1"/>
  <c r="W17" i="14"/>
  <c r="R28" i="14"/>
  <c r="P17" i="14"/>
  <c r="O17" i="14"/>
  <c r="N17" i="14"/>
  <c r="M17" i="14"/>
  <c r="O136" i="23" l="1"/>
  <c r="M64" i="38"/>
  <c r="M136" i="23"/>
  <c r="L136" i="23"/>
  <c r="L64" i="38"/>
  <c r="Q28" i="14"/>
  <c r="P28" i="14"/>
  <c r="O28" i="14"/>
  <c r="N28" i="14"/>
  <c r="M28" i="14"/>
  <c r="U64" i="38"/>
  <c r="V136" i="23"/>
  <c r="T136" i="23"/>
  <c r="T64" i="38"/>
  <c r="S64" i="38"/>
  <c r="T28" i="14"/>
  <c r="W28" i="14"/>
  <c r="U28" i="14"/>
  <c r="V28" i="14"/>
  <c r="U136" i="23"/>
  <c r="V64" i="38"/>
  <c r="W64" i="38"/>
  <c r="X56" i="38"/>
  <c r="Q64" i="38"/>
  <c r="P64" i="38"/>
  <c r="O64" i="38"/>
  <c r="X53" i="38"/>
  <c r="S136" i="23"/>
  <c r="X128" i="23"/>
  <c r="P136" i="23"/>
  <c r="Q136" i="23"/>
  <c r="R136" i="23"/>
  <c r="X125" i="23"/>
  <c r="X20" i="14"/>
  <c r="X17" i="14"/>
  <c r="P8" i="19"/>
  <c r="X28" i="14" l="1"/>
  <c r="X64" i="38"/>
  <c r="X136" i="23"/>
  <c r="N5" i="23" l="1"/>
  <c r="X123" i="23" l="1"/>
  <c r="X122" i="23"/>
  <c r="X121" i="23"/>
  <c r="X120" i="23"/>
  <c r="X119" i="23"/>
  <c r="X118" i="23"/>
  <c r="X117" i="23"/>
  <c r="W116" i="23"/>
  <c r="V116" i="23"/>
  <c r="U116" i="23"/>
  <c r="T116" i="23"/>
  <c r="S116" i="23"/>
  <c r="R116" i="23"/>
  <c r="Q116" i="23"/>
  <c r="P116" i="23"/>
  <c r="O116" i="23"/>
  <c r="N116" i="23"/>
  <c r="M116" i="23"/>
  <c r="L116" i="23"/>
  <c r="X115" i="23"/>
  <c r="X114" i="23"/>
  <c r="A114" i="23"/>
  <c r="A115" i="23" s="1"/>
  <c r="A116" i="23" s="1"/>
  <c r="A117" i="23" s="1"/>
  <c r="A118" i="23" s="1"/>
  <c r="A119" i="23" s="1"/>
  <c r="A120" i="23" s="1"/>
  <c r="A121" i="23" s="1"/>
  <c r="A122" i="23" s="1"/>
  <c r="A123" i="23" s="1"/>
  <c r="A124" i="23" s="1"/>
  <c r="W113" i="23"/>
  <c r="V113" i="23"/>
  <c r="U113" i="23"/>
  <c r="T113" i="23"/>
  <c r="S113" i="23"/>
  <c r="R113" i="23"/>
  <c r="Q113" i="23"/>
  <c r="P113" i="23"/>
  <c r="O113" i="23"/>
  <c r="N113" i="23"/>
  <c r="M113" i="23"/>
  <c r="L113" i="23"/>
  <c r="M124" i="23" l="1"/>
  <c r="U124" i="23"/>
  <c r="S124" i="23"/>
  <c r="R124" i="23"/>
  <c r="W124" i="23"/>
  <c r="O124" i="23"/>
  <c r="P124" i="23"/>
  <c r="T124" i="23"/>
  <c r="X116" i="23"/>
  <c r="N124" i="23"/>
  <c r="V124" i="23"/>
  <c r="Q124" i="23"/>
  <c r="X113" i="23"/>
  <c r="L124" i="23"/>
  <c r="X124" i="23" l="1"/>
  <c r="C125" i="7" l="1"/>
  <c r="C29" i="21"/>
  <c r="C41" i="21" s="1"/>
  <c r="C53" i="21" s="1"/>
  <c r="C65" i="21" s="1"/>
  <c r="L101" i="23"/>
  <c r="M101" i="23"/>
  <c r="N101" i="23"/>
  <c r="O101" i="23"/>
  <c r="P101" i="23"/>
  <c r="Q101" i="23"/>
  <c r="R101" i="23"/>
  <c r="S101" i="23"/>
  <c r="T101" i="23"/>
  <c r="U101" i="23"/>
  <c r="V101" i="23"/>
  <c r="W101" i="23"/>
  <c r="A102" i="23"/>
  <c r="A103" i="23" s="1"/>
  <c r="A104" i="23" s="1"/>
  <c r="A105" i="23" s="1"/>
  <c r="A106" i="23" s="1"/>
  <c r="A107" i="23" s="1"/>
  <c r="A108" i="23" s="1"/>
  <c r="A109" i="23" s="1"/>
  <c r="A110" i="23" s="1"/>
  <c r="A111" i="23" s="1"/>
  <c r="A112" i="23" s="1"/>
  <c r="X102" i="23"/>
  <c r="X103" i="23"/>
  <c r="L104" i="23"/>
  <c r="M104" i="23"/>
  <c r="M112" i="23" s="1"/>
  <c r="N104" i="23"/>
  <c r="O104" i="23"/>
  <c r="O112" i="23" s="1"/>
  <c r="P104" i="23"/>
  <c r="Q104" i="23"/>
  <c r="R104" i="23"/>
  <c r="S104" i="23"/>
  <c r="T104" i="23"/>
  <c r="U104" i="23"/>
  <c r="V104" i="23"/>
  <c r="W104" i="23"/>
  <c r="X105" i="23"/>
  <c r="X106" i="23"/>
  <c r="X107" i="23"/>
  <c r="X108" i="23"/>
  <c r="X109" i="23"/>
  <c r="X110" i="23"/>
  <c r="X111" i="23"/>
  <c r="C17" i="23"/>
  <c r="C29" i="23" s="1"/>
  <c r="C41" i="23" s="1"/>
  <c r="L113" i="14"/>
  <c r="M113" i="14"/>
  <c r="N113" i="14"/>
  <c r="O113" i="14"/>
  <c r="P113" i="14"/>
  <c r="Q113" i="14"/>
  <c r="R113" i="14"/>
  <c r="S113" i="14"/>
  <c r="T113" i="14"/>
  <c r="U113" i="14"/>
  <c r="V113" i="14"/>
  <c r="W113" i="14"/>
  <c r="A114" i="14"/>
  <c r="A115" i="14" s="1"/>
  <c r="A116" i="14" s="1"/>
  <c r="A117" i="14" s="1"/>
  <c r="A118" i="14" s="1"/>
  <c r="A119" i="14" s="1"/>
  <c r="A120" i="14" s="1"/>
  <c r="A121" i="14" s="1"/>
  <c r="A122" i="14" s="1"/>
  <c r="A123" i="14" s="1"/>
  <c r="A124" i="14" s="1"/>
  <c r="X114" i="14"/>
  <c r="X115" i="14"/>
  <c r="L116" i="14"/>
  <c r="M116" i="14"/>
  <c r="N116" i="14"/>
  <c r="O116" i="14"/>
  <c r="P116" i="14"/>
  <c r="Q116" i="14"/>
  <c r="R116" i="14"/>
  <c r="S116" i="14"/>
  <c r="T116" i="14"/>
  <c r="U116" i="14"/>
  <c r="V116" i="14"/>
  <c r="W116" i="14"/>
  <c r="W124" i="14" s="1"/>
  <c r="X117" i="14"/>
  <c r="X118" i="14"/>
  <c r="X119" i="14"/>
  <c r="X120" i="14"/>
  <c r="X121" i="14"/>
  <c r="X122" i="14"/>
  <c r="X123" i="14"/>
  <c r="L125" i="14"/>
  <c r="M125" i="14"/>
  <c r="N125" i="14"/>
  <c r="O125" i="14"/>
  <c r="P125" i="14"/>
  <c r="Q125" i="14"/>
  <c r="R125" i="14"/>
  <c r="S125" i="14"/>
  <c r="T125" i="14"/>
  <c r="U125" i="14"/>
  <c r="V125" i="14"/>
  <c r="W125" i="14"/>
  <c r="A126" i="14"/>
  <c r="A127" i="14" s="1"/>
  <c r="A128" i="14" s="1"/>
  <c r="A129" i="14" s="1"/>
  <c r="A130" i="14" s="1"/>
  <c r="A131" i="14" s="1"/>
  <c r="A132" i="14" s="1"/>
  <c r="A133" i="14" s="1"/>
  <c r="A134" i="14" s="1"/>
  <c r="A135" i="14" s="1"/>
  <c r="A136" i="14" s="1"/>
  <c r="X126" i="14"/>
  <c r="X127" i="14"/>
  <c r="L128" i="14"/>
  <c r="M128" i="14"/>
  <c r="N128" i="14"/>
  <c r="O128" i="14"/>
  <c r="P128" i="14"/>
  <c r="Q128" i="14"/>
  <c r="R128" i="14"/>
  <c r="S128" i="14"/>
  <c r="T128" i="14"/>
  <c r="U128" i="14"/>
  <c r="V128" i="14"/>
  <c r="W128" i="14"/>
  <c r="X129" i="14"/>
  <c r="X130" i="14"/>
  <c r="X131" i="14"/>
  <c r="X132" i="14"/>
  <c r="X133" i="14"/>
  <c r="X134" i="14"/>
  <c r="X135" i="14"/>
  <c r="L137" i="14"/>
  <c r="M137" i="14"/>
  <c r="N137" i="14"/>
  <c r="O137" i="14"/>
  <c r="P137" i="14"/>
  <c r="Q137" i="14"/>
  <c r="R137" i="14"/>
  <c r="S137" i="14"/>
  <c r="T137" i="14"/>
  <c r="U137" i="14"/>
  <c r="V137" i="14"/>
  <c r="W137" i="14"/>
  <c r="A138" i="14"/>
  <c r="A139" i="14" s="1"/>
  <c r="A140" i="14" s="1"/>
  <c r="A141" i="14" s="1"/>
  <c r="A142" i="14" s="1"/>
  <c r="A143" i="14" s="1"/>
  <c r="A144" i="14" s="1"/>
  <c r="A145" i="14" s="1"/>
  <c r="A146" i="14" s="1"/>
  <c r="A147" i="14" s="1"/>
  <c r="A148" i="14" s="1"/>
  <c r="X138" i="14"/>
  <c r="X139" i="14"/>
  <c r="L140" i="14"/>
  <c r="M140" i="14"/>
  <c r="N140" i="14"/>
  <c r="O140" i="14"/>
  <c r="P140" i="14"/>
  <c r="Q140" i="14"/>
  <c r="R140" i="14"/>
  <c r="S140" i="14"/>
  <c r="T140" i="14"/>
  <c r="U140" i="14"/>
  <c r="V140" i="14"/>
  <c r="W140" i="14"/>
  <c r="X141" i="14"/>
  <c r="X142" i="14"/>
  <c r="X143" i="14"/>
  <c r="X144" i="14"/>
  <c r="X145" i="14"/>
  <c r="X146" i="14"/>
  <c r="X147" i="14"/>
  <c r="L149" i="14"/>
  <c r="M149" i="14"/>
  <c r="N149" i="14"/>
  <c r="O149" i="14"/>
  <c r="P149" i="14"/>
  <c r="Q149" i="14"/>
  <c r="R149" i="14"/>
  <c r="S149" i="14"/>
  <c r="T149" i="14"/>
  <c r="U149" i="14"/>
  <c r="V149" i="14"/>
  <c r="W149" i="14"/>
  <c r="A150" i="14"/>
  <c r="A151" i="14" s="1"/>
  <c r="A152" i="14" s="1"/>
  <c r="A153" i="14" s="1"/>
  <c r="A154" i="14" s="1"/>
  <c r="A155" i="14" s="1"/>
  <c r="A156" i="14" s="1"/>
  <c r="A157" i="14" s="1"/>
  <c r="A158" i="14" s="1"/>
  <c r="A159" i="14" s="1"/>
  <c r="A160" i="14" s="1"/>
  <c r="X150" i="14"/>
  <c r="X151" i="14"/>
  <c r="L152" i="14"/>
  <c r="M152" i="14"/>
  <c r="N152" i="14"/>
  <c r="O152" i="14"/>
  <c r="P152" i="14"/>
  <c r="Q152" i="14"/>
  <c r="R152" i="14"/>
  <c r="S152" i="14"/>
  <c r="T152" i="14"/>
  <c r="U152" i="14"/>
  <c r="V152" i="14"/>
  <c r="W152" i="14"/>
  <c r="X153" i="14"/>
  <c r="X154" i="14"/>
  <c r="X155" i="14"/>
  <c r="X156" i="14"/>
  <c r="X157" i="14"/>
  <c r="X158" i="14"/>
  <c r="X159" i="14"/>
  <c r="L161" i="14"/>
  <c r="M161" i="14"/>
  <c r="N161" i="14"/>
  <c r="O161" i="14"/>
  <c r="P161" i="14"/>
  <c r="Q161" i="14"/>
  <c r="R161" i="14"/>
  <c r="S161" i="14"/>
  <c r="T161" i="14"/>
  <c r="U161" i="14"/>
  <c r="V161" i="14"/>
  <c r="W161" i="14"/>
  <c r="A162" i="14"/>
  <c r="A163" i="14" s="1"/>
  <c r="A164" i="14" s="1"/>
  <c r="A165" i="14" s="1"/>
  <c r="A166" i="14" s="1"/>
  <c r="A167" i="14" s="1"/>
  <c r="A168" i="14" s="1"/>
  <c r="A169" i="14" s="1"/>
  <c r="A170" i="14" s="1"/>
  <c r="A171" i="14" s="1"/>
  <c r="A172" i="14" s="1"/>
  <c r="X162" i="14"/>
  <c r="X163" i="14"/>
  <c r="L164" i="14"/>
  <c r="M164" i="14"/>
  <c r="N164" i="14"/>
  <c r="O164" i="14"/>
  <c r="P164" i="14"/>
  <c r="Q164" i="14"/>
  <c r="R164" i="14"/>
  <c r="S164" i="14"/>
  <c r="T164" i="14"/>
  <c r="U164" i="14"/>
  <c r="V164" i="14"/>
  <c r="W164" i="14"/>
  <c r="X165" i="14"/>
  <c r="X166" i="14"/>
  <c r="X167" i="14"/>
  <c r="X168" i="14"/>
  <c r="X169" i="14"/>
  <c r="X170" i="14"/>
  <c r="X171" i="14"/>
  <c r="L173" i="14"/>
  <c r="M173" i="14"/>
  <c r="N173" i="14"/>
  <c r="O173" i="14"/>
  <c r="P173" i="14"/>
  <c r="Q173" i="14"/>
  <c r="R173" i="14"/>
  <c r="S173" i="14"/>
  <c r="T173" i="14"/>
  <c r="U173" i="14"/>
  <c r="V173" i="14"/>
  <c r="W173" i="14"/>
  <c r="A174" i="14"/>
  <c r="A175" i="14" s="1"/>
  <c r="A176" i="14" s="1"/>
  <c r="A177" i="14" s="1"/>
  <c r="A178" i="14" s="1"/>
  <c r="A179" i="14" s="1"/>
  <c r="A180" i="14" s="1"/>
  <c r="A181" i="14" s="1"/>
  <c r="A182" i="14" s="1"/>
  <c r="A183" i="14" s="1"/>
  <c r="A184" i="14" s="1"/>
  <c r="X174" i="14"/>
  <c r="X175" i="14"/>
  <c r="L176" i="14"/>
  <c r="M176" i="14"/>
  <c r="N176" i="14"/>
  <c r="O176" i="14"/>
  <c r="P176" i="14"/>
  <c r="Q176" i="14"/>
  <c r="R176" i="14"/>
  <c r="S176" i="14"/>
  <c r="T176" i="14"/>
  <c r="U176" i="14"/>
  <c r="V176" i="14"/>
  <c r="W176" i="14"/>
  <c r="X177" i="14"/>
  <c r="X178" i="14"/>
  <c r="X179" i="14"/>
  <c r="X180" i="14"/>
  <c r="X181" i="14"/>
  <c r="X182" i="14"/>
  <c r="X183" i="14"/>
  <c r="L185" i="14"/>
  <c r="M185" i="14"/>
  <c r="N185" i="14"/>
  <c r="O185" i="14"/>
  <c r="P185" i="14"/>
  <c r="Q185" i="14"/>
  <c r="R185" i="14"/>
  <c r="S185" i="14"/>
  <c r="T185" i="14"/>
  <c r="U185" i="14"/>
  <c r="V185" i="14"/>
  <c r="W185" i="14"/>
  <c r="A186" i="14"/>
  <c r="A187" i="14" s="1"/>
  <c r="A188" i="14" s="1"/>
  <c r="A189" i="14" s="1"/>
  <c r="A190" i="14" s="1"/>
  <c r="A191" i="14" s="1"/>
  <c r="A192" i="14" s="1"/>
  <c r="A193" i="14" s="1"/>
  <c r="A194" i="14" s="1"/>
  <c r="A195" i="14" s="1"/>
  <c r="A196" i="14" s="1"/>
  <c r="X186" i="14"/>
  <c r="X187" i="14"/>
  <c r="L188" i="14"/>
  <c r="M188" i="14"/>
  <c r="N188" i="14"/>
  <c r="O188" i="14"/>
  <c r="P188" i="14"/>
  <c r="Q188" i="14"/>
  <c r="R188" i="14"/>
  <c r="S188" i="14"/>
  <c r="T188" i="14"/>
  <c r="U188" i="14"/>
  <c r="V188" i="14"/>
  <c r="W188" i="14"/>
  <c r="X189" i="14"/>
  <c r="X190" i="14"/>
  <c r="X191" i="14"/>
  <c r="X192" i="14"/>
  <c r="X193" i="14"/>
  <c r="X194" i="14"/>
  <c r="X195" i="14"/>
  <c r="L41" i="14"/>
  <c r="M41" i="14"/>
  <c r="N41" i="14"/>
  <c r="O41" i="14"/>
  <c r="P41" i="14"/>
  <c r="Q41" i="14"/>
  <c r="R41" i="14"/>
  <c r="S41" i="14"/>
  <c r="T41" i="14"/>
  <c r="U41" i="14"/>
  <c r="V41" i="14"/>
  <c r="W41" i="14"/>
  <c r="A42" i="14"/>
  <c r="A43" i="14" s="1"/>
  <c r="A44" i="14" s="1"/>
  <c r="A45" i="14" s="1"/>
  <c r="A46" i="14" s="1"/>
  <c r="A47" i="14" s="1"/>
  <c r="A48" i="14" s="1"/>
  <c r="A49" i="14" s="1"/>
  <c r="A50" i="14" s="1"/>
  <c r="A51" i="14" s="1"/>
  <c r="A52" i="14" s="1"/>
  <c r="X42" i="14"/>
  <c r="X43" i="14"/>
  <c r="L44" i="14"/>
  <c r="M44" i="14"/>
  <c r="N44" i="14"/>
  <c r="O44" i="14"/>
  <c r="P44" i="14"/>
  <c r="Q44" i="14"/>
  <c r="R44" i="14"/>
  <c r="S44" i="14"/>
  <c r="T44" i="14"/>
  <c r="U44" i="14"/>
  <c r="V44" i="14"/>
  <c r="W44" i="14"/>
  <c r="X45" i="14"/>
  <c r="X46" i="14"/>
  <c r="X47" i="14"/>
  <c r="X48" i="14"/>
  <c r="X49" i="14"/>
  <c r="X50" i="14"/>
  <c r="X51" i="14"/>
  <c r="L5" i="14"/>
  <c r="M5" i="14"/>
  <c r="N5" i="14"/>
  <c r="O5" i="14"/>
  <c r="P5" i="14"/>
  <c r="Q5" i="14"/>
  <c r="R5" i="14"/>
  <c r="S5" i="14"/>
  <c r="T5" i="14"/>
  <c r="U5" i="14"/>
  <c r="V5" i="14"/>
  <c r="W5" i="14"/>
  <c r="A6" i="14"/>
  <c r="A7" i="14" s="1"/>
  <c r="A8" i="14" s="1"/>
  <c r="A9" i="14" s="1"/>
  <c r="A10" i="14" s="1"/>
  <c r="A11" i="14" s="1"/>
  <c r="A12" i="14" s="1"/>
  <c r="A13" i="14" s="1"/>
  <c r="A14" i="14" s="1"/>
  <c r="A15" i="14" s="1"/>
  <c r="A16" i="14" s="1"/>
  <c r="X6" i="14"/>
  <c r="X7" i="14"/>
  <c r="L8" i="14"/>
  <c r="M8" i="14"/>
  <c r="N8" i="14"/>
  <c r="O8" i="14"/>
  <c r="P8" i="14"/>
  <c r="Q8" i="14"/>
  <c r="Q210" i="14" s="1"/>
  <c r="R8" i="14"/>
  <c r="S8" i="14"/>
  <c r="T8" i="14"/>
  <c r="U8" i="14"/>
  <c r="V8" i="14"/>
  <c r="W8" i="14"/>
  <c r="X9" i="14"/>
  <c r="X10" i="14"/>
  <c r="X11" i="14"/>
  <c r="X12" i="14"/>
  <c r="X13" i="14"/>
  <c r="X14" i="14"/>
  <c r="X15" i="14"/>
  <c r="C209" i="14"/>
  <c r="C53" i="23" l="1"/>
  <c r="C65" i="23"/>
  <c r="C77" i="23" s="1"/>
  <c r="C89" i="23" s="1"/>
  <c r="C101" i="23" s="1"/>
  <c r="C113" i="23" s="1"/>
  <c r="C125" i="23" s="1"/>
  <c r="C137" i="23" s="1"/>
  <c r="C149" i="23" s="1"/>
  <c r="U16" i="14"/>
  <c r="N112" i="23"/>
  <c r="V112" i="23"/>
  <c r="Q112" i="23"/>
  <c r="P112" i="23"/>
  <c r="T112" i="23"/>
  <c r="W112" i="23"/>
  <c r="U196" i="14"/>
  <c r="R172" i="14"/>
  <c r="P148" i="14"/>
  <c r="N124" i="14"/>
  <c r="T196" i="14"/>
  <c r="V196" i="14"/>
  <c r="Q160" i="14"/>
  <c r="R112" i="23"/>
  <c r="V172" i="14"/>
  <c r="T184" i="14"/>
  <c r="R160" i="14"/>
  <c r="O124" i="14"/>
  <c r="O148" i="14"/>
  <c r="S16" i="14"/>
  <c r="O184" i="14"/>
  <c r="V124" i="14"/>
  <c r="N196" i="14"/>
  <c r="W148" i="14"/>
  <c r="M196" i="14"/>
  <c r="X104" i="23"/>
  <c r="U112" i="23"/>
  <c r="S112" i="23"/>
  <c r="W184" i="14"/>
  <c r="X101" i="23"/>
  <c r="L112" i="23"/>
  <c r="R136" i="14"/>
  <c r="U124" i="14"/>
  <c r="S124" i="14"/>
  <c r="T16" i="14"/>
  <c r="P16" i="14"/>
  <c r="P52" i="14"/>
  <c r="R124" i="14"/>
  <c r="T160" i="14"/>
  <c r="V52" i="14"/>
  <c r="M148" i="14"/>
  <c r="N172" i="14"/>
  <c r="W136" i="14"/>
  <c r="Q196" i="14"/>
  <c r="L136" i="14"/>
  <c r="S136" i="14"/>
  <c r="O16" i="14"/>
  <c r="W52" i="14"/>
  <c r="O52" i="14"/>
  <c r="V148" i="14"/>
  <c r="N148" i="14"/>
  <c r="W16" i="14"/>
  <c r="L160" i="14"/>
  <c r="N52" i="14"/>
  <c r="P184" i="14"/>
  <c r="R52" i="14"/>
  <c r="L148" i="14"/>
  <c r="Q148" i="14"/>
  <c r="V136" i="14"/>
  <c r="N136" i="14"/>
  <c r="Q52" i="14"/>
  <c r="V160" i="14"/>
  <c r="N160" i="14"/>
  <c r="T148" i="14"/>
  <c r="X140" i="14"/>
  <c r="U160" i="14"/>
  <c r="M160" i="14"/>
  <c r="Q124" i="14"/>
  <c r="V184" i="14"/>
  <c r="N184" i="14"/>
  <c r="S148" i="14"/>
  <c r="U172" i="14"/>
  <c r="M172" i="14"/>
  <c r="M16" i="14"/>
  <c r="T52" i="14"/>
  <c r="X41" i="14"/>
  <c r="O136" i="14"/>
  <c r="P196" i="14"/>
  <c r="Q172" i="14"/>
  <c r="T124" i="14"/>
  <c r="R184" i="14"/>
  <c r="W196" i="14"/>
  <c r="O196" i="14"/>
  <c r="T172" i="14"/>
  <c r="L172" i="14"/>
  <c r="W160" i="14"/>
  <c r="O160" i="14"/>
  <c r="U148" i="14"/>
  <c r="X128" i="14"/>
  <c r="P136" i="14"/>
  <c r="L52" i="14"/>
  <c r="Q184" i="14"/>
  <c r="Q136" i="14"/>
  <c r="Q16" i="14"/>
  <c r="R148" i="14"/>
  <c r="P124" i="14"/>
  <c r="S196" i="14"/>
  <c r="P172" i="14"/>
  <c r="P160" i="14"/>
  <c r="S160" i="14"/>
  <c r="R16" i="14"/>
  <c r="R196" i="14"/>
  <c r="U184" i="14"/>
  <c r="M184" i="14"/>
  <c r="W172" i="14"/>
  <c r="X161" i="14"/>
  <c r="U136" i="14"/>
  <c r="M136" i="14"/>
  <c r="V16" i="14"/>
  <c r="S52" i="14"/>
  <c r="U52" i="14"/>
  <c r="M52" i="14"/>
  <c r="S172" i="14"/>
  <c r="T136" i="14"/>
  <c r="X8" i="14"/>
  <c r="L16" i="14"/>
  <c r="X44" i="14"/>
  <c r="N16" i="14"/>
  <c r="X5" i="14"/>
  <c r="S184" i="14"/>
  <c r="X149" i="14"/>
  <c r="X137" i="14"/>
  <c r="X125" i="14"/>
  <c r="X116" i="14"/>
  <c r="X188" i="14"/>
  <c r="X185" i="14"/>
  <c r="X173" i="14"/>
  <c r="O172" i="14"/>
  <c r="X164" i="14"/>
  <c r="X152" i="14"/>
  <c r="L124" i="14"/>
  <c r="X113" i="14"/>
  <c r="X176" i="14"/>
  <c r="L184" i="14"/>
  <c r="L196" i="14"/>
  <c r="M124" i="14"/>
  <c r="X112" i="23" l="1"/>
  <c r="X172" i="14"/>
  <c r="X16" i="14"/>
  <c r="X124" i="14"/>
  <c r="X52" i="14"/>
  <c r="X148" i="14"/>
  <c r="X136" i="14"/>
  <c r="X184" i="14"/>
  <c r="X160" i="14"/>
  <c r="X196" i="14"/>
  <c r="C17" i="38"/>
  <c r="L29" i="17"/>
  <c r="M29" i="17"/>
  <c r="N29" i="17"/>
  <c r="O29" i="17"/>
  <c r="P29" i="17"/>
  <c r="Q29" i="17"/>
  <c r="R29" i="17"/>
  <c r="S29" i="17"/>
  <c r="T29" i="17"/>
  <c r="U29" i="17"/>
  <c r="V29" i="17"/>
  <c r="W29" i="17"/>
  <c r="A30" i="17"/>
  <c r="A31" i="17" s="1"/>
  <c r="A32" i="17" s="1"/>
  <c r="A33" i="17" s="1"/>
  <c r="A34" i="17" s="1"/>
  <c r="A35" i="17" s="1"/>
  <c r="A36" i="17" s="1"/>
  <c r="A37" i="17" s="1"/>
  <c r="A38" i="17" s="1"/>
  <c r="A39" i="17" s="1"/>
  <c r="A40" i="17" s="1"/>
  <c r="X30" i="17"/>
  <c r="X31" i="17"/>
  <c r="L32" i="17"/>
  <c r="M32" i="17"/>
  <c r="N32" i="17"/>
  <c r="O32" i="17"/>
  <c r="P32" i="17"/>
  <c r="Q32" i="17"/>
  <c r="R32" i="17"/>
  <c r="S32" i="17"/>
  <c r="T32" i="17"/>
  <c r="U32" i="17"/>
  <c r="V32" i="17"/>
  <c r="W32" i="17"/>
  <c r="X33" i="17"/>
  <c r="X34" i="17"/>
  <c r="X35" i="17"/>
  <c r="X36" i="17"/>
  <c r="X37" i="17"/>
  <c r="X38" i="17"/>
  <c r="X39" i="17"/>
  <c r="A6" i="18"/>
  <c r="A7" i="18" s="1"/>
  <c r="A8" i="18" s="1"/>
  <c r="A9" i="18" s="1"/>
  <c r="A10" i="18" s="1"/>
  <c r="A11" i="18" s="1"/>
  <c r="A12" i="18" s="1"/>
  <c r="A13" i="18" s="1"/>
  <c r="A14" i="18" s="1"/>
  <c r="A15" i="18" s="1"/>
  <c r="A16" i="18" s="1"/>
  <c r="B126" i="18"/>
  <c r="B127" i="18" s="1"/>
  <c r="B128" i="18" s="1"/>
  <c r="B129" i="18" s="1"/>
  <c r="B130" i="18" s="1"/>
  <c r="B131" i="18" s="1"/>
  <c r="B132" i="18" s="1"/>
  <c r="B133" i="18" s="1"/>
  <c r="B134" i="18" s="1"/>
  <c r="B135" i="18" s="1"/>
  <c r="B136" i="18" s="1"/>
  <c r="A126" i="18"/>
  <c r="A127" i="18" s="1"/>
  <c r="A128" i="18" s="1"/>
  <c r="A129" i="18" s="1"/>
  <c r="A130" i="18" s="1"/>
  <c r="A131" i="18" s="1"/>
  <c r="A132" i="18" s="1"/>
  <c r="A133" i="18" s="1"/>
  <c r="A134" i="18" s="1"/>
  <c r="A135" i="18" s="1"/>
  <c r="A136" i="18" s="1"/>
  <c r="A114" i="18"/>
  <c r="A115" i="18" s="1"/>
  <c r="A116" i="18" s="1"/>
  <c r="A117" i="18" s="1"/>
  <c r="A118" i="18" s="1"/>
  <c r="A119" i="18" s="1"/>
  <c r="A120" i="18" s="1"/>
  <c r="A121" i="18" s="1"/>
  <c r="A122" i="18" s="1"/>
  <c r="A123" i="18" s="1"/>
  <c r="A124" i="18" s="1"/>
  <c r="L53" i="15"/>
  <c r="M53" i="15"/>
  <c r="N53" i="15"/>
  <c r="O53" i="15"/>
  <c r="P53" i="15"/>
  <c r="Q53" i="15"/>
  <c r="R53" i="15"/>
  <c r="S53" i="15"/>
  <c r="T53" i="15"/>
  <c r="U53" i="15"/>
  <c r="V53" i="15"/>
  <c r="W53" i="15"/>
  <c r="A54" i="15"/>
  <c r="A55" i="15" s="1"/>
  <c r="A56" i="15" s="1"/>
  <c r="A57" i="15" s="1"/>
  <c r="A58" i="15" s="1"/>
  <c r="A59" i="15" s="1"/>
  <c r="A60" i="15" s="1"/>
  <c r="A61" i="15" s="1"/>
  <c r="A62" i="15" s="1"/>
  <c r="A63" i="15" s="1"/>
  <c r="A64" i="15" s="1"/>
  <c r="X54" i="15"/>
  <c r="X55" i="15"/>
  <c r="L56" i="15"/>
  <c r="M56" i="15"/>
  <c r="N56" i="15"/>
  <c r="O56" i="15"/>
  <c r="P56" i="15"/>
  <c r="Q56" i="15"/>
  <c r="R56" i="15"/>
  <c r="S56" i="15"/>
  <c r="T56" i="15"/>
  <c r="U56" i="15"/>
  <c r="V56" i="15"/>
  <c r="W56" i="15"/>
  <c r="X57" i="15"/>
  <c r="X58" i="15"/>
  <c r="X59" i="15"/>
  <c r="X60" i="15"/>
  <c r="X61" i="15"/>
  <c r="X62" i="15"/>
  <c r="X63" i="15"/>
  <c r="X15" i="18"/>
  <c r="X14" i="18"/>
  <c r="X13" i="18"/>
  <c r="X12" i="18"/>
  <c r="X11" i="18"/>
  <c r="X10" i="18"/>
  <c r="X9" i="18"/>
  <c r="W8" i="18"/>
  <c r="V8" i="18"/>
  <c r="U8" i="18"/>
  <c r="T8" i="18"/>
  <c r="S8" i="18"/>
  <c r="R8" i="18"/>
  <c r="Q8" i="18"/>
  <c r="P8" i="18"/>
  <c r="O8" i="18"/>
  <c r="N8" i="18"/>
  <c r="M8" i="18"/>
  <c r="L8" i="18"/>
  <c r="X6" i="18"/>
  <c r="W5" i="18"/>
  <c r="V5" i="18"/>
  <c r="U5" i="18"/>
  <c r="T5" i="18"/>
  <c r="S5" i="18"/>
  <c r="R5" i="18"/>
  <c r="Q5" i="18"/>
  <c r="P5" i="18"/>
  <c r="O5" i="18"/>
  <c r="N5" i="18"/>
  <c r="M5" i="18"/>
  <c r="L5" i="18"/>
  <c r="O40" i="17" l="1"/>
  <c r="W40" i="17"/>
  <c r="U64" i="15"/>
  <c r="P64" i="15"/>
  <c r="S64" i="15"/>
  <c r="T40" i="17"/>
  <c r="O64" i="15"/>
  <c r="S40" i="17"/>
  <c r="Q40" i="17"/>
  <c r="Q64" i="15"/>
  <c r="T64" i="15"/>
  <c r="W64" i="15"/>
  <c r="M64" i="15"/>
  <c r="L40" i="17"/>
  <c r="X69" i="40"/>
  <c r="R40" i="17"/>
  <c r="X29" i="17"/>
  <c r="P40" i="17"/>
  <c r="U40" i="17"/>
  <c r="X32" i="17"/>
  <c r="V40" i="17"/>
  <c r="N40" i="17"/>
  <c r="M40" i="17"/>
  <c r="N16" i="18"/>
  <c r="V16" i="18"/>
  <c r="W16" i="18"/>
  <c r="O16" i="18"/>
  <c r="S16" i="18"/>
  <c r="Q16" i="18"/>
  <c r="R16" i="18"/>
  <c r="T16" i="18"/>
  <c r="L16" i="18"/>
  <c r="M16" i="18"/>
  <c r="U16" i="18"/>
  <c r="X5" i="18"/>
  <c r="X8" i="18"/>
  <c r="V64" i="15"/>
  <c r="N64" i="15"/>
  <c r="X56" i="15"/>
  <c r="R64" i="15"/>
  <c r="X53" i="15"/>
  <c r="L64" i="15"/>
  <c r="P16" i="18"/>
  <c r="X70" i="40" l="1"/>
  <c r="X68" i="40"/>
  <c r="X64" i="15"/>
  <c r="X40" i="17"/>
  <c r="X16" i="18"/>
  <c r="W128" i="18"/>
  <c r="V128" i="18"/>
  <c r="U128" i="18"/>
  <c r="T128" i="18"/>
  <c r="S128" i="18"/>
  <c r="R128" i="18"/>
  <c r="Q128" i="18"/>
  <c r="P128" i="18"/>
  <c r="O128" i="18"/>
  <c r="N128" i="18"/>
  <c r="M128" i="18"/>
  <c r="L128" i="18"/>
  <c r="W125" i="18"/>
  <c r="V125" i="18"/>
  <c r="U125" i="18"/>
  <c r="T125" i="18"/>
  <c r="S125" i="18"/>
  <c r="R125" i="18"/>
  <c r="Q125" i="18"/>
  <c r="P125" i="18"/>
  <c r="O125" i="18"/>
  <c r="N125" i="18"/>
  <c r="M125" i="18"/>
  <c r="L125" i="18"/>
  <c r="R136" i="18" l="1"/>
  <c r="Q136" i="18"/>
  <c r="O136" i="18"/>
  <c r="T136" i="18"/>
  <c r="S136" i="18"/>
  <c r="M136" i="18"/>
  <c r="U136" i="18"/>
  <c r="V136" i="18"/>
  <c r="N136" i="18"/>
  <c r="W136" i="18"/>
  <c r="P136" i="18"/>
  <c r="L136" i="18"/>
  <c r="W116" i="18"/>
  <c r="W138" i="18" s="1"/>
  <c r="V116" i="18"/>
  <c r="U116" i="18"/>
  <c r="T116" i="18"/>
  <c r="S116" i="18"/>
  <c r="R116" i="18"/>
  <c r="Q116" i="18"/>
  <c r="P116" i="18"/>
  <c r="O116" i="18"/>
  <c r="N116" i="18"/>
  <c r="M116" i="18"/>
  <c r="L116" i="18"/>
  <c r="W113" i="18"/>
  <c r="V113" i="18"/>
  <c r="U113" i="18"/>
  <c r="T113" i="18"/>
  <c r="S113" i="18"/>
  <c r="R113" i="18"/>
  <c r="Q113" i="18"/>
  <c r="P113" i="18"/>
  <c r="O113" i="18"/>
  <c r="N113" i="18"/>
  <c r="M113" i="18"/>
  <c r="L113" i="18"/>
  <c r="S8" i="21"/>
  <c r="W20" i="35"/>
  <c r="V20" i="35"/>
  <c r="U20" i="35"/>
  <c r="T20" i="35"/>
  <c r="S20" i="35"/>
  <c r="R20" i="35"/>
  <c r="Q20" i="35"/>
  <c r="P20" i="35"/>
  <c r="O20" i="35"/>
  <c r="N20" i="35"/>
  <c r="M20" i="35"/>
  <c r="L20" i="35"/>
  <c r="W17" i="35"/>
  <c r="V17" i="35"/>
  <c r="U17" i="35"/>
  <c r="T17" i="35"/>
  <c r="S17" i="35"/>
  <c r="R17" i="35"/>
  <c r="Q17" i="35"/>
  <c r="P17" i="35"/>
  <c r="O17" i="35"/>
  <c r="N17" i="35"/>
  <c r="M17" i="35"/>
  <c r="L17" i="35"/>
  <c r="W116" i="19"/>
  <c r="V116" i="19"/>
  <c r="U116" i="19"/>
  <c r="T116" i="19"/>
  <c r="S116" i="19"/>
  <c r="R116" i="19"/>
  <c r="Q116" i="19"/>
  <c r="P116" i="19"/>
  <c r="O116" i="19"/>
  <c r="N116" i="19"/>
  <c r="M116" i="19"/>
  <c r="L116" i="19"/>
  <c r="W113" i="19"/>
  <c r="V113" i="19"/>
  <c r="U113" i="19"/>
  <c r="T113" i="19"/>
  <c r="S113" i="19"/>
  <c r="R113" i="19"/>
  <c r="Q113" i="19"/>
  <c r="P113" i="19"/>
  <c r="O113" i="19"/>
  <c r="N113" i="19"/>
  <c r="M113" i="19"/>
  <c r="L113" i="19"/>
  <c r="U28" i="35" l="1"/>
  <c r="M28" i="35"/>
  <c r="W28" i="35"/>
  <c r="P28" i="35"/>
  <c r="O28" i="35"/>
  <c r="Q28" i="35"/>
  <c r="R28" i="35"/>
  <c r="T124" i="19"/>
  <c r="U124" i="19"/>
  <c r="S124" i="19"/>
  <c r="S28" i="35"/>
  <c r="T28" i="35"/>
  <c r="L28" i="35"/>
  <c r="N28" i="35"/>
  <c r="V28" i="35"/>
  <c r="M124" i="19"/>
  <c r="L124" i="19"/>
  <c r="N124" i="19"/>
  <c r="V124" i="19"/>
  <c r="Q124" i="19"/>
  <c r="W124" i="19"/>
  <c r="P124" i="19"/>
  <c r="O124" i="19"/>
  <c r="R124" i="19"/>
  <c r="A66" i="17" l="1"/>
  <c r="W51" i="7" l="1"/>
  <c r="W50" i="7"/>
  <c r="W49" i="7"/>
  <c r="W48" i="7"/>
  <c r="W47" i="7"/>
  <c r="W46" i="7"/>
  <c r="W45" i="7"/>
  <c r="V44" i="7"/>
  <c r="V126" i="7" s="1"/>
  <c r="U44" i="7"/>
  <c r="T44" i="7"/>
  <c r="S44" i="7"/>
  <c r="R44" i="7"/>
  <c r="Q44" i="7"/>
  <c r="P44" i="7"/>
  <c r="O44" i="7"/>
  <c r="N44" i="7"/>
  <c r="M44" i="7"/>
  <c r="L44" i="7"/>
  <c r="K44" i="7"/>
  <c r="W43" i="7"/>
  <c r="W42" i="7"/>
  <c r="A42" i="7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V41" i="7"/>
  <c r="V125" i="7" s="1"/>
  <c r="U41" i="7"/>
  <c r="T41" i="7"/>
  <c r="S41" i="7"/>
  <c r="R41" i="7"/>
  <c r="Q41" i="7"/>
  <c r="P41" i="7"/>
  <c r="O41" i="7"/>
  <c r="N41" i="7"/>
  <c r="M41" i="7"/>
  <c r="L41" i="7"/>
  <c r="K41" i="7"/>
  <c r="R65" i="38"/>
  <c r="T52" i="7" l="1"/>
  <c r="V52" i="7"/>
  <c r="S52" i="7"/>
  <c r="N52" i="7"/>
  <c r="M52" i="7"/>
  <c r="K52" i="7"/>
  <c r="O52" i="7"/>
  <c r="R52" i="7"/>
  <c r="Q52" i="7"/>
  <c r="L52" i="7"/>
  <c r="P52" i="7"/>
  <c r="U52" i="7"/>
  <c r="W41" i="7"/>
  <c r="W44" i="7"/>
  <c r="W52" i="7" l="1"/>
  <c r="X27" i="17"/>
  <c r="X26" i="17"/>
  <c r="X25" i="17"/>
  <c r="X24" i="17"/>
  <c r="X23" i="17"/>
  <c r="X22" i="17"/>
  <c r="X21" i="17"/>
  <c r="W20" i="17"/>
  <c r="V20" i="17"/>
  <c r="U20" i="17"/>
  <c r="T20" i="17"/>
  <c r="S20" i="17"/>
  <c r="R20" i="17"/>
  <c r="Q20" i="17"/>
  <c r="P20" i="17"/>
  <c r="O20" i="17"/>
  <c r="N20" i="17"/>
  <c r="M20" i="17"/>
  <c r="L20" i="17"/>
  <c r="X18" i="17"/>
  <c r="A18" i="17"/>
  <c r="A19" i="17" s="1"/>
  <c r="A20" i="17" s="1"/>
  <c r="A21" i="17" s="1"/>
  <c r="A22" i="17" s="1"/>
  <c r="A23" i="17" s="1"/>
  <c r="A24" i="17" s="1"/>
  <c r="A25" i="17" s="1"/>
  <c r="A26" i="17" s="1"/>
  <c r="A27" i="17" s="1"/>
  <c r="A28" i="17" s="1"/>
  <c r="W17" i="17"/>
  <c r="V17" i="17"/>
  <c r="U17" i="17"/>
  <c r="T17" i="17"/>
  <c r="S17" i="17"/>
  <c r="R17" i="17"/>
  <c r="Q17" i="17"/>
  <c r="P17" i="17"/>
  <c r="O17" i="17"/>
  <c r="N17" i="17"/>
  <c r="M17" i="17"/>
  <c r="L17" i="17"/>
  <c r="O28" i="17" l="1"/>
  <c r="U28" i="17"/>
  <c r="V28" i="17"/>
  <c r="W28" i="17"/>
  <c r="R28" i="17"/>
  <c r="Q28" i="17"/>
  <c r="P28" i="17"/>
  <c r="M28" i="17"/>
  <c r="N28" i="17"/>
  <c r="T28" i="17"/>
  <c r="S28" i="17"/>
  <c r="X17" i="17"/>
  <c r="X20" i="17"/>
  <c r="L28" i="17"/>
  <c r="A41" i="9"/>
  <c r="C113" i="38"/>
  <c r="X75" i="38"/>
  <c r="X74" i="38"/>
  <c r="X73" i="38"/>
  <c r="X72" i="38"/>
  <c r="X71" i="38"/>
  <c r="X70" i="38"/>
  <c r="X69" i="38"/>
  <c r="W68" i="38"/>
  <c r="V68" i="38"/>
  <c r="U68" i="38"/>
  <c r="T68" i="38"/>
  <c r="S68" i="38"/>
  <c r="R68" i="38"/>
  <c r="Q68" i="38"/>
  <c r="P68" i="38"/>
  <c r="O68" i="38"/>
  <c r="N68" i="38"/>
  <c r="M68" i="38"/>
  <c r="L68" i="38"/>
  <c r="X67" i="38"/>
  <c r="X66" i="38"/>
  <c r="A66" i="38"/>
  <c r="A67" i="38" s="1"/>
  <c r="A68" i="38" s="1"/>
  <c r="A69" i="38" s="1"/>
  <c r="A70" i="38" s="1"/>
  <c r="A71" i="38" s="1"/>
  <c r="A72" i="38" s="1"/>
  <c r="A73" i="38" s="1"/>
  <c r="A74" i="38" s="1"/>
  <c r="A75" i="38" s="1"/>
  <c r="A76" i="38" s="1"/>
  <c r="W65" i="38"/>
  <c r="V65" i="38"/>
  <c r="U65" i="38"/>
  <c r="T65" i="38"/>
  <c r="S65" i="38"/>
  <c r="Q65" i="38"/>
  <c r="P65" i="38"/>
  <c r="O65" i="38"/>
  <c r="N65" i="38"/>
  <c r="M65" i="38"/>
  <c r="L65" i="38"/>
  <c r="X39" i="38"/>
  <c r="X38" i="38"/>
  <c r="X37" i="38"/>
  <c r="X36" i="38"/>
  <c r="X35" i="38"/>
  <c r="X34" i="38"/>
  <c r="X33" i="38"/>
  <c r="W32" i="38"/>
  <c r="V32" i="38"/>
  <c r="U32" i="38"/>
  <c r="T32" i="38"/>
  <c r="S32" i="38"/>
  <c r="R32" i="38"/>
  <c r="Q32" i="38"/>
  <c r="P32" i="38"/>
  <c r="O32" i="38"/>
  <c r="N32" i="38"/>
  <c r="M32" i="38"/>
  <c r="L32" i="38"/>
  <c r="X31" i="38"/>
  <c r="X30" i="38"/>
  <c r="A30" i="38"/>
  <c r="A31" i="38" s="1"/>
  <c r="A32" i="38" s="1"/>
  <c r="A33" i="38" s="1"/>
  <c r="A34" i="38" s="1"/>
  <c r="A35" i="38" s="1"/>
  <c r="A36" i="38" s="1"/>
  <c r="A37" i="38" s="1"/>
  <c r="A38" i="38" s="1"/>
  <c r="A39" i="38" s="1"/>
  <c r="A40" i="38" s="1"/>
  <c r="W29" i="38"/>
  <c r="V29" i="38"/>
  <c r="U29" i="38"/>
  <c r="T29" i="38"/>
  <c r="S29" i="38"/>
  <c r="R29" i="38"/>
  <c r="Q29" i="38"/>
  <c r="P29" i="38"/>
  <c r="O29" i="38"/>
  <c r="N29" i="38"/>
  <c r="M29" i="38"/>
  <c r="L29" i="38"/>
  <c r="X15" i="38"/>
  <c r="X14" i="38"/>
  <c r="X13" i="38"/>
  <c r="X12" i="38"/>
  <c r="X11" i="38"/>
  <c r="X10" i="38"/>
  <c r="X9" i="38"/>
  <c r="W8" i="38"/>
  <c r="V8" i="38"/>
  <c r="V114" i="38" s="1"/>
  <c r="U8" i="38"/>
  <c r="U114" i="38" s="1"/>
  <c r="T8" i="38"/>
  <c r="T114" i="38" s="1"/>
  <c r="S8" i="38"/>
  <c r="R8" i="38"/>
  <c r="Q8" i="38"/>
  <c r="P8" i="38"/>
  <c r="O8" i="38"/>
  <c r="N8" i="38"/>
  <c r="M8" i="38"/>
  <c r="L8" i="38"/>
  <c r="X7" i="38"/>
  <c r="X6" i="38"/>
  <c r="A6" i="38"/>
  <c r="A7" i="38" s="1"/>
  <c r="A8" i="38" s="1"/>
  <c r="A9" i="38" s="1"/>
  <c r="A10" i="38" s="1"/>
  <c r="A11" i="38" s="1"/>
  <c r="A12" i="38" s="1"/>
  <c r="A13" i="38" s="1"/>
  <c r="A14" i="38" s="1"/>
  <c r="A15" i="38" s="1"/>
  <c r="A16" i="38" s="1"/>
  <c r="W5" i="38"/>
  <c r="V5" i="38"/>
  <c r="U5" i="38"/>
  <c r="U113" i="38" s="1"/>
  <c r="T5" i="38"/>
  <c r="S5" i="38"/>
  <c r="R5" i="38"/>
  <c r="Q5" i="38"/>
  <c r="P5" i="38"/>
  <c r="O5" i="38"/>
  <c r="N5" i="38"/>
  <c r="M5" i="38"/>
  <c r="L5" i="38"/>
  <c r="X99" i="38"/>
  <c r="X98" i="38"/>
  <c r="X97" i="38"/>
  <c r="X96" i="38"/>
  <c r="X95" i="38"/>
  <c r="X94" i="38"/>
  <c r="X93" i="38"/>
  <c r="W92" i="38"/>
  <c r="V92" i="38"/>
  <c r="U92" i="38"/>
  <c r="T92" i="38"/>
  <c r="S92" i="38"/>
  <c r="R92" i="38"/>
  <c r="Q92" i="38"/>
  <c r="P92" i="38"/>
  <c r="O92" i="38"/>
  <c r="N92" i="38"/>
  <c r="M92" i="38"/>
  <c r="L92" i="38"/>
  <c r="X91" i="38"/>
  <c r="X90" i="38"/>
  <c r="A90" i="38"/>
  <c r="A91" i="38" s="1"/>
  <c r="A92" i="38" s="1"/>
  <c r="A93" i="38" s="1"/>
  <c r="A94" i="38" s="1"/>
  <c r="A95" i="38" s="1"/>
  <c r="A96" i="38" s="1"/>
  <c r="A97" i="38" s="1"/>
  <c r="A98" i="38" s="1"/>
  <c r="A99" i="38" s="1"/>
  <c r="A100" i="38" s="1"/>
  <c r="W89" i="38"/>
  <c r="V89" i="38"/>
  <c r="U89" i="38"/>
  <c r="T89" i="38"/>
  <c r="S89" i="38"/>
  <c r="R89" i="38"/>
  <c r="Q89" i="38"/>
  <c r="P89" i="38"/>
  <c r="O89" i="38"/>
  <c r="N89" i="38"/>
  <c r="M89" i="38"/>
  <c r="L89" i="38"/>
  <c r="X27" i="38"/>
  <c r="X26" i="38"/>
  <c r="X25" i="38"/>
  <c r="X24" i="38"/>
  <c r="X23" i="38"/>
  <c r="X22" i="38"/>
  <c r="X21" i="38"/>
  <c r="W20" i="38"/>
  <c r="V20" i="38"/>
  <c r="U20" i="38"/>
  <c r="T20" i="38"/>
  <c r="S20" i="38"/>
  <c r="R20" i="38"/>
  <c r="Q20" i="38"/>
  <c r="P20" i="38"/>
  <c r="O20" i="38"/>
  <c r="N20" i="38"/>
  <c r="M20" i="38"/>
  <c r="L20" i="38"/>
  <c r="X19" i="38"/>
  <c r="X18" i="38"/>
  <c r="A18" i="38"/>
  <c r="A19" i="38"/>
  <c r="A20" i="38" s="1"/>
  <c r="A21" i="38" s="1"/>
  <c r="A22" i="38" s="1"/>
  <c r="A23" i="38" s="1"/>
  <c r="A24" i="38" s="1"/>
  <c r="A25" i="38" s="1"/>
  <c r="A26" i="38" s="1"/>
  <c r="A27" i="38" s="1"/>
  <c r="A28" i="38" s="1"/>
  <c r="W17" i="38"/>
  <c r="V17" i="38"/>
  <c r="U17" i="38"/>
  <c r="T17" i="38"/>
  <c r="S17" i="38"/>
  <c r="R17" i="38"/>
  <c r="Q17" i="38"/>
  <c r="P17" i="38"/>
  <c r="O17" i="38"/>
  <c r="N17" i="38"/>
  <c r="M17" i="38"/>
  <c r="L17" i="38"/>
  <c r="L44" i="24"/>
  <c r="L41" i="24"/>
  <c r="M41" i="24"/>
  <c r="L5" i="24"/>
  <c r="W41" i="24"/>
  <c r="V41" i="24"/>
  <c r="U41" i="24"/>
  <c r="T41" i="24"/>
  <c r="S41" i="24"/>
  <c r="R41" i="24"/>
  <c r="Q41" i="24"/>
  <c r="P41" i="24"/>
  <c r="O41" i="24"/>
  <c r="N41" i="24"/>
  <c r="A18" i="7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C17" i="30"/>
  <c r="L80" i="23"/>
  <c r="M80" i="23"/>
  <c r="N80" i="23"/>
  <c r="O80" i="23"/>
  <c r="P80" i="23"/>
  <c r="Q80" i="23"/>
  <c r="R80" i="23"/>
  <c r="S80" i="23"/>
  <c r="T80" i="23"/>
  <c r="U80" i="23"/>
  <c r="V80" i="23"/>
  <c r="W80" i="23"/>
  <c r="U32" i="19"/>
  <c r="L32" i="19"/>
  <c r="W32" i="19"/>
  <c r="V32" i="19"/>
  <c r="T32" i="19"/>
  <c r="S32" i="19"/>
  <c r="R32" i="19"/>
  <c r="Q32" i="19"/>
  <c r="P32" i="19"/>
  <c r="O32" i="19"/>
  <c r="N32" i="19"/>
  <c r="M32" i="19"/>
  <c r="A67" i="17"/>
  <c r="A68" i="17" s="1"/>
  <c r="A69" i="17" s="1"/>
  <c r="A70" i="17" s="1"/>
  <c r="A71" i="17" s="1"/>
  <c r="A72" i="17" s="1"/>
  <c r="A73" i="17" s="1"/>
  <c r="A74" i="17" s="1"/>
  <c r="A75" i="17" s="1"/>
  <c r="A76" i="17" s="1"/>
  <c r="X87" i="23"/>
  <c r="X86" i="23"/>
  <c r="X85" i="23"/>
  <c r="X84" i="23"/>
  <c r="X83" i="23"/>
  <c r="X82" i="23"/>
  <c r="X81" i="23"/>
  <c r="X79" i="23"/>
  <c r="X78" i="23"/>
  <c r="A78" i="23"/>
  <c r="A79" i="23" s="1"/>
  <c r="A80" i="23" s="1"/>
  <c r="A81" i="23" s="1"/>
  <c r="A82" i="23" s="1"/>
  <c r="A83" i="23" s="1"/>
  <c r="A84" i="23" s="1"/>
  <c r="A85" i="23" s="1"/>
  <c r="A86" i="23" s="1"/>
  <c r="A87" i="23" s="1"/>
  <c r="A88" i="23" s="1"/>
  <c r="W77" i="23"/>
  <c r="W161" i="23" s="1"/>
  <c r="V77" i="23"/>
  <c r="V88" i="23" s="1"/>
  <c r="U77" i="23"/>
  <c r="T77" i="23"/>
  <c r="S77" i="23"/>
  <c r="R77" i="23"/>
  <c r="Q77" i="23"/>
  <c r="P77" i="23"/>
  <c r="O77" i="23"/>
  <c r="N77" i="23"/>
  <c r="M77" i="23"/>
  <c r="L77" i="23"/>
  <c r="L88" i="23" s="1"/>
  <c r="X39" i="15"/>
  <c r="X38" i="15"/>
  <c r="X37" i="15"/>
  <c r="X36" i="15"/>
  <c r="X35" i="15"/>
  <c r="X34" i="15"/>
  <c r="X33" i="15"/>
  <c r="W32" i="15"/>
  <c r="S32" i="15"/>
  <c r="R32" i="15"/>
  <c r="Q32" i="15"/>
  <c r="P32" i="15"/>
  <c r="O32" i="15"/>
  <c r="N32" i="15"/>
  <c r="M32" i="15"/>
  <c r="L32" i="15"/>
  <c r="X31" i="15"/>
  <c r="X30" i="15"/>
  <c r="A30" i="15"/>
  <c r="A31" i="15" s="1"/>
  <c r="A32" i="15" s="1"/>
  <c r="A33" i="15" s="1"/>
  <c r="A34" i="15" s="1"/>
  <c r="A35" i="15" s="1"/>
  <c r="A36" i="15" s="1"/>
  <c r="A37" i="15" s="1"/>
  <c r="A38" i="15" s="1"/>
  <c r="A39" i="15" s="1"/>
  <c r="A40" i="15" s="1"/>
  <c r="S29" i="15"/>
  <c r="R29" i="15"/>
  <c r="Q29" i="15"/>
  <c r="P29" i="15"/>
  <c r="O29" i="15"/>
  <c r="N29" i="15"/>
  <c r="M29" i="15"/>
  <c r="L29" i="15"/>
  <c r="U29" i="19"/>
  <c r="V29" i="19"/>
  <c r="W29" i="19"/>
  <c r="L17" i="30"/>
  <c r="M17" i="30"/>
  <c r="N17" i="30"/>
  <c r="O17" i="30"/>
  <c r="P17" i="30"/>
  <c r="Q17" i="30"/>
  <c r="R17" i="30"/>
  <c r="S17" i="30"/>
  <c r="T17" i="30"/>
  <c r="U17" i="30"/>
  <c r="V17" i="30"/>
  <c r="W17" i="30"/>
  <c r="X27" i="30"/>
  <c r="X26" i="30"/>
  <c r="X25" i="30"/>
  <c r="X24" i="30"/>
  <c r="X23" i="30"/>
  <c r="X22" i="30"/>
  <c r="X21" i="30"/>
  <c r="W20" i="30"/>
  <c r="V20" i="30"/>
  <c r="U20" i="30"/>
  <c r="T20" i="30"/>
  <c r="S20" i="30"/>
  <c r="R20" i="30"/>
  <c r="Q20" i="30"/>
  <c r="P20" i="30"/>
  <c r="O20" i="30"/>
  <c r="O28" i="30" s="1"/>
  <c r="N20" i="30"/>
  <c r="M20" i="30"/>
  <c r="L20" i="30"/>
  <c r="X19" i="30"/>
  <c r="X18" i="30"/>
  <c r="A18" i="30"/>
  <c r="A19" i="30" s="1"/>
  <c r="A20" i="30" s="1"/>
  <c r="A21" i="30" s="1"/>
  <c r="A22" i="30" s="1"/>
  <c r="A23" i="30" s="1"/>
  <c r="A24" i="30" s="1"/>
  <c r="A25" i="30" s="1"/>
  <c r="A26" i="30" s="1"/>
  <c r="A27" i="30" s="1"/>
  <c r="A28" i="30" s="1"/>
  <c r="Q124" i="18"/>
  <c r="O124" i="18"/>
  <c r="W32" i="35"/>
  <c r="V32" i="35"/>
  <c r="U32" i="35"/>
  <c r="T32" i="35"/>
  <c r="S32" i="35"/>
  <c r="R32" i="35"/>
  <c r="Q32" i="35"/>
  <c r="P32" i="35"/>
  <c r="O32" i="35"/>
  <c r="N32" i="35"/>
  <c r="M32" i="35"/>
  <c r="L32" i="35"/>
  <c r="W29" i="35"/>
  <c r="V29" i="35"/>
  <c r="U29" i="35"/>
  <c r="T29" i="35"/>
  <c r="S29" i="35"/>
  <c r="R29" i="35"/>
  <c r="Q29" i="35"/>
  <c r="P29" i="35"/>
  <c r="O29" i="35"/>
  <c r="N29" i="35"/>
  <c r="M29" i="35"/>
  <c r="L29" i="35"/>
  <c r="W44" i="35"/>
  <c r="V44" i="35"/>
  <c r="U44" i="35"/>
  <c r="T44" i="35"/>
  <c r="S44" i="35"/>
  <c r="R44" i="35"/>
  <c r="Q44" i="35"/>
  <c r="P44" i="35"/>
  <c r="O44" i="35"/>
  <c r="N44" i="35"/>
  <c r="M44" i="35"/>
  <c r="L44" i="35"/>
  <c r="W41" i="35"/>
  <c r="V41" i="35"/>
  <c r="U41" i="35"/>
  <c r="T41" i="35"/>
  <c r="S41" i="35"/>
  <c r="R41" i="35"/>
  <c r="Q41" i="35"/>
  <c r="P41" i="35"/>
  <c r="O41" i="35"/>
  <c r="N41" i="35"/>
  <c r="M41" i="35"/>
  <c r="L41" i="35"/>
  <c r="X75" i="17"/>
  <c r="X74" i="17"/>
  <c r="X73" i="17"/>
  <c r="X72" i="17"/>
  <c r="X71" i="17"/>
  <c r="X70" i="17"/>
  <c r="X69" i="17"/>
  <c r="W68" i="17"/>
  <c r="V68" i="17"/>
  <c r="U68" i="17"/>
  <c r="T68" i="17"/>
  <c r="S68" i="17"/>
  <c r="R68" i="17"/>
  <c r="Q68" i="17"/>
  <c r="P68" i="17"/>
  <c r="O68" i="17"/>
  <c r="N68" i="17"/>
  <c r="M68" i="17"/>
  <c r="L68" i="17"/>
  <c r="X66" i="17"/>
  <c r="W65" i="17"/>
  <c r="V65" i="17"/>
  <c r="U65" i="17"/>
  <c r="T65" i="17"/>
  <c r="S65" i="17"/>
  <c r="R65" i="17"/>
  <c r="Q65" i="17"/>
  <c r="P65" i="17"/>
  <c r="O65" i="17"/>
  <c r="N65" i="17"/>
  <c r="M65" i="17"/>
  <c r="L65" i="17"/>
  <c r="L20" i="23"/>
  <c r="X135" i="18"/>
  <c r="X134" i="18"/>
  <c r="X133" i="18"/>
  <c r="X132" i="18"/>
  <c r="X131" i="18"/>
  <c r="X130" i="18"/>
  <c r="X129" i="18"/>
  <c r="X126" i="18"/>
  <c r="P5" i="30"/>
  <c r="A30" i="18"/>
  <c r="A31" i="18" s="1"/>
  <c r="A32" i="18" s="1"/>
  <c r="A33" i="18" s="1"/>
  <c r="A34" i="18" s="1"/>
  <c r="A35" i="18" s="1"/>
  <c r="A36" i="18" s="1"/>
  <c r="A37" i="18" s="1"/>
  <c r="A38" i="18" s="1"/>
  <c r="A39" i="18" s="1"/>
  <c r="A40" i="18" s="1"/>
  <c r="X39" i="35"/>
  <c r="X38" i="35"/>
  <c r="X37" i="35"/>
  <c r="X36" i="35"/>
  <c r="X35" i="35"/>
  <c r="X34" i="35"/>
  <c r="X33" i="35"/>
  <c r="X31" i="35"/>
  <c r="X30" i="35"/>
  <c r="A30" i="35"/>
  <c r="A31" i="35" s="1"/>
  <c r="A32" i="35" s="1"/>
  <c r="A33" i="35" s="1"/>
  <c r="A34" i="35" s="1"/>
  <c r="A35" i="35" s="1"/>
  <c r="A36" i="35" s="1"/>
  <c r="A37" i="35" s="1"/>
  <c r="A38" i="35" s="1"/>
  <c r="A39" i="35" s="1"/>
  <c r="A40" i="35" s="1"/>
  <c r="X51" i="35"/>
  <c r="X50" i="35"/>
  <c r="X49" i="35"/>
  <c r="X48" i="35"/>
  <c r="X47" i="35"/>
  <c r="X46" i="35"/>
  <c r="X45" i="35"/>
  <c r="X43" i="35"/>
  <c r="X42" i="35"/>
  <c r="A42" i="35"/>
  <c r="A43" i="35" s="1"/>
  <c r="A44" i="35" s="1"/>
  <c r="A45" i="35" s="1"/>
  <c r="A46" i="35" s="1"/>
  <c r="A47" i="35" s="1"/>
  <c r="A48" i="35" s="1"/>
  <c r="A49" i="35" s="1"/>
  <c r="A50" i="35" s="1"/>
  <c r="A51" i="35" s="1"/>
  <c r="A52" i="35" s="1"/>
  <c r="X39" i="19"/>
  <c r="X38" i="19"/>
  <c r="X37" i="19"/>
  <c r="X36" i="19"/>
  <c r="X35" i="19"/>
  <c r="X34" i="19"/>
  <c r="X33" i="19"/>
  <c r="X30" i="19"/>
  <c r="A30" i="19"/>
  <c r="A31" i="19" s="1"/>
  <c r="A32" i="19" s="1"/>
  <c r="A33" i="19" s="1"/>
  <c r="A34" i="19" s="1"/>
  <c r="A35" i="19" s="1"/>
  <c r="A36" i="19" s="1"/>
  <c r="A37" i="19" s="1"/>
  <c r="A38" i="19" s="1"/>
  <c r="A39" i="19" s="1"/>
  <c r="A40" i="19" s="1"/>
  <c r="T29" i="19"/>
  <c r="S29" i="19"/>
  <c r="R29" i="19"/>
  <c r="Q29" i="19"/>
  <c r="P29" i="19"/>
  <c r="O29" i="19"/>
  <c r="N29" i="19"/>
  <c r="M29" i="19"/>
  <c r="L29" i="19"/>
  <c r="A32" i="9"/>
  <c r="A6" i="30"/>
  <c r="A7" i="30" s="1"/>
  <c r="A8" i="30" s="1"/>
  <c r="A9" i="30" s="1"/>
  <c r="A10" i="30" s="1"/>
  <c r="A11" i="30" s="1"/>
  <c r="A12" i="30" s="1"/>
  <c r="A13" i="30" s="1"/>
  <c r="A14" i="30" s="1"/>
  <c r="A15" i="30" s="1"/>
  <c r="A16" i="30" s="1"/>
  <c r="A18" i="23"/>
  <c r="A19" i="23" s="1"/>
  <c r="A20" i="23" s="1"/>
  <c r="A21" i="23" s="1"/>
  <c r="A22" i="23" s="1"/>
  <c r="A23" i="23" s="1"/>
  <c r="A24" i="23" s="1"/>
  <c r="A25" i="23" s="1"/>
  <c r="A26" i="23" s="1"/>
  <c r="A27" i="23" s="1"/>
  <c r="A28" i="23" s="1"/>
  <c r="A30" i="23"/>
  <c r="A31" i="23" s="1"/>
  <c r="A32" i="23" s="1"/>
  <c r="A33" i="23" s="1"/>
  <c r="A34" i="23" s="1"/>
  <c r="A35" i="23" s="1"/>
  <c r="A36" i="23" s="1"/>
  <c r="A37" i="23" s="1"/>
  <c r="A38" i="23" s="1"/>
  <c r="A39" i="23" s="1"/>
  <c r="A40" i="23" s="1"/>
  <c r="A90" i="23"/>
  <c r="A91" i="23" s="1"/>
  <c r="A92" i="23" s="1"/>
  <c r="A93" i="23" s="1"/>
  <c r="A94" i="23" s="1"/>
  <c r="A95" i="23" s="1"/>
  <c r="A96" i="23" s="1"/>
  <c r="A97" i="23" s="1"/>
  <c r="A98" i="23" s="1"/>
  <c r="A99" i="23" s="1"/>
  <c r="A100" i="23" s="1"/>
  <c r="A6" i="23"/>
  <c r="A7" i="23" s="1"/>
  <c r="A8" i="23" s="1"/>
  <c r="A9" i="23" s="1"/>
  <c r="A10" i="23" s="1"/>
  <c r="A11" i="23" s="1"/>
  <c r="A12" i="23" s="1"/>
  <c r="A13" i="23" s="1"/>
  <c r="A14" i="23" s="1"/>
  <c r="A15" i="23" s="1"/>
  <c r="A16" i="23" s="1"/>
  <c r="A42" i="23"/>
  <c r="A43" i="23" s="1"/>
  <c r="A44" i="23" s="1"/>
  <c r="A45" i="23" s="1"/>
  <c r="A46" i="23" s="1"/>
  <c r="A47" i="23" s="1"/>
  <c r="A48" i="23" s="1"/>
  <c r="A49" i="23" s="1"/>
  <c r="A50" i="23" s="1"/>
  <c r="A51" i="23" s="1"/>
  <c r="A52" i="23" s="1"/>
  <c r="A66" i="23"/>
  <c r="A67" i="23" s="1"/>
  <c r="A68" i="23" s="1"/>
  <c r="A69" i="23" s="1"/>
  <c r="A70" i="23" s="1"/>
  <c r="A71" i="23" s="1"/>
  <c r="A72" i="23" s="1"/>
  <c r="A73" i="23" s="1"/>
  <c r="A74" i="23" s="1"/>
  <c r="A75" i="23" s="1"/>
  <c r="A76" i="23" s="1"/>
  <c r="A18" i="21"/>
  <c r="A19" i="21" s="1"/>
  <c r="A20" i="21" s="1"/>
  <c r="A21" i="21" s="1"/>
  <c r="A22" i="21" s="1"/>
  <c r="A23" i="21" s="1"/>
  <c r="A24" i="21" s="1"/>
  <c r="A25" i="21" s="1"/>
  <c r="A26" i="21" s="1"/>
  <c r="A27" i="21" s="1"/>
  <c r="A28" i="21" s="1"/>
  <c r="A30" i="21"/>
  <c r="A31" i="21" s="1"/>
  <c r="A32" i="21" s="1"/>
  <c r="A33" i="21" s="1"/>
  <c r="A34" i="21" s="1"/>
  <c r="A35" i="21" s="1"/>
  <c r="A36" i="21" s="1"/>
  <c r="A37" i="21" s="1"/>
  <c r="A38" i="21" s="1"/>
  <c r="A39" i="21" s="1"/>
  <c r="A40" i="21" s="1"/>
  <c r="A42" i="21"/>
  <c r="A43" i="21" s="1"/>
  <c r="A44" i="21" s="1"/>
  <c r="A45" i="21" s="1"/>
  <c r="A46" i="21" s="1"/>
  <c r="A47" i="21" s="1"/>
  <c r="A48" i="21" s="1"/>
  <c r="A49" i="21" s="1"/>
  <c r="A50" i="21" s="1"/>
  <c r="A51" i="21" s="1"/>
  <c r="A52" i="21" s="1"/>
  <c r="A54" i="21"/>
  <c r="A55" i="21" s="1"/>
  <c r="A56" i="21" s="1"/>
  <c r="A57" i="21" s="1"/>
  <c r="A58" i="21" s="1"/>
  <c r="A59" i="21" s="1"/>
  <c r="A60" i="21" s="1"/>
  <c r="A61" i="21" s="1"/>
  <c r="A62" i="21" s="1"/>
  <c r="A63" i="21" s="1"/>
  <c r="A64" i="21" s="1"/>
  <c r="A6" i="21"/>
  <c r="A7" i="21" s="1"/>
  <c r="A8" i="21" s="1"/>
  <c r="A9" i="21" s="1"/>
  <c r="A10" i="21" s="1"/>
  <c r="A11" i="21" s="1"/>
  <c r="A12" i="21" s="1"/>
  <c r="A13" i="21" s="1"/>
  <c r="A14" i="21" s="1"/>
  <c r="A15" i="21" s="1"/>
  <c r="A16" i="21" s="1"/>
  <c r="A102" i="14"/>
  <c r="A103" i="14" s="1"/>
  <c r="A104" i="14" s="1"/>
  <c r="A105" i="14" s="1"/>
  <c r="A106" i="14" s="1"/>
  <c r="A107" i="14" s="1"/>
  <c r="A108" i="14" s="1"/>
  <c r="A109" i="14" s="1"/>
  <c r="A110" i="14" s="1"/>
  <c r="A111" i="14" s="1"/>
  <c r="A112" i="14" s="1"/>
  <c r="A90" i="14"/>
  <c r="A91" i="14" s="1"/>
  <c r="A92" i="14" s="1"/>
  <c r="A93" i="14" s="1"/>
  <c r="A94" i="14" s="1"/>
  <c r="A95" i="14" s="1"/>
  <c r="A96" i="14" s="1"/>
  <c r="A97" i="14" s="1"/>
  <c r="A98" i="14" s="1"/>
  <c r="A99" i="14" s="1"/>
  <c r="A100" i="14" s="1"/>
  <c r="A78" i="14"/>
  <c r="A79" i="14" s="1"/>
  <c r="A80" i="14" s="1"/>
  <c r="A81" i="14" s="1"/>
  <c r="A82" i="14" s="1"/>
  <c r="A83" i="14" s="1"/>
  <c r="A84" i="14" s="1"/>
  <c r="A85" i="14" s="1"/>
  <c r="A86" i="14" s="1"/>
  <c r="A87" i="14" s="1"/>
  <c r="A88" i="14" s="1"/>
  <c r="A66" i="14"/>
  <c r="A67" i="14" s="1"/>
  <c r="A68" i="14" s="1"/>
  <c r="A69" i="14" s="1"/>
  <c r="A70" i="14" s="1"/>
  <c r="A71" i="14" s="1"/>
  <c r="A72" i="14" s="1"/>
  <c r="A73" i="14" s="1"/>
  <c r="A74" i="14" s="1"/>
  <c r="A75" i="14" s="1"/>
  <c r="A76" i="14" s="1"/>
  <c r="A54" i="14"/>
  <c r="A55" i="14" s="1"/>
  <c r="A56" i="14" s="1"/>
  <c r="A57" i="14" s="1"/>
  <c r="A58" i="14" s="1"/>
  <c r="A59" i="14" s="1"/>
  <c r="A60" i="14" s="1"/>
  <c r="A61" i="14" s="1"/>
  <c r="A62" i="14" s="1"/>
  <c r="A63" i="14" s="1"/>
  <c r="A64" i="14" s="1"/>
  <c r="A42" i="19"/>
  <c r="A43" i="19" s="1"/>
  <c r="A44" i="19" s="1"/>
  <c r="A45" i="19" s="1"/>
  <c r="A46" i="19" s="1"/>
  <c r="A47" i="19" s="1"/>
  <c r="A48" i="19" s="1"/>
  <c r="A49" i="19" s="1"/>
  <c r="A50" i="19" s="1"/>
  <c r="A51" i="19" s="1"/>
  <c r="A52" i="19" s="1"/>
  <c r="B115" i="19"/>
  <c r="B116" i="19" s="1"/>
  <c r="B117" i="19" s="1"/>
  <c r="B118" i="19" s="1"/>
  <c r="B119" i="19" s="1"/>
  <c r="B120" i="19" s="1"/>
  <c r="B121" i="19" s="1"/>
  <c r="B122" i="19" s="1"/>
  <c r="B123" i="19" s="1"/>
  <c r="B124" i="19" s="1"/>
  <c r="A54" i="19"/>
  <c r="A55" i="19" s="1"/>
  <c r="A56" i="19" s="1"/>
  <c r="A57" i="19" s="1"/>
  <c r="A58" i="19" s="1"/>
  <c r="A59" i="19" s="1"/>
  <c r="A60" i="19" s="1"/>
  <c r="A61" i="19" s="1"/>
  <c r="A62" i="19" s="1"/>
  <c r="A63" i="19" s="1"/>
  <c r="A64" i="19" s="1"/>
  <c r="A66" i="19"/>
  <c r="A67" i="19" s="1"/>
  <c r="A68" i="19" s="1"/>
  <c r="A69" i="19" s="1"/>
  <c r="A70" i="19" s="1"/>
  <c r="A71" i="19" s="1"/>
  <c r="A72" i="19" s="1"/>
  <c r="A73" i="19" s="1"/>
  <c r="A74" i="19" s="1"/>
  <c r="A75" i="19" s="1"/>
  <c r="A76" i="19" s="1"/>
  <c r="A90" i="19"/>
  <c r="A91" i="19" s="1"/>
  <c r="A92" i="19" s="1"/>
  <c r="A93" i="19" s="1"/>
  <c r="A94" i="19" s="1"/>
  <c r="A95" i="19" s="1"/>
  <c r="A96" i="19" s="1"/>
  <c r="A97" i="19" s="1"/>
  <c r="A98" i="19" s="1"/>
  <c r="A99" i="19" s="1"/>
  <c r="A100" i="19" s="1"/>
  <c r="A78" i="19"/>
  <c r="A79" i="19" s="1"/>
  <c r="A80" i="19" s="1"/>
  <c r="A81" i="19" s="1"/>
  <c r="A82" i="19" s="1"/>
  <c r="A83" i="19" s="1"/>
  <c r="A84" i="19" s="1"/>
  <c r="A85" i="19" s="1"/>
  <c r="A86" i="19" s="1"/>
  <c r="A87" i="19" s="1"/>
  <c r="A88" i="19" s="1"/>
  <c r="A6" i="19"/>
  <c r="A7" i="19" s="1"/>
  <c r="A8" i="19" s="1"/>
  <c r="A9" i="19" s="1"/>
  <c r="A10" i="19" s="1"/>
  <c r="A11" i="19" s="1"/>
  <c r="A12" i="19" s="1"/>
  <c r="A13" i="19" s="1"/>
  <c r="A14" i="19" s="1"/>
  <c r="A15" i="19" s="1"/>
  <c r="A16" i="19" s="1"/>
  <c r="A54" i="35"/>
  <c r="A55" i="35" s="1"/>
  <c r="A56" i="35" s="1"/>
  <c r="A57" i="35" s="1"/>
  <c r="A58" i="35" s="1"/>
  <c r="A59" i="35" s="1"/>
  <c r="A60" i="35" s="1"/>
  <c r="A61" i="35" s="1"/>
  <c r="A62" i="35" s="1"/>
  <c r="A63" i="35" s="1"/>
  <c r="A64" i="35" s="1"/>
  <c r="A66" i="35"/>
  <c r="A67" i="35" s="1"/>
  <c r="A68" i="35" s="1"/>
  <c r="A69" i="35" s="1"/>
  <c r="A70" i="35" s="1"/>
  <c r="A71" i="35" s="1"/>
  <c r="A72" i="35" s="1"/>
  <c r="A73" i="35" s="1"/>
  <c r="A74" i="35" s="1"/>
  <c r="A75" i="35" s="1"/>
  <c r="A76" i="35" s="1"/>
  <c r="A88" i="35"/>
  <c r="A18" i="35"/>
  <c r="A19" i="35" s="1"/>
  <c r="A20" i="35" s="1"/>
  <c r="A21" i="35" s="1"/>
  <c r="A22" i="35" s="1"/>
  <c r="A23" i="35" s="1"/>
  <c r="A24" i="35" s="1"/>
  <c r="A25" i="35" s="1"/>
  <c r="A26" i="35" s="1"/>
  <c r="A27" i="35" s="1"/>
  <c r="A28" i="35" s="1"/>
  <c r="A6" i="7"/>
  <c r="A7" i="7" s="1"/>
  <c r="A8" i="7" s="1"/>
  <c r="A9" i="7" s="1"/>
  <c r="A10" i="7" s="1"/>
  <c r="A11" i="7" s="1"/>
  <c r="A12" i="7" s="1"/>
  <c r="A13" i="7" s="1"/>
  <c r="A14" i="7" s="1"/>
  <c r="A15" i="7" s="1"/>
  <c r="A16" i="7" s="1"/>
  <c r="A30" i="7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18" i="15"/>
  <c r="A19" i="15" s="1"/>
  <c r="A20" i="15" s="1"/>
  <c r="A21" i="15" s="1"/>
  <c r="A22" i="15" s="1"/>
  <c r="A23" i="15" s="1"/>
  <c r="A24" i="15" s="1"/>
  <c r="A25" i="15" s="1"/>
  <c r="A26" i="15" s="1"/>
  <c r="A27" i="15" s="1"/>
  <c r="A28" i="15" s="1"/>
  <c r="A42" i="15"/>
  <c r="A43" i="15" s="1"/>
  <c r="A44" i="15" s="1"/>
  <c r="A45" i="15" s="1"/>
  <c r="A46" i="15" s="1"/>
  <c r="A47" i="15" s="1"/>
  <c r="A48" i="15" s="1"/>
  <c r="A49" i="15" s="1"/>
  <c r="A50" i="15" s="1"/>
  <c r="A51" i="15" s="1"/>
  <c r="A52" i="15" s="1"/>
  <c r="A18" i="24"/>
  <c r="A19" i="24" s="1"/>
  <c r="A20" i="24" s="1"/>
  <c r="A21" i="24" s="1"/>
  <c r="A22" i="24" s="1"/>
  <c r="A23" i="24" s="1"/>
  <c r="A24" i="24" s="1"/>
  <c r="A25" i="24" s="1"/>
  <c r="A26" i="24" s="1"/>
  <c r="A27" i="24" s="1"/>
  <c r="A28" i="24" s="1"/>
  <c r="A6" i="24"/>
  <c r="A7" i="24" s="1"/>
  <c r="A8" i="24" s="1"/>
  <c r="A9" i="24" s="1"/>
  <c r="A10" i="24" s="1"/>
  <c r="A11" i="24" s="1"/>
  <c r="A12" i="24" s="1"/>
  <c r="A13" i="24" s="1"/>
  <c r="A14" i="24" s="1"/>
  <c r="A15" i="24" s="1"/>
  <c r="A16" i="24" s="1"/>
  <c r="B42" i="24"/>
  <c r="B43" i="24" s="1"/>
  <c r="B44" i="24" s="1"/>
  <c r="B45" i="24" s="1"/>
  <c r="B46" i="24" s="1"/>
  <c r="B47" i="24" s="1"/>
  <c r="B48" i="24" s="1"/>
  <c r="B49" i="24" s="1"/>
  <c r="B50" i="24" s="1"/>
  <c r="B51" i="24" s="1"/>
  <c r="B52" i="24" s="1"/>
  <c r="A42" i="24"/>
  <c r="A43" i="24" s="1"/>
  <c r="A44" i="24" s="1"/>
  <c r="A45" i="24" s="1"/>
  <c r="A46" i="24" s="1"/>
  <c r="A47" i="24" s="1"/>
  <c r="A48" i="24" s="1"/>
  <c r="A49" i="24" s="1"/>
  <c r="A50" i="24" s="1"/>
  <c r="A51" i="24" s="1"/>
  <c r="A52" i="24" s="1"/>
  <c r="A42" i="17"/>
  <c r="A43" i="17" s="1"/>
  <c r="A44" i="17" s="1"/>
  <c r="A45" i="17" s="1"/>
  <c r="A46" i="17" s="1"/>
  <c r="A47" i="17" s="1"/>
  <c r="A48" i="17" s="1"/>
  <c r="A49" i="17" s="1"/>
  <c r="A50" i="17" s="1"/>
  <c r="A51" i="17" s="1"/>
  <c r="A52" i="17" s="1"/>
  <c r="A42" i="18"/>
  <c r="A43" i="18" s="1"/>
  <c r="A44" i="18" s="1"/>
  <c r="A45" i="18" s="1"/>
  <c r="A46" i="18" s="1"/>
  <c r="A47" i="18" s="1"/>
  <c r="A48" i="18" s="1"/>
  <c r="A49" i="18" s="1"/>
  <c r="A50" i="18" s="1"/>
  <c r="A51" i="18" s="1"/>
  <c r="A52" i="18" s="1"/>
  <c r="A18" i="18"/>
  <c r="A19" i="18" s="1"/>
  <c r="A20" i="18" s="1"/>
  <c r="A21" i="18" s="1"/>
  <c r="A22" i="18" s="1"/>
  <c r="A23" i="18" s="1"/>
  <c r="A24" i="18" s="1"/>
  <c r="A25" i="18" s="1"/>
  <c r="A26" i="18" s="1"/>
  <c r="A27" i="18" s="1"/>
  <c r="A28" i="18" s="1"/>
  <c r="A54" i="18"/>
  <c r="A55" i="18" s="1"/>
  <c r="A56" i="18" s="1"/>
  <c r="A57" i="18" s="1"/>
  <c r="A58" i="18" s="1"/>
  <c r="A59" i="18" s="1"/>
  <c r="A60" i="18" s="1"/>
  <c r="A61" i="18" s="1"/>
  <c r="A62" i="18" s="1"/>
  <c r="A63" i="18" s="1"/>
  <c r="A64" i="18" s="1"/>
  <c r="A78" i="18"/>
  <c r="A79" i="18" s="1"/>
  <c r="A80" i="18" s="1"/>
  <c r="A81" i="18" s="1"/>
  <c r="A82" i="18" s="1"/>
  <c r="A83" i="18" s="1"/>
  <c r="A84" i="18" s="1"/>
  <c r="A85" i="18" s="1"/>
  <c r="A86" i="18" s="1"/>
  <c r="A87" i="18" s="1"/>
  <c r="A88" i="18" s="1"/>
  <c r="A66" i="18"/>
  <c r="A67" i="18" s="1"/>
  <c r="A68" i="18" s="1"/>
  <c r="A69" i="18" s="1"/>
  <c r="A70" i="18" s="1"/>
  <c r="A71" i="18" s="1"/>
  <c r="A72" i="18" s="1"/>
  <c r="A73" i="18" s="1"/>
  <c r="A74" i="18" s="1"/>
  <c r="A75" i="18" s="1"/>
  <c r="A76" i="18" s="1"/>
  <c r="A102" i="18"/>
  <c r="A103" i="18" s="1"/>
  <c r="A104" i="18" s="1"/>
  <c r="A105" i="18" s="1"/>
  <c r="A106" i="18" s="1"/>
  <c r="A107" i="18" s="1"/>
  <c r="A108" i="18" s="1"/>
  <c r="A109" i="18" s="1"/>
  <c r="A110" i="18" s="1"/>
  <c r="A111" i="18" s="1"/>
  <c r="A112" i="18" s="1"/>
  <c r="A90" i="18"/>
  <c r="A91" i="18" s="1"/>
  <c r="A92" i="18" s="1"/>
  <c r="A93" i="18" s="1"/>
  <c r="A94" i="18" s="1"/>
  <c r="A95" i="18" s="1"/>
  <c r="A96" i="18" s="1"/>
  <c r="A97" i="18" s="1"/>
  <c r="A98" i="18" s="1"/>
  <c r="A99" i="18" s="1"/>
  <c r="A100" i="18" s="1"/>
  <c r="M20" i="15"/>
  <c r="N20" i="15"/>
  <c r="O20" i="15"/>
  <c r="P20" i="15"/>
  <c r="Q20" i="15"/>
  <c r="R20" i="15"/>
  <c r="S20" i="15"/>
  <c r="T20" i="15"/>
  <c r="U20" i="15"/>
  <c r="V20" i="15"/>
  <c r="W20" i="15"/>
  <c r="W20" i="23"/>
  <c r="V20" i="23"/>
  <c r="U20" i="23"/>
  <c r="S20" i="23"/>
  <c r="R20" i="23"/>
  <c r="Q20" i="23"/>
  <c r="P20" i="23"/>
  <c r="O20" i="23"/>
  <c r="X26" i="23"/>
  <c r="X25" i="23"/>
  <c r="X24" i="23"/>
  <c r="X23" i="23"/>
  <c r="X22" i="23"/>
  <c r="X21" i="23"/>
  <c r="T20" i="23"/>
  <c r="N20" i="23"/>
  <c r="M20" i="23"/>
  <c r="X19" i="23"/>
  <c r="X18" i="23"/>
  <c r="W17" i="23"/>
  <c r="V17" i="23"/>
  <c r="U17" i="23"/>
  <c r="T17" i="23"/>
  <c r="S17" i="23"/>
  <c r="R17" i="23"/>
  <c r="Q17" i="23"/>
  <c r="P17" i="23"/>
  <c r="O17" i="23"/>
  <c r="N17" i="23"/>
  <c r="M17" i="23"/>
  <c r="L17" i="23"/>
  <c r="X27" i="23"/>
  <c r="K20" i="7"/>
  <c r="X39" i="23"/>
  <c r="X38" i="23"/>
  <c r="X37" i="23"/>
  <c r="X36" i="23"/>
  <c r="X35" i="23"/>
  <c r="X34" i="23"/>
  <c r="X33" i="23"/>
  <c r="W32" i="23"/>
  <c r="V32" i="23"/>
  <c r="U32" i="23"/>
  <c r="T32" i="23"/>
  <c r="S32" i="23"/>
  <c r="Q32" i="23"/>
  <c r="P32" i="23"/>
  <c r="O32" i="23"/>
  <c r="N32" i="23"/>
  <c r="M32" i="23"/>
  <c r="L32" i="23"/>
  <c r="X31" i="23"/>
  <c r="X30" i="23"/>
  <c r="W29" i="23"/>
  <c r="V29" i="23"/>
  <c r="U29" i="23"/>
  <c r="T29" i="23"/>
  <c r="S29" i="23"/>
  <c r="R29" i="23"/>
  <c r="Q29" i="23"/>
  <c r="P29" i="23"/>
  <c r="O29" i="23"/>
  <c r="N29" i="23"/>
  <c r="M29" i="23"/>
  <c r="L29" i="23"/>
  <c r="V32" i="7"/>
  <c r="U32" i="7"/>
  <c r="T32" i="7"/>
  <c r="S32" i="7"/>
  <c r="R32" i="7"/>
  <c r="W15" i="7"/>
  <c r="W14" i="7"/>
  <c r="W13" i="7"/>
  <c r="W12" i="7"/>
  <c r="W11" i="7"/>
  <c r="W10" i="7"/>
  <c r="W9" i="7"/>
  <c r="V8" i="7"/>
  <c r="U8" i="7"/>
  <c r="T8" i="7"/>
  <c r="S8" i="7"/>
  <c r="R8" i="7"/>
  <c r="Q8" i="7"/>
  <c r="P8" i="7"/>
  <c r="O8" i="7"/>
  <c r="N8" i="7"/>
  <c r="M8" i="7"/>
  <c r="L8" i="7"/>
  <c r="K8" i="7"/>
  <c r="W7" i="7"/>
  <c r="W6" i="7"/>
  <c r="V5" i="7"/>
  <c r="U5" i="7"/>
  <c r="T5" i="7"/>
  <c r="S5" i="7"/>
  <c r="R5" i="7"/>
  <c r="Q5" i="7"/>
  <c r="Q125" i="7" s="1"/>
  <c r="P5" i="7"/>
  <c r="O5" i="7"/>
  <c r="N5" i="7"/>
  <c r="M5" i="7"/>
  <c r="L5" i="7"/>
  <c r="K5" i="7"/>
  <c r="Q32" i="7"/>
  <c r="W38" i="7"/>
  <c r="W37" i="7"/>
  <c r="W36" i="7"/>
  <c r="W35" i="7"/>
  <c r="W34" i="7"/>
  <c r="W33" i="7"/>
  <c r="P32" i="7"/>
  <c r="O32" i="7"/>
  <c r="N32" i="7"/>
  <c r="M32" i="7"/>
  <c r="L32" i="7"/>
  <c r="K32" i="7"/>
  <c r="W31" i="7"/>
  <c r="W30" i="7"/>
  <c r="V29" i="7"/>
  <c r="U29" i="7"/>
  <c r="T29" i="7"/>
  <c r="S29" i="7"/>
  <c r="R29" i="7"/>
  <c r="Q29" i="7"/>
  <c r="P29" i="7"/>
  <c r="O29" i="7"/>
  <c r="N29" i="7"/>
  <c r="M29" i="7"/>
  <c r="L29" i="7"/>
  <c r="K29" i="7"/>
  <c r="Q20" i="7"/>
  <c r="Q17" i="7"/>
  <c r="W18" i="7"/>
  <c r="W27" i="7"/>
  <c r="W26" i="7"/>
  <c r="W25" i="7"/>
  <c r="W24" i="7"/>
  <c r="W23" i="7"/>
  <c r="W22" i="7"/>
  <c r="W21" i="7"/>
  <c r="V20" i="7"/>
  <c r="U20" i="7"/>
  <c r="T20" i="7"/>
  <c r="S20" i="7"/>
  <c r="R20" i="7"/>
  <c r="P20" i="7"/>
  <c r="O20" i="7"/>
  <c r="N20" i="7"/>
  <c r="M20" i="7"/>
  <c r="L20" i="7"/>
  <c r="W19" i="7"/>
  <c r="V17" i="7"/>
  <c r="U17" i="7"/>
  <c r="T17" i="7"/>
  <c r="S17" i="7"/>
  <c r="R17" i="7"/>
  <c r="P17" i="7"/>
  <c r="O17" i="7"/>
  <c r="N17" i="7"/>
  <c r="M17" i="7"/>
  <c r="L17" i="7"/>
  <c r="K17" i="7"/>
  <c r="X39" i="21"/>
  <c r="W32" i="21"/>
  <c r="V32" i="21"/>
  <c r="U32" i="21"/>
  <c r="T32" i="21"/>
  <c r="S32" i="21"/>
  <c r="R32" i="21"/>
  <c r="Q32" i="21"/>
  <c r="X37" i="21"/>
  <c r="X36" i="21"/>
  <c r="X35" i="21"/>
  <c r="X34" i="21"/>
  <c r="X33" i="21"/>
  <c r="P32" i="21"/>
  <c r="O32" i="21"/>
  <c r="N32" i="21"/>
  <c r="M32" i="21"/>
  <c r="L32" i="21"/>
  <c r="X31" i="21"/>
  <c r="X30" i="21"/>
  <c r="W29" i="21"/>
  <c r="V29" i="21"/>
  <c r="U29" i="21"/>
  <c r="T29" i="21"/>
  <c r="S29" i="21"/>
  <c r="R29" i="21"/>
  <c r="Q29" i="21"/>
  <c r="P29" i="21"/>
  <c r="O29" i="21"/>
  <c r="N29" i="21"/>
  <c r="M29" i="21"/>
  <c r="L29" i="21"/>
  <c r="W39" i="7"/>
  <c r="X38" i="21"/>
  <c r="X39" i="18"/>
  <c r="X38" i="18"/>
  <c r="X37" i="18"/>
  <c r="X36" i="18"/>
  <c r="X35" i="18"/>
  <c r="X34" i="18"/>
  <c r="X33" i="18"/>
  <c r="W32" i="18"/>
  <c r="V32" i="18"/>
  <c r="U32" i="18"/>
  <c r="T32" i="18"/>
  <c r="S32" i="18"/>
  <c r="R32" i="18"/>
  <c r="Q32" i="18"/>
  <c r="P32" i="18"/>
  <c r="O32" i="18"/>
  <c r="N32" i="18"/>
  <c r="M32" i="18"/>
  <c r="L32" i="18"/>
  <c r="X31" i="18"/>
  <c r="X30" i="18"/>
  <c r="W29" i="18"/>
  <c r="V29" i="18"/>
  <c r="U29" i="18"/>
  <c r="T29" i="18"/>
  <c r="S29" i="18"/>
  <c r="R29" i="18"/>
  <c r="Q29" i="18"/>
  <c r="P29" i="18"/>
  <c r="O29" i="18"/>
  <c r="N29" i="18"/>
  <c r="M29" i="18"/>
  <c r="L29" i="18"/>
  <c r="L101" i="19"/>
  <c r="M101" i="19"/>
  <c r="N101" i="19"/>
  <c r="O101" i="19"/>
  <c r="P101" i="19"/>
  <c r="Q101" i="19"/>
  <c r="R101" i="19"/>
  <c r="S101" i="19"/>
  <c r="T101" i="19"/>
  <c r="U101" i="19"/>
  <c r="V101" i="19"/>
  <c r="W101" i="19"/>
  <c r="X102" i="19"/>
  <c r="X103" i="19"/>
  <c r="M104" i="19"/>
  <c r="N104" i="19"/>
  <c r="O104" i="19"/>
  <c r="P104" i="19"/>
  <c r="Q104" i="19"/>
  <c r="R104" i="19"/>
  <c r="S104" i="19"/>
  <c r="T104" i="19"/>
  <c r="U104" i="19"/>
  <c r="V104" i="19"/>
  <c r="W104" i="19"/>
  <c r="X106" i="19"/>
  <c r="X111" i="19"/>
  <c r="L77" i="19"/>
  <c r="M77" i="19"/>
  <c r="N77" i="19"/>
  <c r="O77" i="19"/>
  <c r="P77" i="19"/>
  <c r="Q77" i="19"/>
  <c r="R77" i="19"/>
  <c r="S77" i="19"/>
  <c r="T77" i="19"/>
  <c r="U77" i="19"/>
  <c r="V77" i="19"/>
  <c r="W77" i="19"/>
  <c r="X78" i="19"/>
  <c r="M80" i="19"/>
  <c r="N80" i="19"/>
  <c r="O80" i="19"/>
  <c r="P80" i="19"/>
  <c r="Q80" i="19"/>
  <c r="R80" i="19"/>
  <c r="S80" i="19"/>
  <c r="T80" i="19"/>
  <c r="U80" i="19"/>
  <c r="V80" i="19"/>
  <c r="W80" i="19"/>
  <c r="X82" i="19"/>
  <c r="X87" i="19"/>
  <c r="L89" i="19"/>
  <c r="M89" i="19"/>
  <c r="N89" i="19"/>
  <c r="O89" i="19"/>
  <c r="P89" i="19"/>
  <c r="Q89" i="19"/>
  <c r="R89" i="19"/>
  <c r="S89" i="19"/>
  <c r="T89" i="19"/>
  <c r="U89" i="19"/>
  <c r="V89" i="19"/>
  <c r="W89" i="19"/>
  <c r="X90" i="19"/>
  <c r="X91" i="19"/>
  <c r="M92" i="19"/>
  <c r="N92" i="19"/>
  <c r="O92" i="19"/>
  <c r="P92" i="19"/>
  <c r="Q92" i="19"/>
  <c r="R92" i="19"/>
  <c r="S92" i="19"/>
  <c r="T92" i="19"/>
  <c r="U92" i="19"/>
  <c r="V92" i="19"/>
  <c r="W92" i="19"/>
  <c r="X94" i="19"/>
  <c r="X99" i="19"/>
  <c r="L65" i="19"/>
  <c r="M65" i="19"/>
  <c r="N65" i="19"/>
  <c r="O65" i="19"/>
  <c r="P65" i="19"/>
  <c r="Q65" i="19"/>
  <c r="R65" i="19"/>
  <c r="S65" i="19"/>
  <c r="T65" i="19"/>
  <c r="U65" i="19"/>
  <c r="V65" i="19"/>
  <c r="W65" i="19"/>
  <c r="X66" i="19"/>
  <c r="M68" i="19"/>
  <c r="N68" i="19"/>
  <c r="O68" i="19"/>
  <c r="P68" i="19"/>
  <c r="Q68" i="19"/>
  <c r="R68" i="19"/>
  <c r="S68" i="19"/>
  <c r="T68" i="19"/>
  <c r="U68" i="19"/>
  <c r="V68" i="19"/>
  <c r="W68" i="19"/>
  <c r="X70" i="19"/>
  <c r="X75" i="19"/>
  <c r="L53" i="19"/>
  <c r="M53" i="19"/>
  <c r="N53" i="19"/>
  <c r="O53" i="19"/>
  <c r="P53" i="19"/>
  <c r="Q53" i="19"/>
  <c r="R53" i="19"/>
  <c r="S53" i="19"/>
  <c r="T53" i="19"/>
  <c r="U53" i="19"/>
  <c r="V53" i="19"/>
  <c r="W53" i="19"/>
  <c r="X54" i="19"/>
  <c r="M56" i="19"/>
  <c r="N56" i="19"/>
  <c r="O56" i="19"/>
  <c r="P56" i="19"/>
  <c r="Q56" i="19"/>
  <c r="R56" i="19"/>
  <c r="S56" i="19"/>
  <c r="T56" i="19"/>
  <c r="U56" i="19"/>
  <c r="V56" i="19"/>
  <c r="W56" i="19"/>
  <c r="X58" i="19"/>
  <c r="X63" i="19"/>
  <c r="X114" i="19"/>
  <c r="X118" i="19"/>
  <c r="X123" i="19"/>
  <c r="L41" i="19"/>
  <c r="M41" i="19"/>
  <c r="N41" i="19"/>
  <c r="O41" i="19"/>
  <c r="P41" i="19"/>
  <c r="Q41" i="19"/>
  <c r="R41" i="19"/>
  <c r="S41" i="19"/>
  <c r="T41" i="19"/>
  <c r="U41" i="19"/>
  <c r="V41" i="19"/>
  <c r="W41" i="19"/>
  <c r="X42" i="19"/>
  <c r="M44" i="19"/>
  <c r="N44" i="19"/>
  <c r="O44" i="19"/>
  <c r="P44" i="19"/>
  <c r="Q44" i="19"/>
  <c r="R44" i="19"/>
  <c r="S44" i="19"/>
  <c r="T44" i="19"/>
  <c r="U44" i="19"/>
  <c r="V44" i="19"/>
  <c r="W44" i="19"/>
  <c r="X46" i="19"/>
  <c r="X51" i="19"/>
  <c r="A29" i="9"/>
  <c r="C137" i="35"/>
  <c r="X63" i="35"/>
  <c r="X58" i="35"/>
  <c r="U56" i="35"/>
  <c r="T56" i="35"/>
  <c r="S56" i="35"/>
  <c r="R56" i="35"/>
  <c r="Q56" i="35"/>
  <c r="P56" i="35"/>
  <c r="O56" i="35"/>
  <c r="N56" i="35"/>
  <c r="M56" i="35"/>
  <c r="X55" i="35"/>
  <c r="X54" i="35"/>
  <c r="U53" i="35"/>
  <c r="T53" i="35"/>
  <c r="S53" i="35"/>
  <c r="R53" i="35"/>
  <c r="Q53" i="35"/>
  <c r="P53" i="35"/>
  <c r="O53" i="35"/>
  <c r="N53" i="35"/>
  <c r="M53" i="35"/>
  <c r="L53" i="35"/>
  <c r="X75" i="35"/>
  <c r="X70" i="35"/>
  <c r="W68" i="35"/>
  <c r="V68" i="35"/>
  <c r="U68" i="35"/>
  <c r="T68" i="35"/>
  <c r="S68" i="35"/>
  <c r="R68" i="35"/>
  <c r="Q68" i="35"/>
  <c r="P68" i="35"/>
  <c r="O68" i="35"/>
  <c r="N68" i="35"/>
  <c r="M68" i="35"/>
  <c r="X66" i="35"/>
  <c r="W65" i="35"/>
  <c r="V65" i="35"/>
  <c r="U65" i="35"/>
  <c r="T65" i="35"/>
  <c r="S65" i="35"/>
  <c r="R65" i="35"/>
  <c r="Q65" i="35"/>
  <c r="P65" i="35"/>
  <c r="O65" i="35"/>
  <c r="N65" i="35"/>
  <c r="M65" i="35"/>
  <c r="L65" i="35"/>
  <c r="V88" i="35"/>
  <c r="X27" i="35"/>
  <c r="X22" i="35"/>
  <c r="X19" i="35"/>
  <c r="X18" i="35"/>
  <c r="X27" i="21"/>
  <c r="W20" i="21"/>
  <c r="V20" i="21"/>
  <c r="T20" i="21"/>
  <c r="S20" i="21"/>
  <c r="Q20" i="21"/>
  <c r="P20" i="21"/>
  <c r="O20" i="21"/>
  <c r="N20" i="21"/>
  <c r="M20" i="21"/>
  <c r="X22" i="21"/>
  <c r="U20" i="21"/>
  <c r="X19" i="21"/>
  <c r="X18" i="21"/>
  <c r="W17" i="21"/>
  <c r="V17" i="21"/>
  <c r="U17" i="21"/>
  <c r="T17" i="21"/>
  <c r="S17" i="21"/>
  <c r="R17" i="21"/>
  <c r="Q17" i="21"/>
  <c r="P17" i="21"/>
  <c r="O17" i="21"/>
  <c r="N17" i="21"/>
  <c r="M17" i="21"/>
  <c r="L17" i="21"/>
  <c r="X51" i="21"/>
  <c r="X46" i="21"/>
  <c r="W44" i="21"/>
  <c r="V44" i="21"/>
  <c r="U44" i="21"/>
  <c r="T44" i="21"/>
  <c r="R44" i="21"/>
  <c r="Q44" i="21"/>
  <c r="P44" i="21"/>
  <c r="O44" i="21"/>
  <c r="N44" i="21"/>
  <c r="M44" i="21"/>
  <c r="S44" i="21"/>
  <c r="X43" i="21"/>
  <c r="W41" i="21"/>
  <c r="V41" i="21"/>
  <c r="U41" i="21"/>
  <c r="T41" i="21"/>
  <c r="S41" i="21"/>
  <c r="R41" i="21"/>
  <c r="Q41" i="21"/>
  <c r="P41" i="21"/>
  <c r="O41" i="21"/>
  <c r="N41" i="21"/>
  <c r="L41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4" i="21"/>
  <c r="X55" i="21"/>
  <c r="M56" i="21"/>
  <c r="N56" i="21"/>
  <c r="O56" i="21"/>
  <c r="P56" i="21"/>
  <c r="Q56" i="21"/>
  <c r="R56" i="21"/>
  <c r="S56" i="21"/>
  <c r="T56" i="21"/>
  <c r="U56" i="21"/>
  <c r="V56" i="21"/>
  <c r="W56" i="21"/>
  <c r="X58" i="21"/>
  <c r="X63" i="21"/>
  <c r="X42" i="21"/>
  <c r="M41" i="21"/>
  <c r="X99" i="23"/>
  <c r="X94" i="23"/>
  <c r="W92" i="23"/>
  <c r="V92" i="23"/>
  <c r="U92" i="23"/>
  <c r="U162" i="23" s="1"/>
  <c r="T92" i="23"/>
  <c r="S92" i="23"/>
  <c r="R92" i="23"/>
  <c r="Q92" i="23"/>
  <c r="P92" i="23"/>
  <c r="O92" i="23"/>
  <c r="N92" i="23"/>
  <c r="M92" i="23"/>
  <c r="X91" i="23"/>
  <c r="X90" i="23"/>
  <c r="W89" i="23"/>
  <c r="V89" i="23"/>
  <c r="U89" i="23"/>
  <c r="T89" i="23"/>
  <c r="S89" i="23"/>
  <c r="R89" i="23"/>
  <c r="Q89" i="23"/>
  <c r="P89" i="23"/>
  <c r="O89" i="23"/>
  <c r="N89" i="23"/>
  <c r="M89" i="23"/>
  <c r="L89" i="23"/>
  <c r="X15" i="23"/>
  <c r="X10" i="23"/>
  <c r="W8" i="23"/>
  <c r="V8" i="23"/>
  <c r="U8" i="23"/>
  <c r="T8" i="23"/>
  <c r="S8" i="23"/>
  <c r="R8" i="23"/>
  <c r="Q8" i="23"/>
  <c r="P8" i="23"/>
  <c r="O8" i="23"/>
  <c r="N8" i="23"/>
  <c r="M8" i="23"/>
  <c r="X7" i="23"/>
  <c r="X6" i="23"/>
  <c r="W5" i="23"/>
  <c r="V5" i="23"/>
  <c r="V161" i="23" s="1"/>
  <c r="U5" i="23"/>
  <c r="U161" i="23" s="1"/>
  <c r="T5" i="23"/>
  <c r="S5" i="23"/>
  <c r="R5" i="23"/>
  <c r="Q5" i="23"/>
  <c r="P5" i="23"/>
  <c r="O5" i="23"/>
  <c r="M5" i="23"/>
  <c r="L5" i="23"/>
  <c r="W56" i="14"/>
  <c r="V56" i="14"/>
  <c r="U56" i="14"/>
  <c r="T56" i="14"/>
  <c r="S56" i="14"/>
  <c r="R56" i="14"/>
  <c r="R210" i="14" s="1"/>
  <c r="Q56" i="14"/>
  <c r="P56" i="14"/>
  <c r="O56" i="14"/>
  <c r="N56" i="14"/>
  <c r="M56" i="14"/>
  <c r="W53" i="14"/>
  <c r="V53" i="14"/>
  <c r="U53" i="14"/>
  <c r="T53" i="14"/>
  <c r="S53" i="14"/>
  <c r="R53" i="14"/>
  <c r="Q53" i="14"/>
  <c r="P53" i="14"/>
  <c r="O53" i="14"/>
  <c r="N53" i="14"/>
  <c r="M53" i="14"/>
  <c r="R44" i="15"/>
  <c r="S44" i="15"/>
  <c r="X51" i="18"/>
  <c r="X46" i="18"/>
  <c r="W44" i="18"/>
  <c r="V44" i="18"/>
  <c r="U44" i="18"/>
  <c r="T44" i="18"/>
  <c r="S44" i="18"/>
  <c r="R44" i="18"/>
  <c r="Q44" i="18"/>
  <c r="P44" i="18"/>
  <c r="O44" i="18"/>
  <c r="N44" i="18"/>
  <c r="M44" i="18"/>
  <c r="X43" i="18"/>
  <c r="X42" i="18"/>
  <c r="W41" i="18"/>
  <c r="V41" i="18"/>
  <c r="U41" i="18"/>
  <c r="T41" i="18"/>
  <c r="S41" i="18"/>
  <c r="R41" i="18"/>
  <c r="Q41" i="18"/>
  <c r="P41" i="18"/>
  <c r="O41" i="18"/>
  <c r="N41" i="18"/>
  <c r="M41" i="18"/>
  <c r="L41" i="18"/>
  <c r="T44" i="23"/>
  <c r="S44" i="23"/>
  <c r="Q44" i="23"/>
  <c r="P44" i="23"/>
  <c r="O44" i="23"/>
  <c r="V44" i="23"/>
  <c r="U44" i="23"/>
  <c r="N44" i="23"/>
  <c r="M44" i="23"/>
  <c r="V41" i="23"/>
  <c r="U41" i="23"/>
  <c r="T41" i="23"/>
  <c r="S41" i="23"/>
  <c r="R41" i="23"/>
  <c r="Q41" i="23"/>
  <c r="P41" i="23"/>
  <c r="O41" i="23"/>
  <c r="N41" i="23"/>
  <c r="M41" i="23"/>
  <c r="L41" i="23"/>
  <c r="V68" i="23"/>
  <c r="U68" i="23"/>
  <c r="T68" i="23"/>
  <c r="S68" i="23"/>
  <c r="R68" i="23"/>
  <c r="Q68" i="23"/>
  <c r="P68" i="23"/>
  <c r="O68" i="23"/>
  <c r="N68" i="23"/>
  <c r="M68" i="23"/>
  <c r="V65" i="23"/>
  <c r="U65" i="23"/>
  <c r="T65" i="23"/>
  <c r="S65" i="23"/>
  <c r="R65" i="23"/>
  <c r="Q65" i="23"/>
  <c r="P65" i="23"/>
  <c r="O65" i="23"/>
  <c r="N65" i="23"/>
  <c r="M65" i="23"/>
  <c r="L65" i="23"/>
  <c r="V8" i="21"/>
  <c r="U8" i="21"/>
  <c r="T8" i="21"/>
  <c r="R8" i="21"/>
  <c r="Q8" i="21"/>
  <c r="P8" i="21"/>
  <c r="O8" i="21"/>
  <c r="N8" i="21"/>
  <c r="M8" i="21"/>
  <c r="V5" i="21"/>
  <c r="U5" i="21"/>
  <c r="T5" i="21"/>
  <c r="T77" i="21" s="1"/>
  <c r="S5" i="21"/>
  <c r="R5" i="21"/>
  <c r="R77" i="21" s="1"/>
  <c r="Q5" i="21"/>
  <c r="P5" i="21"/>
  <c r="O5" i="21"/>
  <c r="N5" i="21"/>
  <c r="M5" i="21"/>
  <c r="L5" i="21"/>
  <c r="T20" i="18"/>
  <c r="S20" i="18"/>
  <c r="R20" i="18"/>
  <c r="Q20" i="18"/>
  <c r="Q138" i="18" s="1"/>
  <c r="P20" i="18"/>
  <c r="O20" i="18"/>
  <c r="N20" i="18"/>
  <c r="M20" i="18"/>
  <c r="T17" i="18"/>
  <c r="S17" i="18"/>
  <c r="R17" i="18"/>
  <c r="Q17" i="18"/>
  <c r="P17" i="18"/>
  <c r="O17" i="18"/>
  <c r="N17" i="18"/>
  <c r="M17" i="18"/>
  <c r="L17" i="18"/>
  <c r="V56" i="18"/>
  <c r="U56" i="18"/>
  <c r="T56" i="18"/>
  <c r="S56" i="18"/>
  <c r="R56" i="18"/>
  <c r="Q56" i="18"/>
  <c r="P56" i="18"/>
  <c r="O56" i="18"/>
  <c r="N56" i="18"/>
  <c r="M56" i="18"/>
  <c r="V53" i="18"/>
  <c r="U53" i="18"/>
  <c r="T53" i="18"/>
  <c r="S53" i="18"/>
  <c r="R53" i="18"/>
  <c r="Q53" i="18"/>
  <c r="P53" i="18"/>
  <c r="O53" i="18"/>
  <c r="N53" i="18"/>
  <c r="M53" i="18"/>
  <c r="L53" i="18"/>
  <c r="V80" i="18"/>
  <c r="U80" i="18"/>
  <c r="T80" i="18"/>
  <c r="S80" i="18"/>
  <c r="R80" i="18"/>
  <c r="Q80" i="18"/>
  <c r="P80" i="18"/>
  <c r="O80" i="18"/>
  <c r="N80" i="18"/>
  <c r="M80" i="18"/>
  <c r="V77" i="18"/>
  <c r="U77" i="18"/>
  <c r="T77" i="18"/>
  <c r="S77" i="18"/>
  <c r="R77" i="18"/>
  <c r="Q77" i="18"/>
  <c r="P77" i="18"/>
  <c r="O77" i="18"/>
  <c r="N77" i="18"/>
  <c r="M77" i="18"/>
  <c r="L77" i="18"/>
  <c r="V68" i="18"/>
  <c r="U68" i="18"/>
  <c r="T68" i="18"/>
  <c r="S68" i="18"/>
  <c r="R68" i="18"/>
  <c r="Q68" i="18"/>
  <c r="P68" i="18"/>
  <c r="O68" i="18"/>
  <c r="N68" i="18"/>
  <c r="M68" i="18"/>
  <c r="V65" i="18"/>
  <c r="U65" i="18"/>
  <c r="T65" i="18"/>
  <c r="S65" i="18"/>
  <c r="R65" i="18"/>
  <c r="Q65" i="18"/>
  <c r="P65" i="18"/>
  <c r="O65" i="18"/>
  <c r="N65" i="18"/>
  <c r="M65" i="18"/>
  <c r="L65" i="18"/>
  <c r="V104" i="18"/>
  <c r="U104" i="18"/>
  <c r="T104" i="18"/>
  <c r="S104" i="18"/>
  <c r="R104" i="18"/>
  <c r="Q104" i="18"/>
  <c r="P104" i="18"/>
  <c r="O104" i="18"/>
  <c r="N104" i="18"/>
  <c r="M104" i="18"/>
  <c r="V101" i="18"/>
  <c r="U101" i="18"/>
  <c r="T101" i="18"/>
  <c r="S101" i="18"/>
  <c r="R101" i="18"/>
  <c r="Q101" i="18"/>
  <c r="P101" i="18"/>
  <c r="O101" i="18"/>
  <c r="N101" i="18"/>
  <c r="M101" i="18"/>
  <c r="L101" i="18"/>
  <c r="V92" i="18"/>
  <c r="U92" i="18"/>
  <c r="T92" i="18"/>
  <c r="S92" i="18"/>
  <c r="R92" i="18"/>
  <c r="Q92" i="18"/>
  <c r="P92" i="18"/>
  <c r="O92" i="18"/>
  <c r="N92" i="18"/>
  <c r="M92" i="18"/>
  <c r="V89" i="18"/>
  <c r="U89" i="18"/>
  <c r="T89" i="18"/>
  <c r="S89" i="18"/>
  <c r="R89" i="18"/>
  <c r="Q89" i="18"/>
  <c r="P89" i="18"/>
  <c r="O89" i="18"/>
  <c r="N89" i="18"/>
  <c r="M89" i="18"/>
  <c r="L89" i="18"/>
  <c r="V44" i="17"/>
  <c r="V90" i="17" s="1"/>
  <c r="U44" i="17"/>
  <c r="U90" i="17" s="1"/>
  <c r="T44" i="17"/>
  <c r="T90" i="17" s="1"/>
  <c r="S44" i="17"/>
  <c r="R44" i="17"/>
  <c r="Q44" i="17"/>
  <c r="P44" i="17"/>
  <c r="O44" i="17"/>
  <c r="N44" i="17"/>
  <c r="M44" i="17"/>
  <c r="V41" i="17"/>
  <c r="V89" i="17" s="1"/>
  <c r="U41" i="17"/>
  <c r="U89" i="17" s="1"/>
  <c r="T41" i="17"/>
  <c r="T89" i="17" s="1"/>
  <c r="S41" i="17"/>
  <c r="S89" i="17" s="1"/>
  <c r="R41" i="17"/>
  <c r="Q41" i="17"/>
  <c r="P41" i="17"/>
  <c r="O41" i="17"/>
  <c r="N41" i="17"/>
  <c r="M41" i="17"/>
  <c r="L41" i="17"/>
  <c r="W17" i="15"/>
  <c r="V17" i="15"/>
  <c r="V89" i="15" s="1"/>
  <c r="U17" i="15"/>
  <c r="U89" i="15" s="1"/>
  <c r="T17" i="15"/>
  <c r="T89" i="15" s="1"/>
  <c r="S17" i="15"/>
  <c r="R17" i="15"/>
  <c r="Q17" i="15"/>
  <c r="P17" i="15"/>
  <c r="O17" i="15"/>
  <c r="N17" i="15"/>
  <c r="W44" i="15"/>
  <c r="V44" i="15"/>
  <c r="U44" i="15"/>
  <c r="T44" i="15"/>
  <c r="Q44" i="15"/>
  <c r="P44" i="15"/>
  <c r="O44" i="15"/>
  <c r="N44" i="15"/>
  <c r="M44" i="15"/>
  <c r="W41" i="15"/>
  <c r="V41" i="15"/>
  <c r="U41" i="15"/>
  <c r="T41" i="15"/>
  <c r="S41" i="15"/>
  <c r="R41" i="15"/>
  <c r="Q41" i="15"/>
  <c r="P41" i="15"/>
  <c r="O41" i="15"/>
  <c r="N41" i="15"/>
  <c r="M41" i="15"/>
  <c r="L53" i="14"/>
  <c r="L65" i="14"/>
  <c r="M65" i="14"/>
  <c r="N65" i="14"/>
  <c r="O65" i="14"/>
  <c r="P65" i="14"/>
  <c r="Q65" i="14"/>
  <c r="R65" i="14"/>
  <c r="S65" i="14"/>
  <c r="T65" i="14"/>
  <c r="U65" i="14"/>
  <c r="V65" i="14"/>
  <c r="M68" i="14"/>
  <c r="N68" i="14"/>
  <c r="O68" i="14"/>
  <c r="P68" i="14"/>
  <c r="Q68" i="14"/>
  <c r="R68" i="14"/>
  <c r="S68" i="14"/>
  <c r="T68" i="14"/>
  <c r="U68" i="14"/>
  <c r="V68" i="14"/>
  <c r="L77" i="14"/>
  <c r="M77" i="14"/>
  <c r="N77" i="14"/>
  <c r="O77" i="14"/>
  <c r="P77" i="14"/>
  <c r="Q77" i="14"/>
  <c r="R77" i="14"/>
  <c r="S77" i="14"/>
  <c r="T77" i="14"/>
  <c r="U77" i="14"/>
  <c r="V77" i="14"/>
  <c r="M80" i="14"/>
  <c r="N80" i="14"/>
  <c r="O80" i="14"/>
  <c r="P80" i="14"/>
  <c r="Q80" i="14"/>
  <c r="R80" i="14"/>
  <c r="S80" i="14"/>
  <c r="T80" i="14"/>
  <c r="U80" i="14"/>
  <c r="V80" i="14"/>
  <c r="L89" i="14"/>
  <c r="M89" i="14"/>
  <c r="N89" i="14"/>
  <c r="O89" i="14"/>
  <c r="P89" i="14"/>
  <c r="Q89" i="14"/>
  <c r="R89" i="14"/>
  <c r="S89" i="14"/>
  <c r="T89" i="14"/>
  <c r="U89" i="14"/>
  <c r="V89" i="14"/>
  <c r="M92" i="14"/>
  <c r="N92" i="14"/>
  <c r="O92" i="14"/>
  <c r="P92" i="14"/>
  <c r="Q92" i="14"/>
  <c r="R92" i="14"/>
  <c r="S92" i="14"/>
  <c r="T92" i="14"/>
  <c r="U92" i="14"/>
  <c r="V92" i="14"/>
  <c r="L101" i="14"/>
  <c r="N101" i="14"/>
  <c r="O101" i="14"/>
  <c r="P101" i="14"/>
  <c r="Q101" i="14"/>
  <c r="R101" i="14"/>
  <c r="S101" i="14"/>
  <c r="T101" i="14"/>
  <c r="U101" i="14"/>
  <c r="V101" i="14"/>
  <c r="M104" i="14"/>
  <c r="N104" i="14"/>
  <c r="O104" i="14"/>
  <c r="P104" i="14"/>
  <c r="Q104" i="14"/>
  <c r="R104" i="14"/>
  <c r="S104" i="14"/>
  <c r="T104" i="14"/>
  <c r="U104" i="14"/>
  <c r="V104" i="14"/>
  <c r="L5" i="19"/>
  <c r="M5" i="19"/>
  <c r="N5" i="19"/>
  <c r="O5" i="19"/>
  <c r="P5" i="19"/>
  <c r="Q5" i="19"/>
  <c r="R5" i="19"/>
  <c r="R125" i="19" s="1"/>
  <c r="S5" i="19"/>
  <c r="T5" i="19"/>
  <c r="U5" i="19"/>
  <c r="U125" i="19" s="1"/>
  <c r="V5" i="19"/>
  <c r="M8" i="19"/>
  <c r="N8" i="19"/>
  <c r="O8" i="19"/>
  <c r="Q8" i="19"/>
  <c r="R8" i="19"/>
  <c r="R126" i="19" s="1"/>
  <c r="S8" i="19"/>
  <c r="T8" i="19"/>
  <c r="T126" i="19" s="1"/>
  <c r="U8" i="19"/>
  <c r="U126" i="19" s="1"/>
  <c r="V8" i="19"/>
  <c r="M44" i="24"/>
  <c r="N44" i="24"/>
  <c r="O44" i="24"/>
  <c r="P44" i="24"/>
  <c r="Q44" i="24"/>
  <c r="R44" i="24"/>
  <c r="S44" i="24"/>
  <c r="T44" i="24"/>
  <c r="U44" i="24"/>
  <c r="V44" i="24"/>
  <c r="M5" i="24"/>
  <c r="N5" i="24"/>
  <c r="O5" i="24"/>
  <c r="P5" i="24"/>
  <c r="Q5" i="24"/>
  <c r="R5" i="24"/>
  <c r="S5" i="24"/>
  <c r="T5" i="24"/>
  <c r="T53" i="24" s="1"/>
  <c r="U5" i="24"/>
  <c r="U53" i="24" s="1"/>
  <c r="V5" i="24"/>
  <c r="V53" i="24" s="1"/>
  <c r="M8" i="24"/>
  <c r="N8" i="24"/>
  <c r="O8" i="24"/>
  <c r="P8" i="24"/>
  <c r="Q8" i="24"/>
  <c r="R8" i="24"/>
  <c r="S8" i="24"/>
  <c r="T8" i="24"/>
  <c r="U8" i="24"/>
  <c r="V8" i="24"/>
  <c r="L17" i="24"/>
  <c r="M17" i="24"/>
  <c r="N17" i="24"/>
  <c r="O17" i="24"/>
  <c r="P17" i="24"/>
  <c r="Q17" i="24"/>
  <c r="R17" i="24"/>
  <c r="S17" i="24"/>
  <c r="T17" i="24"/>
  <c r="U17" i="24"/>
  <c r="V17" i="24"/>
  <c r="M20" i="24"/>
  <c r="N20" i="24"/>
  <c r="O20" i="24"/>
  <c r="P20" i="24"/>
  <c r="Q20" i="24"/>
  <c r="R20" i="24"/>
  <c r="S20" i="24"/>
  <c r="T20" i="24"/>
  <c r="U20" i="24"/>
  <c r="V20" i="24"/>
  <c r="L17" i="15"/>
  <c r="L41" i="15"/>
  <c r="X51" i="17"/>
  <c r="X46" i="17"/>
  <c r="W44" i="17"/>
  <c r="X42" i="17"/>
  <c r="W41" i="17"/>
  <c r="X15" i="24"/>
  <c r="X10" i="24"/>
  <c r="W8" i="24"/>
  <c r="X7" i="24"/>
  <c r="X6" i="24"/>
  <c r="W5" i="24"/>
  <c r="X15" i="21"/>
  <c r="X10" i="21"/>
  <c r="W8" i="21"/>
  <c r="X7" i="21"/>
  <c r="X6" i="21"/>
  <c r="W5" i="21"/>
  <c r="X15" i="30"/>
  <c r="X10" i="30"/>
  <c r="W8" i="30"/>
  <c r="V8" i="30"/>
  <c r="V102" i="30" s="1"/>
  <c r="U8" i="30"/>
  <c r="U102" i="30" s="1"/>
  <c r="T8" i="30"/>
  <c r="T102" i="30" s="1"/>
  <c r="S8" i="30"/>
  <c r="R8" i="30"/>
  <c r="Q8" i="30"/>
  <c r="P8" i="30"/>
  <c r="O8" i="30"/>
  <c r="N8" i="30"/>
  <c r="M8" i="30"/>
  <c r="X7" i="30"/>
  <c r="X6" i="30"/>
  <c r="W5" i="30"/>
  <c r="V5" i="30"/>
  <c r="V101" i="30" s="1"/>
  <c r="U5" i="30"/>
  <c r="U101" i="30" s="1"/>
  <c r="T5" i="30"/>
  <c r="S5" i="30"/>
  <c r="R5" i="30"/>
  <c r="Q5" i="30"/>
  <c r="Q103" i="30" s="1"/>
  <c r="O5" i="30"/>
  <c r="N5" i="30"/>
  <c r="N103" i="30" s="1"/>
  <c r="M5" i="30"/>
  <c r="M103" i="30" s="1"/>
  <c r="L5" i="30"/>
  <c r="X27" i="24"/>
  <c r="X22" i="24"/>
  <c r="W20" i="24"/>
  <c r="X19" i="24"/>
  <c r="X18" i="24"/>
  <c r="W17" i="24"/>
  <c r="X63" i="18"/>
  <c r="X58" i="18"/>
  <c r="W56" i="18"/>
  <c r="X55" i="18"/>
  <c r="X54" i="18"/>
  <c r="W53" i="18"/>
  <c r="A50" i="9"/>
  <c r="C101" i="30"/>
  <c r="X87" i="18"/>
  <c r="X82" i="18"/>
  <c r="W80" i="18"/>
  <c r="X79" i="18"/>
  <c r="X78" i="18"/>
  <c r="W77" i="18"/>
  <c r="W137" i="18" s="1"/>
  <c r="X75" i="18"/>
  <c r="X70" i="18"/>
  <c r="W68" i="18"/>
  <c r="X67" i="18"/>
  <c r="X66" i="18"/>
  <c r="W65" i="18"/>
  <c r="W41" i="23"/>
  <c r="W44" i="23"/>
  <c r="X51" i="23"/>
  <c r="X46" i="23"/>
  <c r="X43" i="23"/>
  <c r="X42" i="23"/>
  <c r="X123" i="18"/>
  <c r="X118" i="18"/>
  <c r="X115" i="18"/>
  <c r="X114" i="18"/>
  <c r="C53" i="24"/>
  <c r="X51" i="24"/>
  <c r="X46" i="24"/>
  <c r="W44" i="24"/>
  <c r="X43" i="24"/>
  <c r="X42" i="24"/>
  <c r="A47" i="9"/>
  <c r="C161" i="23"/>
  <c r="X75" i="23"/>
  <c r="X70" i="23"/>
  <c r="W68" i="23"/>
  <c r="X66" i="23"/>
  <c r="W65" i="23"/>
  <c r="W68" i="14"/>
  <c r="W65" i="14"/>
  <c r="W8" i="19"/>
  <c r="W5" i="19"/>
  <c r="A44" i="9"/>
  <c r="A23" i="9"/>
  <c r="C137" i="18"/>
  <c r="C77" i="21"/>
  <c r="C89" i="17"/>
  <c r="C125" i="19"/>
  <c r="X15" i="19"/>
  <c r="X10" i="19"/>
  <c r="X7" i="19"/>
  <c r="X6" i="19"/>
  <c r="X99" i="18"/>
  <c r="X94" i="18"/>
  <c r="W92" i="18"/>
  <c r="X91" i="18"/>
  <c r="X90" i="18"/>
  <c r="W89" i="18"/>
  <c r="X111" i="18"/>
  <c r="X106" i="18"/>
  <c r="W104" i="18"/>
  <c r="X103" i="18"/>
  <c r="X102" i="18"/>
  <c r="W101" i="18"/>
  <c r="C89" i="15"/>
  <c r="X27" i="15"/>
  <c r="X22" i="15"/>
  <c r="X19" i="15"/>
  <c r="X51" i="15"/>
  <c r="X46" i="15"/>
  <c r="X43" i="15"/>
  <c r="X42" i="15"/>
  <c r="X63" i="14"/>
  <c r="X58" i="14"/>
  <c r="X55" i="14"/>
  <c r="X54" i="14"/>
  <c r="X75" i="14"/>
  <c r="X70" i="14"/>
  <c r="X66" i="14"/>
  <c r="X111" i="14"/>
  <c r="X106" i="14"/>
  <c r="W104" i="14"/>
  <c r="X103" i="14"/>
  <c r="W101" i="14"/>
  <c r="X99" i="14"/>
  <c r="X94" i="14"/>
  <c r="W92" i="14"/>
  <c r="X91" i="14"/>
  <c r="X90" i="14"/>
  <c r="W89" i="14"/>
  <c r="X87" i="14"/>
  <c r="X82" i="14"/>
  <c r="W80" i="14"/>
  <c r="X79" i="14"/>
  <c r="X78" i="14"/>
  <c r="W77" i="14"/>
  <c r="A35" i="9"/>
  <c r="X18" i="15"/>
  <c r="X102" i="14"/>
  <c r="M101" i="14"/>
  <c r="X13" i="30"/>
  <c r="X14" i="30"/>
  <c r="X11" i="30"/>
  <c r="X12" i="30"/>
  <c r="X9" i="30"/>
  <c r="X97" i="23"/>
  <c r="X98" i="23"/>
  <c r="X95" i="23"/>
  <c r="X96" i="23"/>
  <c r="X93" i="23"/>
  <c r="X13" i="23"/>
  <c r="X14" i="23"/>
  <c r="X11" i="23"/>
  <c r="X12" i="23"/>
  <c r="X9" i="23"/>
  <c r="X49" i="23"/>
  <c r="X50" i="23"/>
  <c r="X47" i="23"/>
  <c r="X48" i="23"/>
  <c r="X45" i="23"/>
  <c r="X73" i="23"/>
  <c r="X74" i="23"/>
  <c r="X71" i="23"/>
  <c r="X72" i="23"/>
  <c r="X69" i="23"/>
  <c r="X25" i="21"/>
  <c r="X26" i="21"/>
  <c r="X23" i="21"/>
  <c r="X24" i="21"/>
  <c r="X21" i="21"/>
  <c r="X49" i="21"/>
  <c r="X50" i="21"/>
  <c r="X47" i="21"/>
  <c r="X48" i="21"/>
  <c r="X45" i="21"/>
  <c r="X61" i="21"/>
  <c r="X62" i="21"/>
  <c r="X59" i="21"/>
  <c r="X60" i="21"/>
  <c r="X57" i="21"/>
  <c r="X13" i="21"/>
  <c r="X14" i="21"/>
  <c r="X11" i="21"/>
  <c r="X12" i="21"/>
  <c r="X9" i="21"/>
  <c r="X109" i="14"/>
  <c r="X110" i="14"/>
  <c r="X107" i="14"/>
  <c r="X108" i="14"/>
  <c r="X105" i="14"/>
  <c r="X97" i="14"/>
  <c r="X98" i="14"/>
  <c r="X95" i="14"/>
  <c r="X96" i="14"/>
  <c r="X93" i="14"/>
  <c r="X85" i="14"/>
  <c r="X86" i="14"/>
  <c r="X83" i="14"/>
  <c r="X84" i="14"/>
  <c r="X81" i="14"/>
  <c r="X73" i="14"/>
  <c r="X74" i="14"/>
  <c r="X71" i="14"/>
  <c r="X72" i="14"/>
  <c r="X69" i="14"/>
  <c r="X61" i="14"/>
  <c r="X62" i="14"/>
  <c r="X59" i="14"/>
  <c r="X60" i="14"/>
  <c r="X57" i="14"/>
  <c r="X49" i="19"/>
  <c r="X50" i="19"/>
  <c r="X47" i="19"/>
  <c r="X48" i="19"/>
  <c r="X45" i="19"/>
  <c r="X121" i="19"/>
  <c r="X122" i="19"/>
  <c r="X119" i="19"/>
  <c r="X120" i="19"/>
  <c r="X117" i="19"/>
  <c r="X61" i="19"/>
  <c r="X62" i="19"/>
  <c r="X59" i="19"/>
  <c r="X60" i="19"/>
  <c r="X57" i="19"/>
  <c r="X73" i="19"/>
  <c r="X74" i="19"/>
  <c r="X71" i="19"/>
  <c r="X72" i="19"/>
  <c r="X69" i="19"/>
  <c r="X97" i="19"/>
  <c r="X98" i="19"/>
  <c r="X95" i="19"/>
  <c r="X96" i="19"/>
  <c r="X93" i="19"/>
  <c r="X85" i="19"/>
  <c r="X86" i="19"/>
  <c r="X83" i="19"/>
  <c r="X84" i="19"/>
  <c r="X81" i="19"/>
  <c r="X109" i="19"/>
  <c r="X110" i="19"/>
  <c r="X107" i="19"/>
  <c r="X108" i="19"/>
  <c r="X105" i="19"/>
  <c r="X13" i="19"/>
  <c r="X14" i="19"/>
  <c r="X11" i="19"/>
  <c r="X12" i="19"/>
  <c r="X9" i="19"/>
  <c r="X61" i="35"/>
  <c r="X62" i="35"/>
  <c r="X59" i="35"/>
  <c r="X60" i="35"/>
  <c r="X57" i="35"/>
  <c r="X73" i="35"/>
  <c r="X74" i="35"/>
  <c r="X71" i="35"/>
  <c r="X72" i="35"/>
  <c r="X69" i="35"/>
  <c r="X25" i="35"/>
  <c r="X26" i="35"/>
  <c r="X23" i="35"/>
  <c r="X24" i="35"/>
  <c r="X21" i="35"/>
  <c r="X49" i="18"/>
  <c r="X50" i="18"/>
  <c r="X47" i="18"/>
  <c r="X48" i="18"/>
  <c r="X45" i="18"/>
  <c r="X61" i="18"/>
  <c r="X62" i="18"/>
  <c r="X59" i="18"/>
  <c r="X60" i="18"/>
  <c r="X57" i="18"/>
  <c r="X85" i="18"/>
  <c r="X86" i="18"/>
  <c r="X83" i="18"/>
  <c r="X84" i="18"/>
  <c r="X81" i="18"/>
  <c r="X73" i="18"/>
  <c r="X74" i="18"/>
  <c r="X71" i="18"/>
  <c r="X72" i="18"/>
  <c r="X69" i="18"/>
  <c r="X121" i="18"/>
  <c r="X122" i="18"/>
  <c r="X119" i="18"/>
  <c r="X120" i="18"/>
  <c r="X117" i="18"/>
  <c r="X109" i="18"/>
  <c r="X110" i="18"/>
  <c r="X107" i="18"/>
  <c r="X108" i="18"/>
  <c r="X105" i="18"/>
  <c r="X97" i="18"/>
  <c r="X98" i="18"/>
  <c r="X95" i="18"/>
  <c r="X96" i="18"/>
  <c r="X93" i="18"/>
  <c r="X49" i="17"/>
  <c r="X50" i="17"/>
  <c r="X47" i="17"/>
  <c r="X48" i="17"/>
  <c r="X45" i="17"/>
  <c r="X25" i="24"/>
  <c r="X26" i="24"/>
  <c r="X23" i="24"/>
  <c r="X24" i="24"/>
  <c r="X21" i="24"/>
  <c r="X13" i="24"/>
  <c r="X14" i="24"/>
  <c r="X11" i="24"/>
  <c r="X12" i="24"/>
  <c r="X9" i="24"/>
  <c r="X49" i="24"/>
  <c r="X50" i="24"/>
  <c r="X47" i="24"/>
  <c r="X48" i="24"/>
  <c r="X45" i="24"/>
  <c r="X25" i="15"/>
  <c r="X26" i="15"/>
  <c r="X23" i="15"/>
  <c r="X24" i="15"/>
  <c r="X21" i="15"/>
  <c r="X49" i="15"/>
  <c r="X50" i="15"/>
  <c r="X47" i="15"/>
  <c r="X48" i="15"/>
  <c r="X45" i="15"/>
  <c r="L8" i="30"/>
  <c r="L92" i="23"/>
  <c r="L8" i="23"/>
  <c r="L44" i="23"/>
  <c r="L68" i="23"/>
  <c r="L20" i="21"/>
  <c r="L44" i="21"/>
  <c r="L56" i="21"/>
  <c r="L64" i="21" s="1"/>
  <c r="L8" i="21"/>
  <c r="L104" i="14"/>
  <c r="L92" i="14"/>
  <c r="L80" i="14"/>
  <c r="L68" i="14"/>
  <c r="L56" i="14"/>
  <c r="L44" i="19"/>
  <c r="L52" i="19" s="1"/>
  <c r="L56" i="19"/>
  <c r="L68" i="19"/>
  <c r="L92" i="19"/>
  <c r="L80" i="19"/>
  <c r="L104" i="19"/>
  <c r="L8" i="19"/>
  <c r="L56" i="35"/>
  <c r="L68" i="35"/>
  <c r="L88" i="35"/>
  <c r="L44" i="18"/>
  <c r="L20" i="18"/>
  <c r="L56" i="18"/>
  <c r="L80" i="18"/>
  <c r="L68" i="18"/>
  <c r="L104" i="18"/>
  <c r="L92" i="18"/>
  <c r="L44" i="17"/>
  <c r="L20" i="24"/>
  <c r="L8" i="24"/>
  <c r="L20" i="15"/>
  <c r="L44" i="15"/>
  <c r="X20" i="35"/>
  <c r="N124" i="18"/>
  <c r="W124" i="18"/>
  <c r="M124" i="18"/>
  <c r="S124" i="18"/>
  <c r="L124" i="18"/>
  <c r="X128" i="18"/>
  <c r="X125" i="18"/>
  <c r="U54" i="24" l="1"/>
  <c r="V137" i="18"/>
  <c r="V162" i="23"/>
  <c r="V138" i="35"/>
  <c r="V113" i="38"/>
  <c r="V77" i="21"/>
  <c r="V2" i="21" s="1"/>
  <c r="O44" i="9" s="1"/>
  <c r="V126" i="19"/>
  <c r="V3" i="19" s="1"/>
  <c r="O24" i="9" s="1"/>
  <c r="V78" i="21"/>
  <c r="V209" i="14"/>
  <c r="V52" i="21"/>
  <c r="V125" i="19"/>
  <c r="U126" i="7"/>
  <c r="V90" i="15"/>
  <c r="V54" i="24"/>
  <c r="V55" i="24" s="1"/>
  <c r="V137" i="35"/>
  <c r="V2" i="35" s="1"/>
  <c r="O29" i="9" s="1"/>
  <c r="V210" i="14"/>
  <c r="V138" i="18"/>
  <c r="V3" i="18" s="1"/>
  <c r="O12" i="9" s="1"/>
  <c r="U125" i="7"/>
  <c r="U78" i="21"/>
  <c r="U137" i="18"/>
  <c r="U138" i="35"/>
  <c r="U77" i="21"/>
  <c r="U209" i="14"/>
  <c r="T126" i="7"/>
  <c r="U137" i="35"/>
  <c r="U210" i="14"/>
  <c r="U138" i="18"/>
  <c r="T125" i="7"/>
  <c r="U90" i="15"/>
  <c r="M3" i="35"/>
  <c r="F30" i="9" s="1"/>
  <c r="V3" i="35"/>
  <c r="O30" i="9" s="1"/>
  <c r="Q3" i="35"/>
  <c r="J30" i="9" s="1"/>
  <c r="N2" i="35"/>
  <c r="G29" i="9" s="1"/>
  <c r="T113" i="38"/>
  <c r="T54" i="24"/>
  <c r="T137" i="18"/>
  <c r="T138" i="18"/>
  <c r="T3" i="18" s="1"/>
  <c r="M12" i="9" s="1"/>
  <c r="T161" i="23"/>
  <c r="T2" i="23" s="1"/>
  <c r="T162" i="23"/>
  <c r="T3" i="23" s="1"/>
  <c r="M48" i="9" s="1"/>
  <c r="T78" i="21"/>
  <c r="T209" i="14"/>
  <c r="S126" i="7"/>
  <c r="T210" i="14"/>
  <c r="S125" i="7"/>
  <c r="X102" i="30"/>
  <c r="T125" i="19"/>
  <c r="X17" i="18"/>
  <c r="X20" i="18"/>
  <c r="T90" i="15"/>
  <c r="W162" i="23"/>
  <c r="S209" i="14"/>
  <c r="X101" i="30"/>
  <c r="S2" i="35"/>
  <c r="L29" i="9" s="1"/>
  <c r="S90" i="17"/>
  <c r="S3" i="17" s="1"/>
  <c r="L15" i="9" s="1"/>
  <c r="S53" i="24"/>
  <c r="S52" i="24"/>
  <c r="X89" i="15"/>
  <c r="S113" i="38"/>
  <c r="S125" i="19"/>
  <c r="S210" i="14"/>
  <c r="S162" i="23"/>
  <c r="S3" i="15"/>
  <c r="L6" i="9" s="1"/>
  <c r="S126" i="19"/>
  <c r="S137" i="18"/>
  <c r="S77" i="21"/>
  <c r="S2" i="21" s="1"/>
  <c r="S78" i="21"/>
  <c r="R125" i="7"/>
  <c r="R2" i="7" s="1"/>
  <c r="L35" i="9" s="1"/>
  <c r="S54" i="24"/>
  <c r="S3" i="24" s="1"/>
  <c r="L9" i="9" s="1"/>
  <c r="R126" i="7"/>
  <c r="S138" i="18"/>
  <c r="S161" i="23"/>
  <c r="S114" i="38"/>
  <c r="S3" i="38" s="1"/>
  <c r="L42" i="9" s="1"/>
  <c r="R105" i="30"/>
  <c r="P103" i="30"/>
  <c r="L104" i="30"/>
  <c r="L103" i="30"/>
  <c r="O103" i="30"/>
  <c r="O106" i="30" s="1"/>
  <c r="O104" i="30"/>
  <c r="O105" i="30"/>
  <c r="T103" i="30"/>
  <c r="L105" i="30"/>
  <c r="R162" i="23"/>
  <c r="R78" i="21"/>
  <c r="Q126" i="7"/>
  <c r="R90" i="15"/>
  <c r="R54" i="24"/>
  <c r="R55" i="24" s="1"/>
  <c r="R161" i="23"/>
  <c r="R2" i="23" s="1"/>
  <c r="R53" i="24"/>
  <c r="R89" i="15"/>
  <c r="R209" i="14"/>
  <c r="R113" i="38"/>
  <c r="R114" i="38"/>
  <c r="N2" i="15"/>
  <c r="G5" i="9" s="1"/>
  <c r="O3" i="15"/>
  <c r="H6" i="9" s="1"/>
  <c r="T3" i="15"/>
  <c r="M6" i="9" s="1"/>
  <c r="W3" i="15"/>
  <c r="P6" i="9" s="1"/>
  <c r="V3" i="15"/>
  <c r="O6" i="9" s="1"/>
  <c r="P2" i="15"/>
  <c r="I5" i="9" s="1"/>
  <c r="W2" i="15"/>
  <c r="P5" i="9" s="1"/>
  <c r="N3" i="15"/>
  <c r="G6" i="9" s="1"/>
  <c r="Q78" i="21"/>
  <c r="Q162" i="23"/>
  <c r="Q3" i="23" s="1"/>
  <c r="J48" i="9" s="1"/>
  <c r="P126" i="7"/>
  <c r="Q126" i="19"/>
  <c r="Q161" i="23"/>
  <c r="Q2" i="23" s="1"/>
  <c r="Q125" i="19"/>
  <c r="Q77" i="21"/>
  <c r="P125" i="7"/>
  <c r="Q3" i="15"/>
  <c r="J6" i="9" s="1"/>
  <c r="Q54" i="24"/>
  <c r="Q2" i="15"/>
  <c r="J5" i="9" s="1"/>
  <c r="Q113" i="38"/>
  <c r="Q2" i="38" s="1"/>
  <c r="J41" i="9" s="1"/>
  <c r="Q114" i="38"/>
  <c r="Q3" i="38" s="1"/>
  <c r="J42" i="9" s="1"/>
  <c r="Q53" i="24"/>
  <c r="Q137" i="18"/>
  <c r="U3" i="21"/>
  <c r="M3" i="21"/>
  <c r="F45" i="9" s="1"/>
  <c r="V3" i="21"/>
  <c r="O45" i="9" s="1"/>
  <c r="N3" i="21"/>
  <c r="G45" i="9" s="1"/>
  <c r="O79" i="21"/>
  <c r="O3" i="24"/>
  <c r="H9" i="9" s="1"/>
  <c r="N52" i="18"/>
  <c r="V3" i="23"/>
  <c r="O48" i="9" s="1"/>
  <c r="L163" i="23"/>
  <c r="P3" i="23"/>
  <c r="I48" i="9" s="1"/>
  <c r="M2" i="23"/>
  <c r="F47" i="9" s="1"/>
  <c r="S2" i="7"/>
  <c r="M35" i="9" s="1"/>
  <c r="L2" i="7"/>
  <c r="F35" i="9" s="1"/>
  <c r="M2" i="38"/>
  <c r="F41" i="9" s="1"/>
  <c r="U2" i="38"/>
  <c r="N41" i="9" s="1"/>
  <c r="W2" i="38"/>
  <c r="P41" i="9" s="1"/>
  <c r="P2" i="38"/>
  <c r="I41" i="9" s="1"/>
  <c r="W3" i="18"/>
  <c r="P12" i="9" s="1"/>
  <c r="R2" i="18"/>
  <c r="K11" i="9" s="1"/>
  <c r="T2" i="18"/>
  <c r="M11" i="9" s="1"/>
  <c r="M2" i="18"/>
  <c r="F11" i="9" s="1"/>
  <c r="N3" i="24"/>
  <c r="G9" i="9" s="1"/>
  <c r="S3" i="30"/>
  <c r="L51" i="9" s="1"/>
  <c r="R3" i="23"/>
  <c r="K48" i="9" s="1"/>
  <c r="U3" i="38"/>
  <c r="N42" i="9" s="1"/>
  <c r="W3" i="38"/>
  <c r="P42" i="9" s="1"/>
  <c r="M3" i="38"/>
  <c r="F42" i="9" s="1"/>
  <c r="N3" i="38"/>
  <c r="G42" i="9" s="1"/>
  <c r="O3" i="38"/>
  <c r="H42" i="9" s="1"/>
  <c r="U3" i="14"/>
  <c r="N33" i="9" s="1"/>
  <c r="Q3" i="14"/>
  <c r="J33" i="9" s="1"/>
  <c r="N3" i="14"/>
  <c r="G33" i="9" s="1"/>
  <c r="P3" i="35"/>
  <c r="I30" i="9" s="1"/>
  <c r="P3" i="19"/>
  <c r="I24" i="9" s="1"/>
  <c r="M3" i="19"/>
  <c r="F24" i="9" s="1"/>
  <c r="M64" i="19"/>
  <c r="O3" i="19"/>
  <c r="H24" i="9" s="1"/>
  <c r="N91" i="17"/>
  <c r="O3" i="17"/>
  <c r="H15" i="9" s="1"/>
  <c r="N3" i="18"/>
  <c r="G12" i="9" s="1"/>
  <c r="M3" i="18"/>
  <c r="F12" i="9" s="1"/>
  <c r="P3" i="18"/>
  <c r="I12" i="9" s="1"/>
  <c r="Q3" i="18"/>
  <c r="J12" i="9" s="1"/>
  <c r="Q3" i="24"/>
  <c r="J9" i="9" s="1"/>
  <c r="R3" i="24"/>
  <c r="K9" i="9" s="1"/>
  <c r="W3" i="24"/>
  <c r="P9" i="9" s="1"/>
  <c r="M88" i="23"/>
  <c r="C29" i="30"/>
  <c r="C41" i="30" s="1"/>
  <c r="C53" i="30" s="1"/>
  <c r="C65" i="30" s="1"/>
  <c r="C77" i="30" s="1"/>
  <c r="C89" i="30" s="1"/>
  <c r="P3" i="38"/>
  <c r="I42" i="9" s="1"/>
  <c r="M40" i="7"/>
  <c r="M3" i="7"/>
  <c r="G36" i="9" s="1"/>
  <c r="V3" i="7"/>
  <c r="P36" i="9" s="1"/>
  <c r="M3" i="15"/>
  <c r="F6" i="9" s="1"/>
  <c r="U3" i="15"/>
  <c r="N6" i="9" s="1"/>
  <c r="L3" i="21"/>
  <c r="E45" i="9" s="1"/>
  <c r="L52" i="24"/>
  <c r="O40" i="7"/>
  <c r="V16" i="7"/>
  <c r="W3" i="14"/>
  <c r="P33" i="9" s="1"/>
  <c r="S3" i="14"/>
  <c r="L33" i="9" s="1"/>
  <c r="W2" i="35"/>
  <c r="P29" i="9" s="1"/>
  <c r="R2" i="19"/>
  <c r="K23" i="9" s="1"/>
  <c r="N2" i="19"/>
  <c r="G23" i="9" s="1"/>
  <c r="S2" i="19"/>
  <c r="L23" i="9" s="1"/>
  <c r="Q3" i="19"/>
  <c r="J24" i="9" s="1"/>
  <c r="U2" i="19"/>
  <c r="N23" i="9" s="1"/>
  <c r="V100" i="19"/>
  <c r="W88" i="19"/>
  <c r="W112" i="19"/>
  <c r="L91" i="17"/>
  <c r="N2" i="18"/>
  <c r="G11" i="9" s="1"/>
  <c r="V2" i="18"/>
  <c r="O11" i="9" s="1"/>
  <c r="L16" i="24"/>
  <c r="W2" i="24"/>
  <c r="P8" i="9" s="1"/>
  <c r="W91" i="17"/>
  <c r="W3" i="17"/>
  <c r="P15" i="9" s="1"/>
  <c r="V91" i="17"/>
  <c r="U2" i="17"/>
  <c r="N14" i="9" s="1"/>
  <c r="N76" i="17"/>
  <c r="V40" i="15"/>
  <c r="R2" i="14"/>
  <c r="K32" i="9" s="1"/>
  <c r="P28" i="30"/>
  <c r="R40" i="35"/>
  <c r="N3" i="19"/>
  <c r="G24" i="9" s="1"/>
  <c r="K28" i="7"/>
  <c r="N2" i="7"/>
  <c r="H35" i="9" s="1"/>
  <c r="T40" i="7"/>
  <c r="P52" i="24"/>
  <c r="W16" i="24"/>
  <c r="T52" i="24"/>
  <c r="P2" i="7"/>
  <c r="J35" i="9" s="1"/>
  <c r="N3" i="30"/>
  <c r="N28" i="30"/>
  <c r="M2" i="30"/>
  <c r="F50" i="9" s="1"/>
  <c r="N2" i="23"/>
  <c r="U3" i="23"/>
  <c r="N48" i="9" s="1"/>
  <c r="W3" i="23"/>
  <c r="P48" i="9" s="1"/>
  <c r="W2" i="23"/>
  <c r="O2" i="23"/>
  <c r="T88" i="23"/>
  <c r="P3" i="21"/>
  <c r="I45" i="9" s="1"/>
  <c r="W52" i="21"/>
  <c r="S76" i="35"/>
  <c r="O52" i="35"/>
  <c r="O40" i="35"/>
  <c r="W52" i="35"/>
  <c r="L76" i="38"/>
  <c r="L2" i="38"/>
  <c r="E41" i="9" s="1"/>
  <c r="M112" i="19"/>
  <c r="U112" i="19"/>
  <c r="U100" i="19"/>
  <c r="V88" i="19"/>
  <c r="N88" i="19"/>
  <c r="M76" i="19"/>
  <c r="V76" i="19"/>
  <c r="S64" i="19"/>
  <c r="W64" i="19"/>
  <c r="L64" i="19"/>
  <c r="V52" i="19"/>
  <c r="U40" i="19"/>
  <c r="T40" i="19"/>
  <c r="R40" i="19"/>
  <c r="V16" i="19"/>
  <c r="W16" i="19"/>
  <c r="W2" i="19"/>
  <c r="P23" i="9" s="1"/>
  <c r="R16" i="19"/>
  <c r="P40" i="19"/>
  <c r="S76" i="19"/>
  <c r="L16" i="19"/>
  <c r="V112" i="19"/>
  <c r="M2" i="17"/>
  <c r="F14" i="9" s="1"/>
  <c r="S2" i="18"/>
  <c r="L11" i="9" s="1"/>
  <c r="N76" i="18"/>
  <c r="N40" i="18"/>
  <c r="R112" i="18"/>
  <c r="T64" i="18"/>
  <c r="L100" i="18"/>
  <c r="V112" i="18"/>
  <c r="W76" i="18"/>
  <c r="O28" i="18"/>
  <c r="N64" i="18"/>
  <c r="V52" i="18"/>
  <c r="N16" i="24"/>
  <c r="T16" i="24"/>
  <c r="P16" i="24"/>
  <c r="O16" i="24"/>
  <c r="U55" i="24"/>
  <c r="W52" i="24"/>
  <c r="N52" i="24"/>
  <c r="M28" i="24"/>
  <c r="O40" i="15"/>
  <c r="U28" i="15"/>
  <c r="W40" i="15"/>
  <c r="K2" i="7"/>
  <c r="E35" i="9" s="1"/>
  <c r="U40" i="7"/>
  <c r="T52" i="18"/>
  <c r="T100" i="19"/>
  <c r="T64" i="19"/>
  <c r="T3" i="30"/>
  <c r="M51" i="9" s="1"/>
  <c r="V28" i="30"/>
  <c r="U28" i="30"/>
  <c r="W28" i="30"/>
  <c r="U40" i="15"/>
  <c r="S91" i="17"/>
  <c r="S112" i="19"/>
  <c r="S28" i="15"/>
  <c r="S100" i="18"/>
  <c r="S16" i="19"/>
  <c r="N40" i="23"/>
  <c r="R112" i="19"/>
  <c r="R2" i="17"/>
  <c r="K14" i="9" s="1"/>
  <c r="M76" i="35"/>
  <c r="U76" i="35"/>
  <c r="L52" i="35"/>
  <c r="T52" i="35"/>
  <c r="L40" i="35"/>
  <c r="V40" i="35"/>
  <c r="T76" i="35"/>
  <c r="T40" i="35"/>
  <c r="N76" i="35"/>
  <c r="V76" i="35"/>
  <c r="O76" i="35"/>
  <c r="W76" i="35"/>
  <c r="L76" i="35"/>
  <c r="P76" i="35"/>
  <c r="Q76" i="35"/>
  <c r="R76" i="35"/>
  <c r="Q3" i="21"/>
  <c r="J45" i="9" s="1"/>
  <c r="Q91" i="17"/>
  <c r="W16" i="38"/>
  <c r="L16" i="38"/>
  <c r="N112" i="18"/>
  <c r="V76" i="18"/>
  <c r="W112" i="18"/>
  <c r="T76" i="18"/>
  <c r="L112" i="18"/>
  <c r="P91" i="17"/>
  <c r="P2" i="24"/>
  <c r="I8" i="9" s="1"/>
  <c r="O52" i="21"/>
  <c r="O16" i="38"/>
  <c r="O28" i="24"/>
  <c r="V40" i="18"/>
  <c r="V52" i="35"/>
  <c r="N76" i="19"/>
  <c r="N28" i="24"/>
  <c r="N52" i="19"/>
  <c r="N2" i="24"/>
  <c r="G8" i="9" s="1"/>
  <c r="N100" i="19"/>
  <c r="N40" i="35"/>
  <c r="N76" i="38"/>
  <c r="S28" i="30"/>
  <c r="R28" i="30"/>
  <c r="Q28" i="30"/>
  <c r="T28" i="30"/>
  <c r="L52" i="15"/>
  <c r="L40" i="7"/>
  <c r="M40" i="19"/>
  <c r="M76" i="17"/>
  <c r="M88" i="19"/>
  <c r="R100" i="19"/>
  <c r="W100" i="19"/>
  <c r="O100" i="19"/>
  <c r="U52" i="23"/>
  <c r="V52" i="23"/>
  <c r="M76" i="23"/>
  <c r="U76" i="23"/>
  <c r="U52" i="17"/>
  <c r="M52" i="17"/>
  <c r="U28" i="21"/>
  <c r="Q40" i="38"/>
  <c r="P40" i="38"/>
  <c r="L3" i="38"/>
  <c r="E42" i="9" s="1"/>
  <c r="L64" i="18"/>
  <c r="L76" i="17"/>
  <c r="K16" i="7"/>
  <c r="L28" i="30"/>
  <c r="M28" i="30"/>
  <c r="T52" i="23"/>
  <c r="S100" i="23"/>
  <c r="N16" i="23"/>
  <c r="V16" i="23"/>
  <c r="L16" i="23"/>
  <c r="L100" i="23"/>
  <c r="N2" i="30"/>
  <c r="G50" i="9" s="1"/>
  <c r="W40" i="23"/>
  <c r="X17" i="30"/>
  <c r="P40" i="23"/>
  <c r="M28" i="23"/>
  <c r="M16" i="30"/>
  <c r="M40" i="23"/>
  <c r="V40" i="23"/>
  <c r="L52" i="23"/>
  <c r="M16" i="23"/>
  <c r="R100" i="23"/>
  <c r="U40" i="23"/>
  <c r="O52" i="23"/>
  <c r="N76" i="23"/>
  <c r="V76" i="23"/>
  <c r="Q52" i="23"/>
  <c r="V28" i="23"/>
  <c r="T76" i="23"/>
  <c r="P52" i="23"/>
  <c r="U28" i="23"/>
  <c r="T16" i="23"/>
  <c r="L40" i="23"/>
  <c r="P28" i="23"/>
  <c r="T28" i="23"/>
  <c r="N52" i="23"/>
  <c r="R16" i="23"/>
  <c r="S88" i="23"/>
  <c r="S28" i="23"/>
  <c r="N100" i="23"/>
  <c r="V100" i="23"/>
  <c r="W100" i="23"/>
  <c r="O40" i="23"/>
  <c r="P88" i="23"/>
  <c r="M52" i="23"/>
  <c r="S52" i="23"/>
  <c r="N88" i="23"/>
  <c r="O76" i="23"/>
  <c r="O16" i="23"/>
  <c r="W16" i="23"/>
  <c r="R28" i="23"/>
  <c r="P112" i="14"/>
  <c r="M64" i="14"/>
  <c r="U64" i="14"/>
  <c r="W112" i="14"/>
  <c r="O112" i="14"/>
  <c r="V112" i="14"/>
  <c r="N112" i="14"/>
  <c r="N28" i="21"/>
  <c r="U112" i="14"/>
  <c r="L112" i="14"/>
  <c r="M112" i="14"/>
  <c r="T112" i="14"/>
  <c r="S52" i="21"/>
  <c r="S112" i="14"/>
  <c r="R112" i="14"/>
  <c r="T100" i="14"/>
  <c r="V76" i="14"/>
  <c r="N76" i="14"/>
  <c r="Q112" i="14"/>
  <c r="P88" i="14"/>
  <c r="U76" i="14"/>
  <c r="M76" i="14"/>
  <c r="O88" i="14"/>
  <c r="N52" i="21"/>
  <c r="U40" i="21"/>
  <c r="M52" i="21"/>
  <c r="W40" i="21"/>
  <c r="O64" i="35"/>
  <c r="W64" i="35"/>
  <c r="U88" i="35"/>
  <c r="M52" i="35"/>
  <c r="U52" i="35"/>
  <c r="Q52" i="35"/>
  <c r="M40" i="35"/>
  <c r="U40" i="35"/>
  <c r="S88" i="35"/>
  <c r="N88" i="35"/>
  <c r="O88" i="35"/>
  <c r="W88" i="35"/>
  <c r="M64" i="35"/>
  <c r="P64" i="35"/>
  <c r="N52" i="35"/>
  <c r="P88" i="35"/>
  <c r="R100" i="38"/>
  <c r="S28" i="38"/>
  <c r="M76" i="38"/>
  <c r="N16" i="38"/>
  <c r="V16" i="38"/>
  <c r="P100" i="38"/>
  <c r="Q100" i="38"/>
  <c r="U16" i="38"/>
  <c r="M28" i="38"/>
  <c r="U28" i="38"/>
  <c r="M100" i="38"/>
  <c r="U100" i="38"/>
  <c r="V28" i="38"/>
  <c r="V100" i="38"/>
  <c r="W28" i="38"/>
  <c r="W100" i="38"/>
  <c r="T16" i="38"/>
  <c r="U88" i="19"/>
  <c r="W40" i="19"/>
  <c r="V40" i="19"/>
  <c r="T52" i="19"/>
  <c r="N40" i="19"/>
  <c r="L112" i="19"/>
  <c r="M16" i="19"/>
  <c r="O16" i="19"/>
  <c r="M52" i="19"/>
  <c r="L88" i="19"/>
  <c r="V64" i="19"/>
  <c r="N64" i="19"/>
  <c r="R64" i="19"/>
  <c r="X68" i="19"/>
  <c r="L76" i="19"/>
  <c r="S100" i="19"/>
  <c r="P112" i="19"/>
  <c r="R76" i="19"/>
  <c r="O40" i="19"/>
  <c r="L40" i="19"/>
  <c r="O52" i="19"/>
  <c r="U64" i="19"/>
  <c r="T88" i="19"/>
  <c r="S40" i="19"/>
  <c r="N52" i="17"/>
  <c r="V52" i="17"/>
  <c r="S52" i="17"/>
  <c r="V88" i="18"/>
  <c r="T100" i="18"/>
  <c r="P88" i="18"/>
  <c r="S64" i="18"/>
  <c r="O112" i="18"/>
  <c r="N28" i="18"/>
  <c r="M112" i="18"/>
  <c r="U112" i="18"/>
  <c r="N88" i="18"/>
  <c r="T28" i="18"/>
  <c r="W64" i="18"/>
  <c r="N100" i="18"/>
  <c r="V100" i="18"/>
  <c r="S52" i="18"/>
  <c r="W52" i="18"/>
  <c r="W100" i="18"/>
  <c r="P100" i="18"/>
  <c r="T88" i="18"/>
  <c r="P28" i="18"/>
  <c r="S40" i="18"/>
  <c r="O40" i="18"/>
  <c r="W40" i="18"/>
  <c r="O52" i="18"/>
  <c r="L28" i="18"/>
  <c r="T112" i="18"/>
  <c r="M88" i="18"/>
  <c r="U64" i="18"/>
  <c r="U40" i="18"/>
  <c r="O100" i="18"/>
  <c r="V64" i="18"/>
  <c r="U88" i="18"/>
  <c r="U16" i="24"/>
  <c r="M16" i="24"/>
  <c r="P28" i="15"/>
  <c r="N28" i="15"/>
  <c r="W52" i="15"/>
  <c r="O52" i="15"/>
  <c r="M16" i="7"/>
  <c r="Q40" i="7"/>
  <c r="U16" i="7"/>
  <c r="P28" i="7"/>
  <c r="Q16" i="7"/>
  <c r="R16" i="7"/>
  <c r="L16" i="7"/>
  <c r="X104" i="18"/>
  <c r="M28" i="18"/>
  <c r="M76" i="18"/>
  <c r="P76" i="18"/>
  <c r="Q40" i="18"/>
  <c r="L88" i="18"/>
  <c r="X29" i="18"/>
  <c r="L76" i="18"/>
  <c r="R76" i="18"/>
  <c r="X136" i="18"/>
  <c r="O112" i="19"/>
  <c r="N112" i="19"/>
  <c r="Q112" i="19"/>
  <c r="T112" i="19"/>
  <c r="M100" i="19"/>
  <c r="L100" i="19"/>
  <c r="P100" i="19"/>
  <c r="Q100" i="19"/>
  <c r="W76" i="19"/>
  <c r="Q76" i="19"/>
  <c r="P76" i="19"/>
  <c r="O76" i="19"/>
  <c r="U76" i="19"/>
  <c r="T76" i="19"/>
  <c r="P76" i="38"/>
  <c r="T76" i="38"/>
  <c r="O76" i="38"/>
  <c r="S76" i="38"/>
  <c r="N40" i="38"/>
  <c r="L40" i="38"/>
  <c r="M40" i="38"/>
  <c r="V40" i="38"/>
  <c r="T40" i="38"/>
  <c r="P16" i="38"/>
  <c r="R16" i="38"/>
  <c r="S16" i="38"/>
  <c r="M16" i="38"/>
  <c r="N100" i="38"/>
  <c r="O100" i="38"/>
  <c r="S100" i="38"/>
  <c r="L100" i="38"/>
  <c r="L28" i="38"/>
  <c r="T28" i="38"/>
  <c r="N28" i="38"/>
  <c r="O28" i="38"/>
  <c r="W64" i="21"/>
  <c r="O64" i="21"/>
  <c r="R64" i="21"/>
  <c r="T52" i="21"/>
  <c r="T28" i="21"/>
  <c r="T40" i="21"/>
  <c r="O16" i="21"/>
  <c r="M16" i="21"/>
  <c r="L16" i="21"/>
  <c r="M28" i="21"/>
  <c r="O40" i="21"/>
  <c r="S16" i="21"/>
  <c r="L52" i="21"/>
  <c r="X56" i="21"/>
  <c r="V28" i="21"/>
  <c r="M40" i="21"/>
  <c r="U52" i="21"/>
  <c r="W28" i="21"/>
  <c r="P28" i="21"/>
  <c r="N40" i="21"/>
  <c r="V40" i="21"/>
  <c r="R40" i="21"/>
  <c r="L28" i="21"/>
  <c r="P16" i="21"/>
  <c r="V64" i="21"/>
  <c r="N64" i="21"/>
  <c r="R52" i="21"/>
  <c r="L40" i="21"/>
  <c r="U64" i="21"/>
  <c r="M64" i="21"/>
  <c r="T64" i="21"/>
  <c r="O28" i="21"/>
  <c r="N16" i="21"/>
  <c r="P40" i="21"/>
  <c r="S64" i="21"/>
  <c r="S28" i="21"/>
  <c r="Q64" i="21"/>
  <c r="U100" i="23"/>
  <c r="O100" i="23"/>
  <c r="M100" i="23"/>
  <c r="X89" i="23"/>
  <c r="T100" i="23"/>
  <c r="W88" i="23"/>
  <c r="O88" i="23"/>
  <c r="U88" i="23"/>
  <c r="R88" i="23"/>
  <c r="W52" i="23"/>
  <c r="L76" i="23"/>
  <c r="Q76" i="23"/>
  <c r="T40" i="23"/>
  <c r="P16" i="23"/>
  <c r="O28" i="23"/>
  <c r="N28" i="23"/>
  <c r="L28" i="23"/>
  <c r="W28" i="23"/>
  <c r="R88" i="19"/>
  <c r="Q88" i="19"/>
  <c r="P88" i="19"/>
  <c r="V52" i="24"/>
  <c r="M52" i="24"/>
  <c r="W76" i="14"/>
  <c r="W88" i="14"/>
  <c r="L100" i="14"/>
  <c r="M88" i="14"/>
  <c r="T64" i="14"/>
  <c r="N64" i="35"/>
  <c r="L64" i="35"/>
  <c r="R88" i="35"/>
  <c r="W40" i="35"/>
  <c r="P52" i="19"/>
  <c r="W52" i="19"/>
  <c r="N16" i="19"/>
  <c r="W16" i="30"/>
  <c r="O16" i="30"/>
  <c r="L3" i="30"/>
  <c r="E51" i="9" s="1"/>
  <c r="L16" i="30"/>
  <c r="N16" i="30"/>
  <c r="P16" i="30"/>
  <c r="S16" i="24"/>
  <c r="U2" i="24"/>
  <c r="N8" i="9" s="1"/>
  <c r="U52" i="24"/>
  <c r="W52" i="17"/>
  <c r="L3" i="17"/>
  <c r="E15" i="9" s="1"/>
  <c r="X89" i="18"/>
  <c r="U100" i="18"/>
  <c r="M100" i="18"/>
  <c r="R100" i="18"/>
  <c r="W88" i="18"/>
  <c r="S88" i="18"/>
  <c r="R88" i="18"/>
  <c r="O88" i="18"/>
  <c r="U76" i="18"/>
  <c r="Q76" i="18"/>
  <c r="X68" i="18"/>
  <c r="O76" i="18"/>
  <c r="P40" i="18"/>
  <c r="L40" i="18"/>
  <c r="T40" i="18"/>
  <c r="M40" i="18"/>
  <c r="R40" i="18"/>
  <c r="P112" i="18"/>
  <c r="S112" i="18"/>
  <c r="X53" i="18"/>
  <c r="P64" i="18"/>
  <c r="M64" i="18"/>
  <c r="O64" i="18"/>
  <c r="R64" i="18"/>
  <c r="U52" i="18"/>
  <c r="Q52" i="18"/>
  <c r="L52" i="18"/>
  <c r="M52" i="18"/>
  <c r="R52" i="18"/>
  <c r="Q28" i="18"/>
  <c r="R28" i="18"/>
  <c r="S28" i="18"/>
  <c r="N52" i="15"/>
  <c r="T52" i="15"/>
  <c r="M28" i="15"/>
  <c r="K40" i="7"/>
  <c r="V40" i="7"/>
  <c r="L28" i="7"/>
  <c r="X20" i="30"/>
  <c r="U64" i="35"/>
  <c r="V64" i="35"/>
  <c r="N2" i="17"/>
  <c r="G14" i="9" s="1"/>
  <c r="N3" i="17"/>
  <c r="G15" i="9" s="1"/>
  <c r="S28" i="24"/>
  <c r="Q28" i="24"/>
  <c r="L28" i="24"/>
  <c r="R100" i="14"/>
  <c r="U88" i="14"/>
  <c r="T76" i="14"/>
  <c r="T88" i="14"/>
  <c r="V88" i="14"/>
  <c r="N88" i="14"/>
  <c r="S76" i="14"/>
  <c r="W64" i="14"/>
  <c r="L76" i="14"/>
  <c r="R76" i="14"/>
  <c r="L64" i="14"/>
  <c r="O100" i="14"/>
  <c r="L88" i="14"/>
  <c r="W100" i="14"/>
  <c r="V100" i="14"/>
  <c r="N100" i="14"/>
  <c r="S88" i="14"/>
  <c r="R64" i="14"/>
  <c r="N64" i="14"/>
  <c r="V64" i="14"/>
  <c r="S64" i="14"/>
  <c r="U100" i="14"/>
  <c r="R88" i="14"/>
  <c r="M100" i="14"/>
  <c r="O76" i="14"/>
  <c r="T100" i="38"/>
  <c r="X77" i="23"/>
  <c r="S16" i="7"/>
  <c r="X92" i="14"/>
  <c r="S28" i="7"/>
  <c r="R28" i="24"/>
  <c r="T16" i="7"/>
  <c r="W8" i="7"/>
  <c r="W5" i="7"/>
  <c r="S40" i="7"/>
  <c r="N28" i="7"/>
  <c r="U28" i="7"/>
  <c r="T28" i="7"/>
  <c r="W29" i="7"/>
  <c r="M28" i="7"/>
  <c r="V16" i="21"/>
  <c r="W16" i="21"/>
  <c r="U16" i="21"/>
  <c r="T16" i="21"/>
  <c r="U28" i="24"/>
  <c r="W28" i="24"/>
  <c r="V2" i="24"/>
  <c r="O8" i="9" s="1"/>
  <c r="U56" i="24"/>
  <c r="V28" i="24"/>
  <c r="X20" i="24"/>
  <c r="T28" i="24"/>
  <c r="X20" i="21"/>
  <c r="S88" i="19"/>
  <c r="X101" i="14"/>
  <c r="S40" i="21"/>
  <c r="S76" i="18"/>
  <c r="X44" i="23"/>
  <c r="S52" i="35"/>
  <c r="S76" i="23"/>
  <c r="X17" i="23"/>
  <c r="S40" i="35"/>
  <c r="X65" i="18"/>
  <c r="S64" i="35"/>
  <c r="R40" i="7"/>
  <c r="P16" i="7"/>
  <c r="R28" i="7"/>
  <c r="N40" i="7"/>
  <c r="W17" i="7"/>
  <c r="V28" i="7"/>
  <c r="O16" i="7"/>
  <c r="N16" i="7"/>
  <c r="R16" i="21"/>
  <c r="X20" i="38"/>
  <c r="R64" i="35"/>
  <c r="R52" i="24"/>
  <c r="X32" i="35"/>
  <c r="R28" i="38"/>
  <c r="X89" i="38"/>
  <c r="Q28" i="7"/>
  <c r="W76" i="23"/>
  <c r="R76" i="23"/>
  <c r="R52" i="35"/>
  <c r="X44" i="35"/>
  <c r="R3" i="17"/>
  <c r="K15" i="9" s="1"/>
  <c r="R28" i="21"/>
  <c r="R52" i="23"/>
  <c r="R52" i="15"/>
  <c r="X32" i="18"/>
  <c r="R52" i="17"/>
  <c r="X80" i="18"/>
  <c r="X44" i="18"/>
  <c r="X17" i="38"/>
  <c r="X44" i="24"/>
  <c r="W32" i="7"/>
  <c r="X92" i="38"/>
  <c r="R76" i="38"/>
  <c r="M88" i="35"/>
  <c r="X17" i="35"/>
  <c r="Q64" i="35"/>
  <c r="Q88" i="35"/>
  <c r="X68" i="35"/>
  <c r="T64" i="35"/>
  <c r="P40" i="35"/>
  <c r="W28" i="15"/>
  <c r="V28" i="15"/>
  <c r="R28" i="15"/>
  <c r="T28" i="15"/>
  <c r="U52" i="15"/>
  <c r="S52" i="15"/>
  <c r="V52" i="15"/>
  <c r="S40" i="15"/>
  <c r="T40" i="15"/>
  <c r="X68" i="38"/>
  <c r="W76" i="38"/>
  <c r="V76" i="38"/>
  <c r="U76" i="38"/>
  <c r="X65" i="38"/>
  <c r="S40" i="23"/>
  <c r="R40" i="23"/>
  <c r="U16" i="23"/>
  <c r="S16" i="23"/>
  <c r="X5" i="23"/>
  <c r="U16" i="30"/>
  <c r="V16" i="30"/>
  <c r="T16" i="30"/>
  <c r="X8" i="30"/>
  <c r="R16" i="30"/>
  <c r="S16" i="30"/>
  <c r="R2" i="30"/>
  <c r="U40" i="38"/>
  <c r="W40" i="38"/>
  <c r="X32" i="38"/>
  <c r="S40" i="38"/>
  <c r="R40" i="38"/>
  <c r="X53" i="35"/>
  <c r="T88" i="35"/>
  <c r="U52" i="19"/>
  <c r="R52" i="19"/>
  <c r="X44" i="19"/>
  <c r="S52" i="19"/>
  <c r="X32" i="19"/>
  <c r="X8" i="19"/>
  <c r="T16" i="19"/>
  <c r="U16" i="19"/>
  <c r="V16" i="24"/>
  <c r="X8" i="24"/>
  <c r="X5" i="24"/>
  <c r="R16" i="24"/>
  <c r="X89" i="14"/>
  <c r="X77" i="14"/>
  <c r="S100" i="14"/>
  <c r="Q100" i="14"/>
  <c r="X65" i="14"/>
  <c r="X80" i="14"/>
  <c r="Q52" i="21"/>
  <c r="X65" i="35"/>
  <c r="Q40" i="21"/>
  <c r="Q64" i="14"/>
  <c r="X44" i="21"/>
  <c r="P40" i="7"/>
  <c r="Q40" i="35"/>
  <c r="X41" i="23"/>
  <c r="Q100" i="18"/>
  <c r="Q64" i="18"/>
  <c r="Q100" i="23"/>
  <c r="Q16" i="19"/>
  <c r="Q28" i="23"/>
  <c r="Q40" i="23"/>
  <c r="X29" i="35"/>
  <c r="W20" i="7"/>
  <c r="Q112" i="18"/>
  <c r="Q64" i="19"/>
  <c r="X68" i="23"/>
  <c r="Q28" i="15"/>
  <c r="Q40" i="19"/>
  <c r="Q16" i="23"/>
  <c r="Q16" i="30"/>
  <c r="O28" i="7"/>
  <c r="Q2" i="30"/>
  <c r="J50" i="9" s="1"/>
  <c r="Q88" i="14"/>
  <c r="Q40" i="15"/>
  <c r="Q88" i="23"/>
  <c r="X8" i="21"/>
  <c r="X5" i="30"/>
  <c r="X101" i="18"/>
  <c r="Q52" i="24"/>
  <c r="Q16" i="24"/>
  <c r="Q28" i="21"/>
  <c r="X17" i="15"/>
  <c r="Q52" i="19"/>
  <c r="Q76" i="38"/>
  <c r="X32" i="23"/>
  <c r="Q16" i="21"/>
  <c r="Q28" i="38"/>
  <c r="Q88" i="18"/>
  <c r="X41" i="17"/>
  <c r="X65" i="19"/>
  <c r="X104" i="14"/>
  <c r="Q76" i="14"/>
  <c r="X29" i="19"/>
  <c r="X29" i="15"/>
  <c r="Q52" i="15"/>
  <c r="X41" i="21"/>
  <c r="X32" i="21"/>
  <c r="Q16" i="38"/>
  <c r="X92" i="23"/>
  <c r="X8" i="38"/>
  <c r="Q52" i="17"/>
  <c r="X5" i="21"/>
  <c r="X17" i="24"/>
  <c r="X92" i="19"/>
  <c r="X28" i="17"/>
  <c r="X56" i="14"/>
  <c r="P100" i="14"/>
  <c r="R124" i="18"/>
  <c r="V76" i="17"/>
  <c r="S76" i="17"/>
  <c r="T52" i="17"/>
  <c r="W76" i="17"/>
  <c r="L52" i="17"/>
  <c r="P52" i="35"/>
  <c r="X41" i="35"/>
  <c r="X29" i="23"/>
  <c r="X89" i="19"/>
  <c r="X56" i="18"/>
  <c r="X53" i="19"/>
  <c r="P40" i="15"/>
  <c r="P64" i="14"/>
  <c r="P100" i="23"/>
  <c r="X101" i="19"/>
  <c r="X41" i="19"/>
  <c r="P52" i="18"/>
  <c r="P76" i="23"/>
  <c r="X80" i="19"/>
  <c r="P124" i="18"/>
  <c r="X56" i="35"/>
  <c r="P3" i="30"/>
  <c r="X53" i="14"/>
  <c r="X20" i="15"/>
  <c r="P76" i="14"/>
  <c r="P64" i="21"/>
  <c r="P28" i="24"/>
  <c r="P64" i="19"/>
  <c r="P28" i="38"/>
  <c r="P16" i="19"/>
  <c r="T76" i="17"/>
  <c r="U76" i="17"/>
  <c r="P76" i="17"/>
  <c r="O52" i="24"/>
  <c r="P52" i="15"/>
  <c r="P2" i="17"/>
  <c r="I14" i="9" s="1"/>
  <c r="P2" i="30"/>
  <c r="P52" i="21"/>
  <c r="P52" i="17"/>
  <c r="X5" i="19"/>
  <c r="X80" i="23"/>
  <c r="X41" i="24"/>
  <c r="X5" i="38"/>
  <c r="X77" i="19"/>
  <c r="X68" i="14"/>
  <c r="X29" i="21"/>
  <c r="X29" i="38"/>
  <c r="X53" i="21"/>
  <c r="X113" i="19"/>
  <c r="X56" i="19"/>
  <c r="T124" i="18"/>
  <c r="X113" i="18"/>
  <c r="U124" i="18"/>
  <c r="V124" i="18"/>
  <c r="X116" i="18"/>
  <c r="X116" i="19"/>
  <c r="M52" i="15"/>
  <c r="L40" i="15"/>
  <c r="R40" i="15"/>
  <c r="M40" i="15"/>
  <c r="L28" i="15"/>
  <c r="X41" i="15"/>
  <c r="T3" i="17"/>
  <c r="M15" i="9" s="1"/>
  <c r="X68" i="17"/>
  <c r="Q76" i="17"/>
  <c r="V2" i="17"/>
  <c r="O14" i="9" s="1"/>
  <c r="R76" i="17"/>
  <c r="X65" i="17"/>
  <c r="X92" i="18"/>
  <c r="O64" i="14"/>
  <c r="O76" i="17"/>
  <c r="O40" i="38"/>
  <c r="X77" i="18"/>
  <c r="X41" i="18"/>
  <c r="X8" i="23"/>
  <c r="X20" i="23"/>
  <c r="O52" i="17"/>
  <c r="X44" i="17"/>
  <c r="O88" i="19"/>
  <c r="X17" i="21"/>
  <c r="X104" i="19"/>
  <c r="O64" i="19"/>
  <c r="X65" i="23"/>
  <c r="X32" i="15"/>
  <c r="N40" i="15"/>
  <c r="X44" i="15"/>
  <c r="O28" i="15"/>
  <c r="X28" i="18" l="1"/>
  <c r="U105" i="30"/>
  <c r="L106" i="30"/>
  <c r="R103" i="30"/>
  <c r="W103" i="30"/>
  <c r="X105" i="30"/>
  <c r="V103" i="30"/>
  <c r="S103" i="30"/>
  <c r="S2" i="30"/>
  <c r="L50" i="9" s="1"/>
  <c r="L52" i="9" s="1"/>
  <c r="U103" i="30"/>
  <c r="U104" i="30"/>
  <c r="R104" i="30"/>
  <c r="X104" i="30" s="1"/>
  <c r="X137" i="35"/>
  <c r="X140" i="35" s="1"/>
  <c r="U2" i="30"/>
  <c r="R2" i="15"/>
  <c r="K5" i="9" s="1"/>
  <c r="X138" i="35"/>
  <c r="X141" i="35" s="1"/>
  <c r="L91" i="15"/>
  <c r="X92" i="15"/>
  <c r="M91" i="15"/>
  <c r="W2" i="30"/>
  <c r="P50" i="9" s="1"/>
  <c r="R3" i="30"/>
  <c r="K51" i="9" s="1"/>
  <c r="T127" i="7"/>
  <c r="N79" i="21"/>
  <c r="M2" i="15"/>
  <c r="F5" i="9" s="1"/>
  <c r="F7" i="9" s="1"/>
  <c r="S163" i="23"/>
  <c r="X137" i="18"/>
  <c r="X53" i="24"/>
  <c r="X56" i="24" s="1"/>
  <c r="X138" i="18"/>
  <c r="X54" i="24"/>
  <c r="X57" i="24" s="1"/>
  <c r="L56" i="24"/>
  <c r="L2" i="18"/>
  <c r="L3" i="18"/>
  <c r="E12" i="9" s="1"/>
  <c r="V127" i="7"/>
  <c r="X28" i="35"/>
  <c r="X90" i="15"/>
  <c r="X93" i="15" s="1"/>
  <c r="T91" i="17"/>
  <c r="W55" i="24"/>
  <c r="W4" i="24" s="1"/>
  <c r="L57" i="24"/>
  <c r="L55" i="24"/>
  <c r="U91" i="17"/>
  <c r="V3" i="17"/>
  <c r="O15" i="9" s="1"/>
  <c r="W2" i="17"/>
  <c r="P14" i="9" s="1"/>
  <c r="M91" i="17"/>
  <c r="O91" i="17"/>
  <c r="R115" i="38"/>
  <c r="P127" i="7"/>
  <c r="W28" i="7"/>
  <c r="N127" i="7"/>
  <c r="N128" i="7"/>
  <c r="U127" i="7"/>
  <c r="L127" i="7"/>
  <c r="R2" i="24"/>
  <c r="M55" i="24"/>
  <c r="U3" i="30"/>
  <c r="N51" i="9" s="1"/>
  <c r="V3" i="30"/>
  <c r="O51" i="9" s="1"/>
  <c r="O65" i="9" s="1"/>
  <c r="O9" i="42" s="1"/>
  <c r="W3" i="30"/>
  <c r="P51" i="9" s="1"/>
  <c r="X100" i="23"/>
  <c r="N163" i="23"/>
  <c r="V163" i="23"/>
  <c r="L2" i="23"/>
  <c r="E47" i="9" s="1"/>
  <c r="V2" i="23"/>
  <c r="V4" i="23" s="1"/>
  <c r="U163" i="23"/>
  <c r="M79" i="21"/>
  <c r="T79" i="21"/>
  <c r="S79" i="21"/>
  <c r="U79" i="21"/>
  <c r="W79" i="21"/>
  <c r="T2" i="21"/>
  <c r="M44" i="9" s="1"/>
  <c r="W2" i="21"/>
  <c r="P44" i="9" s="1"/>
  <c r="N2" i="21"/>
  <c r="G44" i="9" s="1"/>
  <c r="G46" i="9" s="1"/>
  <c r="W3" i="21"/>
  <c r="P45" i="9" s="1"/>
  <c r="V79" i="21"/>
  <c r="P79" i="21"/>
  <c r="R79" i="21"/>
  <c r="T3" i="21"/>
  <c r="M45" i="9" s="1"/>
  <c r="M65" i="9" s="1"/>
  <c r="M9" i="42" s="1"/>
  <c r="S3" i="21"/>
  <c r="L45" i="9" s="1"/>
  <c r="O211" i="14"/>
  <c r="P211" i="14"/>
  <c r="U211" i="14"/>
  <c r="N211" i="14"/>
  <c r="P3" i="14"/>
  <c r="I33" i="9" s="1"/>
  <c r="M211" i="14"/>
  <c r="S115" i="38"/>
  <c r="P115" i="38"/>
  <c r="G22" i="9"/>
  <c r="K22" i="9"/>
  <c r="S127" i="19"/>
  <c r="U127" i="19"/>
  <c r="M127" i="19"/>
  <c r="M2" i="19"/>
  <c r="V127" i="19"/>
  <c r="V2" i="19"/>
  <c r="O23" i="9" s="1"/>
  <c r="W127" i="19"/>
  <c r="Q2" i="17"/>
  <c r="J14" i="9" s="1"/>
  <c r="P3" i="17"/>
  <c r="I15" i="9" s="1"/>
  <c r="R91" i="17"/>
  <c r="O139" i="18"/>
  <c r="U3" i="24"/>
  <c r="M3" i="24"/>
  <c r="F9" i="9" s="1"/>
  <c r="T55" i="24"/>
  <c r="T4" i="24" s="1"/>
  <c r="L4" i="15"/>
  <c r="L2" i="15"/>
  <c r="E5" i="9" s="1"/>
  <c r="K128" i="7"/>
  <c r="O2" i="7"/>
  <c r="I35" i="9" s="1"/>
  <c r="V2" i="7"/>
  <c r="P35" i="9" s="1"/>
  <c r="W125" i="7"/>
  <c r="U2" i="7"/>
  <c r="O35" i="9" s="1"/>
  <c r="Q128" i="7"/>
  <c r="S127" i="7"/>
  <c r="Q2" i="7"/>
  <c r="K35" i="9" s="1"/>
  <c r="K127" i="7"/>
  <c r="O127" i="7"/>
  <c r="W40" i="7"/>
  <c r="T127" i="19"/>
  <c r="T115" i="38"/>
  <c r="S211" i="14"/>
  <c r="S2" i="14"/>
  <c r="L32" i="9" s="1"/>
  <c r="S55" i="24"/>
  <c r="S4" i="24" s="1"/>
  <c r="S2" i="24"/>
  <c r="X28" i="30"/>
  <c r="S3" i="23"/>
  <c r="L48" i="9" s="1"/>
  <c r="R3" i="21"/>
  <c r="K45" i="9" s="1"/>
  <c r="R127" i="19"/>
  <c r="R3" i="19"/>
  <c r="M3" i="30"/>
  <c r="O127" i="19"/>
  <c r="R139" i="35"/>
  <c r="W139" i="35"/>
  <c r="U140" i="35"/>
  <c r="Q139" i="35"/>
  <c r="N139" i="35"/>
  <c r="S139" i="35"/>
  <c r="R141" i="35"/>
  <c r="V139" i="35"/>
  <c r="R2" i="35"/>
  <c r="K29" i="9" s="1"/>
  <c r="N3" i="35"/>
  <c r="M139" i="35"/>
  <c r="T3" i="35"/>
  <c r="M30" i="9" s="1"/>
  <c r="O139" i="35"/>
  <c r="O141" i="35"/>
  <c r="O140" i="35"/>
  <c r="W3" i="35"/>
  <c r="P30" i="9" s="1"/>
  <c r="R140" i="35"/>
  <c r="T139" i="35"/>
  <c r="L139" i="35"/>
  <c r="L140" i="35"/>
  <c r="U139" i="35"/>
  <c r="U141" i="35"/>
  <c r="P139" i="35"/>
  <c r="L141" i="35"/>
  <c r="X76" i="35"/>
  <c r="T2" i="35"/>
  <c r="M29" i="9" s="1"/>
  <c r="S3" i="35"/>
  <c r="L30" i="9" s="1"/>
  <c r="O2" i="35"/>
  <c r="H29" i="9" s="1"/>
  <c r="U213" i="14"/>
  <c r="V211" i="14"/>
  <c r="T211" i="14"/>
  <c r="L211" i="14"/>
  <c r="L212" i="14"/>
  <c r="X209" i="14"/>
  <c r="X212" i="14" s="1"/>
  <c r="Q211" i="14"/>
  <c r="R213" i="14"/>
  <c r="X210" i="14"/>
  <c r="X213" i="14" s="1"/>
  <c r="L213" i="14"/>
  <c r="O212" i="14"/>
  <c r="O213" i="14"/>
  <c r="W211" i="14"/>
  <c r="R212" i="14"/>
  <c r="R211" i="14"/>
  <c r="U212" i="14"/>
  <c r="Q79" i="21"/>
  <c r="Q115" i="38"/>
  <c r="O92" i="17"/>
  <c r="Q55" i="24"/>
  <c r="Q4" i="24" s="1"/>
  <c r="Q127" i="19"/>
  <c r="X28" i="38"/>
  <c r="M115" i="38"/>
  <c r="Q127" i="7"/>
  <c r="N127" i="19"/>
  <c r="O115" i="38"/>
  <c r="P127" i="19"/>
  <c r="X76" i="19"/>
  <c r="R139" i="18"/>
  <c r="P139" i="18"/>
  <c r="X100" i="18"/>
  <c r="O3" i="18"/>
  <c r="H12" i="9" s="1"/>
  <c r="U139" i="18"/>
  <c r="M163" i="23"/>
  <c r="P2" i="19"/>
  <c r="P55" i="24"/>
  <c r="P2" i="35"/>
  <c r="O55" i="24"/>
  <c r="O4" i="24" s="1"/>
  <c r="O2" i="24"/>
  <c r="X113" i="38"/>
  <c r="X116" i="38" s="1"/>
  <c r="T139" i="18"/>
  <c r="S139" i="18"/>
  <c r="W139" i="18"/>
  <c r="Q139" i="18"/>
  <c r="V139" i="18"/>
  <c r="U2" i="35"/>
  <c r="N29" i="9" s="1"/>
  <c r="T3" i="7"/>
  <c r="N36" i="9" s="1"/>
  <c r="N55" i="24"/>
  <c r="N4" i="24" s="1"/>
  <c r="N139" i="18"/>
  <c r="M127" i="7"/>
  <c r="Q3" i="7"/>
  <c r="K36" i="9" s="1"/>
  <c r="O3" i="7"/>
  <c r="I36" i="9" s="1"/>
  <c r="U3" i="7"/>
  <c r="O36" i="9" s="1"/>
  <c r="O2" i="38"/>
  <c r="H41" i="9" s="1"/>
  <c r="W115" i="38"/>
  <c r="V115" i="38"/>
  <c r="N115" i="38"/>
  <c r="U115" i="38"/>
  <c r="L3" i="7"/>
  <c r="M139" i="18"/>
  <c r="V2" i="38"/>
  <c r="O41" i="9" s="1"/>
  <c r="N3" i="23"/>
  <c r="G48" i="9" s="1"/>
  <c r="O2" i="14"/>
  <c r="H32" i="9" s="1"/>
  <c r="U116" i="38"/>
  <c r="L115" i="38"/>
  <c r="M2" i="24"/>
  <c r="F8" i="9" s="1"/>
  <c r="K3" i="7"/>
  <c r="E36" i="9" s="1"/>
  <c r="W126" i="7"/>
  <c r="L127" i="19"/>
  <c r="L2" i="19"/>
  <c r="E23" i="9" s="1"/>
  <c r="L128" i="19"/>
  <c r="L2" i="24"/>
  <c r="E8" i="9" s="1"/>
  <c r="L139" i="18"/>
  <c r="P10" i="9"/>
  <c r="O3" i="30"/>
  <c r="H51" i="9" s="1"/>
  <c r="V2" i="30"/>
  <c r="O50" i="9" s="1"/>
  <c r="X88" i="23"/>
  <c r="Q163" i="23"/>
  <c r="P163" i="23"/>
  <c r="W163" i="23"/>
  <c r="O163" i="23"/>
  <c r="T163" i="23"/>
  <c r="R163" i="23"/>
  <c r="G51" i="9"/>
  <c r="N4" i="30"/>
  <c r="Q3" i="30"/>
  <c r="L2" i="30"/>
  <c r="E50" i="9" s="1"/>
  <c r="E52" i="9" s="1"/>
  <c r="X52" i="23"/>
  <c r="T2" i="14"/>
  <c r="M32" i="9" s="1"/>
  <c r="R3" i="14"/>
  <c r="K33" i="9" s="1"/>
  <c r="X112" i="14"/>
  <c r="P2" i="14"/>
  <c r="I32" i="9" s="1"/>
  <c r="W2" i="14"/>
  <c r="P32" i="9" s="1"/>
  <c r="O22" i="9"/>
  <c r="X100" i="19"/>
  <c r="O2" i="17"/>
  <c r="H14" i="9" s="1"/>
  <c r="U92" i="17"/>
  <c r="X112" i="18"/>
  <c r="X40" i="18"/>
  <c r="X88" i="18"/>
  <c r="X76" i="18"/>
  <c r="G10" i="9"/>
  <c r="W16" i="7"/>
  <c r="R127" i="7"/>
  <c r="M4" i="15"/>
  <c r="Q2" i="14"/>
  <c r="O3" i="14"/>
  <c r="H33" i="9" s="1"/>
  <c r="M3" i="14"/>
  <c r="F33" i="9" s="1"/>
  <c r="L2" i="14"/>
  <c r="E32" i="9" s="1"/>
  <c r="G25" i="9"/>
  <c r="L129" i="19"/>
  <c r="U128" i="19"/>
  <c r="T2" i="19"/>
  <c r="M23" i="9" s="1"/>
  <c r="N4" i="19"/>
  <c r="T3" i="19"/>
  <c r="M24" i="9" s="1"/>
  <c r="E43" i="9"/>
  <c r="L116" i="38"/>
  <c r="V3" i="38"/>
  <c r="O42" i="9" s="1"/>
  <c r="L4" i="38"/>
  <c r="L117" i="38"/>
  <c r="N43" i="9"/>
  <c r="M4" i="38"/>
  <c r="F43" i="9"/>
  <c r="N2" i="38"/>
  <c r="G41" i="9" s="1"/>
  <c r="T3" i="38"/>
  <c r="M42" i="9" s="1"/>
  <c r="T2" i="38"/>
  <c r="M41" i="9" s="1"/>
  <c r="U80" i="21"/>
  <c r="X28" i="21"/>
  <c r="X64" i="21"/>
  <c r="L79" i="21"/>
  <c r="U81" i="21"/>
  <c r="U2" i="21"/>
  <c r="N44" i="9" s="1"/>
  <c r="L2" i="21"/>
  <c r="E44" i="9" s="1"/>
  <c r="L81" i="21"/>
  <c r="V4" i="21"/>
  <c r="O46" i="9"/>
  <c r="L164" i="23"/>
  <c r="M3" i="23"/>
  <c r="F48" i="9" s="1"/>
  <c r="L165" i="23"/>
  <c r="W4" i="23"/>
  <c r="L3" i="23"/>
  <c r="E48" i="9" s="1"/>
  <c r="E65" i="9" s="1"/>
  <c r="E9" i="42" s="1"/>
  <c r="U165" i="23"/>
  <c r="U164" i="23"/>
  <c r="G47" i="9"/>
  <c r="X28" i="23"/>
  <c r="R57" i="24"/>
  <c r="X52" i="35"/>
  <c r="X40" i="35"/>
  <c r="U3" i="19"/>
  <c r="L3" i="19"/>
  <c r="E24" i="9" s="1"/>
  <c r="X16" i="19"/>
  <c r="U4" i="24"/>
  <c r="L3" i="24"/>
  <c r="E9" i="9" s="1"/>
  <c r="T2" i="24"/>
  <c r="M8" i="9" s="1"/>
  <c r="X64" i="18"/>
  <c r="W2" i="18"/>
  <c r="L141" i="18"/>
  <c r="U140" i="18"/>
  <c r="U2" i="18"/>
  <c r="N11" i="9" s="1"/>
  <c r="R141" i="18"/>
  <c r="S3" i="18"/>
  <c r="O2" i="18"/>
  <c r="H11" i="9" s="1"/>
  <c r="T129" i="7"/>
  <c r="K129" i="7"/>
  <c r="M2" i="21"/>
  <c r="L80" i="21"/>
  <c r="X89" i="17"/>
  <c r="T2" i="17"/>
  <c r="M14" i="9" s="1"/>
  <c r="R92" i="17"/>
  <c r="R3" i="18"/>
  <c r="G13" i="9"/>
  <c r="N4" i="18"/>
  <c r="O140" i="18"/>
  <c r="P2" i="18"/>
  <c r="L140" i="18"/>
  <c r="F13" i="9"/>
  <c r="M4" i="18"/>
  <c r="X100" i="14"/>
  <c r="M2" i="14"/>
  <c r="F32" i="9" s="1"/>
  <c r="U2" i="14"/>
  <c r="V2" i="14"/>
  <c r="O32" i="9" s="1"/>
  <c r="T3" i="14"/>
  <c r="M33" i="9" s="1"/>
  <c r="V3" i="14"/>
  <c r="O33" i="9" s="1"/>
  <c r="S3" i="7"/>
  <c r="R140" i="18"/>
  <c r="X40" i="38"/>
  <c r="R117" i="38"/>
  <c r="X64" i="35"/>
  <c r="V3" i="24"/>
  <c r="R56" i="24"/>
  <c r="X28" i="24"/>
  <c r="T3" i="24"/>
  <c r="M9" i="9" s="1"/>
  <c r="N45" i="9"/>
  <c r="U57" i="24"/>
  <c r="R128" i="19"/>
  <c r="S2" i="38"/>
  <c r="X100" i="38"/>
  <c r="L44" i="9"/>
  <c r="T2" i="7"/>
  <c r="N35" i="9" s="1"/>
  <c r="T128" i="7"/>
  <c r="R3" i="7"/>
  <c r="M2" i="7"/>
  <c r="G35" i="9" s="1"/>
  <c r="U93" i="17"/>
  <c r="R3" i="38"/>
  <c r="K42" i="9" s="1"/>
  <c r="Q129" i="7"/>
  <c r="X76" i="14"/>
  <c r="X88" i="35"/>
  <c r="X52" i="18"/>
  <c r="R2" i="21"/>
  <c r="K44" i="9" s="1"/>
  <c r="R80" i="21"/>
  <c r="X16" i="30"/>
  <c r="X112" i="19"/>
  <c r="X40" i="19"/>
  <c r="R81" i="21"/>
  <c r="R93" i="17"/>
  <c r="X52" i="24"/>
  <c r="X88" i="14"/>
  <c r="O3" i="35"/>
  <c r="H30" i="9" s="1"/>
  <c r="L2" i="35"/>
  <c r="E29" i="9" s="1"/>
  <c r="L3" i="35"/>
  <c r="E30" i="9" s="1"/>
  <c r="M2" i="35"/>
  <c r="U2" i="23"/>
  <c r="N47" i="9" s="1"/>
  <c r="R91" i="15"/>
  <c r="R4" i="15" s="1"/>
  <c r="V91" i="15"/>
  <c r="V4" i="15" s="1"/>
  <c r="R3" i="15"/>
  <c r="K6" i="9" s="1"/>
  <c r="R93" i="15"/>
  <c r="V2" i="15"/>
  <c r="O5" i="9" s="1"/>
  <c r="X40" i="15"/>
  <c r="U117" i="38"/>
  <c r="X76" i="38"/>
  <c r="R2" i="38"/>
  <c r="K41" i="9" s="1"/>
  <c r="R116" i="38"/>
  <c r="S2" i="23"/>
  <c r="P47" i="9"/>
  <c r="X161" i="23"/>
  <c r="R164" i="23"/>
  <c r="R165" i="23"/>
  <c r="X16" i="23"/>
  <c r="M47" i="9"/>
  <c r="T4" i="23"/>
  <c r="R4" i="23"/>
  <c r="K47" i="9"/>
  <c r="T2" i="30"/>
  <c r="N50" i="9"/>
  <c r="K50" i="9"/>
  <c r="U4" i="38"/>
  <c r="W4" i="38"/>
  <c r="P43" i="9"/>
  <c r="U3" i="35"/>
  <c r="N30" i="9" s="1"/>
  <c r="S3" i="19"/>
  <c r="R129" i="19"/>
  <c r="U129" i="19"/>
  <c r="X52" i="19"/>
  <c r="W3" i="19"/>
  <c r="V4" i="24"/>
  <c r="X16" i="24"/>
  <c r="L3" i="14"/>
  <c r="E33" i="9" s="1"/>
  <c r="N2" i="14"/>
  <c r="G32" i="9" s="1"/>
  <c r="X52" i="21"/>
  <c r="O141" i="18"/>
  <c r="Q2" i="35"/>
  <c r="X76" i="23"/>
  <c r="X16" i="21"/>
  <c r="O116" i="38"/>
  <c r="X52" i="17"/>
  <c r="X40" i="21"/>
  <c r="X28" i="15"/>
  <c r="Q91" i="15"/>
  <c r="Q4" i="15" s="1"/>
  <c r="X40" i="23"/>
  <c r="P3" i="7"/>
  <c r="X64" i="19"/>
  <c r="X52" i="15"/>
  <c r="X124" i="19"/>
  <c r="X88" i="19"/>
  <c r="Q2" i="19"/>
  <c r="J23" i="9" s="1"/>
  <c r="Q4" i="23"/>
  <c r="J47" i="9"/>
  <c r="Q2" i="24"/>
  <c r="X16" i="38"/>
  <c r="Q2" i="18"/>
  <c r="J11" i="9" s="1"/>
  <c r="J7" i="9"/>
  <c r="X64" i="14"/>
  <c r="Q2" i="21"/>
  <c r="Q4" i="38"/>
  <c r="J43" i="9"/>
  <c r="S2" i="17"/>
  <c r="U3" i="17"/>
  <c r="N15" i="9" s="1"/>
  <c r="Q3" i="17"/>
  <c r="J15" i="9" s="1"/>
  <c r="L2" i="17"/>
  <c r="L92" i="17"/>
  <c r="N4" i="17"/>
  <c r="G16" i="9"/>
  <c r="O164" i="23"/>
  <c r="O92" i="15"/>
  <c r="P91" i="15"/>
  <c r="P4" i="15" s="1"/>
  <c r="O129" i="19"/>
  <c r="X126" i="19"/>
  <c r="X129" i="19" s="1"/>
  <c r="O93" i="17"/>
  <c r="I51" i="9"/>
  <c r="I65" i="9" s="1"/>
  <c r="I9" i="42" s="1"/>
  <c r="O56" i="24"/>
  <c r="O117" i="38"/>
  <c r="X114" i="38"/>
  <c r="X117" i="38" s="1"/>
  <c r="M28" i="9"/>
  <c r="O57" i="24"/>
  <c r="P3" i="24"/>
  <c r="I9" i="9" s="1"/>
  <c r="P3" i="15"/>
  <c r="I6" i="9" s="1"/>
  <c r="P2" i="21"/>
  <c r="P2" i="23"/>
  <c r="P4" i="38"/>
  <c r="I43" i="9"/>
  <c r="P4" i="30"/>
  <c r="I50" i="9"/>
  <c r="N129" i="7"/>
  <c r="I28" i="9"/>
  <c r="F28" i="9"/>
  <c r="N28" i="9"/>
  <c r="J28" i="9"/>
  <c r="P28" i="9"/>
  <c r="K28" i="9"/>
  <c r="L28" i="9"/>
  <c r="X124" i="18"/>
  <c r="O13" i="9"/>
  <c r="V4" i="18"/>
  <c r="U3" i="18"/>
  <c r="N12" i="9" s="1"/>
  <c r="U141" i="18"/>
  <c r="T4" i="18"/>
  <c r="M13" i="9"/>
  <c r="U93" i="15"/>
  <c r="W91" i="15"/>
  <c r="W4" i="15" s="1"/>
  <c r="R3" i="35"/>
  <c r="K30" i="9" s="1"/>
  <c r="O31" i="9"/>
  <c r="V4" i="35"/>
  <c r="X76" i="17"/>
  <c r="R4" i="17"/>
  <c r="O93" i="15"/>
  <c r="N3" i="7"/>
  <c r="H36" i="9" s="1"/>
  <c r="H47" i="9"/>
  <c r="O2" i="15"/>
  <c r="H5" i="9" s="1"/>
  <c r="O3" i="23"/>
  <c r="O4" i="23" s="1"/>
  <c r="O165" i="23"/>
  <c r="X162" i="23"/>
  <c r="O91" i="15"/>
  <c r="O4" i="15" s="1"/>
  <c r="O2" i="30"/>
  <c r="O81" i="21"/>
  <c r="O3" i="21"/>
  <c r="X78" i="21"/>
  <c r="O2" i="19"/>
  <c r="H23" i="9" s="1"/>
  <c r="X125" i="19"/>
  <c r="X128" i="19" s="1"/>
  <c r="O128" i="19"/>
  <c r="O80" i="21"/>
  <c r="X77" i="21"/>
  <c r="O2" i="21"/>
  <c r="N91" i="15"/>
  <c r="N4" i="15" s="1"/>
  <c r="L92" i="15"/>
  <c r="G7" i="9"/>
  <c r="U91" i="15"/>
  <c r="U92" i="15"/>
  <c r="U2" i="15"/>
  <c r="N5" i="9" s="1"/>
  <c r="L93" i="15"/>
  <c r="L3" i="15"/>
  <c r="T91" i="15"/>
  <c r="T4" i="15" s="1"/>
  <c r="T2" i="15"/>
  <c r="M5" i="9" s="1"/>
  <c r="P7" i="9"/>
  <c r="S91" i="15"/>
  <c r="S2" i="15"/>
  <c r="L5" i="9" s="1"/>
  <c r="R92" i="15"/>
  <c r="X90" i="17"/>
  <c r="L93" i="17"/>
  <c r="M3" i="17"/>
  <c r="F15" i="9" s="1"/>
  <c r="X103" i="30" l="1"/>
  <c r="U106" i="30"/>
  <c r="S4" i="30"/>
  <c r="R106" i="30"/>
  <c r="W4" i="17"/>
  <c r="P52" i="9"/>
  <c r="F29" i="9"/>
  <c r="F31" i="9" s="1"/>
  <c r="X2" i="35"/>
  <c r="I23" i="9"/>
  <c r="I25" i="9" s="1"/>
  <c r="R4" i="30"/>
  <c r="N65" i="9"/>
  <c r="N9" i="42" s="1"/>
  <c r="K52" i="9"/>
  <c r="K65" i="9"/>
  <c r="K9" i="42" s="1"/>
  <c r="F23" i="9"/>
  <c r="F25" i="9" s="1"/>
  <c r="S4" i="38"/>
  <c r="L41" i="9"/>
  <c r="L43" i="9" s="1"/>
  <c r="G64" i="9"/>
  <c r="G8" i="42" s="1"/>
  <c r="S4" i="17"/>
  <c r="L14" i="9"/>
  <c r="L16" i="9" s="1"/>
  <c r="X140" i="18"/>
  <c r="P11" i="9"/>
  <c r="P13" i="9" s="1"/>
  <c r="I11" i="9"/>
  <c r="I13" i="9" s="1"/>
  <c r="L8" i="9"/>
  <c r="L10" i="9" s="1"/>
  <c r="J8" i="9"/>
  <c r="J10" i="9" s="1"/>
  <c r="H8" i="9"/>
  <c r="H10" i="9" s="1"/>
  <c r="K8" i="9"/>
  <c r="U4" i="14"/>
  <c r="N32" i="9"/>
  <c r="N2" i="9" s="1"/>
  <c r="Q4" i="14"/>
  <c r="J32" i="9"/>
  <c r="K24" i="9"/>
  <c r="K25" i="9" s="1"/>
  <c r="P24" i="9"/>
  <c r="P25" i="9" s="1"/>
  <c r="N24" i="9"/>
  <c r="N25" i="9" s="1"/>
  <c r="L24" i="9"/>
  <c r="L25" i="9" s="1"/>
  <c r="V4" i="17"/>
  <c r="X139" i="18"/>
  <c r="S4" i="18"/>
  <c r="L12" i="9"/>
  <c r="X141" i="18"/>
  <c r="R4" i="18"/>
  <c r="K12" i="9"/>
  <c r="O9" i="9"/>
  <c r="O10" i="9" s="1"/>
  <c r="N9" i="9"/>
  <c r="N10" i="9" s="1"/>
  <c r="N64" i="9"/>
  <c r="N8" i="42" s="1"/>
  <c r="P64" i="9"/>
  <c r="L65" i="9"/>
  <c r="L9" i="42" s="1"/>
  <c r="G2" i="9"/>
  <c r="K64" i="9"/>
  <c r="K8" i="42" s="1"/>
  <c r="G52" i="9"/>
  <c r="G65" i="9"/>
  <c r="G9" i="42" s="1"/>
  <c r="O3" i="9"/>
  <c r="P4" i="35"/>
  <c r="I29" i="9"/>
  <c r="I31" i="9" s="1"/>
  <c r="G30" i="9"/>
  <c r="G3" i="9" s="1"/>
  <c r="Q4" i="35"/>
  <c r="J29" i="9"/>
  <c r="L4" i="7"/>
  <c r="F36" i="9"/>
  <c r="F37" i="9" s="1"/>
  <c r="I3" i="9"/>
  <c r="E64" i="9"/>
  <c r="E8" i="42" s="1"/>
  <c r="Q5" i="9"/>
  <c r="L4" i="24"/>
  <c r="X55" i="24"/>
  <c r="X58" i="24" s="1"/>
  <c r="P46" i="9"/>
  <c r="P65" i="9"/>
  <c r="P9" i="42" s="1"/>
  <c r="P4" i="7"/>
  <c r="J36" i="9"/>
  <c r="L36" i="9"/>
  <c r="T130" i="7"/>
  <c r="S4" i="7"/>
  <c r="M36" i="9"/>
  <c r="M3" i="9" s="1"/>
  <c r="O16" i="9"/>
  <c r="M9" i="39"/>
  <c r="O4" i="7"/>
  <c r="O37" i="9"/>
  <c r="P16" i="9"/>
  <c r="O4" i="17"/>
  <c r="J16" i="9"/>
  <c r="I16" i="9"/>
  <c r="O4" i="38"/>
  <c r="P34" i="9"/>
  <c r="L34" i="9"/>
  <c r="F10" i="9"/>
  <c r="M4" i="24"/>
  <c r="L58" i="24"/>
  <c r="L22" i="9"/>
  <c r="V4" i="7"/>
  <c r="U4" i="7"/>
  <c r="U4" i="30"/>
  <c r="O52" i="9"/>
  <c r="W4" i="30"/>
  <c r="N52" i="9"/>
  <c r="O47" i="9"/>
  <c r="O64" i="9" s="1"/>
  <c r="O8" i="42" s="1"/>
  <c r="S4" i="21"/>
  <c r="N4" i="21"/>
  <c r="W4" i="21"/>
  <c r="T4" i="21"/>
  <c r="S4" i="14"/>
  <c r="P4" i="14"/>
  <c r="N22" i="9"/>
  <c r="O25" i="9"/>
  <c r="M4" i="19"/>
  <c r="V4" i="19"/>
  <c r="P4" i="17"/>
  <c r="Q4" i="7"/>
  <c r="L31" i="9"/>
  <c r="R4" i="19"/>
  <c r="K37" i="9"/>
  <c r="V4" i="30"/>
  <c r="F51" i="9"/>
  <c r="M4" i="30"/>
  <c r="R142" i="35"/>
  <c r="M31" i="9"/>
  <c r="N4" i="35"/>
  <c r="P31" i="9"/>
  <c r="O142" i="35"/>
  <c r="T4" i="35"/>
  <c r="U142" i="35"/>
  <c r="L142" i="35"/>
  <c r="W4" i="35"/>
  <c r="X139" i="35"/>
  <c r="X142" i="35" s="1"/>
  <c r="O4" i="35"/>
  <c r="S4" i="35"/>
  <c r="L4" i="30"/>
  <c r="O214" i="14"/>
  <c r="U214" i="14"/>
  <c r="R214" i="14"/>
  <c r="L214" i="14"/>
  <c r="X211" i="14"/>
  <c r="X214" i="14" s="1"/>
  <c r="F49" i="9"/>
  <c r="E49" i="9"/>
  <c r="P22" i="9"/>
  <c r="P4" i="19"/>
  <c r="O4" i="18"/>
  <c r="X3" i="30"/>
  <c r="O43" i="9"/>
  <c r="G49" i="9"/>
  <c r="N4" i="23"/>
  <c r="E10" i="9"/>
  <c r="N49" i="9"/>
  <c r="J49" i="9"/>
  <c r="K49" i="9"/>
  <c r="P49" i="9"/>
  <c r="M49" i="9"/>
  <c r="K34" i="9"/>
  <c r="E22" i="9"/>
  <c r="J51" i="9"/>
  <c r="J65" i="9" s="1"/>
  <c r="J9" i="42" s="1"/>
  <c r="Q4" i="30"/>
  <c r="R4" i="14"/>
  <c r="W4" i="14"/>
  <c r="M22" i="9"/>
  <c r="E28" i="9"/>
  <c r="T4" i="17"/>
  <c r="M16" i="9"/>
  <c r="P4" i="18"/>
  <c r="M10" i="9"/>
  <c r="W4" i="18"/>
  <c r="M46" i="9"/>
  <c r="L46" i="9"/>
  <c r="E46" i="9"/>
  <c r="O7" i="9"/>
  <c r="H7" i="9"/>
  <c r="K7" i="9"/>
  <c r="I7" i="9"/>
  <c r="F34" i="9"/>
  <c r="O4" i="14"/>
  <c r="M25" i="9"/>
  <c r="T4" i="19"/>
  <c r="L130" i="19"/>
  <c r="U118" i="38"/>
  <c r="M43" i="9"/>
  <c r="V4" i="38"/>
  <c r="Q42" i="9"/>
  <c r="R4" i="38"/>
  <c r="L118" i="38"/>
  <c r="T4" i="38"/>
  <c r="X3" i="38"/>
  <c r="K43" i="9"/>
  <c r="N4" i="38"/>
  <c r="X2" i="38"/>
  <c r="N46" i="9"/>
  <c r="U4" i="21"/>
  <c r="L82" i="21"/>
  <c r="U82" i="21"/>
  <c r="L4" i="21"/>
  <c r="R82" i="21"/>
  <c r="K46" i="9"/>
  <c r="L166" i="23"/>
  <c r="L4" i="23"/>
  <c r="M4" i="23"/>
  <c r="X2" i="23"/>
  <c r="U4" i="23"/>
  <c r="U166" i="23"/>
  <c r="U58" i="24"/>
  <c r="U4" i="19"/>
  <c r="R130" i="19"/>
  <c r="U130" i="19"/>
  <c r="L4" i="19"/>
  <c r="I52" i="9"/>
  <c r="R58" i="24"/>
  <c r="R4" i="24"/>
  <c r="U94" i="17"/>
  <c r="R94" i="17"/>
  <c r="U142" i="18"/>
  <c r="L142" i="18"/>
  <c r="X2" i="18"/>
  <c r="O142" i="18"/>
  <c r="R142" i="18"/>
  <c r="H13" i="9"/>
  <c r="R4" i="21"/>
  <c r="F44" i="9"/>
  <c r="F64" i="9" s="1"/>
  <c r="F8" i="42" s="1"/>
  <c r="M4" i="21"/>
  <c r="E25" i="9"/>
  <c r="X92" i="17"/>
  <c r="O94" i="17"/>
  <c r="F22" i="9"/>
  <c r="L4" i="18"/>
  <c r="E11" i="9"/>
  <c r="W127" i="7"/>
  <c r="L4" i="14"/>
  <c r="E34" i="9"/>
  <c r="M4" i="14"/>
  <c r="X3" i="14"/>
  <c r="T4" i="14"/>
  <c r="M34" i="9"/>
  <c r="V4" i="14"/>
  <c r="O34" i="9"/>
  <c r="X91" i="17"/>
  <c r="Q130" i="7"/>
  <c r="X3" i="24"/>
  <c r="K130" i="7"/>
  <c r="N37" i="9"/>
  <c r="R118" i="38"/>
  <c r="X80" i="21"/>
  <c r="X2" i="17"/>
  <c r="T4" i="7"/>
  <c r="W128" i="7"/>
  <c r="R4" i="7"/>
  <c r="K4" i="7"/>
  <c r="W2" i="7"/>
  <c r="M4" i="7"/>
  <c r="G37" i="9"/>
  <c r="W129" i="7"/>
  <c r="X81" i="21"/>
  <c r="R166" i="23"/>
  <c r="N31" i="9"/>
  <c r="E31" i="9"/>
  <c r="L4" i="35"/>
  <c r="M4" i="35"/>
  <c r="L47" i="9"/>
  <c r="L64" i="9" s="1"/>
  <c r="L8" i="42" s="1"/>
  <c r="S4" i="23"/>
  <c r="W4" i="19"/>
  <c r="X3" i="19"/>
  <c r="S4" i="19"/>
  <c r="X165" i="23"/>
  <c r="X164" i="23"/>
  <c r="T4" i="30"/>
  <c r="M50" i="9"/>
  <c r="M52" i="9" s="1"/>
  <c r="U4" i="35"/>
  <c r="X3" i="35"/>
  <c r="N4" i="14"/>
  <c r="X2" i="14"/>
  <c r="Q33" i="9"/>
  <c r="X2" i="24"/>
  <c r="O118" i="38"/>
  <c r="Q4" i="21"/>
  <c r="J44" i="9"/>
  <c r="Q4" i="18"/>
  <c r="J22" i="9"/>
  <c r="Q4" i="19"/>
  <c r="J25" i="9"/>
  <c r="Q4" i="17"/>
  <c r="E14" i="9"/>
  <c r="E16" i="9" s="1"/>
  <c r="L4" i="17"/>
  <c r="U4" i="17"/>
  <c r="X115" i="38"/>
  <c r="X118" i="38" s="1"/>
  <c r="X93" i="17"/>
  <c r="N130" i="7"/>
  <c r="I10" i="9"/>
  <c r="P4" i="24"/>
  <c r="O58" i="24"/>
  <c r="N4" i="7"/>
  <c r="P4" i="21"/>
  <c r="I44" i="9"/>
  <c r="P4" i="23"/>
  <c r="I47" i="9"/>
  <c r="O28" i="9"/>
  <c r="Q27" i="9"/>
  <c r="U4" i="18"/>
  <c r="X3" i="18"/>
  <c r="O94" i="15"/>
  <c r="X91" i="15"/>
  <c r="X94" i="15" s="1"/>
  <c r="K31" i="9"/>
  <c r="R4" i="35"/>
  <c r="K16" i="9"/>
  <c r="L94" i="15"/>
  <c r="P37" i="9"/>
  <c r="W3" i="7"/>
  <c r="X127" i="19"/>
  <c r="X130" i="19" s="1"/>
  <c r="O130" i="19"/>
  <c r="X163" i="23"/>
  <c r="O166" i="23"/>
  <c r="O4" i="30"/>
  <c r="H50" i="9"/>
  <c r="X2" i="30"/>
  <c r="H16" i="9"/>
  <c r="X2" i="21"/>
  <c r="H44" i="9"/>
  <c r="O4" i="21"/>
  <c r="O4" i="19"/>
  <c r="X2" i="19"/>
  <c r="H34" i="9"/>
  <c r="H48" i="9"/>
  <c r="X3" i="23"/>
  <c r="H37" i="9"/>
  <c r="H28" i="9"/>
  <c r="O82" i="21"/>
  <c r="X79" i="21"/>
  <c r="H45" i="9"/>
  <c r="X3" i="21"/>
  <c r="H43" i="9"/>
  <c r="H22" i="9"/>
  <c r="M7" i="9"/>
  <c r="X3" i="15"/>
  <c r="E6" i="9"/>
  <c r="N7" i="9"/>
  <c r="X2" i="15"/>
  <c r="U94" i="15"/>
  <c r="U4" i="15"/>
  <c r="L7" i="9"/>
  <c r="S4" i="15"/>
  <c r="R94" i="15"/>
  <c r="L94" i="17"/>
  <c r="M4" i="17"/>
  <c r="X3" i="17"/>
  <c r="X106" i="30" l="1"/>
  <c r="K3" i="9"/>
  <c r="E2" i="9"/>
  <c r="E53" i="9" s="1"/>
  <c r="Q8" i="9"/>
  <c r="P8" i="39"/>
  <c r="P8" i="42"/>
  <c r="F2" i="9"/>
  <c r="L2" i="9"/>
  <c r="L61" i="9" s="1"/>
  <c r="P2" i="9"/>
  <c r="P53" i="9" s="1"/>
  <c r="Q9" i="9"/>
  <c r="K10" i="9"/>
  <c r="K2" i="9"/>
  <c r="K61" i="9" s="1"/>
  <c r="G4" i="9"/>
  <c r="Q24" i="9"/>
  <c r="P3" i="9"/>
  <c r="P54" i="9" s="1"/>
  <c r="K13" i="9"/>
  <c r="L3" i="9"/>
  <c r="X142" i="18"/>
  <c r="N3" i="9"/>
  <c r="N62" i="9" s="1"/>
  <c r="O2" i="9"/>
  <c r="O61" i="9" s="1"/>
  <c r="I64" i="9"/>
  <c r="I8" i="42" s="1"/>
  <c r="H65" i="9"/>
  <c r="H9" i="42" s="1"/>
  <c r="F3" i="9"/>
  <c r="M2" i="9"/>
  <c r="M4" i="9" s="1"/>
  <c r="J3" i="9"/>
  <c r="M64" i="9"/>
  <c r="M8" i="42" s="1"/>
  <c r="F52" i="9"/>
  <c r="F65" i="9"/>
  <c r="F9" i="42" s="1"/>
  <c r="G31" i="9"/>
  <c r="Q6" i="9"/>
  <c r="E3" i="9"/>
  <c r="H3" i="9"/>
  <c r="H64" i="9"/>
  <c r="H8" i="42" s="1"/>
  <c r="H2" i="9"/>
  <c r="J64" i="9"/>
  <c r="J8" i="42" s="1"/>
  <c r="J2" i="9"/>
  <c r="I2" i="9"/>
  <c r="I4" i="9" s="1"/>
  <c r="L37" i="9"/>
  <c r="F8" i="39"/>
  <c r="E9" i="39"/>
  <c r="K9" i="39"/>
  <c r="N9" i="39"/>
  <c r="O9" i="39"/>
  <c r="O66" i="9"/>
  <c r="O8" i="39"/>
  <c r="N8" i="39"/>
  <c r="I9" i="39"/>
  <c r="K8" i="39"/>
  <c r="E8" i="39"/>
  <c r="L9" i="39"/>
  <c r="L8" i="39"/>
  <c r="G9" i="39"/>
  <c r="P66" i="9"/>
  <c r="P9" i="39"/>
  <c r="P10" i="39" s="1"/>
  <c r="G8" i="39"/>
  <c r="O62" i="9"/>
  <c r="Q35" i="9"/>
  <c r="I37" i="9"/>
  <c r="N16" i="9"/>
  <c r="G61" i="9"/>
  <c r="N34" i="9"/>
  <c r="I34" i="9"/>
  <c r="J34" i="9"/>
  <c r="Q36" i="9"/>
  <c r="O49" i="9"/>
  <c r="L66" i="9"/>
  <c r="G66" i="9"/>
  <c r="N66" i="9"/>
  <c r="K66" i="9"/>
  <c r="E66" i="9"/>
  <c r="E13" i="9"/>
  <c r="G54" i="9"/>
  <c r="G62" i="9"/>
  <c r="I54" i="9"/>
  <c r="I62" i="9"/>
  <c r="Q51" i="9"/>
  <c r="G43" i="9"/>
  <c r="Q43" i="9" s="1"/>
  <c r="M37" i="9"/>
  <c r="J31" i="9"/>
  <c r="H31" i="9"/>
  <c r="Q48" i="9"/>
  <c r="L49" i="9"/>
  <c r="I49" i="9"/>
  <c r="Q21" i="9"/>
  <c r="Q10" i="9"/>
  <c r="J52" i="9"/>
  <c r="O54" i="9"/>
  <c r="X94" i="17"/>
  <c r="J37" i="9"/>
  <c r="G34" i="9"/>
  <c r="J46" i="9"/>
  <c r="I46" i="9"/>
  <c r="F46" i="9"/>
  <c r="L13" i="9"/>
  <c r="J13" i="9"/>
  <c r="Q41" i="9"/>
  <c r="X4" i="38"/>
  <c r="X82" i="21"/>
  <c r="X4" i="24"/>
  <c r="Q12" i="9"/>
  <c r="Q14" i="9"/>
  <c r="Q20" i="9"/>
  <c r="X4" i="18"/>
  <c r="X4" i="14"/>
  <c r="W130" i="7"/>
  <c r="X4" i="23"/>
  <c r="W4" i="7"/>
  <c r="E37" i="9"/>
  <c r="X166" i="23"/>
  <c r="Q30" i="9"/>
  <c r="X4" i="35"/>
  <c r="Q29" i="9"/>
  <c r="X4" i="30"/>
  <c r="Q32" i="9"/>
  <c r="Q11" i="9"/>
  <c r="X4" i="19"/>
  <c r="X4" i="17"/>
  <c r="I22" i="9"/>
  <c r="Q22" i="9" s="1"/>
  <c r="X4" i="21"/>
  <c r="Q47" i="9"/>
  <c r="G28" i="9"/>
  <c r="Q28" i="9" s="1"/>
  <c r="Q26" i="9"/>
  <c r="N13" i="9"/>
  <c r="X4" i="15"/>
  <c r="H52" i="9"/>
  <c r="Q50" i="9"/>
  <c r="Q45" i="9"/>
  <c r="Q44" i="9"/>
  <c r="H46" i="9"/>
  <c r="H25" i="9"/>
  <c r="Q25" i="9" s="1"/>
  <c r="Q23" i="9"/>
  <c r="H49" i="9"/>
  <c r="E7" i="9"/>
  <c r="Q7" i="9" s="1"/>
  <c r="F16" i="9"/>
  <c r="Q15" i="9"/>
  <c r="E4" i="9" l="1"/>
  <c r="E55" i="9" s="1"/>
  <c r="E61" i="9"/>
  <c r="E5" i="39" s="1"/>
  <c r="P61" i="9"/>
  <c r="P5" i="39" s="1"/>
  <c r="K5" i="39"/>
  <c r="K5" i="42"/>
  <c r="O5" i="39"/>
  <c r="O5" i="42"/>
  <c r="G5" i="39"/>
  <c r="G5" i="42"/>
  <c r="L5" i="39"/>
  <c r="L5" i="42"/>
  <c r="E5" i="42"/>
  <c r="N6" i="39"/>
  <c r="N6" i="42"/>
  <c r="G6" i="39"/>
  <c r="G6" i="42"/>
  <c r="O6" i="39"/>
  <c r="O3" i="39" s="1"/>
  <c r="O12" i="39" s="1"/>
  <c r="O6" i="42"/>
  <c r="O3" i="42" s="1"/>
  <c r="O12" i="42" s="1"/>
  <c r="I6" i="39"/>
  <c r="I6" i="42"/>
  <c r="L4" i="9"/>
  <c r="L55" i="9" s="1"/>
  <c r="F4" i="9"/>
  <c r="F55" i="9" s="1"/>
  <c r="P10" i="42"/>
  <c r="K53" i="9"/>
  <c r="K4" i="9"/>
  <c r="K55" i="9" s="1"/>
  <c r="P4" i="9"/>
  <c r="P55" i="9" s="1"/>
  <c r="O4" i="9"/>
  <c r="O55" i="9" s="1"/>
  <c r="P62" i="9"/>
  <c r="Q16" i="9"/>
  <c r="N4" i="9"/>
  <c r="N55" i="9" s="1"/>
  <c r="J4" i="9"/>
  <c r="J55" i="9" s="1"/>
  <c r="E10" i="39"/>
  <c r="N10" i="39"/>
  <c r="H4" i="9"/>
  <c r="H55" i="9" s="1"/>
  <c r="Q3" i="9"/>
  <c r="E54" i="9"/>
  <c r="E62" i="9"/>
  <c r="Q2" i="9"/>
  <c r="L10" i="39"/>
  <c r="G10" i="39"/>
  <c r="K10" i="39"/>
  <c r="L10" i="42"/>
  <c r="N10" i="42"/>
  <c r="I8" i="39"/>
  <c r="I10" i="39" s="1"/>
  <c r="I10" i="42"/>
  <c r="J8" i="39"/>
  <c r="J9" i="39"/>
  <c r="H8" i="39"/>
  <c r="O10" i="39"/>
  <c r="E10" i="42"/>
  <c r="O10" i="42"/>
  <c r="F10" i="42"/>
  <c r="F9" i="39"/>
  <c r="F10" i="39" s="1"/>
  <c r="H9" i="39"/>
  <c r="M66" i="9"/>
  <c r="M10" i="42"/>
  <c r="M8" i="39"/>
  <c r="M10" i="39" s="1"/>
  <c r="G10" i="42"/>
  <c r="K10" i="42"/>
  <c r="Q34" i="9"/>
  <c r="O63" i="9"/>
  <c r="F66" i="9"/>
  <c r="H66" i="9"/>
  <c r="H61" i="9"/>
  <c r="N54" i="9"/>
  <c r="N57" i="9" s="1"/>
  <c r="Q65" i="9"/>
  <c r="M61" i="9"/>
  <c r="M5" i="39" s="1"/>
  <c r="F62" i="9"/>
  <c r="Q64" i="9"/>
  <c r="Q52" i="9"/>
  <c r="J66" i="9"/>
  <c r="G63" i="9"/>
  <c r="L54" i="9"/>
  <c r="L62" i="9"/>
  <c r="M54" i="9"/>
  <c r="M62" i="9"/>
  <c r="J54" i="9"/>
  <c r="J62" i="9"/>
  <c r="K54" i="9"/>
  <c r="K62" i="9"/>
  <c r="N53" i="9"/>
  <c r="N61" i="9"/>
  <c r="J53" i="9"/>
  <c r="J61" i="9"/>
  <c r="F53" i="9"/>
  <c r="F61" i="9"/>
  <c r="I66" i="9"/>
  <c r="H54" i="9"/>
  <c r="H62" i="9"/>
  <c r="I53" i="9"/>
  <c r="I61" i="9"/>
  <c r="Q31" i="9"/>
  <c r="Q49" i="9"/>
  <c r="Q37" i="9"/>
  <c r="Q13" i="9"/>
  <c r="Q46" i="9"/>
  <c r="M55" i="9"/>
  <c r="L53" i="9"/>
  <c r="M53" i="9"/>
  <c r="O53" i="9"/>
  <c r="I55" i="9"/>
  <c r="G53" i="9"/>
  <c r="G55" i="9"/>
  <c r="H53" i="9"/>
  <c r="F54" i="9"/>
  <c r="P5" i="42" l="1"/>
  <c r="P2" i="42" s="1"/>
  <c r="I5" i="39"/>
  <c r="I5" i="42"/>
  <c r="M5" i="42"/>
  <c r="F5" i="39"/>
  <c r="F5" i="42"/>
  <c r="F2" i="42" s="1"/>
  <c r="J5" i="39"/>
  <c r="J5" i="42"/>
  <c r="N5" i="39"/>
  <c r="N5" i="42"/>
  <c r="H5" i="39"/>
  <c r="H5" i="42"/>
  <c r="H6" i="39"/>
  <c r="H6" i="42"/>
  <c r="K6" i="39"/>
  <c r="K6" i="42"/>
  <c r="F6" i="39"/>
  <c r="F6" i="42"/>
  <c r="E63" i="9"/>
  <c r="E6" i="42"/>
  <c r="P6" i="39"/>
  <c r="P7" i="39" s="1"/>
  <c r="P6" i="42"/>
  <c r="P3" i="42" s="1"/>
  <c r="P12" i="42" s="1"/>
  <c r="J6" i="39"/>
  <c r="J6" i="42"/>
  <c r="M6" i="39"/>
  <c r="M6" i="42"/>
  <c r="L6" i="39"/>
  <c r="L6" i="42"/>
  <c r="H10" i="39"/>
  <c r="P63" i="9"/>
  <c r="E57" i="9"/>
  <c r="E58" i="9"/>
  <c r="Q8" i="39"/>
  <c r="Q9" i="42"/>
  <c r="Q9" i="39"/>
  <c r="J10" i="39"/>
  <c r="H10" i="42"/>
  <c r="J10" i="42"/>
  <c r="Q8" i="42"/>
  <c r="I3" i="39"/>
  <c r="I12" i="39" s="1"/>
  <c r="N3" i="39"/>
  <c r="N12" i="39" s="1"/>
  <c r="G2" i="39"/>
  <c r="G11" i="39" s="1"/>
  <c r="L2" i="39"/>
  <c r="L11" i="39" s="1"/>
  <c r="K2" i="39"/>
  <c r="K11" i="39" s="1"/>
  <c r="G3" i="42"/>
  <c r="G12" i="42" s="1"/>
  <c r="I3" i="42"/>
  <c r="I12" i="42" s="1"/>
  <c r="O2" i="39"/>
  <c r="O11" i="39" s="1"/>
  <c r="G3" i="39"/>
  <c r="G12" i="39" s="1"/>
  <c r="G7" i="39"/>
  <c r="O7" i="39"/>
  <c r="K63" i="9"/>
  <c r="I63" i="9"/>
  <c r="G7" i="42"/>
  <c r="G2" i="42"/>
  <c r="N3" i="42"/>
  <c r="N12" i="42" s="1"/>
  <c r="E6" i="39"/>
  <c r="K2" i="42"/>
  <c r="L63" i="9"/>
  <c r="P2" i="39"/>
  <c r="O2" i="42"/>
  <c r="O7" i="42"/>
  <c r="N63" i="9"/>
  <c r="L2" i="42"/>
  <c r="Q62" i="9"/>
  <c r="Q4" i="9"/>
  <c r="Q55" i="9" s="1"/>
  <c r="H63" i="9"/>
  <c r="F63" i="9"/>
  <c r="M63" i="9"/>
  <c r="Q66" i="9"/>
  <c r="K57" i="9"/>
  <c r="H57" i="9"/>
  <c r="J63" i="9"/>
  <c r="E56" i="9"/>
  <c r="N56" i="9"/>
  <c r="H56" i="9"/>
  <c r="Q53" i="9"/>
  <c r="Q61" i="9"/>
  <c r="N58" i="9"/>
  <c r="K58" i="9"/>
  <c r="K56" i="9"/>
  <c r="H58" i="9"/>
  <c r="Q54" i="9"/>
  <c r="P3" i="39" l="1"/>
  <c r="P12" i="39" s="1"/>
  <c r="N15" i="39" s="1"/>
  <c r="Q10" i="39"/>
  <c r="P7" i="42"/>
  <c r="Q56" i="9"/>
  <c r="Q57" i="9"/>
  <c r="Q58" i="9"/>
  <c r="Q10" i="42"/>
  <c r="O4" i="39"/>
  <c r="O13" i="39" s="1"/>
  <c r="M3" i="39"/>
  <c r="M12" i="39" s="1"/>
  <c r="M3" i="42"/>
  <c r="M12" i="42" s="1"/>
  <c r="N15" i="42"/>
  <c r="F3" i="39"/>
  <c r="F12" i="39" s="1"/>
  <c r="G4" i="39"/>
  <c r="G13" i="39" s="1"/>
  <c r="F3" i="42"/>
  <c r="F12" i="42" s="1"/>
  <c r="L3" i="42"/>
  <c r="L12" i="42" s="1"/>
  <c r="K3" i="39"/>
  <c r="K12" i="39" s="1"/>
  <c r="J3" i="39"/>
  <c r="J12" i="39" s="1"/>
  <c r="H3" i="42"/>
  <c r="H12" i="42" s="1"/>
  <c r="K3" i="42"/>
  <c r="K12" i="42" s="1"/>
  <c r="J3" i="42"/>
  <c r="J12" i="42" s="1"/>
  <c r="N2" i="42"/>
  <c r="N11" i="42" s="1"/>
  <c r="H3" i="39"/>
  <c r="H12" i="39" s="1"/>
  <c r="L7" i="42"/>
  <c r="K7" i="39"/>
  <c r="G11" i="42"/>
  <c r="G4" i="42"/>
  <c r="G13" i="42" s="1"/>
  <c r="F7" i="42"/>
  <c r="L11" i="42"/>
  <c r="O11" i="42"/>
  <c r="O4" i="42"/>
  <c r="O13" i="42" s="1"/>
  <c r="P11" i="39"/>
  <c r="I7" i="42"/>
  <c r="I2" i="42"/>
  <c r="J2" i="39"/>
  <c r="J7" i="39"/>
  <c r="H2" i="42"/>
  <c r="H7" i="42"/>
  <c r="E3" i="39"/>
  <c r="E12" i="39" s="1"/>
  <c r="Q6" i="39"/>
  <c r="Q3" i="39" s="1"/>
  <c r="Q12" i="39" s="1"/>
  <c r="J2" i="42"/>
  <c r="J7" i="42"/>
  <c r="H7" i="39"/>
  <c r="H2" i="39"/>
  <c r="M7" i="42"/>
  <c r="M2" i="42"/>
  <c r="E2" i="39"/>
  <c r="E7" i="39"/>
  <c r="Q5" i="39"/>
  <c r="Q2" i="39" s="1"/>
  <c r="Q11" i="39" s="1"/>
  <c r="Q6" i="42"/>
  <c r="Q3" i="42" s="1"/>
  <c r="Q12" i="42" s="1"/>
  <c r="E3" i="42"/>
  <c r="E12" i="42" s="1"/>
  <c r="N2" i="39"/>
  <c r="N7" i="39"/>
  <c r="I7" i="39"/>
  <c r="I2" i="39"/>
  <c r="L3" i="39"/>
  <c r="L7" i="39"/>
  <c r="M2" i="39"/>
  <c r="M7" i="39"/>
  <c r="K11" i="42"/>
  <c r="F2" i="39"/>
  <c r="F7" i="39"/>
  <c r="P4" i="42"/>
  <c r="P13" i="42" s="1"/>
  <c r="P11" i="42"/>
  <c r="E2" i="42"/>
  <c r="E11" i="42" s="1"/>
  <c r="Q5" i="42"/>
  <c r="Q2" i="42" s="1"/>
  <c r="E7" i="42"/>
  <c r="K7" i="42"/>
  <c r="N7" i="42"/>
  <c r="Q63" i="9"/>
  <c r="P4" i="39" l="1"/>
  <c r="P13" i="39" s="1"/>
  <c r="K4" i="39"/>
  <c r="K13" i="39" s="1"/>
  <c r="L4" i="42"/>
  <c r="L13" i="42" s="1"/>
  <c r="K4" i="42"/>
  <c r="K13" i="42" s="1"/>
  <c r="E15" i="42"/>
  <c r="E15" i="39"/>
  <c r="K15" i="42"/>
  <c r="N4" i="42"/>
  <c r="N13" i="42" s="1"/>
  <c r="N16" i="42" s="1"/>
  <c r="H15" i="39"/>
  <c r="H15" i="42"/>
  <c r="N14" i="42"/>
  <c r="Q4" i="39"/>
  <c r="Q13" i="39" s="1"/>
  <c r="Q7" i="39"/>
  <c r="Q7" i="42"/>
  <c r="E4" i="42"/>
  <c r="E13" i="42" s="1"/>
  <c r="I11" i="39"/>
  <c r="I4" i="39"/>
  <c r="I13" i="39" s="1"/>
  <c r="Q11" i="42"/>
  <c r="Q4" i="42"/>
  <c r="Q13" i="42" s="1"/>
  <c r="J11" i="42"/>
  <c r="J4" i="42"/>
  <c r="J13" i="42" s="1"/>
  <c r="F4" i="39"/>
  <c r="F13" i="39" s="1"/>
  <c r="F11" i="39"/>
  <c r="F4" i="42"/>
  <c r="F13" i="42" s="1"/>
  <c r="F11" i="42"/>
  <c r="H11" i="39"/>
  <c r="H4" i="39"/>
  <c r="H13" i="39" s="1"/>
  <c r="N11" i="39"/>
  <c r="N14" i="39" s="1"/>
  <c r="N4" i="39"/>
  <c r="N13" i="39" s="1"/>
  <c r="E11" i="39"/>
  <c r="E4" i="39"/>
  <c r="E13" i="39" s="1"/>
  <c r="J11" i="39"/>
  <c r="J4" i="39"/>
  <c r="J13" i="39" s="1"/>
  <c r="L4" i="39"/>
  <c r="L13" i="39" s="1"/>
  <c r="L12" i="39"/>
  <c r="K15" i="39" s="1"/>
  <c r="H4" i="42"/>
  <c r="H13" i="42" s="1"/>
  <c r="H11" i="42"/>
  <c r="M11" i="39"/>
  <c r="K14" i="39" s="1"/>
  <c r="M4" i="39"/>
  <c r="M13" i="39" s="1"/>
  <c r="M11" i="42"/>
  <c r="K14" i="42" s="1"/>
  <c r="M4" i="42"/>
  <c r="M13" i="42" s="1"/>
  <c r="I11" i="42"/>
  <c r="I4" i="42"/>
  <c r="I13" i="42" s="1"/>
  <c r="N16" i="39" l="1"/>
  <c r="Q15" i="42"/>
  <c r="K16" i="42"/>
  <c r="Q15" i="39"/>
  <c r="H16" i="39"/>
  <c r="H14" i="42"/>
  <c r="E14" i="39"/>
  <c r="H16" i="42"/>
  <c r="H14" i="39"/>
  <c r="K16" i="39"/>
  <c r="E14" i="42"/>
  <c r="E16" i="39"/>
  <c r="E16" i="42"/>
  <c r="Q14" i="42" l="1"/>
  <c r="Q16" i="39"/>
  <c r="Q16" i="42"/>
  <c r="Q14" i="3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Q66" authorId="0" shapeId="0" xr:uid="{ED6BE375-1AF7-4E2B-BA14-23176EFCDD40}">
      <text>
        <r>
          <rPr>
            <sz val="9"/>
            <color indexed="81"/>
            <rFont val="ＭＳ Ｐゴシック"/>
            <family val="3"/>
            <charset val="128"/>
          </rPr>
          <t>9/16入場</t>
        </r>
      </text>
    </comment>
    <comment ref="Q69" authorId="0" shapeId="0" xr:uid="{DF795753-9FA5-4CC4-853B-9EF64F8D0AC5}">
      <text>
        <r>
          <rPr>
            <sz val="9"/>
            <color indexed="81"/>
            <rFont val="MS P ゴシック"/>
            <family val="3"/>
            <charset val="128"/>
          </rPr>
          <t>10日稼働/20日営業日で算出</t>
        </r>
      </text>
    </comment>
    <comment ref="S78" authorId="0" shapeId="0" xr:uid="{8724B39C-950B-4BE8-B3F2-72828C51A88F}">
      <text>
        <r>
          <rPr>
            <sz val="9"/>
            <color indexed="81"/>
            <rFont val="MS P ゴシック"/>
            <family val="3"/>
            <charset val="128"/>
          </rPr>
          <t>11/10入場</t>
        </r>
      </text>
    </comment>
    <comment ref="S81" authorId="0" shapeId="0" xr:uid="{676D3154-D224-4A46-8BAB-D4AF8FA2B797}">
      <text>
        <r>
          <rPr>
            <sz val="9"/>
            <color indexed="81"/>
            <rFont val="MS P ゴシック"/>
            <family val="3"/>
            <charset val="128"/>
          </rPr>
          <t>14日稼働/18日営業日で算出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F17" authorId="0" shapeId="0" xr:uid="{D775F21B-1465-4921-A365-88027E2B5DA5}">
      <text>
        <r>
          <rPr>
            <b/>
            <sz val="9"/>
            <color indexed="81"/>
            <rFont val="MS P ゴシック"/>
            <family val="3"/>
            <charset val="128"/>
          </rPr>
          <t>作成者:</t>
        </r>
        <r>
          <rPr>
            <sz val="9"/>
            <color indexed="81"/>
            <rFont val="MS P ゴシック"/>
            <family val="3"/>
            <charset val="128"/>
          </rPr>
          <t xml:space="preserve">
赤字確認希望</t>
        </r>
      </text>
    </comment>
    <comment ref="F53" authorId="0" shapeId="0" xr:uid="{0D874FB7-7F5B-41B6-9E45-16872A45C3A1}">
      <text>
        <r>
          <rPr>
            <b/>
            <sz val="9"/>
            <color indexed="81"/>
            <rFont val="MS P ゴシック"/>
            <family val="3"/>
            <charset val="128"/>
          </rPr>
          <t>作成者:</t>
        </r>
        <r>
          <rPr>
            <sz val="9"/>
            <color indexed="81"/>
            <rFont val="MS P ゴシック"/>
            <family val="3"/>
            <charset val="128"/>
          </rPr>
          <t xml:space="preserve">
UAL退場？退職？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L9" authorId="0" shapeId="0" xr:uid="{D90DF179-C02A-46BB-A401-2B1702438AD5}">
      <text>
        <r>
          <rPr>
            <sz val="9"/>
            <color indexed="81"/>
            <rFont val="游ゴシック"/>
            <family val="3"/>
            <charset val="128"/>
          </rPr>
          <t>8日稼働で算出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L9" authorId="0" shapeId="0" xr:uid="{E79B2B82-9200-4176-ABF8-0485F869F3C6}">
      <text>
        <r>
          <rPr>
            <sz val="9"/>
            <color indexed="81"/>
            <rFont val="游ゴシック"/>
            <family val="3"/>
            <charset val="128"/>
          </rPr>
          <t>14日稼働で算出</t>
        </r>
      </text>
    </comment>
    <comment ref="M9" authorId="0" shapeId="0" xr:uid="{9C3AFAA8-B0D7-4762-9B03-CD3B1DBC1A58}">
      <text>
        <r>
          <rPr>
            <sz val="9"/>
            <color indexed="81"/>
            <rFont val="游ゴシック"/>
            <family val="3"/>
            <charset val="128"/>
          </rPr>
          <t>13日稼働で算出</t>
        </r>
      </text>
    </comment>
    <comment ref="P9" authorId="0" shapeId="0" xr:uid="{4F32A7D7-3512-472C-8B31-0AA0C489EAA8}">
      <text>
        <r>
          <rPr>
            <sz val="9"/>
            <color indexed="81"/>
            <rFont val="ＭＳ Ｐゴシック"/>
            <family val="3"/>
            <charset val="128"/>
          </rPr>
          <t>東陽テクニカ勤務分を控除し算出</t>
        </r>
      </text>
    </comment>
    <comment ref="Q9" authorId="0" shapeId="0" xr:uid="{31916342-7326-43EF-97C6-4E37512EACCD}">
      <text>
        <r>
          <rPr>
            <sz val="9"/>
            <color indexed="81"/>
            <rFont val="ＭＳ Ｐゴシック"/>
            <family val="3"/>
            <charset val="128"/>
          </rPr>
          <t>東陽テクニカ勤務分を控除し算出</t>
        </r>
      </text>
    </comment>
    <comment ref="R9" authorId="0" shapeId="0" xr:uid="{B338C36B-A9C5-4283-B778-0E750C344A28}">
      <text>
        <r>
          <rPr>
            <sz val="9"/>
            <color indexed="81"/>
            <rFont val="MS P ゴシック"/>
            <family val="3"/>
            <charset val="128"/>
          </rPr>
          <t>東陽テクニカ勤務分を控除し算出</t>
        </r>
      </text>
    </comment>
    <comment ref="S9" authorId="0" shapeId="0" xr:uid="{11E03CEE-F832-43BF-A425-D060EBC6DF88}">
      <text>
        <r>
          <rPr>
            <sz val="9"/>
            <color indexed="81"/>
            <rFont val="MS P ゴシック"/>
            <family val="3"/>
            <charset val="128"/>
          </rPr>
          <t>東陽テクニカ勤務分を控除し算出</t>
        </r>
      </text>
    </comment>
    <comment ref="T9" authorId="0" shapeId="0" xr:uid="{F6325B53-6E8A-4ECA-9AD0-6093AC65B5F6}">
      <text>
        <r>
          <rPr>
            <sz val="9"/>
            <color indexed="81"/>
            <rFont val="MS P ゴシック"/>
            <family val="3"/>
            <charset val="128"/>
          </rPr>
          <t>東陽テクニカ勤務分を控除し算出</t>
        </r>
      </text>
    </comment>
    <comment ref="U9" authorId="0" shapeId="0" xr:uid="{88B9ADE8-B9F9-4728-A239-DB514B5250FF}">
      <text>
        <r>
          <rPr>
            <sz val="9"/>
            <color indexed="81"/>
            <rFont val="MS P ゴシック"/>
            <family val="3"/>
            <charset val="128"/>
          </rPr>
          <t>東陽テクニカ勤務分を控除し算出</t>
        </r>
      </text>
    </comment>
    <comment ref="V9" authorId="0" shapeId="0" xr:uid="{45AE7474-F3E3-422F-A8FB-F798A36451E8}">
      <text>
        <r>
          <rPr>
            <sz val="9"/>
            <color indexed="81"/>
            <rFont val="MS P ゴシック"/>
            <family val="3"/>
            <charset val="128"/>
          </rPr>
          <t>東陽テクニカ勤務分を控除し算出</t>
        </r>
      </text>
    </comment>
    <comment ref="L21" authorId="0" shapeId="0" xr:uid="{4AC85CA4-8DBE-44DA-8E7D-C1B3BB51DF9E}">
      <text>
        <r>
          <rPr>
            <sz val="9"/>
            <color indexed="81"/>
            <rFont val="游ゴシック"/>
            <family val="3"/>
            <charset val="128"/>
          </rPr>
          <t>7日稼働で算出</t>
        </r>
      </text>
    </comment>
    <comment ref="S54" authorId="0" shapeId="0" xr:uid="{4BD7222B-46F1-442A-A36E-27E9C2E96522}">
      <text>
        <r>
          <rPr>
            <sz val="9"/>
            <color indexed="81"/>
            <rFont val="MS P ゴシック"/>
            <family val="3"/>
            <charset val="128"/>
          </rPr>
          <t>11/17入場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F125" authorId="0" shapeId="0" xr:uid="{30E794FD-ABD8-4DF6-9FF3-F65FB46F0AC5}">
      <text>
        <r>
          <rPr>
            <b/>
            <sz val="9"/>
            <color indexed="81"/>
            <rFont val="MS P ゴシック"/>
            <family val="3"/>
            <charset val="128"/>
          </rPr>
          <t>作成者:</t>
        </r>
        <r>
          <rPr>
            <sz val="9"/>
            <color indexed="81"/>
            <rFont val="MS P ゴシック"/>
            <family val="3"/>
            <charset val="128"/>
          </rPr>
          <t xml:space="preserve">
確認希望
</t>
        </r>
      </text>
    </comment>
    <comment ref="R201" authorId="0" shapeId="0" xr:uid="{A2FCF02F-F674-4D1A-9B40-C2040544AE97}">
      <text>
        <r>
          <rPr>
            <sz val="9"/>
            <color indexed="81"/>
            <rFont val="MS P ゴシック"/>
            <family val="3"/>
            <charset val="128"/>
          </rPr>
          <t>10/16～入場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S97" authorId="0" shapeId="0" xr:uid="{32BB4CFA-FC9E-4B47-AE67-BEF6289224D5}">
      <text>
        <r>
          <rPr>
            <sz val="9"/>
            <color indexed="81"/>
            <rFont val="MS P ゴシック"/>
            <family val="3"/>
            <charset val="128"/>
          </rPr>
          <t>70歳到達</t>
        </r>
      </text>
    </comment>
  </commentList>
</comments>
</file>

<file path=xl/sharedStrings.xml><?xml version="1.0" encoding="utf-8"?>
<sst xmlns="http://schemas.openxmlformats.org/spreadsheetml/2006/main" count="2623" uniqueCount="179">
  <si>
    <t>派遣/請負</t>
    <rPh sb="0" eb="2">
      <t>ハケン</t>
    </rPh>
    <rPh sb="3" eb="5">
      <t>ウケオイ</t>
    </rPh>
    <phoneticPr fontId="12"/>
  </si>
  <si>
    <t>担当</t>
    <rPh sb="0" eb="2">
      <t>タントウ</t>
    </rPh>
    <phoneticPr fontId="12"/>
  </si>
  <si>
    <t>氏名</t>
    <rPh sb="0" eb="2">
      <t>シメイ</t>
    </rPh>
    <phoneticPr fontId="12"/>
  </si>
  <si>
    <t>作業名</t>
    <rPh sb="0" eb="2">
      <t>サギョウ</t>
    </rPh>
    <rPh sb="2" eb="3">
      <t>メイ</t>
    </rPh>
    <phoneticPr fontId="12"/>
  </si>
  <si>
    <t>契約先</t>
    <rPh sb="0" eb="2">
      <t>ケイヤク</t>
    </rPh>
    <rPh sb="2" eb="3">
      <t>サキ</t>
    </rPh>
    <phoneticPr fontId="12"/>
  </si>
  <si>
    <t>外注会社</t>
    <rPh sb="0" eb="2">
      <t>ガイチュウ</t>
    </rPh>
    <rPh sb="2" eb="4">
      <t>ガイシャ</t>
    </rPh>
    <phoneticPr fontId="12"/>
  </si>
  <si>
    <t>売上単価
(支払単価）
【≒粗利】</t>
    <rPh sb="0" eb="2">
      <t>ウリアゲ</t>
    </rPh>
    <rPh sb="2" eb="4">
      <t>タンカ</t>
    </rPh>
    <rPh sb="6" eb="8">
      <t>シハラ</t>
    </rPh>
    <rPh sb="8" eb="10">
      <t>タンカ</t>
    </rPh>
    <phoneticPr fontId="12"/>
  </si>
  <si>
    <t>4月</t>
    <rPh sb="1" eb="2">
      <t>ガツ</t>
    </rPh>
    <phoneticPr fontId="12"/>
  </si>
  <si>
    <t>5月</t>
    <rPh sb="1" eb="2">
      <t>ガツ</t>
    </rPh>
    <phoneticPr fontId="12"/>
  </si>
  <si>
    <t>6月</t>
    <rPh sb="1" eb="2">
      <t>ガツ</t>
    </rPh>
    <phoneticPr fontId="12"/>
  </si>
  <si>
    <t>7月</t>
    <rPh sb="1" eb="2">
      <t>ガツ</t>
    </rPh>
    <phoneticPr fontId="12"/>
  </si>
  <si>
    <t>8月</t>
    <rPh sb="1" eb="2">
      <t>ガツ</t>
    </rPh>
    <phoneticPr fontId="12"/>
  </si>
  <si>
    <t>9月</t>
    <rPh sb="1" eb="2">
      <t>ガツ</t>
    </rPh>
    <phoneticPr fontId="12"/>
  </si>
  <si>
    <t>10月</t>
    <rPh sb="2" eb="3">
      <t>ガツ</t>
    </rPh>
    <phoneticPr fontId="12"/>
  </si>
  <si>
    <t>11月</t>
    <rPh sb="2" eb="3">
      <t>ガツ</t>
    </rPh>
    <phoneticPr fontId="12"/>
  </si>
  <si>
    <t>12月</t>
    <rPh sb="2" eb="3">
      <t>ガツ</t>
    </rPh>
    <phoneticPr fontId="12"/>
  </si>
  <si>
    <t>1月</t>
    <rPh sb="1" eb="2">
      <t>ガツ</t>
    </rPh>
    <phoneticPr fontId="12"/>
  </si>
  <si>
    <t>2月</t>
    <rPh sb="1" eb="2">
      <t>ガツ</t>
    </rPh>
    <phoneticPr fontId="12"/>
  </si>
  <si>
    <t>3月</t>
    <rPh sb="1" eb="2">
      <t>ガツ</t>
    </rPh>
    <phoneticPr fontId="12"/>
  </si>
  <si>
    <t>合計</t>
    <rPh sb="0" eb="2">
      <t>ゴウケイ</t>
    </rPh>
    <phoneticPr fontId="12"/>
  </si>
  <si>
    <t>売上</t>
    <rPh sb="0" eb="2">
      <t>ウリアゲ</t>
    </rPh>
    <phoneticPr fontId="10"/>
  </si>
  <si>
    <t>仕入</t>
    <rPh sb="0" eb="2">
      <t>シイレ</t>
    </rPh>
    <phoneticPr fontId="10"/>
  </si>
  <si>
    <t>粗利</t>
    <rPh sb="0" eb="2">
      <t>アラリ</t>
    </rPh>
    <phoneticPr fontId="10"/>
  </si>
  <si>
    <t>総受注金額</t>
    <rPh sb="0" eb="1">
      <t>ソウ</t>
    </rPh>
    <rPh sb="1" eb="3">
      <t>ジュチュウ</t>
    </rPh>
    <rPh sb="3" eb="5">
      <t>キンガク</t>
    </rPh>
    <phoneticPr fontId="12"/>
  </si>
  <si>
    <t>派遣金額</t>
    <rPh sb="0" eb="2">
      <t>ハケン</t>
    </rPh>
    <rPh sb="2" eb="4">
      <t>キンガク</t>
    </rPh>
    <phoneticPr fontId="12"/>
  </si>
  <si>
    <t>交通費</t>
    <rPh sb="0" eb="3">
      <t>コウツウヒ</t>
    </rPh>
    <phoneticPr fontId="12"/>
  </si>
  <si>
    <t>総経費</t>
    <rPh sb="0" eb="1">
      <t>ソウ</t>
    </rPh>
    <rPh sb="1" eb="3">
      <t>ケイヒ</t>
    </rPh>
    <phoneticPr fontId="12"/>
  </si>
  <si>
    <t>賃金</t>
    <rPh sb="0" eb="2">
      <t>チンギン</t>
    </rPh>
    <phoneticPr fontId="12"/>
  </si>
  <si>
    <t>通勤定期代</t>
    <rPh sb="0" eb="2">
      <t>ツウキン</t>
    </rPh>
    <rPh sb="2" eb="5">
      <t>テイキダイ</t>
    </rPh>
    <phoneticPr fontId="12"/>
  </si>
  <si>
    <t>健康保険</t>
    <rPh sb="0" eb="2">
      <t>ケンコウ</t>
    </rPh>
    <rPh sb="2" eb="4">
      <t>ホケン</t>
    </rPh>
    <phoneticPr fontId="12"/>
  </si>
  <si>
    <t>厚生年金</t>
    <rPh sb="0" eb="2">
      <t>コウセイ</t>
    </rPh>
    <rPh sb="2" eb="4">
      <t>ネンキン</t>
    </rPh>
    <phoneticPr fontId="12"/>
  </si>
  <si>
    <t>労災保険</t>
    <rPh sb="0" eb="2">
      <t>ロウサイ</t>
    </rPh>
    <rPh sb="2" eb="4">
      <t>ホケン</t>
    </rPh>
    <phoneticPr fontId="12"/>
  </si>
  <si>
    <t>雇用保険</t>
    <rPh sb="0" eb="2">
      <t>コヨウ</t>
    </rPh>
    <rPh sb="2" eb="4">
      <t>ホケン</t>
    </rPh>
    <phoneticPr fontId="12"/>
  </si>
  <si>
    <t>粗利</t>
    <rPh sb="0" eb="1">
      <t>アラ</t>
    </rPh>
    <rPh sb="1" eb="2">
      <t>リ</t>
    </rPh>
    <phoneticPr fontId="12"/>
  </si>
  <si>
    <t>交通費その他</t>
    <rPh sb="0" eb="3">
      <t>コウツウヒ</t>
    </rPh>
    <rPh sb="5" eb="6">
      <t>タ</t>
    </rPh>
    <phoneticPr fontId="12"/>
  </si>
  <si>
    <t>派遣</t>
    <rPh sb="0" eb="2">
      <t>ハケン</t>
    </rPh>
    <phoneticPr fontId="12"/>
  </si>
  <si>
    <t>技術第一本部東日本技術統括部UCテクノロジー部　　(五十嵐部長）</t>
    <rPh sb="0" eb="2">
      <t>ギジュツ</t>
    </rPh>
    <rPh sb="2" eb="4">
      <t>ダイイチ</t>
    </rPh>
    <rPh sb="4" eb="6">
      <t>ホンブ</t>
    </rPh>
    <rPh sb="6" eb="7">
      <t>ヒガシ</t>
    </rPh>
    <rPh sb="7" eb="9">
      <t>ニホン</t>
    </rPh>
    <rPh sb="9" eb="11">
      <t>ギジュツ</t>
    </rPh>
    <rPh sb="11" eb="13">
      <t>トウカツ</t>
    </rPh>
    <rPh sb="13" eb="14">
      <t>ブ</t>
    </rPh>
    <rPh sb="22" eb="23">
      <t>ブ</t>
    </rPh>
    <rPh sb="26" eb="29">
      <t>イガラシ</t>
    </rPh>
    <rPh sb="29" eb="31">
      <t>ブチョウ</t>
    </rPh>
    <phoneticPr fontId="10"/>
  </si>
  <si>
    <t>UCシステム設計、構築</t>
    <rPh sb="6" eb="8">
      <t>セッケイ</t>
    </rPh>
    <rPh sb="9" eb="11">
      <t>コウチク</t>
    </rPh>
    <phoneticPr fontId="10"/>
  </si>
  <si>
    <t>情報処理システム設計</t>
    <rPh sb="0" eb="2">
      <t>ジョウホウ</t>
    </rPh>
    <rPh sb="2" eb="4">
      <t>ショリ</t>
    </rPh>
    <rPh sb="8" eb="10">
      <t>セッケイ</t>
    </rPh>
    <phoneticPr fontId="10"/>
  </si>
  <si>
    <t>IP電話システムの運用業務全般、及び運用設計</t>
    <rPh sb="2" eb="4">
      <t>デンワ</t>
    </rPh>
    <rPh sb="9" eb="11">
      <t>ウンヨウ</t>
    </rPh>
    <rPh sb="11" eb="13">
      <t>ギョウム</t>
    </rPh>
    <rPh sb="13" eb="15">
      <t>ゼンパン</t>
    </rPh>
    <rPh sb="16" eb="17">
      <t>オヨ</t>
    </rPh>
    <rPh sb="18" eb="20">
      <t>ウンヨウ</t>
    </rPh>
    <rPh sb="20" eb="22">
      <t>セッケイ</t>
    </rPh>
    <phoneticPr fontId="10"/>
  </si>
  <si>
    <t>技術第三本部フィールドインテグレーションセンター　サイトサービスセンター（於保部長/齋藤正英グループMgr）</t>
    <rPh sb="0" eb="2">
      <t>ギジュツ</t>
    </rPh>
    <rPh sb="2" eb="4">
      <t>ダイサン</t>
    </rPh>
    <rPh sb="4" eb="6">
      <t>ホンブ</t>
    </rPh>
    <rPh sb="37" eb="38">
      <t>オ</t>
    </rPh>
    <rPh sb="38" eb="39">
      <t>ホ</t>
    </rPh>
    <rPh sb="39" eb="41">
      <t>ブチョウ</t>
    </rPh>
    <rPh sb="42" eb="44">
      <t>サイトウ</t>
    </rPh>
    <rPh sb="44" eb="46">
      <t>マサヒデ</t>
    </rPh>
    <phoneticPr fontId="12"/>
  </si>
  <si>
    <t>技術第一本部東日本技術統括部　　　　　　　　ソフトバンクプロジェクト</t>
    <rPh sb="0" eb="2">
      <t>ギジュツ</t>
    </rPh>
    <rPh sb="2" eb="4">
      <t>ダイイチ</t>
    </rPh>
    <rPh sb="4" eb="6">
      <t>ホンブ</t>
    </rPh>
    <rPh sb="6" eb="7">
      <t>ヒガシ</t>
    </rPh>
    <rPh sb="7" eb="9">
      <t>ニホン</t>
    </rPh>
    <rPh sb="9" eb="11">
      <t>ギジュツ</t>
    </rPh>
    <rPh sb="11" eb="13">
      <t>トウカツ</t>
    </rPh>
    <rPh sb="13" eb="14">
      <t>ブ</t>
    </rPh>
    <phoneticPr fontId="10"/>
  </si>
  <si>
    <t>ITアウトソーシングサービスのシステム開発</t>
    <rPh sb="19" eb="21">
      <t>カイハツ</t>
    </rPh>
    <phoneticPr fontId="12"/>
  </si>
  <si>
    <t>Uniadex　　　　技術第一本部技術統括部マネージメントサービス技術部（西村部長）</t>
    <rPh sb="11" eb="13">
      <t>ギジュツ</t>
    </rPh>
    <rPh sb="13" eb="15">
      <t>ダイイチ</t>
    </rPh>
    <rPh sb="15" eb="17">
      <t>ホンブ</t>
    </rPh>
    <rPh sb="17" eb="19">
      <t>ギジュツ</t>
    </rPh>
    <rPh sb="19" eb="21">
      <t>トウカツ</t>
    </rPh>
    <rPh sb="21" eb="22">
      <t>ブ</t>
    </rPh>
    <rPh sb="33" eb="35">
      <t>ギジュツ</t>
    </rPh>
    <rPh sb="35" eb="36">
      <t>ブ</t>
    </rPh>
    <rPh sb="37" eb="39">
      <t>ニシムラ</t>
    </rPh>
    <rPh sb="39" eb="41">
      <t>ブチョウ</t>
    </rPh>
    <phoneticPr fontId="12"/>
  </si>
  <si>
    <t>Uniadex　　　　　　技術第一本部技術統括部マネージメントサービス技術部（西村部長）</t>
    <rPh sb="13" eb="15">
      <t>ギジュツ</t>
    </rPh>
    <rPh sb="15" eb="17">
      <t>ダイイチ</t>
    </rPh>
    <rPh sb="17" eb="19">
      <t>ホンブ</t>
    </rPh>
    <rPh sb="19" eb="21">
      <t>ギジュツ</t>
    </rPh>
    <rPh sb="21" eb="23">
      <t>トウカツ</t>
    </rPh>
    <rPh sb="23" eb="24">
      <t>ブ</t>
    </rPh>
    <rPh sb="35" eb="37">
      <t>ギジュツ</t>
    </rPh>
    <rPh sb="37" eb="38">
      <t>ブ</t>
    </rPh>
    <rPh sb="39" eb="41">
      <t>ニシムラ</t>
    </rPh>
    <rPh sb="41" eb="43">
      <t>ブチョウ</t>
    </rPh>
    <phoneticPr fontId="12"/>
  </si>
  <si>
    <t>ネットワーク機器やサーバーを用いたシステムの設計、検証、構築、運用、保守、管理、調整業務</t>
    <rPh sb="6" eb="8">
      <t>キキ</t>
    </rPh>
    <rPh sb="14" eb="15">
      <t>モチ</t>
    </rPh>
    <rPh sb="22" eb="24">
      <t>セッケイ</t>
    </rPh>
    <rPh sb="25" eb="27">
      <t>ケンショウ</t>
    </rPh>
    <rPh sb="28" eb="30">
      <t>コウチク</t>
    </rPh>
    <rPh sb="31" eb="33">
      <t>ウンヨウ</t>
    </rPh>
    <rPh sb="34" eb="36">
      <t>ホシュ</t>
    </rPh>
    <rPh sb="37" eb="39">
      <t>カンリ</t>
    </rPh>
    <rPh sb="40" eb="42">
      <t>チョウセイ</t>
    </rPh>
    <rPh sb="42" eb="44">
      <t>ギョウム</t>
    </rPh>
    <phoneticPr fontId="12"/>
  </si>
  <si>
    <t>Uniadex　　　　　技術第三本部フィールドインテグレーションセンター　マネージメントサービスセンター（石井グループMgr）</t>
    <rPh sb="12" eb="14">
      <t>ギジュツ</t>
    </rPh>
    <rPh sb="14" eb="16">
      <t>ダイサン</t>
    </rPh>
    <rPh sb="16" eb="18">
      <t>ホンブ</t>
    </rPh>
    <rPh sb="53" eb="55">
      <t>イシイ</t>
    </rPh>
    <phoneticPr fontId="12"/>
  </si>
  <si>
    <t>運用チームオペレータ</t>
    <rPh sb="0" eb="2">
      <t>ウンヨウ</t>
    </rPh>
    <phoneticPr fontId="12"/>
  </si>
  <si>
    <t>Uniadex　　　　技術第三本部フィールドインテグレーションセンター　マネージメントサービスセンター（春山グループMgr）</t>
    <rPh sb="11" eb="13">
      <t>ギジュツ</t>
    </rPh>
    <rPh sb="13" eb="15">
      <t>ダイサン</t>
    </rPh>
    <rPh sb="15" eb="17">
      <t>ホンブ</t>
    </rPh>
    <rPh sb="52" eb="54">
      <t>ハルヤマ</t>
    </rPh>
    <phoneticPr fontId="12"/>
  </si>
  <si>
    <t>Uniadex　　　　　技術第三本部フィールドインテグレーションセンター　マネージメントサービスセンター（春山グループMgr）</t>
    <rPh sb="12" eb="14">
      <t>ギジュツ</t>
    </rPh>
    <rPh sb="14" eb="16">
      <t>ダイサン</t>
    </rPh>
    <rPh sb="16" eb="18">
      <t>ホンブ</t>
    </rPh>
    <rPh sb="53" eb="55">
      <t>ハルヤマ</t>
    </rPh>
    <phoneticPr fontId="12"/>
  </si>
  <si>
    <t>Unidex　　　　　技術第三本部フィールドインテグレーションセンター　マネージメントサービスセンター（春山グループMgr）</t>
    <rPh sb="11" eb="13">
      <t>ギジュツ</t>
    </rPh>
    <rPh sb="13" eb="15">
      <t>ダイサン</t>
    </rPh>
    <rPh sb="15" eb="17">
      <t>ホンブ</t>
    </rPh>
    <rPh sb="52" eb="54">
      <t>ハルヤマ</t>
    </rPh>
    <phoneticPr fontId="12"/>
  </si>
  <si>
    <t>Uniadeｘ　　　　　　技術第三本部フィールドインテグレーションセンター　マネージメントサービスセンター（春山グループMgr）</t>
    <rPh sb="13" eb="15">
      <t>ギジュツ</t>
    </rPh>
    <rPh sb="15" eb="17">
      <t>ダイサン</t>
    </rPh>
    <rPh sb="17" eb="19">
      <t>ホンブ</t>
    </rPh>
    <rPh sb="54" eb="56">
      <t>ハルヤマ</t>
    </rPh>
    <phoneticPr fontId="12"/>
  </si>
  <si>
    <t>Uniadex　　　　　　技術第三本部フィールドインテグレーションセンター　マネージメントサービスセンター（高柳Mgr)</t>
    <rPh sb="13" eb="15">
      <t>ギジュツ</t>
    </rPh>
    <rPh sb="15" eb="17">
      <t>ダイサン</t>
    </rPh>
    <rPh sb="17" eb="19">
      <t>ホンブ</t>
    </rPh>
    <rPh sb="54" eb="56">
      <t>タカヤナギ</t>
    </rPh>
    <phoneticPr fontId="10"/>
  </si>
  <si>
    <t>Uniadex　　　　　技術第三本部フィールドインテグレーションセンター　　　　　マネージメントサービスセンター</t>
    <rPh sb="12" eb="14">
      <t>ギジュツ</t>
    </rPh>
    <rPh sb="14" eb="16">
      <t>ダイサン</t>
    </rPh>
    <rPh sb="16" eb="18">
      <t>ホンブ</t>
    </rPh>
    <phoneticPr fontId="10"/>
  </si>
  <si>
    <t>社員</t>
    <rPh sb="0" eb="2">
      <t>シャイン</t>
    </rPh>
    <phoneticPr fontId="12"/>
  </si>
  <si>
    <t>社員</t>
    <rPh sb="0" eb="2">
      <t>シャイン</t>
    </rPh>
    <phoneticPr fontId="10"/>
  </si>
  <si>
    <t>No</t>
    <phoneticPr fontId="12"/>
  </si>
  <si>
    <t>NM</t>
    <phoneticPr fontId="10"/>
  </si>
  <si>
    <t>派遣先部署</t>
    <rPh sb="0" eb="2">
      <t>ハケン</t>
    </rPh>
    <rPh sb="2" eb="3">
      <t>サキ</t>
    </rPh>
    <rPh sb="3" eb="5">
      <t>ブショ</t>
    </rPh>
    <phoneticPr fontId="10"/>
  </si>
  <si>
    <t>派遣</t>
    <rPh sb="0" eb="2">
      <t>ハケン</t>
    </rPh>
    <phoneticPr fontId="10"/>
  </si>
  <si>
    <t>派遣</t>
  </si>
  <si>
    <t>総受注金額</t>
  </si>
  <si>
    <t>派遣金額</t>
  </si>
  <si>
    <t>総経費</t>
  </si>
  <si>
    <t>賃金</t>
  </si>
  <si>
    <t>社員</t>
  </si>
  <si>
    <t>通勤定期代</t>
  </si>
  <si>
    <t>健康保険</t>
  </si>
  <si>
    <t>厚生年金</t>
  </si>
  <si>
    <t>労災保険</t>
  </si>
  <si>
    <t>雇用保険</t>
  </si>
  <si>
    <t>粗利</t>
  </si>
  <si>
    <t>紹介費用</t>
  </si>
  <si>
    <t>中部支店</t>
    <rPh sb="0" eb="2">
      <t>チュウブ</t>
    </rPh>
    <rPh sb="2" eb="4">
      <t>シテン</t>
    </rPh>
    <phoneticPr fontId="10"/>
  </si>
  <si>
    <t>Q売上</t>
    <rPh sb="1" eb="3">
      <t>ウリアゲ</t>
    </rPh>
    <phoneticPr fontId="10"/>
  </si>
  <si>
    <t>Q粗利</t>
    <rPh sb="1" eb="3">
      <t>アラリ</t>
    </rPh>
    <phoneticPr fontId="10"/>
  </si>
  <si>
    <t>Q売上</t>
    <rPh sb="1" eb="3">
      <t>ウリアゲ</t>
    </rPh>
    <phoneticPr fontId="10"/>
  </si>
  <si>
    <t>Q仕入</t>
    <rPh sb="1" eb="3">
      <t>シイレ</t>
    </rPh>
    <phoneticPr fontId="10"/>
  </si>
  <si>
    <t>Q粗利</t>
    <rPh sb="1" eb="3">
      <t>アラリ</t>
    </rPh>
    <phoneticPr fontId="10"/>
  </si>
  <si>
    <t>派遣</t>
    <rPh sb="0" eb="2">
      <t>ハケン</t>
    </rPh>
    <phoneticPr fontId="10"/>
  </si>
  <si>
    <t>社員</t>
    <phoneticPr fontId="10"/>
  </si>
  <si>
    <t>中部</t>
    <rPh sb="0" eb="2">
      <t>チュウブ</t>
    </rPh>
    <phoneticPr fontId="10"/>
  </si>
  <si>
    <t>営業事務</t>
    <phoneticPr fontId="10"/>
  </si>
  <si>
    <t>社員番号</t>
    <rPh sb="0" eb="2">
      <t>シャイン</t>
    </rPh>
    <rPh sb="2" eb="4">
      <t>バンゴウ</t>
    </rPh>
    <phoneticPr fontId="10"/>
  </si>
  <si>
    <t>氏名</t>
    <rPh sb="0" eb="2">
      <t>シメイ</t>
    </rPh>
    <phoneticPr fontId="10"/>
  </si>
  <si>
    <t>地方</t>
    <rPh sb="0" eb="2">
      <t>チホウ</t>
    </rPh>
    <phoneticPr fontId="10"/>
  </si>
  <si>
    <t>紹介料</t>
    <rPh sb="0" eb="3">
      <t>ショウカイリョウ</t>
    </rPh>
    <phoneticPr fontId="12"/>
  </si>
  <si>
    <t>UAL　総計</t>
    <rPh sb="4" eb="5">
      <t>ソウ</t>
    </rPh>
    <rPh sb="5" eb="6">
      <t>ケイ</t>
    </rPh>
    <phoneticPr fontId="10"/>
  </si>
  <si>
    <t>派遣</t>
    <phoneticPr fontId="12"/>
  </si>
  <si>
    <t>社員</t>
    <phoneticPr fontId="12"/>
  </si>
  <si>
    <t>関西支店</t>
    <rPh sb="0" eb="4">
      <t>カンサイシテン</t>
    </rPh>
    <phoneticPr fontId="10"/>
  </si>
  <si>
    <t>本社営業</t>
    <phoneticPr fontId="12"/>
  </si>
  <si>
    <t>中電シーティーアイ　稲永</t>
    <rPh sb="0" eb="2">
      <t>チュウデン</t>
    </rPh>
    <rPh sb="10" eb="12">
      <t>イネナガ</t>
    </rPh>
    <phoneticPr fontId="10"/>
  </si>
  <si>
    <t>DXシステム本部</t>
    <rPh sb="6" eb="8">
      <t>ホンブ</t>
    </rPh>
    <phoneticPr fontId="10"/>
  </si>
  <si>
    <t>派遣</t>
    <phoneticPr fontId="10"/>
  </si>
  <si>
    <t>サポートサービス第二本部関西サービス一部</t>
    <phoneticPr fontId="10"/>
  </si>
  <si>
    <t>顧客対応当番</t>
    <rPh sb="0" eb="2">
      <t>コキャク</t>
    </rPh>
    <rPh sb="2" eb="4">
      <t>タイオウ</t>
    </rPh>
    <rPh sb="4" eb="6">
      <t>トウバン</t>
    </rPh>
    <phoneticPr fontId="12"/>
  </si>
  <si>
    <t>ビジネス推進本部</t>
    <rPh sb="4" eb="6">
      <t>スイシン</t>
    </rPh>
    <rPh sb="6" eb="8">
      <t>ホンブ</t>
    </rPh>
    <phoneticPr fontId="10"/>
  </si>
  <si>
    <t>カスタマーリレーション本部</t>
    <phoneticPr fontId="10"/>
  </si>
  <si>
    <t>中部営業本部</t>
    <phoneticPr fontId="10"/>
  </si>
  <si>
    <t>関西営業本部</t>
    <phoneticPr fontId="10"/>
  </si>
  <si>
    <t>関西営業本部関西第三営業部</t>
    <phoneticPr fontId="10"/>
  </si>
  <si>
    <t>サポートサービス第一本部東日本サービス部</t>
    <phoneticPr fontId="10"/>
  </si>
  <si>
    <t>委託</t>
    <rPh sb="0" eb="2">
      <t>イタク</t>
    </rPh>
    <phoneticPr fontId="12"/>
  </si>
  <si>
    <t>内勤営業</t>
    <rPh sb="0" eb="4">
      <t>ナイキンエイギョウ</t>
    </rPh>
    <phoneticPr fontId="10"/>
  </si>
  <si>
    <t>首都圏</t>
    <rPh sb="0" eb="3">
      <t>シュトケン</t>
    </rPh>
    <phoneticPr fontId="10"/>
  </si>
  <si>
    <t>委託</t>
    <rPh sb="0" eb="2">
      <t>イタク</t>
    </rPh>
    <phoneticPr fontId="10"/>
  </si>
  <si>
    <t>交通費その他</t>
    <rPh sb="0" eb="3">
      <t>コウツウヒ</t>
    </rPh>
    <rPh sb="5" eb="6">
      <t>タ</t>
    </rPh>
    <phoneticPr fontId="10"/>
  </si>
  <si>
    <t>総受注金額</t>
    <phoneticPr fontId="12"/>
  </si>
  <si>
    <t>派遣金額</t>
    <phoneticPr fontId="12"/>
  </si>
  <si>
    <t>総経費</t>
    <phoneticPr fontId="12"/>
  </si>
  <si>
    <t>賃金</t>
    <phoneticPr fontId="12"/>
  </si>
  <si>
    <t>通勤定期代</t>
    <phoneticPr fontId="12"/>
  </si>
  <si>
    <t>健康保険</t>
    <phoneticPr fontId="12"/>
  </si>
  <si>
    <t>厚生年金</t>
    <phoneticPr fontId="12"/>
  </si>
  <si>
    <t>労災保険</t>
    <phoneticPr fontId="12"/>
  </si>
  <si>
    <t>雇用保険</t>
    <phoneticPr fontId="12"/>
  </si>
  <si>
    <t>粗利</t>
    <phoneticPr fontId="12"/>
  </si>
  <si>
    <t>エンタープライズ営業本部エンタープライズ第二営業部</t>
    <phoneticPr fontId="10"/>
  </si>
  <si>
    <t>サービスプロバイダ営業本部サービスプロバイダ第二営業部</t>
    <phoneticPr fontId="10"/>
  </si>
  <si>
    <t>UAL本社営業本部</t>
    <rPh sb="3" eb="5">
      <t>ホンシャ</t>
    </rPh>
    <rPh sb="5" eb="7">
      <t>エイギョウ</t>
    </rPh>
    <rPh sb="7" eb="9">
      <t>ホンブ</t>
    </rPh>
    <phoneticPr fontId="10"/>
  </si>
  <si>
    <t>パートナー営業本部</t>
    <rPh sb="5" eb="7">
      <t>エイギョウ</t>
    </rPh>
    <rPh sb="7" eb="9">
      <t>ホンブ</t>
    </rPh>
    <phoneticPr fontId="10"/>
  </si>
  <si>
    <t>情報システム部システム運営室</t>
    <phoneticPr fontId="10"/>
  </si>
  <si>
    <t>アカウントサービス第一本部</t>
    <rPh sb="9" eb="11">
      <t>ダイイチ</t>
    </rPh>
    <rPh sb="11" eb="13">
      <t>ホンブ</t>
    </rPh>
    <phoneticPr fontId="10"/>
  </si>
  <si>
    <t>アカウントサービス第三本部関西ソリューションサービス部</t>
    <phoneticPr fontId="10"/>
  </si>
  <si>
    <t>ソリューションサービス本部クラウドソリューション三部</t>
    <phoneticPr fontId="10"/>
  </si>
  <si>
    <t>関西営業本部関西第二営業部</t>
    <phoneticPr fontId="10"/>
  </si>
  <si>
    <t>アカウントサービス第三本部中部システムサービス一部</t>
    <phoneticPr fontId="10"/>
  </si>
  <si>
    <t>サポートサービス第二本部中部サービス部</t>
    <phoneticPr fontId="10"/>
  </si>
  <si>
    <t>関西クラウドサービス部</t>
    <rPh sb="10" eb="11">
      <t>ブ</t>
    </rPh>
    <phoneticPr fontId="10"/>
  </si>
  <si>
    <t>派遣</t>
    <phoneticPr fontId="10"/>
  </si>
  <si>
    <t>社員</t>
    <rPh sb="0" eb="2">
      <t>シャイン</t>
    </rPh>
    <phoneticPr fontId="10"/>
  </si>
  <si>
    <t>地方全体</t>
    <rPh sb="0" eb="2">
      <t>チホウ</t>
    </rPh>
    <rPh sb="2" eb="4">
      <t>ゼンタイ</t>
    </rPh>
    <phoneticPr fontId="10"/>
  </si>
  <si>
    <t>KDDI小山</t>
    <rPh sb="4" eb="6">
      <t>オヤマ</t>
    </rPh>
    <phoneticPr fontId="10"/>
  </si>
  <si>
    <t>契約単価上昇係数</t>
    <rPh sb="0" eb="4">
      <t>ケイヤクタンカ</t>
    </rPh>
    <rPh sb="4" eb="6">
      <t>ジョウショウ</t>
    </rPh>
    <rPh sb="6" eb="8">
      <t>ケイスウ</t>
    </rPh>
    <phoneticPr fontId="10"/>
  </si>
  <si>
    <t>賃上げ上昇係数</t>
    <rPh sb="0" eb="2">
      <t>チンア</t>
    </rPh>
    <rPh sb="3" eb="5">
      <t>ジョウショウ</t>
    </rPh>
    <rPh sb="5" eb="7">
      <t>ケイスウ</t>
    </rPh>
    <phoneticPr fontId="10"/>
  </si>
  <si>
    <t>業務委託</t>
    <rPh sb="0" eb="4">
      <t>ギョウムイタク</t>
    </rPh>
    <phoneticPr fontId="10"/>
  </si>
  <si>
    <t>－</t>
    <phoneticPr fontId="10"/>
  </si>
  <si>
    <t>マーケティングコミュニケーション本部戦略企画推進部</t>
    <phoneticPr fontId="10"/>
  </si>
  <si>
    <t>マネージドサービス第二本部サービスマネジメント部</t>
    <rPh sb="9" eb="11">
      <t>ダイニ</t>
    </rPh>
    <rPh sb="11" eb="13">
      <t>ホンブ</t>
    </rPh>
    <rPh sb="23" eb="24">
      <t>ブ</t>
    </rPh>
    <phoneticPr fontId="10"/>
  </si>
  <si>
    <t>マネージドサービス第二本部サービスマネジメント部</t>
    <phoneticPr fontId="10"/>
  </si>
  <si>
    <t>パートナー営業本部第三営業部</t>
    <phoneticPr fontId="10"/>
  </si>
  <si>
    <t>パートナー営業本部第四営業部</t>
    <phoneticPr fontId="10"/>
  </si>
  <si>
    <t>ビジネス推進本部ビジネス企画推進部ビジネス企画推進二室</t>
    <phoneticPr fontId="10"/>
  </si>
  <si>
    <t>管理本部法務部企画法務室</t>
    <phoneticPr fontId="10"/>
  </si>
  <si>
    <t>DXシステム本部ＤＸ＆プロセス革新推進部システム運営室</t>
    <phoneticPr fontId="10"/>
  </si>
  <si>
    <t>マネージドサービス第二本部</t>
    <rPh sb="9" eb="11">
      <t>ダイニ</t>
    </rPh>
    <rPh sb="11" eb="13">
      <t>ホンブ</t>
    </rPh>
    <phoneticPr fontId="10"/>
  </si>
  <si>
    <t>マーケティングコミュニケーション本部</t>
    <phoneticPr fontId="10"/>
  </si>
  <si>
    <t>アカウントサービス第一本部システムサービス二部</t>
    <phoneticPr fontId="10"/>
  </si>
  <si>
    <t>アカウントサービス第一本部システムサービス三部</t>
    <phoneticPr fontId="10"/>
  </si>
  <si>
    <t>アカウントサービス第二本部。公共ＩＣＴエンジニアリング一部</t>
    <phoneticPr fontId="10"/>
  </si>
  <si>
    <t>ネットワークサービス本部テクニカルサポート二部</t>
    <phoneticPr fontId="10"/>
  </si>
  <si>
    <t>ネットワークサービス本部</t>
    <rPh sb="10" eb="12">
      <t>ホンブ</t>
    </rPh>
    <phoneticPr fontId="10"/>
  </si>
  <si>
    <t>社員番号</t>
    <phoneticPr fontId="10"/>
  </si>
  <si>
    <t>アカウントサービス第二本部公共ＩＣＴエンジニアリング三部</t>
    <phoneticPr fontId="10"/>
  </si>
  <si>
    <t>アカウントサービス第二本部</t>
    <phoneticPr fontId="10"/>
  </si>
  <si>
    <t>アカウントサービス第五本部</t>
    <phoneticPr fontId="10"/>
  </si>
  <si>
    <t>アカウントサービス第五本部サービス三部</t>
    <phoneticPr fontId="10"/>
  </si>
  <si>
    <t>アカウントサービス第五本部サービス五部</t>
    <phoneticPr fontId="10"/>
  </si>
  <si>
    <t>マネージドサービス第一本部クラウドマネージドサービス一部</t>
    <phoneticPr fontId="10"/>
  </si>
  <si>
    <t>マネージドサービス第一本部モニタリング＆マネジメント部</t>
    <phoneticPr fontId="10"/>
  </si>
  <si>
    <t>マネージドサービス第一本部</t>
    <phoneticPr fontId="10"/>
  </si>
  <si>
    <t>マネージドサービス第二本部サービスサポート部</t>
    <phoneticPr fontId="10"/>
  </si>
  <si>
    <t>マネージドサービス第二本部Ｕ－Ｃｌｏｕｄサービス部</t>
    <phoneticPr fontId="10"/>
  </si>
  <si>
    <t>セキュリティサービス本部セキュリティマネジメント部</t>
    <phoneticPr fontId="10"/>
  </si>
  <si>
    <t>セキュリティサービス本部セキュリティコンサルティング部</t>
    <phoneticPr fontId="10"/>
  </si>
  <si>
    <t>カスタマーリレーション本部カスタマーリレーション推進部</t>
    <phoneticPr fontId="10"/>
  </si>
  <si>
    <t>カスタマーリレーション本部フィールドサポート一部</t>
    <phoneticPr fontId="10"/>
  </si>
  <si>
    <t>アドバンスドサービス二部カスタマーリレーション本部カスタマーサービス部</t>
    <phoneticPr fontId="10"/>
  </si>
  <si>
    <t>セキュリティサービス本部</t>
    <phoneticPr fontId="10"/>
  </si>
  <si>
    <t>週３勤務</t>
    <rPh sb="0" eb="1">
      <t>シュウ</t>
    </rPh>
    <rPh sb="2" eb="4">
      <t>キンム</t>
    </rPh>
    <phoneticPr fontId="10"/>
  </si>
  <si>
    <t>アカウントサービス第五本部ネットワーク＆デザイン部</t>
    <phoneticPr fontId="10"/>
  </si>
  <si>
    <t>サポートサービス第二本部関西サービス二部</t>
    <phoneticPr fontId="10"/>
  </si>
  <si>
    <t>転出</t>
    <rPh sb="0" eb="2">
      <t>テンシュツ</t>
    </rPh>
    <phoneticPr fontId="10"/>
  </si>
  <si>
    <t>有期雇用</t>
    <rPh sb="0" eb="4">
      <t>ユウキコヨウ</t>
    </rPh>
    <phoneticPr fontId="10"/>
  </si>
  <si>
    <t>DXシステム本部情報システム部システム基盤管理室</t>
    <phoneticPr fontId="10"/>
  </si>
  <si>
    <t>転出</t>
    <rPh sb="0" eb="2">
      <t>テンシュツ</t>
    </rPh>
    <phoneticPr fontId="12"/>
  </si>
  <si>
    <t>九州</t>
    <rPh sb="0" eb="2">
      <t>キュウシュウ</t>
    </rPh>
    <phoneticPr fontId="10"/>
  </si>
  <si>
    <t>顧客当番手当</t>
    <rPh sb="0" eb="2">
      <t>コキャク</t>
    </rPh>
    <rPh sb="2" eb="4">
      <t>トウバン</t>
    </rPh>
    <rPh sb="4" eb="6">
      <t>テアテ</t>
    </rPh>
    <phoneticPr fontId="1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</si>
</sst>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6" formatCode="&quot;¥&quot;#,##0;[Red]&quot;¥&quot;\-#,##0"/>
    <numFmt numFmtId="176" formatCode="&quot;¥&quot;#,##0_);[Red]\(&quot;¥&quot;#,##0\)"/>
  </numFmts>
  <fonts count="34"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3"/>
      <charset val="128"/>
      <scheme val="minor"/>
    </font>
    <font>
      <sz val="10"/>
      <color theme="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Ｐゴシック"/>
      <family val="3"/>
      <charset val="128"/>
    </font>
    <font>
      <sz val="11"/>
      <color theme="1"/>
      <name val="ＭＳ Ｐゴシック"/>
      <family val="2"/>
      <scheme val="minor"/>
    </font>
    <font>
      <sz val="11"/>
      <name val="ＭＳ Ｐゴシック"/>
      <family val="3"/>
      <charset val="128"/>
    </font>
    <font>
      <sz val="10"/>
      <color theme="0"/>
      <name val="ＭＳ Ｐゴシック"/>
      <family val="3"/>
      <charset val="128"/>
    </font>
    <font>
      <sz val="10"/>
      <color theme="1"/>
      <name val="ＭＳ Ｐゴシック"/>
      <family val="3"/>
      <charset val="128"/>
      <scheme val="minor"/>
    </font>
    <font>
      <b/>
      <sz val="10"/>
      <name val="ＭＳ Ｐゴシック"/>
      <family val="3"/>
      <charset val="128"/>
    </font>
    <font>
      <sz val="10"/>
      <color rgb="FF0000FF"/>
      <name val="ＭＳ Ｐゴシック"/>
      <family val="3"/>
      <charset val="128"/>
    </font>
    <font>
      <b/>
      <sz val="10"/>
      <color rgb="FF0000FF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b/>
      <sz val="12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11"/>
      <name val="ＭＳ Ｐゴシック"/>
      <family val="3"/>
      <charset val="128"/>
      <scheme val="minor"/>
    </font>
    <font>
      <sz val="10"/>
      <color indexed="8"/>
      <name val="ＭＳ Ｐゴシック"/>
      <family val="3"/>
      <charset val="128"/>
    </font>
    <font>
      <b/>
      <sz val="10"/>
      <color indexed="8"/>
      <name val="ＭＳ Ｐゴシック"/>
      <family val="3"/>
      <charset val="128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  <font>
      <b/>
      <sz val="11"/>
      <color rgb="FFFF0000"/>
      <name val="ＭＳ Ｐゴシック"/>
      <family val="3"/>
      <charset val="128"/>
    </font>
    <font>
      <b/>
      <sz val="10"/>
      <color rgb="FFFF0000"/>
      <name val="ＭＳ Ｐゴシック"/>
      <family val="3"/>
      <charset val="128"/>
    </font>
    <font>
      <sz val="9"/>
      <color indexed="81"/>
      <name val="游ゴシック"/>
      <family val="3"/>
      <charset val="128"/>
    </font>
    <font>
      <sz val="10"/>
      <color rgb="FFFF0000"/>
      <name val="ＭＳ Ｐゴシック"/>
      <family val="3"/>
      <charset val="128"/>
    </font>
    <font>
      <sz val="9"/>
      <color indexed="81"/>
      <name val="ＭＳ Ｐゴシック"/>
      <family val="3"/>
      <charset val="128"/>
    </font>
  </fonts>
  <fills count="1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D1FFE8"/>
        <bgColor indexed="64"/>
      </patternFill>
    </fill>
  </fills>
  <borders count="19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indexed="64"/>
      </left>
      <right style="thin">
        <color indexed="64"/>
      </right>
      <top style="thin">
        <color theme="0" tint="-0.34998626667073579"/>
      </top>
      <bottom style="double">
        <color indexed="63"/>
      </bottom>
      <diagonal/>
    </border>
    <border>
      <left style="dashed">
        <color indexed="64"/>
      </left>
      <right style="thin">
        <color indexed="64"/>
      </right>
      <top/>
      <bottom style="thin">
        <color indexed="22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34998626667073579"/>
      </top>
      <bottom style="thin">
        <color indexed="64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 style="thin">
        <color theme="0" tint="-0.24994659260841701"/>
      </top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indexed="8"/>
      </left>
      <right style="thin">
        <color indexed="64"/>
      </right>
      <top/>
      <bottom style="thin">
        <color theme="0" tint="-0.34998626667073579"/>
      </bottom>
      <diagonal/>
    </border>
    <border>
      <left style="thin">
        <color indexed="64"/>
      </left>
      <right style="thin">
        <color indexed="64"/>
      </right>
      <top style="thin">
        <color theme="0" tint="-0.24994659260841701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24994659260841701"/>
      </bottom>
      <diagonal/>
    </border>
    <border>
      <left style="thin">
        <color indexed="8"/>
      </left>
      <right style="thin">
        <color indexed="64"/>
      </right>
      <top style="thin">
        <color theme="0" tint="-0.34998626667073579"/>
      </top>
      <bottom style="thin">
        <color indexed="64"/>
      </bottom>
      <diagonal/>
    </border>
    <border>
      <left style="thin">
        <color indexed="64"/>
      </left>
      <right style="thin">
        <color theme="0" tint="-0.24994659260841701"/>
      </right>
      <top style="thin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indexed="64"/>
      </right>
      <top style="thin">
        <color indexed="64"/>
      </top>
      <bottom style="thin">
        <color theme="0" tint="-0.24994659260841701"/>
      </bottom>
      <diagonal/>
    </border>
    <border>
      <left style="thin">
        <color indexed="64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 style="thin">
        <color theme="0" tint="-0.24994659260841701"/>
      </right>
      <top style="thin">
        <color theme="0" tint="-0.24994659260841701"/>
      </top>
      <bottom style="double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double">
        <color indexed="64"/>
      </bottom>
      <diagonal/>
    </border>
    <border>
      <left style="thin">
        <color indexed="64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indexed="64"/>
      </left>
      <right style="thin">
        <color theme="0" tint="-0.24994659260841701"/>
      </right>
      <top style="thin">
        <color theme="0" tint="-0.24994659260841701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indexed="64"/>
      </bottom>
      <diagonal/>
    </border>
    <border>
      <left style="thin">
        <color theme="0" tint="-0.24994659260841701"/>
      </left>
      <right style="thin">
        <color indexed="64"/>
      </right>
      <top style="thin">
        <color theme="0" tint="-0.24994659260841701"/>
      </top>
      <bottom style="thin">
        <color indexed="64"/>
      </bottom>
      <diagonal/>
    </border>
    <border>
      <left style="thin">
        <color indexed="64"/>
      </left>
      <right style="thin">
        <color theme="0" tint="-0.24994659260841701"/>
      </right>
      <top style="thin">
        <color indexed="64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indexed="64"/>
      </top>
      <bottom style="thin">
        <color indexed="64"/>
      </bottom>
      <diagonal/>
    </border>
    <border>
      <left style="thin">
        <color theme="0" tint="-0.24994659260841701"/>
      </left>
      <right/>
      <top style="thin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indexed="64"/>
      </top>
      <bottom style="thin">
        <color indexed="64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double">
        <color indexed="64"/>
      </bottom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theme="0" tint="-0.34998626667073579"/>
      </top>
      <bottom style="double">
        <color indexed="64"/>
      </bottom>
      <diagonal/>
    </border>
    <border>
      <left style="thin">
        <color indexed="64"/>
      </left>
      <right style="thin">
        <color theme="0" tint="-0.24994659260841701"/>
      </right>
      <top style="thin">
        <color theme="0" tint="-0.34998626667073579"/>
      </top>
      <bottom style="double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34998626667073579"/>
      </top>
      <bottom style="double">
        <color indexed="64"/>
      </bottom>
      <diagonal/>
    </border>
    <border>
      <left style="dashed">
        <color indexed="64"/>
      </left>
      <right style="thin">
        <color indexed="64"/>
      </right>
      <top style="thin">
        <color indexed="22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2"/>
      </top>
      <bottom style="thin">
        <color indexed="64"/>
      </bottom>
      <diagonal/>
    </border>
    <border>
      <left style="thin">
        <color indexed="8"/>
      </left>
      <right style="thin">
        <color indexed="64"/>
      </right>
      <top/>
      <bottom style="thin">
        <color indexed="22"/>
      </bottom>
      <diagonal/>
    </border>
    <border>
      <left style="thin">
        <color indexed="8"/>
      </left>
      <right style="thin">
        <color indexed="64"/>
      </right>
      <top style="thin">
        <color indexed="22"/>
      </top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22"/>
      </top>
      <bottom style="thin">
        <color indexed="22"/>
      </bottom>
      <diagonal/>
    </border>
    <border>
      <left style="dashed">
        <color indexed="64"/>
      </left>
      <right style="thin">
        <color indexed="64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64"/>
      </right>
      <top style="thin">
        <color indexed="64"/>
      </top>
      <bottom style="thin">
        <color theme="0" tint="-0.34998626667073579"/>
      </bottom>
      <diagonal/>
    </border>
    <border>
      <left style="thin">
        <color indexed="8"/>
      </left>
      <right style="thin">
        <color indexed="64"/>
      </right>
      <top style="thin">
        <color theme="0" tint="-0.34998626667073579"/>
      </top>
      <bottom style="double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22"/>
      </top>
      <bottom style="double">
        <color indexed="64"/>
      </bottom>
      <diagonal/>
    </border>
    <border>
      <left style="dashed">
        <color indexed="64"/>
      </left>
      <right style="thin">
        <color indexed="64"/>
      </right>
      <top style="thin">
        <color indexed="22"/>
      </top>
      <bottom style="double">
        <color indexed="64"/>
      </bottom>
      <diagonal/>
    </border>
    <border>
      <left style="thin">
        <color indexed="64"/>
      </left>
      <right style="thin">
        <color theme="0" tint="-0.24994659260841701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24994659260841701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indexed="64"/>
      </left>
      <right style="thin">
        <color theme="0" tint="-0.24994659260841701"/>
      </right>
      <top style="thin">
        <color theme="0" tint="-0.34998626667073579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34998626667073579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indexed="22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theme="0" tint="-0.24994659260841701"/>
      </right>
      <top/>
      <bottom style="thin">
        <color theme="0" tint="-0.34998626667073579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34998626667073579"/>
      </bottom>
      <diagonal/>
    </border>
    <border>
      <left style="thin">
        <color indexed="64"/>
      </left>
      <right style="thin">
        <color theme="0" tint="-0.24994659260841701"/>
      </right>
      <top style="double">
        <color indexed="64"/>
      </top>
      <bottom style="thin">
        <color theme="0" tint="-0.34998626667073579"/>
      </bottom>
      <diagonal/>
    </border>
    <border>
      <left style="thin">
        <color theme="0" tint="-0.24994659260841701"/>
      </left>
      <right style="thin">
        <color theme="0" tint="-0.24994659260841701"/>
      </right>
      <top style="double">
        <color indexed="64"/>
      </top>
      <bottom style="thin">
        <color theme="0" tint="-0.34998626667073579"/>
      </bottom>
      <diagonal/>
    </border>
    <border>
      <left style="thin">
        <color indexed="64"/>
      </left>
      <right style="thin">
        <color indexed="64"/>
      </right>
      <top style="thin">
        <color indexed="22"/>
      </top>
      <bottom style="double">
        <color indexed="64"/>
      </bottom>
      <diagonal/>
    </border>
    <border>
      <left style="thin">
        <color theme="0" tint="-0.24994659260841701"/>
      </left>
      <right style="thin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24994659260841701"/>
      </left>
      <right style="thin">
        <color indexed="64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indexed="64"/>
      </right>
      <top style="thin">
        <color theme="0" tint="-0.34998626667073579"/>
      </top>
      <bottom style="thin">
        <color indexed="64"/>
      </bottom>
      <diagonal/>
    </border>
    <border>
      <left style="thin">
        <color theme="0" tint="-0.24994659260841701"/>
      </left>
      <right style="thin">
        <color indexed="8"/>
      </right>
      <top style="thin">
        <color theme="0" tint="-0.34998626667073579"/>
      </top>
      <bottom style="thin">
        <color indexed="64"/>
      </bottom>
      <diagonal/>
    </border>
    <border>
      <left style="thin">
        <color theme="0" tint="-0.2499465926084170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 tint="-0.24994659260841701"/>
      </right>
      <top style="thin">
        <color indexed="64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indexed="64"/>
      </top>
      <bottom/>
      <diagonal/>
    </border>
    <border>
      <left style="thin">
        <color theme="0" tint="-0.24994659260841701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thin">
        <color indexed="64"/>
      </right>
      <top/>
      <bottom/>
      <diagonal/>
    </border>
    <border>
      <left style="thin">
        <color indexed="64"/>
      </left>
      <right style="thin">
        <color theme="0" tint="-0.24994659260841701"/>
      </right>
      <top/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indexed="64"/>
      </bottom>
      <diagonal/>
    </border>
    <border>
      <left style="thin">
        <color theme="0" tint="-0.24994659260841701"/>
      </left>
      <right style="thin">
        <color indexed="64"/>
      </right>
      <top/>
      <bottom style="thin">
        <color indexed="64"/>
      </bottom>
      <diagonal/>
    </border>
    <border>
      <left style="thin">
        <color theme="0" tint="-0.24994659260841701"/>
      </left>
      <right style="thin">
        <color indexed="64"/>
      </right>
      <top style="thin">
        <color theme="0" tint="-0.24994659260841701"/>
      </top>
      <bottom style="double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indexed="22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indexed="22"/>
      </top>
      <bottom style="thin">
        <color indexed="22"/>
      </bottom>
      <diagonal/>
    </border>
    <border>
      <left style="thin">
        <color theme="0" tint="-0.24994659260841701"/>
      </left>
      <right style="thin">
        <color indexed="64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theme="0" tint="-0.24994659260841701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theme="0" tint="-0.24994659260841701"/>
      </right>
      <top/>
      <bottom style="double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double">
        <color indexed="64"/>
      </bottom>
      <diagonal/>
    </border>
    <border>
      <left style="thin">
        <color theme="0" tint="-0.24994659260841701"/>
      </left>
      <right style="thin">
        <color indexed="64"/>
      </right>
      <top/>
      <bottom style="double">
        <color indexed="64"/>
      </bottom>
      <diagonal/>
    </border>
    <border>
      <left style="thin">
        <color theme="0" tint="-0.24994659260841701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 tint="-0.24994659260841701"/>
      </right>
      <top style="thin">
        <color theme="0" tint="-0.34998626667073579"/>
      </top>
      <bottom style="double">
        <color indexed="63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34998626667073579"/>
      </top>
      <bottom style="double">
        <color indexed="63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indexed="64"/>
      </top>
      <bottom style="thin">
        <color indexed="22"/>
      </bottom>
      <diagonal/>
    </border>
    <border>
      <left style="thin">
        <color theme="0" tint="-0.24994659260841701"/>
      </left>
      <right style="thin">
        <color indexed="22"/>
      </right>
      <top style="thin">
        <color indexed="64"/>
      </top>
      <bottom style="thin">
        <color indexed="22"/>
      </bottom>
      <diagonal/>
    </border>
    <border>
      <left style="thin">
        <color theme="0" tint="-0.24994659260841701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theme="0" tint="-0.24994659260841701"/>
      </left>
      <right style="thin">
        <color indexed="22"/>
      </right>
      <top/>
      <bottom style="thin">
        <color indexed="64"/>
      </bottom>
      <diagonal/>
    </border>
    <border>
      <left style="thin">
        <color theme="0" tint="-0.24994659260841701"/>
      </left>
      <right style="thin">
        <color indexed="22"/>
      </right>
      <top/>
      <bottom style="thin">
        <color indexed="22"/>
      </bottom>
      <diagonal/>
    </border>
    <border>
      <left style="thin">
        <color theme="0" tint="-0.24994659260841701"/>
      </left>
      <right style="thin">
        <color indexed="22"/>
      </right>
      <top/>
      <bottom style="double">
        <color indexed="64"/>
      </bottom>
      <diagonal/>
    </border>
    <border>
      <left style="thin">
        <color theme="0" tint="-0.24994659260841701"/>
      </left>
      <right style="thin">
        <color indexed="64"/>
      </right>
      <top style="thin">
        <color theme="0" tint="-0.34998626667073579"/>
      </top>
      <bottom style="double">
        <color indexed="64"/>
      </bottom>
      <diagonal/>
    </border>
    <border>
      <left style="thin">
        <color indexed="64"/>
      </left>
      <right style="thin">
        <color theme="0" tint="-0.24994659260841701"/>
      </right>
      <top/>
      <bottom style="thin">
        <color indexed="22"/>
      </bottom>
      <diagonal/>
    </border>
    <border>
      <left style="thin">
        <color theme="0" tint="-0.24994659260841701"/>
      </left>
      <right/>
      <top/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indexed="64"/>
      </top>
      <bottom style="thin">
        <color theme="0" tint="-0.34998626667073579"/>
      </bottom>
      <diagonal/>
    </border>
    <border>
      <left style="thin">
        <color theme="0" tint="-0.24994659260841701"/>
      </left>
      <right style="thin">
        <color theme="0" tint="-0.34998626667073579"/>
      </right>
      <top style="thin">
        <color indexed="64"/>
      </top>
      <bottom style="thin">
        <color theme="0" tint="-0.34998626667073579"/>
      </bottom>
      <diagonal/>
    </border>
    <border>
      <left style="thin">
        <color theme="0" tint="-0.24994659260841701"/>
      </left>
      <right style="thin">
        <color indexed="8"/>
      </right>
      <top style="thin">
        <color theme="0" tint="-0.34998626667073579"/>
      </top>
      <bottom style="double">
        <color indexed="64"/>
      </bottom>
      <diagonal/>
    </border>
    <border>
      <left style="dashed">
        <color indexed="64"/>
      </left>
      <right style="thin">
        <color indexed="64"/>
      </right>
      <top style="thin">
        <color indexed="64"/>
      </top>
      <bottom style="thin">
        <color indexed="22"/>
      </bottom>
      <diagonal/>
    </border>
    <border>
      <left style="thin">
        <color indexed="64"/>
      </left>
      <right style="thin">
        <color theme="0" tint="-0.24994659260841701"/>
      </right>
      <top style="thin">
        <color indexed="64"/>
      </top>
      <bottom style="thin">
        <color indexed="22"/>
      </bottom>
      <diagonal/>
    </border>
    <border>
      <left style="thin">
        <color indexed="8"/>
      </left>
      <right style="thin">
        <color indexed="64"/>
      </right>
      <top style="thin">
        <color indexed="64"/>
      </top>
      <bottom style="thin">
        <color indexed="22"/>
      </bottom>
      <diagonal/>
    </border>
    <border>
      <left style="thin">
        <color theme="0" tint="-0.24994659260841701"/>
      </left>
      <right style="thin">
        <color indexed="64"/>
      </right>
      <top style="thin">
        <color indexed="64"/>
      </top>
      <bottom style="thin">
        <color indexed="22"/>
      </bottom>
      <diagonal/>
    </border>
    <border>
      <left style="thin">
        <color indexed="64"/>
      </left>
      <right style="thin">
        <color theme="0" tint="-0.24994659260841701"/>
      </right>
      <top style="thin">
        <color indexed="22"/>
      </top>
      <bottom style="thin">
        <color indexed="64"/>
      </bottom>
      <diagonal/>
    </border>
    <border>
      <left style="thin">
        <color indexed="64"/>
      </left>
      <right style="thin">
        <color theme="0" tint="-0.24994659260841701"/>
      </right>
      <top style="thin">
        <color indexed="22"/>
      </top>
      <bottom style="double">
        <color indexed="64"/>
      </bottom>
      <diagonal/>
    </border>
    <border>
      <left style="thin">
        <color theme="0" tint="-0.24994659260841701"/>
      </left>
      <right/>
      <top/>
      <bottom style="thin">
        <color theme="0" tint="-0.34998626667073579"/>
      </bottom>
      <diagonal/>
    </border>
    <border>
      <left style="thin">
        <color theme="0" tint="-0.24994659260841701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theme="0" tint="-0.24994659260841701"/>
      </right>
      <top style="thin">
        <color indexed="64"/>
      </top>
      <bottom style="thin">
        <color indexed="64"/>
      </bottom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double">
        <color indexed="64"/>
      </bottom>
      <diagonal/>
    </border>
    <border>
      <left/>
      <right style="thin">
        <color theme="0" tint="-0.24994659260841701"/>
      </right>
      <top style="thin">
        <color indexed="64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indexed="64"/>
      </bottom>
      <diagonal/>
    </border>
    <border>
      <left/>
      <right style="thin">
        <color theme="0" tint="-0.24994659260841701"/>
      </right>
      <top/>
      <bottom style="thin">
        <color indexed="64"/>
      </bottom>
      <diagonal/>
    </border>
    <border>
      <left style="thin">
        <color indexed="64"/>
      </left>
      <right style="thin">
        <color theme="0" tint="-0.24994659260841701"/>
      </right>
      <top style="thin">
        <color indexed="64"/>
      </top>
      <bottom style="thin">
        <color theme="0" tint="-0.34998626667073579"/>
      </bottom>
      <diagonal/>
    </border>
    <border>
      <left style="thin">
        <color indexed="64"/>
      </left>
      <right style="thin">
        <color indexed="64"/>
      </right>
      <top style="thin">
        <color indexed="22"/>
      </top>
      <bottom/>
      <diagonal/>
    </border>
    <border>
      <left style="thin">
        <color theme="0" tint="-0.24994659260841701"/>
      </left>
      <right style="thin">
        <color indexed="8"/>
      </right>
      <top style="thin">
        <color theme="0" tint="-0.24994659260841701"/>
      </top>
      <bottom style="double">
        <color indexed="64"/>
      </bottom>
      <diagonal/>
    </border>
    <border>
      <left style="thin">
        <color theme="0" tint="-0.24994659260841701"/>
      </left>
      <right style="thin">
        <color indexed="8"/>
      </right>
      <top style="thin">
        <color theme="0" tint="-0.2499465926084170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24994659260841701"/>
      </left>
      <right/>
      <top style="thin">
        <color theme="0" tint="-0.34998626667073579"/>
      </top>
      <bottom style="double">
        <color indexed="63"/>
      </bottom>
      <diagonal/>
    </border>
    <border>
      <left style="thin">
        <color theme="0" tint="-0.24994659260841701"/>
      </left>
      <right/>
      <top style="thin">
        <color indexed="64"/>
      </top>
      <bottom style="thin">
        <color indexed="22"/>
      </bottom>
      <diagonal/>
    </border>
    <border>
      <left style="thin">
        <color theme="0" tint="-0.24994659260841701"/>
      </left>
      <right/>
      <top style="thin">
        <color indexed="22"/>
      </top>
      <bottom style="thin">
        <color indexed="22"/>
      </bottom>
      <diagonal/>
    </border>
    <border>
      <left style="thin">
        <color theme="0" tint="-0.24994659260841701"/>
      </left>
      <right/>
      <top/>
      <bottom style="double">
        <color indexed="64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indexed="64"/>
      </bottom>
      <diagonal/>
    </border>
    <border>
      <left/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indexed="64"/>
      </top>
      <bottom style="thin">
        <color theme="0" tint="-0.24994659260841701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24994659260841701"/>
      </bottom>
      <diagonal/>
    </border>
    <border>
      <left/>
      <right style="thin">
        <color indexed="64"/>
      </right>
      <top style="thin">
        <color theme="0" tint="-0.24994659260841701"/>
      </top>
      <bottom style="thin">
        <color indexed="64"/>
      </bottom>
      <diagonal/>
    </border>
    <border>
      <left style="thin">
        <color theme="0" tint="-0.24994659260841701"/>
      </left>
      <right style="thin">
        <color indexed="22"/>
      </right>
      <top/>
      <bottom/>
      <diagonal/>
    </border>
    <border>
      <left style="thin">
        <color indexed="8"/>
      </left>
      <right style="thin">
        <color indexed="64"/>
      </right>
      <top style="thin">
        <color indexed="22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4659260841701"/>
      </right>
      <top style="thin">
        <color indexed="22"/>
      </top>
      <bottom style="thin">
        <color indexed="22"/>
      </bottom>
      <diagonal/>
    </border>
    <border>
      <left/>
      <right/>
      <top style="thin">
        <color theme="0" tint="-0.249977111117893"/>
      </top>
      <bottom/>
      <diagonal/>
    </border>
    <border>
      <left style="thin">
        <color indexed="64"/>
      </left>
      <right/>
      <top style="thin">
        <color indexed="22"/>
      </top>
      <bottom style="thin">
        <color indexed="22"/>
      </bottom>
      <diagonal/>
    </border>
    <border>
      <left style="thin">
        <color theme="0" tint="-0.24994659260841701"/>
      </left>
      <right/>
      <top style="thin">
        <color indexed="22"/>
      </top>
      <bottom style="thin">
        <color indexed="22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indexed="22"/>
      </top>
      <bottom/>
      <diagonal/>
    </border>
    <border>
      <left style="thin">
        <color theme="0" tint="-0.24994659260841701"/>
      </left>
      <right style="thin">
        <color theme="0" tint="-0.249977111117893"/>
      </right>
      <top style="thin">
        <color theme="0" tint="-0.24994659260841701"/>
      </top>
      <bottom style="thin">
        <color indexed="64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 style="thin">
        <color theme="0" tint="-0.24994659260841701"/>
      </right>
      <top style="thin">
        <color indexed="64"/>
      </top>
      <bottom/>
      <diagonal/>
    </border>
    <border>
      <left style="thin">
        <color theme="0" tint="-0.249977111117893"/>
      </left>
      <right/>
      <top style="thin">
        <color indexed="22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77111117893"/>
      </top>
      <bottom style="thin">
        <color theme="0" tint="-0.24994659260841701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indexed="22"/>
      </top>
      <bottom/>
      <diagonal/>
    </border>
    <border>
      <left style="thin">
        <color indexed="64"/>
      </left>
      <right style="thin">
        <color indexed="64"/>
      </right>
      <top style="thin">
        <color theme="0" tint="-0.24994659260841701"/>
      </top>
      <bottom/>
      <diagonal/>
    </border>
    <border>
      <left style="thin">
        <color indexed="64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indexed="64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indexed="64"/>
      </right>
      <top style="double">
        <color indexed="64"/>
      </top>
      <bottom style="thin">
        <color theme="0" tint="-0.34998626667073579"/>
      </bottom>
      <diagonal/>
    </border>
    <border>
      <left style="thin">
        <color theme="0" tint="-0.24994659260841701"/>
      </left>
      <right/>
      <top/>
      <bottom/>
      <diagonal/>
    </border>
    <border>
      <left style="thin">
        <color theme="0" tint="-0.24994659260841701"/>
      </left>
      <right/>
      <top style="thin">
        <color indexed="64"/>
      </top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thin">
        <color indexed="64"/>
      </right>
      <top/>
      <bottom style="thin">
        <color indexed="22"/>
      </bottom>
      <diagonal/>
    </border>
    <border>
      <left style="thin">
        <color indexed="64"/>
      </left>
      <right style="thin">
        <color theme="0" tint="-0.24994659260841701"/>
      </right>
      <top style="double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double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indexed="64"/>
      </right>
      <top style="double">
        <color indexed="64"/>
      </top>
      <bottom style="thin">
        <color theme="0" tint="-0.24994659260841701"/>
      </bottom>
      <diagonal/>
    </border>
    <border>
      <left style="thin">
        <color indexed="64"/>
      </left>
      <right style="thin">
        <color theme="0" tint="-0.24994659260841701"/>
      </right>
      <top style="thin">
        <color theme="0" tint="-0.24994659260841701"/>
      </top>
      <bottom style="thin">
        <color theme="0" tint="-0.34998626667073579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34998626667073579"/>
      </bottom>
      <diagonal/>
    </border>
    <border>
      <left style="thin">
        <color theme="0" tint="-0.24994659260841701"/>
      </left>
      <right style="thin">
        <color indexed="64"/>
      </right>
      <top style="thin">
        <color theme="0" tint="-0.24994659260841701"/>
      </top>
      <bottom style="thin">
        <color theme="0" tint="-0.34998626667073579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 style="thin">
        <color theme="0" tint="-0.34998626667073579"/>
      </top>
      <bottom/>
      <diagonal/>
    </border>
    <border>
      <left style="thin">
        <color indexed="64"/>
      </left>
      <right style="thin">
        <color theme="0" tint="-0.24994659260841701"/>
      </right>
      <top style="thin">
        <color theme="0" tint="-0.34998626667073579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34998626667073579"/>
      </top>
      <bottom/>
      <diagonal/>
    </border>
    <border>
      <left style="thin">
        <color theme="0" tint="-0.24994659260841701"/>
      </left>
      <right style="thin">
        <color indexed="64"/>
      </right>
      <top style="thin">
        <color theme="0" tint="-0.34998626667073579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34998626667073579"/>
      </bottom>
      <diagonal/>
    </border>
    <border>
      <left style="thin">
        <color theme="0" tint="-0.24994659260841701"/>
      </left>
      <right style="thin">
        <color indexed="64"/>
      </right>
      <top style="thin">
        <color indexed="64"/>
      </top>
      <bottom style="thin">
        <color theme="0" tint="-0.34998626667073579"/>
      </bottom>
      <diagonal/>
    </border>
    <border>
      <left/>
      <right style="thin">
        <color theme="0" tint="-0.24994659260841701"/>
      </right>
      <top style="double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 style="thin">
        <color theme="0" tint="-0.24994659260841701"/>
      </left>
      <right/>
      <top style="thin">
        <color theme="0" tint="-0.34998626667073579"/>
      </top>
      <bottom/>
      <diagonal/>
    </border>
    <border>
      <left style="thin">
        <color theme="0" tint="-0.24994659260841701"/>
      </left>
      <right/>
      <top/>
      <bottom style="thin">
        <color indexed="2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34998626667073579"/>
      </right>
      <top style="thin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34998626667073579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34998626667073579"/>
      </right>
      <top style="thin">
        <color theme="0" tint="-0.24994659260841701"/>
      </top>
      <bottom style="thin">
        <color indexed="64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/>
      <right style="thin">
        <color theme="0" tint="-0.24994659260841701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</borders>
  <cellStyleXfs count="645">
    <xf numFmtId="0" fontId="0" fillId="0" borderId="0"/>
    <xf numFmtId="0" fontId="14" fillId="0" borderId="0"/>
    <xf numFmtId="0" fontId="15" fillId="0" borderId="0"/>
    <xf numFmtId="38" fontId="15" fillId="0" borderId="0" applyFont="0" applyFill="0" applyBorder="0" applyAlignment="0" applyProtection="0"/>
    <xf numFmtId="0" fontId="15" fillId="0" borderId="0"/>
    <xf numFmtId="38" fontId="15" fillId="0" borderId="0" applyFont="0" applyFill="0" applyBorder="0" applyAlignment="0" applyProtection="0"/>
    <xf numFmtId="38" fontId="15" fillId="0" borderId="0" applyFont="0" applyFill="0" applyBorder="0" applyAlignment="0" applyProtection="0">
      <alignment vertical="center"/>
    </xf>
    <xf numFmtId="0" fontId="21" fillId="0" borderId="0">
      <alignment vertical="center"/>
    </xf>
    <xf numFmtId="38" fontId="21" fillId="0" borderId="0" applyFont="0" applyFill="0" applyBorder="0" applyAlignment="0" applyProtection="0">
      <alignment vertical="center"/>
    </xf>
    <xf numFmtId="0" fontId="9" fillId="0" borderId="0">
      <alignment vertical="center"/>
    </xf>
    <xf numFmtId="38" fontId="9" fillId="0" borderId="0" applyFont="0" applyFill="0" applyBorder="0" applyAlignment="0" applyProtection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1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</cellStyleXfs>
  <cellXfs count="722">
    <xf numFmtId="0" fontId="0" fillId="0" borderId="0" xfId="0"/>
    <xf numFmtId="0" fontId="11" fillId="0" borderId="0" xfId="0" applyFont="1" applyAlignment="1">
      <alignment horizontal="center" vertical="center"/>
    </xf>
    <xf numFmtId="0" fontId="11" fillId="0" borderId="0" xfId="0" applyFont="1"/>
    <xf numFmtId="0" fontId="13" fillId="2" borderId="5" xfId="0" applyFont="1" applyFill="1" applyBorder="1" applyAlignment="1">
      <alignment horizontal="center" vertical="center" wrapText="1"/>
    </xf>
    <xf numFmtId="0" fontId="13" fillId="9" borderId="14" xfId="0" applyFont="1" applyFill="1" applyBorder="1" applyAlignment="1">
      <alignment horizontal="center" vertical="center" wrapText="1"/>
    </xf>
    <xf numFmtId="0" fontId="13" fillId="9" borderId="15" xfId="0" applyFont="1" applyFill="1" applyBorder="1" applyAlignment="1">
      <alignment horizontal="center" vertical="center" wrapText="1"/>
    </xf>
    <xf numFmtId="0" fontId="13" fillId="4" borderId="16" xfId="0" applyFont="1" applyFill="1" applyBorder="1" applyAlignment="1">
      <alignment horizontal="center" vertical="center" wrapText="1"/>
    </xf>
    <xf numFmtId="0" fontId="15" fillId="2" borderId="5" xfId="0" applyFont="1" applyFill="1" applyBorder="1" applyAlignment="1">
      <alignment horizontal="center" vertical="center" shrinkToFit="1"/>
    </xf>
    <xf numFmtId="0" fontId="15" fillId="2" borderId="12" xfId="0" applyFont="1" applyFill="1" applyBorder="1" applyAlignment="1">
      <alignment horizontal="center" vertical="center" shrinkToFit="1"/>
    </xf>
    <xf numFmtId="0" fontId="13" fillId="0" borderId="0" xfId="0" applyFont="1"/>
    <xf numFmtId="176" fontId="20" fillId="0" borderId="14" xfId="0" applyNumberFormat="1" applyFont="1" applyBorder="1" applyAlignment="1">
      <alignment horizontal="right" vertical="center" shrinkToFit="1"/>
    </xf>
    <xf numFmtId="176" fontId="20" fillId="0" borderId="15" xfId="0" applyNumberFormat="1" applyFont="1" applyBorder="1" applyAlignment="1">
      <alignment horizontal="right" vertical="center" shrinkToFit="1"/>
    </xf>
    <xf numFmtId="176" fontId="20" fillId="4" borderId="19" xfId="0" applyNumberFormat="1" applyFont="1" applyFill="1" applyBorder="1" applyAlignment="1">
      <alignment horizontal="right" vertical="center" shrinkToFit="1"/>
    </xf>
    <xf numFmtId="176" fontId="19" fillId="6" borderId="20" xfId="0" applyNumberFormat="1" applyFont="1" applyFill="1" applyBorder="1" applyAlignment="1">
      <alignment horizontal="right" vertical="center"/>
    </xf>
    <xf numFmtId="176" fontId="19" fillId="5" borderId="15" xfId="0" applyNumberFormat="1" applyFont="1" applyFill="1" applyBorder="1" applyAlignment="1">
      <alignment horizontal="right" vertical="center"/>
    </xf>
    <xf numFmtId="176" fontId="19" fillId="7" borderId="15" xfId="0" applyNumberFormat="1" applyFont="1" applyFill="1" applyBorder="1" applyAlignment="1">
      <alignment horizontal="right" vertical="center"/>
    </xf>
    <xf numFmtId="176" fontId="20" fillId="8" borderId="16" xfId="0" applyNumberFormat="1" applyFont="1" applyFill="1" applyBorder="1" applyAlignment="1">
      <alignment horizontal="right" vertical="center"/>
    </xf>
    <xf numFmtId="176" fontId="20" fillId="9" borderId="20" xfId="0" applyNumberFormat="1" applyFont="1" applyFill="1" applyBorder="1" applyAlignment="1">
      <alignment horizontal="right" vertical="center" shrinkToFit="1"/>
    </xf>
    <xf numFmtId="176" fontId="20" fillId="9" borderId="15" xfId="0" applyNumberFormat="1" applyFont="1" applyFill="1" applyBorder="1" applyAlignment="1">
      <alignment horizontal="right" vertical="center" shrinkToFit="1"/>
    </xf>
    <xf numFmtId="176" fontId="20" fillId="4" borderId="16" xfId="0" applyNumberFormat="1" applyFont="1" applyFill="1" applyBorder="1" applyAlignment="1">
      <alignment horizontal="right" vertical="center" shrinkToFit="1"/>
    </xf>
    <xf numFmtId="176" fontId="20" fillId="10" borderId="14" xfId="0" applyNumberFormat="1" applyFont="1" applyFill="1" applyBorder="1" applyAlignment="1">
      <alignment horizontal="right" vertical="center" shrinkToFit="1"/>
    </xf>
    <xf numFmtId="176" fontId="20" fillId="10" borderId="15" xfId="0" applyNumberFormat="1" applyFont="1" applyFill="1" applyBorder="1" applyAlignment="1">
      <alignment horizontal="right" vertical="center" shrinkToFit="1"/>
    </xf>
    <xf numFmtId="176" fontId="20" fillId="10" borderId="16" xfId="0" applyNumberFormat="1" applyFont="1" applyFill="1" applyBorder="1" applyAlignment="1">
      <alignment horizontal="right" vertical="center" shrinkToFit="1"/>
    </xf>
    <xf numFmtId="176" fontId="19" fillId="0" borderId="38" xfId="0" applyNumberFormat="1" applyFont="1" applyBorder="1" applyAlignment="1">
      <alignment horizontal="right" vertical="center" shrinkToFit="1"/>
    </xf>
    <xf numFmtId="176" fontId="20" fillId="4" borderId="40" xfId="0" applyNumberFormat="1" applyFont="1" applyFill="1" applyBorder="1" applyAlignment="1">
      <alignment horizontal="right" vertical="center" shrinkToFit="1"/>
    </xf>
    <xf numFmtId="176" fontId="19" fillId="6" borderId="41" xfId="0" applyNumberFormat="1" applyFont="1" applyFill="1" applyBorder="1" applyAlignment="1">
      <alignment horizontal="right" vertical="center"/>
    </xf>
    <xf numFmtId="176" fontId="19" fillId="5" borderId="26" xfId="0" applyNumberFormat="1" applyFont="1" applyFill="1" applyBorder="1" applyAlignment="1">
      <alignment horizontal="right" vertical="center"/>
    </xf>
    <xf numFmtId="176" fontId="19" fillId="5" borderId="38" xfId="0" applyNumberFormat="1" applyFont="1" applyFill="1" applyBorder="1" applyAlignment="1">
      <alignment horizontal="right" vertical="center"/>
    </xf>
    <xf numFmtId="176" fontId="19" fillId="7" borderId="26" xfId="0" applyNumberFormat="1" applyFont="1" applyFill="1" applyBorder="1" applyAlignment="1">
      <alignment horizontal="right" vertical="center"/>
    </xf>
    <xf numFmtId="176" fontId="19" fillId="7" borderId="38" xfId="0" applyNumberFormat="1" applyFont="1" applyFill="1" applyBorder="1" applyAlignment="1">
      <alignment horizontal="right" vertical="center"/>
    </xf>
    <xf numFmtId="176" fontId="20" fillId="8" borderId="42" xfId="0" applyNumberFormat="1" applyFont="1" applyFill="1" applyBorder="1" applyAlignment="1">
      <alignment horizontal="right" vertical="center"/>
    </xf>
    <xf numFmtId="176" fontId="19" fillId="6" borderId="23" xfId="0" applyNumberFormat="1" applyFont="1" applyFill="1" applyBorder="1" applyAlignment="1">
      <alignment horizontal="right" vertical="center"/>
    </xf>
    <xf numFmtId="176" fontId="19" fillId="6" borderId="14" xfId="0" applyNumberFormat="1" applyFont="1" applyFill="1" applyBorder="1" applyAlignment="1">
      <alignment horizontal="right" vertical="center"/>
    </xf>
    <xf numFmtId="176" fontId="19" fillId="9" borderId="26" xfId="0" applyNumberFormat="1" applyFont="1" applyFill="1" applyBorder="1" applyAlignment="1">
      <alignment horizontal="right" vertical="center" shrinkToFit="1"/>
    </xf>
    <xf numFmtId="176" fontId="20" fillId="10" borderId="14" xfId="0" applyNumberFormat="1" applyFont="1" applyFill="1" applyBorder="1"/>
    <xf numFmtId="176" fontId="20" fillId="10" borderId="15" xfId="0" applyNumberFormat="1" applyFont="1" applyFill="1" applyBorder="1"/>
    <xf numFmtId="176" fontId="20" fillId="10" borderId="16" xfId="0" applyNumberFormat="1" applyFont="1" applyFill="1" applyBorder="1"/>
    <xf numFmtId="0" fontId="13" fillId="2" borderId="36" xfId="0" applyFont="1" applyFill="1" applyBorder="1" applyAlignment="1">
      <alignment horizontal="center" vertical="center" shrinkToFit="1"/>
    </xf>
    <xf numFmtId="176" fontId="20" fillId="0" borderId="20" xfId="0" applyNumberFormat="1" applyFont="1" applyBorder="1" applyAlignment="1">
      <alignment horizontal="right" vertical="center" shrinkToFit="1"/>
    </xf>
    <xf numFmtId="176" fontId="20" fillId="0" borderId="4" xfId="0" applyNumberFormat="1" applyFont="1" applyBorder="1" applyAlignment="1">
      <alignment horizontal="right" vertical="center" shrinkToFit="1"/>
    </xf>
    <xf numFmtId="176" fontId="20" fillId="0" borderId="1" xfId="0" applyNumberFormat="1" applyFont="1" applyBorder="1" applyAlignment="1">
      <alignment horizontal="right" vertical="center" shrinkToFit="1"/>
    </xf>
    <xf numFmtId="176" fontId="20" fillId="4" borderId="44" xfId="0" applyNumberFormat="1" applyFont="1" applyFill="1" applyBorder="1" applyAlignment="1">
      <alignment horizontal="right" vertical="center" shrinkToFit="1"/>
    </xf>
    <xf numFmtId="176" fontId="19" fillId="6" borderId="43" xfId="0" applyNumberFormat="1" applyFont="1" applyFill="1" applyBorder="1" applyAlignment="1">
      <alignment horizontal="right" vertical="center"/>
    </xf>
    <xf numFmtId="176" fontId="20" fillId="8" borderId="48" xfId="0" applyNumberFormat="1" applyFont="1" applyFill="1" applyBorder="1" applyAlignment="1">
      <alignment horizontal="right" vertical="center"/>
    </xf>
    <xf numFmtId="176" fontId="20" fillId="9" borderId="1" xfId="0" applyNumberFormat="1" applyFont="1" applyFill="1" applyBorder="1" applyAlignment="1">
      <alignment horizontal="right" vertical="center" shrinkToFit="1"/>
    </xf>
    <xf numFmtId="176" fontId="20" fillId="4" borderId="11" xfId="0" applyNumberFormat="1" applyFont="1" applyFill="1" applyBorder="1" applyAlignment="1">
      <alignment horizontal="right" vertical="center" shrinkToFit="1"/>
    </xf>
    <xf numFmtId="176" fontId="20" fillId="0" borderId="54" xfId="0" applyNumberFormat="1" applyFont="1" applyBorder="1" applyAlignment="1">
      <alignment horizontal="right" vertical="center" shrinkToFit="1"/>
    </xf>
    <xf numFmtId="176" fontId="20" fillId="0" borderId="17" xfId="0" applyNumberFormat="1" applyFont="1" applyBorder="1" applyAlignment="1">
      <alignment horizontal="right" vertical="center" shrinkToFit="1"/>
    </xf>
    <xf numFmtId="176" fontId="20" fillId="4" borderId="55" xfId="0" applyNumberFormat="1" applyFont="1" applyFill="1" applyBorder="1" applyAlignment="1">
      <alignment horizontal="right" vertical="center" shrinkToFit="1"/>
    </xf>
    <xf numFmtId="176" fontId="19" fillId="5" borderId="51" xfId="0" applyNumberFormat="1" applyFont="1" applyFill="1" applyBorder="1" applyAlignment="1">
      <alignment horizontal="right" vertical="center"/>
    </xf>
    <xf numFmtId="176" fontId="19" fillId="7" borderId="51" xfId="0" applyNumberFormat="1" applyFont="1" applyFill="1" applyBorder="1" applyAlignment="1">
      <alignment horizontal="right" vertical="center"/>
    </xf>
    <xf numFmtId="176" fontId="20" fillId="8" borderId="50" xfId="0" applyNumberFormat="1" applyFont="1" applyFill="1" applyBorder="1" applyAlignment="1">
      <alignment horizontal="right" vertical="center"/>
    </xf>
    <xf numFmtId="176" fontId="19" fillId="6" borderId="49" xfId="0" applyNumberFormat="1" applyFont="1" applyFill="1" applyBorder="1" applyAlignment="1">
      <alignment horizontal="right" vertical="center"/>
    </xf>
    <xf numFmtId="176" fontId="20" fillId="9" borderId="17" xfId="0" applyNumberFormat="1" applyFont="1" applyFill="1" applyBorder="1" applyAlignment="1">
      <alignment horizontal="right" vertical="center" shrinkToFit="1"/>
    </xf>
    <xf numFmtId="176" fontId="20" fillId="4" borderId="21" xfId="0" applyNumberFormat="1" applyFont="1" applyFill="1" applyBorder="1" applyAlignment="1">
      <alignment horizontal="right" vertical="center" shrinkToFit="1"/>
    </xf>
    <xf numFmtId="176" fontId="20" fillId="8" borderId="56" xfId="0" applyNumberFormat="1" applyFont="1" applyFill="1" applyBorder="1" applyAlignment="1">
      <alignment horizontal="right" vertical="center"/>
    </xf>
    <xf numFmtId="176" fontId="19" fillId="0" borderId="26" xfId="0" applyNumberFormat="1" applyFont="1" applyBorder="1" applyAlignment="1">
      <alignment horizontal="right" vertical="center"/>
    </xf>
    <xf numFmtId="176" fontId="20" fillId="4" borderId="2" xfId="0" applyNumberFormat="1" applyFont="1" applyFill="1" applyBorder="1" applyAlignment="1">
      <alignment horizontal="right" vertical="center" shrinkToFit="1"/>
    </xf>
    <xf numFmtId="176" fontId="19" fillId="5" borderId="53" xfId="0" applyNumberFormat="1" applyFont="1" applyFill="1" applyBorder="1" applyAlignment="1">
      <alignment horizontal="right" vertical="center"/>
    </xf>
    <xf numFmtId="176" fontId="19" fillId="7" borderId="53" xfId="0" applyNumberFormat="1" applyFont="1" applyFill="1" applyBorder="1" applyAlignment="1">
      <alignment horizontal="right" vertical="center"/>
    </xf>
    <xf numFmtId="176" fontId="19" fillId="9" borderId="14" xfId="0" applyNumberFormat="1" applyFont="1" applyFill="1" applyBorder="1" applyAlignment="1">
      <alignment vertical="center" shrinkToFit="1"/>
    </xf>
    <xf numFmtId="176" fontId="19" fillId="9" borderId="15" xfId="0" applyNumberFormat="1" applyFont="1" applyFill="1" applyBorder="1" applyAlignment="1">
      <alignment vertical="center" shrinkToFit="1"/>
    </xf>
    <xf numFmtId="176" fontId="20" fillId="4" borderId="16" xfId="0" applyNumberFormat="1" applyFont="1" applyFill="1" applyBorder="1" applyAlignment="1">
      <alignment vertical="center" shrinkToFit="1"/>
    </xf>
    <xf numFmtId="176" fontId="19" fillId="0" borderId="14" xfId="0" applyNumberFormat="1" applyFont="1" applyBorder="1" applyAlignment="1">
      <alignment vertical="center" shrinkToFit="1"/>
    </xf>
    <xf numFmtId="176" fontId="19" fillId="0" borderId="15" xfId="0" applyNumberFormat="1" applyFont="1" applyBorder="1" applyAlignment="1">
      <alignment vertical="center" shrinkToFit="1"/>
    </xf>
    <xf numFmtId="176" fontId="19" fillId="4" borderId="16" xfId="0" applyNumberFormat="1" applyFont="1" applyFill="1" applyBorder="1" applyAlignment="1">
      <alignment vertical="center" shrinkToFit="1"/>
    </xf>
    <xf numFmtId="176" fontId="20" fillId="10" borderId="14" xfId="0" applyNumberFormat="1" applyFont="1" applyFill="1" applyBorder="1" applyAlignment="1">
      <alignment vertical="center" shrinkToFit="1"/>
    </xf>
    <xf numFmtId="176" fontId="20" fillId="10" borderId="15" xfId="0" applyNumberFormat="1" applyFont="1" applyFill="1" applyBorder="1" applyAlignment="1">
      <alignment vertical="center" shrinkToFit="1"/>
    </xf>
    <xf numFmtId="176" fontId="20" fillId="10" borderId="16" xfId="0" applyNumberFormat="1" applyFont="1" applyFill="1" applyBorder="1" applyAlignment="1">
      <alignment vertical="center" shrinkToFit="1"/>
    </xf>
    <xf numFmtId="176" fontId="11" fillId="0" borderId="0" xfId="0" applyNumberFormat="1" applyFont="1"/>
    <xf numFmtId="176" fontId="11" fillId="0" borderId="0" xfId="0" applyNumberFormat="1" applyFont="1" applyAlignment="1">
      <alignment horizontal="center" vertical="center"/>
    </xf>
    <xf numFmtId="176" fontId="19" fillId="9" borderId="59" xfId="0" applyNumberFormat="1" applyFont="1" applyFill="1" applyBorder="1" applyAlignment="1">
      <alignment horizontal="right" vertical="center" shrinkToFit="1"/>
    </xf>
    <xf numFmtId="0" fontId="11" fillId="0" borderId="0" xfId="0" applyFont="1" applyAlignment="1">
      <alignment horizontal="left" vertical="center" shrinkToFit="1"/>
    </xf>
    <xf numFmtId="0" fontId="11" fillId="0" borderId="0" xfId="0" applyFont="1" applyAlignment="1">
      <alignment horizontal="left" shrinkToFit="1"/>
    </xf>
    <xf numFmtId="0" fontId="16" fillId="0" borderId="0" xfId="0" applyFont="1" applyAlignment="1">
      <alignment horizontal="left" shrinkToFit="1"/>
    </xf>
    <xf numFmtId="176" fontId="19" fillId="9" borderId="66" xfId="0" applyNumberFormat="1" applyFont="1" applyFill="1" applyBorder="1" applyAlignment="1">
      <alignment horizontal="right" vertical="center" shrinkToFit="1"/>
    </xf>
    <xf numFmtId="176" fontId="19" fillId="9" borderId="68" xfId="0" applyNumberFormat="1" applyFont="1" applyFill="1" applyBorder="1" applyAlignment="1">
      <alignment horizontal="right" vertical="center" shrinkToFit="1"/>
    </xf>
    <xf numFmtId="176" fontId="20" fillId="9" borderId="4" xfId="0" applyNumberFormat="1" applyFont="1" applyFill="1" applyBorder="1" applyAlignment="1">
      <alignment horizontal="right" vertical="center" shrinkToFit="1"/>
    </xf>
    <xf numFmtId="176" fontId="20" fillId="8" borderId="69" xfId="0" applyNumberFormat="1" applyFont="1" applyFill="1" applyBorder="1" applyAlignment="1">
      <alignment horizontal="right" vertical="center"/>
    </xf>
    <xf numFmtId="176" fontId="20" fillId="9" borderId="18" xfId="0" applyNumberFormat="1" applyFont="1" applyFill="1" applyBorder="1" applyAlignment="1">
      <alignment horizontal="right" vertical="center" shrinkToFit="1"/>
    </xf>
    <xf numFmtId="176" fontId="20" fillId="4" borderId="34" xfId="0" applyNumberFormat="1" applyFont="1" applyFill="1" applyBorder="1" applyAlignment="1">
      <alignment horizontal="right" vertical="center" shrinkToFit="1"/>
    </xf>
    <xf numFmtId="176" fontId="19" fillId="9" borderId="15" xfId="0" applyNumberFormat="1" applyFont="1" applyFill="1" applyBorder="1" applyAlignment="1">
      <alignment horizontal="right" vertical="center" shrinkToFit="1"/>
    </xf>
    <xf numFmtId="176" fontId="20" fillId="4" borderId="72" xfId="0" applyNumberFormat="1" applyFont="1" applyFill="1" applyBorder="1" applyAlignment="1">
      <alignment horizontal="right" vertical="center" shrinkToFit="1"/>
    </xf>
    <xf numFmtId="176" fontId="20" fillId="4" borderId="73" xfId="0" applyNumberFormat="1" applyFont="1" applyFill="1" applyBorder="1" applyAlignment="1">
      <alignment horizontal="right" vertical="center" shrinkToFit="1"/>
    </xf>
    <xf numFmtId="176" fontId="19" fillId="0" borderId="24" xfId="0" applyNumberFormat="1" applyFont="1" applyBorder="1" applyAlignment="1">
      <alignment horizontal="right" vertical="center" shrinkToFit="1"/>
    </xf>
    <xf numFmtId="176" fontId="19" fillId="0" borderId="27" xfId="0" applyNumberFormat="1" applyFont="1" applyBorder="1" applyAlignment="1">
      <alignment horizontal="right" vertical="center" shrinkToFit="1"/>
    </xf>
    <xf numFmtId="176" fontId="20" fillId="4" borderId="84" xfId="0" applyNumberFormat="1" applyFont="1" applyFill="1" applyBorder="1" applyAlignment="1">
      <alignment horizontal="right" vertical="center" shrinkToFit="1"/>
    </xf>
    <xf numFmtId="176" fontId="19" fillId="6" borderId="71" xfId="0" applyNumberFormat="1" applyFont="1" applyFill="1" applyBorder="1" applyAlignment="1">
      <alignment horizontal="right" vertical="center"/>
    </xf>
    <xf numFmtId="176" fontId="19" fillId="5" borderId="27" xfId="0" applyNumberFormat="1" applyFont="1" applyFill="1" applyBorder="1" applyAlignment="1">
      <alignment horizontal="right" vertical="center"/>
    </xf>
    <xf numFmtId="176" fontId="19" fillId="7" borderId="27" xfId="0" applyNumberFormat="1" applyFont="1" applyFill="1" applyBorder="1" applyAlignment="1">
      <alignment horizontal="right" vertical="center"/>
    </xf>
    <xf numFmtId="176" fontId="20" fillId="8" borderId="34" xfId="0" applyNumberFormat="1" applyFont="1" applyFill="1" applyBorder="1" applyAlignment="1">
      <alignment horizontal="right" vertical="center"/>
    </xf>
    <xf numFmtId="176" fontId="19" fillId="5" borderId="86" xfId="0" applyNumberFormat="1" applyFont="1" applyFill="1" applyBorder="1" applyAlignment="1">
      <alignment horizontal="right" vertical="center"/>
    </xf>
    <xf numFmtId="176" fontId="19" fillId="7" borderId="86" xfId="0" applyNumberFormat="1" applyFont="1" applyFill="1" applyBorder="1" applyAlignment="1">
      <alignment horizontal="right" vertical="center"/>
    </xf>
    <xf numFmtId="176" fontId="19" fillId="5" borderId="87" xfId="0" applyNumberFormat="1" applyFont="1" applyFill="1" applyBorder="1" applyAlignment="1">
      <alignment horizontal="right" vertical="center"/>
    </xf>
    <xf numFmtId="176" fontId="19" fillId="6" borderId="24" xfId="0" applyNumberFormat="1" applyFont="1" applyFill="1" applyBorder="1" applyAlignment="1">
      <alignment horizontal="right" vertical="center"/>
    </xf>
    <xf numFmtId="176" fontId="19" fillId="0" borderId="60" xfId="0" applyNumberFormat="1" applyFont="1" applyBorder="1" applyAlignment="1">
      <alignment horizontal="right" vertical="center" shrinkToFit="1"/>
    </xf>
    <xf numFmtId="176" fontId="19" fillId="6" borderId="95" xfId="0" applyNumberFormat="1" applyFont="1" applyFill="1" applyBorder="1" applyAlignment="1">
      <alignment horizontal="right" vertical="center"/>
    </xf>
    <xf numFmtId="176" fontId="19" fillId="6" borderId="96" xfId="0" applyNumberFormat="1" applyFont="1" applyFill="1" applyBorder="1" applyAlignment="1">
      <alignment horizontal="right" vertical="center"/>
    </xf>
    <xf numFmtId="176" fontId="19" fillId="5" borderId="97" xfId="0" applyNumberFormat="1" applyFont="1" applyFill="1" applyBorder="1" applyAlignment="1">
      <alignment horizontal="right" vertical="center"/>
    </xf>
    <xf numFmtId="176" fontId="19" fillId="7" borderId="97" xfId="0" applyNumberFormat="1" applyFont="1" applyFill="1" applyBorder="1" applyAlignment="1">
      <alignment horizontal="right" vertical="center"/>
    </xf>
    <xf numFmtId="176" fontId="20" fillId="8" borderId="82" xfId="0" applyNumberFormat="1" applyFont="1" applyFill="1" applyBorder="1" applyAlignment="1">
      <alignment horizontal="right" vertical="center"/>
    </xf>
    <xf numFmtId="176" fontId="20" fillId="8" borderId="98" xfId="0" applyNumberFormat="1" applyFont="1" applyFill="1" applyBorder="1" applyAlignment="1">
      <alignment horizontal="right" vertical="center"/>
    </xf>
    <xf numFmtId="176" fontId="19" fillId="0" borderId="86" xfId="0" applyNumberFormat="1" applyFont="1" applyBorder="1" applyAlignment="1">
      <alignment horizontal="right" vertical="center"/>
    </xf>
    <xf numFmtId="176" fontId="19" fillId="6" borderId="99" xfId="0" applyNumberFormat="1" applyFont="1" applyFill="1" applyBorder="1" applyAlignment="1">
      <alignment horizontal="right" vertical="center"/>
    </xf>
    <xf numFmtId="176" fontId="20" fillId="8" borderId="90" xfId="0" applyNumberFormat="1" applyFont="1" applyFill="1" applyBorder="1" applyAlignment="1">
      <alignment horizontal="right" vertical="center"/>
    </xf>
    <xf numFmtId="176" fontId="20" fillId="8" borderId="100" xfId="0" applyNumberFormat="1" applyFont="1" applyFill="1" applyBorder="1" applyAlignment="1">
      <alignment horizontal="right" vertical="center"/>
    </xf>
    <xf numFmtId="176" fontId="19" fillId="0" borderId="70" xfId="0" applyNumberFormat="1" applyFont="1" applyBorder="1" applyAlignment="1">
      <alignment horizontal="right" vertical="center" shrinkToFit="1"/>
    </xf>
    <xf numFmtId="176" fontId="20" fillId="4" borderId="101" xfId="0" applyNumberFormat="1" applyFont="1" applyFill="1" applyBorder="1" applyAlignment="1">
      <alignment horizontal="right" vertical="center" shrinkToFit="1"/>
    </xf>
    <xf numFmtId="176" fontId="19" fillId="7" borderId="87" xfId="0" applyNumberFormat="1" applyFont="1" applyFill="1" applyBorder="1" applyAlignment="1">
      <alignment horizontal="right" vertical="center"/>
    </xf>
    <xf numFmtId="176" fontId="20" fillId="8" borderId="83" xfId="0" applyNumberFormat="1" applyFont="1" applyFill="1" applyBorder="1" applyAlignment="1">
      <alignment horizontal="right" vertical="center"/>
    </xf>
    <xf numFmtId="176" fontId="19" fillId="0" borderId="105" xfId="0" applyNumberFormat="1" applyFont="1" applyBorder="1" applyAlignment="1">
      <alignment horizontal="right" vertical="center" shrinkToFit="1"/>
    </xf>
    <xf numFmtId="176" fontId="20" fillId="4" borderId="106" xfId="0" applyNumberFormat="1" applyFont="1" applyFill="1" applyBorder="1" applyAlignment="1">
      <alignment horizontal="right" vertical="center" shrinkToFit="1"/>
    </xf>
    <xf numFmtId="0" fontId="11" fillId="0" borderId="0" xfId="0" applyFont="1" applyAlignment="1">
      <alignment horizontal="right" vertical="center" shrinkToFit="1"/>
    </xf>
    <xf numFmtId="0" fontId="13" fillId="0" borderId="0" xfId="4" applyFont="1" applyAlignment="1">
      <alignment horizontal="right" vertical="center" shrinkToFit="1"/>
    </xf>
    <xf numFmtId="0" fontId="16" fillId="0" borderId="0" xfId="0" applyFont="1" applyAlignment="1">
      <alignment horizontal="right" shrinkToFit="1"/>
    </xf>
    <xf numFmtId="0" fontId="11" fillId="0" borderId="0" xfId="0" applyFont="1" applyAlignment="1">
      <alignment horizontal="right" shrinkToFit="1"/>
    </xf>
    <xf numFmtId="0" fontId="17" fillId="0" borderId="0" xfId="0" applyFont="1" applyAlignment="1">
      <alignment horizontal="right" shrinkToFit="1"/>
    </xf>
    <xf numFmtId="176" fontId="19" fillId="6" borderId="109" xfId="0" applyNumberFormat="1" applyFont="1" applyFill="1" applyBorder="1" applyAlignment="1">
      <alignment horizontal="right" vertical="center"/>
    </xf>
    <xf numFmtId="176" fontId="19" fillId="0" borderId="71" xfId="0" applyNumberFormat="1" applyFont="1" applyBorder="1" applyAlignment="1">
      <alignment horizontal="right" vertical="center" shrinkToFit="1"/>
    </xf>
    <xf numFmtId="176" fontId="19" fillId="0" borderId="41" xfId="0" applyNumberFormat="1" applyFont="1" applyBorder="1" applyAlignment="1">
      <alignment horizontal="right" vertical="center" shrinkToFit="1"/>
    </xf>
    <xf numFmtId="176" fontId="19" fillId="6" borderId="110" xfId="0" applyNumberFormat="1" applyFont="1" applyFill="1" applyBorder="1" applyAlignment="1">
      <alignment horizontal="right" vertical="center"/>
    </xf>
    <xf numFmtId="176" fontId="20" fillId="5" borderId="86" xfId="0" applyNumberFormat="1" applyFont="1" applyFill="1" applyBorder="1" applyAlignment="1">
      <alignment horizontal="right" vertical="center"/>
    </xf>
    <xf numFmtId="176" fontId="19" fillId="6" borderId="115" xfId="0" applyNumberFormat="1" applyFont="1" applyFill="1" applyBorder="1" applyAlignment="1">
      <alignment horizontal="right" vertical="center"/>
    </xf>
    <xf numFmtId="176" fontId="20" fillId="9" borderId="116" xfId="0" applyNumberFormat="1" applyFont="1" applyFill="1" applyBorder="1" applyAlignment="1">
      <alignment horizontal="right" vertical="center" shrinkToFit="1"/>
    </xf>
    <xf numFmtId="176" fontId="20" fillId="4" borderId="117" xfId="0" applyNumberFormat="1" applyFont="1" applyFill="1" applyBorder="1" applyAlignment="1">
      <alignment horizontal="right" vertical="center" shrinkToFit="1"/>
    </xf>
    <xf numFmtId="0" fontId="15" fillId="2" borderId="13" xfId="0" applyFont="1" applyFill="1" applyBorder="1" applyAlignment="1">
      <alignment horizontal="center" vertical="center" shrinkToFit="1"/>
    </xf>
    <xf numFmtId="0" fontId="15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14" xfId="0" applyFont="1" applyBorder="1" applyAlignment="1">
      <alignment horizontal="center" vertical="center" wrapText="1"/>
    </xf>
    <xf numFmtId="176" fontId="13" fillId="0" borderId="0" xfId="0" applyNumberFormat="1" applyFont="1" applyAlignment="1">
      <alignment horizontal="center" vertical="center"/>
    </xf>
    <xf numFmtId="0" fontId="13" fillId="0" borderId="15" xfId="0" applyFont="1" applyBorder="1" applyAlignment="1">
      <alignment horizontal="center" vertical="center" wrapText="1"/>
    </xf>
    <xf numFmtId="0" fontId="18" fillId="0" borderId="0" xfId="0" applyFont="1" applyAlignment="1">
      <alignment horizontal="center" vertical="center"/>
    </xf>
    <xf numFmtId="0" fontId="13" fillId="0" borderId="16" xfId="0" applyFont="1" applyBorder="1" applyAlignment="1">
      <alignment horizontal="center" vertical="center" wrapText="1"/>
    </xf>
    <xf numFmtId="0" fontId="13" fillId="2" borderId="35" xfId="0" applyFont="1" applyFill="1" applyBorder="1" applyAlignment="1">
      <alignment horizontal="center" vertical="center"/>
    </xf>
    <xf numFmtId="0" fontId="13" fillId="2" borderId="36" xfId="0" applyFont="1" applyFill="1" applyBorder="1" applyAlignment="1">
      <alignment horizontal="center" vertical="center" wrapText="1"/>
    </xf>
    <xf numFmtId="0" fontId="13" fillId="2" borderId="36" xfId="0" applyFont="1" applyFill="1" applyBorder="1" applyAlignment="1">
      <alignment horizontal="center" vertical="center"/>
    </xf>
    <xf numFmtId="0" fontId="13" fillId="3" borderId="36" xfId="0" applyFont="1" applyFill="1" applyBorder="1" applyAlignment="1">
      <alignment horizontal="center" vertical="center"/>
    </xf>
    <xf numFmtId="0" fontId="13" fillId="2" borderId="74" xfId="0" applyFont="1" applyFill="1" applyBorder="1" applyAlignment="1">
      <alignment horizontal="center" vertical="center"/>
    </xf>
    <xf numFmtId="0" fontId="18" fillId="2" borderId="8" xfId="0" applyFont="1" applyFill="1" applyBorder="1" applyAlignment="1">
      <alignment horizontal="center" vertical="center" shrinkToFit="1"/>
    </xf>
    <xf numFmtId="0" fontId="13" fillId="2" borderId="35" xfId="0" applyFont="1" applyFill="1" applyBorder="1" applyAlignment="1">
      <alignment horizontal="center" vertical="center" wrapText="1"/>
    </xf>
    <xf numFmtId="0" fontId="13" fillId="2" borderId="6" xfId="0" applyFont="1" applyFill="1" applyBorder="1" applyAlignment="1">
      <alignment horizontal="center" vertical="center" wrapText="1"/>
    </xf>
    <xf numFmtId="0" fontId="13" fillId="2" borderId="39" xfId="0" applyFont="1" applyFill="1" applyBorder="1" applyAlignment="1">
      <alignment horizontal="center" vertical="center" shrinkToFit="1"/>
    </xf>
    <xf numFmtId="0" fontId="18" fillId="2" borderId="5" xfId="0" applyFont="1" applyFill="1" applyBorder="1" applyAlignment="1">
      <alignment horizontal="center" vertical="center" shrinkToFit="1"/>
    </xf>
    <xf numFmtId="0" fontId="18" fillId="0" borderId="4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18" fillId="4" borderId="2" xfId="0" applyFont="1" applyFill="1" applyBorder="1" applyAlignment="1">
      <alignment horizontal="center" vertical="center" wrapText="1"/>
    </xf>
    <xf numFmtId="0" fontId="13" fillId="5" borderId="3" xfId="0" applyFont="1" applyFill="1" applyBorder="1" applyAlignment="1">
      <alignment horizontal="right" vertical="center" shrinkToFit="1"/>
    </xf>
    <xf numFmtId="0" fontId="13" fillId="7" borderId="52" xfId="0" applyFont="1" applyFill="1" applyBorder="1" applyAlignment="1">
      <alignment horizontal="left" vertical="center" shrinkToFit="1"/>
    </xf>
    <xf numFmtId="0" fontId="13" fillId="5" borderId="52" xfId="0" applyFont="1" applyFill="1" applyBorder="1" applyAlignment="1">
      <alignment horizontal="right" vertical="center" shrinkToFit="1"/>
    </xf>
    <xf numFmtId="0" fontId="18" fillId="8" borderId="47" xfId="0" applyFont="1" applyFill="1" applyBorder="1" applyAlignment="1">
      <alignment vertical="center" shrinkToFit="1"/>
    </xf>
    <xf numFmtId="0" fontId="18" fillId="4" borderId="44" xfId="0" applyFont="1" applyFill="1" applyBorder="1" applyAlignment="1">
      <alignment horizontal="center" vertical="center" wrapText="1"/>
    </xf>
    <xf numFmtId="0" fontId="13" fillId="5" borderId="3" xfId="0" applyFont="1" applyFill="1" applyBorder="1" applyAlignment="1">
      <alignment horizontal="right" vertical="center"/>
    </xf>
    <xf numFmtId="0" fontId="18" fillId="8" borderId="47" xfId="0" applyFont="1" applyFill="1" applyBorder="1" applyAlignment="1">
      <alignment vertical="center" wrapText="1"/>
    </xf>
    <xf numFmtId="0" fontId="18" fillId="4" borderId="11" xfId="0" applyFont="1" applyFill="1" applyBorder="1" applyAlignment="1">
      <alignment horizontal="center" vertical="center" wrapText="1"/>
    </xf>
    <xf numFmtId="0" fontId="18" fillId="2" borderId="13" xfId="0" applyFont="1" applyFill="1" applyBorder="1" applyAlignment="1">
      <alignment horizontal="center" vertical="center" shrinkToFit="1"/>
    </xf>
    <xf numFmtId="0" fontId="13" fillId="5" borderId="15" xfId="0" applyFont="1" applyFill="1" applyBorder="1" applyAlignment="1">
      <alignment horizontal="right" vertical="center"/>
    </xf>
    <xf numFmtId="0" fontId="13" fillId="7" borderId="15" xfId="0" applyFont="1" applyFill="1" applyBorder="1" applyAlignment="1">
      <alignment horizontal="left" vertical="center"/>
    </xf>
    <xf numFmtId="0" fontId="13" fillId="5" borderId="15" xfId="0" applyFont="1" applyFill="1" applyBorder="1" applyAlignment="1">
      <alignment horizontal="right" vertical="center" wrapText="1"/>
    </xf>
    <xf numFmtId="0" fontId="18" fillId="8" borderId="16" xfId="0" applyFont="1" applyFill="1" applyBorder="1" applyAlignment="1">
      <alignment vertical="center" wrapText="1"/>
    </xf>
    <xf numFmtId="0" fontId="13" fillId="0" borderId="9" xfId="0" applyFont="1" applyBorder="1"/>
    <xf numFmtId="0" fontId="13" fillId="0" borderId="10" xfId="0" applyFont="1" applyBorder="1"/>
    <xf numFmtId="0" fontId="13" fillId="0" borderId="7" xfId="0" applyFont="1" applyBorder="1"/>
    <xf numFmtId="0" fontId="13" fillId="0" borderId="7" xfId="0" applyFont="1" applyBorder="1" applyAlignment="1">
      <alignment horizontal="center" vertical="center"/>
    </xf>
    <xf numFmtId="176" fontId="19" fillId="9" borderId="20" xfId="0" applyNumberFormat="1" applyFont="1" applyFill="1" applyBorder="1" applyAlignment="1">
      <alignment horizontal="right" vertical="center" shrinkToFit="1"/>
    </xf>
    <xf numFmtId="0" fontId="18" fillId="0" borderId="20" xfId="0" applyFont="1" applyBorder="1" applyAlignment="1">
      <alignment horizontal="center" vertical="center" wrapText="1"/>
    </xf>
    <xf numFmtId="0" fontId="18" fillId="0" borderId="15" xfId="0" applyFont="1" applyBorder="1" applyAlignment="1">
      <alignment horizontal="center" vertical="center" wrapText="1"/>
    </xf>
    <xf numFmtId="0" fontId="18" fillId="4" borderId="19" xfId="0" applyFont="1" applyFill="1" applyBorder="1" applyAlignment="1">
      <alignment horizontal="center" vertical="center" wrapText="1"/>
    </xf>
    <xf numFmtId="0" fontId="13" fillId="6" borderId="20" xfId="0" applyFont="1" applyFill="1" applyBorder="1" applyAlignment="1">
      <alignment horizontal="left" vertical="center" shrinkToFit="1"/>
    </xf>
    <xf numFmtId="0" fontId="13" fillId="5" borderId="15" xfId="0" applyFont="1" applyFill="1" applyBorder="1" applyAlignment="1">
      <alignment horizontal="right" vertical="center" shrinkToFit="1"/>
    </xf>
    <xf numFmtId="0" fontId="13" fillId="7" borderId="15" xfId="0" applyFont="1" applyFill="1" applyBorder="1" applyAlignment="1">
      <alignment horizontal="left" vertical="center" shrinkToFit="1"/>
    </xf>
    <xf numFmtId="0" fontId="18" fillId="8" borderId="16" xfId="0" applyFont="1" applyFill="1" applyBorder="1" applyAlignment="1">
      <alignment vertical="center" shrinkToFit="1"/>
    </xf>
    <xf numFmtId="0" fontId="13" fillId="0" borderId="0" xfId="0" applyFont="1" applyAlignment="1">
      <alignment horizontal="center"/>
    </xf>
    <xf numFmtId="0" fontId="13" fillId="5" borderId="43" xfId="0" applyFont="1" applyFill="1" applyBorder="1" applyAlignment="1">
      <alignment horizontal="right" vertical="center" shrinkToFit="1"/>
    </xf>
    <xf numFmtId="0" fontId="13" fillId="7" borderId="53" xfId="0" applyFont="1" applyFill="1" applyBorder="1" applyAlignment="1">
      <alignment horizontal="left" vertical="center" shrinkToFit="1"/>
    </xf>
    <xf numFmtId="0" fontId="13" fillId="5" borderId="53" xfId="0" applyFont="1" applyFill="1" applyBorder="1" applyAlignment="1">
      <alignment horizontal="right" vertical="center" shrinkToFit="1"/>
    </xf>
    <xf numFmtId="0" fontId="18" fillId="8" borderId="48" xfId="0" applyFont="1" applyFill="1" applyBorder="1" applyAlignment="1">
      <alignment vertical="center" shrinkToFit="1"/>
    </xf>
    <xf numFmtId="0" fontId="13" fillId="6" borderId="115" xfId="0" applyFont="1" applyFill="1" applyBorder="1" applyAlignment="1">
      <alignment horizontal="left" vertical="center" shrinkToFit="1"/>
    </xf>
    <xf numFmtId="0" fontId="13" fillId="6" borderId="43" xfId="0" applyFont="1" applyFill="1" applyBorder="1" applyAlignment="1">
      <alignment horizontal="left" vertical="center" shrinkToFit="1"/>
    </xf>
    <xf numFmtId="0" fontId="18" fillId="8" borderId="69" xfId="0" applyFont="1" applyFill="1" applyBorder="1" applyAlignment="1">
      <alignment vertical="center" shrinkToFit="1"/>
    </xf>
    <xf numFmtId="0" fontId="18" fillId="8" borderId="19" xfId="0" applyFont="1" applyFill="1" applyBorder="1" applyAlignment="1">
      <alignment vertical="center" shrinkToFit="1"/>
    </xf>
    <xf numFmtId="0" fontId="13" fillId="6" borderId="14" xfId="0" applyFont="1" applyFill="1" applyBorder="1" applyAlignment="1">
      <alignment horizontal="left" vertical="center"/>
    </xf>
    <xf numFmtId="0" fontId="13" fillId="6" borderId="14" xfId="0" applyFont="1" applyFill="1" applyBorder="1" applyAlignment="1">
      <alignment horizontal="left" vertical="center" shrinkToFit="1"/>
    </xf>
    <xf numFmtId="0" fontId="18" fillId="4" borderId="16" xfId="0" applyFont="1" applyFill="1" applyBorder="1" applyAlignment="1">
      <alignment horizontal="center" vertical="center" wrapText="1"/>
    </xf>
    <xf numFmtId="0" fontId="13" fillId="7" borderId="52" xfId="0" applyFont="1" applyFill="1" applyBorder="1" applyAlignment="1">
      <alignment horizontal="left" vertical="center"/>
    </xf>
    <xf numFmtId="0" fontId="13" fillId="5" borderId="52" xfId="0" applyFont="1" applyFill="1" applyBorder="1" applyAlignment="1">
      <alignment horizontal="right" vertical="center" wrapText="1"/>
    </xf>
    <xf numFmtId="0" fontId="18" fillId="0" borderId="65" xfId="0" applyFont="1" applyBorder="1" applyAlignment="1">
      <alignment horizontal="center" vertical="center" wrapText="1"/>
    </xf>
    <xf numFmtId="0" fontId="18" fillId="0" borderId="58" xfId="0" applyFont="1" applyBorder="1" applyAlignment="1">
      <alignment horizontal="center" vertical="center" wrapText="1"/>
    </xf>
    <xf numFmtId="0" fontId="13" fillId="5" borderId="102" xfId="0" applyFont="1" applyFill="1" applyBorder="1" applyAlignment="1">
      <alignment horizontal="right" vertical="center" shrinkToFit="1"/>
    </xf>
    <xf numFmtId="0" fontId="13" fillId="7" borderId="88" xfId="0" applyFont="1" applyFill="1" applyBorder="1" applyAlignment="1">
      <alignment horizontal="left" vertical="center" shrinkToFit="1"/>
    </xf>
    <xf numFmtId="0" fontId="13" fillId="5" borderId="88" xfId="0" applyFont="1" applyFill="1" applyBorder="1" applyAlignment="1">
      <alignment horizontal="right" vertical="center" shrinkToFit="1"/>
    </xf>
    <xf numFmtId="0" fontId="18" fillId="8" borderId="111" xfId="0" applyFont="1" applyFill="1" applyBorder="1" applyAlignment="1">
      <alignment vertical="center" wrapText="1"/>
    </xf>
    <xf numFmtId="0" fontId="13" fillId="6" borderId="108" xfId="0" applyFont="1" applyFill="1" applyBorder="1" applyAlignment="1">
      <alignment horizontal="left" vertical="center" shrinkToFit="1"/>
    </xf>
    <xf numFmtId="0" fontId="18" fillId="8" borderId="112" xfId="0" applyFont="1" applyFill="1" applyBorder="1" applyAlignment="1">
      <alignment vertical="center" wrapText="1"/>
    </xf>
    <xf numFmtId="0" fontId="18" fillId="4" borderId="61" xfId="0" applyFont="1" applyFill="1" applyBorder="1" applyAlignment="1">
      <alignment horizontal="center" vertical="center" wrapText="1"/>
    </xf>
    <xf numFmtId="0" fontId="13" fillId="0" borderId="80" xfId="0" applyFont="1" applyBorder="1" applyAlignment="1">
      <alignment vertical="center" wrapText="1"/>
    </xf>
    <xf numFmtId="0" fontId="13" fillId="0" borderId="80" xfId="0" applyFont="1" applyBorder="1" applyAlignment="1">
      <alignment horizontal="left" vertical="center" wrapText="1"/>
    </xf>
    <xf numFmtId="0" fontId="13" fillId="0" borderId="83" xfId="0" applyFont="1" applyBorder="1" applyAlignment="1">
      <alignment vertical="center" wrapText="1"/>
    </xf>
    <xf numFmtId="0" fontId="18" fillId="0" borderId="1" xfId="0" applyFont="1" applyBorder="1" applyAlignment="1">
      <alignment horizontal="center" vertical="center" shrinkToFit="1"/>
    </xf>
    <xf numFmtId="0" fontId="18" fillId="4" borderId="11" xfId="0" applyFont="1" applyFill="1" applyBorder="1" applyAlignment="1">
      <alignment horizontal="center" vertical="center" shrinkToFit="1"/>
    </xf>
    <xf numFmtId="0" fontId="24" fillId="0" borderId="0" xfId="0" applyFont="1"/>
    <xf numFmtId="176" fontId="20" fillId="8" borderId="91" xfId="0" applyNumberFormat="1" applyFont="1" applyFill="1" applyBorder="1" applyAlignment="1">
      <alignment horizontal="right" vertical="center"/>
    </xf>
    <xf numFmtId="0" fontId="13" fillId="5" borderId="43" xfId="0" applyFont="1" applyFill="1" applyBorder="1" applyAlignment="1">
      <alignment horizontal="right" vertical="center"/>
    </xf>
    <xf numFmtId="0" fontId="13" fillId="7" borderId="53" xfId="0" applyFont="1" applyFill="1" applyBorder="1" applyAlignment="1">
      <alignment horizontal="left" vertical="center"/>
    </xf>
    <xf numFmtId="0" fontId="13" fillId="5" borderId="53" xfId="0" applyFont="1" applyFill="1" applyBorder="1" applyAlignment="1">
      <alignment horizontal="right" vertical="center" wrapText="1"/>
    </xf>
    <xf numFmtId="0" fontId="18" fillId="8" borderId="48" xfId="0" applyFont="1" applyFill="1" applyBorder="1" applyAlignment="1">
      <alignment vertical="center" wrapText="1"/>
    </xf>
    <xf numFmtId="0" fontId="18" fillId="8" borderId="69" xfId="0" applyFont="1" applyFill="1" applyBorder="1" applyAlignment="1">
      <alignment vertical="center" wrapText="1"/>
    </xf>
    <xf numFmtId="0" fontId="18" fillId="0" borderId="14" xfId="0" applyFont="1" applyBorder="1" applyAlignment="1">
      <alignment horizontal="center" vertical="center" wrapText="1"/>
    </xf>
    <xf numFmtId="0" fontId="13" fillId="6" borderId="107" xfId="0" applyFont="1" applyFill="1" applyBorder="1" applyAlignment="1">
      <alignment horizontal="left" vertical="center"/>
    </xf>
    <xf numFmtId="0" fontId="18" fillId="0" borderId="125" xfId="0" applyFont="1" applyBorder="1" applyAlignment="1">
      <alignment horizontal="center" vertical="center" wrapText="1"/>
    </xf>
    <xf numFmtId="0" fontId="18" fillId="4" borderId="45" xfId="0" applyFont="1" applyFill="1" applyBorder="1" applyAlignment="1">
      <alignment horizontal="center" vertical="center" wrapText="1"/>
    </xf>
    <xf numFmtId="0" fontId="13" fillId="5" borderId="126" xfId="0" applyFont="1" applyFill="1" applyBorder="1" applyAlignment="1">
      <alignment horizontal="right" vertical="center" shrinkToFit="1"/>
    </xf>
    <xf numFmtId="176" fontId="20" fillId="8" borderId="127" xfId="0" applyNumberFormat="1" applyFont="1" applyFill="1" applyBorder="1" applyAlignment="1">
      <alignment horizontal="right" vertical="center"/>
    </xf>
    <xf numFmtId="176" fontId="20" fillId="8" borderId="128" xfId="0" applyNumberFormat="1" applyFont="1" applyFill="1" applyBorder="1" applyAlignment="1">
      <alignment horizontal="right" vertical="center"/>
    </xf>
    <xf numFmtId="176" fontId="19" fillId="0" borderId="113" xfId="0" applyNumberFormat="1" applyFont="1" applyBorder="1" applyAlignment="1">
      <alignment horizontal="right" vertical="center" shrinkToFit="1"/>
    </xf>
    <xf numFmtId="176" fontId="19" fillId="0" borderId="114" xfId="0" applyNumberFormat="1" applyFont="1" applyBorder="1" applyAlignment="1">
      <alignment horizontal="right" vertical="center" shrinkToFit="1"/>
    </xf>
    <xf numFmtId="176" fontId="20" fillId="4" borderId="130" xfId="0" applyNumberFormat="1" applyFont="1" applyFill="1" applyBorder="1" applyAlignment="1">
      <alignment horizontal="right" vertical="center" shrinkToFit="1"/>
    </xf>
    <xf numFmtId="176" fontId="19" fillId="6" borderId="131" xfId="0" applyNumberFormat="1" applyFont="1" applyFill="1" applyBorder="1" applyAlignment="1">
      <alignment horizontal="right" vertical="center"/>
    </xf>
    <xf numFmtId="176" fontId="19" fillId="5" borderId="132" xfId="0" applyNumberFormat="1" applyFont="1" applyFill="1" applyBorder="1" applyAlignment="1">
      <alignment horizontal="right" vertical="center"/>
    </xf>
    <xf numFmtId="176" fontId="19" fillId="7" borderId="132" xfId="0" applyNumberFormat="1" applyFont="1" applyFill="1" applyBorder="1" applyAlignment="1">
      <alignment horizontal="right" vertical="center"/>
    </xf>
    <xf numFmtId="176" fontId="20" fillId="8" borderId="103" xfId="0" applyNumberFormat="1" applyFont="1" applyFill="1" applyBorder="1" applyAlignment="1">
      <alignment horizontal="right" vertical="center"/>
    </xf>
    <xf numFmtId="0" fontId="18" fillId="2" borderId="129" xfId="0" applyFont="1" applyFill="1" applyBorder="1" applyAlignment="1">
      <alignment horizontal="center" vertical="center" shrinkToFit="1"/>
    </xf>
    <xf numFmtId="176" fontId="19" fillId="5" borderId="63" xfId="0" applyNumberFormat="1" applyFont="1" applyFill="1" applyBorder="1" applyAlignment="1">
      <alignment horizontal="right" vertical="center"/>
    </xf>
    <xf numFmtId="176" fontId="20" fillId="0" borderId="26" xfId="0" applyNumberFormat="1" applyFont="1" applyBorder="1"/>
    <xf numFmtId="176" fontId="20" fillId="0" borderId="27" xfId="0" applyNumberFormat="1" applyFont="1" applyBorder="1"/>
    <xf numFmtId="176" fontId="20" fillId="8" borderId="133" xfId="0" applyNumberFormat="1" applyFont="1" applyFill="1" applyBorder="1" applyAlignment="1">
      <alignment horizontal="right" vertical="center"/>
    </xf>
    <xf numFmtId="0" fontId="13" fillId="6" borderId="115" xfId="0" applyFont="1" applyFill="1" applyBorder="1" applyAlignment="1">
      <alignment horizontal="left" vertical="center"/>
    </xf>
    <xf numFmtId="3" fontId="11" fillId="0" borderId="0" xfId="0" applyNumberFormat="1" applyFont="1" applyAlignment="1">
      <alignment horizontal="center" vertical="center"/>
    </xf>
    <xf numFmtId="3" fontId="11" fillId="0" borderId="0" xfId="0" applyNumberFormat="1" applyFont="1"/>
    <xf numFmtId="176" fontId="20" fillId="4" borderId="123" xfId="0" applyNumberFormat="1" applyFont="1" applyFill="1" applyBorder="1" applyAlignment="1">
      <alignment horizontal="right" vertical="center" shrinkToFit="1"/>
    </xf>
    <xf numFmtId="176" fontId="19" fillId="5" borderId="119" xfId="0" applyNumberFormat="1" applyFont="1" applyFill="1" applyBorder="1" applyAlignment="1">
      <alignment horizontal="right" vertical="center"/>
    </xf>
    <xf numFmtId="0" fontId="13" fillId="0" borderId="0" xfId="0" applyFont="1" applyAlignment="1">
      <alignment horizontal="center" vertical="center" shrinkToFit="1"/>
    </xf>
    <xf numFmtId="0" fontId="13" fillId="2" borderId="74" xfId="0" applyFont="1" applyFill="1" applyBorder="1" applyAlignment="1">
      <alignment horizontal="center" vertical="center" shrinkToFit="1"/>
    </xf>
    <xf numFmtId="3" fontId="13" fillId="0" borderId="0" xfId="0" applyNumberFormat="1" applyFont="1" applyAlignment="1">
      <alignment horizontal="center" vertical="center"/>
    </xf>
    <xf numFmtId="0" fontId="13" fillId="2" borderId="129" xfId="0" applyFont="1" applyFill="1" applyBorder="1" applyAlignment="1">
      <alignment horizontal="center" vertical="center" wrapText="1"/>
    </xf>
    <xf numFmtId="0" fontId="13" fillId="2" borderId="129" xfId="0" applyFont="1" applyFill="1" applyBorder="1" applyAlignment="1">
      <alignment horizontal="center" vertical="center" shrinkToFit="1"/>
    </xf>
    <xf numFmtId="0" fontId="18" fillId="2" borderId="64" xfId="0" applyFont="1" applyFill="1" applyBorder="1" applyAlignment="1">
      <alignment horizontal="center" vertical="center" shrinkToFit="1"/>
    </xf>
    <xf numFmtId="0" fontId="18" fillId="8" borderId="57" xfId="0" applyFont="1" applyFill="1" applyBorder="1" applyAlignment="1">
      <alignment vertical="center" wrapText="1"/>
    </xf>
    <xf numFmtId="0" fontId="25" fillId="2" borderId="35" xfId="0" applyFont="1" applyFill="1" applyBorder="1" applyAlignment="1">
      <alignment horizontal="center" vertical="center" shrinkToFit="1"/>
    </xf>
    <xf numFmtId="0" fontId="25" fillId="2" borderId="36" xfId="0" applyFont="1" applyFill="1" applyBorder="1" applyAlignment="1">
      <alignment horizontal="center" vertical="center" shrinkToFit="1"/>
    </xf>
    <xf numFmtId="0" fontId="18" fillId="8" borderId="126" xfId="0" applyFont="1" applyFill="1" applyBorder="1" applyAlignment="1">
      <alignment vertical="center" shrinkToFit="1"/>
    </xf>
    <xf numFmtId="176" fontId="20" fillId="8" borderId="145" xfId="0" applyNumberFormat="1" applyFont="1" applyFill="1" applyBorder="1" applyAlignment="1">
      <alignment horizontal="right" vertical="center"/>
    </xf>
    <xf numFmtId="176" fontId="20" fillId="8" borderId="146" xfId="0" applyNumberFormat="1" applyFont="1" applyFill="1" applyBorder="1" applyAlignment="1">
      <alignment horizontal="right" vertical="center"/>
    </xf>
    <xf numFmtId="0" fontId="13" fillId="6" borderId="107" xfId="0" applyFont="1" applyFill="1" applyBorder="1" applyAlignment="1">
      <alignment horizontal="left" vertical="center" shrinkToFit="1"/>
    </xf>
    <xf numFmtId="0" fontId="13" fillId="0" borderId="0" xfId="0" applyFont="1" applyAlignment="1">
      <alignment horizontal="right" shrinkToFit="1"/>
    </xf>
    <xf numFmtId="0" fontId="18" fillId="8" borderId="19" xfId="0" applyFont="1" applyFill="1" applyBorder="1" applyAlignment="1">
      <alignment vertical="center" wrapText="1"/>
    </xf>
    <xf numFmtId="6" fontId="11" fillId="0" borderId="0" xfId="0" applyNumberFormat="1" applyFont="1"/>
    <xf numFmtId="6" fontId="19" fillId="5" borderId="120" xfId="0" applyNumberFormat="1" applyFont="1" applyFill="1" applyBorder="1" applyAlignment="1">
      <alignment horizontal="right" vertical="center"/>
    </xf>
    <xf numFmtId="6" fontId="19" fillId="5" borderId="26" xfId="0" applyNumberFormat="1" applyFont="1" applyFill="1" applyBorder="1" applyAlignment="1">
      <alignment horizontal="right" vertical="center"/>
    </xf>
    <xf numFmtId="176" fontId="19" fillId="5" borderId="85" xfId="0" applyNumberFormat="1" applyFont="1" applyFill="1" applyBorder="1" applyAlignment="1">
      <alignment horizontal="right" vertical="center"/>
    </xf>
    <xf numFmtId="176" fontId="19" fillId="5" borderId="147" xfId="0" applyNumberFormat="1" applyFont="1" applyFill="1" applyBorder="1" applyAlignment="1">
      <alignment horizontal="right" vertical="center"/>
    </xf>
    <xf numFmtId="176" fontId="19" fillId="5" borderId="148" xfId="0" applyNumberFormat="1" applyFont="1" applyFill="1" applyBorder="1" applyAlignment="1">
      <alignment horizontal="right" vertical="center"/>
    </xf>
    <xf numFmtId="176" fontId="19" fillId="5" borderId="152" xfId="0" applyNumberFormat="1" applyFont="1" applyFill="1" applyBorder="1" applyAlignment="1">
      <alignment horizontal="right" vertical="center"/>
    </xf>
    <xf numFmtId="0" fontId="30" fillId="0" borderId="0" xfId="0" applyFont="1"/>
    <xf numFmtId="176" fontId="20" fillId="8" borderId="84" xfId="0" applyNumberFormat="1" applyFont="1" applyFill="1" applyBorder="1" applyAlignment="1">
      <alignment horizontal="right" vertical="center"/>
    </xf>
    <xf numFmtId="176" fontId="20" fillId="8" borderId="19" xfId="0" applyNumberFormat="1" applyFont="1" applyFill="1" applyBorder="1" applyAlignment="1">
      <alignment horizontal="right" vertical="center"/>
    </xf>
    <xf numFmtId="0" fontId="18" fillId="8" borderId="160" xfId="0" applyFont="1" applyFill="1" applyBorder="1" applyAlignment="1">
      <alignment vertical="center" shrinkToFit="1"/>
    </xf>
    <xf numFmtId="176" fontId="20" fillId="8" borderId="163" xfId="0" applyNumberFormat="1" applyFont="1" applyFill="1" applyBorder="1" applyAlignment="1">
      <alignment horizontal="right" vertical="center"/>
    </xf>
    <xf numFmtId="176" fontId="20" fillId="8" borderId="160" xfId="0" applyNumberFormat="1" applyFont="1" applyFill="1" applyBorder="1" applyAlignment="1">
      <alignment horizontal="right" vertical="center"/>
    </xf>
    <xf numFmtId="176" fontId="19" fillId="9" borderId="4" xfId="0" applyNumberFormat="1" applyFont="1" applyFill="1" applyBorder="1" applyAlignment="1">
      <alignment horizontal="right" vertical="center" shrinkToFit="1"/>
    </xf>
    <xf numFmtId="176" fontId="19" fillId="9" borderId="1" xfId="0" applyNumberFormat="1" applyFont="1" applyFill="1" applyBorder="1" applyAlignment="1">
      <alignment horizontal="right" vertical="center" shrinkToFit="1"/>
    </xf>
    <xf numFmtId="176" fontId="19" fillId="9" borderId="164" xfId="0" applyNumberFormat="1" applyFont="1" applyFill="1" applyBorder="1" applyAlignment="1">
      <alignment horizontal="right" vertical="center" shrinkToFit="1"/>
    </xf>
    <xf numFmtId="176" fontId="19" fillId="9" borderId="70" xfId="0" applyNumberFormat="1" applyFont="1" applyFill="1" applyBorder="1" applyAlignment="1">
      <alignment horizontal="right" vertical="center" shrinkToFit="1"/>
    </xf>
    <xf numFmtId="0" fontId="13" fillId="5" borderId="150" xfId="0" applyFont="1" applyFill="1" applyBorder="1" applyAlignment="1">
      <alignment horizontal="right" vertical="center" wrapText="1"/>
    </xf>
    <xf numFmtId="0" fontId="13" fillId="0" borderId="0" xfId="4" applyFont="1" applyAlignment="1">
      <alignment horizontal="center" vertical="center" shrinkToFit="1"/>
    </xf>
    <xf numFmtId="176" fontId="19" fillId="6" borderId="168" xfId="0" applyNumberFormat="1" applyFont="1" applyFill="1" applyBorder="1" applyAlignment="1">
      <alignment horizontal="right" vertical="center"/>
    </xf>
    <xf numFmtId="176" fontId="19" fillId="9" borderId="170" xfId="0" applyNumberFormat="1" applyFont="1" applyFill="1" applyBorder="1" applyAlignment="1">
      <alignment horizontal="right" vertical="center" shrinkToFit="1"/>
    </xf>
    <xf numFmtId="176" fontId="19" fillId="9" borderId="171" xfId="0" applyNumberFormat="1" applyFont="1" applyFill="1" applyBorder="1" applyAlignment="1">
      <alignment horizontal="right" vertical="center" shrinkToFit="1"/>
    </xf>
    <xf numFmtId="176" fontId="19" fillId="9" borderId="174" xfId="0" applyNumberFormat="1" applyFont="1" applyFill="1" applyBorder="1" applyAlignment="1">
      <alignment horizontal="right" vertical="center" shrinkToFit="1"/>
    </xf>
    <xf numFmtId="0" fontId="18" fillId="4" borderId="176" xfId="0" applyFont="1" applyFill="1" applyBorder="1" applyAlignment="1">
      <alignment horizontal="center" vertical="center" wrapText="1"/>
    </xf>
    <xf numFmtId="176" fontId="20" fillId="4" borderId="179" xfId="0" applyNumberFormat="1" applyFont="1" applyFill="1" applyBorder="1" applyAlignment="1">
      <alignment horizontal="right" vertical="center" shrinkToFit="1"/>
    </xf>
    <xf numFmtId="176" fontId="20" fillId="4" borderId="176" xfId="0" applyNumberFormat="1" applyFont="1" applyFill="1" applyBorder="1" applyAlignment="1">
      <alignment horizontal="right" vertical="center" shrinkToFit="1"/>
    </xf>
    <xf numFmtId="0" fontId="18" fillId="0" borderId="180" xfId="0" applyFont="1" applyBorder="1" applyAlignment="1">
      <alignment horizontal="center" vertical="center" wrapText="1"/>
    </xf>
    <xf numFmtId="176" fontId="19" fillId="0" borderId="181" xfId="0" applyNumberFormat="1" applyFont="1" applyBorder="1" applyAlignment="1">
      <alignment horizontal="right" vertical="center" shrinkToFit="1"/>
    </xf>
    <xf numFmtId="176" fontId="20" fillId="0" borderId="180" xfId="0" applyNumberFormat="1" applyFont="1" applyBorder="1" applyAlignment="1">
      <alignment horizontal="right" vertical="center" shrinkToFit="1"/>
    </xf>
    <xf numFmtId="0" fontId="13" fillId="6" borderId="43" xfId="0" applyFont="1" applyFill="1" applyBorder="1" applyAlignment="1">
      <alignment horizontal="left" vertical="center"/>
    </xf>
    <xf numFmtId="0" fontId="13" fillId="6" borderId="20" xfId="0" applyFont="1" applyFill="1" applyBorder="1" applyAlignment="1">
      <alignment horizontal="left" vertical="center"/>
    </xf>
    <xf numFmtId="176" fontId="19" fillId="9" borderId="27" xfId="0" applyNumberFormat="1" applyFont="1" applyFill="1" applyBorder="1" applyAlignment="1">
      <alignment horizontal="right" vertical="center" shrinkToFit="1"/>
    </xf>
    <xf numFmtId="0" fontId="13" fillId="6" borderId="175" xfId="0" applyFont="1" applyFill="1" applyBorder="1" applyAlignment="1">
      <alignment horizontal="left" vertical="center" shrinkToFit="1"/>
    </xf>
    <xf numFmtId="176" fontId="19" fillId="6" borderId="171" xfId="0" applyNumberFormat="1" applyFont="1" applyFill="1" applyBorder="1" applyAlignment="1">
      <alignment horizontal="right" vertical="center"/>
    </xf>
    <xf numFmtId="176" fontId="19" fillId="6" borderId="175" xfId="0" applyNumberFormat="1" applyFont="1" applyFill="1" applyBorder="1" applyAlignment="1">
      <alignment horizontal="right" vertical="center"/>
    </xf>
    <xf numFmtId="176" fontId="19" fillId="0" borderId="37" xfId="0" applyNumberFormat="1" applyFont="1" applyBorder="1" applyAlignment="1">
      <alignment horizontal="right" vertical="center" shrinkToFit="1"/>
    </xf>
    <xf numFmtId="0" fontId="18" fillId="4" borderId="160" xfId="0" applyFont="1" applyFill="1" applyBorder="1" applyAlignment="1">
      <alignment horizontal="center" vertical="center" wrapText="1"/>
    </xf>
    <xf numFmtId="176" fontId="20" fillId="4" borderId="183" xfId="0" applyNumberFormat="1" applyFont="1" applyFill="1" applyBorder="1" applyAlignment="1">
      <alignment horizontal="right" vertical="center" shrinkToFit="1"/>
    </xf>
    <xf numFmtId="176" fontId="20" fillId="4" borderId="160" xfId="0" applyNumberFormat="1" applyFont="1" applyFill="1" applyBorder="1" applyAlignment="1">
      <alignment horizontal="right" vertical="center" shrinkToFit="1"/>
    </xf>
    <xf numFmtId="176" fontId="19" fillId="5" borderId="151" xfId="0" applyNumberFormat="1" applyFont="1" applyFill="1" applyBorder="1" applyAlignment="1">
      <alignment horizontal="right" vertical="center"/>
    </xf>
    <xf numFmtId="176" fontId="19" fillId="7" borderId="151" xfId="0" applyNumberFormat="1" applyFont="1" applyFill="1" applyBorder="1" applyAlignment="1">
      <alignment horizontal="right" vertical="center"/>
    </xf>
    <xf numFmtId="0" fontId="18" fillId="0" borderId="4" xfId="0" applyFont="1" applyBorder="1" applyAlignment="1">
      <alignment horizontal="center" vertical="center" shrinkToFit="1"/>
    </xf>
    <xf numFmtId="0" fontId="18" fillId="8" borderId="57" xfId="0" applyFont="1" applyFill="1" applyBorder="1" applyAlignment="1">
      <alignment vertical="center" shrinkToFit="1"/>
    </xf>
    <xf numFmtId="176" fontId="20" fillId="4" borderId="184" xfId="0" applyNumberFormat="1" applyFont="1" applyFill="1" applyBorder="1" applyAlignment="1">
      <alignment horizontal="right" vertical="center" shrinkToFit="1"/>
    </xf>
    <xf numFmtId="0" fontId="13" fillId="0" borderId="77" xfId="0" applyFont="1" applyBorder="1" applyAlignment="1">
      <alignment vertical="center" wrapText="1"/>
    </xf>
    <xf numFmtId="176" fontId="25" fillId="0" borderId="125" xfId="0" applyNumberFormat="1" applyFont="1" applyBorder="1" applyAlignment="1">
      <alignment horizontal="right" vertical="center" shrinkToFit="1"/>
    </xf>
    <xf numFmtId="176" fontId="25" fillId="0" borderId="58" xfId="0" applyNumberFormat="1" applyFont="1" applyBorder="1" applyAlignment="1">
      <alignment horizontal="right" vertical="center" shrinkToFit="1"/>
    </xf>
    <xf numFmtId="176" fontId="26" fillId="4" borderId="45" xfId="0" applyNumberFormat="1" applyFont="1" applyFill="1" applyBorder="1" applyAlignment="1">
      <alignment horizontal="right" vertical="center" shrinkToFit="1"/>
    </xf>
    <xf numFmtId="176" fontId="26" fillId="4" borderId="32" xfId="0" applyNumberFormat="1" applyFont="1" applyFill="1" applyBorder="1" applyAlignment="1">
      <alignment horizontal="right" vertical="center" shrinkToFit="1"/>
    </xf>
    <xf numFmtId="176" fontId="25" fillId="6" borderId="108" xfId="0" applyNumberFormat="1" applyFont="1" applyFill="1" applyBorder="1" applyAlignment="1">
      <alignment horizontal="right" vertical="center"/>
    </xf>
    <xf numFmtId="176" fontId="25" fillId="5" borderId="88" xfId="0" applyNumberFormat="1" applyFont="1" applyFill="1" applyBorder="1" applyAlignment="1">
      <alignment horizontal="right" vertical="center"/>
    </xf>
    <xf numFmtId="176" fontId="25" fillId="7" borderId="88" xfId="0" applyNumberFormat="1" applyFont="1" applyFill="1" applyBorder="1" applyAlignment="1">
      <alignment horizontal="right" vertical="center"/>
    </xf>
    <xf numFmtId="176" fontId="25" fillId="5" borderId="86" xfId="0" applyNumberFormat="1" applyFont="1" applyFill="1" applyBorder="1" applyAlignment="1">
      <alignment horizontal="right" vertical="center"/>
    </xf>
    <xf numFmtId="176" fontId="26" fillId="8" borderId="81" xfId="0" applyNumberFormat="1" applyFont="1" applyFill="1" applyBorder="1" applyAlignment="1">
      <alignment horizontal="right" vertical="center"/>
    </xf>
    <xf numFmtId="176" fontId="25" fillId="6" borderId="102" xfId="0" applyNumberFormat="1" applyFont="1" applyFill="1" applyBorder="1" applyAlignment="1">
      <alignment horizontal="right" vertical="center"/>
    </xf>
    <xf numFmtId="176" fontId="26" fillId="8" borderId="89" xfId="0" applyNumberFormat="1" applyFont="1" applyFill="1" applyBorder="1" applyAlignment="1">
      <alignment horizontal="right" vertical="center"/>
    </xf>
    <xf numFmtId="176" fontId="25" fillId="0" borderId="86" xfId="0" applyNumberFormat="1" applyFont="1" applyBorder="1" applyAlignment="1">
      <alignment horizontal="right" vertical="center"/>
    </xf>
    <xf numFmtId="176" fontId="25" fillId="9" borderId="169" xfId="0" applyNumberFormat="1" applyFont="1" applyFill="1" applyBorder="1" applyAlignment="1">
      <alignment horizontal="right" vertical="center" shrinkToFit="1"/>
    </xf>
    <xf numFmtId="176" fontId="25" fillId="0" borderId="22" xfId="0" applyNumberFormat="1" applyFont="1" applyBorder="1" applyAlignment="1">
      <alignment horizontal="right" vertical="center" shrinkToFit="1"/>
    </xf>
    <xf numFmtId="176" fontId="25" fillId="0" borderId="25" xfId="0" applyNumberFormat="1" applyFont="1" applyBorder="1" applyAlignment="1">
      <alignment horizontal="right" vertical="center" shrinkToFit="1"/>
    </xf>
    <xf numFmtId="176" fontId="26" fillId="4" borderId="28" xfId="0" applyNumberFormat="1" applyFont="1" applyFill="1" applyBorder="1" applyAlignment="1">
      <alignment horizontal="right" vertical="center" shrinkToFit="1"/>
    </xf>
    <xf numFmtId="176" fontId="25" fillId="6" borderId="30" xfId="0" applyNumberFormat="1" applyFont="1" applyFill="1" applyBorder="1" applyAlignment="1">
      <alignment horizontal="right" vertical="center"/>
    </xf>
    <xf numFmtId="176" fontId="25" fillId="6" borderId="22" xfId="0" applyNumberFormat="1" applyFont="1" applyFill="1" applyBorder="1" applyAlignment="1">
      <alignment horizontal="right" vertical="center"/>
    </xf>
    <xf numFmtId="176" fontId="26" fillId="8" borderId="32" xfId="0" applyNumberFormat="1" applyFont="1" applyFill="1" applyBorder="1" applyAlignment="1">
      <alignment horizontal="right" vertical="center"/>
    </xf>
    <xf numFmtId="176" fontId="26" fillId="8" borderId="28" xfId="0" applyNumberFormat="1" applyFont="1" applyFill="1" applyBorder="1" applyAlignment="1">
      <alignment horizontal="right" vertical="center"/>
    </xf>
    <xf numFmtId="176" fontId="26" fillId="4" borderId="177" xfId="0" applyNumberFormat="1" applyFont="1" applyFill="1" applyBorder="1" applyAlignment="1">
      <alignment horizontal="right" vertical="center" shrinkToFit="1"/>
    </xf>
    <xf numFmtId="176" fontId="25" fillId="9" borderId="25" xfId="0" applyNumberFormat="1" applyFont="1" applyFill="1" applyBorder="1" applyAlignment="1">
      <alignment horizontal="right" vertical="center" shrinkToFit="1"/>
    </xf>
    <xf numFmtId="176" fontId="25" fillId="0" borderId="88" xfId="0" applyNumberFormat="1" applyFont="1" applyBorder="1" applyAlignment="1">
      <alignment horizontal="right" vertical="center"/>
    </xf>
    <xf numFmtId="176" fontId="25" fillId="0" borderId="65" xfId="0" applyNumberFormat="1" applyFont="1" applyBorder="1" applyAlignment="1">
      <alignment horizontal="right" vertical="center" shrinkToFit="1"/>
    </xf>
    <xf numFmtId="176" fontId="13" fillId="9" borderId="14" xfId="0" applyNumberFormat="1" applyFont="1" applyFill="1" applyBorder="1" applyAlignment="1">
      <alignment vertical="center" shrinkToFit="1"/>
    </xf>
    <xf numFmtId="176" fontId="13" fillId="9" borderId="15" xfId="0" applyNumberFormat="1" applyFont="1" applyFill="1" applyBorder="1" applyAlignment="1">
      <alignment vertical="center" shrinkToFit="1"/>
    </xf>
    <xf numFmtId="176" fontId="18" fillId="4" borderId="16" xfId="0" applyNumberFormat="1" applyFont="1" applyFill="1" applyBorder="1" applyAlignment="1">
      <alignment vertical="center" shrinkToFit="1"/>
    </xf>
    <xf numFmtId="176" fontId="13" fillId="0" borderId="14" xfId="0" applyNumberFormat="1" applyFont="1" applyBorder="1" applyAlignment="1">
      <alignment vertical="center" shrinkToFit="1"/>
    </xf>
    <xf numFmtId="176" fontId="13" fillId="0" borderId="15" xfId="0" applyNumberFormat="1" applyFont="1" applyBorder="1" applyAlignment="1">
      <alignment vertical="center" shrinkToFit="1"/>
    </xf>
    <xf numFmtId="176" fontId="13" fillId="4" borderId="16" xfId="0" applyNumberFormat="1" applyFont="1" applyFill="1" applyBorder="1" applyAlignment="1">
      <alignment vertical="center" shrinkToFit="1"/>
    </xf>
    <xf numFmtId="176" fontId="19" fillId="0" borderId="120" xfId="0" applyNumberFormat="1" applyFont="1" applyBorder="1" applyAlignment="1">
      <alignment horizontal="right" vertical="center"/>
    </xf>
    <xf numFmtId="176" fontId="19" fillId="5" borderId="120" xfId="0" applyNumberFormat="1" applyFont="1" applyFill="1" applyBorder="1" applyAlignment="1">
      <alignment horizontal="right" vertical="center"/>
    </xf>
    <xf numFmtId="0" fontId="13" fillId="0" borderId="0" xfId="4" applyFont="1" applyAlignment="1">
      <alignment horizontal="right" vertical="center" wrapText="1" shrinkToFit="1"/>
    </xf>
    <xf numFmtId="176" fontId="20" fillId="0" borderId="120" xfId="0" applyNumberFormat="1" applyFont="1" applyBorder="1"/>
    <xf numFmtId="176" fontId="13" fillId="0" borderId="104" xfId="0" applyNumberFormat="1" applyFont="1" applyBorder="1" applyAlignment="1">
      <alignment horizontal="right" vertical="center" shrinkToFit="1"/>
    </xf>
    <xf numFmtId="176" fontId="13" fillId="0" borderId="59" xfId="0" applyNumberFormat="1" applyFont="1" applyBorder="1" applyAlignment="1">
      <alignment horizontal="right" vertical="center" shrinkToFit="1"/>
    </xf>
    <xf numFmtId="176" fontId="18" fillId="4" borderId="46" xfId="0" applyNumberFormat="1" applyFont="1" applyFill="1" applyBorder="1" applyAlignment="1">
      <alignment horizontal="right" vertical="center" shrinkToFit="1"/>
    </xf>
    <xf numFmtId="6" fontId="13" fillId="5" borderId="120" xfId="0" applyNumberFormat="1" applyFont="1" applyFill="1" applyBorder="1" applyAlignment="1">
      <alignment horizontal="right" vertical="center"/>
    </xf>
    <xf numFmtId="6" fontId="13" fillId="5" borderId="26" xfId="0" applyNumberFormat="1" applyFont="1" applyFill="1" applyBorder="1" applyAlignment="1">
      <alignment horizontal="right" vertical="center"/>
    </xf>
    <xf numFmtId="176" fontId="13" fillId="5" borderId="26" xfId="0" applyNumberFormat="1" applyFont="1" applyFill="1" applyBorder="1" applyAlignment="1">
      <alignment horizontal="right" vertical="center"/>
    </xf>
    <xf numFmtId="176" fontId="13" fillId="7" borderId="26" xfId="0" applyNumberFormat="1" applyFont="1" applyFill="1" applyBorder="1" applyAlignment="1">
      <alignment horizontal="right" vertical="center"/>
    </xf>
    <xf numFmtId="176" fontId="18" fillId="8" borderId="33" xfId="0" applyNumberFormat="1" applyFont="1" applyFill="1" applyBorder="1" applyAlignment="1">
      <alignment horizontal="right" vertical="center"/>
    </xf>
    <xf numFmtId="0" fontId="13" fillId="2" borderId="118" xfId="0" applyFont="1" applyFill="1" applyBorder="1" applyAlignment="1">
      <alignment horizontal="center" vertical="center" shrinkToFit="1"/>
    </xf>
    <xf numFmtId="176" fontId="13" fillId="0" borderId="125" xfId="0" applyNumberFormat="1" applyFont="1" applyBorder="1" applyAlignment="1">
      <alignment horizontal="right" vertical="center" shrinkToFit="1"/>
    </xf>
    <xf numFmtId="176" fontId="13" fillId="0" borderId="58" xfId="0" applyNumberFormat="1" applyFont="1" applyBorder="1" applyAlignment="1">
      <alignment horizontal="right" vertical="center" shrinkToFit="1"/>
    </xf>
    <xf numFmtId="176" fontId="18" fillId="4" borderId="45" xfId="0" applyNumberFormat="1" applyFont="1" applyFill="1" applyBorder="1" applyAlignment="1">
      <alignment horizontal="right" vertical="center" shrinkToFit="1"/>
    </xf>
    <xf numFmtId="176" fontId="13" fillId="6" borderId="182" xfId="0" applyNumberFormat="1" applyFont="1" applyFill="1" applyBorder="1" applyAlignment="1">
      <alignment horizontal="right" vertical="center"/>
    </xf>
    <xf numFmtId="6" fontId="13" fillId="7" borderId="120" xfId="0" applyNumberFormat="1" applyFont="1" applyFill="1" applyBorder="1" applyAlignment="1">
      <alignment horizontal="right" vertical="center"/>
    </xf>
    <xf numFmtId="176" fontId="18" fillId="8" borderId="123" xfId="0" applyNumberFormat="1" applyFont="1" applyFill="1" applyBorder="1" applyAlignment="1">
      <alignment horizontal="right" vertical="center"/>
    </xf>
    <xf numFmtId="176" fontId="13" fillId="6" borderId="122" xfId="0" applyNumberFormat="1" applyFont="1" applyFill="1" applyBorder="1" applyAlignment="1">
      <alignment horizontal="right" vertical="center"/>
    </xf>
    <xf numFmtId="176" fontId="18" fillId="8" borderId="121" xfId="0" applyNumberFormat="1" applyFont="1" applyFill="1" applyBorder="1" applyAlignment="1">
      <alignment horizontal="right" vertical="center"/>
    </xf>
    <xf numFmtId="176" fontId="18" fillId="4" borderId="32" xfId="0" applyNumberFormat="1" applyFont="1" applyFill="1" applyBorder="1" applyAlignment="1">
      <alignment horizontal="right" vertical="center" shrinkToFit="1"/>
    </xf>
    <xf numFmtId="176" fontId="13" fillId="6" borderId="95" xfId="0" applyNumberFormat="1" applyFont="1" applyFill="1" applyBorder="1" applyAlignment="1">
      <alignment horizontal="right" vertical="center"/>
    </xf>
    <xf numFmtId="176" fontId="13" fillId="5" borderId="86" xfId="0" applyNumberFormat="1" applyFont="1" applyFill="1" applyBorder="1" applyAlignment="1">
      <alignment horizontal="right" vertical="center"/>
    </xf>
    <xf numFmtId="176" fontId="13" fillId="7" borderId="86" xfId="0" applyNumberFormat="1" applyFont="1" applyFill="1" applyBorder="1" applyAlignment="1">
      <alignment horizontal="right" vertical="center"/>
    </xf>
    <xf numFmtId="176" fontId="18" fillId="8" borderId="82" xfId="0" applyNumberFormat="1" applyFont="1" applyFill="1" applyBorder="1" applyAlignment="1">
      <alignment horizontal="right" vertical="center"/>
    </xf>
    <xf numFmtId="176" fontId="13" fillId="5" borderId="152" xfId="0" applyNumberFormat="1" applyFont="1" applyFill="1" applyBorder="1" applyAlignment="1">
      <alignment horizontal="right" vertical="center"/>
    </xf>
    <xf numFmtId="176" fontId="13" fillId="5" borderId="147" xfId="0" applyNumberFormat="1" applyFont="1" applyFill="1" applyBorder="1" applyAlignment="1">
      <alignment horizontal="right" vertical="center"/>
    </xf>
    <xf numFmtId="176" fontId="13" fillId="5" borderId="85" xfId="0" applyNumberFormat="1" applyFont="1" applyFill="1" applyBorder="1" applyAlignment="1">
      <alignment horizontal="right" vertical="center"/>
    </xf>
    <xf numFmtId="176" fontId="18" fillId="8" borderId="90" xfId="0" applyNumberFormat="1" applyFont="1" applyFill="1" applyBorder="1" applyAlignment="1">
      <alignment horizontal="right" vertical="center"/>
    </xf>
    <xf numFmtId="176" fontId="13" fillId="9" borderId="59" xfId="0" applyNumberFormat="1" applyFont="1" applyFill="1" applyBorder="1" applyAlignment="1">
      <alignment horizontal="right" vertical="center" shrinkToFit="1"/>
    </xf>
    <xf numFmtId="176" fontId="18" fillId="4" borderId="62" xfId="0" applyNumberFormat="1" applyFont="1" applyFill="1" applyBorder="1" applyAlignment="1">
      <alignment horizontal="right" vertical="center" shrinkToFit="1"/>
    </xf>
    <xf numFmtId="0" fontId="13" fillId="2" borderId="35" xfId="0" applyFont="1" applyFill="1" applyBorder="1" applyAlignment="1">
      <alignment horizontal="center" vertical="center" shrinkToFit="1"/>
    </xf>
    <xf numFmtId="176" fontId="13" fillId="6" borderId="108" xfId="0" applyNumberFormat="1" applyFont="1" applyFill="1" applyBorder="1" applyAlignment="1">
      <alignment horizontal="right" vertical="center"/>
    </xf>
    <xf numFmtId="176" fontId="13" fillId="5" borderId="88" xfId="0" applyNumberFormat="1" applyFont="1" applyFill="1" applyBorder="1" applyAlignment="1">
      <alignment horizontal="right" vertical="center"/>
    </xf>
    <xf numFmtId="176" fontId="13" fillId="7" borderId="88" xfId="0" applyNumberFormat="1" applyFont="1" applyFill="1" applyBorder="1" applyAlignment="1">
      <alignment horizontal="right" vertical="center"/>
    </xf>
    <xf numFmtId="176" fontId="18" fillId="8" borderId="81" xfId="0" applyNumberFormat="1" applyFont="1" applyFill="1" applyBorder="1" applyAlignment="1">
      <alignment horizontal="right" vertical="center"/>
    </xf>
    <xf numFmtId="176" fontId="13" fillId="6" borderId="102" xfId="0" applyNumberFormat="1" applyFont="1" applyFill="1" applyBorder="1" applyAlignment="1">
      <alignment horizontal="right" vertical="center"/>
    </xf>
    <xf numFmtId="176" fontId="18" fillId="8" borderId="89" xfId="0" applyNumberFormat="1" applyFont="1" applyFill="1" applyBorder="1" applyAlignment="1">
      <alignment horizontal="right" vertical="center"/>
    </xf>
    <xf numFmtId="176" fontId="13" fillId="9" borderId="67" xfId="0" applyNumberFormat="1" applyFont="1" applyFill="1" applyBorder="1" applyAlignment="1">
      <alignment horizontal="right" vertical="center" shrinkToFit="1"/>
    </xf>
    <xf numFmtId="176" fontId="13" fillId="9" borderId="58" xfId="0" applyNumberFormat="1" applyFont="1" applyFill="1" applyBorder="1" applyAlignment="1">
      <alignment horizontal="right" vertical="center" shrinkToFit="1"/>
    </xf>
    <xf numFmtId="176" fontId="18" fillId="4" borderId="61" xfId="0" applyNumberFormat="1" applyFont="1" applyFill="1" applyBorder="1" applyAlignment="1">
      <alignment horizontal="right" vertical="center" shrinkToFit="1"/>
    </xf>
    <xf numFmtId="176" fontId="13" fillId="0" borderId="86" xfId="0" applyNumberFormat="1" applyFont="1" applyBorder="1" applyAlignment="1">
      <alignment horizontal="right" vertical="center"/>
    </xf>
    <xf numFmtId="176" fontId="13" fillId="5" borderId="150" xfId="0" applyNumberFormat="1" applyFont="1" applyFill="1" applyBorder="1" applyAlignment="1">
      <alignment horizontal="right" vertical="center"/>
    </xf>
    <xf numFmtId="0" fontId="13" fillId="0" borderId="149" xfId="0" applyFont="1" applyBorder="1"/>
    <xf numFmtId="176" fontId="13" fillId="9" borderId="172" xfId="0" applyNumberFormat="1" applyFont="1" applyFill="1" applyBorder="1" applyAlignment="1">
      <alignment horizontal="right" vertical="center" shrinkToFit="1"/>
    </xf>
    <xf numFmtId="0" fontId="13" fillId="2" borderId="92" xfId="0" applyFont="1" applyFill="1" applyBorder="1" applyAlignment="1">
      <alignment horizontal="center" vertical="center" shrinkToFit="1"/>
    </xf>
    <xf numFmtId="176" fontId="13" fillId="6" borderId="31" xfId="0" applyNumberFormat="1" applyFont="1" applyFill="1" applyBorder="1" applyAlignment="1">
      <alignment horizontal="right" vertical="center"/>
    </xf>
    <xf numFmtId="176" fontId="13" fillId="0" borderId="26" xfId="0" applyNumberFormat="1" applyFont="1" applyBorder="1" applyAlignment="1">
      <alignment horizontal="right" vertical="center"/>
    </xf>
    <xf numFmtId="176" fontId="13" fillId="5" borderId="38" xfId="0" applyNumberFormat="1" applyFont="1" applyFill="1" applyBorder="1" applyAlignment="1">
      <alignment horizontal="right" vertical="center"/>
    </xf>
    <xf numFmtId="176" fontId="13" fillId="9" borderId="66" xfId="0" applyNumberFormat="1" applyFont="1" applyFill="1" applyBorder="1" applyAlignment="1">
      <alignment horizontal="right" vertical="center" shrinkToFit="1"/>
    </xf>
    <xf numFmtId="176" fontId="13" fillId="5" borderId="119" xfId="0" applyNumberFormat="1" applyFont="1" applyFill="1" applyBorder="1" applyAlignment="1">
      <alignment horizontal="right" vertical="center"/>
    </xf>
    <xf numFmtId="176" fontId="13" fillId="0" borderId="22" xfId="0" applyNumberFormat="1" applyFont="1" applyBorder="1" applyAlignment="1">
      <alignment horizontal="right" vertical="center" shrinkToFit="1"/>
    </xf>
    <xf numFmtId="176" fontId="13" fillId="0" borderId="25" xfId="0" applyNumberFormat="1" applyFont="1" applyBorder="1" applyAlignment="1">
      <alignment horizontal="right" vertical="center" shrinkToFit="1"/>
    </xf>
    <xf numFmtId="176" fontId="18" fillId="4" borderId="28" xfId="0" applyNumberFormat="1" applyFont="1" applyFill="1" applyBorder="1" applyAlignment="1">
      <alignment horizontal="right" vertical="center" shrinkToFit="1"/>
    </xf>
    <xf numFmtId="176" fontId="13" fillId="6" borderId="30" xfId="0" applyNumberFormat="1" applyFont="1" applyFill="1" applyBorder="1" applyAlignment="1">
      <alignment horizontal="right" vertical="center"/>
    </xf>
    <xf numFmtId="176" fontId="13" fillId="7" borderId="25" xfId="0" applyNumberFormat="1" applyFont="1" applyFill="1" applyBorder="1" applyAlignment="1">
      <alignment horizontal="right" vertical="center"/>
    </xf>
    <xf numFmtId="176" fontId="18" fillId="8" borderId="161" xfId="0" applyNumberFormat="1" applyFont="1" applyFill="1" applyBorder="1" applyAlignment="1">
      <alignment horizontal="right" vertical="center"/>
    </xf>
    <xf numFmtId="176" fontId="13" fillId="6" borderId="22" xfId="0" applyNumberFormat="1" applyFont="1" applyFill="1" applyBorder="1" applyAlignment="1">
      <alignment horizontal="right" vertical="center"/>
    </xf>
    <xf numFmtId="176" fontId="18" fillId="8" borderId="32" xfId="0" applyNumberFormat="1" applyFont="1" applyFill="1" applyBorder="1" applyAlignment="1">
      <alignment horizontal="right" vertical="center"/>
    </xf>
    <xf numFmtId="176" fontId="18" fillId="8" borderId="28" xfId="0" applyNumberFormat="1" applyFont="1" applyFill="1" applyBorder="1" applyAlignment="1">
      <alignment horizontal="right" vertical="center"/>
    </xf>
    <xf numFmtId="176" fontId="18" fillId="4" borderId="177" xfId="0" applyNumberFormat="1" applyFont="1" applyFill="1" applyBorder="1" applyAlignment="1">
      <alignment horizontal="right" vertical="center" shrinkToFit="1"/>
    </xf>
    <xf numFmtId="176" fontId="13" fillId="9" borderId="169" xfId="0" applyNumberFormat="1" applyFont="1" applyFill="1" applyBorder="1" applyAlignment="1">
      <alignment horizontal="right" vertical="center" shrinkToFit="1"/>
    </xf>
    <xf numFmtId="176" fontId="13" fillId="9" borderId="25" xfId="0" applyNumberFormat="1" applyFont="1" applyFill="1" applyBorder="1" applyAlignment="1">
      <alignment horizontal="right" vertical="center" shrinkToFit="1"/>
    </xf>
    <xf numFmtId="176" fontId="18" fillId="4" borderId="123" xfId="0" applyNumberFormat="1" applyFont="1" applyFill="1" applyBorder="1" applyAlignment="1">
      <alignment horizontal="right" vertical="center" shrinkToFit="1"/>
    </xf>
    <xf numFmtId="176" fontId="13" fillId="0" borderId="119" xfId="0" applyNumberFormat="1" applyFont="1" applyBorder="1" applyAlignment="1">
      <alignment horizontal="right" vertical="center" shrinkToFit="1"/>
    </xf>
    <xf numFmtId="176" fontId="13" fillId="0" borderId="120" xfId="0" applyNumberFormat="1" applyFont="1" applyBorder="1" applyAlignment="1">
      <alignment horizontal="right" vertical="center" shrinkToFit="1"/>
    </xf>
    <xf numFmtId="176" fontId="18" fillId="4" borderId="121" xfId="0" applyNumberFormat="1" applyFont="1" applyFill="1" applyBorder="1" applyAlignment="1">
      <alignment horizontal="right" vertical="center" shrinkToFit="1"/>
    </xf>
    <xf numFmtId="176" fontId="13" fillId="0" borderId="120" xfId="0" applyNumberFormat="1" applyFont="1" applyBorder="1" applyAlignment="1">
      <alignment horizontal="right" vertical="center"/>
    </xf>
    <xf numFmtId="176" fontId="13" fillId="5" borderId="120" xfId="0" applyNumberFormat="1" applyFont="1" applyFill="1" applyBorder="1" applyAlignment="1">
      <alignment horizontal="right" vertical="center"/>
    </xf>
    <xf numFmtId="176" fontId="13" fillId="7" borderId="120" xfId="0" applyNumberFormat="1" applyFont="1" applyFill="1" applyBorder="1" applyAlignment="1">
      <alignment horizontal="right" vertical="center"/>
    </xf>
    <xf numFmtId="176" fontId="18" fillId="0" borderId="120" xfId="0" applyNumberFormat="1" applyFont="1" applyBorder="1"/>
    <xf numFmtId="176" fontId="13" fillId="0" borderId="88" xfId="0" applyNumberFormat="1" applyFont="1" applyBorder="1" applyAlignment="1">
      <alignment horizontal="right" vertical="center"/>
    </xf>
    <xf numFmtId="176" fontId="13" fillId="6" borderId="119" xfId="0" applyNumberFormat="1" applyFont="1" applyFill="1" applyBorder="1" applyAlignment="1">
      <alignment horizontal="right" vertical="center"/>
    </xf>
    <xf numFmtId="176" fontId="13" fillId="0" borderId="122" xfId="0" applyNumberFormat="1" applyFont="1" applyBorder="1" applyAlignment="1">
      <alignment horizontal="right" vertical="center" shrinkToFit="1"/>
    </xf>
    <xf numFmtId="176" fontId="13" fillId="5" borderId="63" xfId="0" applyNumberFormat="1" applyFont="1" applyFill="1" applyBorder="1" applyAlignment="1">
      <alignment horizontal="right" vertical="center"/>
    </xf>
    <xf numFmtId="176" fontId="13" fillId="0" borderId="30" xfId="0" applyNumberFormat="1" applyFont="1" applyBorder="1" applyAlignment="1">
      <alignment horizontal="right" vertical="center" shrinkToFit="1"/>
    </xf>
    <xf numFmtId="176" fontId="18" fillId="4" borderId="161" xfId="0" applyNumberFormat="1" applyFont="1" applyFill="1" applyBorder="1" applyAlignment="1">
      <alignment horizontal="right" vertical="center" shrinkToFit="1"/>
    </xf>
    <xf numFmtId="176" fontId="18" fillId="5" borderId="88" xfId="0" applyNumberFormat="1" applyFont="1" applyFill="1" applyBorder="1" applyAlignment="1">
      <alignment horizontal="right" vertical="center"/>
    </xf>
    <xf numFmtId="176" fontId="18" fillId="8" borderId="78" xfId="0" applyNumberFormat="1" applyFont="1" applyFill="1" applyBorder="1" applyAlignment="1">
      <alignment horizontal="right" vertical="center"/>
    </xf>
    <xf numFmtId="176" fontId="13" fillId="0" borderId="65" xfId="0" applyNumberFormat="1" applyFont="1" applyBorder="1" applyAlignment="1">
      <alignment horizontal="right" vertical="center" shrinkToFit="1"/>
    </xf>
    <xf numFmtId="176" fontId="18" fillId="4" borderId="93" xfId="0" applyNumberFormat="1" applyFont="1" applyFill="1" applyBorder="1" applyAlignment="1">
      <alignment horizontal="right" vertical="center" shrinkToFit="1"/>
    </xf>
    <xf numFmtId="176" fontId="25" fillId="0" borderId="104" xfId="0" applyNumberFormat="1" applyFont="1" applyBorder="1" applyAlignment="1">
      <alignment horizontal="right" vertical="center" shrinkToFit="1"/>
    </xf>
    <xf numFmtId="176" fontId="25" fillId="0" borderId="59" xfId="0" applyNumberFormat="1" applyFont="1" applyBorder="1" applyAlignment="1">
      <alignment horizontal="right" vertical="center" shrinkToFit="1"/>
    </xf>
    <xf numFmtId="176" fontId="26" fillId="4" borderId="46" xfId="0" applyNumberFormat="1" applyFont="1" applyFill="1" applyBorder="1" applyAlignment="1">
      <alignment horizontal="right" vertical="center" shrinkToFit="1"/>
    </xf>
    <xf numFmtId="176" fontId="26" fillId="8" borderId="33" xfId="0" applyNumberFormat="1" applyFont="1" applyFill="1" applyBorder="1" applyAlignment="1">
      <alignment horizontal="right" vertical="center"/>
    </xf>
    <xf numFmtId="176" fontId="25" fillId="6" borderId="23" xfId="0" applyNumberFormat="1" applyFont="1" applyFill="1" applyBorder="1" applyAlignment="1">
      <alignment horizontal="right" vertical="center"/>
    </xf>
    <xf numFmtId="176" fontId="26" fillId="8" borderId="29" xfId="0" applyNumberFormat="1" applyFont="1" applyFill="1" applyBorder="1" applyAlignment="1">
      <alignment horizontal="right" vertical="center"/>
    </xf>
    <xf numFmtId="176" fontId="26" fillId="4" borderId="33" xfId="0" applyNumberFormat="1" applyFont="1" applyFill="1" applyBorder="1" applyAlignment="1">
      <alignment horizontal="right" vertical="center" shrinkToFit="1"/>
    </xf>
    <xf numFmtId="176" fontId="25" fillId="6" borderId="95" xfId="0" applyNumberFormat="1" applyFont="1" applyFill="1" applyBorder="1" applyAlignment="1">
      <alignment horizontal="right" vertical="center"/>
    </xf>
    <xf numFmtId="176" fontId="25" fillId="5" borderId="26" xfId="0" applyNumberFormat="1" applyFont="1" applyFill="1" applyBorder="1" applyAlignment="1">
      <alignment horizontal="right" vertical="center"/>
    </xf>
    <xf numFmtId="176" fontId="25" fillId="7" borderId="86" xfId="0" applyNumberFormat="1" applyFont="1" applyFill="1" applyBorder="1" applyAlignment="1">
      <alignment horizontal="right" vertical="center"/>
    </xf>
    <xf numFmtId="176" fontId="26" fillId="8" borderId="82" xfId="0" applyNumberFormat="1" applyFont="1" applyFill="1" applyBorder="1" applyAlignment="1">
      <alignment horizontal="right" vertical="center"/>
    </xf>
    <xf numFmtId="176" fontId="25" fillId="6" borderId="85" xfId="0" applyNumberFormat="1" applyFont="1" applyFill="1" applyBorder="1" applyAlignment="1">
      <alignment horizontal="right" vertical="center"/>
    </xf>
    <xf numFmtId="176" fontId="25" fillId="5" borderId="152" xfId="0" applyNumberFormat="1" applyFont="1" applyFill="1" applyBorder="1" applyAlignment="1">
      <alignment horizontal="right" vertical="center"/>
    </xf>
    <xf numFmtId="176" fontId="25" fillId="5" borderId="147" xfId="0" applyNumberFormat="1" applyFont="1" applyFill="1" applyBorder="1" applyAlignment="1">
      <alignment horizontal="right" vertical="center"/>
    </xf>
    <xf numFmtId="176" fontId="25" fillId="5" borderId="85" xfId="0" applyNumberFormat="1" applyFont="1" applyFill="1" applyBorder="1" applyAlignment="1">
      <alignment horizontal="right" vertical="center"/>
    </xf>
    <xf numFmtId="176" fontId="26" fillId="8" borderId="90" xfId="0" applyNumberFormat="1" applyFont="1" applyFill="1" applyBorder="1" applyAlignment="1">
      <alignment horizontal="right" vertical="center"/>
    </xf>
    <xf numFmtId="176" fontId="25" fillId="9" borderId="68" xfId="0" applyNumberFormat="1" applyFont="1" applyFill="1" applyBorder="1" applyAlignment="1">
      <alignment horizontal="right" vertical="center" shrinkToFit="1"/>
    </xf>
    <xf numFmtId="176" fontId="25" fillId="9" borderId="59" xfId="0" applyNumberFormat="1" applyFont="1" applyFill="1" applyBorder="1" applyAlignment="1">
      <alignment horizontal="right" vertical="center" shrinkToFit="1"/>
    </xf>
    <xf numFmtId="176" fontId="26" fillId="4" borderId="62" xfId="0" applyNumberFormat="1" applyFont="1" applyFill="1" applyBorder="1" applyAlignment="1">
      <alignment horizontal="right" vertical="center" shrinkToFit="1"/>
    </xf>
    <xf numFmtId="176" fontId="25" fillId="9" borderId="173" xfId="0" applyNumberFormat="1" applyFont="1" applyFill="1" applyBorder="1" applyAlignment="1">
      <alignment horizontal="right" vertical="center" shrinkToFit="1"/>
    </xf>
    <xf numFmtId="176" fontId="26" fillId="4" borderId="82" xfId="0" applyNumberFormat="1" applyFont="1" applyFill="1" applyBorder="1" applyAlignment="1">
      <alignment horizontal="right" vertical="center" shrinkToFit="1"/>
    </xf>
    <xf numFmtId="176" fontId="25" fillId="5" borderId="156" xfId="0" applyNumberFormat="1" applyFont="1" applyFill="1" applyBorder="1" applyAlignment="1">
      <alignment horizontal="right" vertical="center"/>
    </xf>
    <xf numFmtId="176" fontId="25" fillId="6" borderId="31" xfId="0" applyNumberFormat="1" applyFont="1" applyFill="1" applyBorder="1" applyAlignment="1">
      <alignment horizontal="right" vertical="center"/>
    </xf>
    <xf numFmtId="176" fontId="25" fillId="0" borderId="26" xfId="0" applyNumberFormat="1" applyFont="1" applyBorder="1" applyAlignment="1">
      <alignment horizontal="right" vertical="center"/>
    </xf>
    <xf numFmtId="176" fontId="25" fillId="7" borderId="26" xfId="0" applyNumberFormat="1" applyFont="1" applyFill="1" applyBorder="1" applyAlignment="1">
      <alignment horizontal="right" vertical="center"/>
    </xf>
    <xf numFmtId="176" fontId="25" fillId="5" borderId="38" xfId="0" applyNumberFormat="1" applyFont="1" applyFill="1" applyBorder="1" applyAlignment="1">
      <alignment horizontal="right" vertical="center"/>
    </xf>
    <xf numFmtId="176" fontId="25" fillId="0" borderId="23" xfId="0" applyNumberFormat="1" applyFont="1" applyBorder="1" applyAlignment="1">
      <alignment horizontal="right" vertical="center" shrinkToFit="1"/>
    </xf>
    <xf numFmtId="176" fontId="25" fillId="0" borderId="26" xfId="0" applyNumberFormat="1" applyFont="1" applyBorder="1" applyAlignment="1">
      <alignment horizontal="right" vertical="center" shrinkToFit="1"/>
    </xf>
    <xf numFmtId="176" fontId="26" fillId="4" borderId="29" xfId="0" applyNumberFormat="1" applyFont="1" applyFill="1" applyBorder="1" applyAlignment="1">
      <alignment horizontal="right" vertical="center" shrinkToFit="1"/>
    </xf>
    <xf numFmtId="176" fontId="25" fillId="5" borderId="119" xfId="0" applyNumberFormat="1" applyFont="1" applyFill="1" applyBorder="1" applyAlignment="1">
      <alignment horizontal="right" vertical="center"/>
    </xf>
    <xf numFmtId="176" fontId="26" fillId="8" borderId="162" xfId="0" applyNumberFormat="1" applyFont="1" applyFill="1" applyBorder="1" applyAlignment="1">
      <alignment horizontal="right" vertical="center"/>
    </xf>
    <xf numFmtId="176" fontId="26" fillId="4" borderId="178" xfId="0" applyNumberFormat="1" applyFont="1" applyFill="1" applyBorder="1" applyAlignment="1">
      <alignment horizontal="right" vertical="center" shrinkToFit="1"/>
    </xf>
    <xf numFmtId="176" fontId="25" fillId="9" borderId="170" xfId="0" applyNumberFormat="1" applyFont="1" applyFill="1" applyBorder="1" applyAlignment="1">
      <alignment horizontal="right" vertical="center" shrinkToFit="1"/>
    </xf>
    <xf numFmtId="176" fontId="25" fillId="9" borderId="26" xfId="0" applyNumberFormat="1" applyFont="1" applyFill="1" applyBorder="1" applyAlignment="1">
      <alignment horizontal="right" vertical="center" shrinkToFit="1"/>
    </xf>
    <xf numFmtId="176" fontId="25" fillId="0" borderId="31" xfId="0" applyNumberFormat="1" applyFont="1" applyBorder="1" applyAlignment="1">
      <alignment horizontal="right" vertical="center" shrinkToFit="1"/>
    </xf>
    <xf numFmtId="176" fontId="25" fillId="0" borderId="120" xfId="0" applyNumberFormat="1" applyFont="1" applyBorder="1" applyAlignment="1">
      <alignment horizontal="right" vertical="center"/>
    </xf>
    <xf numFmtId="176" fontId="25" fillId="5" borderId="120" xfId="0" applyNumberFormat="1" applyFont="1" applyFill="1" applyBorder="1" applyAlignment="1">
      <alignment horizontal="right" vertical="center"/>
    </xf>
    <xf numFmtId="176" fontId="26" fillId="0" borderId="120" xfId="0" applyNumberFormat="1" applyFont="1" applyBorder="1"/>
    <xf numFmtId="176" fontId="26" fillId="0" borderId="26" xfId="0" applyNumberFormat="1" applyFont="1" applyBorder="1"/>
    <xf numFmtId="176" fontId="26" fillId="4" borderId="123" xfId="0" applyNumberFormat="1" applyFont="1" applyFill="1" applyBorder="1" applyAlignment="1">
      <alignment horizontal="right" vertical="center" shrinkToFit="1"/>
    </xf>
    <xf numFmtId="176" fontId="26" fillId="4" borderId="162" xfId="0" applyNumberFormat="1" applyFont="1" applyFill="1" applyBorder="1" applyAlignment="1">
      <alignment horizontal="right" vertical="center" shrinkToFit="1"/>
    </xf>
    <xf numFmtId="176" fontId="25" fillId="5" borderId="63" xfId="0" applyNumberFormat="1" applyFont="1" applyFill="1" applyBorder="1" applyAlignment="1">
      <alignment horizontal="right" vertical="center"/>
    </xf>
    <xf numFmtId="176" fontId="26" fillId="5" borderId="86" xfId="0" applyNumberFormat="1" applyFont="1" applyFill="1" applyBorder="1" applyAlignment="1">
      <alignment horizontal="right" vertical="center"/>
    </xf>
    <xf numFmtId="176" fontId="26" fillId="8" borderId="79" xfId="0" applyNumberFormat="1" applyFont="1" applyFill="1" applyBorder="1" applyAlignment="1">
      <alignment horizontal="right" vertical="center"/>
    </xf>
    <xf numFmtId="176" fontId="25" fillId="0" borderId="66" xfId="0" applyNumberFormat="1" applyFont="1" applyBorder="1" applyAlignment="1">
      <alignment horizontal="right" vertical="center" shrinkToFit="1"/>
    </xf>
    <xf numFmtId="176" fontId="26" fillId="4" borderId="94" xfId="0" applyNumberFormat="1" applyFont="1" applyFill="1" applyBorder="1" applyAlignment="1">
      <alignment horizontal="right" vertical="center" shrinkToFit="1"/>
    </xf>
    <xf numFmtId="176" fontId="13" fillId="6" borderId="96" xfId="0" applyNumberFormat="1" applyFont="1" applyFill="1" applyBorder="1" applyAlignment="1">
      <alignment horizontal="right" vertical="center"/>
    </xf>
    <xf numFmtId="176" fontId="13" fillId="6" borderId="109" xfId="0" applyNumberFormat="1" applyFont="1" applyFill="1" applyBorder="1" applyAlignment="1">
      <alignment horizontal="right" vertical="center"/>
    </xf>
    <xf numFmtId="176" fontId="13" fillId="5" borderId="51" xfId="0" applyNumberFormat="1" applyFont="1" applyFill="1" applyBorder="1" applyAlignment="1">
      <alignment horizontal="right" vertical="center"/>
    </xf>
    <xf numFmtId="176" fontId="13" fillId="5" borderId="97" xfId="0" applyNumberFormat="1" applyFont="1" applyFill="1" applyBorder="1" applyAlignment="1">
      <alignment horizontal="right" vertical="center"/>
    </xf>
    <xf numFmtId="176" fontId="13" fillId="7" borderId="97" xfId="0" applyNumberFormat="1" applyFont="1" applyFill="1" applyBorder="1" applyAlignment="1">
      <alignment horizontal="right" vertical="center"/>
    </xf>
    <xf numFmtId="176" fontId="13" fillId="7" borderId="51" xfId="0" applyNumberFormat="1" applyFont="1" applyFill="1" applyBorder="1" applyAlignment="1">
      <alignment horizontal="right" vertical="center"/>
    </xf>
    <xf numFmtId="176" fontId="18" fillId="8" borderId="98" xfId="0" applyNumberFormat="1" applyFont="1" applyFill="1" applyBorder="1" applyAlignment="1">
      <alignment horizontal="right" vertical="center"/>
    </xf>
    <xf numFmtId="176" fontId="18" fillId="8" borderId="50" xfId="0" applyNumberFormat="1" applyFont="1" applyFill="1" applyBorder="1" applyAlignment="1">
      <alignment horizontal="right" vertical="center"/>
    </xf>
    <xf numFmtId="176" fontId="18" fillId="8" borderId="29" xfId="0" applyNumberFormat="1" applyFont="1" applyFill="1" applyBorder="1" applyAlignment="1">
      <alignment horizontal="right" vertical="center"/>
    </xf>
    <xf numFmtId="176" fontId="18" fillId="8" borderId="56" xfId="0" applyNumberFormat="1" applyFont="1" applyFill="1" applyBorder="1" applyAlignment="1">
      <alignment horizontal="right" vertical="center"/>
    </xf>
    <xf numFmtId="176" fontId="18" fillId="4" borderId="33" xfId="0" applyNumberFormat="1" applyFont="1" applyFill="1" applyBorder="1" applyAlignment="1">
      <alignment horizontal="right" vertical="center" shrinkToFit="1"/>
    </xf>
    <xf numFmtId="176" fontId="13" fillId="9" borderId="170" xfId="0" applyNumberFormat="1" applyFont="1" applyFill="1" applyBorder="1" applyAlignment="1">
      <alignment horizontal="right" vertical="center" shrinkToFit="1"/>
    </xf>
    <xf numFmtId="176" fontId="13" fillId="9" borderId="26" xfId="0" applyNumberFormat="1" applyFont="1" applyFill="1" applyBorder="1" applyAlignment="1">
      <alignment horizontal="right" vertical="center" shrinkToFit="1"/>
    </xf>
    <xf numFmtId="0" fontId="32" fillId="0" borderId="0" xfId="0" applyFont="1"/>
    <xf numFmtId="176" fontId="13" fillId="9" borderId="68" xfId="0" applyNumberFormat="1" applyFont="1" applyFill="1" applyBorder="1" applyAlignment="1">
      <alignment horizontal="right" vertical="center" shrinkToFit="1"/>
    </xf>
    <xf numFmtId="176" fontId="11" fillId="0" borderId="0" xfId="0" applyNumberFormat="1" applyFont="1" applyAlignment="1">
      <alignment vertical="center"/>
    </xf>
    <xf numFmtId="0" fontId="11" fillId="0" borderId="0" xfId="0" applyFont="1" applyAlignment="1">
      <alignment vertical="center"/>
    </xf>
    <xf numFmtId="0" fontId="16" fillId="0" borderId="0" xfId="0" applyFont="1" applyAlignment="1">
      <alignment horizontal="right" vertical="center" shrinkToFit="1"/>
    </xf>
    <xf numFmtId="0" fontId="16" fillId="0" borderId="0" xfId="0" applyFont="1" applyAlignment="1">
      <alignment horizontal="left" vertical="center" shrinkToFit="1"/>
    </xf>
    <xf numFmtId="0" fontId="13" fillId="0" borderId="0" xfId="0" applyFont="1" applyAlignment="1">
      <alignment vertical="center"/>
    </xf>
    <xf numFmtId="176" fontId="20" fillId="10" borderId="14" xfId="0" applyNumberFormat="1" applyFont="1" applyFill="1" applyBorder="1" applyAlignment="1">
      <alignment vertical="center"/>
    </xf>
    <xf numFmtId="176" fontId="20" fillId="10" borderId="15" xfId="0" applyNumberFormat="1" applyFont="1" applyFill="1" applyBorder="1" applyAlignment="1">
      <alignment vertical="center"/>
    </xf>
    <xf numFmtId="176" fontId="20" fillId="10" borderId="16" xfId="0" applyNumberFormat="1" applyFont="1" applyFill="1" applyBorder="1" applyAlignment="1">
      <alignment vertical="center"/>
    </xf>
    <xf numFmtId="176" fontId="13" fillId="6" borderId="23" xfId="0" applyNumberFormat="1" applyFont="1" applyFill="1" applyBorder="1" applyAlignment="1">
      <alignment horizontal="right" vertical="center"/>
    </xf>
    <xf numFmtId="6" fontId="19" fillId="5" borderId="86" xfId="0" applyNumberFormat="1" applyFont="1" applyFill="1" applyBorder="1" applyAlignment="1">
      <alignment horizontal="right" vertical="center"/>
    </xf>
    <xf numFmtId="176" fontId="25" fillId="5" borderId="31" xfId="0" applyNumberFormat="1" applyFont="1" applyFill="1" applyBorder="1" applyAlignment="1">
      <alignment horizontal="right" vertical="center"/>
    </xf>
    <xf numFmtId="176" fontId="25" fillId="6" borderId="41" xfId="0" applyNumberFormat="1" applyFont="1" applyFill="1" applyBorder="1" applyAlignment="1">
      <alignment horizontal="right" vertical="center"/>
    </xf>
    <xf numFmtId="176" fontId="25" fillId="7" borderId="38" xfId="0" applyNumberFormat="1" applyFont="1" applyFill="1" applyBorder="1" applyAlignment="1">
      <alignment horizontal="right" vertical="center"/>
    </xf>
    <xf numFmtId="176" fontId="26" fillId="8" borderId="42" xfId="0" applyNumberFormat="1" applyFont="1" applyFill="1" applyBorder="1" applyAlignment="1">
      <alignment horizontal="right" vertical="center"/>
    </xf>
    <xf numFmtId="0" fontId="18" fillId="0" borderId="0" xfId="0" applyFont="1"/>
    <xf numFmtId="176" fontId="13" fillId="6" borderId="24" xfId="0" applyNumberFormat="1" applyFont="1" applyFill="1" applyBorder="1" applyAlignment="1">
      <alignment horizontal="right" vertical="center"/>
    </xf>
    <xf numFmtId="176" fontId="13" fillId="6" borderId="115" xfId="0" applyNumberFormat="1" applyFont="1" applyFill="1" applyBorder="1" applyAlignment="1">
      <alignment horizontal="right" vertical="center"/>
    </xf>
    <xf numFmtId="176" fontId="13" fillId="5" borderId="53" xfId="0" applyNumberFormat="1" applyFont="1" applyFill="1" applyBorder="1" applyAlignment="1">
      <alignment horizontal="right" vertical="center"/>
    </xf>
    <xf numFmtId="176" fontId="13" fillId="5" borderId="87" xfId="0" applyNumberFormat="1" applyFont="1" applyFill="1" applyBorder="1" applyAlignment="1">
      <alignment horizontal="right" vertical="center"/>
    </xf>
    <xf numFmtId="176" fontId="13" fillId="7" borderId="87" xfId="0" applyNumberFormat="1" applyFont="1" applyFill="1" applyBorder="1" applyAlignment="1">
      <alignment horizontal="right" vertical="center"/>
    </xf>
    <xf numFmtId="176" fontId="13" fillId="7" borderId="53" xfId="0" applyNumberFormat="1" applyFont="1" applyFill="1" applyBorder="1" applyAlignment="1">
      <alignment horizontal="right" vertical="center"/>
    </xf>
    <xf numFmtId="176" fontId="18" fillId="8" borderId="34" xfId="0" applyNumberFormat="1" applyFont="1" applyFill="1" applyBorder="1" applyAlignment="1">
      <alignment horizontal="right" vertical="center"/>
    </xf>
    <xf numFmtId="176" fontId="18" fillId="8" borderId="48" xfId="0" applyNumberFormat="1" applyFont="1" applyFill="1" applyBorder="1" applyAlignment="1">
      <alignment horizontal="right" vertical="center"/>
    </xf>
    <xf numFmtId="176" fontId="18" fillId="8" borderId="128" xfId="0" applyNumberFormat="1" applyFont="1" applyFill="1" applyBorder="1" applyAlignment="1">
      <alignment horizontal="right" vertical="center"/>
    </xf>
    <xf numFmtId="176" fontId="18" fillId="8" borderId="100" xfId="0" applyNumberFormat="1" applyFont="1" applyFill="1" applyBorder="1" applyAlignment="1">
      <alignment horizontal="right" vertical="center"/>
    </xf>
    <xf numFmtId="176" fontId="18" fillId="5" borderId="86" xfId="0" applyNumberFormat="1" applyFont="1" applyFill="1" applyBorder="1" applyAlignment="1">
      <alignment horizontal="right" vertical="center"/>
    </xf>
    <xf numFmtId="176" fontId="18" fillId="0" borderId="26" xfId="0" applyNumberFormat="1" applyFont="1" applyBorder="1"/>
    <xf numFmtId="0" fontId="13" fillId="6" borderId="3" xfId="0" applyFont="1" applyFill="1" applyBorder="1" applyAlignment="1">
      <alignment horizontal="left" vertical="center"/>
    </xf>
    <xf numFmtId="176" fontId="19" fillId="6" borderId="185" xfId="0" applyNumberFormat="1" applyFont="1" applyFill="1" applyBorder="1" applyAlignment="1">
      <alignment horizontal="right" vertical="center"/>
    </xf>
    <xf numFmtId="176" fontId="26" fillId="4" borderId="153" xfId="0" applyNumberFormat="1" applyFont="1" applyFill="1" applyBorder="1" applyAlignment="1">
      <alignment horizontal="right" vertical="center" shrinkToFit="1"/>
    </xf>
    <xf numFmtId="176" fontId="13" fillId="6" borderId="14" xfId="0" applyNumberFormat="1" applyFont="1" applyFill="1" applyBorder="1" applyAlignment="1">
      <alignment horizontal="right" vertical="center"/>
    </xf>
    <xf numFmtId="176" fontId="13" fillId="5" borderId="15" xfId="0" applyNumberFormat="1" applyFont="1" applyFill="1" applyBorder="1" applyAlignment="1">
      <alignment horizontal="right" vertical="center"/>
    </xf>
    <xf numFmtId="176" fontId="13" fillId="7" borderId="27" xfId="0" applyNumberFormat="1" applyFont="1" applyFill="1" applyBorder="1" applyAlignment="1">
      <alignment horizontal="right" vertical="center"/>
    </xf>
    <xf numFmtId="176" fontId="13" fillId="7" borderId="15" xfId="0" applyNumberFormat="1" applyFont="1" applyFill="1" applyBorder="1" applyAlignment="1">
      <alignment horizontal="right" vertical="center"/>
    </xf>
    <xf numFmtId="176" fontId="18" fillId="8" borderId="16" xfId="0" applyNumberFormat="1" applyFont="1" applyFill="1" applyBorder="1" applyAlignment="1">
      <alignment horizontal="right" vertical="center"/>
    </xf>
    <xf numFmtId="176" fontId="18" fillId="0" borderId="86" xfId="0" applyNumberFormat="1" applyFont="1" applyBorder="1" applyAlignment="1">
      <alignment horizontal="right" vertical="center"/>
    </xf>
    <xf numFmtId="176" fontId="32" fillId="0" borderId="86" xfId="0" applyNumberFormat="1" applyFont="1" applyBorder="1" applyAlignment="1">
      <alignment horizontal="right" vertical="center"/>
    </xf>
    <xf numFmtId="176" fontId="25" fillId="5" borderId="157" xfId="0" applyNumberFormat="1" applyFont="1" applyFill="1" applyBorder="1" applyAlignment="1">
      <alignment horizontal="right" vertical="center"/>
    </xf>
    <xf numFmtId="6" fontId="25" fillId="5" borderId="86" xfId="0" applyNumberFormat="1" applyFont="1" applyFill="1" applyBorder="1" applyAlignment="1">
      <alignment horizontal="right" vertical="center"/>
    </xf>
    <xf numFmtId="176" fontId="13" fillId="9" borderId="173" xfId="0" applyNumberFormat="1" applyFont="1" applyFill="1" applyBorder="1" applyAlignment="1">
      <alignment horizontal="right" vertical="center" shrinkToFit="1"/>
    </xf>
    <xf numFmtId="176" fontId="25" fillId="5" borderId="158" xfId="0" applyNumberFormat="1" applyFont="1" applyFill="1" applyBorder="1" applyAlignment="1">
      <alignment horizontal="right" vertical="center"/>
    </xf>
    <xf numFmtId="176" fontId="25" fillId="9" borderId="66" xfId="0" applyNumberFormat="1" applyFont="1" applyFill="1" applyBorder="1" applyAlignment="1">
      <alignment horizontal="right" vertical="center" shrinkToFit="1"/>
    </xf>
    <xf numFmtId="176" fontId="13" fillId="6" borderId="170" xfId="0" applyNumberFormat="1" applyFont="1" applyFill="1" applyBorder="1" applyAlignment="1">
      <alignment horizontal="right" vertical="center"/>
    </xf>
    <xf numFmtId="6" fontId="13" fillId="7" borderId="26" xfId="0" applyNumberFormat="1" applyFont="1" applyFill="1" applyBorder="1" applyAlignment="1">
      <alignment horizontal="right" vertical="center"/>
    </xf>
    <xf numFmtId="176" fontId="13" fillId="6" borderId="85" xfId="0" applyNumberFormat="1" applyFont="1" applyFill="1" applyBorder="1" applyAlignment="1">
      <alignment horizontal="right" vertical="center"/>
    </xf>
    <xf numFmtId="176" fontId="13" fillId="6" borderId="168" xfId="0" applyNumberFormat="1" applyFont="1" applyFill="1" applyBorder="1" applyAlignment="1">
      <alignment horizontal="right" vertical="center"/>
    </xf>
    <xf numFmtId="176" fontId="13" fillId="6" borderId="43" xfId="0" applyNumberFormat="1" applyFont="1" applyFill="1" applyBorder="1" applyAlignment="1">
      <alignment horizontal="right" vertical="center"/>
    </xf>
    <xf numFmtId="176" fontId="18" fillId="8" borderId="83" xfId="0" applyNumberFormat="1" applyFont="1" applyFill="1" applyBorder="1" applyAlignment="1">
      <alignment horizontal="right" vertical="center"/>
    </xf>
    <xf numFmtId="0" fontId="11" fillId="0" borderId="7" xfId="0" applyFont="1" applyBorder="1"/>
    <xf numFmtId="176" fontId="11" fillId="0" borderId="7" xfId="0" applyNumberFormat="1" applyFont="1" applyBorder="1"/>
    <xf numFmtId="176" fontId="13" fillId="5" borderId="27" xfId="0" applyNumberFormat="1" applyFont="1" applyFill="1" applyBorder="1" applyAlignment="1">
      <alignment horizontal="right" vertical="center"/>
    </xf>
    <xf numFmtId="176" fontId="18" fillId="8" borderId="190" xfId="0" applyNumberFormat="1" applyFont="1" applyFill="1" applyBorder="1" applyAlignment="1">
      <alignment horizontal="right" vertical="center"/>
    </xf>
    <xf numFmtId="176" fontId="26" fillId="4" borderId="81" xfId="0" applyNumberFormat="1" applyFont="1" applyFill="1" applyBorder="1" applyAlignment="1">
      <alignment horizontal="right" vertical="center" shrinkToFit="1"/>
    </xf>
    <xf numFmtId="176" fontId="20" fillId="4" borderId="83" xfId="0" applyNumberFormat="1" applyFont="1" applyFill="1" applyBorder="1" applyAlignment="1">
      <alignment horizontal="right" vertical="center" shrinkToFit="1"/>
    </xf>
    <xf numFmtId="176" fontId="13" fillId="14" borderId="88" xfId="0" applyNumberFormat="1" applyFont="1" applyFill="1" applyBorder="1" applyAlignment="1">
      <alignment horizontal="right" vertical="center"/>
    </xf>
    <xf numFmtId="176" fontId="25" fillId="14" borderId="86" xfId="0" applyNumberFormat="1" applyFont="1" applyFill="1" applyBorder="1" applyAlignment="1">
      <alignment horizontal="right" vertical="center"/>
    </xf>
    <xf numFmtId="176" fontId="19" fillId="14" borderId="86" xfId="0" applyNumberFormat="1" applyFont="1" applyFill="1" applyBorder="1" applyAlignment="1">
      <alignment horizontal="right" vertical="center"/>
    </xf>
    <xf numFmtId="176" fontId="19" fillId="14" borderId="97" xfId="0" applyNumberFormat="1" applyFont="1" applyFill="1" applyBorder="1" applyAlignment="1">
      <alignment horizontal="right" vertical="center"/>
    </xf>
    <xf numFmtId="176" fontId="13" fillId="14" borderId="86" xfId="0" applyNumberFormat="1" applyFont="1" applyFill="1" applyBorder="1" applyAlignment="1">
      <alignment horizontal="right" vertical="center"/>
    </xf>
    <xf numFmtId="176" fontId="13" fillId="6" borderId="131" xfId="0" applyNumberFormat="1" applyFont="1" applyFill="1" applyBorder="1" applyAlignment="1">
      <alignment horizontal="right" vertical="center"/>
    </xf>
    <xf numFmtId="176" fontId="13" fillId="7" borderId="132" xfId="0" applyNumberFormat="1" applyFont="1" applyFill="1" applyBorder="1" applyAlignment="1">
      <alignment horizontal="right" vertical="center"/>
    </xf>
    <xf numFmtId="176" fontId="18" fillId="8" borderId="103" xfId="0" applyNumberFormat="1" applyFont="1" applyFill="1" applyBorder="1" applyAlignment="1">
      <alignment horizontal="right" vertical="center"/>
    </xf>
    <xf numFmtId="176" fontId="13" fillId="5" borderId="151" xfId="0" applyNumberFormat="1" applyFont="1" applyFill="1" applyBorder="1" applyAlignment="1">
      <alignment horizontal="right" vertical="center"/>
    </xf>
    <xf numFmtId="176" fontId="13" fillId="7" borderId="151" xfId="0" applyNumberFormat="1" applyFont="1" applyFill="1" applyBorder="1" applyAlignment="1">
      <alignment horizontal="right" vertical="center"/>
    </xf>
    <xf numFmtId="176" fontId="25" fillId="6" borderId="170" xfId="0" applyNumberFormat="1" applyFont="1" applyFill="1" applyBorder="1" applyAlignment="1">
      <alignment horizontal="right" vertical="center"/>
    </xf>
    <xf numFmtId="6" fontId="25" fillId="5" borderId="120" xfId="0" applyNumberFormat="1" applyFont="1" applyFill="1" applyBorder="1" applyAlignment="1">
      <alignment horizontal="right" vertical="center"/>
    </xf>
    <xf numFmtId="6" fontId="25" fillId="5" borderId="26" xfId="0" applyNumberFormat="1" applyFont="1" applyFill="1" applyBorder="1" applyAlignment="1">
      <alignment horizontal="right" vertical="center"/>
    </xf>
    <xf numFmtId="176" fontId="25" fillId="0" borderId="0" xfId="0" applyNumberFormat="1" applyFont="1" applyAlignment="1">
      <alignment vertical="center"/>
    </xf>
    <xf numFmtId="176" fontId="25" fillId="5" borderId="154" xfId="0" applyNumberFormat="1" applyFont="1" applyFill="1" applyBorder="1" applyAlignment="1">
      <alignment horizontal="right" vertical="center"/>
    </xf>
    <xf numFmtId="0" fontId="13" fillId="6" borderId="3" xfId="0" applyFont="1" applyFill="1" applyBorder="1" applyAlignment="1">
      <alignment horizontal="left" vertical="center" shrinkToFit="1"/>
    </xf>
    <xf numFmtId="176" fontId="25" fillId="5" borderId="159" xfId="0" applyNumberFormat="1" applyFont="1" applyFill="1" applyBorder="1" applyAlignment="1">
      <alignment horizontal="right" vertical="center"/>
    </xf>
    <xf numFmtId="176" fontId="13" fillId="14" borderId="120" xfId="0" applyNumberFormat="1" applyFont="1" applyFill="1" applyBorder="1" applyAlignment="1">
      <alignment horizontal="right" vertical="center"/>
    </xf>
    <xf numFmtId="176" fontId="25" fillId="14" borderId="26" xfId="0" applyNumberFormat="1" applyFont="1" applyFill="1" applyBorder="1" applyAlignment="1">
      <alignment horizontal="right" vertical="center"/>
    </xf>
    <xf numFmtId="176" fontId="19" fillId="14" borderId="27" xfId="0" applyNumberFormat="1" applyFont="1" applyFill="1" applyBorder="1" applyAlignment="1">
      <alignment horizontal="right" vertical="center"/>
    </xf>
    <xf numFmtId="176" fontId="13" fillId="6" borderId="71" xfId="0" applyNumberFormat="1" applyFont="1" applyFill="1" applyBorder="1" applyAlignment="1">
      <alignment horizontal="right" vertical="center"/>
    </xf>
    <xf numFmtId="176" fontId="13" fillId="6" borderId="20" xfId="0" applyNumberFormat="1" applyFont="1" applyFill="1" applyBorder="1" applyAlignment="1">
      <alignment horizontal="right" vertical="center"/>
    </xf>
    <xf numFmtId="6" fontId="19" fillId="5" borderId="148" xfId="0" applyNumberFormat="1" applyFont="1" applyFill="1" applyBorder="1" applyAlignment="1">
      <alignment horizontal="right" vertical="center"/>
    </xf>
    <xf numFmtId="6" fontId="25" fillId="5" borderId="195" xfId="0" applyNumberFormat="1" applyFont="1" applyFill="1" applyBorder="1" applyAlignment="1">
      <alignment horizontal="right" vertical="center"/>
    </xf>
    <xf numFmtId="176" fontId="13" fillId="14" borderId="26" xfId="0" applyNumberFormat="1" applyFont="1" applyFill="1" applyBorder="1" applyAlignment="1">
      <alignment horizontal="right" vertical="center"/>
    </xf>
    <xf numFmtId="0" fontId="13" fillId="0" borderId="24" xfId="0" applyFont="1" applyBorder="1" applyAlignment="1">
      <alignment horizontal="center" vertical="center" wrapText="1"/>
    </xf>
    <xf numFmtId="0" fontId="13" fillId="0" borderId="27" xfId="0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vertical="center" wrapText="1"/>
    </xf>
    <xf numFmtId="0" fontId="13" fillId="0" borderId="23" xfId="0" applyFont="1" applyBorder="1" applyAlignment="1">
      <alignment horizontal="left" vertical="center" wrapText="1"/>
    </xf>
    <xf numFmtId="0" fontId="13" fillId="0" borderId="26" xfId="0" applyFont="1" applyBorder="1"/>
    <xf numFmtId="0" fontId="13" fillId="0" borderId="33" xfId="0" applyFont="1" applyBorder="1"/>
    <xf numFmtId="0" fontId="22" fillId="0" borderId="75" xfId="0" applyFont="1" applyBorder="1" applyAlignment="1">
      <alignment horizontal="center" vertical="center"/>
    </xf>
    <xf numFmtId="0" fontId="22" fillId="0" borderId="76" xfId="0" applyFont="1" applyBorder="1" applyAlignment="1">
      <alignment horizontal="center" vertical="center"/>
    </xf>
    <xf numFmtId="0" fontId="22" fillId="0" borderId="77" xfId="0" applyFont="1" applyBorder="1" applyAlignment="1">
      <alignment horizontal="center" vertical="center"/>
    </xf>
    <xf numFmtId="0" fontId="22" fillId="0" borderId="78" xfId="0" applyFont="1" applyBorder="1" applyAlignment="1">
      <alignment horizontal="center" vertical="center"/>
    </xf>
    <xf numFmtId="0" fontId="22" fillId="0" borderId="79" xfId="0" applyFont="1" applyBorder="1" applyAlignment="1">
      <alignment horizontal="center" vertical="center"/>
    </xf>
    <xf numFmtId="0" fontId="22" fillId="0" borderId="80" xfId="0" applyFont="1" applyBorder="1" applyAlignment="1">
      <alignment horizontal="center" vertical="center"/>
    </xf>
    <xf numFmtId="0" fontId="22" fillId="0" borderId="89" xfId="0" applyFont="1" applyBorder="1" applyAlignment="1">
      <alignment horizontal="center" vertical="center"/>
    </xf>
    <xf numFmtId="0" fontId="22" fillId="0" borderId="90" xfId="0" applyFont="1" applyBorder="1" applyAlignment="1">
      <alignment horizontal="center" vertical="center"/>
    </xf>
    <xf numFmtId="0" fontId="22" fillId="0" borderId="91" xfId="0" applyFont="1" applyBorder="1" applyAlignment="1">
      <alignment horizontal="center" vertical="center"/>
    </xf>
    <xf numFmtId="0" fontId="13" fillId="0" borderId="22" xfId="0" applyFont="1" applyBorder="1" applyAlignment="1">
      <alignment horizontal="center" vertical="center"/>
    </xf>
    <xf numFmtId="0" fontId="13" fillId="0" borderId="25" xfId="0" applyFont="1" applyBorder="1" applyAlignment="1">
      <alignment horizontal="center" vertical="center"/>
    </xf>
    <xf numFmtId="0" fontId="13" fillId="0" borderId="32" xfId="0" applyFont="1" applyBorder="1" applyAlignment="1">
      <alignment horizontal="center" vertical="center"/>
    </xf>
    <xf numFmtId="0" fontId="13" fillId="0" borderId="23" xfId="0" applyFont="1" applyBorder="1" applyAlignment="1">
      <alignment horizontal="center" vertical="center" wrapText="1"/>
    </xf>
    <xf numFmtId="0" fontId="13" fillId="0" borderId="26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26" xfId="0" applyFont="1" applyBorder="1" applyAlignment="1">
      <alignment horizontal="left" vertical="center" wrapText="1"/>
    </xf>
    <xf numFmtId="0" fontId="13" fillId="0" borderId="33" xfId="0" applyFont="1" applyBorder="1" applyAlignment="1">
      <alignment horizontal="left" vertical="center" wrapText="1"/>
    </xf>
    <xf numFmtId="0" fontId="13" fillId="0" borderId="169" xfId="0" applyFont="1" applyBorder="1" applyAlignment="1">
      <alignment horizontal="center" vertical="center"/>
    </xf>
    <xf numFmtId="0" fontId="13" fillId="0" borderId="170" xfId="0" applyFont="1" applyBorder="1" applyAlignment="1">
      <alignment horizontal="center" vertical="center" wrapText="1"/>
    </xf>
    <xf numFmtId="0" fontId="13" fillId="0" borderId="171" xfId="0" applyFont="1" applyBorder="1" applyAlignment="1">
      <alignment horizontal="center" vertical="center" wrapText="1"/>
    </xf>
    <xf numFmtId="0" fontId="13" fillId="0" borderId="170" xfId="0" applyFont="1" applyBorder="1" applyAlignment="1">
      <alignment horizontal="left" vertical="center" wrapText="1"/>
    </xf>
    <xf numFmtId="176" fontId="18" fillId="10" borderId="123" xfId="0" applyNumberFormat="1" applyFont="1" applyFill="1" applyBorder="1" applyAlignment="1">
      <alignment horizontal="center"/>
    </xf>
    <xf numFmtId="176" fontId="18" fillId="10" borderId="33" xfId="0" applyNumberFormat="1" applyFont="1" applyFill="1" applyBorder="1" applyAlignment="1">
      <alignment horizontal="center"/>
    </xf>
    <xf numFmtId="176" fontId="26" fillId="10" borderId="33" xfId="0" applyNumberFormat="1" applyFont="1" applyFill="1" applyBorder="1" applyAlignment="1">
      <alignment horizontal="center"/>
    </xf>
    <xf numFmtId="0" fontId="23" fillId="9" borderId="78" xfId="0" applyFont="1" applyFill="1" applyBorder="1" applyAlignment="1">
      <alignment horizontal="center" vertical="center"/>
    </xf>
    <xf numFmtId="0" fontId="23" fillId="9" borderId="79" xfId="0" applyFont="1" applyFill="1" applyBorder="1" applyAlignment="1">
      <alignment horizontal="center" vertical="center"/>
    </xf>
    <xf numFmtId="0" fontId="23" fillId="9" borderId="80" xfId="0" applyFont="1" applyFill="1" applyBorder="1" applyAlignment="1">
      <alignment horizontal="center" vertical="center"/>
    </xf>
    <xf numFmtId="0" fontId="23" fillId="9" borderId="81" xfId="0" applyFont="1" applyFill="1" applyBorder="1" applyAlignment="1">
      <alignment horizontal="center" vertical="center"/>
    </xf>
    <xf numFmtId="0" fontId="23" fillId="9" borderId="82" xfId="0" applyFont="1" applyFill="1" applyBorder="1" applyAlignment="1">
      <alignment horizontal="center" vertical="center"/>
    </xf>
    <xf numFmtId="0" fontId="23" fillId="9" borderId="83" xfId="0" applyFont="1" applyFill="1" applyBorder="1" applyAlignment="1">
      <alignment horizontal="center" vertical="center"/>
    </xf>
    <xf numFmtId="0" fontId="13" fillId="0" borderId="30" xfId="0" applyFont="1" applyBorder="1" applyAlignment="1">
      <alignment horizontal="center" vertical="center"/>
    </xf>
    <xf numFmtId="0" fontId="13" fillId="0" borderId="28" xfId="0" applyFont="1" applyBorder="1" applyAlignment="1">
      <alignment horizontal="center" vertical="center"/>
    </xf>
    <xf numFmtId="0" fontId="13" fillId="0" borderId="31" xfId="0" applyFont="1" applyBorder="1" applyAlignment="1">
      <alignment horizontal="center" vertical="center" wrapText="1"/>
    </xf>
    <xf numFmtId="0" fontId="13" fillId="0" borderId="29" xfId="0" applyFont="1" applyBorder="1" applyAlignment="1">
      <alignment horizontal="center" vertical="center" wrapText="1"/>
    </xf>
    <xf numFmtId="176" fontId="26" fillId="10" borderId="34" xfId="0" applyNumberFormat="1" applyFont="1" applyFill="1" applyBorder="1" applyAlignment="1">
      <alignment horizontal="center"/>
    </xf>
    <xf numFmtId="176" fontId="18" fillId="10" borderId="122" xfId="0" applyNumberFormat="1" applyFont="1" applyFill="1" applyBorder="1" applyAlignment="1">
      <alignment horizontal="center"/>
    </xf>
    <xf numFmtId="176" fontId="18" fillId="10" borderId="23" xfId="0" applyNumberFormat="1" applyFont="1" applyFill="1" applyBorder="1" applyAlignment="1">
      <alignment horizontal="center"/>
    </xf>
    <xf numFmtId="176" fontId="26" fillId="10" borderId="23" xfId="0" applyNumberFormat="1" applyFont="1" applyFill="1" applyBorder="1" applyAlignment="1">
      <alignment horizontal="center"/>
    </xf>
    <xf numFmtId="176" fontId="26" fillId="10" borderId="24" xfId="0" applyNumberFormat="1" applyFont="1" applyFill="1" applyBorder="1" applyAlignment="1">
      <alignment horizontal="center"/>
    </xf>
    <xf numFmtId="176" fontId="18" fillId="10" borderId="120" xfId="0" applyNumberFormat="1" applyFont="1" applyFill="1" applyBorder="1" applyAlignment="1">
      <alignment horizontal="center"/>
    </xf>
    <xf numFmtId="176" fontId="18" fillId="10" borderId="26" xfId="0" applyNumberFormat="1" applyFont="1" applyFill="1" applyBorder="1" applyAlignment="1">
      <alignment horizontal="center"/>
    </xf>
    <xf numFmtId="176" fontId="26" fillId="10" borderId="26" xfId="0" applyNumberFormat="1" applyFont="1" applyFill="1" applyBorder="1" applyAlignment="1">
      <alignment horizontal="center"/>
    </xf>
    <xf numFmtId="176" fontId="26" fillId="10" borderId="27" xfId="0" applyNumberFormat="1" applyFont="1" applyFill="1" applyBorder="1" applyAlignment="1">
      <alignment horizontal="center"/>
    </xf>
    <xf numFmtId="0" fontId="13" fillId="0" borderId="71" xfId="0" applyFont="1" applyBorder="1" applyAlignment="1">
      <alignment horizontal="center" vertical="center" wrapText="1"/>
    </xf>
    <xf numFmtId="0" fontId="13" fillId="0" borderId="84" xfId="0" applyFont="1" applyBorder="1" applyAlignment="1">
      <alignment horizontal="center" vertical="center" wrapText="1"/>
    </xf>
    <xf numFmtId="0" fontId="13" fillId="0" borderId="31" xfId="0" applyFont="1" applyBorder="1" applyAlignment="1">
      <alignment horizontal="left" vertical="center" wrapText="1"/>
    </xf>
    <xf numFmtId="0" fontId="13" fillId="0" borderId="29" xfId="0" applyFont="1" applyBorder="1" applyAlignment="1">
      <alignment horizontal="left" vertical="center" wrapText="1"/>
    </xf>
    <xf numFmtId="0" fontId="13" fillId="0" borderId="29" xfId="0" applyFont="1" applyBorder="1"/>
    <xf numFmtId="0" fontId="13" fillId="0" borderId="186" xfId="0" applyFont="1" applyBorder="1" applyAlignment="1">
      <alignment horizontal="center" vertical="center"/>
    </xf>
    <xf numFmtId="0" fontId="13" fillId="0" borderId="187" xfId="0" applyFont="1" applyBorder="1" applyAlignment="1">
      <alignment horizontal="center" vertical="center" wrapText="1"/>
    </xf>
    <xf numFmtId="0" fontId="13" fillId="0" borderId="188" xfId="0" applyFont="1" applyBorder="1" applyAlignment="1">
      <alignment horizontal="center" vertical="center" wrapText="1"/>
    </xf>
    <xf numFmtId="0" fontId="13" fillId="0" borderId="189" xfId="0" applyFont="1" applyBorder="1" applyAlignment="1">
      <alignment horizontal="center" vertical="center" wrapText="1"/>
    </xf>
    <xf numFmtId="0" fontId="13" fillId="0" borderId="122" xfId="0" applyFont="1" applyBorder="1" applyAlignment="1">
      <alignment horizontal="center" vertical="center" wrapText="1"/>
    </xf>
    <xf numFmtId="0" fontId="13" fillId="0" borderId="120" xfId="0" applyFont="1" applyBorder="1" applyAlignment="1">
      <alignment horizontal="center" vertical="center" wrapText="1"/>
    </xf>
    <xf numFmtId="0" fontId="13" fillId="0" borderId="123" xfId="0" applyFont="1" applyBorder="1" applyAlignment="1">
      <alignment horizontal="center" vertical="center" wrapText="1"/>
    </xf>
    <xf numFmtId="176" fontId="18" fillId="10" borderId="16" xfId="0" applyNumberFormat="1" applyFont="1" applyFill="1" applyBorder="1" applyAlignment="1">
      <alignment horizontal="center" vertical="center" shrinkToFit="1"/>
    </xf>
    <xf numFmtId="176" fontId="20" fillId="10" borderId="16" xfId="0" applyNumberFormat="1" applyFont="1" applyFill="1" applyBorder="1" applyAlignment="1">
      <alignment horizontal="center" vertical="center" shrinkToFit="1"/>
    </xf>
    <xf numFmtId="176" fontId="18" fillId="10" borderId="14" xfId="0" applyNumberFormat="1" applyFont="1" applyFill="1" applyBorder="1" applyAlignment="1">
      <alignment horizontal="center" vertical="center" shrinkToFit="1"/>
    </xf>
    <xf numFmtId="176" fontId="20" fillId="10" borderId="14" xfId="0" applyNumberFormat="1" applyFont="1" applyFill="1" applyBorder="1" applyAlignment="1">
      <alignment horizontal="center" vertical="center" shrinkToFit="1"/>
    </xf>
    <xf numFmtId="176" fontId="18" fillId="10" borderId="15" xfId="0" applyNumberFormat="1" applyFont="1" applyFill="1" applyBorder="1" applyAlignment="1">
      <alignment horizontal="center" vertical="center" shrinkToFit="1"/>
    </xf>
    <xf numFmtId="176" fontId="20" fillId="10" borderId="15" xfId="0" applyNumberFormat="1" applyFont="1" applyFill="1" applyBorder="1" applyAlignment="1">
      <alignment horizontal="center" vertical="center" shrinkToFit="1"/>
    </xf>
    <xf numFmtId="0" fontId="15" fillId="2" borderId="5" xfId="0" applyFont="1" applyFill="1" applyBorder="1" applyAlignment="1">
      <alignment horizontal="center" vertical="center"/>
    </xf>
    <xf numFmtId="0" fontId="13" fillId="9" borderId="9" xfId="0" applyFont="1" applyFill="1" applyBorder="1" applyAlignment="1">
      <alignment horizontal="right" vertical="center"/>
    </xf>
    <xf numFmtId="0" fontId="13" fillId="9" borderId="0" xfId="0" applyFont="1" applyFill="1" applyAlignment="1">
      <alignment horizontal="right" vertical="center"/>
    </xf>
    <xf numFmtId="0" fontId="13" fillId="0" borderId="14" xfId="0" applyFont="1" applyBorder="1" applyAlignment="1">
      <alignment horizontal="center" vertical="center" shrinkToFit="1"/>
    </xf>
    <xf numFmtId="0" fontId="13" fillId="0" borderId="15" xfId="0" applyFont="1" applyBorder="1" applyAlignment="1">
      <alignment horizontal="center" vertical="center" shrinkToFit="1"/>
    </xf>
    <xf numFmtId="0" fontId="13" fillId="0" borderId="16" xfId="0" applyFont="1" applyBorder="1" applyAlignment="1">
      <alignment horizontal="center" vertical="center" shrinkToFit="1"/>
    </xf>
    <xf numFmtId="0" fontId="29" fillId="0" borderId="0" xfId="0" applyFont="1" applyAlignment="1">
      <alignment horizontal="center"/>
    </xf>
    <xf numFmtId="0" fontId="13" fillId="0" borderId="14" xfId="0" applyFont="1" applyBorder="1" applyAlignment="1">
      <alignment horizontal="left" vertical="center" shrinkToFit="1"/>
    </xf>
    <xf numFmtId="0" fontId="13" fillId="0" borderId="15" xfId="0" applyFont="1" applyBorder="1" applyAlignment="1">
      <alignment horizontal="left" vertical="center" shrinkToFit="1"/>
    </xf>
    <xf numFmtId="0" fontId="13" fillId="0" borderId="16" xfId="0" applyFont="1" applyBorder="1" applyAlignment="1">
      <alignment horizontal="left" vertical="center" shrinkToFit="1"/>
    </xf>
    <xf numFmtId="0" fontId="13" fillId="12" borderId="14" xfId="0" applyFont="1" applyFill="1" applyBorder="1" applyAlignment="1">
      <alignment horizontal="left" vertical="center" shrinkToFit="1"/>
    </xf>
    <xf numFmtId="0" fontId="13" fillId="12" borderId="15" xfId="0" applyFont="1" applyFill="1" applyBorder="1" applyAlignment="1">
      <alignment horizontal="left" vertical="center" shrinkToFit="1"/>
    </xf>
    <xf numFmtId="0" fontId="13" fillId="12" borderId="16" xfId="0" applyFont="1" applyFill="1" applyBorder="1" applyAlignment="1">
      <alignment horizontal="left" vertical="center" shrinkToFit="1"/>
    </xf>
    <xf numFmtId="0" fontId="13" fillId="11" borderId="14" xfId="0" applyFont="1" applyFill="1" applyBorder="1" applyAlignment="1">
      <alignment horizontal="left" vertical="center" shrinkToFit="1"/>
    </xf>
    <xf numFmtId="0" fontId="13" fillId="11" borderId="15" xfId="0" applyFont="1" applyFill="1" applyBorder="1" applyAlignment="1">
      <alignment horizontal="left" vertical="center" shrinkToFit="1"/>
    </xf>
    <xf numFmtId="0" fontId="13" fillId="11" borderId="16" xfId="0" applyFont="1" applyFill="1" applyBorder="1" applyAlignment="1">
      <alignment horizontal="left" vertical="center" shrinkToFit="1"/>
    </xf>
    <xf numFmtId="0" fontId="13" fillId="13" borderId="14" xfId="0" applyFont="1" applyFill="1" applyBorder="1" applyAlignment="1">
      <alignment horizontal="left" vertical="center" shrinkToFit="1"/>
    </xf>
    <xf numFmtId="0" fontId="13" fillId="13" borderId="15" xfId="0" applyFont="1" applyFill="1" applyBorder="1" applyAlignment="1">
      <alignment horizontal="left" vertical="center" shrinkToFit="1"/>
    </xf>
    <xf numFmtId="0" fontId="13" fillId="13" borderId="16" xfId="0" applyFont="1" applyFill="1" applyBorder="1" applyAlignment="1">
      <alignment horizontal="left" vertical="center" shrinkToFit="1"/>
    </xf>
    <xf numFmtId="0" fontId="13" fillId="0" borderId="77" xfId="0" applyFont="1" applyBorder="1" applyAlignment="1">
      <alignment horizontal="center" vertical="center" wrapText="1"/>
    </xf>
    <xf numFmtId="0" fontId="13" fillId="0" borderId="80" xfId="0" applyFont="1" applyBorder="1" applyAlignment="1">
      <alignment horizontal="center" vertical="center" wrapText="1"/>
    </xf>
    <xf numFmtId="0" fontId="13" fillId="0" borderId="83" xfId="0" applyFont="1" applyBorder="1" applyAlignment="1">
      <alignment horizontal="center" vertical="center" wrapText="1"/>
    </xf>
    <xf numFmtId="0" fontId="13" fillId="0" borderId="91" xfId="0" applyFont="1" applyBorder="1" applyAlignment="1">
      <alignment horizontal="center" vertical="center" wrapText="1"/>
    </xf>
    <xf numFmtId="176" fontId="26" fillId="10" borderId="32" xfId="0" applyNumberFormat="1" applyFont="1" applyFill="1" applyBorder="1" applyAlignment="1">
      <alignment horizontal="center"/>
    </xf>
    <xf numFmtId="0" fontId="18" fillId="9" borderId="78" xfId="0" applyFont="1" applyFill="1" applyBorder="1" applyAlignment="1">
      <alignment horizontal="center" vertical="center"/>
    </xf>
    <xf numFmtId="0" fontId="18" fillId="9" borderId="79" xfId="0" applyFont="1" applyFill="1" applyBorder="1" applyAlignment="1">
      <alignment horizontal="center" vertical="center"/>
    </xf>
    <xf numFmtId="0" fontId="18" fillId="9" borderId="80" xfId="0" applyFont="1" applyFill="1" applyBorder="1" applyAlignment="1">
      <alignment horizontal="center" vertical="center"/>
    </xf>
    <xf numFmtId="0" fontId="18" fillId="9" borderId="81" xfId="0" applyFont="1" applyFill="1" applyBorder="1" applyAlignment="1">
      <alignment horizontal="center" vertical="center"/>
    </xf>
    <xf numFmtId="0" fontId="18" fillId="9" borderId="82" xfId="0" applyFont="1" applyFill="1" applyBorder="1" applyAlignment="1">
      <alignment horizontal="center" vertical="center"/>
    </xf>
    <xf numFmtId="0" fontId="18" fillId="9" borderId="83" xfId="0" applyFont="1" applyFill="1" applyBorder="1" applyAlignment="1">
      <alignment horizontal="center" vertical="center"/>
    </xf>
    <xf numFmtId="176" fontId="26" fillId="10" borderId="22" xfId="0" applyNumberFormat="1" applyFont="1" applyFill="1" applyBorder="1" applyAlignment="1">
      <alignment horizontal="center"/>
    </xf>
    <xf numFmtId="176" fontId="26" fillId="10" borderId="25" xfId="0" applyNumberFormat="1" applyFont="1" applyFill="1" applyBorder="1" applyAlignment="1">
      <alignment horizontal="center"/>
    </xf>
    <xf numFmtId="0" fontId="13" fillId="0" borderId="75" xfId="0" applyFont="1" applyBorder="1" applyAlignment="1">
      <alignment horizontal="center" vertical="center"/>
    </xf>
    <xf numFmtId="0" fontId="13" fillId="0" borderId="78" xfId="0" applyFont="1" applyBorder="1" applyAlignment="1">
      <alignment horizontal="center" vertical="center"/>
    </xf>
    <xf numFmtId="0" fontId="13" fillId="0" borderId="89" xfId="0" applyFont="1" applyBorder="1" applyAlignment="1">
      <alignment horizontal="center" vertical="center"/>
    </xf>
    <xf numFmtId="0" fontId="13" fillId="0" borderId="76" xfId="0" applyFont="1" applyBorder="1" applyAlignment="1">
      <alignment horizontal="center" vertical="center" wrapText="1"/>
    </xf>
    <xf numFmtId="0" fontId="13" fillId="0" borderId="79" xfId="0" applyFont="1" applyBorder="1" applyAlignment="1">
      <alignment horizontal="center" vertical="center" wrapText="1"/>
    </xf>
    <xf numFmtId="0" fontId="13" fillId="0" borderId="90" xfId="0" applyFont="1" applyBorder="1" applyAlignment="1">
      <alignment horizontal="center" vertical="center" wrapText="1"/>
    </xf>
    <xf numFmtId="0" fontId="13" fillId="0" borderId="76" xfId="0" applyFont="1" applyBorder="1" applyAlignment="1">
      <alignment horizontal="left" vertical="center" wrapText="1"/>
    </xf>
    <xf numFmtId="0" fontId="13" fillId="0" borderId="79" xfId="0" applyFont="1" applyBorder="1" applyAlignment="1">
      <alignment horizontal="left" vertical="center" wrapText="1"/>
    </xf>
    <xf numFmtId="0" fontId="13" fillId="0" borderId="90" xfId="0" applyFont="1" applyBorder="1" applyAlignment="1">
      <alignment horizontal="left" vertical="center" wrapText="1"/>
    </xf>
    <xf numFmtId="0" fontId="13" fillId="0" borderId="79" xfId="0" applyFont="1" applyBorder="1"/>
    <xf numFmtId="0" fontId="13" fillId="0" borderId="90" xfId="0" applyFont="1" applyBorder="1"/>
    <xf numFmtId="0" fontId="13" fillId="0" borderId="82" xfId="0" applyFont="1" applyBorder="1" applyAlignment="1">
      <alignment horizontal="left" vertical="center" wrapText="1"/>
    </xf>
    <xf numFmtId="0" fontId="13" fillId="0" borderId="82" xfId="0" applyFont="1" applyBorder="1"/>
    <xf numFmtId="0" fontId="13" fillId="0" borderId="81" xfId="0" applyFont="1" applyBorder="1" applyAlignment="1">
      <alignment horizontal="center" vertical="center"/>
    </xf>
    <xf numFmtId="0" fontId="13" fillId="0" borderId="82" xfId="0" applyFont="1" applyBorder="1" applyAlignment="1">
      <alignment horizontal="center" vertical="center" wrapText="1"/>
    </xf>
    <xf numFmtId="0" fontId="22" fillId="9" borderId="78" xfId="0" applyFont="1" applyFill="1" applyBorder="1" applyAlignment="1">
      <alignment horizontal="center" vertical="center"/>
    </xf>
    <xf numFmtId="0" fontId="22" fillId="9" borderId="79" xfId="0" applyFont="1" applyFill="1" applyBorder="1" applyAlignment="1">
      <alignment horizontal="center" vertical="center"/>
    </xf>
    <xf numFmtId="0" fontId="22" fillId="9" borderId="80" xfId="0" applyFont="1" applyFill="1" applyBorder="1" applyAlignment="1">
      <alignment horizontal="center" vertical="center"/>
    </xf>
    <xf numFmtId="0" fontId="22" fillId="9" borderId="81" xfId="0" applyFont="1" applyFill="1" applyBorder="1" applyAlignment="1">
      <alignment horizontal="center" vertical="center"/>
    </xf>
    <xf numFmtId="0" fontId="22" fillId="9" borderId="82" xfId="0" applyFont="1" applyFill="1" applyBorder="1" applyAlignment="1">
      <alignment horizontal="center" vertical="center"/>
    </xf>
    <xf numFmtId="0" fontId="22" fillId="9" borderId="83" xfId="0" applyFont="1" applyFill="1" applyBorder="1" applyAlignment="1">
      <alignment horizontal="center" vertical="center"/>
    </xf>
    <xf numFmtId="176" fontId="26" fillId="10" borderId="37" xfId="0" applyNumberFormat="1" applyFont="1" applyFill="1" applyBorder="1" applyAlignment="1">
      <alignment horizontal="center"/>
    </xf>
    <xf numFmtId="176" fontId="26" fillId="10" borderId="42" xfId="0" applyNumberFormat="1" applyFont="1" applyFill="1" applyBorder="1" applyAlignment="1">
      <alignment horizontal="center"/>
    </xf>
    <xf numFmtId="176" fontId="26" fillId="10" borderId="38" xfId="0" applyNumberFormat="1" applyFont="1" applyFill="1" applyBorder="1" applyAlignment="1">
      <alignment horizontal="center"/>
    </xf>
    <xf numFmtId="0" fontId="13" fillId="0" borderId="155" xfId="0" applyFont="1" applyBorder="1" applyAlignment="1">
      <alignment horizontal="left" vertical="center" wrapText="1"/>
    </xf>
    <xf numFmtId="0" fontId="13" fillId="0" borderId="167" xfId="0" applyFont="1" applyBorder="1" applyAlignment="1">
      <alignment horizontal="left" vertical="center" wrapText="1"/>
    </xf>
    <xf numFmtId="0" fontId="13" fillId="0" borderId="124" xfId="0" applyFont="1" applyBorder="1" applyAlignment="1">
      <alignment horizontal="left" vertical="center" wrapText="1"/>
    </xf>
    <xf numFmtId="0" fontId="13" fillId="0" borderId="191" xfId="0" applyFont="1" applyBorder="1" applyAlignment="1">
      <alignment horizontal="left" vertical="center" wrapText="1"/>
    </xf>
    <xf numFmtId="0" fontId="13" fillId="0" borderId="165" xfId="0" applyFont="1" applyBorder="1" applyAlignment="1">
      <alignment horizontal="center" vertical="center" wrapText="1"/>
    </xf>
    <xf numFmtId="0" fontId="13" fillId="0" borderId="166" xfId="0" applyFont="1" applyBorder="1" applyAlignment="1">
      <alignment horizontal="center" vertical="center" wrapText="1"/>
    </xf>
    <xf numFmtId="0" fontId="13" fillId="0" borderId="103" xfId="0" applyFont="1" applyBorder="1" applyAlignment="1">
      <alignment horizontal="center" vertical="center" wrapText="1"/>
    </xf>
    <xf numFmtId="0" fontId="13" fillId="0" borderId="76" xfId="0" applyFont="1" applyBorder="1" applyAlignment="1">
      <alignment vertical="center" wrapText="1"/>
    </xf>
    <xf numFmtId="0" fontId="13" fillId="0" borderId="79" xfId="0" applyFont="1" applyBorder="1" applyAlignment="1">
      <alignment vertical="center" wrapText="1"/>
    </xf>
    <xf numFmtId="0" fontId="13" fillId="0" borderId="82" xfId="0" applyFont="1" applyBorder="1" applyAlignment="1">
      <alignment vertical="center" wrapText="1"/>
    </xf>
    <xf numFmtId="0" fontId="13" fillId="0" borderId="90" xfId="0" applyFont="1" applyBorder="1" applyAlignment="1">
      <alignment vertical="center" wrapText="1"/>
    </xf>
    <xf numFmtId="0" fontId="22" fillId="0" borderId="81" xfId="0" applyFont="1" applyBorder="1" applyAlignment="1">
      <alignment horizontal="center" vertical="center"/>
    </xf>
    <xf numFmtId="0" fontId="22" fillId="0" borderId="82" xfId="0" applyFont="1" applyBorder="1" applyAlignment="1">
      <alignment horizontal="center" vertical="center"/>
    </xf>
    <xf numFmtId="0" fontId="22" fillId="0" borderId="83" xfId="0" applyFont="1" applyBorder="1" applyAlignment="1">
      <alignment horizontal="center" vertical="center"/>
    </xf>
    <xf numFmtId="176" fontId="26" fillId="10" borderId="140" xfId="0" applyNumberFormat="1" applyFont="1" applyFill="1" applyBorder="1" applyAlignment="1">
      <alignment horizontal="center"/>
    </xf>
    <xf numFmtId="176" fontId="26" fillId="10" borderId="136" xfId="0" applyNumberFormat="1" applyFont="1" applyFill="1" applyBorder="1" applyAlignment="1">
      <alignment horizontal="center"/>
    </xf>
    <xf numFmtId="176" fontId="26" fillId="10" borderId="123" xfId="0" applyNumberFormat="1" applyFont="1" applyFill="1" applyBorder="1" applyAlignment="1">
      <alignment horizontal="center"/>
    </xf>
    <xf numFmtId="176" fontId="26" fillId="10" borderId="144" xfId="0" applyNumberFormat="1" applyFont="1" applyFill="1" applyBorder="1" applyAlignment="1">
      <alignment horizontal="center"/>
    </xf>
    <xf numFmtId="0" fontId="18" fillId="9" borderId="9" xfId="0" applyFont="1" applyFill="1" applyBorder="1" applyAlignment="1">
      <alignment horizontal="center" vertical="center"/>
    </xf>
    <xf numFmtId="0" fontId="18" fillId="9" borderId="0" xfId="0" applyFont="1" applyFill="1" applyAlignment="1">
      <alignment horizontal="center" vertical="center"/>
    </xf>
    <xf numFmtId="0" fontId="18" fillId="9" borderId="141" xfId="0" applyFont="1" applyFill="1" applyBorder="1" applyAlignment="1">
      <alignment horizontal="center" vertical="center"/>
    </xf>
    <xf numFmtId="0" fontId="18" fillId="9" borderId="10" xfId="0" applyFont="1" applyFill="1" applyBorder="1" applyAlignment="1">
      <alignment horizontal="center" vertical="center"/>
    </xf>
    <xf numFmtId="0" fontId="18" fillId="9" borderId="7" xfId="0" applyFont="1" applyFill="1" applyBorder="1" applyAlignment="1">
      <alignment horizontal="center" vertical="center"/>
    </xf>
    <xf numFmtId="0" fontId="18" fillId="9" borderId="142" xfId="0" applyFont="1" applyFill="1" applyBorder="1" applyAlignment="1">
      <alignment horizontal="center" vertical="center"/>
    </xf>
    <xf numFmtId="176" fontId="26" fillId="10" borderId="143" xfId="0" applyNumberFormat="1" applyFont="1" applyFill="1" applyBorder="1" applyAlignment="1">
      <alignment horizontal="center"/>
    </xf>
    <xf numFmtId="176" fontId="26" fillId="10" borderId="138" xfId="0" applyNumberFormat="1" applyFont="1" applyFill="1" applyBorder="1" applyAlignment="1">
      <alignment horizontal="center"/>
    </xf>
    <xf numFmtId="176" fontId="26" fillId="10" borderId="122" xfId="0" applyNumberFormat="1" applyFont="1" applyFill="1" applyBorder="1" applyAlignment="1">
      <alignment horizontal="center"/>
    </xf>
    <xf numFmtId="176" fontId="26" fillId="10" borderId="139" xfId="0" applyNumberFormat="1" applyFont="1" applyFill="1" applyBorder="1" applyAlignment="1">
      <alignment horizontal="center"/>
    </xf>
    <xf numFmtId="176" fontId="26" fillId="10" borderId="134" xfId="0" applyNumberFormat="1" applyFont="1" applyFill="1" applyBorder="1" applyAlignment="1">
      <alignment horizontal="center"/>
    </xf>
    <xf numFmtId="176" fontId="26" fillId="10" borderId="135" xfId="0" applyNumberFormat="1" applyFont="1" applyFill="1" applyBorder="1" applyAlignment="1">
      <alignment horizontal="center"/>
    </xf>
    <xf numFmtId="176" fontId="26" fillId="10" borderId="120" xfId="0" applyNumberFormat="1" applyFont="1" applyFill="1" applyBorder="1" applyAlignment="1">
      <alignment horizontal="center"/>
    </xf>
    <xf numFmtId="176" fontId="26" fillId="10" borderId="137" xfId="0" applyNumberFormat="1" applyFont="1" applyFill="1" applyBorder="1" applyAlignment="1">
      <alignment horizontal="center"/>
    </xf>
    <xf numFmtId="0" fontId="15" fillId="0" borderId="76" xfId="0" applyFont="1" applyBorder="1" applyAlignment="1">
      <alignment horizontal="center" vertical="center" wrapText="1"/>
    </xf>
    <xf numFmtId="0" fontId="15" fillId="0" borderId="79" xfId="0" applyFont="1" applyBorder="1" applyAlignment="1">
      <alignment horizontal="center" vertical="center" wrapText="1"/>
    </xf>
    <xf numFmtId="0" fontId="15" fillId="0" borderId="82" xfId="0" applyFont="1" applyBorder="1" applyAlignment="1">
      <alignment horizontal="center" vertical="center" wrapText="1"/>
    </xf>
    <xf numFmtId="0" fontId="13" fillId="5" borderId="77" xfId="0" applyFont="1" applyFill="1" applyBorder="1" applyAlignment="1">
      <alignment horizontal="center" vertical="center" wrapText="1"/>
    </xf>
    <xf numFmtId="0" fontId="13" fillId="5" borderId="80" xfId="0" applyFont="1" applyFill="1" applyBorder="1" applyAlignment="1">
      <alignment horizontal="center" vertical="center" wrapText="1"/>
    </xf>
    <xf numFmtId="0" fontId="13" fillId="5" borderId="83" xfId="0" applyFont="1" applyFill="1" applyBorder="1" applyAlignment="1">
      <alignment horizontal="center" vertical="center" wrapText="1"/>
    </xf>
    <xf numFmtId="0" fontId="15" fillId="0" borderId="90" xfId="0" applyFont="1" applyBorder="1" applyAlignment="1">
      <alignment horizontal="center" vertical="center" wrapText="1"/>
    </xf>
    <xf numFmtId="176" fontId="26" fillId="10" borderId="33" xfId="0" applyNumberFormat="1" applyFont="1" applyFill="1" applyBorder="1" applyAlignment="1">
      <alignment horizontal="center" vertical="center"/>
    </xf>
    <xf numFmtId="176" fontId="26" fillId="10" borderId="42" xfId="0" applyNumberFormat="1" applyFont="1" applyFill="1" applyBorder="1" applyAlignment="1">
      <alignment horizontal="center" vertical="center"/>
    </xf>
    <xf numFmtId="176" fontId="26" fillId="10" borderId="22" xfId="0" applyNumberFormat="1" applyFont="1" applyFill="1" applyBorder="1" applyAlignment="1">
      <alignment horizontal="center" vertical="center"/>
    </xf>
    <xf numFmtId="176" fontId="26" fillId="10" borderId="23" xfId="0" applyNumberFormat="1" applyFont="1" applyFill="1" applyBorder="1" applyAlignment="1">
      <alignment horizontal="center" vertical="center"/>
    </xf>
    <xf numFmtId="176" fontId="26" fillId="10" borderId="37" xfId="0" applyNumberFormat="1" applyFont="1" applyFill="1" applyBorder="1" applyAlignment="1">
      <alignment horizontal="center" vertical="center"/>
    </xf>
    <xf numFmtId="176" fontId="26" fillId="10" borderId="32" xfId="0" applyNumberFormat="1" applyFont="1" applyFill="1" applyBorder="1" applyAlignment="1">
      <alignment horizontal="center" vertical="center"/>
    </xf>
    <xf numFmtId="176" fontId="26" fillId="10" borderId="25" xfId="0" applyNumberFormat="1" applyFont="1" applyFill="1" applyBorder="1" applyAlignment="1">
      <alignment horizontal="center" vertical="center"/>
    </xf>
    <xf numFmtId="176" fontId="26" fillId="10" borderId="26" xfId="0" applyNumberFormat="1" applyFont="1" applyFill="1" applyBorder="1" applyAlignment="1">
      <alignment horizontal="center" vertical="center"/>
    </xf>
    <xf numFmtId="176" fontId="26" fillId="10" borderId="38" xfId="0" applyNumberFormat="1" applyFont="1" applyFill="1" applyBorder="1" applyAlignment="1">
      <alignment horizontal="center" vertical="center"/>
    </xf>
    <xf numFmtId="0" fontId="22" fillId="9" borderId="192" xfId="0" applyFont="1" applyFill="1" applyBorder="1" applyAlignment="1">
      <alignment horizontal="center" vertical="center"/>
    </xf>
    <xf numFmtId="0" fontId="22" fillId="9" borderId="193" xfId="0" applyFont="1" applyFill="1" applyBorder="1" applyAlignment="1">
      <alignment horizontal="center" vertical="center"/>
    </xf>
    <xf numFmtId="0" fontId="22" fillId="9" borderId="194" xfId="0" applyFont="1" applyFill="1" applyBorder="1" applyAlignment="1">
      <alignment horizontal="center" vertical="center"/>
    </xf>
    <xf numFmtId="0" fontId="22" fillId="9" borderId="9" xfId="0" applyFont="1" applyFill="1" applyBorder="1" applyAlignment="1">
      <alignment horizontal="center" vertical="center"/>
    </xf>
    <xf numFmtId="0" fontId="22" fillId="9" borderId="0" xfId="0" applyFont="1" applyFill="1" applyAlignment="1">
      <alignment horizontal="center" vertical="center"/>
    </xf>
    <xf numFmtId="0" fontId="22" fillId="9" borderId="141" xfId="0" applyFont="1" applyFill="1" applyBorder="1" applyAlignment="1">
      <alignment horizontal="center" vertical="center"/>
    </xf>
    <xf numFmtId="0" fontId="22" fillId="9" borderId="10" xfId="0" applyFont="1" applyFill="1" applyBorder="1" applyAlignment="1">
      <alignment horizontal="center" vertical="center"/>
    </xf>
    <xf numFmtId="0" fontId="22" fillId="9" borderId="7" xfId="0" applyFont="1" applyFill="1" applyBorder="1" applyAlignment="1">
      <alignment horizontal="center" vertical="center"/>
    </xf>
    <xf numFmtId="0" fontId="22" fillId="9" borderId="142" xfId="0" applyFont="1" applyFill="1" applyBorder="1" applyAlignment="1">
      <alignment horizontal="center" vertical="center"/>
    </xf>
  </cellXfs>
  <cellStyles count="645">
    <cellStyle name="パーセント 2" xfId="28" xr:uid="{06891E04-94FD-4EA3-BEF7-94FDEC908F0F}"/>
    <cellStyle name="桁区切り 2" xfId="3" xr:uid="{00000000-0005-0000-0000-000000000000}"/>
    <cellStyle name="桁区切り 2 2" xfId="5" xr:uid="{00000000-0005-0000-0000-000001000000}"/>
    <cellStyle name="桁区切り 3" xfId="6" xr:uid="{00000000-0005-0000-0000-000002000000}"/>
    <cellStyle name="桁区切り 4" xfId="8" xr:uid="{75EE2D0F-403A-4502-823C-9924E5F0BB2F}"/>
    <cellStyle name="桁区切り 4 10" xfId="50" xr:uid="{5C7DA2D4-150C-4A71-93A2-B4CF18A481C0}"/>
    <cellStyle name="桁区切り 4 10 2" xfId="368" xr:uid="{5251BC98-1052-4588-8D44-99852D9476F0}"/>
    <cellStyle name="桁区切り 4 11" xfId="168" xr:uid="{EB7D549D-C2FD-4D1A-92A0-EC822E709726}"/>
    <cellStyle name="桁区切り 4 11 2" xfId="486" xr:uid="{A4AD47EE-E2FB-4A25-A2D5-BB07F27AEA0D}"/>
    <cellStyle name="桁区切り 4 12" xfId="526" xr:uid="{BB44E8DD-3BDC-43C4-88AF-097B727E6BBE}"/>
    <cellStyle name="桁区切り 4 13" xfId="326" xr:uid="{383CAE69-F433-4D8D-8805-6770B65A044E}"/>
    <cellStyle name="桁区切り 4 14" xfId="644" xr:uid="{17A4CA3F-1EA4-4731-8BF7-CF5FBAD8319F}"/>
    <cellStyle name="桁区切り 4 15" xfId="208" xr:uid="{D9597925-3930-4DE1-9FE0-3E4AFB08BF68}"/>
    <cellStyle name="桁区切り 4 2" xfId="10" xr:uid="{0F03589E-E78A-4A89-A238-FB6B2AFE0C8B}"/>
    <cellStyle name="桁区切り 4 2 10" xfId="528" xr:uid="{4EE2FA16-6736-48F7-A8D9-A9EE2E6ACE89}"/>
    <cellStyle name="桁区切り 4 2 11" xfId="330" xr:uid="{26E2AA78-C43C-4086-B0B5-367CA9014A68}"/>
    <cellStyle name="桁区切り 4 2 12" xfId="210" xr:uid="{F1BBFDD1-5D0E-4244-B72C-27A4D9451959}"/>
    <cellStyle name="桁区切り 4 2 2" xfId="14" xr:uid="{84248CAA-84BE-440C-94C3-CD099DCB6BC1}"/>
    <cellStyle name="桁区切り 4 2 2 10" xfId="214" xr:uid="{9954F184-B57F-44E5-9612-0866E3CCEC5E}"/>
    <cellStyle name="桁区切り 4 2 2 2" xfId="24" xr:uid="{692D9D46-5161-405F-BB46-64E3C4876EBE}"/>
    <cellStyle name="桁区切り 4 2 2 2 2" xfId="46" xr:uid="{A2BEE78F-3027-4934-AB49-21869DD59EF4}"/>
    <cellStyle name="桁区切り 4 2 2 2 2 2" xfId="124" xr:uid="{3B4043C7-F29A-4DB6-B378-4372C03A3538}"/>
    <cellStyle name="桁区切り 4 2 2 2 2 2 2" xfId="600" xr:uid="{32EF74B0-592B-41EF-BF74-1FF66A0DC89A}"/>
    <cellStyle name="桁区切り 4 2 2 2 2 2 3" xfId="442" xr:uid="{63108F50-EAD9-4F7D-A146-BBBEF2DB623D}"/>
    <cellStyle name="桁区切り 4 2 2 2 2 2 4" xfId="282" xr:uid="{6F71D47B-F0A1-4852-BF20-C8F5E670B1E3}"/>
    <cellStyle name="桁区切り 4 2 2 2 2 3" xfId="164" xr:uid="{05221691-E721-45A5-9F2B-173E98DEDD30}"/>
    <cellStyle name="桁区切り 4 2 2 2 2 3 2" xfId="640" xr:uid="{8F191ABD-F766-442D-80B6-D91F4FF3DFF2}"/>
    <cellStyle name="桁区切り 4 2 2 2 2 3 3" xfId="482" xr:uid="{6E42F93B-E5B1-4392-8094-5037507C48B2}"/>
    <cellStyle name="桁区切り 4 2 2 2 2 3 4" xfId="322" xr:uid="{AFF5A5C3-E97C-474C-A8D7-48C34D8CB90F}"/>
    <cellStyle name="桁区切り 4 2 2 2 2 4" xfId="86" xr:uid="{EA8F6247-C18C-4B08-B54E-A4A1AA88F6D8}"/>
    <cellStyle name="桁区切り 4 2 2 2 2 4 2" xfId="404" xr:uid="{CD93CAF2-3F9D-49FC-BF89-A42943A47237}"/>
    <cellStyle name="桁区切り 4 2 2 2 2 5" xfId="204" xr:uid="{315C8EAB-D423-4B4A-9552-B99FD8CA433C}"/>
    <cellStyle name="桁区切り 4 2 2 2 2 5 2" xfId="522" xr:uid="{C1581C9E-7722-40F6-9554-E22C759A12D8}"/>
    <cellStyle name="桁区切り 4 2 2 2 2 6" xfId="562" xr:uid="{27348049-CCBE-4122-8E51-96E8452DDFDC}"/>
    <cellStyle name="桁区切り 4 2 2 2 2 7" xfId="364" xr:uid="{E465BCF9-D783-4C9C-940D-C6F802F47561}"/>
    <cellStyle name="桁区切り 4 2 2 2 2 8" xfId="244" xr:uid="{D9370DBF-08E6-4EA2-9640-287E04AC1724}"/>
    <cellStyle name="桁区切り 4 2 2 2 3" xfId="102" xr:uid="{FB38073B-4D95-4AF4-AF52-4BB4ADB74393}"/>
    <cellStyle name="桁区切り 4 2 2 2 3 2" xfId="578" xr:uid="{0D20A98F-6243-4A12-BE80-6E2E5620C0CE}"/>
    <cellStyle name="桁区切り 4 2 2 2 3 3" xfId="420" xr:uid="{055A9A6A-B080-47B2-89F9-D4B61E62D9D7}"/>
    <cellStyle name="桁区切り 4 2 2 2 3 4" xfId="260" xr:uid="{29C30762-2CBF-4D25-A853-CF86A25A5DDB}"/>
    <cellStyle name="桁区切り 4 2 2 2 4" xfId="144" xr:uid="{82D20D2A-7AE2-4F24-AD76-2AED92C90B66}"/>
    <cellStyle name="桁区切り 4 2 2 2 4 2" xfId="620" xr:uid="{A3E118F1-8EBC-4B30-91D9-19131F628565}"/>
    <cellStyle name="桁区切り 4 2 2 2 4 3" xfId="462" xr:uid="{E4011BF6-5AE0-4C41-8971-DBED6A47D8A2}"/>
    <cellStyle name="桁区切り 4 2 2 2 4 4" xfId="302" xr:uid="{AFCBB428-018E-4A70-A1D6-D922A63C341D}"/>
    <cellStyle name="桁区切り 4 2 2 2 5" xfId="64" xr:uid="{C297D1B3-4D12-4411-B8AB-553565A389EC}"/>
    <cellStyle name="桁区切り 4 2 2 2 5 2" xfId="382" xr:uid="{5B21F1FD-F5E1-471B-9DB3-6F897F837FB0}"/>
    <cellStyle name="桁区切り 4 2 2 2 6" xfId="184" xr:uid="{2E9649B3-EB08-4A68-ADAB-947F066FEAF3}"/>
    <cellStyle name="桁区切り 4 2 2 2 6 2" xfId="502" xr:uid="{613CC66A-3CF5-41BA-AA49-F7ADFDEB619E}"/>
    <cellStyle name="桁区切り 4 2 2 2 7" xfId="540" xr:uid="{A1C11CBD-9641-4713-A152-CA4DCB17765F}"/>
    <cellStyle name="桁区切り 4 2 2 2 8" xfId="344" xr:uid="{E7E469A5-AA7F-4914-BDAE-5BD0D99A675E}"/>
    <cellStyle name="桁区切り 4 2 2 2 9" xfId="222" xr:uid="{8DDC7BA0-E8A0-48C8-A756-FAA46A7FC75D}"/>
    <cellStyle name="桁区切り 4 2 2 3" xfId="36" xr:uid="{02DA77FE-26B9-4C1A-AD8F-6AD0CDF83AC4}"/>
    <cellStyle name="桁区切り 4 2 2 3 2" xfId="114" xr:uid="{F01AE734-C805-4A25-934A-407EFE68B3CC}"/>
    <cellStyle name="桁区切り 4 2 2 3 2 2" xfId="590" xr:uid="{45DC4F8E-5E89-4C55-90D6-9D774683F61A}"/>
    <cellStyle name="桁区切り 4 2 2 3 2 3" xfId="432" xr:uid="{2EC62409-AB12-4FCE-8149-3BAF5990162D}"/>
    <cellStyle name="桁区切り 4 2 2 3 2 4" xfId="272" xr:uid="{A9F9B3A6-3176-4AC2-8FEA-018945392F36}"/>
    <cellStyle name="桁区切り 4 2 2 3 3" xfId="154" xr:uid="{F06A9EEB-2554-4FCC-82FA-7CBDD687D479}"/>
    <cellStyle name="桁区切り 4 2 2 3 3 2" xfId="630" xr:uid="{65F57685-B543-429C-88A6-9EE5F74C56E9}"/>
    <cellStyle name="桁区切り 4 2 2 3 3 3" xfId="472" xr:uid="{C68700CC-8D43-4928-AFE3-D331254908C7}"/>
    <cellStyle name="桁区切り 4 2 2 3 3 4" xfId="312" xr:uid="{9FCF5FC1-30BB-47B7-9603-AC128BA19A5A}"/>
    <cellStyle name="桁区切り 4 2 2 3 4" xfId="76" xr:uid="{C16EF40F-FA59-453E-A8FB-7193B1C71A8D}"/>
    <cellStyle name="桁区切り 4 2 2 3 4 2" xfId="394" xr:uid="{5D9C0BA4-4969-4B61-963C-D1EB039220FD}"/>
    <cellStyle name="桁区切り 4 2 2 3 5" xfId="194" xr:uid="{4CAC5B51-174E-4ADD-B9A7-E295411E6C2E}"/>
    <cellStyle name="桁区切り 4 2 2 3 5 2" xfId="512" xr:uid="{3F19BBCD-26EF-4ACF-9958-1D07FBA6BB59}"/>
    <cellStyle name="桁区切り 4 2 2 3 6" xfId="552" xr:uid="{E7D66B28-641C-4808-BE6A-6279998EA336}"/>
    <cellStyle name="桁区切り 4 2 2 3 7" xfId="354" xr:uid="{EFA033FD-FDA6-4207-B5F1-82DF90997F46}"/>
    <cellStyle name="桁区切り 4 2 2 3 8" xfId="234" xr:uid="{36E4D03B-49A2-49FE-95AE-8BD5EC61A42A}"/>
    <cellStyle name="桁区切り 4 2 2 4" xfId="94" xr:uid="{725BC84E-F3A1-4CA7-8EE3-85B4FFB6FA24}"/>
    <cellStyle name="桁区切り 4 2 2 4 2" xfId="570" xr:uid="{21EF0725-4F22-4F6D-AA37-5F47CB54D9A1}"/>
    <cellStyle name="桁区切り 4 2 2 4 3" xfId="412" xr:uid="{96465813-4F43-4ECD-8EDC-6F94C5BBAC7F}"/>
    <cellStyle name="桁区切り 4 2 2 4 4" xfId="252" xr:uid="{11252DC0-BF07-4E89-B60E-3A52C2D415FC}"/>
    <cellStyle name="桁区切り 4 2 2 5" xfId="134" xr:uid="{3775473C-596E-4BEB-982A-D06D2FB86517}"/>
    <cellStyle name="桁区切り 4 2 2 5 2" xfId="610" xr:uid="{1263D52E-2502-45B0-9615-7FFAC47F3CF4}"/>
    <cellStyle name="桁区切り 4 2 2 5 3" xfId="452" xr:uid="{01A74032-1DFF-419D-8B56-0139FCD83898}"/>
    <cellStyle name="桁区切り 4 2 2 5 4" xfId="292" xr:uid="{822B4D6B-B2B3-414B-AA6C-F38049E3C4BE}"/>
    <cellStyle name="桁区切り 4 2 2 6" xfId="56" xr:uid="{4D59097E-6687-4CD8-8916-426A789C0754}"/>
    <cellStyle name="桁区切り 4 2 2 6 2" xfId="374" xr:uid="{8AAD8228-340F-4988-9E36-DA4DF2AABF54}"/>
    <cellStyle name="桁区切り 4 2 2 7" xfId="174" xr:uid="{D8F72528-3133-404D-9A1A-F9633B41DB66}"/>
    <cellStyle name="桁区切り 4 2 2 7 2" xfId="492" xr:uid="{F5132433-05B0-48A6-B475-DD0939817D23}"/>
    <cellStyle name="桁区切り 4 2 2 8" xfId="532" xr:uid="{6CD44670-8905-44C4-A18A-FE44B7080132}"/>
    <cellStyle name="桁区切り 4 2 2 9" xfId="334" xr:uid="{8016F167-DEB5-431F-BA06-0CE621BFA740}"/>
    <cellStyle name="桁区切り 4 2 3" xfId="20" xr:uid="{876D52C1-D033-43B1-854B-AD742AADB5BE}"/>
    <cellStyle name="桁区切り 4 2 3 2" xfId="42" xr:uid="{9BE9F6F7-9CE4-4696-AFCE-725F97398E56}"/>
    <cellStyle name="桁区切り 4 2 3 2 2" xfId="120" xr:uid="{899E6898-4E4D-4575-9B7F-FE4226D11DB6}"/>
    <cellStyle name="桁区切り 4 2 3 2 2 2" xfId="596" xr:uid="{F951BD0C-7571-406F-92FB-4A72BA4ACFC0}"/>
    <cellStyle name="桁区切り 4 2 3 2 2 3" xfId="438" xr:uid="{1A77E613-9F16-43F0-BDDC-568FA8625EBA}"/>
    <cellStyle name="桁区切り 4 2 3 2 2 4" xfId="278" xr:uid="{6C7B8C10-0F86-4C50-B53F-6940FB8F6FEF}"/>
    <cellStyle name="桁区切り 4 2 3 2 3" xfId="160" xr:uid="{77E3209E-AEA7-46FC-84F7-0B82597EF021}"/>
    <cellStyle name="桁区切り 4 2 3 2 3 2" xfId="636" xr:uid="{431F10EA-3836-48AA-9029-C334FD5DA820}"/>
    <cellStyle name="桁区切り 4 2 3 2 3 3" xfId="478" xr:uid="{52C9C26B-1D73-4D20-8582-D099B69DDAAC}"/>
    <cellStyle name="桁区切り 4 2 3 2 3 4" xfId="318" xr:uid="{92151222-526F-46D6-B645-D3D7FBFB77C8}"/>
    <cellStyle name="桁区切り 4 2 3 2 4" xfId="82" xr:uid="{88588AB6-0871-4105-83D6-1919415C699D}"/>
    <cellStyle name="桁区切り 4 2 3 2 4 2" xfId="400" xr:uid="{9C8F9836-D4A3-4300-840B-67F62C7D4375}"/>
    <cellStyle name="桁区切り 4 2 3 2 5" xfId="200" xr:uid="{A9F0B5D1-06B0-4DE1-A6F7-9F105ED93932}"/>
    <cellStyle name="桁区切り 4 2 3 2 5 2" xfId="518" xr:uid="{3519F4A1-83EF-4B26-8EDF-FFE0EC4E7FBA}"/>
    <cellStyle name="桁区切り 4 2 3 2 6" xfId="558" xr:uid="{29B81871-6D52-4097-AF06-5F2E2EE2E069}"/>
    <cellStyle name="桁区切り 4 2 3 2 7" xfId="360" xr:uid="{865A3B02-386C-4604-8503-19C78FB234DB}"/>
    <cellStyle name="桁区切り 4 2 3 2 8" xfId="240" xr:uid="{197050A5-D088-4CC5-8C3F-D32B8DF2BCE6}"/>
    <cellStyle name="桁区切り 4 2 3 3" xfId="98" xr:uid="{3C66F9BF-DCAC-49C2-AB05-4ECD585A623D}"/>
    <cellStyle name="桁区切り 4 2 3 3 2" xfId="574" xr:uid="{FF055B21-6C90-4035-8597-AEDAFDEE1937}"/>
    <cellStyle name="桁区切り 4 2 3 3 3" xfId="416" xr:uid="{C56F2D11-8264-4FE4-BB48-7593799DDEBA}"/>
    <cellStyle name="桁区切り 4 2 3 3 4" xfId="256" xr:uid="{1B0D68A2-E507-4E42-8748-8801205767B6}"/>
    <cellStyle name="桁区切り 4 2 3 4" xfId="140" xr:uid="{8870BCA2-BABE-4AE7-A61E-0A514211B04E}"/>
    <cellStyle name="桁区切り 4 2 3 4 2" xfId="616" xr:uid="{BF0CF150-92E0-405B-B9F4-4717E6FF0BF7}"/>
    <cellStyle name="桁区切り 4 2 3 4 3" xfId="458" xr:uid="{5991B41B-4C40-4314-AB91-FD22E0A913BC}"/>
    <cellStyle name="桁区切り 4 2 3 4 4" xfId="298" xr:uid="{5AEB6C62-7380-44DF-B7E5-53FBA95E1776}"/>
    <cellStyle name="桁区切り 4 2 3 5" xfId="60" xr:uid="{944FCED5-ED4F-4128-BF38-0042C16AF4BD}"/>
    <cellStyle name="桁区切り 4 2 3 5 2" xfId="378" xr:uid="{F8166CCC-020F-4DD8-8789-F59C5F848145}"/>
    <cellStyle name="桁区切り 4 2 3 6" xfId="180" xr:uid="{DC83B3E6-7B5C-4C23-BB8F-A2EA7CDD9C23}"/>
    <cellStyle name="桁区切り 4 2 3 6 2" xfId="498" xr:uid="{D5FCAACE-4076-4EF7-B090-BB551C4DC683}"/>
    <cellStyle name="桁区切り 4 2 3 7" xfId="536" xr:uid="{5B04DB6A-2C3B-44F4-948D-78E6B2DBCA18}"/>
    <cellStyle name="桁区切り 4 2 3 8" xfId="340" xr:uid="{A1CFD20E-3054-471D-A2D9-79EA3BEADB6F}"/>
    <cellStyle name="桁区切り 4 2 3 9" xfId="218" xr:uid="{4783518F-E2C1-4282-A1E0-3C9C69E964D5}"/>
    <cellStyle name="桁区切り 4 2 4" xfId="32" xr:uid="{EC25F0A9-8AD6-4DEA-A665-4C0679807F0B}"/>
    <cellStyle name="桁区切り 4 2 4 2" xfId="106" xr:uid="{2D321D08-E918-49F8-B70E-5CF177E55C26}"/>
    <cellStyle name="桁区切り 4 2 4 2 2" xfId="582" xr:uid="{BA778925-B942-4590-98A5-F051AEC66BA8}"/>
    <cellStyle name="桁区切り 4 2 4 2 3" xfId="424" xr:uid="{DBD0391C-C531-4BB2-A8FA-F6E6CDAB008D}"/>
    <cellStyle name="桁区切り 4 2 4 2 4" xfId="264" xr:uid="{2CCCA7FA-4A7C-4917-8E2E-F17007D26BFB}"/>
    <cellStyle name="桁区切り 4 2 4 3" xfId="150" xr:uid="{9C923A02-81D0-4F99-89B0-0DE48DCA2774}"/>
    <cellStyle name="桁区切り 4 2 4 3 2" xfId="626" xr:uid="{4C5A5586-0911-410F-96C3-916F2B991155}"/>
    <cellStyle name="桁区切り 4 2 4 3 3" xfId="468" xr:uid="{59F4E84D-3FBA-4216-B597-0DEEF33202D5}"/>
    <cellStyle name="桁区切り 4 2 4 3 4" xfId="308" xr:uid="{84FDB728-9EC9-4651-8310-14AC11074911}"/>
    <cellStyle name="桁区切り 4 2 4 4" xfId="68" xr:uid="{96014CE9-C624-46F2-84AB-2DD2F2E11F83}"/>
    <cellStyle name="桁区切り 4 2 4 4 2" xfId="386" xr:uid="{1CCF3EC1-9B61-4C8D-89BF-AC75F6A1234E}"/>
    <cellStyle name="桁区切り 4 2 4 5" xfId="190" xr:uid="{3455C77C-DBD3-4A9C-B51D-F6912FF7A463}"/>
    <cellStyle name="桁区切り 4 2 4 5 2" xfId="508" xr:uid="{866E975E-B21E-4A1E-8330-1C46CA165619}"/>
    <cellStyle name="桁区切り 4 2 4 6" xfId="544" xr:uid="{3066ADBC-1212-4C0E-9011-914CF6F8722D}"/>
    <cellStyle name="桁区切り 4 2 4 7" xfId="350" xr:uid="{2D7C2BF8-0713-400C-BE9E-19892ADFCC1C}"/>
    <cellStyle name="桁区切り 4 2 4 8" xfId="226" xr:uid="{9AF2BF5E-53A1-4733-93A4-96AAB10B5EDD}"/>
    <cellStyle name="桁区切り 4 2 5" xfId="72" xr:uid="{4C578D8E-45CD-4EF0-9888-DC44346C1603}"/>
    <cellStyle name="桁区切り 4 2 5 2" xfId="110" xr:uid="{5FD0D638-5B11-46C3-BF4A-F6989B9768D4}"/>
    <cellStyle name="桁区切り 4 2 5 2 2" xfId="586" xr:uid="{A76EDBF1-5BA7-4560-944F-B68F64D1F171}"/>
    <cellStyle name="桁区切り 4 2 5 2 3" xfId="428" xr:uid="{1C1916D8-42F3-4C4D-98D7-FF87E0D4812E}"/>
    <cellStyle name="桁区切り 4 2 5 2 4" xfId="268" xr:uid="{969F8C7B-BE76-412C-A372-C1FEBE77A0EE}"/>
    <cellStyle name="桁区切り 4 2 5 3" xfId="548" xr:uid="{24143E48-266B-4FB1-A4A2-557300C37D8B}"/>
    <cellStyle name="桁区切り 4 2 5 4" xfId="390" xr:uid="{07B09662-17DC-4F51-BB68-EF2F0D6AD032}"/>
    <cellStyle name="桁区切り 4 2 5 5" xfId="230" xr:uid="{4E466546-5C15-45F5-A432-535D1F34794F}"/>
    <cellStyle name="桁区切り 4 2 6" xfId="90" xr:uid="{2054265B-5ABD-43E0-BE40-91AA53902345}"/>
    <cellStyle name="桁区切り 4 2 6 2" xfId="566" xr:uid="{726211ED-0AB4-4566-ADAC-38FAA4CF3B3E}"/>
    <cellStyle name="桁区切り 4 2 6 3" xfId="408" xr:uid="{CBDB3E10-F7AE-4B4C-83A4-0227A5FD2A02}"/>
    <cellStyle name="桁区切り 4 2 6 4" xfId="248" xr:uid="{114DA071-147A-47B3-B89A-DA02BD00D2E0}"/>
    <cellStyle name="桁区切り 4 2 7" xfId="130" xr:uid="{2AB51432-41A1-4B84-A2EB-D72B5DEB5F52}"/>
    <cellStyle name="桁区切り 4 2 7 2" xfId="606" xr:uid="{1CE86514-249E-4574-8A73-43EC260D99D8}"/>
    <cellStyle name="桁区切り 4 2 7 3" xfId="448" xr:uid="{D8C099A1-1EFE-4F2D-ADF6-DF15FADACE96}"/>
    <cellStyle name="桁区切り 4 2 7 4" xfId="288" xr:uid="{0CD863AB-4125-42F0-A04E-64AC760A5260}"/>
    <cellStyle name="桁区切り 4 2 8" xfId="52" xr:uid="{CC769672-8E41-46F5-A460-EB8585904EB8}"/>
    <cellStyle name="桁区切り 4 2 8 2" xfId="370" xr:uid="{A5DE82C5-F381-4BEA-A2FA-7423398BA6A7}"/>
    <cellStyle name="桁区切り 4 2 9" xfId="170" xr:uid="{88C3F684-4EA0-4304-834E-71E656B9EBEF}"/>
    <cellStyle name="桁区切り 4 2 9 2" xfId="488" xr:uid="{2E1E96D0-4508-4DE5-87A4-D43C945E4A43}"/>
    <cellStyle name="桁区切り 4 3" xfId="12" xr:uid="{5DB620B2-4F9F-400C-8059-834C8C81FFBB}"/>
    <cellStyle name="桁区切り 4 3 10" xfId="212" xr:uid="{F23D2B6C-B863-4237-BF8C-2D2867C32952}"/>
    <cellStyle name="桁区切り 4 3 2" xfId="22" xr:uid="{744EA2CA-B847-44AF-8F8A-8B88FA885754}"/>
    <cellStyle name="桁区切り 4 3 2 2" xfId="44" xr:uid="{9938B419-5863-47BD-A4AB-FABC577DB4E8}"/>
    <cellStyle name="桁区切り 4 3 2 2 2" xfId="122" xr:uid="{A426528C-3E10-48A9-A345-D552B53B041C}"/>
    <cellStyle name="桁区切り 4 3 2 2 2 2" xfId="598" xr:uid="{64074935-DDEF-48EC-B463-33BD95A14FD1}"/>
    <cellStyle name="桁区切り 4 3 2 2 2 3" xfId="440" xr:uid="{F2DE6C4D-7990-4EC1-889F-698B8FF4F0FB}"/>
    <cellStyle name="桁区切り 4 3 2 2 2 4" xfId="280" xr:uid="{EECC5202-D86D-46EE-A1F9-16A9BEE8370E}"/>
    <cellStyle name="桁区切り 4 3 2 2 3" xfId="162" xr:uid="{FE175E52-5217-4917-9884-1DB4CE1A6D7D}"/>
    <cellStyle name="桁区切り 4 3 2 2 3 2" xfId="638" xr:uid="{D6783943-CACE-4492-8C83-B1A75C5A22B4}"/>
    <cellStyle name="桁区切り 4 3 2 2 3 3" xfId="480" xr:uid="{783F76E5-E5DC-4078-9047-18AA961CE1A1}"/>
    <cellStyle name="桁区切り 4 3 2 2 3 4" xfId="320" xr:uid="{135359B7-BBFC-47DC-97FE-3876BACE576F}"/>
    <cellStyle name="桁区切り 4 3 2 2 4" xfId="84" xr:uid="{BC1D6EE7-8A10-4265-B83F-0859E5A96930}"/>
    <cellStyle name="桁区切り 4 3 2 2 4 2" xfId="402" xr:uid="{27818963-0716-4B4D-9FFD-F8AE26F6C3E9}"/>
    <cellStyle name="桁区切り 4 3 2 2 5" xfId="202" xr:uid="{7A51A6B2-94A1-4555-8911-605C6706B175}"/>
    <cellStyle name="桁区切り 4 3 2 2 5 2" xfId="520" xr:uid="{AF4840DE-9392-4394-9108-61E8863498AD}"/>
    <cellStyle name="桁区切り 4 3 2 2 6" xfId="560" xr:uid="{5461108B-D12E-47A2-9C7E-8C170E5B2411}"/>
    <cellStyle name="桁区切り 4 3 2 2 7" xfId="362" xr:uid="{C624B3C0-7CF1-425D-9981-9BA373FD7C88}"/>
    <cellStyle name="桁区切り 4 3 2 2 8" xfId="242" xr:uid="{98DA0445-294A-45B6-8B7D-176F4D5683EF}"/>
    <cellStyle name="桁区切り 4 3 2 3" xfId="100" xr:uid="{BE46DF74-AB39-4756-80BE-180D6D3DF3F4}"/>
    <cellStyle name="桁区切り 4 3 2 3 2" xfId="576" xr:uid="{3A6BDECC-B7AF-4A26-8C53-19FFA91636DD}"/>
    <cellStyle name="桁区切り 4 3 2 3 3" xfId="418" xr:uid="{799D6E76-9CDF-4E75-B3AC-49310FD702FF}"/>
    <cellStyle name="桁区切り 4 3 2 3 4" xfId="258" xr:uid="{31974AA8-DE34-4042-A651-19CF79A6F485}"/>
    <cellStyle name="桁区切り 4 3 2 4" xfId="142" xr:uid="{49BBDC3D-DE6B-42C4-A9BA-0F261E2AFE02}"/>
    <cellStyle name="桁区切り 4 3 2 4 2" xfId="618" xr:uid="{32BA7DD9-487E-4A09-9976-4052C4AD6C6D}"/>
    <cellStyle name="桁区切り 4 3 2 4 3" xfId="460" xr:uid="{CB3470B1-EE2C-4427-9FF9-908E460ADC0B}"/>
    <cellStyle name="桁区切り 4 3 2 4 4" xfId="300" xr:uid="{D6C6A2A5-F75A-43A6-A5DA-C93FF5C389BC}"/>
    <cellStyle name="桁区切り 4 3 2 5" xfId="62" xr:uid="{D97C2A0F-8853-46BE-9CFC-BD784428197D}"/>
    <cellStyle name="桁区切り 4 3 2 5 2" xfId="380" xr:uid="{66CA86FB-3B51-4343-A289-370BDE2B762B}"/>
    <cellStyle name="桁区切り 4 3 2 6" xfId="182" xr:uid="{885BF393-4AC6-47F5-A8B3-9D744BB27866}"/>
    <cellStyle name="桁区切り 4 3 2 6 2" xfId="500" xr:uid="{7A9A2B4F-C801-4A75-9D04-EE60BA322A32}"/>
    <cellStyle name="桁区切り 4 3 2 7" xfId="538" xr:uid="{85DD97CE-371B-4C32-9BFF-FD61FE053582}"/>
    <cellStyle name="桁区切り 4 3 2 8" xfId="342" xr:uid="{E6B6FECC-740F-4464-A87A-E6BFEF7B9199}"/>
    <cellStyle name="桁区切り 4 3 2 9" xfId="220" xr:uid="{9D812909-B75F-4A60-9BB6-3391F449DD4C}"/>
    <cellStyle name="桁区切り 4 3 3" xfId="34" xr:uid="{8FC33C4F-F712-41F2-B5E9-ED30BF78AAD0}"/>
    <cellStyle name="桁区切り 4 3 3 2" xfId="112" xr:uid="{768A69C3-98AB-4D67-A419-3B9EFE771A33}"/>
    <cellStyle name="桁区切り 4 3 3 2 2" xfId="588" xr:uid="{D55845FE-7B90-4B91-A8C1-D3483A1D66B5}"/>
    <cellStyle name="桁区切り 4 3 3 2 3" xfId="430" xr:uid="{EF430BA5-A4C5-4450-AFFC-C01CE3A6E435}"/>
    <cellStyle name="桁区切り 4 3 3 2 4" xfId="270" xr:uid="{E069164B-E0BD-4EB5-9A53-B9F055995EE3}"/>
    <cellStyle name="桁区切り 4 3 3 3" xfId="152" xr:uid="{4310BD0D-5148-4A75-A0E6-A85981E67C20}"/>
    <cellStyle name="桁区切り 4 3 3 3 2" xfId="628" xr:uid="{389F9857-19A0-4439-9874-F8F5529E6263}"/>
    <cellStyle name="桁区切り 4 3 3 3 3" xfId="470" xr:uid="{30FE4B48-60D2-4143-A925-634A7A141113}"/>
    <cellStyle name="桁区切り 4 3 3 3 4" xfId="310" xr:uid="{8CA0371F-626F-47E8-B334-9D6AF0DFD18D}"/>
    <cellStyle name="桁区切り 4 3 3 4" xfId="74" xr:uid="{03B2ED8A-97EF-404B-BBEB-302D9BAF65E9}"/>
    <cellStyle name="桁区切り 4 3 3 4 2" xfId="392" xr:uid="{3CA95005-F121-4BE5-BDE2-0D05DBC56C26}"/>
    <cellStyle name="桁区切り 4 3 3 5" xfId="192" xr:uid="{4B0B52F4-AE21-4532-B901-997733D11E10}"/>
    <cellStyle name="桁区切り 4 3 3 5 2" xfId="510" xr:uid="{CF6FB219-4F55-441C-8880-83019C8269F5}"/>
    <cellStyle name="桁区切り 4 3 3 6" xfId="550" xr:uid="{DB351C01-C6B9-4E6A-86DB-37DF6659EDA1}"/>
    <cellStyle name="桁区切り 4 3 3 7" xfId="352" xr:uid="{D9372674-C9BE-45EC-BB50-1C54A86210EA}"/>
    <cellStyle name="桁区切り 4 3 3 8" xfId="232" xr:uid="{0BD45DCA-CD8C-4214-9F0B-7F432C83657A}"/>
    <cellStyle name="桁区切り 4 3 4" xfId="92" xr:uid="{62D9B1D8-B90D-415F-BD50-9ECE4CFC5D86}"/>
    <cellStyle name="桁区切り 4 3 4 2" xfId="568" xr:uid="{B9698B19-84F2-40AF-8478-DC2C2612B325}"/>
    <cellStyle name="桁区切り 4 3 4 3" xfId="410" xr:uid="{1E628E0F-CF02-4C4A-A737-5861915AAAF8}"/>
    <cellStyle name="桁区切り 4 3 4 4" xfId="250" xr:uid="{F48FABFB-4F70-44FF-B472-B38371809947}"/>
    <cellStyle name="桁区切り 4 3 5" xfId="132" xr:uid="{3A7947E0-D717-4A8A-8407-26DF2339E727}"/>
    <cellStyle name="桁区切り 4 3 5 2" xfId="608" xr:uid="{8A61882A-632F-4EEB-AB0E-9BF692BEC5D2}"/>
    <cellStyle name="桁区切り 4 3 5 3" xfId="450" xr:uid="{A2A6681E-2B68-48EC-BDCF-FE3EC815420B}"/>
    <cellStyle name="桁区切り 4 3 5 4" xfId="290" xr:uid="{CF061828-E1D4-427D-A9BE-B562BFBCBBC0}"/>
    <cellStyle name="桁区切り 4 3 6" xfId="54" xr:uid="{69FFB234-52DB-4E94-86EF-7EDC7F7A3142}"/>
    <cellStyle name="桁区切り 4 3 6 2" xfId="372" xr:uid="{2278500C-997C-480F-A8BA-0BDFCFFDC747}"/>
    <cellStyle name="桁区切り 4 3 7" xfId="172" xr:uid="{3BA7EE94-24E8-4EE1-B084-2C44560D49A3}"/>
    <cellStyle name="桁区切り 4 3 7 2" xfId="490" xr:uid="{817CF3D3-4002-4B70-9F15-DDA00C3163DC}"/>
    <cellStyle name="桁区切り 4 3 8" xfId="530" xr:uid="{E7E7C923-D8CD-4351-8C56-F4479AFB27E2}"/>
    <cellStyle name="桁区切り 4 3 9" xfId="332" xr:uid="{09078C80-7C79-41E8-A09B-C48CA80FDEA5}"/>
    <cellStyle name="桁区切り 4 4" xfId="16" xr:uid="{173D8D4E-C87F-4BD4-845F-51AE91C86F31}"/>
    <cellStyle name="桁区切り 4 4 2" xfId="38" xr:uid="{02DF61B2-D2B9-42D7-8136-718FF3D610C5}"/>
    <cellStyle name="桁区切り 4 4 2 2" xfId="116" xr:uid="{0B79D313-58A7-4EB6-BCF2-A3EE6EA0FCCB}"/>
    <cellStyle name="桁区切り 4 4 2 2 2" xfId="592" xr:uid="{5E322BFD-4E2A-41E4-837B-17E1E48EE27F}"/>
    <cellStyle name="桁区切り 4 4 2 2 3" xfId="434" xr:uid="{AE2AEBEB-2898-4F42-9CAE-83807D5C377A}"/>
    <cellStyle name="桁区切り 4 4 2 2 4" xfId="274" xr:uid="{18738723-C8BE-4A5C-B9F1-5F66A75FE6D2}"/>
    <cellStyle name="桁区切り 4 4 2 3" xfId="156" xr:uid="{E3AC7DAB-9FC9-4B5C-A283-8DA1C496A8AE}"/>
    <cellStyle name="桁区切り 4 4 2 3 2" xfId="632" xr:uid="{E9B40706-3134-4C6E-8595-F0AA8B51A935}"/>
    <cellStyle name="桁区切り 4 4 2 3 3" xfId="474" xr:uid="{EDC1F7C2-AFAA-44AF-8660-DB8AAF4B7E46}"/>
    <cellStyle name="桁区切り 4 4 2 3 4" xfId="314" xr:uid="{43687DFF-E60F-4EA4-9E1A-1D8DE9B26CD1}"/>
    <cellStyle name="桁区切り 4 4 2 4" xfId="78" xr:uid="{2984CC84-D71B-4376-9541-5FAFE68799D9}"/>
    <cellStyle name="桁区切り 4 4 2 4 2" xfId="396" xr:uid="{9057CF65-461C-4ADE-9D1D-917566738A23}"/>
    <cellStyle name="桁区切り 4 4 2 5" xfId="196" xr:uid="{F1DC94E2-1531-4D92-8561-09D20F885CEC}"/>
    <cellStyle name="桁区切り 4 4 2 5 2" xfId="514" xr:uid="{CA64C93A-E672-4DAA-8452-06FE5639265B}"/>
    <cellStyle name="桁区切り 4 4 2 6" xfId="554" xr:uid="{691FDC3C-0152-4ABC-A5BD-BD44C4B027D8}"/>
    <cellStyle name="桁区切り 4 4 2 7" xfId="356" xr:uid="{F46C3B35-171A-46E5-8F5E-E8E38586E40F}"/>
    <cellStyle name="桁区切り 4 4 2 8" xfId="236" xr:uid="{0B4ECB86-C911-49BC-86F6-8D888445ADC2}"/>
    <cellStyle name="桁区切り 4 4 3" xfId="96" xr:uid="{5782E90D-1DEC-4072-8A2B-7486B8EE2D11}"/>
    <cellStyle name="桁区切り 4 4 3 2" xfId="572" xr:uid="{C2D5686A-2789-4B6C-8A10-5CFD82DCB2C6}"/>
    <cellStyle name="桁区切り 4 4 3 3" xfId="414" xr:uid="{42BC1D99-5F81-4338-9D7C-8EB5950E5B16}"/>
    <cellStyle name="桁区切り 4 4 3 4" xfId="254" xr:uid="{FCB80F40-25BE-4713-B5CD-253116082F0F}"/>
    <cellStyle name="桁区切り 4 4 4" xfId="136" xr:uid="{60EADA41-DBA9-402E-B01F-ECB3F89100CA}"/>
    <cellStyle name="桁区切り 4 4 4 2" xfId="612" xr:uid="{EAEDFFE0-9A5B-4451-B972-1D85E9B9FEEC}"/>
    <cellStyle name="桁区切り 4 4 4 3" xfId="454" xr:uid="{66DE8A5B-8B2E-4581-8D09-AAA9C69D5609}"/>
    <cellStyle name="桁区切り 4 4 4 4" xfId="294" xr:uid="{F647DA37-69A0-448A-96CB-0FB77563A6A3}"/>
    <cellStyle name="桁区切り 4 4 5" xfId="58" xr:uid="{3FF0B1F5-DE15-471A-9805-031B4E84C9ED}"/>
    <cellStyle name="桁区切り 4 4 5 2" xfId="376" xr:uid="{53139D03-E27A-4A69-AEEC-87B6BFA3C7C3}"/>
    <cellStyle name="桁区切り 4 4 6" xfId="176" xr:uid="{6ADC85B7-DE66-44A3-9250-27EBA22CBDC9}"/>
    <cellStyle name="桁区切り 4 4 6 2" xfId="494" xr:uid="{ADE10CD2-329F-469B-95F7-9B3DF07B39A0}"/>
    <cellStyle name="桁区切り 4 4 7" xfId="534" xr:uid="{1004A698-20FA-45A4-B154-D197B9B31DBC}"/>
    <cellStyle name="桁区切り 4 4 8" xfId="336" xr:uid="{C4025E46-BDEF-436C-9EC4-DF17B7FD6843}"/>
    <cellStyle name="桁区切り 4 4 9" xfId="216" xr:uid="{A80EBF2A-04ED-4AB1-ACEA-0A36D6D2271D}"/>
    <cellStyle name="桁区切り 4 5" xfId="18" xr:uid="{E2C2BF3D-5D27-4CAD-ACDD-D3BAC0967BAD}"/>
    <cellStyle name="桁区切り 4 5 2" xfId="40" xr:uid="{30B69E7E-04CB-4A9C-843C-F7D442C2F0D7}"/>
    <cellStyle name="桁区切り 4 5 2 2" xfId="118" xr:uid="{2DD41B78-AE0F-489E-8D86-FE5417F2320D}"/>
    <cellStyle name="桁区切り 4 5 2 2 2" xfId="594" xr:uid="{4D1144A3-F8BE-46DD-9FE4-EB0B09576867}"/>
    <cellStyle name="桁区切り 4 5 2 2 3" xfId="436" xr:uid="{E043CEDC-AFB2-4D00-9AEA-D84FD547E2F8}"/>
    <cellStyle name="桁区切り 4 5 2 2 4" xfId="276" xr:uid="{904069D1-62E3-4EBD-90E8-F3F2E5FD1CC0}"/>
    <cellStyle name="桁区切り 4 5 2 3" xfId="158" xr:uid="{51261EB5-A299-4324-92CA-F0F06DB16E8E}"/>
    <cellStyle name="桁区切り 4 5 2 3 2" xfId="634" xr:uid="{B1D4C29E-2C46-4EF1-B88B-5F3D4E7AF85B}"/>
    <cellStyle name="桁区切り 4 5 2 3 3" xfId="476" xr:uid="{449BEA4E-8DE5-47BE-810A-5B383A366FD9}"/>
    <cellStyle name="桁区切り 4 5 2 3 4" xfId="316" xr:uid="{DB42D193-4218-4049-9191-7BB173FEDD36}"/>
    <cellStyle name="桁区切り 4 5 2 4" xfId="80" xr:uid="{D2A72E60-36C9-470D-B944-A145A7EDE6A4}"/>
    <cellStyle name="桁区切り 4 5 2 4 2" xfId="398" xr:uid="{F56F177B-A506-41AE-800D-6DC28D7537EC}"/>
    <cellStyle name="桁区切り 4 5 2 5" xfId="198" xr:uid="{25AF46C0-0470-48B4-A5FE-C854F58D4C79}"/>
    <cellStyle name="桁区切り 4 5 2 5 2" xfId="516" xr:uid="{8CAF9871-679E-43EC-8432-C90AF61DC35C}"/>
    <cellStyle name="桁区切り 4 5 2 6" xfId="556" xr:uid="{F0EC46C5-2AB9-4171-B3A4-7161224C6BD3}"/>
    <cellStyle name="桁区切り 4 5 2 7" xfId="358" xr:uid="{FFD1786B-7A7F-41C7-9123-6630C5B201AD}"/>
    <cellStyle name="桁区切り 4 5 2 8" xfId="238" xr:uid="{13AE0160-ABEE-47E7-9008-A273A3BB868A}"/>
    <cellStyle name="桁区切り 4 5 3" xfId="104" xr:uid="{2E2AC859-6A69-4132-A0F6-CC105F53892A}"/>
    <cellStyle name="桁区切り 4 5 3 2" xfId="580" xr:uid="{1F477FA9-670A-45D1-AF6D-D21AAEA16122}"/>
    <cellStyle name="桁区切り 4 5 3 3" xfId="422" xr:uid="{81D45881-C04A-4B28-B612-99E7DECBEDE1}"/>
    <cellStyle name="桁区切り 4 5 3 4" xfId="262" xr:uid="{B58A22B8-73B8-4FBF-9491-4AA67210F867}"/>
    <cellStyle name="桁区切り 4 5 4" xfId="138" xr:uid="{4AC54C1A-E584-4029-9419-98A392BDEC22}"/>
    <cellStyle name="桁区切り 4 5 4 2" xfId="614" xr:uid="{55566A9B-77FF-483D-BAF3-F67C41C6E828}"/>
    <cellStyle name="桁区切り 4 5 4 3" xfId="456" xr:uid="{F36546BC-5443-49BF-ABB2-EF80466D4C0F}"/>
    <cellStyle name="桁区切り 4 5 4 4" xfId="296" xr:uid="{1839DEAC-9FD5-4BAD-84C3-9050AD3719F0}"/>
    <cellStyle name="桁区切り 4 5 5" xfId="66" xr:uid="{3DE49FB5-D62F-4909-AFD1-217F4BA414DB}"/>
    <cellStyle name="桁区切り 4 5 5 2" xfId="384" xr:uid="{3EB4E74D-61D7-4F82-A6C8-589CA4F032B6}"/>
    <cellStyle name="桁区切り 4 5 6" xfId="178" xr:uid="{76CFA38C-B86E-494F-893D-86087F168891}"/>
    <cellStyle name="桁区切り 4 5 6 2" xfId="496" xr:uid="{E5C222FF-8A87-48AB-8923-9FA5758AC368}"/>
    <cellStyle name="桁区切り 4 5 7" xfId="542" xr:uid="{12843869-90F3-44EA-AFD0-15B5146CC505}"/>
    <cellStyle name="桁区切り 4 5 8" xfId="338" xr:uid="{F2C72855-4663-4C2F-AC0C-5743692E3D48}"/>
    <cellStyle name="桁区切り 4 5 9" xfId="224" xr:uid="{0F23DE9D-4C1C-4CFB-AC5F-5AB19C3DEE6B}"/>
    <cellStyle name="桁区切り 4 6" xfId="26" xr:uid="{0179DC09-6500-4048-A37F-DF37F00B70B2}"/>
    <cellStyle name="桁区切り 4 6 2" xfId="48" xr:uid="{ACE9406E-94F4-45AF-8849-3B5667CB522F}"/>
    <cellStyle name="桁区切り 4 6 2 2" xfId="166" xr:uid="{777F0C6F-F0E8-4DCD-B6DC-2B41A8983EFC}"/>
    <cellStyle name="桁区切り 4 6 2 2 2" xfId="642" xr:uid="{F496B9FC-399B-46DE-BBD8-27617E5A5AC2}"/>
    <cellStyle name="桁区切り 4 6 2 2 3" xfId="484" xr:uid="{972A5CB0-424A-4D35-B9B4-B2DD20CC204C}"/>
    <cellStyle name="桁区切り 4 6 2 2 4" xfId="324" xr:uid="{81415024-119E-4602-83B7-9AA3C76B3764}"/>
    <cellStyle name="桁区切り 4 6 2 3" xfId="108" xr:uid="{99E99A71-09A9-4EDB-94E6-15E35D820FFC}"/>
    <cellStyle name="桁区切り 4 6 2 3 2" xfId="426" xr:uid="{34BC24D7-30AB-42BA-B993-1C9403C731E8}"/>
    <cellStyle name="桁区切り 4 6 2 4" xfId="206" xr:uid="{B5492CB2-FA7A-449F-A425-6703EE5854B8}"/>
    <cellStyle name="桁区切り 4 6 2 4 2" xfId="524" xr:uid="{07EB616D-169A-4E9E-B776-92657795A223}"/>
    <cellStyle name="桁区切り 4 6 2 5" xfId="584" xr:uid="{67DE2653-4829-479B-8F3E-AC6DF4446AFD}"/>
    <cellStyle name="桁区切り 4 6 2 6" xfId="366" xr:uid="{B5964B12-C990-4F09-9A93-47680F4E2783}"/>
    <cellStyle name="桁区切り 4 6 2 7" xfId="266" xr:uid="{E9EA94D4-3F6B-4F75-8240-A5EE0D2091E8}"/>
    <cellStyle name="桁区切り 4 6 3" xfId="146" xr:uid="{A1EDCBC6-B4A6-4FDE-8418-5DFDE130045D}"/>
    <cellStyle name="桁区切り 4 6 3 2" xfId="622" xr:uid="{20F816C1-B754-41C5-918A-4631F4AB29D0}"/>
    <cellStyle name="桁区切り 4 6 3 3" xfId="464" xr:uid="{9771E3E9-A29C-4E43-ABB5-CC1C9ACEC3AE}"/>
    <cellStyle name="桁区切り 4 6 3 4" xfId="304" xr:uid="{74BD4104-282E-420A-AED4-3D7091BD161A}"/>
    <cellStyle name="桁区切り 4 6 4" xfId="70" xr:uid="{7E164EAB-5CD6-440E-8000-441452ECA546}"/>
    <cellStyle name="桁区切り 4 6 4 2" xfId="388" xr:uid="{7A813489-DF28-490B-BE90-59FAD0ED0127}"/>
    <cellStyle name="桁区切り 4 6 5" xfId="186" xr:uid="{C00EA6BE-BB83-4658-80CF-28D61CFE02C8}"/>
    <cellStyle name="桁区切り 4 6 5 2" xfId="504" xr:uid="{A0F27FD0-9D23-4925-AA83-4779BA96A989}"/>
    <cellStyle name="桁区切り 4 6 6" xfId="546" xr:uid="{796190E7-B10D-4E26-96CF-E2201F7E76C7}"/>
    <cellStyle name="桁区切り 4 6 7" xfId="346" xr:uid="{8883E2E4-BB47-40C1-A2B4-604137B5DB06}"/>
    <cellStyle name="桁区切り 4 6 8" xfId="228" xr:uid="{6DB1022E-7804-426D-A448-6C789414C082}"/>
    <cellStyle name="桁区切り 4 7" xfId="30" xr:uid="{845E0EFA-C58F-4D9B-B520-17B0453BF36A}"/>
    <cellStyle name="桁区切り 4 7 2" xfId="148" xr:uid="{CA152395-CD06-494A-8864-9E43D8027EEB}"/>
    <cellStyle name="桁区切り 4 7 2 2" xfId="624" xr:uid="{7E2B7F5F-538A-4349-B1C4-9F75240D5E8D}"/>
    <cellStyle name="桁区切り 4 7 2 3" xfId="466" xr:uid="{748B0C11-249B-4229-81DD-B17C132C2D29}"/>
    <cellStyle name="桁区切り 4 7 2 4" xfId="306" xr:uid="{72145D0E-9D83-4CA9-8E2F-664728999E9B}"/>
    <cellStyle name="桁区切り 4 7 3" xfId="88" xr:uid="{22030531-8BC4-4DDB-8CD5-D13CF07110AA}"/>
    <cellStyle name="桁区切り 4 7 3 2" xfId="406" xr:uid="{D5050238-1A3A-42EE-9B01-568D8547D736}"/>
    <cellStyle name="桁区切り 4 7 4" xfId="188" xr:uid="{E3821346-727F-4D13-B309-8EE9E78DD24C}"/>
    <cellStyle name="桁区切り 4 7 4 2" xfId="506" xr:uid="{12E94454-07C3-43C7-AF93-FF4E0F9DE8CA}"/>
    <cellStyle name="桁区切り 4 7 5" xfId="564" xr:uid="{CFA6EB3C-A5C1-4591-9DA5-793D2F9442EE}"/>
    <cellStyle name="桁区切り 4 7 6" xfId="348" xr:uid="{98312FC4-B7D3-4974-89FD-1419572DCE97}"/>
    <cellStyle name="桁区切り 4 7 7" xfId="246" xr:uid="{8BC4B246-8E5F-459E-BED5-CBB5E7D64496}"/>
    <cellStyle name="桁区切り 4 8" xfId="126" xr:uid="{5CFC023C-5686-47A3-8793-A52C912CD6DA}"/>
    <cellStyle name="桁区切り 4 8 2" xfId="444" xr:uid="{5A21892A-76F4-4776-A439-CBEAE0AEB533}"/>
    <cellStyle name="桁区切り 4 8 3" xfId="602" xr:uid="{C848C5DE-B300-4653-83A8-D742B96409BF}"/>
    <cellStyle name="桁区切り 4 8 4" xfId="328" xr:uid="{8202FB68-07DC-4F45-8415-9C58216F48C9}"/>
    <cellStyle name="桁区切り 4 8 5" xfId="284" xr:uid="{BCF13C50-EE1B-4329-9707-059C5EE6B36F}"/>
    <cellStyle name="桁区切り 4 9" xfId="128" xr:uid="{15BCB7B8-9412-4FD6-807E-97E67B832B24}"/>
    <cellStyle name="桁区切り 4 9 2" xfId="604" xr:uid="{279E8DE0-F34F-423B-AAAE-1B129BC34E62}"/>
    <cellStyle name="桁区切り 4 9 3" xfId="446" xr:uid="{9D3FD5BA-3483-4E85-92D1-0D619968C4FC}"/>
    <cellStyle name="桁区切り 4 9 4" xfId="286" xr:uid="{5434AACD-6A17-4A38-987B-9335367B473A}"/>
    <cellStyle name="桁区切り 5" xfId="27" xr:uid="{E316383D-1D76-4094-8CE7-403260886741}"/>
    <cellStyle name="標準" xfId="0" builtinId="0"/>
    <cellStyle name="標準 2" xfId="1" xr:uid="{00000000-0005-0000-0000-000004000000}"/>
    <cellStyle name="標準 2 2" xfId="4" xr:uid="{00000000-0005-0000-0000-000005000000}"/>
    <cellStyle name="標準 3" xfId="2" xr:uid="{00000000-0005-0000-0000-000006000000}"/>
    <cellStyle name="標準 4" xfId="7" xr:uid="{F3A3F7B1-C609-448F-90ED-18B6DB548727}"/>
    <cellStyle name="標準 4 10" xfId="49" xr:uid="{FED8BAF3-D78D-4BDB-BFA9-E61AB4BCDB26}"/>
    <cellStyle name="標準 4 10 2" xfId="367" xr:uid="{5F33096F-EBA0-4882-B77E-23163182C54E}"/>
    <cellStyle name="標準 4 11" xfId="167" xr:uid="{D0AA7DBD-F965-4000-B99B-99174562499A}"/>
    <cellStyle name="標準 4 11 2" xfId="485" xr:uid="{DD57CC10-9639-424F-AF75-FBD2BE0AF2E9}"/>
    <cellStyle name="標準 4 12" xfId="525" xr:uid="{898947B9-688F-4618-B49B-2FB6BFD07C50}"/>
    <cellStyle name="標準 4 13" xfId="325" xr:uid="{8F5A7066-D1E0-47DE-9430-76634BA97F08}"/>
    <cellStyle name="標準 4 14" xfId="643" xr:uid="{7325EF8D-82DB-4CFB-A690-DF3D31F32F1A}"/>
    <cellStyle name="標準 4 15" xfId="207" xr:uid="{27199CE3-6ECF-45F7-8C97-030CEE59C195}"/>
    <cellStyle name="標準 4 2" xfId="9" xr:uid="{2B1AF4FB-6200-4329-8E6A-B8400A7A3BEC}"/>
    <cellStyle name="標準 4 2 10" xfId="527" xr:uid="{B3671DFE-1944-4D38-888E-576F827161D2}"/>
    <cellStyle name="標準 4 2 11" xfId="329" xr:uid="{57BB0836-3BEA-4FB7-BBDC-1027708E72C5}"/>
    <cellStyle name="標準 4 2 12" xfId="209" xr:uid="{DCF85D06-3426-468F-AD0E-FC2F98B9BF0D}"/>
    <cellStyle name="標準 4 2 2" xfId="13" xr:uid="{1676FE35-D57F-4092-8D17-695484199237}"/>
    <cellStyle name="標準 4 2 2 10" xfId="213" xr:uid="{9977FAB8-7520-4DE5-A007-DA5AE94CBE46}"/>
    <cellStyle name="標準 4 2 2 2" xfId="23" xr:uid="{EA126D7D-CA88-4B60-8D48-4F5A26518678}"/>
    <cellStyle name="標準 4 2 2 2 2" xfId="45" xr:uid="{641CE794-0F53-4E89-B0BA-F617DADF903C}"/>
    <cellStyle name="標準 4 2 2 2 2 2" xfId="123" xr:uid="{F399A4FA-7EFF-4063-8A0B-391225ACA6D8}"/>
    <cellStyle name="標準 4 2 2 2 2 2 2" xfId="599" xr:uid="{E8E7C8FB-15BF-4D38-AD01-668B2FBDC3B9}"/>
    <cellStyle name="標準 4 2 2 2 2 2 3" xfId="441" xr:uid="{B96330A0-3E76-4391-A74F-0F6D76AEA6CC}"/>
    <cellStyle name="標準 4 2 2 2 2 2 4" xfId="281" xr:uid="{C76EB415-303E-4128-BCB6-0959463F1D6F}"/>
    <cellStyle name="標準 4 2 2 2 2 3" xfId="163" xr:uid="{B63F4178-BB7D-4360-A25D-D5C390901949}"/>
    <cellStyle name="標準 4 2 2 2 2 3 2" xfId="639" xr:uid="{A0272DF1-1FA6-40D7-87BC-5C114307AA6C}"/>
    <cellStyle name="標準 4 2 2 2 2 3 3" xfId="481" xr:uid="{5E2B281D-81A7-447F-B8F7-945797F0A5FB}"/>
    <cellStyle name="標準 4 2 2 2 2 3 4" xfId="321" xr:uid="{E2D046B3-9100-43AF-A987-E7BCF66AD394}"/>
    <cellStyle name="標準 4 2 2 2 2 4" xfId="85" xr:uid="{A5B461A3-78EA-4EBA-853D-92BC2E990E54}"/>
    <cellStyle name="標準 4 2 2 2 2 4 2" xfId="403" xr:uid="{704D9AAA-92DC-4495-A3B6-FF23F9DF7EAB}"/>
    <cellStyle name="標準 4 2 2 2 2 5" xfId="203" xr:uid="{5DA6EEAE-96EC-4BE8-9407-80773BCD3C22}"/>
    <cellStyle name="標準 4 2 2 2 2 5 2" xfId="521" xr:uid="{1C88EF50-2CB5-4D76-A35A-6A3455896585}"/>
    <cellStyle name="標準 4 2 2 2 2 6" xfId="561" xr:uid="{93B6076E-2E39-4737-BC16-03D75A6EFB93}"/>
    <cellStyle name="標準 4 2 2 2 2 7" xfId="363" xr:uid="{ECC4657F-1917-4380-864D-494D27AC5175}"/>
    <cellStyle name="標準 4 2 2 2 2 8" xfId="243" xr:uid="{7E2F5BE7-A7B9-4029-BF4B-6B4C2BD38D5C}"/>
    <cellStyle name="標準 4 2 2 2 3" xfId="101" xr:uid="{E57FE9A3-4C12-4D69-8DB2-661E56CFD1BA}"/>
    <cellStyle name="標準 4 2 2 2 3 2" xfId="577" xr:uid="{C8A0E982-AD20-484B-B987-C00F30F9CEEA}"/>
    <cellStyle name="標準 4 2 2 2 3 3" xfId="419" xr:uid="{94F3DD2E-508E-4FA8-BC2B-E5E428419506}"/>
    <cellStyle name="標準 4 2 2 2 3 4" xfId="259" xr:uid="{9D0CC167-AC5A-4E7C-9CE7-03F43CE5F761}"/>
    <cellStyle name="標準 4 2 2 2 4" xfId="143" xr:uid="{DE6E35A4-D858-4BCC-B47E-B8452BD1CA30}"/>
    <cellStyle name="標準 4 2 2 2 4 2" xfId="619" xr:uid="{4CF6F95C-BAF3-46DE-96BE-871D7B64530A}"/>
    <cellStyle name="標準 4 2 2 2 4 3" xfId="461" xr:uid="{F3F80E30-64F2-4E7B-822B-AF786D663DC0}"/>
    <cellStyle name="標準 4 2 2 2 4 4" xfId="301" xr:uid="{CEAEED48-1CB3-41DC-8E01-D1F1DF6C3B0A}"/>
    <cellStyle name="標準 4 2 2 2 5" xfId="63" xr:uid="{FF03C28C-4154-41CB-AF32-916AD11943F0}"/>
    <cellStyle name="標準 4 2 2 2 5 2" xfId="381" xr:uid="{14D3745E-B8B2-4549-A0F7-A0D75B8FF9DA}"/>
    <cellStyle name="標準 4 2 2 2 6" xfId="183" xr:uid="{60514996-4295-45C3-8B0C-10DCB57D3667}"/>
    <cellStyle name="標準 4 2 2 2 6 2" xfId="501" xr:uid="{7C57D2A2-D895-4DB7-954C-EF39F7730DE4}"/>
    <cellStyle name="標準 4 2 2 2 7" xfId="539" xr:uid="{71F78BBC-8E7B-4167-B117-6CA86860C166}"/>
    <cellStyle name="標準 4 2 2 2 8" xfId="343" xr:uid="{1EE0B84C-C1C2-4D5F-B7DE-0F4701020F34}"/>
    <cellStyle name="標準 4 2 2 2 9" xfId="221" xr:uid="{FC4AD51F-E143-4D09-8991-595044C2BEB4}"/>
    <cellStyle name="標準 4 2 2 3" xfId="35" xr:uid="{49EA8F97-8ED3-460E-BE9C-9AEBE50FE73C}"/>
    <cellStyle name="標準 4 2 2 3 2" xfId="113" xr:uid="{23A66254-542B-404F-B7C2-70F248C0C992}"/>
    <cellStyle name="標準 4 2 2 3 2 2" xfId="589" xr:uid="{B7BEBE60-3A7F-43AB-A72D-DD8FBDF1FAB1}"/>
    <cellStyle name="標準 4 2 2 3 2 3" xfId="431" xr:uid="{A291332A-D75C-48A1-9B6A-13BA5F33DA5D}"/>
    <cellStyle name="標準 4 2 2 3 2 4" xfId="271" xr:uid="{4E7D48C1-581A-42B8-AF83-7F9FF6C2B6BE}"/>
    <cellStyle name="標準 4 2 2 3 3" xfId="153" xr:uid="{7A12FF3C-D65A-4022-B1F8-AC528EE0DB50}"/>
    <cellStyle name="標準 4 2 2 3 3 2" xfId="629" xr:uid="{24C8BEF1-DF86-41EA-86FC-F9A9632E9A17}"/>
    <cellStyle name="標準 4 2 2 3 3 3" xfId="471" xr:uid="{1609AC12-41F7-4E75-91F1-0CEE511FB6DA}"/>
    <cellStyle name="標準 4 2 2 3 3 4" xfId="311" xr:uid="{DF633D47-1123-43B6-B50F-3EBBF4C6AB9C}"/>
    <cellStyle name="標準 4 2 2 3 4" xfId="75" xr:uid="{881BE263-C559-4140-A72C-00F52F6E4647}"/>
    <cellStyle name="標準 4 2 2 3 4 2" xfId="393" xr:uid="{15D6C907-825F-4C36-A11C-CB856FBD221F}"/>
    <cellStyle name="標準 4 2 2 3 5" xfId="193" xr:uid="{2113DA32-757C-461C-920D-A5DC58535DD1}"/>
    <cellStyle name="標準 4 2 2 3 5 2" xfId="511" xr:uid="{F8D8025D-4CCA-4434-A545-0D118C50825B}"/>
    <cellStyle name="標準 4 2 2 3 6" xfId="551" xr:uid="{B46F22A3-9BFA-4AF5-846A-95725624429A}"/>
    <cellStyle name="標準 4 2 2 3 7" xfId="353" xr:uid="{033E5891-5056-45EA-9BA0-F11C84B94A1E}"/>
    <cellStyle name="標準 4 2 2 3 8" xfId="233" xr:uid="{429571D5-DB23-4FC1-9B4E-D812DACDC1A1}"/>
    <cellStyle name="標準 4 2 2 4" xfId="93" xr:uid="{EC0F4AA4-0429-4D77-AE11-830B43B41BAC}"/>
    <cellStyle name="標準 4 2 2 4 2" xfId="569" xr:uid="{8E445DF3-DAB4-4FE8-A91B-A18ED6E5D030}"/>
    <cellStyle name="標準 4 2 2 4 3" xfId="411" xr:uid="{F37C67E4-052C-4435-9B4B-DF049C2D60D3}"/>
    <cellStyle name="標準 4 2 2 4 4" xfId="251" xr:uid="{74E8C737-CA3D-4C1A-A3C8-6DBE7D47367A}"/>
    <cellStyle name="標準 4 2 2 5" xfId="133" xr:uid="{C3FAECD5-854B-4D47-A6C8-1CE17CE20A09}"/>
    <cellStyle name="標準 4 2 2 5 2" xfId="609" xr:uid="{CA1F1E84-EEB2-477B-A267-0DC59F29105F}"/>
    <cellStyle name="標準 4 2 2 5 3" xfId="451" xr:uid="{79EF4944-A4CA-4F2A-9461-B8E6F385EA94}"/>
    <cellStyle name="標準 4 2 2 5 4" xfId="291" xr:uid="{F992B551-E7D7-4C3C-B27D-900FA34E2A69}"/>
    <cellStyle name="標準 4 2 2 6" xfId="55" xr:uid="{16E687C9-EEC5-4F73-BE61-43F89BE32962}"/>
    <cellStyle name="標準 4 2 2 6 2" xfId="373" xr:uid="{5CFA65C8-6746-4E7B-8067-B256E7C1AC71}"/>
    <cellStyle name="標準 4 2 2 7" xfId="173" xr:uid="{3EDC6B8C-5C6C-4D4C-AC39-D0898F0ADC78}"/>
    <cellStyle name="標準 4 2 2 7 2" xfId="491" xr:uid="{1A1C7FD5-59D0-4A7C-96F3-F8CCFA31627A}"/>
    <cellStyle name="標準 4 2 2 8" xfId="531" xr:uid="{DC490923-3F1C-4821-9F25-DC178425EE63}"/>
    <cellStyle name="標準 4 2 2 9" xfId="333" xr:uid="{56D1CDE9-7B4C-4388-B84F-C2EFB78DAE84}"/>
    <cellStyle name="標準 4 2 3" xfId="19" xr:uid="{528CC3B5-9EC3-46B7-A04F-C8013C55DCF1}"/>
    <cellStyle name="標準 4 2 3 2" xfId="41" xr:uid="{D0A6A44E-9BB4-42B0-856C-3E334E6A1BFF}"/>
    <cellStyle name="標準 4 2 3 2 2" xfId="119" xr:uid="{7A489537-9FC6-477D-B6D4-002C5E977627}"/>
    <cellStyle name="標準 4 2 3 2 2 2" xfId="595" xr:uid="{7DC5106C-B1F0-4BE9-9169-153E1C3B1FD2}"/>
    <cellStyle name="標準 4 2 3 2 2 3" xfId="437" xr:uid="{8BFBF903-EE0C-4E5A-A7B4-70434595C845}"/>
    <cellStyle name="標準 4 2 3 2 2 4" xfId="277" xr:uid="{EB30D14E-99AD-4535-9A1F-FEEC745AF5A4}"/>
    <cellStyle name="標準 4 2 3 2 3" xfId="159" xr:uid="{296EED58-3343-4E08-99C5-198DF1265AF5}"/>
    <cellStyle name="標準 4 2 3 2 3 2" xfId="635" xr:uid="{B1D810F8-B576-4799-98D4-A9908DB3353E}"/>
    <cellStyle name="標準 4 2 3 2 3 3" xfId="477" xr:uid="{10972B7C-0793-4A62-B91A-A6886CDBEE5E}"/>
    <cellStyle name="標準 4 2 3 2 3 4" xfId="317" xr:uid="{8569C481-5D78-44AF-89B5-BD2875F8D015}"/>
    <cellStyle name="標準 4 2 3 2 4" xfId="81" xr:uid="{68795F9A-2BEF-4840-938B-965F44D9EF96}"/>
    <cellStyle name="標準 4 2 3 2 4 2" xfId="399" xr:uid="{38138AD4-B752-4059-B50B-77283C88318F}"/>
    <cellStyle name="標準 4 2 3 2 5" xfId="199" xr:uid="{CC00B68D-0629-461C-BBA7-BECC9DBBA050}"/>
    <cellStyle name="標準 4 2 3 2 5 2" xfId="517" xr:uid="{27ABAA66-B8A1-46AD-9650-9DC7E92D1788}"/>
    <cellStyle name="標準 4 2 3 2 6" xfId="557" xr:uid="{3A01BCC3-5049-4F97-97C5-C8718B5CC203}"/>
    <cellStyle name="標準 4 2 3 2 7" xfId="359" xr:uid="{6B398E9F-F344-4881-810F-0BCDE81B1BE8}"/>
    <cellStyle name="標準 4 2 3 2 8" xfId="239" xr:uid="{767C4A3A-57E0-4EB2-8EEA-5ADF40084578}"/>
    <cellStyle name="標準 4 2 3 3" xfId="97" xr:uid="{BDA07496-6E9B-417D-B9A2-BAA45654AFD9}"/>
    <cellStyle name="標準 4 2 3 3 2" xfId="573" xr:uid="{21DA3ECE-37E0-4E40-902D-213955F0AE67}"/>
    <cellStyle name="標準 4 2 3 3 3" xfId="415" xr:uid="{261727A9-5ACC-4E6F-B5BD-7A97E5E5E8CD}"/>
    <cellStyle name="標準 4 2 3 3 4" xfId="255" xr:uid="{C9B8B9B7-E442-4BA8-9261-1F7FA781943F}"/>
    <cellStyle name="標準 4 2 3 4" xfId="139" xr:uid="{08DBB1DC-A5A5-4017-A0EA-0685EFC92712}"/>
    <cellStyle name="標準 4 2 3 4 2" xfId="615" xr:uid="{F86A3012-8BD5-4DCD-81CA-6C5997CBF91D}"/>
    <cellStyle name="標準 4 2 3 4 3" xfId="457" xr:uid="{FBB59881-CC6D-4540-B1EE-20F89F2CAC65}"/>
    <cellStyle name="標準 4 2 3 4 4" xfId="297" xr:uid="{99E55E07-2DE6-492E-852C-B82BCAD1FCE9}"/>
    <cellStyle name="標準 4 2 3 5" xfId="59" xr:uid="{D32CA561-D65E-49AA-972A-468D4A191D1B}"/>
    <cellStyle name="標準 4 2 3 5 2" xfId="377" xr:uid="{363C2124-11F0-462F-8D1C-83F107413FCA}"/>
    <cellStyle name="標準 4 2 3 6" xfId="179" xr:uid="{618F7CE1-A305-4E70-8255-35F37718B177}"/>
    <cellStyle name="標準 4 2 3 6 2" xfId="497" xr:uid="{661840C2-4AE3-4AF6-AA60-2C54CECB8A5E}"/>
    <cellStyle name="標準 4 2 3 7" xfId="535" xr:uid="{8006FAFB-AE07-452D-80BA-F322567A8307}"/>
    <cellStyle name="標準 4 2 3 8" xfId="339" xr:uid="{2CFF7074-30B2-4ACC-A3FE-3067ED2129F7}"/>
    <cellStyle name="標準 4 2 3 9" xfId="217" xr:uid="{78211BE0-1DB8-47B3-8540-F022C1D23D96}"/>
    <cellStyle name="標準 4 2 4" xfId="31" xr:uid="{888D9109-82D3-435E-9FBD-4641DEC33C76}"/>
    <cellStyle name="標準 4 2 4 2" xfId="105" xr:uid="{B8825DC8-5FAF-4BC1-8A6A-0F7458409550}"/>
    <cellStyle name="標準 4 2 4 2 2" xfId="581" xr:uid="{6908174F-A080-4899-A842-3E8B974738F1}"/>
    <cellStyle name="標準 4 2 4 2 3" xfId="423" xr:uid="{BA009973-DB7C-45EF-9BD7-8011401F9924}"/>
    <cellStyle name="標準 4 2 4 2 4" xfId="263" xr:uid="{AE4EBD23-AB28-4A6E-A512-5CE95D373C3E}"/>
    <cellStyle name="標準 4 2 4 3" xfId="149" xr:uid="{25D2DA1B-CA6C-4697-B94C-18F10468C3D8}"/>
    <cellStyle name="標準 4 2 4 3 2" xfId="625" xr:uid="{88600CE4-B9EF-4CC7-A421-A28CA132A2A7}"/>
    <cellStyle name="標準 4 2 4 3 3" xfId="467" xr:uid="{40106FA8-6A9A-46CB-B7DD-A379C3F2BF29}"/>
    <cellStyle name="標準 4 2 4 3 4" xfId="307" xr:uid="{ACB79428-76F8-41EB-908D-1DB9A7D485B7}"/>
    <cellStyle name="標準 4 2 4 4" xfId="67" xr:uid="{DB9C2E8C-3CF7-4E11-982C-BBF6E66D0D6E}"/>
    <cellStyle name="標準 4 2 4 4 2" xfId="385" xr:uid="{9F1C2E2D-B577-4BDE-A7A2-D09B58977B80}"/>
    <cellStyle name="標準 4 2 4 5" xfId="189" xr:uid="{21F75847-F207-4A5A-B4F9-42232ADB8BD1}"/>
    <cellStyle name="標準 4 2 4 5 2" xfId="507" xr:uid="{7549D0BA-C81F-4FC1-90CE-CFEDC96A6C5D}"/>
    <cellStyle name="標準 4 2 4 6" xfId="543" xr:uid="{53043B65-2571-4999-858D-6A093DFED439}"/>
    <cellStyle name="標準 4 2 4 7" xfId="349" xr:uid="{A116928F-4988-428F-AC6B-4AA65E0E938F}"/>
    <cellStyle name="標準 4 2 4 8" xfId="225" xr:uid="{54BDA56A-B383-4D2F-9D0B-68D8DD895418}"/>
    <cellStyle name="標準 4 2 5" xfId="71" xr:uid="{9BDEE337-898D-4EAE-9F25-2D9B6074C897}"/>
    <cellStyle name="標準 4 2 5 2" xfId="109" xr:uid="{625195C2-3D97-490E-8E38-F945B320ED56}"/>
    <cellStyle name="標準 4 2 5 2 2" xfId="585" xr:uid="{CF9EAC4F-037A-4181-A28D-B3E1E84E4F4E}"/>
    <cellStyle name="標準 4 2 5 2 3" xfId="427" xr:uid="{3AEC1284-454B-451F-A6A8-8A05DDE3D4DC}"/>
    <cellStyle name="標準 4 2 5 2 4" xfId="267" xr:uid="{59048926-E28F-48FD-B3F0-1CDD6754D307}"/>
    <cellStyle name="標準 4 2 5 3" xfId="547" xr:uid="{A61E9F89-AB88-4738-9ED7-EB6152330D14}"/>
    <cellStyle name="標準 4 2 5 4" xfId="389" xr:uid="{350A1CBF-1F41-4001-8DA0-19689ED6CD8F}"/>
    <cellStyle name="標準 4 2 5 5" xfId="229" xr:uid="{AC903C04-A9A3-4A7E-9C66-68F2F371461D}"/>
    <cellStyle name="標準 4 2 6" xfId="89" xr:uid="{F64905C3-432F-4CE7-9118-1D9F542DA38F}"/>
    <cellStyle name="標準 4 2 6 2" xfId="565" xr:uid="{52232F8B-E2D9-4BDF-B898-6E599A187CDC}"/>
    <cellStyle name="標準 4 2 6 3" xfId="407" xr:uid="{57202EB2-AFE4-4FAF-BDBA-E3080E078418}"/>
    <cellStyle name="標準 4 2 6 4" xfId="247" xr:uid="{D74ADCCE-90BD-4201-9F9F-A40F15596312}"/>
    <cellStyle name="標準 4 2 7" xfId="129" xr:uid="{7E42CCCC-1F72-42D6-AD0D-DA37E741EDBB}"/>
    <cellStyle name="標準 4 2 7 2" xfId="605" xr:uid="{856F6A36-3EB8-4C75-BBE0-C67F6F800D0C}"/>
    <cellStyle name="標準 4 2 7 3" xfId="447" xr:uid="{2383490E-5E3E-45ED-88F9-332568A2C3A6}"/>
    <cellStyle name="標準 4 2 7 4" xfId="287" xr:uid="{C8BA29A3-2598-4708-9A37-31819577E368}"/>
    <cellStyle name="標準 4 2 8" xfId="51" xr:uid="{655B0693-EB6F-4BE5-8389-F797106878AF}"/>
    <cellStyle name="標準 4 2 8 2" xfId="369" xr:uid="{14616463-82F3-44CC-8C4B-4E8142D9A6D8}"/>
    <cellStyle name="標準 4 2 9" xfId="169" xr:uid="{243A2042-7C7D-493C-9D14-695A5B387389}"/>
    <cellStyle name="標準 4 2 9 2" xfId="487" xr:uid="{C16E5F6E-AEB9-4DE6-B96C-4FC8A782AAAE}"/>
    <cellStyle name="標準 4 3" xfId="11" xr:uid="{8A7426A4-10B9-43DD-B611-7128317E94C8}"/>
    <cellStyle name="標準 4 3 10" xfId="211" xr:uid="{FA91EFC4-6AB2-4D41-9127-3EE52ED0502D}"/>
    <cellStyle name="標準 4 3 2" xfId="21" xr:uid="{594C0A3C-EF2C-4740-87B3-850773A4D5E8}"/>
    <cellStyle name="標準 4 3 2 2" xfId="43" xr:uid="{FB91FD56-63AF-4547-97B4-C0273AE220CF}"/>
    <cellStyle name="標準 4 3 2 2 2" xfId="121" xr:uid="{9549B256-50A7-4383-83B2-30C3519D9CBA}"/>
    <cellStyle name="標準 4 3 2 2 2 2" xfId="597" xr:uid="{9C5F6344-6119-4F68-9835-39F67ED4823C}"/>
    <cellStyle name="標準 4 3 2 2 2 3" xfId="439" xr:uid="{758CB57F-B3A7-4547-ADCB-481021631309}"/>
    <cellStyle name="標準 4 3 2 2 2 4" xfId="279" xr:uid="{84463873-69E6-4B44-8F92-553E6811B040}"/>
    <cellStyle name="標準 4 3 2 2 3" xfId="161" xr:uid="{C762133E-14B7-43A7-902D-5EC703EA01C3}"/>
    <cellStyle name="標準 4 3 2 2 3 2" xfId="637" xr:uid="{E9C04ACF-B7E3-4B34-8AEE-89C44CE951BC}"/>
    <cellStyle name="標準 4 3 2 2 3 3" xfId="479" xr:uid="{2E08386E-9C15-44DD-AF0C-D55BE210A614}"/>
    <cellStyle name="標準 4 3 2 2 3 4" xfId="319" xr:uid="{C08FF00E-CACD-4C2D-98F4-363B29435A21}"/>
    <cellStyle name="標準 4 3 2 2 4" xfId="83" xr:uid="{076D6E18-89AB-465F-B491-03169F4C6BD5}"/>
    <cellStyle name="標準 4 3 2 2 4 2" xfId="401" xr:uid="{BFA0710C-2BCD-4442-94E2-CED9496C94A7}"/>
    <cellStyle name="標準 4 3 2 2 5" xfId="201" xr:uid="{0460FE29-C25A-4EAF-8C5D-A3D81743907B}"/>
    <cellStyle name="標準 4 3 2 2 5 2" xfId="519" xr:uid="{AA123EF9-1263-4BFC-A6A5-F9E1B8969F33}"/>
    <cellStyle name="標準 4 3 2 2 6" xfId="559" xr:uid="{7464F295-53AF-484F-A5F0-91AF36B2DE1D}"/>
    <cellStyle name="標準 4 3 2 2 7" xfId="361" xr:uid="{198F9688-583C-4F37-9A22-B5D6AF2495AD}"/>
    <cellStyle name="標準 4 3 2 2 8" xfId="241" xr:uid="{E014AEED-10D5-47BF-9ACE-23E888E48F8C}"/>
    <cellStyle name="標準 4 3 2 3" xfId="99" xr:uid="{41680D6F-4D8E-45BC-8801-6AC47C38BFDB}"/>
    <cellStyle name="標準 4 3 2 3 2" xfId="575" xr:uid="{4036C155-F36C-4BBD-9075-B6F216317A79}"/>
    <cellStyle name="標準 4 3 2 3 3" xfId="417" xr:uid="{4124B50E-EAB5-4EBE-98D7-B74142A2DF11}"/>
    <cellStyle name="標準 4 3 2 3 4" xfId="257" xr:uid="{39F469F1-43AB-4E48-B12D-7312F5341B63}"/>
    <cellStyle name="標準 4 3 2 4" xfId="141" xr:uid="{16241ED2-59CA-4F19-9947-2AF3FB4AD553}"/>
    <cellStyle name="標準 4 3 2 4 2" xfId="617" xr:uid="{FAB8BD76-0B1B-4F82-B6FF-73A97693D8E8}"/>
    <cellStyle name="標準 4 3 2 4 3" xfId="459" xr:uid="{DBFC00EE-9495-4309-8840-0C033D5E5EA3}"/>
    <cellStyle name="標準 4 3 2 4 4" xfId="299" xr:uid="{49954E2E-4A2B-4B93-963F-6C36D1E81FBF}"/>
    <cellStyle name="標準 4 3 2 5" xfId="61" xr:uid="{35B1DF1E-B010-435B-8720-5117BF43812E}"/>
    <cellStyle name="標準 4 3 2 5 2" xfId="379" xr:uid="{765E4674-F750-4EE9-8C5A-25F5400E0E8C}"/>
    <cellStyle name="標準 4 3 2 6" xfId="181" xr:uid="{F9E81841-1ACF-40BF-88F4-C480756BEE42}"/>
    <cellStyle name="標準 4 3 2 6 2" xfId="499" xr:uid="{CE4CE95E-F210-4E74-AB3C-3D92C692B223}"/>
    <cellStyle name="標準 4 3 2 7" xfId="537" xr:uid="{790773C6-F930-49C2-A61D-88D828495DA2}"/>
    <cellStyle name="標準 4 3 2 8" xfId="341" xr:uid="{9C5ED305-1D27-4308-9CB3-E993024B5C00}"/>
    <cellStyle name="標準 4 3 2 9" xfId="219" xr:uid="{DF0C618A-EB29-4577-A6E2-9D03A8189B87}"/>
    <cellStyle name="標準 4 3 3" xfId="33" xr:uid="{6DC0B429-D803-4776-A59F-77DEC23ACB3B}"/>
    <cellStyle name="標準 4 3 3 2" xfId="111" xr:uid="{5D7CFDF8-B9E2-46F3-99DC-F456F6B709E3}"/>
    <cellStyle name="標準 4 3 3 2 2" xfId="587" xr:uid="{EA60BE27-59A5-4B41-87B1-112F8269A11C}"/>
    <cellStyle name="標準 4 3 3 2 3" xfId="429" xr:uid="{CE246A3C-E6CC-4168-B5FA-5F41EBDA7147}"/>
    <cellStyle name="標準 4 3 3 2 4" xfId="269" xr:uid="{330FB92B-8E52-46AB-8BAD-F17FB5E27CBA}"/>
    <cellStyle name="標準 4 3 3 3" xfId="151" xr:uid="{B5454B39-8D5F-4126-A1FC-4440776F70B4}"/>
    <cellStyle name="標準 4 3 3 3 2" xfId="627" xr:uid="{B2B60FEB-30D0-42EE-9E46-847F406CB5D4}"/>
    <cellStyle name="標準 4 3 3 3 3" xfId="469" xr:uid="{3D06C516-FEDA-4DD6-95F3-C8F029AB2862}"/>
    <cellStyle name="標準 4 3 3 3 4" xfId="309" xr:uid="{092808D2-C7EE-4CA3-84DC-41DC3437B286}"/>
    <cellStyle name="標準 4 3 3 4" xfId="73" xr:uid="{D2AA4344-8861-4150-9CB3-337BDA534FEA}"/>
    <cellStyle name="標準 4 3 3 4 2" xfId="391" xr:uid="{6D8BADDE-4991-4E25-B6D9-54B68BD1EA1B}"/>
    <cellStyle name="標準 4 3 3 5" xfId="191" xr:uid="{BA54581D-2FBB-4045-8787-3D9EF1ED93B7}"/>
    <cellStyle name="標準 4 3 3 5 2" xfId="509" xr:uid="{E3C5C164-102A-4BAD-BCB0-CFBA6909B4AD}"/>
    <cellStyle name="標準 4 3 3 6" xfId="549" xr:uid="{BC386603-00C0-40E4-A4F3-DC77AEEFAF67}"/>
    <cellStyle name="標準 4 3 3 7" xfId="351" xr:uid="{8F2A7E11-00B2-4595-93AB-99AFB75535B3}"/>
    <cellStyle name="標準 4 3 3 8" xfId="231" xr:uid="{DAFBE5B0-548D-48C8-A2F3-4F91152726ED}"/>
    <cellStyle name="標準 4 3 4" xfId="91" xr:uid="{B467D17D-A991-44D2-85FB-88A7BA2C95FE}"/>
    <cellStyle name="標準 4 3 4 2" xfId="567" xr:uid="{B7D20BF1-0269-4DC7-886A-75A1468D60CC}"/>
    <cellStyle name="標準 4 3 4 3" xfId="409" xr:uid="{2F2BF6CF-EA96-4789-AA26-A54D1832FE7A}"/>
    <cellStyle name="標準 4 3 4 4" xfId="249" xr:uid="{F0C2D00C-72D9-4102-A16F-3FC84C4F62F7}"/>
    <cellStyle name="標準 4 3 5" xfId="131" xr:uid="{D0F525F8-C7B8-4420-9483-CA6366604963}"/>
    <cellStyle name="標準 4 3 5 2" xfId="607" xr:uid="{814200C4-D608-4174-B867-D204FAC54CD9}"/>
    <cellStyle name="標準 4 3 5 3" xfId="449" xr:uid="{92EE9393-946A-4FF5-9BDA-029C8B03C0FA}"/>
    <cellStyle name="標準 4 3 5 4" xfId="289" xr:uid="{B75FBDBD-6CA0-4553-80B2-4EB0388A0FB3}"/>
    <cellStyle name="標準 4 3 6" xfId="53" xr:uid="{718C7BAC-1D33-4315-AAF3-4BC3C082B1AE}"/>
    <cellStyle name="標準 4 3 6 2" xfId="371" xr:uid="{FD1370F3-D2E1-4173-B545-DA9773424C4A}"/>
    <cellStyle name="標準 4 3 7" xfId="171" xr:uid="{5BE7316B-85E3-4218-B9B3-FBBE9ADF0505}"/>
    <cellStyle name="標準 4 3 7 2" xfId="489" xr:uid="{50FE189D-5409-43AE-9C29-769D76D4A3EE}"/>
    <cellStyle name="標準 4 3 8" xfId="529" xr:uid="{1768D9AB-BF82-4009-8D4A-4B3041EA859A}"/>
    <cellStyle name="標準 4 3 9" xfId="331" xr:uid="{329C39AF-1678-474B-B271-2D17944E16BC}"/>
    <cellStyle name="標準 4 4" xfId="15" xr:uid="{B2602E8F-2821-451A-9E44-475D87163174}"/>
    <cellStyle name="標準 4 4 2" xfId="37" xr:uid="{EBEF86C9-41D6-4D95-8FC0-F2BB38FDCE8D}"/>
    <cellStyle name="標準 4 4 2 2" xfId="115" xr:uid="{617D916D-649E-406B-96AC-D3C85226D256}"/>
    <cellStyle name="標準 4 4 2 2 2" xfId="591" xr:uid="{21C0CA69-5454-4676-A8F2-1A0EDFC42E75}"/>
    <cellStyle name="標準 4 4 2 2 3" xfId="433" xr:uid="{29B8BFE1-37AD-4CBC-B6B6-C4094222DD6D}"/>
    <cellStyle name="標準 4 4 2 2 4" xfId="273" xr:uid="{3F6DD69C-CA85-416D-B487-9B966B1257C8}"/>
    <cellStyle name="標準 4 4 2 3" xfId="155" xr:uid="{1B8B77B7-F19D-43D0-8E0B-019AB86FC7B5}"/>
    <cellStyle name="標準 4 4 2 3 2" xfId="631" xr:uid="{539A9BD1-C530-4D17-850D-E7E2E930CA90}"/>
    <cellStyle name="標準 4 4 2 3 3" xfId="473" xr:uid="{BEFEF5D5-E6E1-4F90-9E87-E78DCDA9EDA4}"/>
    <cellStyle name="標準 4 4 2 3 4" xfId="313" xr:uid="{3D0B9A79-691E-4417-AE31-A3E767C707F5}"/>
    <cellStyle name="標準 4 4 2 4" xfId="77" xr:uid="{38389E2D-3074-416C-83C5-13C1F651EA50}"/>
    <cellStyle name="標準 4 4 2 4 2" xfId="395" xr:uid="{5D29E620-4FAD-4CA4-BB5B-FA4E8074BC0E}"/>
    <cellStyle name="標準 4 4 2 5" xfId="195" xr:uid="{173664A8-7F9F-493C-88C8-AC9E19F82909}"/>
    <cellStyle name="標準 4 4 2 5 2" xfId="513" xr:uid="{60963535-8BD6-46DB-94A8-E763B573E47B}"/>
    <cellStyle name="標準 4 4 2 6" xfId="553" xr:uid="{6136B1F0-4350-46D9-8B39-B9C80CE8BF5C}"/>
    <cellStyle name="標準 4 4 2 7" xfId="355" xr:uid="{39AC708A-8D45-4C7D-8E76-E38E264509F6}"/>
    <cellStyle name="標準 4 4 2 8" xfId="235" xr:uid="{26A19AD9-8937-40F7-8429-B0B0AB6D9A3E}"/>
    <cellStyle name="標準 4 4 3" xfId="95" xr:uid="{9DFDAEC3-420D-4805-A2DF-27C759007A94}"/>
    <cellStyle name="標準 4 4 3 2" xfId="571" xr:uid="{32C852F1-F611-4D7E-8767-3C007129FD0E}"/>
    <cellStyle name="標準 4 4 3 3" xfId="413" xr:uid="{7296973D-136D-485C-B31C-72CCCC259838}"/>
    <cellStyle name="標準 4 4 3 4" xfId="253" xr:uid="{1B87F915-D6B9-4380-958E-7382D0BE1AAE}"/>
    <cellStyle name="標準 4 4 4" xfId="135" xr:uid="{992372B2-0DF9-40B9-AF46-CE73C9A24CFE}"/>
    <cellStyle name="標準 4 4 4 2" xfId="611" xr:uid="{4879BEA7-D0BA-45F9-8E79-F97C29763CEE}"/>
    <cellStyle name="標準 4 4 4 3" xfId="453" xr:uid="{0D00287F-C838-4CDC-8359-78EA40B7B063}"/>
    <cellStyle name="標準 4 4 4 4" xfId="293" xr:uid="{B1442642-F669-463B-8F37-6694B9B398B9}"/>
    <cellStyle name="標準 4 4 5" xfId="57" xr:uid="{C58A230B-7205-4FE1-8E11-F24E26757EBE}"/>
    <cellStyle name="標準 4 4 5 2" xfId="375" xr:uid="{B30DF1B2-852D-4116-A722-42142DA9E538}"/>
    <cellStyle name="標準 4 4 6" xfId="175" xr:uid="{469263C4-6350-41E0-8EA3-CEE183397CF8}"/>
    <cellStyle name="標準 4 4 6 2" xfId="493" xr:uid="{3F923261-127F-4E6E-8FA1-58EFEA61202A}"/>
    <cellStyle name="標準 4 4 7" xfId="533" xr:uid="{31FBF1B8-B3CC-45BC-87AB-4CACF506B278}"/>
    <cellStyle name="標準 4 4 8" xfId="335" xr:uid="{9EE22BD9-E6EA-46A2-BB58-A4D5585BD00D}"/>
    <cellStyle name="標準 4 4 9" xfId="215" xr:uid="{A6576BE1-4CF5-448A-866E-F84FBB35F5FF}"/>
    <cellStyle name="標準 4 5" xfId="17" xr:uid="{C1D9E85D-B93A-4BAB-A846-589CC3B0AF40}"/>
    <cellStyle name="標準 4 5 2" xfId="39" xr:uid="{D5A5F7A0-BB0B-4E11-A1BB-A4F3D2485D3C}"/>
    <cellStyle name="標準 4 5 2 2" xfId="117" xr:uid="{3540363C-CD86-4A17-B1B1-D5970F0427B4}"/>
    <cellStyle name="標準 4 5 2 2 2" xfId="593" xr:uid="{08C5DDE8-A4F4-4612-9C29-D218CFAB47E3}"/>
    <cellStyle name="標準 4 5 2 2 3" xfId="435" xr:uid="{D0EA354C-0859-4CA4-A10B-81833C9565F8}"/>
    <cellStyle name="標準 4 5 2 2 4" xfId="275" xr:uid="{13DA68A2-0B77-4675-862F-44DC69675625}"/>
    <cellStyle name="標準 4 5 2 3" xfId="157" xr:uid="{FCFF4F40-D200-43D5-B443-2B8CA6F6495B}"/>
    <cellStyle name="標準 4 5 2 3 2" xfId="633" xr:uid="{31F8BE37-6AA8-47BC-AEB8-77827828D081}"/>
    <cellStyle name="標準 4 5 2 3 3" xfId="475" xr:uid="{C6B48181-A40C-4C52-94D2-911D7E74234A}"/>
    <cellStyle name="標準 4 5 2 3 4" xfId="315" xr:uid="{B25017F3-DA31-4D7D-827B-9E9682749274}"/>
    <cellStyle name="標準 4 5 2 4" xfId="79" xr:uid="{15AC7B3D-0E23-402B-99D4-3B0830FADB56}"/>
    <cellStyle name="標準 4 5 2 4 2" xfId="397" xr:uid="{6E2742DA-AF10-48A2-90DC-55C94CE53FFA}"/>
    <cellStyle name="標準 4 5 2 5" xfId="197" xr:uid="{2CF9AAD4-8D1A-41E3-B2FC-2F1A1B12D27B}"/>
    <cellStyle name="標準 4 5 2 5 2" xfId="515" xr:uid="{7749C343-E1F7-4F17-A489-B32EDBD0ADDC}"/>
    <cellStyle name="標準 4 5 2 6" xfId="555" xr:uid="{DF2A7916-0701-429D-9A3A-6E69253FAB37}"/>
    <cellStyle name="標準 4 5 2 7" xfId="357" xr:uid="{AB45C0AE-1971-434A-B903-C361E0401195}"/>
    <cellStyle name="標準 4 5 2 8" xfId="237" xr:uid="{53FD0507-7DDD-49F1-BDDF-F273BD5F70A0}"/>
    <cellStyle name="標準 4 5 3" xfId="103" xr:uid="{DE628A20-8EEE-42F6-AD71-44A818A9102D}"/>
    <cellStyle name="標準 4 5 3 2" xfId="579" xr:uid="{357C01FD-DB93-4F9D-9136-8568C1850D44}"/>
    <cellStyle name="標準 4 5 3 3" xfId="421" xr:uid="{82852AB7-77ED-4C97-819F-8BC7B38681F5}"/>
    <cellStyle name="標準 4 5 3 4" xfId="261" xr:uid="{917F0E71-A32D-405D-A786-3F217C341E86}"/>
    <cellStyle name="標準 4 5 4" xfId="137" xr:uid="{74C6E904-733D-4C27-B144-CB7C2B662387}"/>
    <cellStyle name="標準 4 5 4 2" xfId="613" xr:uid="{F8C59221-8549-4943-9CFC-E8A206CE6472}"/>
    <cellStyle name="標準 4 5 4 3" xfId="455" xr:uid="{ACE9FB42-3C49-458B-B492-4ECD785A4FF4}"/>
    <cellStyle name="標準 4 5 4 4" xfId="295" xr:uid="{B7A38CBE-0FA4-4DA0-88CA-A0E1A768F8C2}"/>
    <cellStyle name="標準 4 5 5" xfId="65" xr:uid="{F33C6260-DA40-476F-8DF0-E1DAED143617}"/>
    <cellStyle name="標準 4 5 5 2" xfId="383" xr:uid="{55A315FE-3FF8-4275-8BD4-7801F67CA93B}"/>
    <cellStyle name="標準 4 5 6" xfId="177" xr:uid="{CBF42835-1958-4BC1-BA97-4173D773565B}"/>
    <cellStyle name="標準 4 5 6 2" xfId="495" xr:uid="{A9C70B79-6180-4370-95CE-82318C8991E1}"/>
    <cellStyle name="標準 4 5 7" xfId="541" xr:uid="{A3800500-A1AD-44B5-8461-5189FBB93EB7}"/>
    <cellStyle name="標準 4 5 8" xfId="337" xr:uid="{4086BA0B-E2CA-4FCA-89C6-17C132A6818B}"/>
    <cellStyle name="標準 4 5 9" xfId="223" xr:uid="{3AA2CB53-F7E1-43F4-9799-6FE06BE3A81F}"/>
    <cellStyle name="標準 4 6" xfId="25" xr:uid="{EE204688-1727-4CDC-A634-1B7783E3BD4A}"/>
    <cellStyle name="標準 4 6 2" xfId="47" xr:uid="{3B8BE6FD-00BF-486B-AE16-3782433D10C0}"/>
    <cellStyle name="標準 4 6 2 2" xfId="165" xr:uid="{B3F8A858-0085-4EFB-A491-A5AE22620F47}"/>
    <cellStyle name="標準 4 6 2 2 2" xfId="641" xr:uid="{F3D3566C-9C4B-49FA-BA9C-89DBD30DFFB1}"/>
    <cellStyle name="標準 4 6 2 2 3" xfId="483" xr:uid="{CF11C94D-88C8-47E5-9E31-2F6B25130742}"/>
    <cellStyle name="標準 4 6 2 2 4" xfId="323" xr:uid="{77CF1502-4FB0-4168-8A7E-259C9105022D}"/>
    <cellStyle name="標準 4 6 2 3" xfId="107" xr:uid="{4151D928-6BE0-43F8-B428-AE6B9A165E2A}"/>
    <cellStyle name="標準 4 6 2 3 2" xfId="425" xr:uid="{301C93E8-DAAA-4271-B459-C7DD700CD1EA}"/>
    <cellStyle name="標準 4 6 2 4" xfId="205" xr:uid="{D4DA3C13-0536-4034-8607-2F9AE5115E15}"/>
    <cellStyle name="標準 4 6 2 4 2" xfId="523" xr:uid="{EE24A2DF-599A-4C4C-90E5-6598CA323020}"/>
    <cellStyle name="標準 4 6 2 5" xfId="583" xr:uid="{31165759-0C83-4C52-AE68-E58283780802}"/>
    <cellStyle name="標準 4 6 2 6" xfId="365" xr:uid="{A9509E81-6D77-4AB3-909E-A19B052799CB}"/>
    <cellStyle name="標準 4 6 2 7" xfId="265" xr:uid="{0921A854-AEFF-4FCF-A9E3-67CE59C5045B}"/>
    <cellStyle name="標準 4 6 3" xfId="145" xr:uid="{58EC0C30-88A1-4646-90BD-41E96CE78614}"/>
    <cellStyle name="標準 4 6 3 2" xfId="621" xr:uid="{2222E37D-EA0F-431D-95E9-7FE68EC164E8}"/>
    <cellStyle name="標準 4 6 3 3" xfId="463" xr:uid="{AF3DED45-F89F-41FD-97AB-9FD4340D6438}"/>
    <cellStyle name="標準 4 6 3 4" xfId="303" xr:uid="{C13150AB-3D26-4405-9777-B121E0ACEDA5}"/>
    <cellStyle name="標準 4 6 4" xfId="69" xr:uid="{924B19D8-D62E-4642-90E3-77BF80448ED2}"/>
    <cellStyle name="標準 4 6 4 2" xfId="387" xr:uid="{04EA576A-961C-40B9-841C-7E12816B71B1}"/>
    <cellStyle name="標準 4 6 5" xfId="185" xr:uid="{E7F098B8-DA9E-41AC-9372-51D57164573A}"/>
    <cellStyle name="標準 4 6 5 2" xfId="503" xr:uid="{BFFE797C-65B8-4835-B883-264F2DA6E027}"/>
    <cellStyle name="標準 4 6 6" xfId="545" xr:uid="{DD2F414C-96B9-4F5D-BBF9-3E23BD234094}"/>
    <cellStyle name="標準 4 6 7" xfId="345" xr:uid="{B7F0BC03-964D-4D02-8648-CB8E36B8B797}"/>
    <cellStyle name="標準 4 6 8" xfId="227" xr:uid="{76094193-8A59-4053-9E54-88F2C9A143DB}"/>
    <cellStyle name="標準 4 7" xfId="29" xr:uid="{40D50891-7DC4-4540-BF94-48102F4B0B60}"/>
    <cellStyle name="標準 4 7 2" xfId="147" xr:uid="{9A727F77-09CB-4D1A-931D-736D4E36D6DA}"/>
    <cellStyle name="標準 4 7 2 2" xfId="623" xr:uid="{F0802790-3861-4B69-BB8E-5A16638C27D7}"/>
    <cellStyle name="標準 4 7 2 3" xfId="465" xr:uid="{7FBC8979-8B4F-461B-BB78-4A385FFCD386}"/>
    <cellStyle name="標準 4 7 2 4" xfId="305" xr:uid="{ADDBDA16-76BE-4F27-A72E-F59B68B5241C}"/>
    <cellStyle name="標準 4 7 3" xfId="87" xr:uid="{11CF3D7C-18DD-4ED7-9E2A-C59943868AAA}"/>
    <cellStyle name="標準 4 7 3 2" xfId="405" xr:uid="{B6189A20-A193-4922-BF12-F7468A353102}"/>
    <cellStyle name="標準 4 7 4" xfId="187" xr:uid="{A28016BA-5867-4074-B8EA-D7C4ECAB09CC}"/>
    <cellStyle name="標準 4 7 4 2" xfId="505" xr:uid="{D175D6C3-3631-452D-BBCE-B7F06EB592AB}"/>
    <cellStyle name="標準 4 7 5" xfId="563" xr:uid="{1D920A70-1911-4148-841C-A7B520C7E28B}"/>
    <cellStyle name="標準 4 7 6" xfId="347" xr:uid="{23AC56D7-BC54-44E0-828F-E3635928185E}"/>
    <cellStyle name="標準 4 7 7" xfId="245" xr:uid="{7187B189-9858-44F1-9944-BDE366DE5B41}"/>
    <cellStyle name="標準 4 8" xfId="125" xr:uid="{506C96C1-A2B0-434B-A50F-1E191D750DB4}"/>
    <cellStyle name="標準 4 8 2" xfId="443" xr:uid="{5A66F763-5595-419E-B22C-40274A8036F3}"/>
    <cellStyle name="標準 4 8 3" xfId="601" xr:uid="{989174A9-F098-4863-A17C-4A4C1F2BE2DD}"/>
    <cellStyle name="標準 4 8 4" xfId="327" xr:uid="{5A6778C1-3023-4B14-8D47-E0C193A3D066}"/>
    <cellStyle name="標準 4 8 5" xfId="283" xr:uid="{0618C7C6-FC4B-4BC6-8273-40FBBD7A1A55}"/>
    <cellStyle name="標準 4 9" xfId="127" xr:uid="{158B47EE-471E-4F8F-ACAE-0D46AC2E7A83}"/>
    <cellStyle name="標準 4 9 2" xfId="603" xr:uid="{EF205474-2F0F-4DF9-B12B-CE13CF3A0A40}"/>
    <cellStyle name="標準 4 9 3" xfId="445" xr:uid="{20EA543C-2FF8-4E05-A6FD-B283CF10D8B1}"/>
    <cellStyle name="標準 4 9 4" xfId="285" xr:uid="{A4A726EA-BA77-48E2-8185-30BF77E5A4DD}"/>
  </cellStyles>
  <dxfs count="0"/>
  <tableStyles count="1" defaultTableStyle="TableStyleMedium2" defaultPivotStyle="PivotStyleMedium9">
    <tableStyle name="Invisible" pivot="0" table="0" count="0" xr9:uid="{CDED2B65-9092-40C2-8D23-7B45A2E88103}"/>
  </tableStyles>
  <colors>
    <mruColors>
      <color rgb="FFD1FFE8"/>
      <color rgb="FF0000FF"/>
      <color rgb="FFE1FFF0"/>
      <color rgb="FFBDFFDE"/>
      <color rgb="FFCCFFFF"/>
      <color rgb="FFFFFF99"/>
      <color rgb="FFFFCCFF"/>
      <color rgb="FFFFCC99"/>
      <color rgb="FFFFCC00"/>
      <color rgb="FFFF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ja-JP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UAL</a:t>
            </a:r>
            <a:r>
              <a:rPr lang="ja-JP" altLang="en-US"/>
              <a:t>派遣</a:t>
            </a:r>
            <a:r>
              <a:rPr lang="en-US" altLang="ja-JP"/>
              <a:t>/</a:t>
            </a:r>
            <a:r>
              <a:rPr lang="ja-JP" altLang="en-US"/>
              <a:t>常駐委託</a:t>
            </a:r>
            <a:endParaRPr lang="ja-JP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ja-JP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まとめ!$D$2</c:f>
              <c:strCache>
                <c:ptCount val="1"/>
                <c:pt idx="0">
                  <c:v>売上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ja-JP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まとめ!$E$1:$P$1</c:f>
              <c:strCache>
                <c:ptCount val="12"/>
                <c:pt idx="0">
                  <c:v>4月</c:v>
                </c:pt>
                <c:pt idx="1">
                  <c:v>5月</c:v>
                </c:pt>
                <c:pt idx="2">
                  <c:v>6月</c:v>
                </c:pt>
                <c:pt idx="3">
                  <c:v>7月</c:v>
                </c:pt>
                <c:pt idx="4">
                  <c:v>8月</c:v>
                </c:pt>
                <c:pt idx="5">
                  <c:v>9月</c:v>
                </c:pt>
                <c:pt idx="6">
                  <c:v>10月</c:v>
                </c:pt>
                <c:pt idx="7">
                  <c:v>11月</c:v>
                </c:pt>
                <c:pt idx="8">
                  <c:v>12月</c:v>
                </c:pt>
                <c:pt idx="9">
                  <c:v>1月</c:v>
                </c:pt>
                <c:pt idx="10">
                  <c:v>2月</c:v>
                </c:pt>
                <c:pt idx="11">
                  <c:v>3月</c:v>
                </c:pt>
              </c:strCache>
            </c:strRef>
          </c:cat>
          <c:val>
            <c:numRef>
              <c:f>まとめ!$E$2:$P$2</c:f>
              <c:numCache>
                <c:formatCode>"¥"#,##0_);[Red]\("¥"#,##0\)</c:formatCode>
                <c:ptCount val="12"/>
                <c:pt idx="0">
                  <c:v>56058811</c:v>
                </c:pt>
                <c:pt idx="1">
                  <c:v>55056008</c:v>
                </c:pt>
                <c:pt idx="2">
                  <c:v>56149143</c:v>
                </c:pt>
                <c:pt idx="3">
                  <c:v>58799277</c:v>
                </c:pt>
                <c:pt idx="4">
                  <c:v>55632341</c:v>
                </c:pt>
                <c:pt idx="5">
                  <c:v>57287363</c:v>
                </c:pt>
                <c:pt idx="6">
                  <c:v>61911924</c:v>
                </c:pt>
                <c:pt idx="7">
                  <c:v>55318343</c:v>
                </c:pt>
                <c:pt idx="8">
                  <c:v>58644806</c:v>
                </c:pt>
                <c:pt idx="9">
                  <c:v>59091045</c:v>
                </c:pt>
                <c:pt idx="10">
                  <c:v>57178567</c:v>
                </c:pt>
                <c:pt idx="11">
                  <c:v>60248273.222222216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E6-41CB-BD5F-963DBFADEDAC}"/>
            </c:ext>
          </c:extLst>
        </c:ser>
        <c:ser>
          <c:idx val="1"/>
          <c:order val="1"/>
          <c:tx>
            <c:strRef>
              <c:f>まとめ!$D$3</c:f>
              <c:strCache>
                <c:ptCount val="1"/>
                <c:pt idx="0">
                  <c:v>仕入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ja-JP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まとめ!$E$1:$P$1</c:f>
              <c:strCache>
                <c:ptCount val="12"/>
                <c:pt idx="0">
                  <c:v>4月</c:v>
                </c:pt>
                <c:pt idx="1">
                  <c:v>5月</c:v>
                </c:pt>
                <c:pt idx="2">
                  <c:v>6月</c:v>
                </c:pt>
                <c:pt idx="3">
                  <c:v>7月</c:v>
                </c:pt>
                <c:pt idx="4">
                  <c:v>8月</c:v>
                </c:pt>
                <c:pt idx="5">
                  <c:v>9月</c:v>
                </c:pt>
                <c:pt idx="6">
                  <c:v>10月</c:v>
                </c:pt>
                <c:pt idx="7">
                  <c:v>11月</c:v>
                </c:pt>
                <c:pt idx="8">
                  <c:v>12月</c:v>
                </c:pt>
                <c:pt idx="9">
                  <c:v>1月</c:v>
                </c:pt>
                <c:pt idx="10">
                  <c:v>2月</c:v>
                </c:pt>
                <c:pt idx="11">
                  <c:v>3月</c:v>
                </c:pt>
              </c:strCache>
            </c:strRef>
          </c:cat>
          <c:val>
            <c:numRef>
              <c:f>まとめ!$E$3:$P$3</c:f>
              <c:numCache>
                <c:formatCode>"¥"#,##0_);[Red]\("¥"#,##0\)</c:formatCode>
                <c:ptCount val="12"/>
                <c:pt idx="0">
                  <c:v>45001579.190476194</c:v>
                </c:pt>
                <c:pt idx="1">
                  <c:v>44303397</c:v>
                </c:pt>
                <c:pt idx="2">
                  <c:v>45633632</c:v>
                </c:pt>
                <c:pt idx="3">
                  <c:v>46036102</c:v>
                </c:pt>
                <c:pt idx="4">
                  <c:v>45651218.966800436</c:v>
                </c:pt>
                <c:pt idx="5">
                  <c:v>46511417.840001166</c:v>
                </c:pt>
                <c:pt idx="6">
                  <c:v>47468200.46302449</c:v>
                </c:pt>
                <c:pt idx="7">
                  <c:v>45353471.243212014</c:v>
                </c:pt>
                <c:pt idx="8">
                  <c:v>46874174.853608951</c:v>
                </c:pt>
                <c:pt idx="9">
                  <c:v>47071789.361877978</c:v>
                </c:pt>
                <c:pt idx="10">
                  <c:v>46258019.854993984</c:v>
                </c:pt>
                <c:pt idx="11">
                  <c:v>47607740.277777776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FE6-41CB-BD5F-963DBFADEDAC}"/>
            </c:ext>
          </c:extLst>
        </c:ser>
        <c:ser>
          <c:idx val="2"/>
          <c:order val="2"/>
          <c:tx>
            <c:strRef>
              <c:f>まとめ!$D$4</c:f>
              <c:strCache>
                <c:ptCount val="1"/>
                <c:pt idx="0">
                  <c:v>粗利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ja-JP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まとめ!$E$1:$P$1</c:f>
              <c:strCache>
                <c:ptCount val="12"/>
                <c:pt idx="0">
                  <c:v>4月</c:v>
                </c:pt>
                <c:pt idx="1">
                  <c:v>5月</c:v>
                </c:pt>
                <c:pt idx="2">
                  <c:v>6月</c:v>
                </c:pt>
                <c:pt idx="3">
                  <c:v>7月</c:v>
                </c:pt>
                <c:pt idx="4">
                  <c:v>8月</c:v>
                </c:pt>
                <c:pt idx="5">
                  <c:v>9月</c:v>
                </c:pt>
                <c:pt idx="6">
                  <c:v>10月</c:v>
                </c:pt>
                <c:pt idx="7">
                  <c:v>11月</c:v>
                </c:pt>
                <c:pt idx="8">
                  <c:v>12月</c:v>
                </c:pt>
                <c:pt idx="9">
                  <c:v>1月</c:v>
                </c:pt>
                <c:pt idx="10">
                  <c:v>2月</c:v>
                </c:pt>
                <c:pt idx="11">
                  <c:v>3月</c:v>
                </c:pt>
              </c:strCache>
            </c:strRef>
          </c:cat>
          <c:val>
            <c:numRef>
              <c:f>まとめ!$E$4:$P$4</c:f>
              <c:numCache>
                <c:formatCode>"¥"#,##0_);[Red]\("¥"#,##0\)</c:formatCode>
                <c:ptCount val="12"/>
                <c:pt idx="0">
                  <c:v>11057231.809523806</c:v>
                </c:pt>
                <c:pt idx="1">
                  <c:v>10752611</c:v>
                </c:pt>
                <c:pt idx="2">
                  <c:v>10515511</c:v>
                </c:pt>
                <c:pt idx="3">
                  <c:v>12763175</c:v>
                </c:pt>
                <c:pt idx="4">
                  <c:v>9981122.0331995636</c:v>
                </c:pt>
                <c:pt idx="5">
                  <c:v>10775945.159998834</c:v>
                </c:pt>
                <c:pt idx="6">
                  <c:v>14443723.53697551</c:v>
                </c:pt>
                <c:pt idx="7">
                  <c:v>9964871.7567879856</c:v>
                </c:pt>
                <c:pt idx="8">
                  <c:v>11770631.146391049</c:v>
                </c:pt>
                <c:pt idx="9">
                  <c:v>12019255.638122022</c:v>
                </c:pt>
                <c:pt idx="10">
                  <c:v>10920547.145006016</c:v>
                </c:pt>
                <c:pt idx="11">
                  <c:v>12640532.94444444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FE6-41CB-BD5F-963DBFADEDAC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549168944"/>
        <c:axId val="549172080"/>
      </c:lineChart>
      <c:catAx>
        <c:axId val="549168944"/>
        <c:scaling>
          <c:orientation val="minMax"/>
        </c:scaling>
        <c:delete val="0"/>
        <c:axPos val="b"/>
        <c:numFmt formatCode="yyyy&quot;年&quot;m&quot;月&quot;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49172080"/>
        <c:crosses val="autoZero"/>
        <c:auto val="1"/>
        <c:lblAlgn val="ctr"/>
        <c:lblOffset val="100"/>
        <c:noMultiLvlLbl val="0"/>
      </c:catAx>
      <c:valAx>
        <c:axId val="549172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¥&quot;#,##0_);[Red]\(&quot;¥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49168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ja-JP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 paperSize="8"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606212</xdr:colOff>
      <xdr:row>1</xdr:row>
      <xdr:rowOff>6</xdr:rowOff>
    </xdr:from>
    <xdr:to>
      <xdr:col>19</xdr:col>
      <xdr:colOff>601980</xdr:colOff>
      <xdr:row>32</xdr:row>
      <xdr:rowOff>7620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9557D999-FB6D-46F5-B03A-E634C1C5A0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21</xdr:col>
      <xdr:colOff>104775</xdr:colOff>
      <xdr:row>25</xdr:row>
      <xdr:rowOff>76200</xdr:rowOff>
    </xdr:from>
    <xdr:ext cx="184731" cy="264560"/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7CDFD63D-3A4A-DD36-5C8F-63051DA1D362}"/>
            </a:ext>
          </a:extLst>
        </xdr:cNvPr>
        <xdr:cNvSpPr txBox="1"/>
      </xdr:nvSpPr>
      <xdr:spPr>
        <a:xfrm>
          <a:off x="16040100" y="4572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9.bin"/><Relationship Id="rId4" Type="http://schemas.openxmlformats.org/officeDocument/2006/relationships/comments" Target="../comments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37267-BCFE-4442-9B90-AC2CDBA3DC59}">
  <sheetPr>
    <pageSetUpPr fitToPage="1"/>
  </sheetPr>
  <dimension ref="A1:S125"/>
  <sheetViews>
    <sheetView showGridLines="0" zoomScale="115" zoomScaleNormal="115" zoomScaleSheetLayoutView="7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I13" sqref="I13"/>
    </sheetView>
  </sheetViews>
  <sheetFormatPr defaultRowHeight="14.15" customHeight="1"/>
  <cols>
    <col min="1" max="1" width="8.6328125" style="9" customWidth="1"/>
    <col min="2" max="2" width="9.453125" style="9" customWidth="1"/>
    <col min="3" max="3" width="8.36328125" style="9" customWidth="1"/>
    <col min="4" max="4" width="11.08984375" style="9" bestFit="1" customWidth="1"/>
    <col min="5" max="16" width="14.08984375" style="9" customWidth="1"/>
    <col min="17" max="17" width="17.6328125" style="9" customWidth="1"/>
    <col min="18" max="18" width="9" style="9"/>
    <col min="19" max="19" width="11" style="9" bestFit="1" customWidth="1"/>
    <col min="20" max="249" width="9" style="9"/>
    <col min="250" max="250" width="9.6328125" style="9" customWidth="1"/>
    <col min="251" max="252" width="5.08984375" style="9" customWidth="1"/>
    <col min="253" max="253" width="9.6328125" style="9" customWidth="1"/>
    <col min="254" max="255" width="11.6328125" style="9" customWidth="1"/>
    <col min="256" max="256" width="15.36328125" style="9" customWidth="1"/>
    <col min="257" max="257" width="10.90625" style="9" customWidth="1"/>
    <col min="258" max="268" width="13.36328125" style="9" customWidth="1"/>
    <col min="269" max="269" width="13.6328125" style="9" customWidth="1"/>
    <col min="270" max="270" width="16.453125" style="9" customWidth="1"/>
    <col min="271" max="505" width="9" style="9"/>
    <col min="506" max="506" width="9.6328125" style="9" customWidth="1"/>
    <col min="507" max="508" width="5.08984375" style="9" customWidth="1"/>
    <col min="509" max="509" width="9.6328125" style="9" customWidth="1"/>
    <col min="510" max="511" width="11.6328125" style="9" customWidth="1"/>
    <col min="512" max="512" width="15.36328125" style="9" customWidth="1"/>
    <col min="513" max="513" width="10.90625" style="9" customWidth="1"/>
    <col min="514" max="524" width="13.36328125" style="9" customWidth="1"/>
    <col min="525" max="525" width="13.6328125" style="9" customWidth="1"/>
    <col min="526" max="526" width="16.453125" style="9" customWidth="1"/>
    <col min="527" max="761" width="9" style="9"/>
    <col min="762" max="762" width="9.6328125" style="9" customWidth="1"/>
    <col min="763" max="764" width="5.08984375" style="9" customWidth="1"/>
    <col min="765" max="765" width="9.6328125" style="9" customWidth="1"/>
    <col min="766" max="767" width="11.6328125" style="9" customWidth="1"/>
    <col min="768" max="768" width="15.36328125" style="9" customWidth="1"/>
    <col min="769" max="769" width="10.90625" style="9" customWidth="1"/>
    <col min="770" max="780" width="13.36328125" style="9" customWidth="1"/>
    <col min="781" max="781" width="13.6328125" style="9" customWidth="1"/>
    <col min="782" max="782" width="16.453125" style="9" customWidth="1"/>
    <col min="783" max="1017" width="9" style="9"/>
    <col min="1018" max="1018" width="9.6328125" style="9" customWidth="1"/>
    <col min="1019" max="1020" width="5.08984375" style="9" customWidth="1"/>
    <col min="1021" max="1021" width="9.6328125" style="9" customWidth="1"/>
    <col min="1022" max="1023" width="11.6328125" style="9" customWidth="1"/>
    <col min="1024" max="1024" width="15.36328125" style="9" customWidth="1"/>
    <col min="1025" max="1025" width="10.90625" style="9" customWidth="1"/>
    <col min="1026" max="1036" width="13.36328125" style="9" customWidth="1"/>
    <col min="1037" max="1037" width="13.6328125" style="9" customWidth="1"/>
    <col min="1038" max="1038" width="16.453125" style="9" customWidth="1"/>
    <col min="1039" max="1273" width="9" style="9"/>
    <col min="1274" max="1274" width="9.6328125" style="9" customWidth="1"/>
    <col min="1275" max="1276" width="5.08984375" style="9" customWidth="1"/>
    <col min="1277" max="1277" width="9.6328125" style="9" customWidth="1"/>
    <col min="1278" max="1279" width="11.6328125" style="9" customWidth="1"/>
    <col min="1280" max="1280" width="15.36328125" style="9" customWidth="1"/>
    <col min="1281" max="1281" width="10.90625" style="9" customWidth="1"/>
    <col min="1282" max="1292" width="13.36328125" style="9" customWidth="1"/>
    <col min="1293" max="1293" width="13.6328125" style="9" customWidth="1"/>
    <col min="1294" max="1294" width="16.453125" style="9" customWidth="1"/>
    <col min="1295" max="1529" width="9" style="9"/>
    <col min="1530" max="1530" width="9.6328125" style="9" customWidth="1"/>
    <col min="1531" max="1532" width="5.08984375" style="9" customWidth="1"/>
    <col min="1533" max="1533" width="9.6328125" style="9" customWidth="1"/>
    <col min="1534" max="1535" width="11.6328125" style="9" customWidth="1"/>
    <col min="1536" max="1536" width="15.36328125" style="9" customWidth="1"/>
    <col min="1537" max="1537" width="10.90625" style="9" customWidth="1"/>
    <col min="1538" max="1548" width="13.36328125" style="9" customWidth="1"/>
    <col min="1549" max="1549" width="13.6328125" style="9" customWidth="1"/>
    <col min="1550" max="1550" width="16.453125" style="9" customWidth="1"/>
    <col min="1551" max="1785" width="9" style="9"/>
    <col min="1786" max="1786" width="9.6328125" style="9" customWidth="1"/>
    <col min="1787" max="1788" width="5.08984375" style="9" customWidth="1"/>
    <col min="1789" max="1789" width="9.6328125" style="9" customWidth="1"/>
    <col min="1790" max="1791" width="11.6328125" style="9" customWidth="1"/>
    <col min="1792" max="1792" width="15.36328125" style="9" customWidth="1"/>
    <col min="1793" max="1793" width="10.90625" style="9" customWidth="1"/>
    <col min="1794" max="1804" width="13.36328125" style="9" customWidth="1"/>
    <col min="1805" max="1805" width="13.6328125" style="9" customWidth="1"/>
    <col min="1806" max="1806" width="16.453125" style="9" customWidth="1"/>
    <col min="1807" max="2041" width="9" style="9"/>
    <col min="2042" max="2042" width="9.6328125" style="9" customWidth="1"/>
    <col min="2043" max="2044" width="5.08984375" style="9" customWidth="1"/>
    <col min="2045" max="2045" width="9.6328125" style="9" customWidth="1"/>
    <col min="2046" max="2047" width="11.6328125" style="9" customWidth="1"/>
    <col min="2048" max="2048" width="15.36328125" style="9" customWidth="1"/>
    <col min="2049" max="2049" width="10.90625" style="9" customWidth="1"/>
    <col min="2050" max="2060" width="13.36328125" style="9" customWidth="1"/>
    <col min="2061" max="2061" width="13.6328125" style="9" customWidth="1"/>
    <col min="2062" max="2062" width="16.453125" style="9" customWidth="1"/>
    <col min="2063" max="2297" width="9" style="9"/>
    <col min="2298" max="2298" width="9.6328125" style="9" customWidth="1"/>
    <col min="2299" max="2300" width="5.08984375" style="9" customWidth="1"/>
    <col min="2301" max="2301" width="9.6328125" style="9" customWidth="1"/>
    <col min="2302" max="2303" width="11.6328125" style="9" customWidth="1"/>
    <col min="2304" max="2304" width="15.36328125" style="9" customWidth="1"/>
    <col min="2305" max="2305" width="10.90625" style="9" customWidth="1"/>
    <col min="2306" max="2316" width="13.36328125" style="9" customWidth="1"/>
    <col min="2317" max="2317" width="13.6328125" style="9" customWidth="1"/>
    <col min="2318" max="2318" width="16.453125" style="9" customWidth="1"/>
    <col min="2319" max="2553" width="9" style="9"/>
    <col min="2554" max="2554" width="9.6328125" style="9" customWidth="1"/>
    <col min="2555" max="2556" width="5.08984375" style="9" customWidth="1"/>
    <col min="2557" max="2557" width="9.6328125" style="9" customWidth="1"/>
    <col min="2558" max="2559" width="11.6328125" style="9" customWidth="1"/>
    <col min="2560" max="2560" width="15.36328125" style="9" customWidth="1"/>
    <col min="2561" max="2561" width="10.90625" style="9" customWidth="1"/>
    <col min="2562" max="2572" width="13.36328125" style="9" customWidth="1"/>
    <col min="2573" max="2573" width="13.6328125" style="9" customWidth="1"/>
    <col min="2574" max="2574" width="16.453125" style="9" customWidth="1"/>
    <col min="2575" max="2809" width="9" style="9"/>
    <col min="2810" max="2810" width="9.6328125" style="9" customWidth="1"/>
    <col min="2811" max="2812" width="5.08984375" style="9" customWidth="1"/>
    <col min="2813" max="2813" width="9.6328125" style="9" customWidth="1"/>
    <col min="2814" max="2815" width="11.6328125" style="9" customWidth="1"/>
    <col min="2816" max="2816" width="15.36328125" style="9" customWidth="1"/>
    <col min="2817" max="2817" width="10.90625" style="9" customWidth="1"/>
    <col min="2818" max="2828" width="13.36328125" style="9" customWidth="1"/>
    <col min="2829" max="2829" width="13.6328125" style="9" customWidth="1"/>
    <col min="2830" max="2830" width="16.453125" style="9" customWidth="1"/>
    <col min="2831" max="3065" width="9" style="9"/>
    <col min="3066" max="3066" width="9.6328125" style="9" customWidth="1"/>
    <col min="3067" max="3068" width="5.08984375" style="9" customWidth="1"/>
    <col min="3069" max="3069" width="9.6328125" style="9" customWidth="1"/>
    <col min="3070" max="3071" width="11.6328125" style="9" customWidth="1"/>
    <col min="3072" max="3072" width="15.36328125" style="9" customWidth="1"/>
    <col min="3073" max="3073" width="10.90625" style="9" customWidth="1"/>
    <col min="3074" max="3084" width="13.36328125" style="9" customWidth="1"/>
    <col min="3085" max="3085" width="13.6328125" style="9" customWidth="1"/>
    <col min="3086" max="3086" width="16.453125" style="9" customWidth="1"/>
    <col min="3087" max="3321" width="9" style="9"/>
    <col min="3322" max="3322" width="9.6328125" style="9" customWidth="1"/>
    <col min="3323" max="3324" width="5.08984375" style="9" customWidth="1"/>
    <col min="3325" max="3325" width="9.6328125" style="9" customWidth="1"/>
    <col min="3326" max="3327" width="11.6328125" style="9" customWidth="1"/>
    <col min="3328" max="3328" width="15.36328125" style="9" customWidth="1"/>
    <col min="3329" max="3329" width="10.90625" style="9" customWidth="1"/>
    <col min="3330" max="3340" width="13.36328125" style="9" customWidth="1"/>
    <col min="3341" max="3341" width="13.6328125" style="9" customWidth="1"/>
    <col min="3342" max="3342" width="16.453125" style="9" customWidth="1"/>
    <col min="3343" max="3577" width="9" style="9"/>
    <col min="3578" max="3578" width="9.6328125" style="9" customWidth="1"/>
    <col min="3579" max="3580" width="5.08984375" style="9" customWidth="1"/>
    <col min="3581" max="3581" width="9.6328125" style="9" customWidth="1"/>
    <col min="3582" max="3583" width="11.6328125" style="9" customWidth="1"/>
    <col min="3584" max="3584" width="15.36328125" style="9" customWidth="1"/>
    <col min="3585" max="3585" width="10.90625" style="9" customWidth="1"/>
    <col min="3586" max="3596" width="13.36328125" style="9" customWidth="1"/>
    <col min="3597" max="3597" width="13.6328125" style="9" customWidth="1"/>
    <col min="3598" max="3598" width="16.453125" style="9" customWidth="1"/>
    <col min="3599" max="3833" width="9" style="9"/>
    <col min="3834" max="3834" width="9.6328125" style="9" customWidth="1"/>
    <col min="3835" max="3836" width="5.08984375" style="9" customWidth="1"/>
    <col min="3837" max="3837" width="9.6328125" style="9" customWidth="1"/>
    <col min="3838" max="3839" width="11.6328125" style="9" customWidth="1"/>
    <col min="3840" max="3840" width="15.36328125" style="9" customWidth="1"/>
    <col min="3841" max="3841" width="10.90625" style="9" customWidth="1"/>
    <col min="3842" max="3852" width="13.36328125" style="9" customWidth="1"/>
    <col min="3853" max="3853" width="13.6328125" style="9" customWidth="1"/>
    <col min="3854" max="3854" width="16.453125" style="9" customWidth="1"/>
    <col min="3855" max="4089" width="9" style="9"/>
    <col min="4090" max="4090" width="9.6328125" style="9" customWidth="1"/>
    <col min="4091" max="4092" width="5.08984375" style="9" customWidth="1"/>
    <col min="4093" max="4093" width="9.6328125" style="9" customWidth="1"/>
    <col min="4094" max="4095" width="11.6328125" style="9" customWidth="1"/>
    <col min="4096" max="4096" width="15.36328125" style="9" customWidth="1"/>
    <col min="4097" max="4097" width="10.90625" style="9" customWidth="1"/>
    <col min="4098" max="4108" width="13.36328125" style="9" customWidth="1"/>
    <col min="4109" max="4109" width="13.6328125" style="9" customWidth="1"/>
    <col min="4110" max="4110" width="16.453125" style="9" customWidth="1"/>
    <col min="4111" max="4345" width="9" style="9"/>
    <col min="4346" max="4346" width="9.6328125" style="9" customWidth="1"/>
    <col min="4347" max="4348" width="5.08984375" style="9" customWidth="1"/>
    <col min="4349" max="4349" width="9.6328125" style="9" customWidth="1"/>
    <col min="4350" max="4351" width="11.6328125" style="9" customWidth="1"/>
    <col min="4352" max="4352" width="15.36328125" style="9" customWidth="1"/>
    <col min="4353" max="4353" width="10.90625" style="9" customWidth="1"/>
    <col min="4354" max="4364" width="13.36328125" style="9" customWidth="1"/>
    <col min="4365" max="4365" width="13.6328125" style="9" customWidth="1"/>
    <col min="4366" max="4366" width="16.453125" style="9" customWidth="1"/>
    <col min="4367" max="4601" width="9" style="9"/>
    <col min="4602" max="4602" width="9.6328125" style="9" customWidth="1"/>
    <col min="4603" max="4604" width="5.08984375" style="9" customWidth="1"/>
    <col min="4605" max="4605" width="9.6328125" style="9" customWidth="1"/>
    <col min="4606" max="4607" width="11.6328125" style="9" customWidth="1"/>
    <col min="4608" max="4608" width="15.36328125" style="9" customWidth="1"/>
    <col min="4609" max="4609" width="10.90625" style="9" customWidth="1"/>
    <col min="4610" max="4620" width="13.36328125" style="9" customWidth="1"/>
    <col min="4621" max="4621" width="13.6328125" style="9" customWidth="1"/>
    <col min="4622" max="4622" width="16.453125" style="9" customWidth="1"/>
    <col min="4623" max="4857" width="9" style="9"/>
    <col min="4858" max="4858" width="9.6328125" style="9" customWidth="1"/>
    <col min="4859" max="4860" width="5.08984375" style="9" customWidth="1"/>
    <col min="4861" max="4861" width="9.6328125" style="9" customWidth="1"/>
    <col min="4862" max="4863" width="11.6328125" style="9" customWidth="1"/>
    <col min="4864" max="4864" width="15.36328125" style="9" customWidth="1"/>
    <col min="4865" max="4865" width="10.90625" style="9" customWidth="1"/>
    <col min="4866" max="4876" width="13.36328125" style="9" customWidth="1"/>
    <col min="4877" max="4877" width="13.6328125" style="9" customWidth="1"/>
    <col min="4878" max="4878" width="16.453125" style="9" customWidth="1"/>
    <col min="4879" max="5113" width="9" style="9"/>
    <col min="5114" max="5114" width="9.6328125" style="9" customWidth="1"/>
    <col min="5115" max="5116" width="5.08984375" style="9" customWidth="1"/>
    <col min="5117" max="5117" width="9.6328125" style="9" customWidth="1"/>
    <col min="5118" max="5119" width="11.6328125" style="9" customWidth="1"/>
    <col min="5120" max="5120" width="15.36328125" style="9" customWidth="1"/>
    <col min="5121" max="5121" width="10.90625" style="9" customWidth="1"/>
    <col min="5122" max="5132" width="13.36328125" style="9" customWidth="1"/>
    <col min="5133" max="5133" width="13.6328125" style="9" customWidth="1"/>
    <col min="5134" max="5134" width="16.453125" style="9" customWidth="1"/>
    <col min="5135" max="5369" width="9" style="9"/>
    <col min="5370" max="5370" width="9.6328125" style="9" customWidth="1"/>
    <col min="5371" max="5372" width="5.08984375" style="9" customWidth="1"/>
    <col min="5373" max="5373" width="9.6328125" style="9" customWidth="1"/>
    <col min="5374" max="5375" width="11.6328125" style="9" customWidth="1"/>
    <col min="5376" max="5376" width="15.36328125" style="9" customWidth="1"/>
    <col min="5377" max="5377" width="10.90625" style="9" customWidth="1"/>
    <col min="5378" max="5388" width="13.36328125" style="9" customWidth="1"/>
    <col min="5389" max="5389" width="13.6328125" style="9" customWidth="1"/>
    <col min="5390" max="5390" width="16.453125" style="9" customWidth="1"/>
    <col min="5391" max="5625" width="9" style="9"/>
    <col min="5626" max="5626" width="9.6328125" style="9" customWidth="1"/>
    <col min="5627" max="5628" width="5.08984375" style="9" customWidth="1"/>
    <col min="5629" max="5629" width="9.6328125" style="9" customWidth="1"/>
    <col min="5630" max="5631" width="11.6328125" style="9" customWidth="1"/>
    <col min="5632" max="5632" width="15.36328125" style="9" customWidth="1"/>
    <col min="5633" max="5633" width="10.90625" style="9" customWidth="1"/>
    <col min="5634" max="5644" width="13.36328125" style="9" customWidth="1"/>
    <col min="5645" max="5645" width="13.6328125" style="9" customWidth="1"/>
    <col min="5646" max="5646" width="16.453125" style="9" customWidth="1"/>
    <col min="5647" max="5881" width="9" style="9"/>
    <col min="5882" max="5882" width="9.6328125" style="9" customWidth="1"/>
    <col min="5883" max="5884" width="5.08984375" style="9" customWidth="1"/>
    <col min="5885" max="5885" width="9.6328125" style="9" customWidth="1"/>
    <col min="5886" max="5887" width="11.6328125" style="9" customWidth="1"/>
    <col min="5888" max="5888" width="15.36328125" style="9" customWidth="1"/>
    <col min="5889" max="5889" width="10.90625" style="9" customWidth="1"/>
    <col min="5890" max="5900" width="13.36328125" style="9" customWidth="1"/>
    <col min="5901" max="5901" width="13.6328125" style="9" customWidth="1"/>
    <col min="5902" max="5902" width="16.453125" style="9" customWidth="1"/>
    <col min="5903" max="6137" width="9" style="9"/>
    <col min="6138" max="6138" width="9.6328125" style="9" customWidth="1"/>
    <col min="6139" max="6140" width="5.08984375" style="9" customWidth="1"/>
    <col min="6141" max="6141" width="9.6328125" style="9" customWidth="1"/>
    <col min="6142" max="6143" width="11.6328125" style="9" customWidth="1"/>
    <col min="6144" max="6144" width="15.36328125" style="9" customWidth="1"/>
    <col min="6145" max="6145" width="10.90625" style="9" customWidth="1"/>
    <col min="6146" max="6156" width="13.36328125" style="9" customWidth="1"/>
    <col min="6157" max="6157" width="13.6328125" style="9" customWidth="1"/>
    <col min="6158" max="6158" width="16.453125" style="9" customWidth="1"/>
    <col min="6159" max="6393" width="9" style="9"/>
    <col min="6394" max="6394" width="9.6328125" style="9" customWidth="1"/>
    <col min="6395" max="6396" width="5.08984375" style="9" customWidth="1"/>
    <col min="6397" max="6397" width="9.6328125" style="9" customWidth="1"/>
    <col min="6398" max="6399" width="11.6328125" style="9" customWidth="1"/>
    <col min="6400" max="6400" width="15.36328125" style="9" customWidth="1"/>
    <col min="6401" max="6401" width="10.90625" style="9" customWidth="1"/>
    <col min="6402" max="6412" width="13.36328125" style="9" customWidth="1"/>
    <col min="6413" max="6413" width="13.6328125" style="9" customWidth="1"/>
    <col min="6414" max="6414" width="16.453125" style="9" customWidth="1"/>
    <col min="6415" max="6649" width="9" style="9"/>
    <col min="6650" max="6650" width="9.6328125" style="9" customWidth="1"/>
    <col min="6651" max="6652" width="5.08984375" style="9" customWidth="1"/>
    <col min="6653" max="6653" width="9.6328125" style="9" customWidth="1"/>
    <col min="6654" max="6655" width="11.6328125" style="9" customWidth="1"/>
    <col min="6656" max="6656" width="15.36328125" style="9" customWidth="1"/>
    <col min="6657" max="6657" width="10.90625" style="9" customWidth="1"/>
    <col min="6658" max="6668" width="13.36328125" style="9" customWidth="1"/>
    <col min="6669" max="6669" width="13.6328125" style="9" customWidth="1"/>
    <col min="6670" max="6670" width="16.453125" style="9" customWidth="1"/>
    <col min="6671" max="6905" width="9" style="9"/>
    <col min="6906" max="6906" width="9.6328125" style="9" customWidth="1"/>
    <col min="6907" max="6908" width="5.08984375" style="9" customWidth="1"/>
    <col min="6909" max="6909" width="9.6328125" style="9" customWidth="1"/>
    <col min="6910" max="6911" width="11.6328125" style="9" customWidth="1"/>
    <col min="6912" max="6912" width="15.36328125" style="9" customWidth="1"/>
    <col min="6913" max="6913" width="10.90625" style="9" customWidth="1"/>
    <col min="6914" max="6924" width="13.36328125" style="9" customWidth="1"/>
    <col min="6925" max="6925" width="13.6328125" style="9" customWidth="1"/>
    <col min="6926" max="6926" width="16.453125" style="9" customWidth="1"/>
    <col min="6927" max="7161" width="9" style="9"/>
    <col min="7162" max="7162" width="9.6328125" style="9" customWidth="1"/>
    <col min="7163" max="7164" width="5.08984375" style="9" customWidth="1"/>
    <col min="7165" max="7165" width="9.6328125" style="9" customWidth="1"/>
    <col min="7166" max="7167" width="11.6328125" style="9" customWidth="1"/>
    <col min="7168" max="7168" width="15.36328125" style="9" customWidth="1"/>
    <col min="7169" max="7169" width="10.90625" style="9" customWidth="1"/>
    <col min="7170" max="7180" width="13.36328125" style="9" customWidth="1"/>
    <col min="7181" max="7181" width="13.6328125" style="9" customWidth="1"/>
    <col min="7182" max="7182" width="16.453125" style="9" customWidth="1"/>
    <col min="7183" max="7417" width="9" style="9"/>
    <col min="7418" max="7418" width="9.6328125" style="9" customWidth="1"/>
    <col min="7419" max="7420" width="5.08984375" style="9" customWidth="1"/>
    <col min="7421" max="7421" width="9.6328125" style="9" customWidth="1"/>
    <col min="7422" max="7423" width="11.6328125" style="9" customWidth="1"/>
    <col min="7424" max="7424" width="15.36328125" style="9" customWidth="1"/>
    <col min="7425" max="7425" width="10.90625" style="9" customWidth="1"/>
    <col min="7426" max="7436" width="13.36328125" style="9" customWidth="1"/>
    <col min="7437" max="7437" width="13.6328125" style="9" customWidth="1"/>
    <col min="7438" max="7438" width="16.453125" style="9" customWidth="1"/>
    <col min="7439" max="7673" width="9" style="9"/>
    <col min="7674" max="7674" width="9.6328125" style="9" customWidth="1"/>
    <col min="7675" max="7676" width="5.08984375" style="9" customWidth="1"/>
    <col min="7677" max="7677" width="9.6328125" style="9" customWidth="1"/>
    <col min="7678" max="7679" width="11.6328125" style="9" customWidth="1"/>
    <col min="7680" max="7680" width="15.36328125" style="9" customWidth="1"/>
    <col min="7681" max="7681" width="10.90625" style="9" customWidth="1"/>
    <col min="7682" max="7692" width="13.36328125" style="9" customWidth="1"/>
    <col min="7693" max="7693" width="13.6328125" style="9" customWidth="1"/>
    <col min="7694" max="7694" width="16.453125" style="9" customWidth="1"/>
    <col min="7695" max="7929" width="9" style="9"/>
    <col min="7930" max="7930" width="9.6328125" style="9" customWidth="1"/>
    <col min="7931" max="7932" width="5.08984375" style="9" customWidth="1"/>
    <col min="7933" max="7933" width="9.6328125" style="9" customWidth="1"/>
    <col min="7934" max="7935" width="11.6328125" style="9" customWidth="1"/>
    <col min="7936" max="7936" width="15.36328125" style="9" customWidth="1"/>
    <col min="7937" max="7937" width="10.90625" style="9" customWidth="1"/>
    <col min="7938" max="7948" width="13.36328125" style="9" customWidth="1"/>
    <col min="7949" max="7949" width="13.6328125" style="9" customWidth="1"/>
    <col min="7950" max="7950" width="16.453125" style="9" customWidth="1"/>
    <col min="7951" max="8185" width="9" style="9"/>
    <col min="8186" max="8186" width="9.6328125" style="9" customWidth="1"/>
    <col min="8187" max="8188" width="5.08984375" style="9" customWidth="1"/>
    <col min="8189" max="8189" width="9.6328125" style="9" customWidth="1"/>
    <col min="8190" max="8191" width="11.6328125" style="9" customWidth="1"/>
    <col min="8192" max="8192" width="15.36328125" style="9" customWidth="1"/>
    <col min="8193" max="8193" width="10.90625" style="9" customWidth="1"/>
    <col min="8194" max="8204" width="13.36328125" style="9" customWidth="1"/>
    <col min="8205" max="8205" width="13.6328125" style="9" customWidth="1"/>
    <col min="8206" max="8206" width="16.453125" style="9" customWidth="1"/>
    <col min="8207" max="8441" width="9" style="9"/>
    <col min="8442" max="8442" width="9.6328125" style="9" customWidth="1"/>
    <col min="8443" max="8444" width="5.08984375" style="9" customWidth="1"/>
    <col min="8445" max="8445" width="9.6328125" style="9" customWidth="1"/>
    <col min="8446" max="8447" width="11.6328125" style="9" customWidth="1"/>
    <col min="8448" max="8448" width="15.36328125" style="9" customWidth="1"/>
    <col min="8449" max="8449" width="10.90625" style="9" customWidth="1"/>
    <col min="8450" max="8460" width="13.36328125" style="9" customWidth="1"/>
    <col min="8461" max="8461" width="13.6328125" style="9" customWidth="1"/>
    <col min="8462" max="8462" width="16.453125" style="9" customWidth="1"/>
    <col min="8463" max="8697" width="9" style="9"/>
    <col min="8698" max="8698" width="9.6328125" style="9" customWidth="1"/>
    <col min="8699" max="8700" width="5.08984375" style="9" customWidth="1"/>
    <col min="8701" max="8701" width="9.6328125" style="9" customWidth="1"/>
    <col min="8702" max="8703" width="11.6328125" style="9" customWidth="1"/>
    <col min="8704" max="8704" width="15.36328125" style="9" customWidth="1"/>
    <col min="8705" max="8705" width="10.90625" style="9" customWidth="1"/>
    <col min="8706" max="8716" width="13.36328125" style="9" customWidth="1"/>
    <col min="8717" max="8717" width="13.6328125" style="9" customWidth="1"/>
    <col min="8718" max="8718" width="16.453125" style="9" customWidth="1"/>
    <col min="8719" max="8953" width="9" style="9"/>
    <col min="8954" max="8954" width="9.6328125" style="9" customWidth="1"/>
    <col min="8955" max="8956" width="5.08984375" style="9" customWidth="1"/>
    <col min="8957" max="8957" width="9.6328125" style="9" customWidth="1"/>
    <col min="8958" max="8959" width="11.6328125" style="9" customWidth="1"/>
    <col min="8960" max="8960" width="15.36328125" style="9" customWidth="1"/>
    <col min="8961" max="8961" width="10.90625" style="9" customWidth="1"/>
    <col min="8962" max="8972" width="13.36328125" style="9" customWidth="1"/>
    <col min="8973" max="8973" width="13.6328125" style="9" customWidth="1"/>
    <col min="8974" max="8974" width="16.453125" style="9" customWidth="1"/>
    <col min="8975" max="9209" width="9" style="9"/>
    <col min="9210" max="9210" width="9.6328125" style="9" customWidth="1"/>
    <col min="9211" max="9212" width="5.08984375" style="9" customWidth="1"/>
    <col min="9213" max="9213" width="9.6328125" style="9" customWidth="1"/>
    <col min="9214" max="9215" width="11.6328125" style="9" customWidth="1"/>
    <col min="9216" max="9216" width="15.36328125" style="9" customWidth="1"/>
    <col min="9217" max="9217" width="10.90625" style="9" customWidth="1"/>
    <col min="9218" max="9228" width="13.36328125" style="9" customWidth="1"/>
    <col min="9229" max="9229" width="13.6328125" style="9" customWidth="1"/>
    <col min="9230" max="9230" width="16.453125" style="9" customWidth="1"/>
    <col min="9231" max="9465" width="9" style="9"/>
    <col min="9466" max="9466" width="9.6328125" style="9" customWidth="1"/>
    <col min="9467" max="9468" width="5.08984375" style="9" customWidth="1"/>
    <col min="9469" max="9469" width="9.6328125" style="9" customWidth="1"/>
    <col min="9470" max="9471" width="11.6328125" style="9" customWidth="1"/>
    <col min="9472" max="9472" width="15.36328125" style="9" customWidth="1"/>
    <col min="9473" max="9473" width="10.90625" style="9" customWidth="1"/>
    <col min="9474" max="9484" width="13.36328125" style="9" customWidth="1"/>
    <col min="9485" max="9485" width="13.6328125" style="9" customWidth="1"/>
    <col min="9486" max="9486" width="16.453125" style="9" customWidth="1"/>
    <col min="9487" max="9721" width="9" style="9"/>
    <col min="9722" max="9722" width="9.6328125" style="9" customWidth="1"/>
    <col min="9723" max="9724" width="5.08984375" style="9" customWidth="1"/>
    <col min="9725" max="9725" width="9.6328125" style="9" customWidth="1"/>
    <col min="9726" max="9727" width="11.6328125" style="9" customWidth="1"/>
    <col min="9728" max="9728" width="15.36328125" style="9" customWidth="1"/>
    <col min="9729" max="9729" width="10.90625" style="9" customWidth="1"/>
    <col min="9730" max="9740" width="13.36328125" style="9" customWidth="1"/>
    <col min="9741" max="9741" width="13.6328125" style="9" customWidth="1"/>
    <col min="9742" max="9742" width="16.453125" style="9" customWidth="1"/>
    <col min="9743" max="9977" width="9" style="9"/>
    <col min="9978" max="9978" width="9.6328125" style="9" customWidth="1"/>
    <col min="9979" max="9980" width="5.08984375" style="9" customWidth="1"/>
    <col min="9981" max="9981" width="9.6328125" style="9" customWidth="1"/>
    <col min="9982" max="9983" width="11.6328125" style="9" customWidth="1"/>
    <col min="9984" max="9984" width="15.36328125" style="9" customWidth="1"/>
    <col min="9985" max="9985" width="10.90625" style="9" customWidth="1"/>
    <col min="9986" max="9996" width="13.36328125" style="9" customWidth="1"/>
    <col min="9997" max="9997" width="13.6328125" style="9" customWidth="1"/>
    <col min="9998" max="9998" width="16.453125" style="9" customWidth="1"/>
    <col min="9999" max="10233" width="9" style="9"/>
    <col min="10234" max="10234" width="9.6328125" style="9" customWidth="1"/>
    <col min="10235" max="10236" width="5.08984375" style="9" customWidth="1"/>
    <col min="10237" max="10237" width="9.6328125" style="9" customWidth="1"/>
    <col min="10238" max="10239" width="11.6328125" style="9" customWidth="1"/>
    <col min="10240" max="10240" width="15.36328125" style="9" customWidth="1"/>
    <col min="10241" max="10241" width="10.90625" style="9" customWidth="1"/>
    <col min="10242" max="10252" width="13.36328125" style="9" customWidth="1"/>
    <col min="10253" max="10253" width="13.6328125" style="9" customWidth="1"/>
    <col min="10254" max="10254" width="16.453125" style="9" customWidth="1"/>
    <col min="10255" max="10489" width="9" style="9"/>
    <col min="10490" max="10490" width="9.6328125" style="9" customWidth="1"/>
    <col min="10491" max="10492" width="5.08984375" style="9" customWidth="1"/>
    <col min="10493" max="10493" width="9.6328125" style="9" customWidth="1"/>
    <col min="10494" max="10495" width="11.6328125" style="9" customWidth="1"/>
    <col min="10496" max="10496" width="15.36328125" style="9" customWidth="1"/>
    <col min="10497" max="10497" width="10.90625" style="9" customWidth="1"/>
    <col min="10498" max="10508" width="13.36328125" style="9" customWidth="1"/>
    <col min="10509" max="10509" width="13.6328125" style="9" customWidth="1"/>
    <col min="10510" max="10510" width="16.453125" style="9" customWidth="1"/>
    <col min="10511" max="10745" width="9" style="9"/>
    <col min="10746" max="10746" width="9.6328125" style="9" customWidth="1"/>
    <col min="10747" max="10748" width="5.08984375" style="9" customWidth="1"/>
    <col min="10749" max="10749" width="9.6328125" style="9" customWidth="1"/>
    <col min="10750" max="10751" width="11.6328125" style="9" customWidth="1"/>
    <col min="10752" max="10752" width="15.36328125" style="9" customWidth="1"/>
    <col min="10753" max="10753" width="10.90625" style="9" customWidth="1"/>
    <col min="10754" max="10764" width="13.36328125" style="9" customWidth="1"/>
    <col min="10765" max="10765" width="13.6328125" style="9" customWidth="1"/>
    <col min="10766" max="10766" width="16.453125" style="9" customWidth="1"/>
    <col min="10767" max="11001" width="9" style="9"/>
    <col min="11002" max="11002" width="9.6328125" style="9" customWidth="1"/>
    <col min="11003" max="11004" width="5.08984375" style="9" customWidth="1"/>
    <col min="11005" max="11005" width="9.6328125" style="9" customWidth="1"/>
    <col min="11006" max="11007" width="11.6328125" style="9" customWidth="1"/>
    <col min="11008" max="11008" width="15.36328125" style="9" customWidth="1"/>
    <col min="11009" max="11009" width="10.90625" style="9" customWidth="1"/>
    <col min="11010" max="11020" width="13.36328125" style="9" customWidth="1"/>
    <col min="11021" max="11021" width="13.6328125" style="9" customWidth="1"/>
    <col min="11022" max="11022" width="16.453125" style="9" customWidth="1"/>
    <col min="11023" max="11257" width="9" style="9"/>
    <col min="11258" max="11258" width="9.6328125" style="9" customWidth="1"/>
    <col min="11259" max="11260" width="5.08984375" style="9" customWidth="1"/>
    <col min="11261" max="11261" width="9.6328125" style="9" customWidth="1"/>
    <col min="11262" max="11263" width="11.6328125" style="9" customWidth="1"/>
    <col min="11264" max="11264" width="15.36328125" style="9" customWidth="1"/>
    <col min="11265" max="11265" width="10.90625" style="9" customWidth="1"/>
    <col min="11266" max="11276" width="13.36328125" style="9" customWidth="1"/>
    <col min="11277" max="11277" width="13.6328125" style="9" customWidth="1"/>
    <col min="11278" max="11278" width="16.453125" style="9" customWidth="1"/>
    <col min="11279" max="11513" width="9" style="9"/>
    <col min="11514" max="11514" width="9.6328125" style="9" customWidth="1"/>
    <col min="11515" max="11516" width="5.08984375" style="9" customWidth="1"/>
    <col min="11517" max="11517" width="9.6328125" style="9" customWidth="1"/>
    <col min="11518" max="11519" width="11.6328125" style="9" customWidth="1"/>
    <col min="11520" max="11520" width="15.36328125" style="9" customWidth="1"/>
    <col min="11521" max="11521" width="10.90625" style="9" customWidth="1"/>
    <col min="11522" max="11532" width="13.36328125" style="9" customWidth="1"/>
    <col min="11533" max="11533" width="13.6328125" style="9" customWidth="1"/>
    <col min="11534" max="11534" width="16.453125" style="9" customWidth="1"/>
    <col min="11535" max="11769" width="9" style="9"/>
    <col min="11770" max="11770" width="9.6328125" style="9" customWidth="1"/>
    <col min="11771" max="11772" width="5.08984375" style="9" customWidth="1"/>
    <col min="11773" max="11773" width="9.6328125" style="9" customWidth="1"/>
    <col min="11774" max="11775" width="11.6328125" style="9" customWidth="1"/>
    <col min="11776" max="11776" width="15.36328125" style="9" customWidth="1"/>
    <col min="11777" max="11777" width="10.90625" style="9" customWidth="1"/>
    <col min="11778" max="11788" width="13.36328125" style="9" customWidth="1"/>
    <col min="11789" max="11789" width="13.6328125" style="9" customWidth="1"/>
    <col min="11790" max="11790" width="16.453125" style="9" customWidth="1"/>
    <col min="11791" max="12025" width="9" style="9"/>
    <col min="12026" max="12026" width="9.6328125" style="9" customWidth="1"/>
    <col min="12027" max="12028" width="5.08984375" style="9" customWidth="1"/>
    <col min="12029" max="12029" width="9.6328125" style="9" customWidth="1"/>
    <col min="12030" max="12031" width="11.6328125" style="9" customWidth="1"/>
    <col min="12032" max="12032" width="15.36328125" style="9" customWidth="1"/>
    <col min="12033" max="12033" width="10.90625" style="9" customWidth="1"/>
    <col min="12034" max="12044" width="13.36328125" style="9" customWidth="1"/>
    <col min="12045" max="12045" width="13.6328125" style="9" customWidth="1"/>
    <col min="12046" max="12046" width="16.453125" style="9" customWidth="1"/>
    <col min="12047" max="12281" width="9" style="9"/>
    <col min="12282" max="12282" width="9.6328125" style="9" customWidth="1"/>
    <col min="12283" max="12284" width="5.08984375" style="9" customWidth="1"/>
    <col min="12285" max="12285" width="9.6328125" style="9" customWidth="1"/>
    <col min="12286" max="12287" width="11.6328125" style="9" customWidth="1"/>
    <col min="12288" max="12288" width="15.36328125" style="9" customWidth="1"/>
    <col min="12289" max="12289" width="10.90625" style="9" customWidth="1"/>
    <col min="12290" max="12300" width="13.36328125" style="9" customWidth="1"/>
    <col min="12301" max="12301" width="13.6328125" style="9" customWidth="1"/>
    <col min="12302" max="12302" width="16.453125" style="9" customWidth="1"/>
    <col min="12303" max="12537" width="9" style="9"/>
    <col min="12538" max="12538" width="9.6328125" style="9" customWidth="1"/>
    <col min="12539" max="12540" width="5.08984375" style="9" customWidth="1"/>
    <col min="12541" max="12541" width="9.6328125" style="9" customWidth="1"/>
    <col min="12542" max="12543" width="11.6328125" style="9" customWidth="1"/>
    <col min="12544" max="12544" width="15.36328125" style="9" customWidth="1"/>
    <col min="12545" max="12545" width="10.90625" style="9" customWidth="1"/>
    <col min="12546" max="12556" width="13.36328125" style="9" customWidth="1"/>
    <col min="12557" max="12557" width="13.6328125" style="9" customWidth="1"/>
    <col min="12558" max="12558" width="16.453125" style="9" customWidth="1"/>
    <col min="12559" max="12793" width="9" style="9"/>
    <col min="12794" max="12794" width="9.6328125" style="9" customWidth="1"/>
    <col min="12795" max="12796" width="5.08984375" style="9" customWidth="1"/>
    <col min="12797" max="12797" width="9.6328125" style="9" customWidth="1"/>
    <col min="12798" max="12799" width="11.6328125" style="9" customWidth="1"/>
    <col min="12800" max="12800" width="15.36328125" style="9" customWidth="1"/>
    <col min="12801" max="12801" width="10.90625" style="9" customWidth="1"/>
    <col min="12802" max="12812" width="13.36328125" style="9" customWidth="1"/>
    <col min="12813" max="12813" width="13.6328125" style="9" customWidth="1"/>
    <col min="12814" max="12814" width="16.453125" style="9" customWidth="1"/>
    <col min="12815" max="13049" width="9" style="9"/>
    <col min="13050" max="13050" width="9.6328125" style="9" customWidth="1"/>
    <col min="13051" max="13052" width="5.08984375" style="9" customWidth="1"/>
    <col min="13053" max="13053" width="9.6328125" style="9" customWidth="1"/>
    <col min="13054" max="13055" width="11.6328125" style="9" customWidth="1"/>
    <col min="13056" max="13056" width="15.36328125" style="9" customWidth="1"/>
    <col min="13057" max="13057" width="10.90625" style="9" customWidth="1"/>
    <col min="13058" max="13068" width="13.36328125" style="9" customWidth="1"/>
    <col min="13069" max="13069" width="13.6328125" style="9" customWidth="1"/>
    <col min="13070" max="13070" width="16.453125" style="9" customWidth="1"/>
    <col min="13071" max="13305" width="9" style="9"/>
    <col min="13306" max="13306" width="9.6328125" style="9" customWidth="1"/>
    <col min="13307" max="13308" width="5.08984375" style="9" customWidth="1"/>
    <col min="13309" max="13309" width="9.6328125" style="9" customWidth="1"/>
    <col min="13310" max="13311" width="11.6328125" style="9" customWidth="1"/>
    <col min="13312" max="13312" width="15.36328125" style="9" customWidth="1"/>
    <col min="13313" max="13313" width="10.90625" style="9" customWidth="1"/>
    <col min="13314" max="13324" width="13.36328125" style="9" customWidth="1"/>
    <col min="13325" max="13325" width="13.6328125" style="9" customWidth="1"/>
    <col min="13326" max="13326" width="16.453125" style="9" customWidth="1"/>
    <col min="13327" max="13561" width="9" style="9"/>
    <col min="13562" max="13562" width="9.6328125" style="9" customWidth="1"/>
    <col min="13563" max="13564" width="5.08984375" style="9" customWidth="1"/>
    <col min="13565" max="13565" width="9.6328125" style="9" customWidth="1"/>
    <col min="13566" max="13567" width="11.6328125" style="9" customWidth="1"/>
    <col min="13568" max="13568" width="15.36328125" style="9" customWidth="1"/>
    <col min="13569" max="13569" width="10.90625" style="9" customWidth="1"/>
    <col min="13570" max="13580" width="13.36328125" style="9" customWidth="1"/>
    <col min="13581" max="13581" width="13.6328125" style="9" customWidth="1"/>
    <col min="13582" max="13582" width="16.453125" style="9" customWidth="1"/>
    <col min="13583" max="13817" width="9" style="9"/>
    <col min="13818" max="13818" width="9.6328125" style="9" customWidth="1"/>
    <col min="13819" max="13820" width="5.08984375" style="9" customWidth="1"/>
    <col min="13821" max="13821" width="9.6328125" style="9" customWidth="1"/>
    <col min="13822" max="13823" width="11.6328125" style="9" customWidth="1"/>
    <col min="13824" max="13824" width="15.36328125" style="9" customWidth="1"/>
    <col min="13825" max="13825" width="10.90625" style="9" customWidth="1"/>
    <col min="13826" max="13836" width="13.36328125" style="9" customWidth="1"/>
    <col min="13837" max="13837" width="13.6328125" style="9" customWidth="1"/>
    <col min="13838" max="13838" width="16.453125" style="9" customWidth="1"/>
    <col min="13839" max="14073" width="9" style="9"/>
    <col min="14074" max="14074" width="9.6328125" style="9" customWidth="1"/>
    <col min="14075" max="14076" width="5.08984375" style="9" customWidth="1"/>
    <col min="14077" max="14077" width="9.6328125" style="9" customWidth="1"/>
    <col min="14078" max="14079" width="11.6328125" style="9" customWidth="1"/>
    <col min="14080" max="14080" width="15.36328125" style="9" customWidth="1"/>
    <col min="14081" max="14081" width="10.90625" style="9" customWidth="1"/>
    <col min="14082" max="14092" width="13.36328125" style="9" customWidth="1"/>
    <col min="14093" max="14093" width="13.6328125" style="9" customWidth="1"/>
    <col min="14094" max="14094" width="16.453125" style="9" customWidth="1"/>
    <col min="14095" max="14329" width="9" style="9"/>
    <col min="14330" max="14330" width="9.6328125" style="9" customWidth="1"/>
    <col min="14331" max="14332" width="5.08984375" style="9" customWidth="1"/>
    <col min="14333" max="14333" width="9.6328125" style="9" customWidth="1"/>
    <col min="14334" max="14335" width="11.6328125" style="9" customWidth="1"/>
    <col min="14336" max="14336" width="15.36328125" style="9" customWidth="1"/>
    <col min="14337" max="14337" width="10.90625" style="9" customWidth="1"/>
    <col min="14338" max="14348" width="13.36328125" style="9" customWidth="1"/>
    <col min="14349" max="14349" width="13.6328125" style="9" customWidth="1"/>
    <col min="14350" max="14350" width="16.453125" style="9" customWidth="1"/>
    <col min="14351" max="14585" width="9" style="9"/>
    <col min="14586" max="14586" width="9.6328125" style="9" customWidth="1"/>
    <col min="14587" max="14588" width="5.08984375" style="9" customWidth="1"/>
    <col min="14589" max="14589" width="9.6328125" style="9" customWidth="1"/>
    <col min="14590" max="14591" width="11.6328125" style="9" customWidth="1"/>
    <col min="14592" max="14592" width="15.36328125" style="9" customWidth="1"/>
    <col min="14593" max="14593" width="10.90625" style="9" customWidth="1"/>
    <col min="14594" max="14604" width="13.36328125" style="9" customWidth="1"/>
    <col min="14605" max="14605" width="13.6328125" style="9" customWidth="1"/>
    <col min="14606" max="14606" width="16.453125" style="9" customWidth="1"/>
    <col min="14607" max="14841" width="9" style="9"/>
    <col min="14842" max="14842" width="9.6328125" style="9" customWidth="1"/>
    <col min="14843" max="14844" width="5.08984375" style="9" customWidth="1"/>
    <col min="14845" max="14845" width="9.6328125" style="9" customWidth="1"/>
    <col min="14846" max="14847" width="11.6328125" style="9" customWidth="1"/>
    <col min="14848" max="14848" width="15.36328125" style="9" customWidth="1"/>
    <col min="14849" max="14849" width="10.90625" style="9" customWidth="1"/>
    <col min="14850" max="14860" width="13.36328125" style="9" customWidth="1"/>
    <col min="14861" max="14861" width="13.6328125" style="9" customWidth="1"/>
    <col min="14862" max="14862" width="16.453125" style="9" customWidth="1"/>
    <col min="14863" max="15097" width="9" style="9"/>
    <col min="15098" max="15098" width="9.6328125" style="9" customWidth="1"/>
    <col min="15099" max="15100" width="5.08984375" style="9" customWidth="1"/>
    <col min="15101" max="15101" width="9.6328125" style="9" customWidth="1"/>
    <col min="15102" max="15103" width="11.6328125" style="9" customWidth="1"/>
    <col min="15104" max="15104" width="15.36328125" style="9" customWidth="1"/>
    <col min="15105" max="15105" width="10.90625" style="9" customWidth="1"/>
    <col min="15106" max="15116" width="13.36328125" style="9" customWidth="1"/>
    <col min="15117" max="15117" width="13.6328125" style="9" customWidth="1"/>
    <col min="15118" max="15118" width="16.453125" style="9" customWidth="1"/>
    <col min="15119" max="15353" width="9" style="9"/>
    <col min="15354" max="15354" width="9.6328125" style="9" customWidth="1"/>
    <col min="15355" max="15356" width="5.08984375" style="9" customWidth="1"/>
    <col min="15357" max="15357" width="9.6328125" style="9" customWidth="1"/>
    <col min="15358" max="15359" width="11.6328125" style="9" customWidth="1"/>
    <col min="15360" max="15360" width="15.36328125" style="9" customWidth="1"/>
    <col min="15361" max="15361" width="10.90625" style="9" customWidth="1"/>
    <col min="15362" max="15372" width="13.36328125" style="9" customWidth="1"/>
    <col min="15373" max="15373" width="13.6328125" style="9" customWidth="1"/>
    <col min="15374" max="15374" width="16.453125" style="9" customWidth="1"/>
    <col min="15375" max="15609" width="9" style="9"/>
    <col min="15610" max="15610" width="9.6328125" style="9" customWidth="1"/>
    <col min="15611" max="15612" width="5.08984375" style="9" customWidth="1"/>
    <col min="15613" max="15613" width="9.6328125" style="9" customWidth="1"/>
    <col min="15614" max="15615" width="11.6328125" style="9" customWidth="1"/>
    <col min="15616" max="15616" width="15.36328125" style="9" customWidth="1"/>
    <col min="15617" max="15617" width="10.90625" style="9" customWidth="1"/>
    <col min="15618" max="15628" width="13.36328125" style="9" customWidth="1"/>
    <col min="15629" max="15629" width="13.6328125" style="9" customWidth="1"/>
    <col min="15630" max="15630" width="16.453125" style="9" customWidth="1"/>
    <col min="15631" max="15865" width="9" style="9"/>
    <col min="15866" max="15866" width="9.6328125" style="9" customWidth="1"/>
    <col min="15867" max="15868" width="5.08984375" style="9" customWidth="1"/>
    <col min="15869" max="15869" width="9.6328125" style="9" customWidth="1"/>
    <col min="15870" max="15871" width="11.6328125" style="9" customWidth="1"/>
    <col min="15872" max="15872" width="15.36328125" style="9" customWidth="1"/>
    <col min="15873" max="15873" width="10.90625" style="9" customWidth="1"/>
    <col min="15874" max="15884" width="13.36328125" style="9" customWidth="1"/>
    <col min="15885" max="15885" width="13.6328125" style="9" customWidth="1"/>
    <col min="15886" max="15886" width="16.453125" style="9" customWidth="1"/>
    <col min="15887" max="16121" width="9" style="9"/>
    <col min="16122" max="16122" width="9.6328125" style="9" customWidth="1"/>
    <col min="16123" max="16124" width="5.08984375" style="9" customWidth="1"/>
    <col min="16125" max="16125" width="9.6328125" style="9" customWidth="1"/>
    <col min="16126" max="16127" width="11.6328125" style="9" customWidth="1"/>
    <col min="16128" max="16128" width="15.36328125" style="9" customWidth="1"/>
    <col min="16129" max="16129" width="10.90625" style="9" customWidth="1"/>
    <col min="16130" max="16140" width="13.36328125" style="9" customWidth="1"/>
    <col min="16141" max="16141" width="13.6328125" style="9" customWidth="1"/>
    <col min="16142" max="16142" width="16.453125" style="9" customWidth="1"/>
    <col min="16143" max="16384" width="9" style="9"/>
  </cols>
  <sheetData>
    <row r="1" spans="1:19" s="126" customFormat="1" ht="39.65" customHeight="1">
      <c r="A1" s="609"/>
      <c r="B1" s="609"/>
      <c r="C1" s="609"/>
      <c r="D1" s="3" t="s">
        <v>6</v>
      </c>
      <c r="E1" s="7" t="s">
        <v>7</v>
      </c>
      <c r="F1" s="7" t="s">
        <v>8</v>
      </c>
      <c r="G1" s="7" t="s">
        <v>9</v>
      </c>
      <c r="H1" s="7" t="s">
        <v>10</v>
      </c>
      <c r="I1" s="7" t="s">
        <v>11</v>
      </c>
      <c r="J1" s="7" t="s">
        <v>12</v>
      </c>
      <c r="K1" s="7" t="s">
        <v>13</v>
      </c>
      <c r="L1" s="7" t="s">
        <v>14</v>
      </c>
      <c r="M1" s="7" t="s">
        <v>15</v>
      </c>
      <c r="N1" s="7" t="s">
        <v>16</v>
      </c>
      <c r="O1" s="7" t="s">
        <v>17</v>
      </c>
      <c r="P1" s="8" t="s">
        <v>18</v>
      </c>
      <c r="Q1" s="125" t="s">
        <v>19</v>
      </c>
    </row>
    <row r="2" spans="1:19" s="127" customFormat="1" ht="21.65" customHeight="1">
      <c r="A2" s="610" t="s">
        <v>87</v>
      </c>
      <c r="B2" s="611"/>
      <c r="C2" s="611"/>
      <c r="D2" s="4" t="s">
        <v>20</v>
      </c>
      <c r="E2" s="314">
        <f>E5+E8</f>
        <v>56058811</v>
      </c>
      <c r="F2" s="314">
        <f t="shared" ref="F2:P2" si="0">F5+F8</f>
        <v>55056008</v>
      </c>
      <c r="G2" s="314">
        <f t="shared" si="0"/>
        <v>56149143</v>
      </c>
      <c r="H2" s="314">
        <f t="shared" si="0"/>
        <v>58799277</v>
      </c>
      <c r="I2" s="314">
        <f t="shared" si="0"/>
        <v>55632341</v>
      </c>
      <c r="J2" s="314">
        <f t="shared" si="0"/>
        <v>57287363</v>
      </c>
      <c r="K2" s="314">
        <f t="shared" si="0"/>
        <v>61911924</v>
      </c>
      <c r="L2" s="314">
        <f t="shared" si="0"/>
        <v>55318343</v>
      </c>
      <c r="M2" s="314">
        <f t="shared" si="0"/>
        <v>58644806</v>
      </c>
      <c r="N2" s="314">
        <f t="shared" si="0"/>
        <v>59091045</v>
      </c>
      <c r="O2" s="314">
        <f t="shared" si="0"/>
        <v>57178567</v>
      </c>
      <c r="P2" s="60">
        <f t="shared" si="0"/>
        <v>60248273.222222216</v>
      </c>
      <c r="Q2" s="60">
        <f>Q5+Q8</f>
        <v>691375901.22222233</v>
      </c>
    </row>
    <row r="3" spans="1:19" s="127" customFormat="1" ht="21.65" customHeight="1">
      <c r="A3" s="610"/>
      <c r="B3" s="611"/>
      <c r="C3" s="611"/>
      <c r="D3" s="5" t="s">
        <v>21</v>
      </c>
      <c r="E3" s="315">
        <f>E6+E9</f>
        <v>45001579.190476194</v>
      </c>
      <c r="F3" s="315">
        <f t="shared" ref="F3:P3" si="1">F6+F9</f>
        <v>44303397</v>
      </c>
      <c r="G3" s="315">
        <f t="shared" si="1"/>
        <v>45633632</v>
      </c>
      <c r="H3" s="315">
        <f t="shared" si="1"/>
        <v>46036102</v>
      </c>
      <c r="I3" s="315">
        <f t="shared" si="1"/>
        <v>45651218.966800436</v>
      </c>
      <c r="J3" s="315">
        <f t="shared" si="1"/>
        <v>46511417.840001166</v>
      </c>
      <c r="K3" s="315">
        <f t="shared" si="1"/>
        <v>47468200.46302449</v>
      </c>
      <c r="L3" s="315">
        <f t="shared" si="1"/>
        <v>45353471.243212014</v>
      </c>
      <c r="M3" s="315">
        <f t="shared" si="1"/>
        <v>46874174.853608951</v>
      </c>
      <c r="N3" s="315">
        <f t="shared" si="1"/>
        <v>47071789.361877978</v>
      </c>
      <c r="O3" s="315">
        <f t="shared" si="1"/>
        <v>46258019.854993984</v>
      </c>
      <c r="P3" s="61">
        <f t="shared" si="1"/>
        <v>47607740.277777776</v>
      </c>
      <c r="Q3" s="61">
        <f>Q6+Q9</f>
        <v>553770743.05177307</v>
      </c>
    </row>
    <row r="4" spans="1:19" s="127" customFormat="1" ht="21.65" customHeight="1">
      <c r="A4" s="610"/>
      <c r="B4" s="611"/>
      <c r="C4" s="611"/>
      <c r="D4" s="6" t="s">
        <v>22</v>
      </c>
      <c r="E4" s="316">
        <f>E2-E3</f>
        <v>11057231.809523806</v>
      </c>
      <c r="F4" s="316">
        <f t="shared" ref="F4:O4" si="2">F2-F3</f>
        <v>10752611</v>
      </c>
      <c r="G4" s="316">
        <f t="shared" si="2"/>
        <v>10515511</v>
      </c>
      <c r="H4" s="316">
        <f t="shared" si="2"/>
        <v>12763175</v>
      </c>
      <c r="I4" s="316">
        <f t="shared" si="2"/>
        <v>9981122.0331995636</v>
      </c>
      <c r="J4" s="316">
        <f t="shared" si="2"/>
        <v>10775945.159998834</v>
      </c>
      <c r="K4" s="316">
        <f t="shared" si="2"/>
        <v>14443723.53697551</v>
      </c>
      <c r="L4" s="316">
        <f t="shared" si="2"/>
        <v>9964871.7567879856</v>
      </c>
      <c r="M4" s="316">
        <f t="shared" si="2"/>
        <v>11770631.146391049</v>
      </c>
      <c r="N4" s="316">
        <f t="shared" si="2"/>
        <v>12019255.638122022</v>
      </c>
      <c r="O4" s="316">
        <f t="shared" si="2"/>
        <v>10920547.145006016</v>
      </c>
      <c r="P4" s="62">
        <f>P2-P3</f>
        <v>12640532.94444444</v>
      </c>
      <c r="Q4" s="62">
        <f>Q2-Q3</f>
        <v>137605158.17044926</v>
      </c>
    </row>
    <row r="5" spans="1:19" s="127" customFormat="1" ht="14.15" customHeight="1">
      <c r="A5" s="612" t="s">
        <v>105</v>
      </c>
      <c r="B5" s="612"/>
      <c r="C5" s="612"/>
      <c r="D5" s="128" t="s">
        <v>20</v>
      </c>
      <c r="E5" s="317">
        <f>まとめ!E61</f>
        <v>45780631</v>
      </c>
      <c r="F5" s="317">
        <f>まとめ!F61</f>
        <v>45006457</v>
      </c>
      <c r="G5" s="317">
        <f>まとめ!G61</f>
        <v>46132538</v>
      </c>
      <c r="H5" s="317">
        <f>まとめ!H61</f>
        <v>47813057</v>
      </c>
      <c r="I5" s="317">
        <f>まとめ!I61</f>
        <v>45095786</v>
      </c>
      <c r="J5" s="317">
        <f>まとめ!J61</f>
        <v>45964337</v>
      </c>
      <c r="K5" s="317">
        <f>まとめ!K61</f>
        <v>48641845</v>
      </c>
      <c r="L5" s="317">
        <f>まとめ!L61</f>
        <v>44714137</v>
      </c>
      <c r="M5" s="317">
        <f>まとめ!M61</f>
        <v>47505249</v>
      </c>
      <c r="N5" s="317">
        <f>まとめ!N61</f>
        <v>47043254</v>
      </c>
      <c r="O5" s="317">
        <f>まとめ!O61</f>
        <v>45471397</v>
      </c>
      <c r="P5" s="63">
        <f>まとめ!P61</f>
        <v>47818949.333333328</v>
      </c>
      <c r="Q5" s="64">
        <f>SUM(E5:P5)</f>
        <v>556987637.33333337</v>
      </c>
      <c r="S5" s="129"/>
    </row>
    <row r="6" spans="1:19" s="127" customFormat="1" ht="14.15" customHeight="1">
      <c r="A6" s="613"/>
      <c r="B6" s="613"/>
      <c r="C6" s="613"/>
      <c r="D6" s="130" t="s">
        <v>21</v>
      </c>
      <c r="E6" s="318">
        <f>まとめ!E62</f>
        <v>36598064.190476194</v>
      </c>
      <c r="F6" s="318">
        <f>まとめ!F62</f>
        <v>36175956</v>
      </c>
      <c r="G6" s="318">
        <f>まとめ!G62</f>
        <v>37289937</v>
      </c>
      <c r="H6" s="318">
        <f>まとめ!H62</f>
        <v>37229902</v>
      </c>
      <c r="I6" s="318">
        <f>まとめ!I62</f>
        <v>36754193.966800436</v>
      </c>
      <c r="J6" s="318">
        <f>まとめ!J62</f>
        <v>36999217.840001166</v>
      </c>
      <c r="K6" s="318">
        <f>まとめ!K62</f>
        <v>38087958.46302449</v>
      </c>
      <c r="L6" s="318">
        <f>まとめ!L62</f>
        <v>36819954.243212014</v>
      </c>
      <c r="M6" s="318">
        <f>まとめ!M62</f>
        <v>38061630.853608951</v>
      </c>
      <c r="N6" s="318">
        <f>まとめ!N62</f>
        <v>37708551.361877978</v>
      </c>
      <c r="O6" s="318">
        <f>まとめ!O62</f>
        <v>36976148.854993984</v>
      </c>
      <c r="P6" s="64">
        <f>まとめ!P62</f>
        <v>37961867.333333328</v>
      </c>
      <c r="Q6" s="64">
        <f>SUM(E6:P6)</f>
        <v>446663382.10732859</v>
      </c>
      <c r="S6" s="129"/>
    </row>
    <row r="7" spans="1:19" s="127" customFormat="1" ht="14.15" customHeight="1">
      <c r="A7" s="614"/>
      <c r="B7" s="614"/>
      <c r="C7" s="614"/>
      <c r="D7" s="6" t="s">
        <v>22</v>
      </c>
      <c r="E7" s="319">
        <f>E5-E6</f>
        <v>9182566.809523806</v>
      </c>
      <c r="F7" s="319">
        <f t="shared" ref="F7:P7" si="3">F5-F6</f>
        <v>8830501</v>
      </c>
      <c r="G7" s="319">
        <f t="shared" si="3"/>
        <v>8842601</v>
      </c>
      <c r="H7" s="319">
        <f t="shared" si="3"/>
        <v>10583155</v>
      </c>
      <c r="I7" s="319">
        <f t="shared" si="3"/>
        <v>8341592.0331995636</v>
      </c>
      <c r="J7" s="319">
        <f t="shared" si="3"/>
        <v>8965119.1599988341</v>
      </c>
      <c r="K7" s="319">
        <f t="shared" si="3"/>
        <v>10553886.53697551</v>
      </c>
      <c r="L7" s="319">
        <f t="shared" si="3"/>
        <v>7894182.7567879856</v>
      </c>
      <c r="M7" s="319">
        <f t="shared" si="3"/>
        <v>9443618.146391049</v>
      </c>
      <c r="N7" s="319">
        <f t="shared" si="3"/>
        <v>9334702.6381220222</v>
      </c>
      <c r="O7" s="319">
        <f t="shared" si="3"/>
        <v>8495248.1450060159</v>
      </c>
      <c r="P7" s="65">
        <f t="shared" si="3"/>
        <v>9857082</v>
      </c>
      <c r="Q7" s="65">
        <f>SUM(E7:P7)</f>
        <v>110324255.22600478</v>
      </c>
      <c r="S7" s="129"/>
    </row>
    <row r="8" spans="1:19" s="127" customFormat="1" ht="14.15" customHeight="1">
      <c r="A8" s="612" t="s">
        <v>85</v>
      </c>
      <c r="B8" s="612"/>
      <c r="C8" s="612"/>
      <c r="D8" s="128" t="s">
        <v>20</v>
      </c>
      <c r="E8" s="317">
        <f>まとめ!E64</f>
        <v>10278180</v>
      </c>
      <c r="F8" s="317">
        <f>まとめ!F64</f>
        <v>10049551</v>
      </c>
      <c r="G8" s="317">
        <f>まとめ!G64</f>
        <v>10016605</v>
      </c>
      <c r="H8" s="317">
        <f>まとめ!H64</f>
        <v>10986220</v>
      </c>
      <c r="I8" s="317">
        <f>まとめ!I64</f>
        <v>10536555</v>
      </c>
      <c r="J8" s="317">
        <f>まとめ!J64</f>
        <v>11323026</v>
      </c>
      <c r="K8" s="317">
        <f>まとめ!K64</f>
        <v>13270079</v>
      </c>
      <c r="L8" s="317">
        <f>まとめ!L64</f>
        <v>10604206</v>
      </c>
      <c r="M8" s="317">
        <f>まとめ!M64</f>
        <v>11139557</v>
      </c>
      <c r="N8" s="317">
        <f>まとめ!N64</f>
        <v>12047791</v>
      </c>
      <c r="O8" s="317">
        <f>まとめ!O64</f>
        <v>11707170</v>
      </c>
      <c r="P8" s="63">
        <f>まとめ!P64</f>
        <v>12429323.888888888</v>
      </c>
      <c r="Q8" s="63">
        <f t="shared" ref="Q8:Q10" si="4">SUM(E8:P8)</f>
        <v>134388263.8888889</v>
      </c>
      <c r="S8" s="129"/>
    </row>
    <row r="9" spans="1:19" s="127" customFormat="1" ht="14.15" customHeight="1">
      <c r="A9" s="613"/>
      <c r="B9" s="613"/>
      <c r="C9" s="613"/>
      <c r="D9" s="130" t="s">
        <v>21</v>
      </c>
      <c r="E9" s="318">
        <f>まとめ!E65</f>
        <v>8403515</v>
      </c>
      <c r="F9" s="318">
        <f>まとめ!F65</f>
        <v>8127441</v>
      </c>
      <c r="G9" s="318">
        <f>まとめ!G65</f>
        <v>8343695</v>
      </c>
      <c r="H9" s="318">
        <f>まとめ!H65</f>
        <v>8806200</v>
      </c>
      <c r="I9" s="318">
        <f>まとめ!I65</f>
        <v>8897025</v>
      </c>
      <c r="J9" s="318">
        <f>まとめ!J65</f>
        <v>9512200</v>
      </c>
      <c r="K9" s="318">
        <f>まとめ!K65</f>
        <v>9380242</v>
      </c>
      <c r="L9" s="318">
        <f>まとめ!L65</f>
        <v>8533517</v>
      </c>
      <c r="M9" s="318">
        <f>まとめ!M65</f>
        <v>8812544</v>
      </c>
      <c r="N9" s="318">
        <f>まとめ!N65</f>
        <v>9363238</v>
      </c>
      <c r="O9" s="318">
        <f>まとめ!O65</f>
        <v>9281871</v>
      </c>
      <c r="P9" s="64">
        <f>まとめ!P65</f>
        <v>9645872.944444444</v>
      </c>
      <c r="Q9" s="64">
        <f>SUM(E9:P9)</f>
        <v>107107360.94444445</v>
      </c>
      <c r="S9" s="129"/>
    </row>
    <row r="10" spans="1:19" s="127" customFormat="1" ht="14.15" customHeight="1">
      <c r="A10" s="614"/>
      <c r="B10" s="614"/>
      <c r="C10" s="614"/>
      <c r="D10" s="6" t="s">
        <v>22</v>
      </c>
      <c r="E10" s="319">
        <f>E8-E9</f>
        <v>1874665</v>
      </c>
      <c r="F10" s="319">
        <f t="shared" ref="F10:P10" si="5">F8-F9</f>
        <v>1922110</v>
      </c>
      <c r="G10" s="319">
        <f t="shared" si="5"/>
        <v>1672910</v>
      </c>
      <c r="H10" s="319">
        <f t="shared" si="5"/>
        <v>2180020</v>
      </c>
      <c r="I10" s="319">
        <f t="shared" si="5"/>
        <v>1639530</v>
      </c>
      <c r="J10" s="319">
        <f t="shared" si="5"/>
        <v>1810826</v>
      </c>
      <c r="K10" s="319">
        <f t="shared" si="5"/>
        <v>3889837</v>
      </c>
      <c r="L10" s="319">
        <f t="shared" si="5"/>
        <v>2070689</v>
      </c>
      <c r="M10" s="319">
        <f t="shared" si="5"/>
        <v>2327013</v>
      </c>
      <c r="N10" s="319">
        <f t="shared" si="5"/>
        <v>2684553</v>
      </c>
      <c r="O10" s="319">
        <f t="shared" si="5"/>
        <v>2425299</v>
      </c>
      <c r="P10" s="65">
        <f t="shared" si="5"/>
        <v>2783450.944444444</v>
      </c>
      <c r="Q10" s="65">
        <f t="shared" si="4"/>
        <v>27280902.944444444</v>
      </c>
      <c r="S10" s="129"/>
    </row>
    <row r="11" spans="1:19" s="127" customFormat="1" ht="14.15" customHeight="1">
      <c r="A11" s="131"/>
      <c r="B11" s="131"/>
      <c r="C11" s="131"/>
      <c r="D11" s="128" t="s">
        <v>20</v>
      </c>
      <c r="E11" s="314">
        <f t="shared" ref="E11:Q11" si="6">E2</f>
        <v>56058811</v>
      </c>
      <c r="F11" s="314">
        <f t="shared" si="6"/>
        <v>55056008</v>
      </c>
      <c r="G11" s="314">
        <f t="shared" si="6"/>
        <v>56149143</v>
      </c>
      <c r="H11" s="314">
        <f t="shared" si="6"/>
        <v>58799277</v>
      </c>
      <c r="I11" s="314">
        <f t="shared" si="6"/>
        <v>55632341</v>
      </c>
      <c r="J11" s="314">
        <f t="shared" si="6"/>
        <v>57287363</v>
      </c>
      <c r="K11" s="314">
        <f t="shared" si="6"/>
        <v>61911924</v>
      </c>
      <c r="L11" s="314">
        <f t="shared" si="6"/>
        <v>55318343</v>
      </c>
      <c r="M11" s="314">
        <f t="shared" si="6"/>
        <v>58644806</v>
      </c>
      <c r="N11" s="314">
        <f t="shared" si="6"/>
        <v>59091045</v>
      </c>
      <c r="O11" s="314">
        <f t="shared" si="6"/>
        <v>57178567</v>
      </c>
      <c r="P11" s="60">
        <f t="shared" si="6"/>
        <v>60248273.222222216</v>
      </c>
      <c r="Q11" s="60">
        <f t="shared" si="6"/>
        <v>691375901.22222233</v>
      </c>
      <c r="S11" s="129"/>
    </row>
    <row r="12" spans="1:19" s="127" customFormat="1" ht="14.15" customHeight="1">
      <c r="A12" s="131"/>
      <c r="B12" s="131"/>
      <c r="C12" s="131"/>
      <c r="D12" s="130" t="s">
        <v>21</v>
      </c>
      <c r="E12" s="315">
        <f t="shared" ref="E12:Q12" si="7">E3</f>
        <v>45001579.190476194</v>
      </c>
      <c r="F12" s="315">
        <f t="shared" si="7"/>
        <v>44303397</v>
      </c>
      <c r="G12" s="315">
        <f t="shared" si="7"/>
        <v>45633632</v>
      </c>
      <c r="H12" s="315">
        <f t="shared" si="7"/>
        <v>46036102</v>
      </c>
      <c r="I12" s="315">
        <f t="shared" si="7"/>
        <v>45651218.966800436</v>
      </c>
      <c r="J12" s="315">
        <f t="shared" si="7"/>
        <v>46511417.840001166</v>
      </c>
      <c r="K12" s="315">
        <f t="shared" si="7"/>
        <v>47468200.46302449</v>
      </c>
      <c r="L12" s="315">
        <f t="shared" si="7"/>
        <v>45353471.243212014</v>
      </c>
      <c r="M12" s="315">
        <f t="shared" si="7"/>
        <v>46874174.853608951</v>
      </c>
      <c r="N12" s="315">
        <f t="shared" si="7"/>
        <v>47071789.361877978</v>
      </c>
      <c r="O12" s="315">
        <f t="shared" si="7"/>
        <v>46258019.854993984</v>
      </c>
      <c r="P12" s="61">
        <f t="shared" si="7"/>
        <v>47607740.277777776</v>
      </c>
      <c r="Q12" s="61">
        <f t="shared" si="7"/>
        <v>553770743.05177307</v>
      </c>
      <c r="S12" s="129"/>
    </row>
    <row r="13" spans="1:19" s="127" customFormat="1" ht="14.15" customHeight="1">
      <c r="A13" s="131"/>
      <c r="B13" s="131"/>
      <c r="C13" s="131"/>
      <c r="D13" s="132" t="s">
        <v>22</v>
      </c>
      <c r="E13" s="319">
        <f t="shared" ref="E13:Q13" si="8">E4</f>
        <v>11057231.809523806</v>
      </c>
      <c r="F13" s="319">
        <f t="shared" si="8"/>
        <v>10752611</v>
      </c>
      <c r="G13" s="319">
        <f t="shared" si="8"/>
        <v>10515511</v>
      </c>
      <c r="H13" s="319">
        <f t="shared" si="8"/>
        <v>12763175</v>
      </c>
      <c r="I13" s="319">
        <f t="shared" si="8"/>
        <v>9981122.0331995636</v>
      </c>
      <c r="J13" s="319">
        <f t="shared" si="8"/>
        <v>10775945.159998834</v>
      </c>
      <c r="K13" s="319">
        <f t="shared" si="8"/>
        <v>14443723.53697551</v>
      </c>
      <c r="L13" s="319">
        <f t="shared" si="8"/>
        <v>9964871.7567879856</v>
      </c>
      <c r="M13" s="319">
        <f t="shared" si="8"/>
        <v>11770631.146391049</v>
      </c>
      <c r="N13" s="319">
        <f t="shared" si="8"/>
        <v>12019255.638122022</v>
      </c>
      <c r="O13" s="319">
        <f t="shared" si="8"/>
        <v>10920547.145006016</v>
      </c>
      <c r="P13" s="65">
        <f t="shared" si="8"/>
        <v>12640532.94444444</v>
      </c>
      <c r="Q13" s="65">
        <f t="shared" si="8"/>
        <v>137605158.17044926</v>
      </c>
      <c r="S13" s="129"/>
    </row>
    <row r="14" spans="1:19" s="127" customFormat="1" ht="14.15" customHeight="1">
      <c r="A14" s="131"/>
      <c r="B14" s="131"/>
      <c r="C14" s="131"/>
      <c r="D14" s="128" t="s">
        <v>74</v>
      </c>
      <c r="E14" s="605">
        <f>SUM(E11:G11)</f>
        <v>167263962</v>
      </c>
      <c r="F14" s="605"/>
      <c r="G14" s="605"/>
      <c r="H14" s="605">
        <f t="shared" ref="H14:H15" si="9">SUM(H11:J11)</f>
        <v>171718981</v>
      </c>
      <c r="I14" s="605"/>
      <c r="J14" s="605"/>
      <c r="K14" s="605">
        <f>SUM(K11:M11)</f>
        <v>175875073</v>
      </c>
      <c r="L14" s="605"/>
      <c r="M14" s="605"/>
      <c r="N14" s="606">
        <f>SUM(N11:P11)</f>
        <v>176517885.22222221</v>
      </c>
      <c r="O14" s="606"/>
      <c r="P14" s="606"/>
      <c r="Q14" s="66">
        <f>SUM(E14:P14)</f>
        <v>691375901.22222221</v>
      </c>
      <c r="S14" s="129"/>
    </row>
    <row r="15" spans="1:19" s="127" customFormat="1" ht="14.15" customHeight="1">
      <c r="A15" s="131"/>
      <c r="B15" s="131"/>
      <c r="C15" s="131"/>
      <c r="D15" s="130" t="s">
        <v>77</v>
      </c>
      <c r="E15" s="607">
        <f>SUM(E12:G12)</f>
        <v>134938608.19047618</v>
      </c>
      <c r="F15" s="607"/>
      <c r="G15" s="607"/>
      <c r="H15" s="607">
        <f t="shared" si="9"/>
        <v>138198738.80680162</v>
      </c>
      <c r="I15" s="607"/>
      <c r="J15" s="607"/>
      <c r="K15" s="607">
        <f t="shared" ref="K15" si="10">SUM(K12:M12)</f>
        <v>139695846.55984545</v>
      </c>
      <c r="L15" s="607"/>
      <c r="M15" s="607"/>
      <c r="N15" s="608">
        <f t="shared" ref="N15:N16" si="11">SUM(N12:P12)</f>
        <v>140937549.49464974</v>
      </c>
      <c r="O15" s="608"/>
      <c r="P15" s="608"/>
      <c r="Q15" s="67">
        <f>SUM(E15:P15)</f>
        <v>553770743.05177295</v>
      </c>
      <c r="S15" s="129"/>
    </row>
    <row r="16" spans="1:19" s="127" customFormat="1" ht="14.15" customHeight="1">
      <c r="A16" s="131"/>
      <c r="B16" s="131"/>
      <c r="C16" s="131"/>
      <c r="D16" s="132" t="s">
        <v>75</v>
      </c>
      <c r="E16" s="603">
        <f>SUM(E13:G13)</f>
        <v>32325353.809523806</v>
      </c>
      <c r="F16" s="603"/>
      <c r="G16" s="603"/>
      <c r="H16" s="603">
        <f>SUM(H13:J13)</f>
        <v>33520242.193198398</v>
      </c>
      <c r="I16" s="603"/>
      <c r="J16" s="603"/>
      <c r="K16" s="603">
        <f>SUM(K13:M13)</f>
        <v>36179226.440154545</v>
      </c>
      <c r="L16" s="603"/>
      <c r="M16" s="603"/>
      <c r="N16" s="604">
        <f t="shared" si="11"/>
        <v>35580335.727572478</v>
      </c>
      <c r="O16" s="604"/>
      <c r="P16" s="604"/>
      <c r="Q16" s="68">
        <f>SUM(E16:P16)</f>
        <v>137605158.17044923</v>
      </c>
      <c r="S16" s="129"/>
    </row>
    <row r="17" spans="1:19" s="127" customFormat="1" ht="14.15" customHeigh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S17" s="129"/>
    </row>
    <row r="18" spans="1:19" ht="14.15" customHeight="1">
      <c r="S18" s="129"/>
    </row>
    <row r="19" spans="1:19" ht="14.15" customHeight="1">
      <c r="S19" s="129"/>
    </row>
    <row r="20" spans="1:19" ht="14.15" customHeight="1">
      <c r="S20" s="129"/>
    </row>
    <row r="21" spans="1:19" ht="14.15" customHeight="1">
      <c r="S21" s="129"/>
    </row>
    <row r="22" spans="1:19" ht="14.15" customHeight="1">
      <c r="S22" s="129"/>
    </row>
    <row r="23" spans="1:19" ht="14.15" customHeight="1">
      <c r="S23" s="129"/>
    </row>
    <row r="24" spans="1:19" ht="14.15" customHeight="1">
      <c r="S24" s="129"/>
    </row>
    <row r="25" spans="1:19" ht="14.15" customHeight="1">
      <c r="S25" s="129"/>
    </row>
    <row r="26" spans="1:19" ht="14.15" customHeight="1">
      <c r="S26" s="129"/>
    </row>
    <row r="27" spans="1:19" ht="14.15" customHeight="1">
      <c r="S27" s="129"/>
    </row>
    <row r="28" spans="1:19" ht="14.15" customHeight="1">
      <c r="S28" s="129"/>
    </row>
    <row r="29" spans="1:19" ht="14.15" customHeight="1">
      <c r="S29" s="129"/>
    </row>
    <row r="30" spans="1:19" ht="14.15" customHeight="1">
      <c r="S30" s="129"/>
    </row>
    <row r="31" spans="1:19" ht="14.15" customHeight="1">
      <c r="S31" s="129"/>
    </row>
    <row r="32" spans="1:19" ht="14.15" customHeight="1">
      <c r="S32" s="129"/>
    </row>
    <row r="33" spans="19:19" ht="14.15" customHeight="1">
      <c r="S33" s="129"/>
    </row>
    <row r="34" spans="19:19" ht="14.15" customHeight="1">
      <c r="S34" s="129"/>
    </row>
    <row r="35" spans="19:19" ht="14.15" customHeight="1">
      <c r="S35" s="129"/>
    </row>
    <row r="36" spans="19:19" ht="14.15" customHeight="1">
      <c r="S36" s="129"/>
    </row>
    <row r="37" spans="19:19" ht="14.15" customHeight="1">
      <c r="S37" s="129"/>
    </row>
    <row r="38" spans="19:19" ht="14.15" customHeight="1">
      <c r="S38" s="129"/>
    </row>
    <row r="39" spans="19:19" ht="14.15" customHeight="1">
      <c r="S39" s="129"/>
    </row>
    <row r="40" spans="19:19" ht="14.15" customHeight="1">
      <c r="S40" s="129"/>
    </row>
    <row r="41" spans="19:19" ht="14.15" customHeight="1">
      <c r="S41" s="129"/>
    </row>
    <row r="42" spans="19:19" ht="14.15" customHeight="1">
      <c r="S42" s="129"/>
    </row>
    <row r="43" spans="19:19" ht="14.15" customHeight="1">
      <c r="S43" s="129"/>
    </row>
    <row r="44" spans="19:19" ht="14.15" customHeight="1">
      <c r="S44" s="129"/>
    </row>
    <row r="45" spans="19:19" ht="14.15" customHeight="1">
      <c r="S45" s="129"/>
    </row>
    <row r="46" spans="19:19" ht="14.15" customHeight="1">
      <c r="S46" s="129"/>
    </row>
    <row r="47" spans="19:19" ht="14.15" customHeight="1">
      <c r="S47" s="129"/>
    </row>
    <row r="48" spans="19:19" ht="14.15" customHeight="1">
      <c r="S48" s="129"/>
    </row>
    <row r="49" spans="19:19" ht="14.15" customHeight="1">
      <c r="S49" s="129"/>
    </row>
    <row r="50" spans="19:19" ht="14.15" customHeight="1">
      <c r="S50" s="129"/>
    </row>
    <row r="51" spans="19:19" ht="14.15" customHeight="1">
      <c r="S51" s="129"/>
    </row>
    <row r="52" spans="19:19" ht="14.15" customHeight="1">
      <c r="S52" s="129"/>
    </row>
    <row r="53" spans="19:19" ht="14.15" customHeight="1">
      <c r="S53" s="129"/>
    </row>
    <row r="54" spans="19:19" ht="14.15" customHeight="1">
      <c r="S54" s="129"/>
    </row>
    <row r="55" spans="19:19" ht="14.15" customHeight="1">
      <c r="S55" s="129"/>
    </row>
    <row r="56" spans="19:19" ht="14.15" customHeight="1">
      <c r="S56" s="129"/>
    </row>
    <row r="57" spans="19:19" ht="14.15" customHeight="1">
      <c r="S57" s="129"/>
    </row>
    <row r="58" spans="19:19" ht="14.15" customHeight="1">
      <c r="S58" s="129"/>
    </row>
    <row r="59" spans="19:19" ht="14.15" customHeight="1">
      <c r="S59" s="129"/>
    </row>
    <row r="60" spans="19:19" ht="14.15" customHeight="1">
      <c r="S60" s="129"/>
    </row>
    <row r="61" spans="19:19" ht="14.15" customHeight="1">
      <c r="S61" s="129"/>
    </row>
    <row r="62" spans="19:19" ht="14.15" customHeight="1">
      <c r="S62" s="129"/>
    </row>
    <row r="63" spans="19:19" ht="14.15" customHeight="1">
      <c r="S63" s="129"/>
    </row>
    <row r="64" spans="19:19" ht="14.15" customHeight="1">
      <c r="S64" s="129"/>
    </row>
    <row r="65" spans="19:19" ht="14.15" customHeight="1">
      <c r="S65" s="129"/>
    </row>
    <row r="66" spans="19:19" ht="14.15" customHeight="1">
      <c r="S66" s="129"/>
    </row>
    <row r="67" spans="19:19" ht="14.15" customHeight="1">
      <c r="S67" s="129"/>
    </row>
    <row r="68" spans="19:19" ht="14.15" customHeight="1">
      <c r="S68" s="129"/>
    </row>
    <row r="69" spans="19:19" ht="14.15" customHeight="1">
      <c r="S69" s="129"/>
    </row>
    <row r="70" spans="19:19" ht="14.15" customHeight="1">
      <c r="S70" s="129"/>
    </row>
    <row r="71" spans="19:19" ht="14.15" customHeight="1">
      <c r="S71" s="129"/>
    </row>
    <row r="72" spans="19:19" ht="14.15" customHeight="1">
      <c r="S72" s="129"/>
    </row>
    <row r="73" spans="19:19" ht="14.15" customHeight="1">
      <c r="S73" s="129"/>
    </row>
    <row r="74" spans="19:19" ht="14.15" customHeight="1">
      <c r="S74" s="129"/>
    </row>
    <row r="75" spans="19:19" ht="14.15" customHeight="1">
      <c r="S75" s="129"/>
    </row>
    <row r="76" spans="19:19" ht="14.15" customHeight="1">
      <c r="S76" s="129"/>
    </row>
    <row r="77" spans="19:19" ht="14.15" customHeight="1">
      <c r="S77" s="129"/>
    </row>
    <row r="78" spans="19:19" ht="14.15" customHeight="1">
      <c r="S78" s="129"/>
    </row>
    <row r="79" spans="19:19" ht="14.15" customHeight="1">
      <c r="S79" s="129"/>
    </row>
    <row r="80" spans="19:19" ht="14.15" customHeight="1">
      <c r="S80" s="129"/>
    </row>
    <row r="81" spans="19:19" ht="14.15" customHeight="1">
      <c r="S81" s="129"/>
    </row>
    <row r="82" spans="19:19" ht="14.15" customHeight="1">
      <c r="S82" s="129"/>
    </row>
    <row r="83" spans="19:19" ht="14.15" customHeight="1">
      <c r="S83" s="129"/>
    </row>
    <row r="84" spans="19:19" ht="14.15" customHeight="1">
      <c r="S84" s="129"/>
    </row>
    <row r="85" spans="19:19" ht="14.15" customHeight="1">
      <c r="S85" s="129"/>
    </row>
    <row r="86" spans="19:19" ht="14.15" customHeight="1">
      <c r="S86" s="129"/>
    </row>
    <row r="87" spans="19:19" ht="14.15" customHeight="1">
      <c r="S87" s="129"/>
    </row>
    <row r="88" spans="19:19" ht="14.15" customHeight="1">
      <c r="S88" s="129"/>
    </row>
    <row r="89" spans="19:19" ht="14.15" customHeight="1">
      <c r="S89" s="129"/>
    </row>
    <row r="90" spans="19:19" ht="14.15" customHeight="1">
      <c r="S90" s="129"/>
    </row>
    <row r="91" spans="19:19" ht="14.15" customHeight="1">
      <c r="S91" s="129"/>
    </row>
    <row r="92" spans="19:19" ht="14.15" customHeight="1">
      <c r="S92" s="129"/>
    </row>
    <row r="93" spans="19:19" ht="14.15" customHeight="1">
      <c r="S93" s="129"/>
    </row>
    <row r="94" spans="19:19" ht="14.15" customHeight="1">
      <c r="S94" s="129"/>
    </row>
    <row r="95" spans="19:19" ht="14.15" customHeight="1">
      <c r="S95" s="129"/>
    </row>
    <row r="96" spans="19:19" ht="14.15" customHeight="1">
      <c r="S96" s="129"/>
    </row>
    <row r="97" spans="19:19" ht="14.15" customHeight="1">
      <c r="S97" s="129"/>
    </row>
    <row r="98" spans="19:19" ht="14.15" customHeight="1">
      <c r="S98" s="129"/>
    </row>
    <row r="99" spans="19:19" ht="14.15" customHeight="1">
      <c r="S99" s="129"/>
    </row>
    <row r="100" spans="19:19" ht="14.15" customHeight="1">
      <c r="S100" s="129"/>
    </row>
    <row r="101" spans="19:19" ht="14.15" customHeight="1">
      <c r="S101" s="129"/>
    </row>
    <row r="102" spans="19:19" ht="14.15" customHeight="1">
      <c r="S102" s="129"/>
    </row>
    <row r="103" spans="19:19" ht="14.15" customHeight="1">
      <c r="S103" s="129"/>
    </row>
    <row r="104" spans="19:19" ht="14.15" customHeight="1">
      <c r="S104" s="129"/>
    </row>
    <row r="105" spans="19:19" ht="14.15" customHeight="1">
      <c r="S105" s="129"/>
    </row>
    <row r="106" spans="19:19" ht="14.15" customHeight="1">
      <c r="S106" s="129"/>
    </row>
    <row r="107" spans="19:19" ht="14.15" customHeight="1">
      <c r="S107" s="129"/>
    </row>
    <row r="108" spans="19:19" ht="14.15" customHeight="1">
      <c r="S108" s="129"/>
    </row>
    <row r="109" spans="19:19" ht="14.15" customHeight="1">
      <c r="S109" s="129"/>
    </row>
    <row r="110" spans="19:19" ht="14.15" customHeight="1">
      <c r="S110" s="129"/>
    </row>
    <row r="111" spans="19:19" ht="14.15" customHeight="1">
      <c r="S111" s="129"/>
    </row>
    <row r="112" spans="19:19" ht="14.15" customHeight="1">
      <c r="S112" s="129"/>
    </row>
    <row r="113" spans="19:19" ht="14.15" customHeight="1">
      <c r="S113" s="129"/>
    </row>
    <row r="114" spans="19:19" ht="14.15" customHeight="1">
      <c r="S114" s="129"/>
    </row>
    <row r="115" spans="19:19" ht="14.15" customHeight="1">
      <c r="S115" s="129"/>
    </row>
    <row r="116" spans="19:19" ht="14.15" customHeight="1">
      <c r="S116" s="129"/>
    </row>
    <row r="117" spans="19:19" ht="14.15" customHeight="1">
      <c r="S117" s="129"/>
    </row>
    <row r="118" spans="19:19" ht="14.15" customHeight="1">
      <c r="S118" s="129"/>
    </row>
    <row r="119" spans="19:19" ht="14.15" customHeight="1">
      <c r="S119" s="129"/>
    </row>
    <row r="120" spans="19:19" ht="14.15" customHeight="1">
      <c r="S120" s="129"/>
    </row>
    <row r="121" spans="19:19" ht="14.15" customHeight="1">
      <c r="S121" s="129"/>
    </row>
    <row r="122" spans="19:19" ht="14.15" customHeight="1">
      <c r="S122" s="129"/>
    </row>
    <row r="123" spans="19:19" ht="14.15" customHeight="1">
      <c r="S123" s="129"/>
    </row>
    <row r="124" spans="19:19" ht="14.15" customHeight="1">
      <c r="S124" s="129"/>
    </row>
    <row r="125" spans="19:19" ht="14.15" customHeight="1">
      <c r="S125" s="129"/>
    </row>
  </sheetData>
  <mergeCells count="16">
    <mergeCell ref="A1:C1"/>
    <mergeCell ref="A2:C4"/>
    <mergeCell ref="A5:C7"/>
    <mergeCell ref="A8:C10"/>
    <mergeCell ref="E16:G16"/>
    <mergeCell ref="H16:J16"/>
    <mergeCell ref="K16:M16"/>
    <mergeCell ref="N16:P16"/>
    <mergeCell ref="E14:G14"/>
    <mergeCell ref="H14:J14"/>
    <mergeCell ref="K14:M14"/>
    <mergeCell ref="N14:P14"/>
    <mergeCell ref="E15:G15"/>
    <mergeCell ref="H15:J15"/>
    <mergeCell ref="K15:M15"/>
    <mergeCell ref="N15:P15"/>
  </mergeCells>
  <phoneticPr fontId="10"/>
  <printOptions horizontalCentered="1"/>
  <pageMargins left="0.70866141732283472" right="0.70866141732283472" top="0.74803149606299213" bottom="0.74803149606299213" header="0.31496062992125984" footer="0.31496062992125984"/>
  <pageSetup paperSize="9" scale="62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CD642-0ECB-444E-8C10-4845BE564B8A}">
  <sheetPr>
    <pageSetUpPr fitToPage="1"/>
  </sheetPr>
  <dimension ref="A1:S125"/>
  <sheetViews>
    <sheetView showGridLines="0" zoomScale="80" zoomScaleNormal="80" zoomScaleSheetLayoutView="70" workbookViewId="0">
      <pane xSplit="3" ySplit="4" topLeftCell="D5" activePane="bottomRight" state="frozen"/>
      <selection pane="topRight" activeCell="D1" sqref="D1"/>
      <selection pane="bottomLeft" activeCell="A5" sqref="A5"/>
      <selection pane="bottomRight" sqref="A1:C1"/>
    </sheetView>
  </sheetViews>
  <sheetFormatPr defaultRowHeight="14.15" customHeight="1"/>
  <cols>
    <col min="1" max="1" width="8.6328125" style="9" customWidth="1"/>
    <col min="2" max="2" width="9.36328125" style="9" customWidth="1"/>
    <col min="3" max="3" width="8.36328125" style="9" customWidth="1"/>
    <col min="4" max="4" width="11.08984375" style="9" bestFit="1" customWidth="1"/>
    <col min="5" max="16" width="14.08984375" style="9" customWidth="1"/>
    <col min="17" max="17" width="17.6328125" style="9" customWidth="1"/>
    <col min="18" max="18" width="9" style="9"/>
    <col min="19" max="19" width="11" style="9" bestFit="1" customWidth="1"/>
    <col min="20" max="249" width="9" style="9"/>
    <col min="250" max="250" width="9.6328125" style="9" customWidth="1"/>
    <col min="251" max="252" width="5.08984375" style="9" customWidth="1"/>
    <col min="253" max="253" width="9.6328125" style="9" customWidth="1"/>
    <col min="254" max="255" width="11.6328125" style="9" customWidth="1"/>
    <col min="256" max="256" width="15.36328125" style="9" customWidth="1"/>
    <col min="257" max="257" width="10.90625" style="9" customWidth="1"/>
    <col min="258" max="268" width="13.36328125" style="9" customWidth="1"/>
    <col min="269" max="269" width="13.6328125" style="9" customWidth="1"/>
    <col min="270" max="270" width="16.453125" style="9" customWidth="1"/>
    <col min="271" max="505" width="9" style="9"/>
    <col min="506" max="506" width="9.6328125" style="9" customWidth="1"/>
    <col min="507" max="508" width="5.08984375" style="9" customWidth="1"/>
    <col min="509" max="509" width="9.6328125" style="9" customWidth="1"/>
    <col min="510" max="511" width="11.6328125" style="9" customWidth="1"/>
    <col min="512" max="512" width="15.36328125" style="9" customWidth="1"/>
    <col min="513" max="513" width="10.90625" style="9" customWidth="1"/>
    <col min="514" max="524" width="13.36328125" style="9" customWidth="1"/>
    <col min="525" max="525" width="13.6328125" style="9" customWidth="1"/>
    <col min="526" max="526" width="16.453125" style="9" customWidth="1"/>
    <col min="527" max="761" width="9" style="9"/>
    <col min="762" max="762" width="9.6328125" style="9" customWidth="1"/>
    <col min="763" max="764" width="5.08984375" style="9" customWidth="1"/>
    <col min="765" max="765" width="9.6328125" style="9" customWidth="1"/>
    <col min="766" max="767" width="11.6328125" style="9" customWidth="1"/>
    <col min="768" max="768" width="15.36328125" style="9" customWidth="1"/>
    <col min="769" max="769" width="10.90625" style="9" customWidth="1"/>
    <col min="770" max="780" width="13.36328125" style="9" customWidth="1"/>
    <col min="781" max="781" width="13.6328125" style="9" customWidth="1"/>
    <col min="782" max="782" width="16.453125" style="9" customWidth="1"/>
    <col min="783" max="1017" width="9" style="9"/>
    <col min="1018" max="1018" width="9.6328125" style="9" customWidth="1"/>
    <col min="1019" max="1020" width="5.08984375" style="9" customWidth="1"/>
    <col min="1021" max="1021" width="9.6328125" style="9" customWidth="1"/>
    <col min="1022" max="1023" width="11.6328125" style="9" customWidth="1"/>
    <col min="1024" max="1024" width="15.36328125" style="9" customWidth="1"/>
    <col min="1025" max="1025" width="10.90625" style="9" customWidth="1"/>
    <col min="1026" max="1036" width="13.36328125" style="9" customWidth="1"/>
    <col min="1037" max="1037" width="13.6328125" style="9" customWidth="1"/>
    <col min="1038" max="1038" width="16.453125" style="9" customWidth="1"/>
    <col min="1039" max="1273" width="9" style="9"/>
    <col min="1274" max="1274" width="9.6328125" style="9" customWidth="1"/>
    <col min="1275" max="1276" width="5.08984375" style="9" customWidth="1"/>
    <col min="1277" max="1277" width="9.6328125" style="9" customWidth="1"/>
    <col min="1278" max="1279" width="11.6328125" style="9" customWidth="1"/>
    <col min="1280" max="1280" width="15.36328125" style="9" customWidth="1"/>
    <col min="1281" max="1281" width="10.90625" style="9" customWidth="1"/>
    <col min="1282" max="1292" width="13.36328125" style="9" customWidth="1"/>
    <col min="1293" max="1293" width="13.6328125" style="9" customWidth="1"/>
    <col min="1294" max="1294" width="16.453125" style="9" customWidth="1"/>
    <col min="1295" max="1529" width="9" style="9"/>
    <col min="1530" max="1530" width="9.6328125" style="9" customWidth="1"/>
    <col min="1531" max="1532" width="5.08984375" style="9" customWidth="1"/>
    <col min="1533" max="1533" width="9.6328125" style="9" customWidth="1"/>
    <col min="1534" max="1535" width="11.6328125" style="9" customWidth="1"/>
    <col min="1536" max="1536" width="15.36328125" style="9" customWidth="1"/>
    <col min="1537" max="1537" width="10.90625" style="9" customWidth="1"/>
    <col min="1538" max="1548" width="13.36328125" style="9" customWidth="1"/>
    <col min="1549" max="1549" width="13.6328125" style="9" customWidth="1"/>
    <col min="1550" max="1550" width="16.453125" style="9" customWidth="1"/>
    <col min="1551" max="1785" width="9" style="9"/>
    <col min="1786" max="1786" width="9.6328125" style="9" customWidth="1"/>
    <col min="1787" max="1788" width="5.08984375" style="9" customWidth="1"/>
    <col min="1789" max="1789" width="9.6328125" style="9" customWidth="1"/>
    <col min="1790" max="1791" width="11.6328125" style="9" customWidth="1"/>
    <col min="1792" max="1792" width="15.36328125" style="9" customWidth="1"/>
    <col min="1793" max="1793" width="10.90625" style="9" customWidth="1"/>
    <col min="1794" max="1804" width="13.36328125" style="9" customWidth="1"/>
    <col min="1805" max="1805" width="13.6328125" style="9" customWidth="1"/>
    <col min="1806" max="1806" width="16.453125" style="9" customWidth="1"/>
    <col min="1807" max="2041" width="9" style="9"/>
    <col min="2042" max="2042" width="9.6328125" style="9" customWidth="1"/>
    <col min="2043" max="2044" width="5.08984375" style="9" customWidth="1"/>
    <col min="2045" max="2045" width="9.6328125" style="9" customWidth="1"/>
    <col min="2046" max="2047" width="11.6328125" style="9" customWidth="1"/>
    <col min="2048" max="2048" width="15.36328125" style="9" customWidth="1"/>
    <col min="2049" max="2049" width="10.90625" style="9" customWidth="1"/>
    <col min="2050" max="2060" width="13.36328125" style="9" customWidth="1"/>
    <col min="2061" max="2061" width="13.6328125" style="9" customWidth="1"/>
    <col min="2062" max="2062" width="16.453125" style="9" customWidth="1"/>
    <col min="2063" max="2297" width="9" style="9"/>
    <col min="2298" max="2298" width="9.6328125" style="9" customWidth="1"/>
    <col min="2299" max="2300" width="5.08984375" style="9" customWidth="1"/>
    <col min="2301" max="2301" width="9.6328125" style="9" customWidth="1"/>
    <col min="2302" max="2303" width="11.6328125" style="9" customWidth="1"/>
    <col min="2304" max="2304" width="15.36328125" style="9" customWidth="1"/>
    <col min="2305" max="2305" width="10.90625" style="9" customWidth="1"/>
    <col min="2306" max="2316" width="13.36328125" style="9" customWidth="1"/>
    <col min="2317" max="2317" width="13.6328125" style="9" customWidth="1"/>
    <col min="2318" max="2318" width="16.453125" style="9" customWidth="1"/>
    <col min="2319" max="2553" width="9" style="9"/>
    <col min="2554" max="2554" width="9.6328125" style="9" customWidth="1"/>
    <col min="2555" max="2556" width="5.08984375" style="9" customWidth="1"/>
    <col min="2557" max="2557" width="9.6328125" style="9" customWidth="1"/>
    <col min="2558" max="2559" width="11.6328125" style="9" customWidth="1"/>
    <col min="2560" max="2560" width="15.36328125" style="9" customWidth="1"/>
    <col min="2561" max="2561" width="10.90625" style="9" customWidth="1"/>
    <col min="2562" max="2572" width="13.36328125" style="9" customWidth="1"/>
    <col min="2573" max="2573" width="13.6328125" style="9" customWidth="1"/>
    <col min="2574" max="2574" width="16.453125" style="9" customWidth="1"/>
    <col min="2575" max="2809" width="9" style="9"/>
    <col min="2810" max="2810" width="9.6328125" style="9" customWidth="1"/>
    <col min="2811" max="2812" width="5.08984375" style="9" customWidth="1"/>
    <col min="2813" max="2813" width="9.6328125" style="9" customWidth="1"/>
    <col min="2814" max="2815" width="11.6328125" style="9" customWidth="1"/>
    <col min="2816" max="2816" width="15.36328125" style="9" customWidth="1"/>
    <col min="2817" max="2817" width="10.90625" style="9" customWidth="1"/>
    <col min="2818" max="2828" width="13.36328125" style="9" customWidth="1"/>
    <col min="2829" max="2829" width="13.6328125" style="9" customWidth="1"/>
    <col min="2830" max="2830" width="16.453125" style="9" customWidth="1"/>
    <col min="2831" max="3065" width="9" style="9"/>
    <col min="3066" max="3066" width="9.6328125" style="9" customWidth="1"/>
    <col min="3067" max="3068" width="5.08984375" style="9" customWidth="1"/>
    <col min="3069" max="3069" width="9.6328125" style="9" customWidth="1"/>
    <col min="3070" max="3071" width="11.6328125" style="9" customWidth="1"/>
    <col min="3072" max="3072" width="15.36328125" style="9" customWidth="1"/>
    <col min="3073" max="3073" width="10.90625" style="9" customWidth="1"/>
    <col min="3074" max="3084" width="13.36328125" style="9" customWidth="1"/>
    <col min="3085" max="3085" width="13.6328125" style="9" customWidth="1"/>
    <col min="3086" max="3086" width="16.453125" style="9" customWidth="1"/>
    <col min="3087" max="3321" width="9" style="9"/>
    <col min="3322" max="3322" width="9.6328125" style="9" customWidth="1"/>
    <col min="3323" max="3324" width="5.08984375" style="9" customWidth="1"/>
    <col min="3325" max="3325" width="9.6328125" style="9" customWidth="1"/>
    <col min="3326" max="3327" width="11.6328125" style="9" customWidth="1"/>
    <col min="3328" max="3328" width="15.36328125" style="9" customWidth="1"/>
    <col min="3329" max="3329" width="10.90625" style="9" customWidth="1"/>
    <col min="3330" max="3340" width="13.36328125" style="9" customWidth="1"/>
    <col min="3341" max="3341" width="13.6328125" style="9" customWidth="1"/>
    <col min="3342" max="3342" width="16.453125" style="9" customWidth="1"/>
    <col min="3343" max="3577" width="9" style="9"/>
    <col min="3578" max="3578" width="9.6328125" style="9" customWidth="1"/>
    <col min="3579" max="3580" width="5.08984375" style="9" customWidth="1"/>
    <col min="3581" max="3581" width="9.6328125" style="9" customWidth="1"/>
    <col min="3582" max="3583" width="11.6328125" style="9" customWidth="1"/>
    <col min="3584" max="3584" width="15.36328125" style="9" customWidth="1"/>
    <col min="3585" max="3585" width="10.90625" style="9" customWidth="1"/>
    <col min="3586" max="3596" width="13.36328125" style="9" customWidth="1"/>
    <col min="3597" max="3597" width="13.6328125" style="9" customWidth="1"/>
    <col min="3598" max="3598" width="16.453125" style="9" customWidth="1"/>
    <col min="3599" max="3833" width="9" style="9"/>
    <col min="3834" max="3834" width="9.6328125" style="9" customWidth="1"/>
    <col min="3835" max="3836" width="5.08984375" style="9" customWidth="1"/>
    <col min="3837" max="3837" width="9.6328125" style="9" customWidth="1"/>
    <col min="3838" max="3839" width="11.6328125" style="9" customWidth="1"/>
    <col min="3840" max="3840" width="15.36328125" style="9" customWidth="1"/>
    <col min="3841" max="3841" width="10.90625" style="9" customWidth="1"/>
    <col min="3842" max="3852" width="13.36328125" style="9" customWidth="1"/>
    <col min="3853" max="3853" width="13.6328125" style="9" customWidth="1"/>
    <col min="3854" max="3854" width="16.453125" style="9" customWidth="1"/>
    <col min="3855" max="4089" width="9" style="9"/>
    <col min="4090" max="4090" width="9.6328125" style="9" customWidth="1"/>
    <col min="4091" max="4092" width="5.08984375" style="9" customWidth="1"/>
    <col min="4093" max="4093" width="9.6328125" style="9" customWidth="1"/>
    <col min="4094" max="4095" width="11.6328125" style="9" customWidth="1"/>
    <col min="4096" max="4096" width="15.36328125" style="9" customWidth="1"/>
    <col min="4097" max="4097" width="10.90625" style="9" customWidth="1"/>
    <col min="4098" max="4108" width="13.36328125" style="9" customWidth="1"/>
    <col min="4109" max="4109" width="13.6328125" style="9" customWidth="1"/>
    <col min="4110" max="4110" width="16.453125" style="9" customWidth="1"/>
    <col min="4111" max="4345" width="9" style="9"/>
    <col min="4346" max="4346" width="9.6328125" style="9" customWidth="1"/>
    <col min="4347" max="4348" width="5.08984375" style="9" customWidth="1"/>
    <col min="4349" max="4349" width="9.6328125" style="9" customWidth="1"/>
    <col min="4350" max="4351" width="11.6328125" style="9" customWidth="1"/>
    <col min="4352" max="4352" width="15.36328125" style="9" customWidth="1"/>
    <col min="4353" max="4353" width="10.90625" style="9" customWidth="1"/>
    <col min="4354" max="4364" width="13.36328125" style="9" customWidth="1"/>
    <col min="4365" max="4365" width="13.6328125" style="9" customWidth="1"/>
    <col min="4366" max="4366" width="16.453125" style="9" customWidth="1"/>
    <col min="4367" max="4601" width="9" style="9"/>
    <col min="4602" max="4602" width="9.6328125" style="9" customWidth="1"/>
    <col min="4603" max="4604" width="5.08984375" style="9" customWidth="1"/>
    <col min="4605" max="4605" width="9.6328125" style="9" customWidth="1"/>
    <col min="4606" max="4607" width="11.6328125" style="9" customWidth="1"/>
    <col min="4608" max="4608" width="15.36328125" style="9" customWidth="1"/>
    <col min="4609" max="4609" width="10.90625" style="9" customWidth="1"/>
    <col min="4610" max="4620" width="13.36328125" style="9" customWidth="1"/>
    <col min="4621" max="4621" width="13.6328125" style="9" customWidth="1"/>
    <col min="4622" max="4622" width="16.453125" style="9" customWidth="1"/>
    <col min="4623" max="4857" width="9" style="9"/>
    <col min="4858" max="4858" width="9.6328125" style="9" customWidth="1"/>
    <col min="4859" max="4860" width="5.08984375" style="9" customWidth="1"/>
    <col min="4861" max="4861" width="9.6328125" style="9" customWidth="1"/>
    <col min="4862" max="4863" width="11.6328125" style="9" customWidth="1"/>
    <col min="4864" max="4864" width="15.36328125" style="9" customWidth="1"/>
    <col min="4865" max="4865" width="10.90625" style="9" customWidth="1"/>
    <col min="4866" max="4876" width="13.36328125" style="9" customWidth="1"/>
    <col min="4877" max="4877" width="13.6328125" style="9" customWidth="1"/>
    <col min="4878" max="4878" width="16.453125" style="9" customWidth="1"/>
    <col min="4879" max="5113" width="9" style="9"/>
    <col min="5114" max="5114" width="9.6328125" style="9" customWidth="1"/>
    <col min="5115" max="5116" width="5.08984375" style="9" customWidth="1"/>
    <col min="5117" max="5117" width="9.6328125" style="9" customWidth="1"/>
    <col min="5118" max="5119" width="11.6328125" style="9" customWidth="1"/>
    <col min="5120" max="5120" width="15.36328125" style="9" customWidth="1"/>
    <col min="5121" max="5121" width="10.90625" style="9" customWidth="1"/>
    <col min="5122" max="5132" width="13.36328125" style="9" customWidth="1"/>
    <col min="5133" max="5133" width="13.6328125" style="9" customWidth="1"/>
    <col min="5134" max="5134" width="16.453125" style="9" customWidth="1"/>
    <col min="5135" max="5369" width="9" style="9"/>
    <col min="5370" max="5370" width="9.6328125" style="9" customWidth="1"/>
    <col min="5371" max="5372" width="5.08984375" style="9" customWidth="1"/>
    <col min="5373" max="5373" width="9.6328125" style="9" customWidth="1"/>
    <col min="5374" max="5375" width="11.6328125" style="9" customWidth="1"/>
    <col min="5376" max="5376" width="15.36328125" style="9" customWidth="1"/>
    <col min="5377" max="5377" width="10.90625" style="9" customWidth="1"/>
    <col min="5378" max="5388" width="13.36328125" style="9" customWidth="1"/>
    <col min="5389" max="5389" width="13.6328125" style="9" customWidth="1"/>
    <col min="5390" max="5390" width="16.453125" style="9" customWidth="1"/>
    <col min="5391" max="5625" width="9" style="9"/>
    <col min="5626" max="5626" width="9.6328125" style="9" customWidth="1"/>
    <col min="5627" max="5628" width="5.08984375" style="9" customWidth="1"/>
    <col min="5629" max="5629" width="9.6328125" style="9" customWidth="1"/>
    <col min="5630" max="5631" width="11.6328125" style="9" customWidth="1"/>
    <col min="5632" max="5632" width="15.36328125" style="9" customWidth="1"/>
    <col min="5633" max="5633" width="10.90625" style="9" customWidth="1"/>
    <col min="5634" max="5644" width="13.36328125" style="9" customWidth="1"/>
    <col min="5645" max="5645" width="13.6328125" style="9" customWidth="1"/>
    <col min="5646" max="5646" width="16.453125" style="9" customWidth="1"/>
    <col min="5647" max="5881" width="9" style="9"/>
    <col min="5882" max="5882" width="9.6328125" style="9" customWidth="1"/>
    <col min="5883" max="5884" width="5.08984375" style="9" customWidth="1"/>
    <col min="5885" max="5885" width="9.6328125" style="9" customWidth="1"/>
    <col min="5886" max="5887" width="11.6328125" style="9" customWidth="1"/>
    <col min="5888" max="5888" width="15.36328125" style="9" customWidth="1"/>
    <col min="5889" max="5889" width="10.90625" style="9" customWidth="1"/>
    <col min="5890" max="5900" width="13.36328125" style="9" customWidth="1"/>
    <col min="5901" max="5901" width="13.6328125" style="9" customWidth="1"/>
    <col min="5902" max="5902" width="16.453125" style="9" customWidth="1"/>
    <col min="5903" max="6137" width="9" style="9"/>
    <col min="6138" max="6138" width="9.6328125" style="9" customWidth="1"/>
    <col min="6139" max="6140" width="5.08984375" style="9" customWidth="1"/>
    <col min="6141" max="6141" width="9.6328125" style="9" customWidth="1"/>
    <col min="6142" max="6143" width="11.6328125" style="9" customWidth="1"/>
    <col min="6144" max="6144" width="15.36328125" style="9" customWidth="1"/>
    <col min="6145" max="6145" width="10.90625" style="9" customWidth="1"/>
    <col min="6146" max="6156" width="13.36328125" style="9" customWidth="1"/>
    <col min="6157" max="6157" width="13.6328125" style="9" customWidth="1"/>
    <col min="6158" max="6158" width="16.453125" style="9" customWidth="1"/>
    <col min="6159" max="6393" width="9" style="9"/>
    <col min="6394" max="6394" width="9.6328125" style="9" customWidth="1"/>
    <col min="6395" max="6396" width="5.08984375" style="9" customWidth="1"/>
    <col min="6397" max="6397" width="9.6328125" style="9" customWidth="1"/>
    <col min="6398" max="6399" width="11.6328125" style="9" customWidth="1"/>
    <col min="6400" max="6400" width="15.36328125" style="9" customWidth="1"/>
    <col min="6401" max="6401" width="10.90625" style="9" customWidth="1"/>
    <col min="6402" max="6412" width="13.36328125" style="9" customWidth="1"/>
    <col min="6413" max="6413" width="13.6328125" style="9" customWidth="1"/>
    <col min="6414" max="6414" width="16.453125" style="9" customWidth="1"/>
    <col min="6415" max="6649" width="9" style="9"/>
    <col min="6650" max="6650" width="9.6328125" style="9" customWidth="1"/>
    <col min="6651" max="6652" width="5.08984375" style="9" customWidth="1"/>
    <col min="6653" max="6653" width="9.6328125" style="9" customWidth="1"/>
    <col min="6654" max="6655" width="11.6328125" style="9" customWidth="1"/>
    <col min="6656" max="6656" width="15.36328125" style="9" customWidth="1"/>
    <col min="6657" max="6657" width="10.90625" style="9" customWidth="1"/>
    <col min="6658" max="6668" width="13.36328125" style="9" customWidth="1"/>
    <col min="6669" max="6669" width="13.6328125" style="9" customWidth="1"/>
    <col min="6670" max="6670" width="16.453125" style="9" customWidth="1"/>
    <col min="6671" max="6905" width="9" style="9"/>
    <col min="6906" max="6906" width="9.6328125" style="9" customWidth="1"/>
    <col min="6907" max="6908" width="5.08984375" style="9" customWidth="1"/>
    <col min="6909" max="6909" width="9.6328125" style="9" customWidth="1"/>
    <col min="6910" max="6911" width="11.6328125" style="9" customWidth="1"/>
    <col min="6912" max="6912" width="15.36328125" style="9" customWidth="1"/>
    <col min="6913" max="6913" width="10.90625" style="9" customWidth="1"/>
    <col min="6914" max="6924" width="13.36328125" style="9" customWidth="1"/>
    <col min="6925" max="6925" width="13.6328125" style="9" customWidth="1"/>
    <col min="6926" max="6926" width="16.453125" style="9" customWidth="1"/>
    <col min="6927" max="7161" width="9" style="9"/>
    <col min="7162" max="7162" width="9.6328125" style="9" customWidth="1"/>
    <col min="7163" max="7164" width="5.08984375" style="9" customWidth="1"/>
    <col min="7165" max="7165" width="9.6328125" style="9" customWidth="1"/>
    <col min="7166" max="7167" width="11.6328125" style="9" customWidth="1"/>
    <col min="7168" max="7168" width="15.36328125" style="9" customWidth="1"/>
    <col min="7169" max="7169" width="10.90625" style="9" customWidth="1"/>
    <col min="7170" max="7180" width="13.36328125" style="9" customWidth="1"/>
    <col min="7181" max="7181" width="13.6328125" style="9" customWidth="1"/>
    <col min="7182" max="7182" width="16.453125" style="9" customWidth="1"/>
    <col min="7183" max="7417" width="9" style="9"/>
    <col min="7418" max="7418" width="9.6328125" style="9" customWidth="1"/>
    <col min="7419" max="7420" width="5.08984375" style="9" customWidth="1"/>
    <col min="7421" max="7421" width="9.6328125" style="9" customWidth="1"/>
    <col min="7422" max="7423" width="11.6328125" style="9" customWidth="1"/>
    <col min="7424" max="7424" width="15.36328125" style="9" customWidth="1"/>
    <col min="7425" max="7425" width="10.90625" style="9" customWidth="1"/>
    <col min="7426" max="7436" width="13.36328125" style="9" customWidth="1"/>
    <col min="7437" max="7437" width="13.6328125" style="9" customWidth="1"/>
    <col min="7438" max="7438" width="16.453125" style="9" customWidth="1"/>
    <col min="7439" max="7673" width="9" style="9"/>
    <col min="7674" max="7674" width="9.6328125" style="9" customWidth="1"/>
    <col min="7675" max="7676" width="5.08984375" style="9" customWidth="1"/>
    <col min="7677" max="7677" width="9.6328125" style="9" customWidth="1"/>
    <col min="7678" max="7679" width="11.6328125" style="9" customWidth="1"/>
    <col min="7680" max="7680" width="15.36328125" style="9" customWidth="1"/>
    <col min="7681" max="7681" width="10.90625" style="9" customWidth="1"/>
    <col min="7682" max="7692" width="13.36328125" style="9" customWidth="1"/>
    <col min="7693" max="7693" width="13.6328125" style="9" customWidth="1"/>
    <col min="7694" max="7694" width="16.453125" style="9" customWidth="1"/>
    <col min="7695" max="7929" width="9" style="9"/>
    <col min="7930" max="7930" width="9.6328125" style="9" customWidth="1"/>
    <col min="7931" max="7932" width="5.08984375" style="9" customWidth="1"/>
    <col min="7933" max="7933" width="9.6328125" style="9" customWidth="1"/>
    <col min="7934" max="7935" width="11.6328125" style="9" customWidth="1"/>
    <col min="7936" max="7936" width="15.36328125" style="9" customWidth="1"/>
    <col min="7937" max="7937" width="10.90625" style="9" customWidth="1"/>
    <col min="7938" max="7948" width="13.36328125" style="9" customWidth="1"/>
    <col min="7949" max="7949" width="13.6328125" style="9" customWidth="1"/>
    <col min="7950" max="7950" width="16.453125" style="9" customWidth="1"/>
    <col min="7951" max="8185" width="9" style="9"/>
    <col min="8186" max="8186" width="9.6328125" style="9" customWidth="1"/>
    <col min="8187" max="8188" width="5.08984375" style="9" customWidth="1"/>
    <col min="8189" max="8189" width="9.6328125" style="9" customWidth="1"/>
    <col min="8190" max="8191" width="11.6328125" style="9" customWidth="1"/>
    <col min="8192" max="8192" width="15.36328125" style="9" customWidth="1"/>
    <col min="8193" max="8193" width="10.90625" style="9" customWidth="1"/>
    <col min="8194" max="8204" width="13.36328125" style="9" customWidth="1"/>
    <col min="8205" max="8205" width="13.6328125" style="9" customWidth="1"/>
    <col min="8206" max="8206" width="16.453125" style="9" customWidth="1"/>
    <col min="8207" max="8441" width="9" style="9"/>
    <col min="8442" max="8442" width="9.6328125" style="9" customWidth="1"/>
    <col min="8443" max="8444" width="5.08984375" style="9" customWidth="1"/>
    <col min="8445" max="8445" width="9.6328125" style="9" customWidth="1"/>
    <col min="8446" max="8447" width="11.6328125" style="9" customWidth="1"/>
    <col min="8448" max="8448" width="15.36328125" style="9" customWidth="1"/>
    <col min="8449" max="8449" width="10.90625" style="9" customWidth="1"/>
    <col min="8450" max="8460" width="13.36328125" style="9" customWidth="1"/>
    <col min="8461" max="8461" width="13.6328125" style="9" customWidth="1"/>
    <col min="8462" max="8462" width="16.453125" style="9" customWidth="1"/>
    <col min="8463" max="8697" width="9" style="9"/>
    <col min="8698" max="8698" width="9.6328125" style="9" customWidth="1"/>
    <col min="8699" max="8700" width="5.08984375" style="9" customWidth="1"/>
    <col min="8701" max="8701" width="9.6328125" style="9" customWidth="1"/>
    <col min="8702" max="8703" width="11.6328125" style="9" customWidth="1"/>
    <col min="8704" max="8704" width="15.36328125" style="9" customWidth="1"/>
    <col min="8705" max="8705" width="10.90625" style="9" customWidth="1"/>
    <col min="8706" max="8716" width="13.36328125" style="9" customWidth="1"/>
    <col min="8717" max="8717" width="13.6328125" style="9" customWidth="1"/>
    <col min="8718" max="8718" width="16.453125" style="9" customWidth="1"/>
    <col min="8719" max="8953" width="9" style="9"/>
    <col min="8954" max="8954" width="9.6328125" style="9" customWidth="1"/>
    <col min="8955" max="8956" width="5.08984375" style="9" customWidth="1"/>
    <col min="8957" max="8957" width="9.6328125" style="9" customWidth="1"/>
    <col min="8958" max="8959" width="11.6328125" style="9" customWidth="1"/>
    <col min="8960" max="8960" width="15.36328125" style="9" customWidth="1"/>
    <col min="8961" max="8961" width="10.90625" style="9" customWidth="1"/>
    <col min="8962" max="8972" width="13.36328125" style="9" customWidth="1"/>
    <col min="8973" max="8973" width="13.6328125" style="9" customWidth="1"/>
    <col min="8974" max="8974" width="16.453125" style="9" customWidth="1"/>
    <col min="8975" max="9209" width="9" style="9"/>
    <col min="9210" max="9210" width="9.6328125" style="9" customWidth="1"/>
    <col min="9211" max="9212" width="5.08984375" style="9" customWidth="1"/>
    <col min="9213" max="9213" width="9.6328125" style="9" customWidth="1"/>
    <col min="9214" max="9215" width="11.6328125" style="9" customWidth="1"/>
    <col min="9216" max="9216" width="15.36328125" style="9" customWidth="1"/>
    <col min="9217" max="9217" width="10.90625" style="9" customWidth="1"/>
    <col min="9218" max="9228" width="13.36328125" style="9" customWidth="1"/>
    <col min="9229" max="9229" width="13.6328125" style="9" customWidth="1"/>
    <col min="9230" max="9230" width="16.453125" style="9" customWidth="1"/>
    <col min="9231" max="9465" width="9" style="9"/>
    <col min="9466" max="9466" width="9.6328125" style="9" customWidth="1"/>
    <col min="9467" max="9468" width="5.08984375" style="9" customWidth="1"/>
    <col min="9469" max="9469" width="9.6328125" style="9" customWidth="1"/>
    <col min="9470" max="9471" width="11.6328125" style="9" customWidth="1"/>
    <col min="9472" max="9472" width="15.36328125" style="9" customWidth="1"/>
    <col min="9473" max="9473" width="10.90625" style="9" customWidth="1"/>
    <col min="9474" max="9484" width="13.36328125" style="9" customWidth="1"/>
    <col min="9485" max="9485" width="13.6328125" style="9" customWidth="1"/>
    <col min="9486" max="9486" width="16.453125" style="9" customWidth="1"/>
    <col min="9487" max="9721" width="9" style="9"/>
    <col min="9722" max="9722" width="9.6328125" style="9" customWidth="1"/>
    <col min="9723" max="9724" width="5.08984375" style="9" customWidth="1"/>
    <col min="9725" max="9725" width="9.6328125" style="9" customWidth="1"/>
    <col min="9726" max="9727" width="11.6328125" style="9" customWidth="1"/>
    <col min="9728" max="9728" width="15.36328125" style="9" customWidth="1"/>
    <col min="9729" max="9729" width="10.90625" style="9" customWidth="1"/>
    <col min="9730" max="9740" width="13.36328125" style="9" customWidth="1"/>
    <col min="9741" max="9741" width="13.6328125" style="9" customWidth="1"/>
    <col min="9742" max="9742" width="16.453125" style="9" customWidth="1"/>
    <col min="9743" max="9977" width="9" style="9"/>
    <col min="9978" max="9978" width="9.6328125" style="9" customWidth="1"/>
    <col min="9979" max="9980" width="5.08984375" style="9" customWidth="1"/>
    <col min="9981" max="9981" width="9.6328125" style="9" customWidth="1"/>
    <col min="9982" max="9983" width="11.6328125" style="9" customWidth="1"/>
    <col min="9984" max="9984" width="15.36328125" style="9" customWidth="1"/>
    <col min="9985" max="9985" width="10.90625" style="9" customWidth="1"/>
    <col min="9986" max="9996" width="13.36328125" style="9" customWidth="1"/>
    <col min="9997" max="9997" width="13.6328125" style="9" customWidth="1"/>
    <col min="9998" max="9998" width="16.453125" style="9" customWidth="1"/>
    <col min="9999" max="10233" width="9" style="9"/>
    <col min="10234" max="10234" width="9.6328125" style="9" customWidth="1"/>
    <col min="10235" max="10236" width="5.08984375" style="9" customWidth="1"/>
    <col min="10237" max="10237" width="9.6328125" style="9" customWidth="1"/>
    <col min="10238" max="10239" width="11.6328125" style="9" customWidth="1"/>
    <col min="10240" max="10240" width="15.36328125" style="9" customWidth="1"/>
    <col min="10241" max="10241" width="10.90625" style="9" customWidth="1"/>
    <col min="10242" max="10252" width="13.36328125" style="9" customWidth="1"/>
    <col min="10253" max="10253" width="13.6328125" style="9" customWidth="1"/>
    <col min="10254" max="10254" width="16.453125" style="9" customWidth="1"/>
    <col min="10255" max="10489" width="9" style="9"/>
    <col min="10490" max="10490" width="9.6328125" style="9" customWidth="1"/>
    <col min="10491" max="10492" width="5.08984375" style="9" customWidth="1"/>
    <col min="10493" max="10493" width="9.6328125" style="9" customWidth="1"/>
    <col min="10494" max="10495" width="11.6328125" style="9" customWidth="1"/>
    <col min="10496" max="10496" width="15.36328125" style="9" customWidth="1"/>
    <col min="10497" max="10497" width="10.90625" style="9" customWidth="1"/>
    <col min="10498" max="10508" width="13.36328125" style="9" customWidth="1"/>
    <col min="10509" max="10509" width="13.6328125" style="9" customWidth="1"/>
    <col min="10510" max="10510" width="16.453125" style="9" customWidth="1"/>
    <col min="10511" max="10745" width="9" style="9"/>
    <col min="10746" max="10746" width="9.6328125" style="9" customWidth="1"/>
    <col min="10747" max="10748" width="5.08984375" style="9" customWidth="1"/>
    <col min="10749" max="10749" width="9.6328125" style="9" customWidth="1"/>
    <col min="10750" max="10751" width="11.6328125" style="9" customWidth="1"/>
    <col min="10752" max="10752" width="15.36328125" style="9" customWidth="1"/>
    <col min="10753" max="10753" width="10.90625" style="9" customWidth="1"/>
    <col min="10754" max="10764" width="13.36328125" style="9" customWidth="1"/>
    <col min="10765" max="10765" width="13.6328125" style="9" customWidth="1"/>
    <col min="10766" max="10766" width="16.453125" style="9" customWidth="1"/>
    <col min="10767" max="11001" width="9" style="9"/>
    <col min="11002" max="11002" width="9.6328125" style="9" customWidth="1"/>
    <col min="11003" max="11004" width="5.08984375" style="9" customWidth="1"/>
    <col min="11005" max="11005" width="9.6328125" style="9" customWidth="1"/>
    <col min="11006" max="11007" width="11.6328125" style="9" customWidth="1"/>
    <col min="11008" max="11008" width="15.36328125" style="9" customWidth="1"/>
    <col min="11009" max="11009" width="10.90625" style="9" customWidth="1"/>
    <col min="11010" max="11020" width="13.36328125" style="9" customWidth="1"/>
    <col min="11021" max="11021" width="13.6328125" style="9" customWidth="1"/>
    <col min="11022" max="11022" width="16.453125" style="9" customWidth="1"/>
    <col min="11023" max="11257" width="9" style="9"/>
    <col min="11258" max="11258" width="9.6328125" style="9" customWidth="1"/>
    <col min="11259" max="11260" width="5.08984375" style="9" customWidth="1"/>
    <col min="11261" max="11261" width="9.6328125" style="9" customWidth="1"/>
    <col min="11262" max="11263" width="11.6328125" style="9" customWidth="1"/>
    <col min="11264" max="11264" width="15.36328125" style="9" customWidth="1"/>
    <col min="11265" max="11265" width="10.90625" style="9" customWidth="1"/>
    <col min="11266" max="11276" width="13.36328125" style="9" customWidth="1"/>
    <col min="11277" max="11277" width="13.6328125" style="9" customWidth="1"/>
    <col min="11278" max="11278" width="16.453125" style="9" customWidth="1"/>
    <col min="11279" max="11513" width="9" style="9"/>
    <col min="11514" max="11514" width="9.6328125" style="9" customWidth="1"/>
    <col min="11515" max="11516" width="5.08984375" style="9" customWidth="1"/>
    <col min="11517" max="11517" width="9.6328125" style="9" customWidth="1"/>
    <col min="11518" max="11519" width="11.6328125" style="9" customWidth="1"/>
    <col min="11520" max="11520" width="15.36328125" style="9" customWidth="1"/>
    <col min="11521" max="11521" width="10.90625" style="9" customWidth="1"/>
    <col min="11522" max="11532" width="13.36328125" style="9" customWidth="1"/>
    <col min="11533" max="11533" width="13.6328125" style="9" customWidth="1"/>
    <col min="11534" max="11534" width="16.453125" style="9" customWidth="1"/>
    <col min="11535" max="11769" width="9" style="9"/>
    <col min="11770" max="11770" width="9.6328125" style="9" customWidth="1"/>
    <col min="11771" max="11772" width="5.08984375" style="9" customWidth="1"/>
    <col min="11773" max="11773" width="9.6328125" style="9" customWidth="1"/>
    <col min="11774" max="11775" width="11.6328125" style="9" customWidth="1"/>
    <col min="11776" max="11776" width="15.36328125" style="9" customWidth="1"/>
    <col min="11777" max="11777" width="10.90625" style="9" customWidth="1"/>
    <col min="11778" max="11788" width="13.36328125" style="9" customWidth="1"/>
    <col min="11789" max="11789" width="13.6328125" style="9" customWidth="1"/>
    <col min="11790" max="11790" width="16.453125" style="9" customWidth="1"/>
    <col min="11791" max="12025" width="9" style="9"/>
    <col min="12026" max="12026" width="9.6328125" style="9" customWidth="1"/>
    <col min="12027" max="12028" width="5.08984375" style="9" customWidth="1"/>
    <col min="12029" max="12029" width="9.6328125" style="9" customWidth="1"/>
    <col min="12030" max="12031" width="11.6328125" style="9" customWidth="1"/>
    <col min="12032" max="12032" width="15.36328125" style="9" customWidth="1"/>
    <col min="12033" max="12033" width="10.90625" style="9" customWidth="1"/>
    <col min="12034" max="12044" width="13.36328125" style="9" customWidth="1"/>
    <col min="12045" max="12045" width="13.6328125" style="9" customWidth="1"/>
    <col min="12046" max="12046" width="16.453125" style="9" customWidth="1"/>
    <col min="12047" max="12281" width="9" style="9"/>
    <col min="12282" max="12282" width="9.6328125" style="9" customWidth="1"/>
    <col min="12283" max="12284" width="5.08984375" style="9" customWidth="1"/>
    <col min="12285" max="12285" width="9.6328125" style="9" customWidth="1"/>
    <col min="12286" max="12287" width="11.6328125" style="9" customWidth="1"/>
    <col min="12288" max="12288" width="15.36328125" style="9" customWidth="1"/>
    <col min="12289" max="12289" width="10.90625" style="9" customWidth="1"/>
    <col min="12290" max="12300" width="13.36328125" style="9" customWidth="1"/>
    <col min="12301" max="12301" width="13.6328125" style="9" customWidth="1"/>
    <col min="12302" max="12302" width="16.453125" style="9" customWidth="1"/>
    <col min="12303" max="12537" width="9" style="9"/>
    <col min="12538" max="12538" width="9.6328125" style="9" customWidth="1"/>
    <col min="12539" max="12540" width="5.08984375" style="9" customWidth="1"/>
    <col min="12541" max="12541" width="9.6328125" style="9" customWidth="1"/>
    <col min="12542" max="12543" width="11.6328125" style="9" customWidth="1"/>
    <col min="12544" max="12544" width="15.36328125" style="9" customWidth="1"/>
    <col min="12545" max="12545" width="10.90625" style="9" customWidth="1"/>
    <col min="12546" max="12556" width="13.36328125" style="9" customWidth="1"/>
    <col min="12557" max="12557" width="13.6328125" style="9" customWidth="1"/>
    <col min="12558" max="12558" width="16.453125" style="9" customWidth="1"/>
    <col min="12559" max="12793" width="9" style="9"/>
    <col min="12794" max="12794" width="9.6328125" style="9" customWidth="1"/>
    <col min="12795" max="12796" width="5.08984375" style="9" customWidth="1"/>
    <col min="12797" max="12797" width="9.6328125" style="9" customWidth="1"/>
    <col min="12798" max="12799" width="11.6328125" style="9" customWidth="1"/>
    <col min="12800" max="12800" width="15.36328125" style="9" customWidth="1"/>
    <col min="12801" max="12801" width="10.90625" style="9" customWidth="1"/>
    <col min="12802" max="12812" width="13.36328125" style="9" customWidth="1"/>
    <col min="12813" max="12813" width="13.6328125" style="9" customWidth="1"/>
    <col min="12814" max="12814" width="16.453125" style="9" customWidth="1"/>
    <col min="12815" max="13049" width="9" style="9"/>
    <col min="13050" max="13050" width="9.6328125" style="9" customWidth="1"/>
    <col min="13051" max="13052" width="5.08984375" style="9" customWidth="1"/>
    <col min="13053" max="13053" width="9.6328125" style="9" customWidth="1"/>
    <col min="13054" max="13055" width="11.6328125" style="9" customWidth="1"/>
    <col min="13056" max="13056" width="15.36328125" style="9" customWidth="1"/>
    <col min="13057" max="13057" width="10.90625" style="9" customWidth="1"/>
    <col min="13058" max="13068" width="13.36328125" style="9" customWidth="1"/>
    <col min="13069" max="13069" width="13.6328125" style="9" customWidth="1"/>
    <col min="13070" max="13070" width="16.453125" style="9" customWidth="1"/>
    <col min="13071" max="13305" width="9" style="9"/>
    <col min="13306" max="13306" width="9.6328125" style="9" customWidth="1"/>
    <col min="13307" max="13308" width="5.08984375" style="9" customWidth="1"/>
    <col min="13309" max="13309" width="9.6328125" style="9" customWidth="1"/>
    <col min="13310" max="13311" width="11.6328125" style="9" customWidth="1"/>
    <col min="13312" max="13312" width="15.36328125" style="9" customWidth="1"/>
    <col min="13313" max="13313" width="10.90625" style="9" customWidth="1"/>
    <col min="13314" max="13324" width="13.36328125" style="9" customWidth="1"/>
    <col min="13325" max="13325" width="13.6328125" style="9" customWidth="1"/>
    <col min="13326" max="13326" width="16.453125" style="9" customWidth="1"/>
    <col min="13327" max="13561" width="9" style="9"/>
    <col min="13562" max="13562" width="9.6328125" style="9" customWidth="1"/>
    <col min="13563" max="13564" width="5.08984375" style="9" customWidth="1"/>
    <col min="13565" max="13565" width="9.6328125" style="9" customWidth="1"/>
    <col min="13566" max="13567" width="11.6328125" style="9" customWidth="1"/>
    <col min="13568" max="13568" width="15.36328125" style="9" customWidth="1"/>
    <col min="13569" max="13569" width="10.90625" style="9" customWidth="1"/>
    <col min="13570" max="13580" width="13.36328125" style="9" customWidth="1"/>
    <col min="13581" max="13581" width="13.6328125" style="9" customWidth="1"/>
    <col min="13582" max="13582" width="16.453125" style="9" customWidth="1"/>
    <col min="13583" max="13817" width="9" style="9"/>
    <col min="13818" max="13818" width="9.6328125" style="9" customWidth="1"/>
    <col min="13819" max="13820" width="5.08984375" style="9" customWidth="1"/>
    <col min="13821" max="13821" width="9.6328125" style="9" customWidth="1"/>
    <col min="13822" max="13823" width="11.6328125" style="9" customWidth="1"/>
    <col min="13824" max="13824" width="15.36328125" style="9" customWidth="1"/>
    <col min="13825" max="13825" width="10.90625" style="9" customWidth="1"/>
    <col min="13826" max="13836" width="13.36328125" style="9" customWidth="1"/>
    <col min="13837" max="13837" width="13.6328125" style="9" customWidth="1"/>
    <col min="13838" max="13838" width="16.453125" style="9" customWidth="1"/>
    <col min="13839" max="14073" width="9" style="9"/>
    <col min="14074" max="14074" width="9.6328125" style="9" customWidth="1"/>
    <col min="14075" max="14076" width="5.08984375" style="9" customWidth="1"/>
    <col min="14077" max="14077" width="9.6328125" style="9" customWidth="1"/>
    <col min="14078" max="14079" width="11.6328125" style="9" customWidth="1"/>
    <col min="14080" max="14080" width="15.36328125" style="9" customWidth="1"/>
    <col min="14081" max="14081" width="10.90625" style="9" customWidth="1"/>
    <col min="14082" max="14092" width="13.36328125" style="9" customWidth="1"/>
    <col min="14093" max="14093" width="13.6328125" style="9" customWidth="1"/>
    <col min="14094" max="14094" width="16.453125" style="9" customWidth="1"/>
    <col min="14095" max="14329" width="9" style="9"/>
    <col min="14330" max="14330" width="9.6328125" style="9" customWidth="1"/>
    <col min="14331" max="14332" width="5.08984375" style="9" customWidth="1"/>
    <col min="14333" max="14333" width="9.6328125" style="9" customWidth="1"/>
    <col min="14334" max="14335" width="11.6328125" style="9" customWidth="1"/>
    <col min="14336" max="14336" width="15.36328125" style="9" customWidth="1"/>
    <col min="14337" max="14337" width="10.90625" style="9" customWidth="1"/>
    <col min="14338" max="14348" width="13.36328125" style="9" customWidth="1"/>
    <col min="14349" max="14349" width="13.6328125" style="9" customWidth="1"/>
    <col min="14350" max="14350" width="16.453125" style="9" customWidth="1"/>
    <col min="14351" max="14585" width="9" style="9"/>
    <col min="14586" max="14586" width="9.6328125" style="9" customWidth="1"/>
    <col min="14587" max="14588" width="5.08984375" style="9" customWidth="1"/>
    <col min="14589" max="14589" width="9.6328125" style="9" customWidth="1"/>
    <col min="14590" max="14591" width="11.6328125" style="9" customWidth="1"/>
    <col min="14592" max="14592" width="15.36328125" style="9" customWidth="1"/>
    <col min="14593" max="14593" width="10.90625" style="9" customWidth="1"/>
    <col min="14594" max="14604" width="13.36328125" style="9" customWidth="1"/>
    <col min="14605" max="14605" width="13.6328125" style="9" customWidth="1"/>
    <col min="14606" max="14606" width="16.453125" style="9" customWidth="1"/>
    <col min="14607" max="14841" width="9" style="9"/>
    <col min="14842" max="14842" width="9.6328125" style="9" customWidth="1"/>
    <col min="14843" max="14844" width="5.08984375" style="9" customWidth="1"/>
    <col min="14845" max="14845" width="9.6328125" style="9" customWidth="1"/>
    <col min="14846" max="14847" width="11.6328125" style="9" customWidth="1"/>
    <col min="14848" max="14848" width="15.36328125" style="9" customWidth="1"/>
    <col min="14849" max="14849" width="10.90625" style="9" customWidth="1"/>
    <col min="14850" max="14860" width="13.36328125" style="9" customWidth="1"/>
    <col min="14861" max="14861" width="13.6328125" style="9" customWidth="1"/>
    <col min="14862" max="14862" width="16.453125" style="9" customWidth="1"/>
    <col min="14863" max="15097" width="9" style="9"/>
    <col min="15098" max="15098" width="9.6328125" style="9" customWidth="1"/>
    <col min="15099" max="15100" width="5.08984375" style="9" customWidth="1"/>
    <col min="15101" max="15101" width="9.6328125" style="9" customWidth="1"/>
    <col min="15102" max="15103" width="11.6328125" style="9" customWidth="1"/>
    <col min="15104" max="15104" width="15.36328125" style="9" customWidth="1"/>
    <col min="15105" max="15105" width="10.90625" style="9" customWidth="1"/>
    <col min="15106" max="15116" width="13.36328125" style="9" customWidth="1"/>
    <col min="15117" max="15117" width="13.6328125" style="9" customWidth="1"/>
    <col min="15118" max="15118" width="16.453125" style="9" customWidth="1"/>
    <col min="15119" max="15353" width="9" style="9"/>
    <col min="15354" max="15354" width="9.6328125" style="9" customWidth="1"/>
    <col min="15355" max="15356" width="5.08984375" style="9" customWidth="1"/>
    <col min="15357" max="15357" width="9.6328125" style="9" customWidth="1"/>
    <col min="15358" max="15359" width="11.6328125" style="9" customWidth="1"/>
    <col min="15360" max="15360" width="15.36328125" style="9" customWidth="1"/>
    <col min="15361" max="15361" width="10.90625" style="9" customWidth="1"/>
    <col min="15362" max="15372" width="13.36328125" style="9" customWidth="1"/>
    <col min="15373" max="15373" width="13.6328125" style="9" customWidth="1"/>
    <col min="15374" max="15374" width="16.453125" style="9" customWidth="1"/>
    <col min="15375" max="15609" width="9" style="9"/>
    <col min="15610" max="15610" width="9.6328125" style="9" customWidth="1"/>
    <col min="15611" max="15612" width="5.08984375" style="9" customWidth="1"/>
    <col min="15613" max="15613" width="9.6328125" style="9" customWidth="1"/>
    <col min="15614" max="15615" width="11.6328125" style="9" customWidth="1"/>
    <col min="15616" max="15616" width="15.36328125" style="9" customWidth="1"/>
    <col min="15617" max="15617" width="10.90625" style="9" customWidth="1"/>
    <col min="15618" max="15628" width="13.36328125" style="9" customWidth="1"/>
    <col min="15629" max="15629" width="13.6328125" style="9" customWidth="1"/>
    <col min="15630" max="15630" width="16.453125" style="9" customWidth="1"/>
    <col min="15631" max="15865" width="9" style="9"/>
    <col min="15866" max="15866" width="9.6328125" style="9" customWidth="1"/>
    <col min="15867" max="15868" width="5.08984375" style="9" customWidth="1"/>
    <col min="15869" max="15869" width="9.6328125" style="9" customWidth="1"/>
    <col min="15870" max="15871" width="11.6328125" style="9" customWidth="1"/>
    <col min="15872" max="15872" width="15.36328125" style="9" customWidth="1"/>
    <col min="15873" max="15873" width="10.90625" style="9" customWidth="1"/>
    <col min="15874" max="15884" width="13.36328125" style="9" customWidth="1"/>
    <col min="15885" max="15885" width="13.6328125" style="9" customWidth="1"/>
    <col min="15886" max="15886" width="16.453125" style="9" customWidth="1"/>
    <col min="15887" max="16121" width="9" style="9"/>
    <col min="16122" max="16122" width="9.6328125" style="9" customWidth="1"/>
    <col min="16123" max="16124" width="5.08984375" style="9" customWidth="1"/>
    <col min="16125" max="16125" width="9.6328125" style="9" customWidth="1"/>
    <col min="16126" max="16127" width="11.6328125" style="9" customWidth="1"/>
    <col min="16128" max="16128" width="15.36328125" style="9" customWidth="1"/>
    <col min="16129" max="16129" width="10.90625" style="9" customWidth="1"/>
    <col min="16130" max="16140" width="13.36328125" style="9" customWidth="1"/>
    <col min="16141" max="16141" width="13.6328125" style="9" customWidth="1"/>
    <col min="16142" max="16142" width="16.453125" style="9" customWidth="1"/>
    <col min="16143" max="16384" width="9" style="9"/>
  </cols>
  <sheetData>
    <row r="1" spans="1:19" s="126" customFormat="1" ht="39.65" customHeight="1">
      <c r="A1" s="609"/>
      <c r="B1" s="609"/>
      <c r="C1" s="609"/>
      <c r="D1" s="3" t="s">
        <v>6</v>
      </c>
      <c r="E1" s="7" t="s">
        <v>7</v>
      </c>
      <c r="F1" s="7" t="s">
        <v>8</v>
      </c>
      <c r="G1" s="7" t="s">
        <v>9</v>
      </c>
      <c r="H1" s="7" t="s">
        <v>10</v>
      </c>
      <c r="I1" s="7" t="s">
        <v>11</v>
      </c>
      <c r="J1" s="7" t="s">
        <v>12</v>
      </c>
      <c r="K1" s="7" t="s">
        <v>13</v>
      </c>
      <c r="L1" s="7" t="s">
        <v>14</v>
      </c>
      <c r="M1" s="7" t="s">
        <v>15</v>
      </c>
      <c r="N1" s="7" t="s">
        <v>16</v>
      </c>
      <c r="O1" s="7" t="s">
        <v>17</v>
      </c>
      <c r="P1" s="8" t="s">
        <v>18</v>
      </c>
      <c r="Q1" s="125" t="s">
        <v>19</v>
      </c>
    </row>
    <row r="2" spans="1:19" s="127" customFormat="1" ht="21.65" customHeight="1">
      <c r="A2" s="610" t="s">
        <v>87</v>
      </c>
      <c r="B2" s="611"/>
      <c r="C2" s="611"/>
      <c r="D2" s="4" t="s">
        <v>20</v>
      </c>
      <c r="E2" s="314">
        <f>E5+E8</f>
        <v>56058811</v>
      </c>
      <c r="F2" s="314">
        <f>F5+F8</f>
        <v>55056008</v>
      </c>
      <c r="G2" s="314">
        <f t="shared" ref="F2:P3" si="0">G5+G8</f>
        <v>56149143</v>
      </c>
      <c r="H2" s="314">
        <f t="shared" si="0"/>
        <v>58799277</v>
      </c>
      <c r="I2" s="314">
        <f t="shared" si="0"/>
        <v>55632341</v>
      </c>
      <c r="J2" s="314">
        <f t="shared" si="0"/>
        <v>57287363</v>
      </c>
      <c r="K2" s="314">
        <f t="shared" si="0"/>
        <v>61911924</v>
      </c>
      <c r="L2" s="314">
        <f t="shared" si="0"/>
        <v>55318343</v>
      </c>
      <c r="M2" s="314">
        <f t="shared" si="0"/>
        <v>58644806</v>
      </c>
      <c r="N2" s="314">
        <f t="shared" si="0"/>
        <v>59091045</v>
      </c>
      <c r="O2" s="314">
        <f t="shared" si="0"/>
        <v>57178567</v>
      </c>
      <c r="P2" s="60">
        <f t="shared" si="0"/>
        <v>60248273.222222216</v>
      </c>
      <c r="Q2" s="60">
        <f>Q5+Q8</f>
        <v>691375901.22222233</v>
      </c>
    </row>
    <row r="3" spans="1:19" s="127" customFormat="1" ht="21.65" customHeight="1">
      <c r="A3" s="610"/>
      <c r="B3" s="611"/>
      <c r="C3" s="611"/>
      <c r="D3" s="5" t="s">
        <v>21</v>
      </c>
      <c r="E3" s="315">
        <f>E6+E9</f>
        <v>45001579.190476194</v>
      </c>
      <c r="F3" s="315">
        <f t="shared" si="0"/>
        <v>44303397</v>
      </c>
      <c r="G3" s="315">
        <f t="shared" si="0"/>
        <v>45633632</v>
      </c>
      <c r="H3" s="315">
        <f t="shared" si="0"/>
        <v>46036102</v>
      </c>
      <c r="I3" s="315">
        <f t="shared" si="0"/>
        <v>45651218.966800436</v>
      </c>
      <c r="J3" s="315">
        <f t="shared" si="0"/>
        <v>46511417.840001166</v>
      </c>
      <c r="K3" s="315">
        <f t="shared" si="0"/>
        <v>47468200.46302449</v>
      </c>
      <c r="L3" s="315">
        <f t="shared" si="0"/>
        <v>45353471.243212014</v>
      </c>
      <c r="M3" s="315">
        <f t="shared" si="0"/>
        <v>46874174.853608951</v>
      </c>
      <c r="N3" s="315">
        <f t="shared" si="0"/>
        <v>47071789.361877978</v>
      </c>
      <c r="O3" s="315">
        <f t="shared" si="0"/>
        <v>46258019.854993984</v>
      </c>
      <c r="P3" s="61">
        <f t="shared" si="0"/>
        <v>47607740.277777776</v>
      </c>
      <c r="Q3" s="61">
        <f>Q6+Q9</f>
        <v>553770743.05177307</v>
      </c>
    </row>
    <row r="4" spans="1:19" s="127" customFormat="1" ht="21.65" customHeight="1">
      <c r="A4" s="610"/>
      <c r="B4" s="611"/>
      <c r="C4" s="611"/>
      <c r="D4" s="6" t="s">
        <v>22</v>
      </c>
      <c r="E4" s="316">
        <f>E2-E3</f>
        <v>11057231.809523806</v>
      </c>
      <c r="F4" s="316">
        <f t="shared" ref="F4:O4" si="1">F2-F3</f>
        <v>10752611</v>
      </c>
      <c r="G4" s="316">
        <f t="shared" si="1"/>
        <v>10515511</v>
      </c>
      <c r="H4" s="316">
        <f t="shared" si="1"/>
        <v>12763175</v>
      </c>
      <c r="I4" s="316">
        <f t="shared" si="1"/>
        <v>9981122.0331995636</v>
      </c>
      <c r="J4" s="316">
        <f t="shared" si="1"/>
        <v>10775945.159998834</v>
      </c>
      <c r="K4" s="316">
        <f t="shared" si="1"/>
        <v>14443723.53697551</v>
      </c>
      <c r="L4" s="316">
        <f t="shared" si="1"/>
        <v>9964871.7567879856</v>
      </c>
      <c r="M4" s="316">
        <f t="shared" si="1"/>
        <v>11770631.146391049</v>
      </c>
      <c r="N4" s="316">
        <f t="shared" si="1"/>
        <v>12019255.638122022</v>
      </c>
      <c r="O4" s="316">
        <f t="shared" si="1"/>
        <v>10920547.145006016</v>
      </c>
      <c r="P4" s="62">
        <f>P2-P3</f>
        <v>12640532.94444444</v>
      </c>
      <c r="Q4" s="62">
        <f>Q2-Q3</f>
        <v>137605158.17044926</v>
      </c>
    </row>
    <row r="5" spans="1:19" s="127" customFormat="1" ht="14.15" customHeight="1">
      <c r="A5" s="612" t="s">
        <v>105</v>
      </c>
      <c r="B5" s="612"/>
      <c r="C5" s="612"/>
      <c r="D5" s="128" t="s">
        <v>20</v>
      </c>
      <c r="E5" s="317">
        <f>まとめ!E61</f>
        <v>45780631</v>
      </c>
      <c r="F5" s="317">
        <f>まとめ!F61</f>
        <v>45006457</v>
      </c>
      <c r="G5" s="317">
        <f>まとめ!G61</f>
        <v>46132538</v>
      </c>
      <c r="H5" s="317">
        <f>まとめ!H61</f>
        <v>47813057</v>
      </c>
      <c r="I5" s="317">
        <f>まとめ!I61</f>
        <v>45095786</v>
      </c>
      <c r="J5" s="317">
        <f>まとめ!J61</f>
        <v>45964337</v>
      </c>
      <c r="K5" s="317">
        <f>まとめ!K61</f>
        <v>48641845</v>
      </c>
      <c r="L5" s="317">
        <f>まとめ!L61</f>
        <v>44714137</v>
      </c>
      <c r="M5" s="317">
        <f>まとめ!M61</f>
        <v>47505249</v>
      </c>
      <c r="N5" s="317">
        <f>まとめ!N61</f>
        <v>47043254</v>
      </c>
      <c r="O5" s="317">
        <f>まとめ!O61</f>
        <v>45471397</v>
      </c>
      <c r="P5" s="63">
        <f>まとめ!P61</f>
        <v>47818949.333333328</v>
      </c>
      <c r="Q5" s="64">
        <f>SUM(E5:P5)</f>
        <v>556987637.33333337</v>
      </c>
      <c r="S5" s="129"/>
    </row>
    <row r="6" spans="1:19" s="127" customFormat="1" ht="14.15" customHeight="1">
      <c r="A6" s="613"/>
      <c r="B6" s="613"/>
      <c r="C6" s="613"/>
      <c r="D6" s="130" t="s">
        <v>21</v>
      </c>
      <c r="E6" s="318">
        <f>まとめ!E62</f>
        <v>36598064.190476194</v>
      </c>
      <c r="F6" s="318">
        <f>まとめ!F62</f>
        <v>36175956</v>
      </c>
      <c r="G6" s="318">
        <f>まとめ!G62</f>
        <v>37289937</v>
      </c>
      <c r="H6" s="318">
        <f>まとめ!H62</f>
        <v>37229902</v>
      </c>
      <c r="I6" s="318">
        <f>まとめ!I62</f>
        <v>36754193.966800436</v>
      </c>
      <c r="J6" s="318">
        <f>まとめ!J62</f>
        <v>36999217.840001166</v>
      </c>
      <c r="K6" s="318">
        <f>まとめ!K62</f>
        <v>38087958.46302449</v>
      </c>
      <c r="L6" s="318">
        <f>まとめ!L62</f>
        <v>36819954.243212014</v>
      </c>
      <c r="M6" s="318">
        <f>まとめ!M62</f>
        <v>38061630.853608951</v>
      </c>
      <c r="N6" s="318">
        <f>まとめ!N62</f>
        <v>37708551.361877978</v>
      </c>
      <c r="O6" s="318">
        <f>まとめ!O62</f>
        <v>36976148.854993984</v>
      </c>
      <c r="P6" s="64">
        <f>まとめ!P62</f>
        <v>37961867.333333328</v>
      </c>
      <c r="Q6" s="64">
        <f>SUM(E6:P6)</f>
        <v>446663382.10732859</v>
      </c>
      <c r="S6" s="129"/>
    </row>
    <row r="7" spans="1:19" s="127" customFormat="1" ht="14.15" customHeight="1">
      <c r="A7" s="614"/>
      <c r="B7" s="614"/>
      <c r="C7" s="614"/>
      <c r="D7" s="6" t="s">
        <v>22</v>
      </c>
      <c r="E7" s="319">
        <f>E5-E6</f>
        <v>9182566.809523806</v>
      </c>
      <c r="F7" s="319">
        <f t="shared" ref="F7:P7" si="2">F5-F6</f>
        <v>8830501</v>
      </c>
      <c r="G7" s="319">
        <f t="shared" si="2"/>
        <v>8842601</v>
      </c>
      <c r="H7" s="319">
        <f t="shared" si="2"/>
        <v>10583155</v>
      </c>
      <c r="I7" s="319">
        <f t="shared" si="2"/>
        <v>8341592.0331995636</v>
      </c>
      <c r="J7" s="319">
        <f t="shared" si="2"/>
        <v>8965119.1599988341</v>
      </c>
      <c r="K7" s="319">
        <f t="shared" si="2"/>
        <v>10553886.53697551</v>
      </c>
      <c r="L7" s="319">
        <f t="shared" si="2"/>
        <v>7894182.7567879856</v>
      </c>
      <c r="M7" s="319">
        <f t="shared" si="2"/>
        <v>9443618.146391049</v>
      </c>
      <c r="N7" s="319">
        <f t="shared" si="2"/>
        <v>9334702.6381220222</v>
      </c>
      <c r="O7" s="319">
        <f t="shared" si="2"/>
        <v>8495248.1450060159</v>
      </c>
      <c r="P7" s="65">
        <f t="shared" si="2"/>
        <v>9857082</v>
      </c>
      <c r="Q7" s="65">
        <f>SUM(E7:P7)</f>
        <v>110324255.22600478</v>
      </c>
      <c r="S7" s="129"/>
    </row>
    <row r="8" spans="1:19" s="127" customFormat="1" ht="14.15" customHeight="1">
      <c r="A8" s="612" t="s">
        <v>85</v>
      </c>
      <c r="B8" s="612"/>
      <c r="C8" s="612"/>
      <c r="D8" s="128" t="s">
        <v>20</v>
      </c>
      <c r="E8" s="317">
        <f>まとめ!E64</f>
        <v>10278180</v>
      </c>
      <c r="F8" s="317">
        <f>まとめ!F64</f>
        <v>10049551</v>
      </c>
      <c r="G8" s="317">
        <f>まとめ!G64</f>
        <v>10016605</v>
      </c>
      <c r="H8" s="317">
        <f>まとめ!H64</f>
        <v>10986220</v>
      </c>
      <c r="I8" s="317">
        <f>まとめ!I64</f>
        <v>10536555</v>
      </c>
      <c r="J8" s="317">
        <f>まとめ!J64</f>
        <v>11323026</v>
      </c>
      <c r="K8" s="317">
        <f>まとめ!K64</f>
        <v>13270079</v>
      </c>
      <c r="L8" s="317">
        <f>まとめ!L64</f>
        <v>10604206</v>
      </c>
      <c r="M8" s="317">
        <f>まとめ!M64</f>
        <v>11139557</v>
      </c>
      <c r="N8" s="317">
        <f>まとめ!N64</f>
        <v>12047791</v>
      </c>
      <c r="O8" s="317">
        <f>まとめ!O64</f>
        <v>11707170</v>
      </c>
      <c r="P8" s="63">
        <f>まとめ!P64</f>
        <v>12429323.888888888</v>
      </c>
      <c r="Q8" s="63">
        <f t="shared" ref="Q8:Q10" si="3">SUM(E8:P8)</f>
        <v>134388263.8888889</v>
      </c>
      <c r="S8" s="129"/>
    </row>
    <row r="9" spans="1:19" s="127" customFormat="1" ht="14.15" customHeight="1">
      <c r="A9" s="613"/>
      <c r="B9" s="613"/>
      <c r="C9" s="613"/>
      <c r="D9" s="130" t="s">
        <v>21</v>
      </c>
      <c r="E9" s="318">
        <f>まとめ!E65</f>
        <v>8403515</v>
      </c>
      <c r="F9" s="318">
        <f>まとめ!F65</f>
        <v>8127441</v>
      </c>
      <c r="G9" s="318">
        <f>まとめ!G65</f>
        <v>8343695</v>
      </c>
      <c r="H9" s="318">
        <f>まとめ!H65</f>
        <v>8806200</v>
      </c>
      <c r="I9" s="318">
        <f>まとめ!I65</f>
        <v>8897025</v>
      </c>
      <c r="J9" s="318">
        <f>まとめ!J65</f>
        <v>9512200</v>
      </c>
      <c r="K9" s="318">
        <f>まとめ!K65</f>
        <v>9380242</v>
      </c>
      <c r="L9" s="318">
        <f>まとめ!L65</f>
        <v>8533517</v>
      </c>
      <c r="M9" s="318">
        <f>まとめ!M65</f>
        <v>8812544</v>
      </c>
      <c r="N9" s="318">
        <f>まとめ!N65</f>
        <v>9363238</v>
      </c>
      <c r="O9" s="318">
        <f>まとめ!O65</f>
        <v>9281871</v>
      </c>
      <c r="P9" s="64">
        <f>まとめ!P65</f>
        <v>9645872.944444444</v>
      </c>
      <c r="Q9" s="64">
        <f>SUM(E9:P9)</f>
        <v>107107360.94444445</v>
      </c>
      <c r="S9" s="129"/>
    </row>
    <row r="10" spans="1:19" s="127" customFormat="1" ht="14.15" customHeight="1">
      <c r="A10" s="614"/>
      <c r="B10" s="614"/>
      <c r="C10" s="614"/>
      <c r="D10" s="6" t="s">
        <v>22</v>
      </c>
      <c r="E10" s="319">
        <f>E8-E9</f>
        <v>1874665</v>
      </c>
      <c r="F10" s="319">
        <f t="shared" ref="F10:P10" si="4">F8-F9</f>
        <v>1922110</v>
      </c>
      <c r="G10" s="319">
        <f t="shared" si="4"/>
        <v>1672910</v>
      </c>
      <c r="H10" s="319">
        <f t="shared" si="4"/>
        <v>2180020</v>
      </c>
      <c r="I10" s="319">
        <f t="shared" si="4"/>
        <v>1639530</v>
      </c>
      <c r="J10" s="319">
        <f t="shared" si="4"/>
        <v>1810826</v>
      </c>
      <c r="K10" s="319">
        <f t="shared" si="4"/>
        <v>3889837</v>
      </c>
      <c r="L10" s="319">
        <f t="shared" si="4"/>
        <v>2070689</v>
      </c>
      <c r="M10" s="319">
        <f t="shared" si="4"/>
        <v>2327013</v>
      </c>
      <c r="N10" s="319">
        <f t="shared" si="4"/>
        <v>2684553</v>
      </c>
      <c r="O10" s="319">
        <f t="shared" si="4"/>
        <v>2425299</v>
      </c>
      <c r="P10" s="65">
        <f t="shared" si="4"/>
        <v>2783450.944444444</v>
      </c>
      <c r="Q10" s="65">
        <f t="shared" si="3"/>
        <v>27280902.944444444</v>
      </c>
      <c r="S10" s="129"/>
    </row>
    <row r="11" spans="1:19" s="127" customFormat="1" ht="14.15" customHeight="1">
      <c r="A11" s="131"/>
      <c r="B11" s="131"/>
      <c r="C11" s="131"/>
      <c r="D11" s="128" t="s">
        <v>20</v>
      </c>
      <c r="E11" s="314">
        <f>E2</f>
        <v>56058811</v>
      </c>
      <c r="F11" s="314">
        <f t="shared" ref="E11:Q13" si="5">F2</f>
        <v>55056008</v>
      </c>
      <c r="G11" s="314">
        <f t="shared" si="5"/>
        <v>56149143</v>
      </c>
      <c r="H11" s="314">
        <f t="shared" si="5"/>
        <v>58799277</v>
      </c>
      <c r="I11" s="314">
        <f t="shared" si="5"/>
        <v>55632341</v>
      </c>
      <c r="J11" s="314">
        <f t="shared" si="5"/>
        <v>57287363</v>
      </c>
      <c r="K11" s="314">
        <f t="shared" si="5"/>
        <v>61911924</v>
      </c>
      <c r="L11" s="314">
        <f t="shared" si="5"/>
        <v>55318343</v>
      </c>
      <c r="M11" s="314">
        <f t="shared" si="5"/>
        <v>58644806</v>
      </c>
      <c r="N11" s="314">
        <f t="shared" si="5"/>
        <v>59091045</v>
      </c>
      <c r="O11" s="314">
        <f t="shared" si="5"/>
        <v>57178567</v>
      </c>
      <c r="P11" s="60">
        <f t="shared" si="5"/>
        <v>60248273.222222216</v>
      </c>
      <c r="Q11" s="60">
        <f t="shared" si="5"/>
        <v>691375901.22222233</v>
      </c>
      <c r="S11" s="129"/>
    </row>
    <row r="12" spans="1:19" s="127" customFormat="1" ht="14.15" customHeight="1">
      <c r="A12" s="131"/>
      <c r="B12" s="131"/>
      <c r="C12" s="131"/>
      <c r="D12" s="130" t="s">
        <v>21</v>
      </c>
      <c r="E12" s="315">
        <f t="shared" si="5"/>
        <v>45001579.190476194</v>
      </c>
      <c r="F12" s="315">
        <f t="shared" si="5"/>
        <v>44303397</v>
      </c>
      <c r="G12" s="315">
        <f t="shared" si="5"/>
        <v>45633632</v>
      </c>
      <c r="H12" s="315">
        <f t="shared" si="5"/>
        <v>46036102</v>
      </c>
      <c r="I12" s="315">
        <f t="shared" si="5"/>
        <v>45651218.966800436</v>
      </c>
      <c r="J12" s="315">
        <f t="shared" si="5"/>
        <v>46511417.840001166</v>
      </c>
      <c r="K12" s="315">
        <f t="shared" si="5"/>
        <v>47468200.46302449</v>
      </c>
      <c r="L12" s="315">
        <f t="shared" si="5"/>
        <v>45353471.243212014</v>
      </c>
      <c r="M12" s="315">
        <f t="shared" si="5"/>
        <v>46874174.853608951</v>
      </c>
      <c r="N12" s="315">
        <f t="shared" si="5"/>
        <v>47071789.361877978</v>
      </c>
      <c r="O12" s="315">
        <f t="shared" si="5"/>
        <v>46258019.854993984</v>
      </c>
      <c r="P12" s="61">
        <f t="shared" si="5"/>
        <v>47607740.277777776</v>
      </c>
      <c r="Q12" s="61">
        <f t="shared" si="5"/>
        <v>553770743.05177307</v>
      </c>
      <c r="S12" s="129"/>
    </row>
    <row r="13" spans="1:19" s="127" customFormat="1" ht="14.15" customHeight="1">
      <c r="A13" s="131"/>
      <c r="B13" s="131"/>
      <c r="C13" s="131"/>
      <c r="D13" s="132" t="s">
        <v>22</v>
      </c>
      <c r="E13" s="319">
        <f t="shared" si="5"/>
        <v>11057231.809523806</v>
      </c>
      <c r="F13" s="319">
        <f t="shared" si="5"/>
        <v>10752611</v>
      </c>
      <c r="G13" s="319">
        <f t="shared" si="5"/>
        <v>10515511</v>
      </c>
      <c r="H13" s="319">
        <f t="shared" si="5"/>
        <v>12763175</v>
      </c>
      <c r="I13" s="319">
        <f t="shared" si="5"/>
        <v>9981122.0331995636</v>
      </c>
      <c r="J13" s="319">
        <f t="shared" si="5"/>
        <v>10775945.159998834</v>
      </c>
      <c r="K13" s="319">
        <f t="shared" si="5"/>
        <v>14443723.53697551</v>
      </c>
      <c r="L13" s="319">
        <f t="shared" si="5"/>
        <v>9964871.7567879856</v>
      </c>
      <c r="M13" s="319">
        <f t="shared" si="5"/>
        <v>11770631.146391049</v>
      </c>
      <c r="N13" s="319">
        <f t="shared" si="5"/>
        <v>12019255.638122022</v>
      </c>
      <c r="O13" s="319">
        <f t="shared" si="5"/>
        <v>10920547.145006016</v>
      </c>
      <c r="P13" s="65">
        <f t="shared" si="5"/>
        <v>12640532.94444444</v>
      </c>
      <c r="Q13" s="65">
        <f t="shared" si="5"/>
        <v>137605158.17044926</v>
      </c>
      <c r="S13" s="129"/>
    </row>
    <row r="14" spans="1:19" s="127" customFormat="1" ht="14.15" customHeight="1">
      <c r="A14" s="131"/>
      <c r="B14" s="131"/>
      <c r="C14" s="131"/>
      <c r="D14" s="128" t="s">
        <v>74</v>
      </c>
      <c r="E14" s="605">
        <f>SUM(E11:G11)</f>
        <v>167263962</v>
      </c>
      <c r="F14" s="605"/>
      <c r="G14" s="605"/>
      <c r="H14" s="605">
        <f t="shared" ref="H14:H15" si="6">SUM(H11:J11)</f>
        <v>171718981</v>
      </c>
      <c r="I14" s="605"/>
      <c r="J14" s="605"/>
      <c r="K14" s="605">
        <f>SUM(K11:M11)</f>
        <v>175875073</v>
      </c>
      <c r="L14" s="605"/>
      <c r="M14" s="605"/>
      <c r="N14" s="606">
        <f>SUM(N11:P11)</f>
        <v>176517885.22222221</v>
      </c>
      <c r="O14" s="606"/>
      <c r="P14" s="606"/>
      <c r="Q14" s="66">
        <f>SUM(E14:P14)</f>
        <v>691375901.22222221</v>
      </c>
      <c r="S14" s="129"/>
    </row>
    <row r="15" spans="1:19" s="127" customFormat="1" ht="14.15" customHeight="1">
      <c r="A15" s="131"/>
      <c r="B15" s="131"/>
      <c r="C15" s="131"/>
      <c r="D15" s="130" t="s">
        <v>77</v>
      </c>
      <c r="E15" s="607">
        <f>SUM(E12:G12)</f>
        <v>134938608.19047618</v>
      </c>
      <c r="F15" s="607"/>
      <c r="G15" s="607"/>
      <c r="H15" s="607">
        <f t="shared" si="6"/>
        <v>138198738.80680162</v>
      </c>
      <c r="I15" s="607"/>
      <c r="J15" s="607"/>
      <c r="K15" s="607">
        <f t="shared" ref="K15" si="7">SUM(K12:M12)</f>
        <v>139695846.55984545</v>
      </c>
      <c r="L15" s="607"/>
      <c r="M15" s="607"/>
      <c r="N15" s="608">
        <f t="shared" ref="N15:N16" si="8">SUM(N12:P12)</f>
        <v>140937549.49464974</v>
      </c>
      <c r="O15" s="608"/>
      <c r="P15" s="608"/>
      <c r="Q15" s="67">
        <f>SUM(E15:P15)</f>
        <v>553770743.05177295</v>
      </c>
      <c r="S15" s="129"/>
    </row>
    <row r="16" spans="1:19" s="127" customFormat="1" ht="14.15" customHeight="1">
      <c r="A16" s="131"/>
      <c r="B16" s="131"/>
      <c r="C16" s="131"/>
      <c r="D16" s="132" t="s">
        <v>75</v>
      </c>
      <c r="E16" s="603">
        <f>SUM(E13:G13)</f>
        <v>32325353.809523806</v>
      </c>
      <c r="F16" s="603"/>
      <c r="G16" s="603"/>
      <c r="H16" s="603">
        <f>SUM(H13:J13)</f>
        <v>33520242.193198398</v>
      </c>
      <c r="I16" s="603"/>
      <c r="J16" s="603"/>
      <c r="K16" s="603">
        <f>SUM(K13:M13)</f>
        <v>36179226.440154545</v>
      </c>
      <c r="L16" s="603"/>
      <c r="M16" s="603"/>
      <c r="N16" s="604">
        <f t="shared" si="8"/>
        <v>35580335.727572478</v>
      </c>
      <c r="O16" s="604"/>
      <c r="P16" s="604"/>
      <c r="Q16" s="68">
        <f>SUM(E16:P16)</f>
        <v>137605158.17044923</v>
      </c>
      <c r="S16" s="129"/>
    </row>
    <row r="17" spans="1:19" s="127" customFormat="1" ht="14.15" customHeigh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S17" s="129"/>
    </row>
    <row r="18" spans="1:19" ht="14.15" customHeight="1">
      <c r="B18" s="615" t="s">
        <v>134</v>
      </c>
      <c r="C18" s="615"/>
      <c r="D18" s="252"/>
      <c r="E18" s="477"/>
      <c r="F18" s="477"/>
      <c r="G18" s="477"/>
      <c r="H18" s="477"/>
      <c r="I18" s="477"/>
      <c r="J18" s="477"/>
      <c r="K18" s="477"/>
      <c r="L18" s="477"/>
      <c r="M18" s="477"/>
      <c r="N18" s="477"/>
      <c r="O18" s="477"/>
      <c r="P18" s="252"/>
      <c r="Q18" s="461"/>
      <c r="S18" s="129"/>
    </row>
    <row r="19" spans="1:19" ht="14.15" customHeight="1">
      <c r="B19" s="615" t="s">
        <v>135</v>
      </c>
      <c r="C19" s="615"/>
      <c r="D19" s="252"/>
      <c r="E19" s="477"/>
      <c r="F19" s="477"/>
      <c r="G19" s="477"/>
      <c r="H19" s="477"/>
      <c r="I19" s="477"/>
      <c r="J19" s="477"/>
      <c r="K19" s="477"/>
      <c r="L19" s="477"/>
      <c r="M19" s="477"/>
      <c r="N19" s="477"/>
      <c r="O19" s="477"/>
      <c r="P19" s="252"/>
      <c r="Q19" s="461"/>
      <c r="S19" s="129"/>
    </row>
    <row r="20" spans="1:19" ht="14.15" customHeight="1">
      <c r="S20" s="129"/>
    </row>
    <row r="21" spans="1:19" ht="14.15" customHeight="1">
      <c r="S21" s="129"/>
    </row>
    <row r="22" spans="1:19" ht="14.15" customHeight="1">
      <c r="S22" s="129"/>
    </row>
    <row r="23" spans="1:19" ht="14.15" customHeight="1">
      <c r="S23" s="129"/>
    </row>
    <row r="24" spans="1:19" ht="14.15" customHeight="1">
      <c r="S24" s="129"/>
    </row>
    <row r="25" spans="1:19" ht="14.15" customHeight="1">
      <c r="S25" s="129"/>
    </row>
    <row r="26" spans="1:19" ht="14.15" customHeight="1">
      <c r="S26" s="129"/>
    </row>
    <row r="27" spans="1:19" ht="14.15" customHeight="1">
      <c r="S27" s="129"/>
    </row>
    <row r="28" spans="1:19" ht="14.15" customHeight="1">
      <c r="S28" s="129"/>
    </row>
    <row r="29" spans="1:19" ht="14.15" customHeight="1">
      <c r="S29" s="129"/>
    </row>
    <row r="30" spans="1:19" ht="14.15" customHeight="1">
      <c r="S30" s="129"/>
    </row>
    <row r="31" spans="1:19" ht="14.15" customHeight="1">
      <c r="S31" s="129"/>
    </row>
    <row r="32" spans="1:19" ht="14.15" customHeight="1">
      <c r="S32" s="129"/>
    </row>
    <row r="33" spans="19:19" ht="14.15" customHeight="1">
      <c r="S33" s="129"/>
    </row>
    <row r="34" spans="19:19" ht="14.15" customHeight="1">
      <c r="S34" s="129"/>
    </row>
    <row r="35" spans="19:19" ht="14.15" customHeight="1">
      <c r="S35" s="129"/>
    </row>
    <row r="36" spans="19:19" ht="14.15" customHeight="1">
      <c r="S36" s="129"/>
    </row>
    <row r="37" spans="19:19" ht="14.15" customHeight="1">
      <c r="S37" s="129"/>
    </row>
    <row r="38" spans="19:19" ht="14.15" customHeight="1">
      <c r="S38" s="129"/>
    </row>
    <row r="39" spans="19:19" ht="14.15" customHeight="1">
      <c r="S39" s="129"/>
    </row>
    <row r="40" spans="19:19" ht="14.15" customHeight="1">
      <c r="S40" s="129"/>
    </row>
    <row r="41" spans="19:19" ht="14.15" customHeight="1">
      <c r="S41" s="129"/>
    </row>
    <row r="42" spans="19:19" ht="14.15" customHeight="1">
      <c r="S42" s="129"/>
    </row>
    <row r="43" spans="19:19" ht="14.15" customHeight="1">
      <c r="S43" s="129"/>
    </row>
    <row r="44" spans="19:19" ht="14.15" customHeight="1">
      <c r="S44" s="129"/>
    </row>
    <row r="45" spans="19:19" ht="14.15" customHeight="1">
      <c r="S45" s="129"/>
    </row>
    <row r="46" spans="19:19" ht="14.15" customHeight="1">
      <c r="S46" s="129"/>
    </row>
    <row r="47" spans="19:19" ht="14.15" customHeight="1">
      <c r="S47" s="129"/>
    </row>
    <row r="48" spans="19:19" ht="14.15" customHeight="1">
      <c r="S48" s="129"/>
    </row>
    <row r="49" spans="19:19" ht="14.15" customHeight="1">
      <c r="S49" s="129"/>
    </row>
    <row r="50" spans="19:19" ht="14.15" customHeight="1">
      <c r="S50" s="129"/>
    </row>
    <row r="51" spans="19:19" ht="14.15" customHeight="1">
      <c r="S51" s="129"/>
    </row>
    <row r="52" spans="19:19" ht="14.15" customHeight="1">
      <c r="S52" s="129"/>
    </row>
    <row r="53" spans="19:19" ht="14.15" customHeight="1">
      <c r="S53" s="129"/>
    </row>
    <row r="54" spans="19:19" ht="14.15" customHeight="1">
      <c r="S54" s="129"/>
    </row>
    <row r="55" spans="19:19" ht="14.15" customHeight="1">
      <c r="S55" s="129"/>
    </row>
    <row r="56" spans="19:19" ht="14.15" customHeight="1">
      <c r="S56" s="129"/>
    </row>
    <row r="57" spans="19:19" ht="14.15" customHeight="1">
      <c r="S57" s="129"/>
    </row>
    <row r="58" spans="19:19" ht="14.15" customHeight="1">
      <c r="S58" s="129"/>
    </row>
    <row r="59" spans="19:19" ht="14.15" customHeight="1">
      <c r="S59" s="129"/>
    </row>
    <row r="60" spans="19:19" ht="14.15" customHeight="1">
      <c r="S60" s="129"/>
    </row>
    <row r="61" spans="19:19" ht="14.15" customHeight="1">
      <c r="S61" s="129"/>
    </row>
    <row r="62" spans="19:19" ht="14.15" customHeight="1">
      <c r="S62" s="129"/>
    </row>
    <row r="63" spans="19:19" ht="14.15" customHeight="1">
      <c r="S63" s="129"/>
    </row>
    <row r="64" spans="19:19" ht="14.15" customHeight="1">
      <c r="S64" s="129"/>
    </row>
    <row r="65" spans="19:19" ht="14.15" customHeight="1">
      <c r="S65" s="129"/>
    </row>
    <row r="66" spans="19:19" ht="14.15" customHeight="1">
      <c r="S66" s="129"/>
    </row>
    <row r="67" spans="19:19" ht="14.15" customHeight="1">
      <c r="S67" s="129"/>
    </row>
    <row r="68" spans="19:19" ht="14.15" customHeight="1">
      <c r="S68" s="129"/>
    </row>
    <row r="69" spans="19:19" ht="14.15" customHeight="1">
      <c r="S69" s="129"/>
    </row>
    <row r="70" spans="19:19" ht="14.15" customHeight="1">
      <c r="S70" s="129"/>
    </row>
    <row r="71" spans="19:19" ht="14.15" customHeight="1">
      <c r="S71" s="129"/>
    </row>
    <row r="72" spans="19:19" ht="14.15" customHeight="1">
      <c r="S72" s="129"/>
    </row>
    <row r="73" spans="19:19" ht="14.15" customHeight="1">
      <c r="S73" s="129"/>
    </row>
    <row r="74" spans="19:19" ht="14.15" customHeight="1">
      <c r="S74" s="129"/>
    </row>
    <row r="75" spans="19:19" ht="14.15" customHeight="1">
      <c r="S75" s="129"/>
    </row>
    <row r="76" spans="19:19" ht="14.15" customHeight="1">
      <c r="S76" s="129"/>
    </row>
    <row r="77" spans="19:19" ht="14.15" customHeight="1">
      <c r="S77" s="129"/>
    </row>
    <row r="78" spans="19:19" ht="14.15" customHeight="1">
      <c r="S78" s="129"/>
    </row>
    <row r="79" spans="19:19" ht="14.15" customHeight="1">
      <c r="S79" s="129"/>
    </row>
    <row r="80" spans="19:19" ht="14.15" customHeight="1">
      <c r="S80" s="129"/>
    </row>
    <row r="81" spans="19:19" ht="14.15" customHeight="1">
      <c r="S81" s="129"/>
    </row>
    <row r="82" spans="19:19" ht="14.15" customHeight="1">
      <c r="S82" s="129"/>
    </row>
    <row r="83" spans="19:19" ht="14.15" customHeight="1">
      <c r="S83" s="129"/>
    </row>
    <row r="84" spans="19:19" ht="14.15" customHeight="1">
      <c r="S84" s="129"/>
    </row>
    <row r="85" spans="19:19" ht="14.15" customHeight="1">
      <c r="S85" s="129"/>
    </row>
    <row r="86" spans="19:19" ht="14.15" customHeight="1">
      <c r="S86" s="129"/>
    </row>
    <row r="87" spans="19:19" ht="14.15" customHeight="1">
      <c r="S87" s="129"/>
    </row>
    <row r="88" spans="19:19" ht="14.15" customHeight="1">
      <c r="S88" s="129"/>
    </row>
    <row r="89" spans="19:19" ht="14.15" customHeight="1">
      <c r="S89" s="129"/>
    </row>
    <row r="90" spans="19:19" ht="14.15" customHeight="1">
      <c r="S90" s="129"/>
    </row>
    <row r="91" spans="19:19" ht="14.15" customHeight="1">
      <c r="S91" s="129"/>
    </row>
    <row r="92" spans="19:19" ht="14.15" customHeight="1">
      <c r="S92" s="129"/>
    </row>
    <row r="93" spans="19:19" ht="14.15" customHeight="1">
      <c r="S93" s="129"/>
    </row>
    <row r="94" spans="19:19" ht="14.15" customHeight="1">
      <c r="S94" s="129"/>
    </row>
    <row r="95" spans="19:19" ht="14.15" customHeight="1">
      <c r="S95" s="129"/>
    </row>
    <row r="96" spans="19:19" ht="14.15" customHeight="1">
      <c r="S96" s="129"/>
    </row>
    <row r="97" spans="19:19" ht="14.15" customHeight="1">
      <c r="S97" s="129"/>
    </row>
    <row r="98" spans="19:19" ht="14.15" customHeight="1">
      <c r="S98" s="129"/>
    </row>
    <row r="99" spans="19:19" ht="14.15" customHeight="1">
      <c r="S99" s="129"/>
    </row>
    <row r="100" spans="19:19" ht="14.15" customHeight="1">
      <c r="S100" s="129"/>
    </row>
    <row r="101" spans="19:19" ht="14.15" customHeight="1">
      <c r="S101" s="129"/>
    </row>
    <row r="102" spans="19:19" ht="14.15" customHeight="1">
      <c r="S102" s="129"/>
    </row>
    <row r="103" spans="19:19" ht="14.15" customHeight="1">
      <c r="S103" s="129"/>
    </row>
    <row r="104" spans="19:19" ht="14.15" customHeight="1">
      <c r="S104" s="129"/>
    </row>
    <row r="105" spans="19:19" ht="14.15" customHeight="1">
      <c r="S105" s="129"/>
    </row>
    <row r="106" spans="19:19" ht="14.15" customHeight="1">
      <c r="S106" s="129"/>
    </row>
    <row r="107" spans="19:19" ht="14.15" customHeight="1">
      <c r="S107" s="129"/>
    </row>
    <row r="108" spans="19:19" ht="14.15" customHeight="1">
      <c r="S108" s="129"/>
    </row>
    <row r="109" spans="19:19" ht="14.15" customHeight="1">
      <c r="S109" s="129"/>
    </row>
    <row r="110" spans="19:19" ht="14.15" customHeight="1">
      <c r="S110" s="129"/>
    </row>
    <row r="111" spans="19:19" ht="14.15" customHeight="1">
      <c r="S111" s="129"/>
    </row>
    <row r="112" spans="19:19" ht="14.15" customHeight="1">
      <c r="S112" s="129"/>
    </row>
    <row r="113" spans="19:19" ht="14.15" customHeight="1">
      <c r="S113" s="129"/>
    </row>
    <row r="114" spans="19:19" ht="14.15" customHeight="1">
      <c r="S114" s="129"/>
    </row>
    <row r="115" spans="19:19" ht="14.15" customHeight="1">
      <c r="S115" s="129"/>
    </row>
    <row r="116" spans="19:19" ht="14.15" customHeight="1">
      <c r="S116" s="129"/>
    </row>
    <row r="117" spans="19:19" ht="14.15" customHeight="1">
      <c r="S117" s="129"/>
    </row>
    <row r="118" spans="19:19" ht="14.15" customHeight="1">
      <c r="S118" s="129"/>
    </row>
    <row r="119" spans="19:19" ht="14.15" customHeight="1">
      <c r="S119" s="129"/>
    </row>
    <row r="120" spans="19:19" ht="14.15" customHeight="1">
      <c r="S120" s="129"/>
    </row>
    <row r="121" spans="19:19" ht="14.15" customHeight="1">
      <c r="S121" s="129"/>
    </row>
    <row r="122" spans="19:19" ht="14.15" customHeight="1">
      <c r="S122" s="129"/>
    </row>
    <row r="123" spans="19:19" ht="14.15" customHeight="1">
      <c r="S123" s="129"/>
    </row>
    <row r="124" spans="19:19" ht="14.15" customHeight="1">
      <c r="S124" s="129"/>
    </row>
    <row r="125" spans="19:19" ht="14.15" customHeight="1">
      <c r="S125" s="129"/>
    </row>
  </sheetData>
  <mergeCells count="18">
    <mergeCell ref="B19:C19"/>
    <mergeCell ref="E16:G16"/>
    <mergeCell ref="H16:J16"/>
    <mergeCell ref="K16:M16"/>
    <mergeCell ref="N16:P16"/>
    <mergeCell ref="B18:C18"/>
    <mergeCell ref="K14:M14"/>
    <mergeCell ref="N14:P14"/>
    <mergeCell ref="E15:G15"/>
    <mergeCell ref="H15:J15"/>
    <mergeCell ref="K15:M15"/>
    <mergeCell ref="N15:P15"/>
    <mergeCell ref="H14:J14"/>
    <mergeCell ref="A1:C1"/>
    <mergeCell ref="A2:C4"/>
    <mergeCell ref="A5:C7"/>
    <mergeCell ref="A8:C10"/>
    <mergeCell ref="E14:G14"/>
  </mergeCells>
  <phoneticPr fontId="10"/>
  <printOptions horizontalCentered="1"/>
  <pageMargins left="0.70866141732283472" right="0.70866141732283472" top="0.74803149606299213" bottom="0.74803149606299213" header="0.31496062992125984" footer="0.31496062992125984"/>
  <pageSetup paperSize="9" scale="62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S175"/>
  <sheetViews>
    <sheetView showGridLines="0" zoomScale="80" zoomScaleNormal="80" zoomScaleSheetLayoutView="70" workbookViewId="0">
      <pane xSplit="3" ySplit="4" topLeftCell="D5" activePane="bottomRight" state="frozen"/>
      <selection pane="topRight" activeCell="D1" sqref="D1"/>
      <selection pane="bottomLeft" activeCell="A5" sqref="A5"/>
      <selection pane="bottomRight" sqref="A1:C1"/>
    </sheetView>
  </sheetViews>
  <sheetFormatPr defaultRowHeight="14.15" customHeight="1"/>
  <cols>
    <col min="1" max="1" width="8.6328125" style="9" customWidth="1"/>
    <col min="2" max="2" width="9.453125" style="9" customWidth="1"/>
    <col min="3" max="3" width="8.36328125" style="9" customWidth="1"/>
    <col min="4" max="4" width="11.08984375" style="9" bestFit="1" customWidth="1"/>
    <col min="5" max="16" width="14.36328125" style="9" customWidth="1"/>
    <col min="17" max="17" width="17.6328125" style="9" customWidth="1"/>
    <col min="18" max="18" width="9" style="9"/>
    <col min="19" max="19" width="11" style="9" bestFit="1" customWidth="1"/>
    <col min="20" max="249" width="9" style="9"/>
    <col min="250" max="250" width="9.6328125" style="9" customWidth="1"/>
    <col min="251" max="252" width="5.08984375" style="9" customWidth="1"/>
    <col min="253" max="253" width="9.6328125" style="9" customWidth="1"/>
    <col min="254" max="255" width="11.6328125" style="9" customWidth="1"/>
    <col min="256" max="256" width="15.36328125" style="9" customWidth="1"/>
    <col min="257" max="257" width="10.90625" style="9" customWidth="1"/>
    <col min="258" max="268" width="13.36328125" style="9" customWidth="1"/>
    <col min="269" max="269" width="13.6328125" style="9" customWidth="1"/>
    <col min="270" max="270" width="16.453125" style="9" customWidth="1"/>
    <col min="271" max="505" width="9" style="9"/>
    <col min="506" max="506" width="9.6328125" style="9" customWidth="1"/>
    <col min="507" max="508" width="5.08984375" style="9" customWidth="1"/>
    <col min="509" max="509" width="9.6328125" style="9" customWidth="1"/>
    <col min="510" max="511" width="11.6328125" style="9" customWidth="1"/>
    <col min="512" max="512" width="15.36328125" style="9" customWidth="1"/>
    <col min="513" max="513" width="10.90625" style="9" customWidth="1"/>
    <col min="514" max="524" width="13.36328125" style="9" customWidth="1"/>
    <col min="525" max="525" width="13.6328125" style="9" customWidth="1"/>
    <col min="526" max="526" width="16.453125" style="9" customWidth="1"/>
    <col min="527" max="761" width="9" style="9"/>
    <col min="762" max="762" width="9.6328125" style="9" customWidth="1"/>
    <col min="763" max="764" width="5.08984375" style="9" customWidth="1"/>
    <col min="765" max="765" width="9.6328125" style="9" customWidth="1"/>
    <col min="766" max="767" width="11.6328125" style="9" customWidth="1"/>
    <col min="768" max="768" width="15.36328125" style="9" customWidth="1"/>
    <col min="769" max="769" width="10.90625" style="9" customWidth="1"/>
    <col min="770" max="780" width="13.36328125" style="9" customWidth="1"/>
    <col min="781" max="781" width="13.6328125" style="9" customWidth="1"/>
    <col min="782" max="782" width="16.453125" style="9" customWidth="1"/>
    <col min="783" max="1017" width="9" style="9"/>
    <col min="1018" max="1018" width="9.6328125" style="9" customWidth="1"/>
    <col min="1019" max="1020" width="5.08984375" style="9" customWidth="1"/>
    <col min="1021" max="1021" width="9.6328125" style="9" customWidth="1"/>
    <col min="1022" max="1023" width="11.6328125" style="9" customWidth="1"/>
    <col min="1024" max="1024" width="15.36328125" style="9" customWidth="1"/>
    <col min="1025" max="1025" width="10.90625" style="9" customWidth="1"/>
    <col min="1026" max="1036" width="13.36328125" style="9" customWidth="1"/>
    <col min="1037" max="1037" width="13.6328125" style="9" customWidth="1"/>
    <col min="1038" max="1038" width="16.453125" style="9" customWidth="1"/>
    <col min="1039" max="1273" width="9" style="9"/>
    <col min="1274" max="1274" width="9.6328125" style="9" customWidth="1"/>
    <col min="1275" max="1276" width="5.08984375" style="9" customWidth="1"/>
    <col min="1277" max="1277" width="9.6328125" style="9" customWidth="1"/>
    <col min="1278" max="1279" width="11.6328125" style="9" customWidth="1"/>
    <col min="1280" max="1280" width="15.36328125" style="9" customWidth="1"/>
    <col min="1281" max="1281" width="10.90625" style="9" customWidth="1"/>
    <col min="1282" max="1292" width="13.36328125" style="9" customWidth="1"/>
    <col min="1293" max="1293" width="13.6328125" style="9" customWidth="1"/>
    <col min="1294" max="1294" width="16.453125" style="9" customWidth="1"/>
    <col min="1295" max="1529" width="9" style="9"/>
    <col min="1530" max="1530" width="9.6328125" style="9" customWidth="1"/>
    <col min="1531" max="1532" width="5.08984375" style="9" customWidth="1"/>
    <col min="1533" max="1533" width="9.6328125" style="9" customWidth="1"/>
    <col min="1534" max="1535" width="11.6328125" style="9" customWidth="1"/>
    <col min="1536" max="1536" width="15.36328125" style="9" customWidth="1"/>
    <col min="1537" max="1537" width="10.90625" style="9" customWidth="1"/>
    <col min="1538" max="1548" width="13.36328125" style="9" customWidth="1"/>
    <col min="1549" max="1549" width="13.6328125" style="9" customWidth="1"/>
    <col min="1550" max="1550" width="16.453125" style="9" customWidth="1"/>
    <col min="1551" max="1785" width="9" style="9"/>
    <col min="1786" max="1786" width="9.6328125" style="9" customWidth="1"/>
    <col min="1787" max="1788" width="5.08984375" style="9" customWidth="1"/>
    <col min="1789" max="1789" width="9.6328125" style="9" customWidth="1"/>
    <col min="1790" max="1791" width="11.6328125" style="9" customWidth="1"/>
    <col min="1792" max="1792" width="15.36328125" style="9" customWidth="1"/>
    <col min="1793" max="1793" width="10.90625" style="9" customWidth="1"/>
    <col min="1794" max="1804" width="13.36328125" style="9" customWidth="1"/>
    <col min="1805" max="1805" width="13.6328125" style="9" customWidth="1"/>
    <col min="1806" max="1806" width="16.453125" style="9" customWidth="1"/>
    <col min="1807" max="2041" width="9" style="9"/>
    <col min="2042" max="2042" width="9.6328125" style="9" customWidth="1"/>
    <col min="2043" max="2044" width="5.08984375" style="9" customWidth="1"/>
    <col min="2045" max="2045" width="9.6328125" style="9" customWidth="1"/>
    <col min="2046" max="2047" width="11.6328125" style="9" customWidth="1"/>
    <col min="2048" max="2048" width="15.36328125" style="9" customWidth="1"/>
    <col min="2049" max="2049" width="10.90625" style="9" customWidth="1"/>
    <col min="2050" max="2060" width="13.36328125" style="9" customWidth="1"/>
    <col min="2061" max="2061" width="13.6328125" style="9" customWidth="1"/>
    <col min="2062" max="2062" width="16.453125" style="9" customWidth="1"/>
    <col min="2063" max="2297" width="9" style="9"/>
    <col min="2298" max="2298" width="9.6328125" style="9" customWidth="1"/>
    <col min="2299" max="2300" width="5.08984375" style="9" customWidth="1"/>
    <col min="2301" max="2301" width="9.6328125" style="9" customWidth="1"/>
    <col min="2302" max="2303" width="11.6328125" style="9" customWidth="1"/>
    <col min="2304" max="2304" width="15.36328125" style="9" customWidth="1"/>
    <col min="2305" max="2305" width="10.90625" style="9" customWidth="1"/>
    <col min="2306" max="2316" width="13.36328125" style="9" customWidth="1"/>
    <col min="2317" max="2317" width="13.6328125" style="9" customWidth="1"/>
    <col min="2318" max="2318" width="16.453125" style="9" customWidth="1"/>
    <col min="2319" max="2553" width="9" style="9"/>
    <col min="2554" max="2554" width="9.6328125" style="9" customWidth="1"/>
    <col min="2555" max="2556" width="5.08984375" style="9" customWidth="1"/>
    <col min="2557" max="2557" width="9.6328125" style="9" customWidth="1"/>
    <col min="2558" max="2559" width="11.6328125" style="9" customWidth="1"/>
    <col min="2560" max="2560" width="15.36328125" style="9" customWidth="1"/>
    <col min="2561" max="2561" width="10.90625" style="9" customWidth="1"/>
    <col min="2562" max="2572" width="13.36328125" style="9" customWidth="1"/>
    <col min="2573" max="2573" width="13.6328125" style="9" customWidth="1"/>
    <col min="2574" max="2574" width="16.453125" style="9" customWidth="1"/>
    <col min="2575" max="2809" width="9" style="9"/>
    <col min="2810" max="2810" width="9.6328125" style="9" customWidth="1"/>
    <col min="2811" max="2812" width="5.08984375" style="9" customWidth="1"/>
    <col min="2813" max="2813" width="9.6328125" style="9" customWidth="1"/>
    <col min="2814" max="2815" width="11.6328125" style="9" customWidth="1"/>
    <col min="2816" max="2816" width="15.36328125" style="9" customWidth="1"/>
    <col min="2817" max="2817" width="10.90625" style="9" customWidth="1"/>
    <col min="2818" max="2828" width="13.36328125" style="9" customWidth="1"/>
    <col min="2829" max="2829" width="13.6328125" style="9" customWidth="1"/>
    <col min="2830" max="2830" width="16.453125" style="9" customWidth="1"/>
    <col min="2831" max="3065" width="9" style="9"/>
    <col min="3066" max="3066" width="9.6328125" style="9" customWidth="1"/>
    <col min="3067" max="3068" width="5.08984375" style="9" customWidth="1"/>
    <col min="3069" max="3069" width="9.6328125" style="9" customWidth="1"/>
    <col min="3070" max="3071" width="11.6328125" style="9" customWidth="1"/>
    <col min="3072" max="3072" width="15.36328125" style="9" customWidth="1"/>
    <col min="3073" max="3073" width="10.90625" style="9" customWidth="1"/>
    <col min="3074" max="3084" width="13.36328125" style="9" customWidth="1"/>
    <col min="3085" max="3085" width="13.6328125" style="9" customWidth="1"/>
    <col min="3086" max="3086" width="16.453125" style="9" customWidth="1"/>
    <col min="3087" max="3321" width="9" style="9"/>
    <col min="3322" max="3322" width="9.6328125" style="9" customWidth="1"/>
    <col min="3323" max="3324" width="5.08984375" style="9" customWidth="1"/>
    <col min="3325" max="3325" width="9.6328125" style="9" customWidth="1"/>
    <col min="3326" max="3327" width="11.6328125" style="9" customWidth="1"/>
    <col min="3328" max="3328" width="15.36328125" style="9" customWidth="1"/>
    <col min="3329" max="3329" width="10.90625" style="9" customWidth="1"/>
    <col min="3330" max="3340" width="13.36328125" style="9" customWidth="1"/>
    <col min="3341" max="3341" width="13.6328125" style="9" customWidth="1"/>
    <col min="3342" max="3342" width="16.453125" style="9" customWidth="1"/>
    <col min="3343" max="3577" width="9" style="9"/>
    <col min="3578" max="3578" width="9.6328125" style="9" customWidth="1"/>
    <col min="3579" max="3580" width="5.08984375" style="9" customWidth="1"/>
    <col min="3581" max="3581" width="9.6328125" style="9" customWidth="1"/>
    <col min="3582" max="3583" width="11.6328125" style="9" customWidth="1"/>
    <col min="3584" max="3584" width="15.36328125" style="9" customWidth="1"/>
    <col min="3585" max="3585" width="10.90625" style="9" customWidth="1"/>
    <col min="3586" max="3596" width="13.36328125" style="9" customWidth="1"/>
    <col min="3597" max="3597" width="13.6328125" style="9" customWidth="1"/>
    <col min="3598" max="3598" width="16.453125" style="9" customWidth="1"/>
    <col min="3599" max="3833" width="9" style="9"/>
    <col min="3834" max="3834" width="9.6328125" style="9" customWidth="1"/>
    <col min="3835" max="3836" width="5.08984375" style="9" customWidth="1"/>
    <col min="3837" max="3837" width="9.6328125" style="9" customWidth="1"/>
    <col min="3838" max="3839" width="11.6328125" style="9" customWidth="1"/>
    <col min="3840" max="3840" width="15.36328125" style="9" customWidth="1"/>
    <col min="3841" max="3841" width="10.90625" style="9" customWidth="1"/>
    <col min="3842" max="3852" width="13.36328125" style="9" customWidth="1"/>
    <col min="3853" max="3853" width="13.6328125" style="9" customWidth="1"/>
    <col min="3854" max="3854" width="16.453125" style="9" customWidth="1"/>
    <col min="3855" max="4089" width="9" style="9"/>
    <col min="4090" max="4090" width="9.6328125" style="9" customWidth="1"/>
    <col min="4091" max="4092" width="5.08984375" style="9" customWidth="1"/>
    <col min="4093" max="4093" width="9.6328125" style="9" customWidth="1"/>
    <col min="4094" max="4095" width="11.6328125" style="9" customWidth="1"/>
    <col min="4096" max="4096" width="15.36328125" style="9" customWidth="1"/>
    <col min="4097" max="4097" width="10.90625" style="9" customWidth="1"/>
    <col min="4098" max="4108" width="13.36328125" style="9" customWidth="1"/>
    <col min="4109" max="4109" width="13.6328125" style="9" customWidth="1"/>
    <col min="4110" max="4110" width="16.453125" style="9" customWidth="1"/>
    <col min="4111" max="4345" width="9" style="9"/>
    <col min="4346" max="4346" width="9.6328125" style="9" customWidth="1"/>
    <col min="4347" max="4348" width="5.08984375" style="9" customWidth="1"/>
    <col min="4349" max="4349" width="9.6328125" style="9" customWidth="1"/>
    <col min="4350" max="4351" width="11.6328125" style="9" customWidth="1"/>
    <col min="4352" max="4352" width="15.36328125" style="9" customWidth="1"/>
    <col min="4353" max="4353" width="10.90625" style="9" customWidth="1"/>
    <col min="4354" max="4364" width="13.36328125" style="9" customWidth="1"/>
    <col min="4365" max="4365" width="13.6328125" style="9" customWidth="1"/>
    <col min="4366" max="4366" width="16.453125" style="9" customWidth="1"/>
    <col min="4367" max="4601" width="9" style="9"/>
    <col min="4602" max="4602" width="9.6328125" style="9" customWidth="1"/>
    <col min="4603" max="4604" width="5.08984375" style="9" customWidth="1"/>
    <col min="4605" max="4605" width="9.6328125" style="9" customWidth="1"/>
    <col min="4606" max="4607" width="11.6328125" style="9" customWidth="1"/>
    <col min="4608" max="4608" width="15.36328125" style="9" customWidth="1"/>
    <col min="4609" max="4609" width="10.90625" style="9" customWidth="1"/>
    <col min="4610" max="4620" width="13.36328125" style="9" customWidth="1"/>
    <col min="4621" max="4621" width="13.6328125" style="9" customWidth="1"/>
    <col min="4622" max="4622" width="16.453125" style="9" customWidth="1"/>
    <col min="4623" max="4857" width="9" style="9"/>
    <col min="4858" max="4858" width="9.6328125" style="9" customWidth="1"/>
    <col min="4859" max="4860" width="5.08984375" style="9" customWidth="1"/>
    <col min="4861" max="4861" width="9.6328125" style="9" customWidth="1"/>
    <col min="4862" max="4863" width="11.6328125" style="9" customWidth="1"/>
    <col min="4864" max="4864" width="15.36328125" style="9" customWidth="1"/>
    <col min="4865" max="4865" width="10.90625" style="9" customWidth="1"/>
    <col min="4866" max="4876" width="13.36328125" style="9" customWidth="1"/>
    <col min="4877" max="4877" width="13.6328125" style="9" customWidth="1"/>
    <col min="4878" max="4878" width="16.453125" style="9" customWidth="1"/>
    <col min="4879" max="5113" width="9" style="9"/>
    <col min="5114" max="5114" width="9.6328125" style="9" customWidth="1"/>
    <col min="5115" max="5116" width="5.08984375" style="9" customWidth="1"/>
    <col min="5117" max="5117" width="9.6328125" style="9" customWidth="1"/>
    <col min="5118" max="5119" width="11.6328125" style="9" customWidth="1"/>
    <col min="5120" max="5120" width="15.36328125" style="9" customWidth="1"/>
    <col min="5121" max="5121" width="10.90625" style="9" customWidth="1"/>
    <col min="5122" max="5132" width="13.36328125" style="9" customWidth="1"/>
    <col min="5133" max="5133" width="13.6328125" style="9" customWidth="1"/>
    <col min="5134" max="5134" width="16.453125" style="9" customWidth="1"/>
    <col min="5135" max="5369" width="9" style="9"/>
    <col min="5370" max="5370" width="9.6328125" style="9" customWidth="1"/>
    <col min="5371" max="5372" width="5.08984375" style="9" customWidth="1"/>
    <col min="5373" max="5373" width="9.6328125" style="9" customWidth="1"/>
    <col min="5374" max="5375" width="11.6328125" style="9" customWidth="1"/>
    <col min="5376" max="5376" width="15.36328125" style="9" customWidth="1"/>
    <col min="5377" max="5377" width="10.90625" style="9" customWidth="1"/>
    <col min="5378" max="5388" width="13.36328125" style="9" customWidth="1"/>
    <col min="5389" max="5389" width="13.6328125" style="9" customWidth="1"/>
    <col min="5390" max="5390" width="16.453125" style="9" customWidth="1"/>
    <col min="5391" max="5625" width="9" style="9"/>
    <col min="5626" max="5626" width="9.6328125" style="9" customWidth="1"/>
    <col min="5627" max="5628" width="5.08984375" style="9" customWidth="1"/>
    <col min="5629" max="5629" width="9.6328125" style="9" customWidth="1"/>
    <col min="5630" max="5631" width="11.6328125" style="9" customWidth="1"/>
    <col min="5632" max="5632" width="15.36328125" style="9" customWidth="1"/>
    <col min="5633" max="5633" width="10.90625" style="9" customWidth="1"/>
    <col min="5634" max="5644" width="13.36328125" style="9" customWidth="1"/>
    <col min="5645" max="5645" width="13.6328125" style="9" customWidth="1"/>
    <col min="5646" max="5646" width="16.453125" style="9" customWidth="1"/>
    <col min="5647" max="5881" width="9" style="9"/>
    <col min="5882" max="5882" width="9.6328125" style="9" customWidth="1"/>
    <col min="5883" max="5884" width="5.08984375" style="9" customWidth="1"/>
    <col min="5885" max="5885" width="9.6328125" style="9" customWidth="1"/>
    <col min="5886" max="5887" width="11.6328125" style="9" customWidth="1"/>
    <col min="5888" max="5888" width="15.36328125" style="9" customWidth="1"/>
    <col min="5889" max="5889" width="10.90625" style="9" customWidth="1"/>
    <col min="5890" max="5900" width="13.36328125" style="9" customWidth="1"/>
    <col min="5901" max="5901" width="13.6328125" style="9" customWidth="1"/>
    <col min="5902" max="5902" width="16.453125" style="9" customWidth="1"/>
    <col min="5903" max="6137" width="9" style="9"/>
    <col min="6138" max="6138" width="9.6328125" style="9" customWidth="1"/>
    <col min="6139" max="6140" width="5.08984375" style="9" customWidth="1"/>
    <col min="6141" max="6141" width="9.6328125" style="9" customWidth="1"/>
    <col min="6142" max="6143" width="11.6328125" style="9" customWidth="1"/>
    <col min="6144" max="6144" width="15.36328125" style="9" customWidth="1"/>
    <col min="6145" max="6145" width="10.90625" style="9" customWidth="1"/>
    <col min="6146" max="6156" width="13.36328125" style="9" customWidth="1"/>
    <col min="6157" max="6157" width="13.6328125" style="9" customWidth="1"/>
    <col min="6158" max="6158" width="16.453125" style="9" customWidth="1"/>
    <col min="6159" max="6393" width="9" style="9"/>
    <col min="6394" max="6394" width="9.6328125" style="9" customWidth="1"/>
    <col min="6395" max="6396" width="5.08984375" style="9" customWidth="1"/>
    <col min="6397" max="6397" width="9.6328125" style="9" customWidth="1"/>
    <col min="6398" max="6399" width="11.6328125" style="9" customWidth="1"/>
    <col min="6400" max="6400" width="15.36328125" style="9" customWidth="1"/>
    <col min="6401" max="6401" width="10.90625" style="9" customWidth="1"/>
    <col min="6402" max="6412" width="13.36328125" style="9" customWidth="1"/>
    <col min="6413" max="6413" width="13.6328125" style="9" customWidth="1"/>
    <col min="6414" max="6414" width="16.453125" style="9" customWidth="1"/>
    <col min="6415" max="6649" width="9" style="9"/>
    <col min="6650" max="6650" width="9.6328125" style="9" customWidth="1"/>
    <col min="6651" max="6652" width="5.08984375" style="9" customWidth="1"/>
    <col min="6653" max="6653" width="9.6328125" style="9" customWidth="1"/>
    <col min="6654" max="6655" width="11.6328125" style="9" customWidth="1"/>
    <col min="6656" max="6656" width="15.36328125" style="9" customWidth="1"/>
    <col min="6657" max="6657" width="10.90625" style="9" customWidth="1"/>
    <col min="6658" max="6668" width="13.36328125" style="9" customWidth="1"/>
    <col min="6669" max="6669" width="13.6328125" style="9" customWidth="1"/>
    <col min="6670" max="6670" width="16.453125" style="9" customWidth="1"/>
    <col min="6671" max="6905" width="9" style="9"/>
    <col min="6906" max="6906" width="9.6328125" style="9" customWidth="1"/>
    <col min="6907" max="6908" width="5.08984375" style="9" customWidth="1"/>
    <col min="6909" max="6909" width="9.6328125" style="9" customWidth="1"/>
    <col min="6910" max="6911" width="11.6328125" style="9" customWidth="1"/>
    <col min="6912" max="6912" width="15.36328125" style="9" customWidth="1"/>
    <col min="6913" max="6913" width="10.90625" style="9" customWidth="1"/>
    <col min="6914" max="6924" width="13.36328125" style="9" customWidth="1"/>
    <col min="6925" max="6925" width="13.6328125" style="9" customWidth="1"/>
    <col min="6926" max="6926" width="16.453125" style="9" customWidth="1"/>
    <col min="6927" max="7161" width="9" style="9"/>
    <col min="7162" max="7162" width="9.6328125" style="9" customWidth="1"/>
    <col min="7163" max="7164" width="5.08984375" style="9" customWidth="1"/>
    <col min="7165" max="7165" width="9.6328125" style="9" customWidth="1"/>
    <col min="7166" max="7167" width="11.6328125" style="9" customWidth="1"/>
    <col min="7168" max="7168" width="15.36328125" style="9" customWidth="1"/>
    <col min="7169" max="7169" width="10.90625" style="9" customWidth="1"/>
    <col min="7170" max="7180" width="13.36328125" style="9" customWidth="1"/>
    <col min="7181" max="7181" width="13.6328125" style="9" customWidth="1"/>
    <col min="7182" max="7182" width="16.453125" style="9" customWidth="1"/>
    <col min="7183" max="7417" width="9" style="9"/>
    <col min="7418" max="7418" width="9.6328125" style="9" customWidth="1"/>
    <col min="7419" max="7420" width="5.08984375" style="9" customWidth="1"/>
    <col min="7421" max="7421" width="9.6328125" style="9" customWidth="1"/>
    <col min="7422" max="7423" width="11.6328125" style="9" customWidth="1"/>
    <col min="7424" max="7424" width="15.36328125" style="9" customWidth="1"/>
    <col min="7425" max="7425" width="10.90625" style="9" customWidth="1"/>
    <col min="7426" max="7436" width="13.36328125" style="9" customWidth="1"/>
    <col min="7437" max="7437" width="13.6328125" style="9" customWidth="1"/>
    <col min="7438" max="7438" width="16.453125" style="9" customWidth="1"/>
    <col min="7439" max="7673" width="9" style="9"/>
    <col min="7674" max="7674" width="9.6328125" style="9" customWidth="1"/>
    <col min="7675" max="7676" width="5.08984375" style="9" customWidth="1"/>
    <col min="7677" max="7677" width="9.6328125" style="9" customWidth="1"/>
    <col min="7678" max="7679" width="11.6328125" style="9" customWidth="1"/>
    <col min="7680" max="7680" width="15.36328125" style="9" customWidth="1"/>
    <col min="7681" max="7681" width="10.90625" style="9" customWidth="1"/>
    <col min="7682" max="7692" width="13.36328125" style="9" customWidth="1"/>
    <col min="7693" max="7693" width="13.6328125" style="9" customWidth="1"/>
    <col min="7694" max="7694" width="16.453125" style="9" customWidth="1"/>
    <col min="7695" max="7929" width="9" style="9"/>
    <col min="7930" max="7930" width="9.6328125" style="9" customWidth="1"/>
    <col min="7931" max="7932" width="5.08984375" style="9" customWidth="1"/>
    <col min="7933" max="7933" width="9.6328125" style="9" customWidth="1"/>
    <col min="7934" max="7935" width="11.6328125" style="9" customWidth="1"/>
    <col min="7936" max="7936" width="15.36328125" style="9" customWidth="1"/>
    <col min="7937" max="7937" width="10.90625" style="9" customWidth="1"/>
    <col min="7938" max="7948" width="13.36328125" style="9" customWidth="1"/>
    <col min="7949" max="7949" width="13.6328125" style="9" customWidth="1"/>
    <col min="7950" max="7950" width="16.453125" style="9" customWidth="1"/>
    <col min="7951" max="8185" width="9" style="9"/>
    <col min="8186" max="8186" width="9.6328125" style="9" customWidth="1"/>
    <col min="8187" max="8188" width="5.08984375" style="9" customWidth="1"/>
    <col min="8189" max="8189" width="9.6328125" style="9" customWidth="1"/>
    <col min="8190" max="8191" width="11.6328125" style="9" customWidth="1"/>
    <col min="8192" max="8192" width="15.36328125" style="9" customWidth="1"/>
    <col min="8193" max="8193" width="10.90625" style="9" customWidth="1"/>
    <col min="8194" max="8204" width="13.36328125" style="9" customWidth="1"/>
    <col min="8205" max="8205" width="13.6328125" style="9" customWidth="1"/>
    <col min="8206" max="8206" width="16.453125" style="9" customWidth="1"/>
    <col min="8207" max="8441" width="9" style="9"/>
    <col min="8442" max="8442" width="9.6328125" style="9" customWidth="1"/>
    <col min="8443" max="8444" width="5.08984375" style="9" customWidth="1"/>
    <col min="8445" max="8445" width="9.6328125" style="9" customWidth="1"/>
    <col min="8446" max="8447" width="11.6328125" style="9" customWidth="1"/>
    <col min="8448" max="8448" width="15.36328125" style="9" customWidth="1"/>
    <col min="8449" max="8449" width="10.90625" style="9" customWidth="1"/>
    <col min="8450" max="8460" width="13.36328125" style="9" customWidth="1"/>
    <col min="8461" max="8461" width="13.6328125" style="9" customWidth="1"/>
    <col min="8462" max="8462" width="16.453125" style="9" customWidth="1"/>
    <col min="8463" max="8697" width="9" style="9"/>
    <col min="8698" max="8698" width="9.6328125" style="9" customWidth="1"/>
    <col min="8699" max="8700" width="5.08984375" style="9" customWidth="1"/>
    <col min="8701" max="8701" width="9.6328125" style="9" customWidth="1"/>
    <col min="8702" max="8703" width="11.6328125" style="9" customWidth="1"/>
    <col min="8704" max="8704" width="15.36328125" style="9" customWidth="1"/>
    <col min="8705" max="8705" width="10.90625" style="9" customWidth="1"/>
    <col min="8706" max="8716" width="13.36328125" style="9" customWidth="1"/>
    <col min="8717" max="8717" width="13.6328125" style="9" customWidth="1"/>
    <col min="8718" max="8718" width="16.453125" style="9" customWidth="1"/>
    <col min="8719" max="8953" width="9" style="9"/>
    <col min="8954" max="8954" width="9.6328125" style="9" customWidth="1"/>
    <col min="8955" max="8956" width="5.08984375" style="9" customWidth="1"/>
    <col min="8957" max="8957" width="9.6328125" style="9" customWidth="1"/>
    <col min="8958" max="8959" width="11.6328125" style="9" customWidth="1"/>
    <col min="8960" max="8960" width="15.36328125" style="9" customWidth="1"/>
    <col min="8961" max="8961" width="10.90625" style="9" customWidth="1"/>
    <col min="8962" max="8972" width="13.36328125" style="9" customWidth="1"/>
    <col min="8973" max="8973" width="13.6328125" style="9" customWidth="1"/>
    <col min="8974" max="8974" width="16.453125" style="9" customWidth="1"/>
    <col min="8975" max="9209" width="9" style="9"/>
    <col min="9210" max="9210" width="9.6328125" style="9" customWidth="1"/>
    <col min="9211" max="9212" width="5.08984375" style="9" customWidth="1"/>
    <col min="9213" max="9213" width="9.6328125" style="9" customWidth="1"/>
    <col min="9214" max="9215" width="11.6328125" style="9" customWidth="1"/>
    <col min="9216" max="9216" width="15.36328125" style="9" customWidth="1"/>
    <col min="9217" max="9217" width="10.90625" style="9" customWidth="1"/>
    <col min="9218" max="9228" width="13.36328125" style="9" customWidth="1"/>
    <col min="9229" max="9229" width="13.6328125" style="9" customWidth="1"/>
    <col min="9230" max="9230" width="16.453125" style="9" customWidth="1"/>
    <col min="9231" max="9465" width="9" style="9"/>
    <col min="9466" max="9466" width="9.6328125" style="9" customWidth="1"/>
    <col min="9467" max="9468" width="5.08984375" style="9" customWidth="1"/>
    <col min="9469" max="9469" width="9.6328125" style="9" customWidth="1"/>
    <col min="9470" max="9471" width="11.6328125" style="9" customWidth="1"/>
    <col min="9472" max="9472" width="15.36328125" style="9" customWidth="1"/>
    <col min="9473" max="9473" width="10.90625" style="9" customWidth="1"/>
    <col min="9474" max="9484" width="13.36328125" style="9" customWidth="1"/>
    <col min="9485" max="9485" width="13.6328125" style="9" customWidth="1"/>
    <col min="9486" max="9486" width="16.453125" style="9" customWidth="1"/>
    <col min="9487" max="9721" width="9" style="9"/>
    <col min="9722" max="9722" width="9.6328125" style="9" customWidth="1"/>
    <col min="9723" max="9724" width="5.08984375" style="9" customWidth="1"/>
    <col min="9725" max="9725" width="9.6328125" style="9" customWidth="1"/>
    <col min="9726" max="9727" width="11.6328125" style="9" customWidth="1"/>
    <col min="9728" max="9728" width="15.36328125" style="9" customWidth="1"/>
    <col min="9729" max="9729" width="10.90625" style="9" customWidth="1"/>
    <col min="9730" max="9740" width="13.36328125" style="9" customWidth="1"/>
    <col min="9741" max="9741" width="13.6328125" style="9" customWidth="1"/>
    <col min="9742" max="9742" width="16.453125" style="9" customWidth="1"/>
    <col min="9743" max="9977" width="9" style="9"/>
    <col min="9978" max="9978" width="9.6328125" style="9" customWidth="1"/>
    <col min="9979" max="9980" width="5.08984375" style="9" customWidth="1"/>
    <col min="9981" max="9981" width="9.6328125" style="9" customWidth="1"/>
    <col min="9982" max="9983" width="11.6328125" style="9" customWidth="1"/>
    <col min="9984" max="9984" width="15.36328125" style="9" customWidth="1"/>
    <col min="9985" max="9985" width="10.90625" style="9" customWidth="1"/>
    <col min="9986" max="9996" width="13.36328125" style="9" customWidth="1"/>
    <col min="9997" max="9997" width="13.6328125" style="9" customWidth="1"/>
    <col min="9998" max="9998" width="16.453125" style="9" customWidth="1"/>
    <col min="9999" max="10233" width="9" style="9"/>
    <col min="10234" max="10234" width="9.6328125" style="9" customWidth="1"/>
    <col min="10235" max="10236" width="5.08984375" style="9" customWidth="1"/>
    <col min="10237" max="10237" width="9.6328125" style="9" customWidth="1"/>
    <col min="10238" max="10239" width="11.6328125" style="9" customWidth="1"/>
    <col min="10240" max="10240" width="15.36328125" style="9" customWidth="1"/>
    <col min="10241" max="10241" width="10.90625" style="9" customWidth="1"/>
    <col min="10242" max="10252" width="13.36328125" style="9" customWidth="1"/>
    <col min="10253" max="10253" width="13.6328125" style="9" customWidth="1"/>
    <col min="10254" max="10254" width="16.453125" style="9" customWidth="1"/>
    <col min="10255" max="10489" width="9" style="9"/>
    <col min="10490" max="10490" width="9.6328125" style="9" customWidth="1"/>
    <col min="10491" max="10492" width="5.08984375" style="9" customWidth="1"/>
    <col min="10493" max="10493" width="9.6328125" style="9" customWidth="1"/>
    <col min="10494" max="10495" width="11.6328125" style="9" customWidth="1"/>
    <col min="10496" max="10496" width="15.36328125" style="9" customWidth="1"/>
    <col min="10497" max="10497" width="10.90625" style="9" customWidth="1"/>
    <col min="10498" max="10508" width="13.36328125" style="9" customWidth="1"/>
    <col min="10509" max="10509" width="13.6328125" style="9" customWidth="1"/>
    <col min="10510" max="10510" width="16.453125" style="9" customWidth="1"/>
    <col min="10511" max="10745" width="9" style="9"/>
    <col min="10746" max="10746" width="9.6328125" style="9" customWidth="1"/>
    <col min="10747" max="10748" width="5.08984375" style="9" customWidth="1"/>
    <col min="10749" max="10749" width="9.6328125" style="9" customWidth="1"/>
    <col min="10750" max="10751" width="11.6328125" style="9" customWidth="1"/>
    <col min="10752" max="10752" width="15.36328125" style="9" customWidth="1"/>
    <col min="10753" max="10753" width="10.90625" style="9" customWidth="1"/>
    <col min="10754" max="10764" width="13.36328125" style="9" customWidth="1"/>
    <col min="10765" max="10765" width="13.6328125" style="9" customWidth="1"/>
    <col min="10766" max="10766" width="16.453125" style="9" customWidth="1"/>
    <col min="10767" max="11001" width="9" style="9"/>
    <col min="11002" max="11002" width="9.6328125" style="9" customWidth="1"/>
    <col min="11003" max="11004" width="5.08984375" style="9" customWidth="1"/>
    <col min="11005" max="11005" width="9.6328125" style="9" customWidth="1"/>
    <col min="11006" max="11007" width="11.6328125" style="9" customWidth="1"/>
    <col min="11008" max="11008" width="15.36328125" style="9" customWidth="1"/>
    <col min="11009" max="11009" width="10.90625" style="9" customWidth="1"/>
    <col min="11010" max="11020" width="13.36328125" style="9" customWidth="1"/>
    <col min="11021" max="11021" width="13.6328125" style="9" customWidth="1"/>
    <col min="11022" max="11022" width="16.453125" style="9" customWidth="1"/>
    <col min="11023" max="11257" width="9" style="9"/>
    <col min="11258" max="11258" width="9.6328125" style="9" customWidth="1"/>
    <col min="11259" max="11260" width="5.08984375" style="9" customWidth="1"/>
    <col min="11261" max="11261" width="9.6328125" style="9" customWidth="1"/>
    <col min="11262" max="11263" width="11.6328125" style="9" customWidth="1"/>
    <col min="11264" max="11264" width="15.36328125" style="9" customWidth="1"/>
    <col min="11265" max="11265" width="10.90625" style="9" customWidth="1"/>
    <col min="11266" max="11276" width="13.36328125" style="9" customWidth="1"/>
    <col min="11277" max="11277" width="13.6328125" style="9" customWidth="1"/>
    <col min="11278" max="11278" width="16.453125" style="9" customWidth="1"/>
    <col min="11279" max="11513" width="9" style="9"/>
    <col min="11514" max="11514" width="9.6328125" style="9" customWidth="1"/>
    <col min="11515" max="11516" width="5.08984375" style="9" customWidth="1"/>
    <col min="11517" max="11517" width="9.6328125" style="9" customWidth="1"/>
    <col min="11518" max="11519" width="11.6328125" style="9" customWidth="1"/>
    <col min="11520" max="11520" width="15.36328125" style="9" customWidth="1"/>
    <col min="11521" max="11521" width="10.90625" style="9" customWidth="1"/>
    <col min="11522" max="11532" width="13.36328125" style="9" customWidth="1"/>
    <col min="11533" max="11533" width="13.6328125" style="9" customWidth="1"/>
    <col min="11534" max="11534" width="16.453125" style="9" customWidth="1"/>
    <col min="11535" max="11769" width="9" style="9"/>
    <col min="11770" max="11770" width="9.6328125" style="9" customWidth="1"/>
    <col min="11771" max="11772" width="5.08984375" style="9" customWidth="1"/>
    <col min="11773" max="11773" width="9.6328125" style="9" customWidth="1"/>
    <col min="11774" max="11775" width="11.6328125" style="9" customWidth="1"/>
    <col min="11776" max="11776" width="15.36328125" style="9" customWidth="1"/>
    <col min="11777" max="11777" width="10.90625" style="9" customWidth="1"/>
    <col min="11778" max="11788" width="13.36328125" style="9" customWidth="1"/>
    <col min="11789" max="11789" width="13.6328125" style="9" customWidth="1"/>
    <col min="11790" max="11790" width="16.453125" style="9" customWidth="1"/>
    <col min="11791" max="12025" width="9" style="9"/>
    <col min="12026" max="12026" width="9.6328125" style="9" customWidth="1"/>
    <col min="12027" max="12028" width="5.08984375" style="9" customWidth="1"/>
    <col min="12029" max="12029" width="9.6328125" style="9" customWidth="1"/>
    <col min="12030" max="12031" width="11.6328125" style="9" customWidth="1"/>
    <col min="12032" max="12032" width="15.36328125" style="9" customWidth="1"/>
    <col min="12033" max="12033" width="10.90625" style="9" customWidth="1"/>
    <col min="12034" max="12044" width="13.36328125" style="9" customWidth="1"/>
    <col min="12045" max="12045" width="13.6328125" style="9" customWidth="1"/>
    <col min="12046" max="12046" width="16.453125" style="9" customWidth="1"/>
    <col min="12047" max="12281" width="9" style="9"/>
    <col min="12282" max="12282" width="9.6328125" style="9" customWidth="1"/>
    <col min="12283" max="12284" width="5.08984375" style="9" customWidth="1"/>
    <col min="12285" max="12285" width="9.6328125" style="9" customWidth="1"/>
    <col min="12286" max="12287" width="11.6328125" style="9" customWidth="1"/>
    <col min="12288" max="12288" width="15.36328125" style="9" customWidth="1"/>
    <col min="12289" max="12289" width="10.90625" style="9" customWidth="1"/>
    <col min="12290" max="12300" width="13.36328125" style="9" customWidth="1"/>
    <col min="12301" max="12301" width="13.6328125" style="9" customWidth="1"/>
    <col min="12302" max="12302" width="16.453125" style="9" customWidth="1"/>
    <col min="12303" max="12537" width="9" style="9"/>
    <col min="12538" max="12538" width="9.6328125" style="9" customWidth="1"/>
    <col min="12539" max="12540" width="5.08984375" style="9" customWidth="1"/>
    <col min="12541" max="12541" width="9.6328125" style="9" customWidth="1"/>
    <col min="12542" max="12543" width="11.6328125" style="9" customWidth="1"/>
    <col min="12544" max="12544" width="15.36328125" style="9" customWidth="1"/>
    <col min="12545" max="12545" width="10.90625" style="9" customWidth="1"/>
    <col min="12546" max="12556" width="13.36328125" style="9" customWidth="1"/>
    <col min="12557" max="12557" width="13.6328125" style="9" customWidth="1"/>
    <col min="12558" max="12558" width="16.453125" style="9" customWidth="1"/>
    <col min="12559" max="12793" width="9" style="9"/>
    <col min="12794" max="12794" width="9.6328125" style="9" customWidth="1"/>
    <col min="12795" max="12796" width="5.08984375" style="9" customWidth="1"/>
    <col min="12797" max="12797" width="9.6328125" style="9" customWidth="1"/>
    <col min="12798" max="12799" width="11.6328125" style="9" customWidth="1"/>
    <col min="12800" max="12800" width="15.36328125" style="9" customWidth="1"/>
    <col min="12801" max="12801" width="10.90625" style="9" customWidth="1"/>
    <col min="12802" max="12812" width="13.36328125" style="9" customWidth="1"/>
    <col min="12813" max="12813" width="13.6328125" style="9" customWidth="1"/>
    <col min="12814" max="12814" width="16.453125" style="9" customWidth="1"/>
    <col min="12815" max="13049" width="9" style="9"/>
    <col min="13050" max="13050" width="9.6328125" style="9" customWidth="1"/>
    <col min="13051" max="13052" width="5.08984375" style="9" customWidth="1"/>
    <col min="13053" max="13053" width="9.6328125" style="9" customWidth="1"/>
    <col min="13054" max="13055" width="11.6328125" style="9" customWidth="1"/>
    <col min="13056" max="13056" width="15.36328125" style="9" customWidth="1"/>
    <col min="13057" max="13057" width="10.90625" style="9" customWidth="1"/>
    <col min="13058" max="13068" width="13.36328125" style="9" customWidth="1"/>
    <col min="13069" max="13069" width="13.6328125" style="9" customWidth="1"/>
    <col min="13070" max="13070" width="16.453125" style="9" customWidth="1"/>
    <col min="13071" max="13305" width="9" style="9"/>
    <col min="13306" max="13306" width="9.6328125" style="9" customWidth="1"/>
    <col min="13307" max="13308" width="5.08984375" style="9" customWidth="1"/>
    <col min="13309" max="13309" width="9.6328125" style="9" customWidth="1"/>
    <col min="13310" max="13311" width="11.6328125" style="9" customWidth="1"/>
    <col min="13312" max="13312" width="15.36328125" style="9" customWidth="1"/>
    <col min="13313" max="13313" width="10.90625" style="9" customWidth="1"/>
    <col min="13314" max="13324" width="13.36328125" style="9" customWidth="1"/>
    <col min="13325" max="13325" width="13.6328125" style="9" customWidth="1"/>
    <col min="13326" max="13326" width="16.453125" style="9" customWidth="1"/>
    <col min="13327" max="13561" width="9" style="9"/>
    <col min="13562" max="13562" width="9.6328125" style="9" customWidth="1"/>
    <col min="13563" max="13564" width="5.08984375" style="9" customWidth="1"/>
    <col min="13565" max="13565" width="9.6328125" style="9" customWidth="1"/>
    <col min="13566" max="13567" width="11.6328125" style="9" customWidth="1"/>
    <col min="13568" max="13568" width="15.36328125" style="9" customWidth="1"/>
    <col min="13569" max="13569" width="10.90625" style="9" customWidth="1"/>
    <col min="13570" max="13580" width="13.36328125" style="9" customWidth="1"/>
    <col min="13581" max="13581" width="13.6328125" style="9" customWidth="1"/>
    <col min="13582" max="13582" width="16.453125" style="9" customWidth="1"/>
    <col min="13583" max="13817" width="9" style="9"/>
    <col min="13818" max="13818" width="9.6328125" style="9" customWidth="1"/>
    <col min="13819" max="13820" width="5.08984375" style="9" customWidth="1"/>
    <col min="13821" max="13821" width="9.6328125" style="9" customWidth="1"/>
    <col min="13822" max="13823" width="11.6328125" style="9" customWidth="1"/>
    <col min="13824" max="13824" width="15.36328125" style="9" customWidth="1"/>
    <col min="13825" max="13825" width="10.90625" style="9" customWidth="1"/>
    <col min="13826" max="13836" width="13.36328125" style="9" customWidth="1"/>
    <col min="13837" max="13837" width="13.6328125" style="9" customWidth="1"/>
    <col min="13838" max="13838" width="16.453125" style="9" customWidth="1"/>
    <col min="13839" max="14073" width="9" style="9"/>
    <col min="14074" max="14074" width="9.6328125" style="9" customWidth="1"/>
    <col min="14075" max="14076" width="5.08984375" style="9" customWidth="1"/>
    <col min="14077" max="14077" width="9.6328125" style="9" customWidth="1"/>
    <col min="14078" max="14079" width="11.6328125" style="9" customWidth="1"/>
    <col min="14080" max="14080" width="15.36328125" style="9" customWidth="1"/>
    <col min="14081" max="14081" width="10.90625" style="9" customWidth="1"/>
    <col min="14082" max="14092" width="13.36328125" style="9" customWidth="1"/>
    <col min="14093" max="14093" width="13.6328125" style="9" customWidth="1"/>
    <col min="14094" max="14094" width="16.453125" style="9" customWidth="1"/>
    <col min="14095" max="14329" width="9" style="9"/>
    <col min="14330" max="14330" width="9.6328125" style="9" customWidth="1"/>
    <col min="14331" max="14332" width="5.08984375" style="9" customWidth="1"/>
    <col min="14333" max="14333" width="9.6328125" style="9" customWidth="1"/>
    <col min="14334" max="14335" width="11.6328125" style="9" customWidth="1"/>
    <col min="14336" max="14336" width="15.36328125" style="9" customWidth="1"/>
    <col min="14337" max="14337" width="10.90625" style="9" customWidth="1"/>
    <col min="14338" max="14348" width="13.36328125" style="9" customWidth="1"/>
    <col min="14349" max="14349" width="13.6328125" style="9" customWidth="1"/>
    <col min="14350" max="14350" width="16.453125" style="9" customWidth="1"/>
    <col min="14351" max="14585" width="9" style="9"/>
    <col min="14586" max="14586" width="9.6328125" style="9" customWidth="1"/>
    <col min="14587" max="14588" width="5.08984375" style="9" customWidth="1"/>
    <col min="14589" max="14589" width="9.6328125" style="9" customWidth="1"/>
    <col min="14590" max="14591" width="11.6328125" style="9" customWidth="1"/>
    <col min="14592" max="14592" width="15.36328125" style="9" customWidth="1"/>
    <col min="14593" max="14593" width="10.90625" style="9" customWidth="1"/>
    <col min="14594" max="14604" width="13.36328125" style="9" customWidth="1"/>
    <col min="14605" max="14605" width="13.6328125" style="9" customWidth="1"/>
    <col min="14606" max="14606" width="16.453125" style="9" customWidth="1"/>
    <col min="14607" max="14841" width="9" style="9"/>
    <col min="14842" max="14842" width="9.6328125" style="9" customWidth="1"/>
    <col min="14843" max="14844" width="5.08984375" style="9" customWidth="1"/>
    <col min="14845" max="14845" width="9.6328125" style="9" customWidth="1"/>
    <col min="14846" max="14847" width="11.6328125" style="9" customWidth="1"/>
    <col min="14848" max="14848" width="15.36328125" style="9" customWidth="1"/>
    <col min="14849" max="14849" width="10.90625" style="9" customWidth="1"/>
    <col min="14850" max="14860" width="13.36328125" style="9" customWidth="1"/>
    <col min="14861" max="14861" width="13.6328125" style="9" customWidth="1"/>
    <col min="14862" max="14862" width="16.453125" style="9" customWidth="1"/>
    <col min="14863" max="15097" width="9" style="9"/>
    <col min="15098" max="15098" width="9.6328125" style="9" customWidth="1"/>
    <col min="15099" max="15100" width="5.08984375" style="9" customWidth="1"/>
    <col min="15101" max="15101" width="9.6328125" style="9" customWidth="1"/>
    <col min="15102" max="15103" width="11.6328125" style="9" customWidth="1"/>
    <col min="15104" max="15104" width="15.36328125" style="9" customWidth="1"/>
    <col min="15105" max="15105" width="10.90625" style="9" customWidth="1"/>
    <col min="15106" max="15116" width="13.36328125" style="9" customWidth="1"/>
    <col min="15117" max="15117" width="13.6328125" style="9" customWidth="1"/>
    <col min="15118" max="15118" width="16.453125" style="9" customWidth="1"/>
    <col min="15119" max="15353" width="9" style="9"/>
    <col min="15354" max="15354" width="9.6328125" style="9" customWidth="1"/>
    <col min="15355" max="15356" width="5.08984375" style="9" customWidth="1"/>
    <col min="15357" max="15357" width="9.6328125" style="9" customWidth="1"/>
    <col min="15358" max="15359" width="11.6328125" style="9" customWidth="1"/>
    <col min="15360" max="15360" width="15.36328125" style="9" customWidth="1"/>
    <col min="15361" max="15361" width="10.90625" style="9" customWidth="1"/>
    <col min="15362" max="15372" width="13.36328125" style="9" customWidth="1"/>
    <col min="15373" max="15373" width="13.6328125" style="9" customWidth="1"/>
    <col min="15374" max="15374" width="16.453125" style="9" customWidth="1"/>
    <col min="15375" max="15609" width="9" style="9"/>
    <col min="15610" max="15610" width="9.6328125" style="9" customWidth="1"/>
    <col min="15611" max="15612" width="5.08984375" style="9" customWidth="1"/>
    <col min="15613" max="15613" width="9.6328125" style="9" customWidth="1"/>
    <col min="15614" max="15615" width="11.6328125" style="9" customWidth="1"/>
    <col min="15616" max="15616" width="15.36328125" style="9" customWidth="1"/>
    <col min="15617" max="15617" width="10.90625" style="9" customWidth="1"/>
    <col min="15618" max="15628" width="13.36328125" style="9" customWidth="1"/>
    <col min="15629" max="15629" width="13.6328125" style="9" customWidth="1"/>
    <col min="15630" max="15630" width="16.453125" style="9" customWidth="1"/>
    <col min="15631" max="15865" width="9" style="9"/>
    <col min="15866" max="15866" width="9.6328125" style="9" customWidth="1"/>
    <col min="15867" max="15868" width="5.08984375" style="9" customWidth="1"/>
    <col min="15869" max="15869" width="9.6328125" style="9" customWidth="1"/>
    <col min="15870" max="15871" width="11.6328125" style="9" customWidth="1"/>
    <col min="15872" max="15872" width="15.36328125" style="9" customWidth="1"/>
    <col min="15873" max="15873" width="10.90625" style="9" customWidth="1"/>
    <col min="15874" max="15884" width="13.36328125" style="9" customWidth="1"/>
    <col min="15885" max="15885" width="13.6328125" style="9" customWidth="1"/>
    <col min="15886" max="15886" width="16.453125" style="9" customWidth="1"/>
    <col min="15887" max="16121" width="9" style="9"/>
    <col min="16122" max="16122" width="9.6328125" style="9" customWidth="1"/>
    <col min="16123" max="16124" width="5.08984375" style="9" customWidth="1"/>
    <col min="16125" max="16125" width="9.6328125" style="9" customWidth="1"/>
    <col min="16126" max="16127" width="11.6328125" style="9" customWidth="1"/>
    <col min="16128" max="16128" width="15.36328125" style="9" customWidth="1"/>
    <col min="16129" max="16129" width="10.90625" style="9" customWidth="1"/>
    <col min="16130" max="16140" width="13.36328125" style="9" customWidth="1"/>
    <col min="16141" max="16141" width="13.6328125" style="9" customWidth="1"/>
    <col min="16142" max="16142" width="16.453125" style="9" customWidth="1"/>
    <col min="16143" max="16384" width="9" style="9"/>
  </cols>
  <sheetData>
    <row r="1" spans="1:19" s="126" customFormat="1" ht="39.65" customHeight="1">
      <c r="A1" s="609"/>
      <c r="B1" s="609"/>
      <c r="C1" s="609"/>
      <c r="D1" s="3" t="s">
        <v>6</v>
      </c>
      <c r="E1" s="7" t="s">
        <v>7</v>
      </c>
      <c r="F1" s="7" t="s">
        <v>8</v>
      </c>
      <c r="G1" s="7" t="s">
        <v>9</v>
      </c>
      <c r="H1" s="7" t="s">
        <v>10</v>
      </c>
      <c r="I1" s="7" t="s">
        <v>11</v>
      </c>
      <c r="J1" s="7" t="s">
        <v>12</v>
      </c>
      <c r="K1" s="7" t="s">
        <v>13</v>
      </c>
      <c r="L1" s="7" t="s">
        <v>14</v>
      </c>
      <c r="M1" s="7" t="s">
        <v>15</v>
      </c>
      <c r="N1" s="7" t="s">
        <v>16</v>
      </c>
      <c r="O1" s="7" t="s">
        <v>17</v>
      </c>
      <c r="P1" s="8" t="s">
        <v>18</v>
      </c>
      <c r="Q1" s="125" t="s">
        <v>19</v>
      </c>
    </row>
    <row r="2" spans="1:19" s="127" customFormat="1" ht="21.65" customHeight="1">
      <c r="A2" s="610" t="s">
        <v>87</v>
      </c>
      <c r="B2" s="611"/>
      <c r="C2" s="611"/>
      <c r="D2" s="4" t="s">
        <v>20</v>
      </c>
      <c r="E2" s="314">
        <f>E5+E8+E11+E14+E17+E20+E23+E26+E29+E32+E35+E38+E41+E44+E47+E50</f>
        <v>56058811</v>
      </c>
      <c r="F2" s="314">
        <f t="shared" ref="F2:O2" si="0">F5+F8+F11+F14+F17+F20+F23+F26+F29+F32+F35+F38+F41+F44+F47+F50</f>
        <v>55056008</v>
      </c>
      <c r="G2" s="314">
        <f t="shared" si="0"/>
        <v>56149143</v>
      </c>
      <c r="H2" s="314">
        <f t="shared" si="0"/>
        <v>58799277</v>
      </c>
      <c r="I2" s="314">
        <f t="shared" si="0"/>
        <v>55632341</v>
      </c>
      <c r="J2" s="314">
        <f t="shared" si="0"/>
        <v>57287363</v>
      </c>
      <c r="K2" s="314">
        <f t="shared" si="0"/>
        <v>61911924</v>
      </c>
      <c r="L2" s="314">
        <f t="shared" si="0"/>
        <v>55318343</v>
      </c>
      <c r="M2" s="314">
        <f t="shared" si="0"/>
        <v>58644806</v>
      </c>
      <c r="N2" s="314">
        <f t="shared" si="0"/>
        <v>59091045</v>
      </c>
      <c r="O2" s="314">
        <f t="shared" si="0"/>
        <v>57178567</v>
      </c>
      <c r="P2" s="60">
        <f>P5+P8+P11+P14+P17+P20+P23+P26+P29+P32+P35+P38+P41+P44+P47+P50</f>
        <v>60248273.222222216</v>
      </c>
      <c r="Q2" s="60">
        <f>Q5+Q8+Q11+Q14+Q17+Q20+Q23+Q26+Q29+Q32+Q35+Q38+Q41+Q44+Q47+Q50</f>
        <v>691375901.22222221</v>
      </c>
    </row>
    <row r="3" spans="1:19" s="127" customFormat="1" ht="21.65" customHeight="1">
      <c r="A3" s="610"/>
      <c r="B3" s="611"/>
      <c r="C3" s="611"/>
      <c r="D3" s="5" t="s">
        <v>21</v>
      </c>
      <c r="E3" s="315">
        <f>E6+E9+E12+E15+E18+E21+E24+E27+E30+E33+E36+E39+E42+E45+E48+E51</f>
        <v>45001579.190476194</v>
      </c>
      <c r="F3" s="315">
        <f t="shared" ref="F3:O3" si="1">F6+F9+F12+F15+F18+F21+F24+F27+F30+F33+F36+F39+F42+F45+F48+F51</f>
        <v>44303397</v>
      </c>
      <c r="G3" s="315">
        <f t="shared" si="1"/>
        <v>45633632</v>
      </c>
      <c r="H3" s="315">
        <f t="shared" si="1"/>
        <v>46036102</v>
      </c>
      <c r="I3" s="315">
        <f t="shared" si="1"/>
        <v>45651218.966800436</v>
      </c>
      <c r="J3" s="315">
        <f t="shared" si="1"/>
        <v>46511417.840001166</v>
      </c>
      <c r="K3" s="315">
        <f t="shared" si="1"/>
        <v>47468200.46302449</v>
      </c>
      <c r="L3" s="315">
        <f t="shared" si="1"/>
        <v>45353471.243212014</v>
      </c>
      <c r="M3" s="315">
        <f t="shared" si="1"/>
        <v>46874174.853608951</v>
      </c>
      <c r="N3" s="315">
        <f t="shared" si="1"/>
        <v>47071789.361877978</v>
      </c>
      <c r="O3" s="315">
        <f t="shared" si="1"/>
        <v>46258019.854993984</v>
      </c>
      <c r="P3" s="61">
        <f>P6+P9+P12+P15+P18+P21+P24+P27+P30+P33+P36+P39+P42+P45+P48+P51</f>
        <v>47607740.277777776</v>
      </c>
      <c r="Q3" s="61">
        <f>Q6+Q9+Q12+Q15+Q18+Q21+Q24+Q27+Q30+Q33+Q36+Q39+Q42+Q45+Q48+Q51</f>
        <v>553770743.05177295</v>
      </c>
    </row>
    <row r="4" spans="1:19" s="127" customFormat="1" ht="21.65" customHeight="1">
      <c r="A4" s="610"/>
      <c r="B4" s="611"/>
      <c r="C4" s="611"/>
      <c r="D4" s="6" t="s">
        <v>22</v>
      </c>
      <c r="E4" s="316">
        <f>E2-E3</f>
        <v>11057231.809523806</v>
      </c>
      <c r="F4" s="316">
        <f t="shared" ref="F4:P4" si="2">F2-F3</f>
        <v>10752611</v>
      </c>
      <c r="G4" s="316">
        <f t="shared" si="2"/>
        <v>10515511</v>
      </c>
      <c r="H4" s="316">
        <f t="shared" si="2"/>
        <v>12763175</v>
      </c>
      <c r="I4" s="316">
        <f t="shared" si="2"/>
        <v>9981122.0331995636</v>
      </c>
      <c r="J4" s="316">
        <f t="shared" si="2"/>
        <v>10775945.159998834</v>
      </c>
      <c r="K4" s="316">
        <f t="shared" si="2"/>
        <v>14443723.53697551</v>
      </c>
      <c r="L4" s="316">
        <f t="shared" si="2"/>
        <v>9964871.7567879856</v>
      </c>
      <c r="M4" s="316">
        <f t="shared" si="2"/>
        <v>11770631.146391049</v>
      </c>
      <c r="N4" s="316">
        <f t="shared" si="2"/>
        <v>12019255.638122022</v>
      </c>
      <c r="O4" s="316">
        <f t="shared" si="2"/>
        <v>10920547.145006016</v>
      </c>
      <c r="P4" s="62">
        <f t="shared" si="2"/>
        <v>12640532.94444444</v>
      </c>
      <c r="Q4" s="62">
        <f>Q2-Q3</f>
        <v>137605158.17044926</v>
      </c>
    </row>
    <row r="5" spans="1:19" s="127" customFormat="1" ht="14.15" customHeight="1">
      <c r="A5" s="616" t="str">
        <f>本社営業本部!C2</f>
        <v>UAL本社営業本部</v>
      </c>
      <c r="B5" s="616"/>
      <c r="C5" s="616"/>
      <c r="D5" s="128" t="s">
        <v>20</v>
      </c>
      <c r="E5" s="317">
        <f>本社営業本部!L2</f>
        <v>2549025</v>
      </c>
      <c r="F5" s="317">
        <f>本社営業本部!M2</f>
        <v>2359392</v>
      </c>
      <c r="G5" s="317">
        <f>本社営業本部!N2</f>
        <v>2554986</v>
      </c>
      <c r="H5" s="317">
        <f>本社営業本部!O2</f>
        <v>2686325</v>
      </c>
      <c r="I5" s="317">
        <f>本社営業本部!P2</f>
        <v>2331236</v>
      </c>
      <c r="J5" s="317">
        <f>本社営業本部!Q2</f>
        <v>2606247</v>
      </c>
      <c r="K5" s="317">
        <f>本社営業本部!R2</f>
        <v>3284610</v>
      </c>
      <c r="L5" s="317">
        <f>本社営業本部!S2</f>
        <v>2793312</v>
      </c>
      <c r="M5" s="317">
        <f>本社営業本部!T2</f>
        <v>2717322</v>
      </c>
      <c r="N5" s="317">
        <f>本社営業本部!U2</f>
        <v>2636611</v>
      </c>
      <c r="O5" s="317">
        <f>本社営業本部!V2</f>
        <v>2593636</v>
      </c>
      <c r="P5" s="63">
        <f>本社営業本部!W2</f>
        <v>2943025</v>
      </c>
      <c r="Q5" s="63">
        <f t="shared" ref="Q5:Q16" si="3">SUM(E5:P5)</f>
        <v>32055727</v>
      </c>
      <c r="S5" s="129"/>
    </row>
    <row r="6" spans="1:19" s="127" customFormat="1" ht="14.15" customHeight="1">
      <c r="A6" s="617"/>
      <c r="B6" s="617"/>
      <c r="C6" s="617"/>
      <c r="D6" s="130" t="s">
        <v>21</v>
      </c>
      <c r="E6" s="318">
        <f>本社営業本部!L3</f>
        <v>2082365</v>
      </c>
      <c r="F6" s="318">
        <f>本社営業本部!M3</f>
        <v>1950886</v>
      </c>
      <c r="G6" s="318">
        <f>本社営業本部!N3</f>
        <v>2112324</v>
      </c>
      <c r="H6" s="318">
        <f>本社営業本部!O3</f>
        <v>2215362</v>
      </c>
      <c r="I6" s="318">
        <f>本社営業本部!P3</f>
        <v>1995210</v>
      </c>
      <c r="J6" s="318">
        <f>本社営業本部!Q3</f>
        <v>2157501.5</v>
      </c>
      <c r="K6" s="318">
        <f>本社営業本部!R3</f>
        <v>2572616</v>
      </c>
      <c r="L6" s="318">
        <f>本社営業本部!S3</f>
        <v>2446945.3333333335</v>
      </c>
      <c r="M6" s="318">
        <f>本社営業本部!T3</f>
        <v>2392715</v>
      </c>
      <c r="N6" s="318">
        <f>本社営業本部!U3</f>
        <v>2198267</v>
      </c>
      <c r="O6" s="318">
        <f>本社営業本部!V3</f>
        <v>2135912</v>
      </c>
      <c r="P6" s="64">
        <f>本社営業本部!W3</f>
        <v>2288929</v>
      </c>
      <c r="Q6" s="64">
        <f t="shared" si="3"/>
        <v>26549032.833333332</v>
      </c>
      <c r="S6" s="129"/>
    </row>
    <row r="7" spans="1:19" s="127" customFormat="1" ht="14.15" customHeight="1">
      <c r="A7" s="618"/>
      <c r="B7" s="618"/>
      <c r="C7" s="618"/>
      <c r="D7" s="6" t="s">
        <v>22</v>
      </c>
      <c r="E7" s="319">
        <f>E5-E6</f>
        <v>466660</v>
      </c>
      <c r="F7" s="319">
        <f t="shared" ref="F7:P7" si="4">F5-F6</f>
        <v>408506</v>
      </c>
      <c r="G7" s="319">
        <f t="shared" si="4"/>
        <v>442662</v>
      </c>
      <c r="H7" s="319">
        <f t="shared" si="4"/>
        <v>470963</v>
      </c>
      <c r="I7" s="319">
        <f t="shared" si="4"/>
        <v>336026</v>
      </c>
      <c r="J7" s="319">
        <f t="shared" si="4"/>
        <v>448745.5</v>
      </c>
      <c r="K7" s="319">
        <f t="shared" si="4"/>
        <v>711994</v>
      </c>
      <c r="L7" s="319">
        <f t="shared" si="4"/>
        <v>346366.66666666651</v>
      </c>
      <c r="M7" s="319">
        <f t="shared" si="4"/>
        <v>324607</v>
      </c>
      <c r="N7" s="319">
        <f t="shared" si="4"/>
        <v>438344</v>
      </c>
      <c r="O7" s="319">
        <f t="shared" si="4"/>
        <v>457724</v>
      </c>
      <c r="P7" s="65">
        <f t="shared" si="4"/>
        <v>654096</v>
      </c>
      <c r="Q7" s="65">
        <f t="shared" si="3"/>
        <v>5506694.166666666</v>
      </c>
      <c r="S7" s="129"/>
    </row>
    <row r="8" spans="1:19" s="127" customFormat="1" ht="14.15" customHeight="1">
      <c r="A8" s="616" t="str">
        <f>パートナー営業本部!C2</f>
        <v>パートナー営業本部</v>
      </c>
      <c r="B8" s="616"/>
      <c r="C8" s="616"/>
      <c r="D8" s="128" t="s">
        <v>20</v>
      </c>
      <c r="E8" s="317">
        <f>パートナー営業本部!L2</f>
        <v>1855900</v>
      </c>
      <c r="F8" s="317">
        <f>パートナー営業本部!M2</f>
        <v>1858000</v>
      </c>
      <c r="G8" s="317">
        <f>パートナー営業本部!N2</f>
        <v>1865700</v>
      </c>
      <c r="H8" s="317">
        <f>パートナー営業本部!O2</f>
        <v>1967800</v>
      </c>
      <c r="I8" s="317">
        <f>パートナー営業本部!P2</f>
        <v>1750000</v>
      </c>
      <c r="J8" s="317">
        <f>パートナー営業本部!Q2</f>
        <v>1915300</v>
      </c>
      <c r="K8" s="317">
        <f>パートナー営業本部!R2</f>
        <v>1958200</v>
      </c>
      <c r="L8" s="317">
        <f>パートナー営業本部!S2</f>
        <v>1573900</v>
      </c>
      <c r="M8" s="317">
        <f>パートナー営業本部!T2</f>
        <v>1775800</v>
      </c>
      <c r="N8" s="317">
        <f>パートナー営業本部!U2</f>
        <v>1700600</v>
      </c>
      <c r="O8" s="317">
        <f>パートナー営業本部!V2</f>
        <v>1690780</v>
      </c>
      <c r="P8" s="63">
        <f>パートナー営業本部!W2</f>
        <v>1855900</v>
      </c>
      <c r="Q8" s="63">
        <f t="shared" si="3"/>
        <v>21767880</v>
      </c>
      <c r="S8" s="129"/>
    </row>
    <row r="9" spans="1:19" s="127" customFormat="1" ht="14.15" customHeight="1">
      <c r="A9" s="617"/>
      <c r="B9" s="617"/>
      <c r="C9" s="617"/>
      <c r="D9" s="130" t="s">
        <v>21</v>
      </c>
      <c r="E9" s="318">
        <f>パートナー営業本部!L3</f>
        <v>1391699</v>
      </c>
      <c r="F9" s="318">
        <f>パートナー営業本部!M3</f>
        <v>1394797</v>
      </c>
      <c r="G9" s="318">
        <f>パートナー営業本部!N3</f>
        <v>1402483</v>
      </c>
      <c r="H9" s="318">
        <f>パートナー営業本部!O3</f>
        <v>1466639</v>
      </c>
      <c r="I9" s="318">
        <f>パートナー営業本部!P3</f>
        <v>1364900</v>
      </c>
      <c r="J9" s="318">
        <f>パートナー営業本部!Q3</f>
        <v>1435484</v>
      </c>
      <c r="K9" s="318">
        <f>パートナー営業本部!R3</f>
        <v>1480269</v>
      </c>
      <c r="L9" s="318">
        <f>パートナー営業本部!S3</f>
        <v>1289606</v>
      </c>
      <c r="M9" s="318">
        <f>パートナー営業本部!T3</f>
        <v>1421175</v>
      </c>
      <c r="N9" s="318">
        <f>パートナー営業本部!U3</f>
        <v>1308415</v>
      </c>
      <c r="O9" s="318">
        <f>パートナー営業本部!V3</f>
        <v>1306076</v>
      </c>
      <c r="P9" s="64">
        <f>パートナー営業本部!W3</f>
        <v>1391699</v>
      </c>
      <c r="Q9" s="64">
        <f t="shared" si="3"/>
        <v>16653242</v>
      </c>
      <c r="S9" s="129"/>
    </row>
    <row r="10" spans="1:19" s="127" customFormat="1" ht="14.15" customHeight="1">
      <c r="A10" s="618"/>
      <c r="B10" s="618"/>
      <c r="C10" s="618"/>
      <c r="D10" s="6" t="s">
        <v>22</v>
      </c>
      <c r="E10" s="319">
        <f>E8-E9</f>
        <v>464201</v>
      </c>
      <c r="F10" s="319">
        <f t="shared" ref="F10:P10" si="5">F8-F9</f>
        <v>463203</v>
      </c>
      <c r="G10" s="319">
        <f t="shared" si="5"/>
        <v>463217</v>
      </c>
      <c r="H10" s="319">
        <f t="shared" si="5"/>
        <v>501161</v>
      </c>
      <c r="I10" s="319">
        <f t="shared" si="5"/>
        <v>385100</v>
      </c>
      <c r="J10" s="319">
        <f t="shared" si="5"/>
        <v>479816</v>
      </c>
      <c r="K10" s="319">
        <f t="shared" si="5"/>
        <v>477931</v>
      </c>
      <c r="L10" s="319">
        <f t="shared" si="5"/>
        <v>284294</v>
      </c>
      <c r="M10" s="319">
        <f t="shared" si="5"/>
        <v>354625</v>
      </c>
      <c r="N10" s="319">
        <f t="shared" si="5"/>
        <v>392185</v>
      </c>
      <c r="O10" s="319">
        <f t="shared" si="5"/>
        <v>384704</v>
      </c>
      <c r="P10" s="65">
        <f t="shared" si="5"/>
        <v>464201</v>
      </c>
      <c r="Q10" s="65">
        <f t="shared" si="3"/>
        <v>5114638</v>
      </c>
      <c r="S10" s="129"/>
    </row>
    <row r="11" spans="1:19" s="127" customFormat="1" ht="14.15" customHeight="1">
      <c r="A11" s="622" t="str">
        <f>ビジネス推進本部!C2</f>
        <v>ビジネス推進本部</v>
      </c>
      <c r="B11" s="622"/>
      <c r="C11" s="622"/>
      <c r="D11" s="128" t="s">
        <v>20</v>
      </c>
      <c r="E11" s="317">
        <f>ビジネス推進本部!L2</f>
        <v>4590421</v>
      </c>
      <c r="F11" s="317">
        <f>ビジネス推進本部!M2</f>
        <v>4432220</v>
      </c>
      <c r="G11" s="317">
        <f>ビジネス推進本部!N2</f>
        <v>4564802</v>
      </c>
      <c r="H11" s="317">
        <f>ビジネス推進本部!O2</f>
        <v>5724727</v>
      </c>
      <c r="I11" s="317">
        <f>ビジネス推進本部!P2</f>
        <v>3878290</v>
      </c>
      <c r="J11" s="317">
        <f>ビジネス推進本部!Q2</f>
        <v>4078855</v>
      </c>
      <c r="K11" s="317">
        <f>ビジネス推進本部!R2</f>
        <v>4483980</v>
      </c>
      <c r="L11" s="317">
        <f>ビジネス推進本部!S2</f>
        <v>3711735</v>
      </c>
      <c r="M11" s="317">
        <f>ビジネス推進本部!T2</f>
        <v>4210682</v>
      </c>
      <c r="N11" s="317">
        <f>ビジネス推進本部!U2</f>
        <v>3625708</v>
      </c>
      <c r="O11" s="317">
        <f>ビジネス推進本部!V2</f>
        <v>3073001</v>
      </c>
      <c r="P11" s="63">
        <f>ビジネス推進本部!W2</f>
        <v>3052331</v>
      </c>
      <c r="Q11" s="63">
        <f t="shared" si="3"/>
        <v>49426752</v>
      </c>
      <c r="S11" s="129"/>
    </row>
    <row r="12" spans="1:19" s="127" customFormat="1" ht="14.15" customHeight="1">
      <c r="A12" s="623"/>
      <c r="B12" s="623"/>
      <c r="C12" s="623"/>
      <c r="D12" s="130" t="s">
        <v>21</v>
      </c>
      <c r="E12" s="318">
        <f>ビジネス推進本部!L3</f>
        <v>3931343</v>
      </c>
      <c r="F12" s="318">
        <f>ビジネス推進本部!M3</f>
        <v>3797773</v>
      </c>
      <c r="G12" s="318">
        <f>ビジネス推進本部!N3</f>
        <v>3936678</v>
      </c>
      <c r="H12" s="318">
        <f>ビジネス推進本部!O3</f>
        <v>3817336</v>
      </c>
      <c r="I12" s="318">
        <f>ビジネス推進本部!P3</f>
        <v>3507998</v>
      </c>
      <c r="J12" s="318">
        <f>ビジネス推進本部!Q3</f>
        <v>3583399</v>
      </c>
      <c r="K12" s="318">
        <f>ビジネス推進本部!R3</f>
        <v>3820972</v>
      </c>
      <c r="L12" s="318">
        <f>ビジネス推進本部!S3</f>
        <v>3290280</v>
      </c>
      <c r="M12" s="318">
        <f>ビジネス推進本部!T3</f>
        <v>3706910</v>
      </c>
      <c r="N12" s="318">
        <f>ビジネス推進本部!U3</f>
        <v>3111342</v>
      </c>
      <c r="O12" s="318">
        <f>ビジネス推進本部!V3</f>
        <v>2743147</v>
      </c>
      <c r="P12" s="64">
        <f>ビジネス推進本部!W3</f>
        <v>2960001</v>
      </c>
      <c r="Q12" s="64">
        <f t="shared" si="3"/>
        <v>42207179</v>
      </c>
      <c r="S12" s="129"/>
    </row>
    <row r="13" spans="1:19" s="127" customFormat="1" ht="14.15" customHeight="1">
      <c r="A13" s="624"/>
      <c r="B13" s="624"/>
      <c r="C13" s="624"/>
      <c r="D13" s="6" t="s">
        <v>22</v>
      </c>
      <c r="E13" s="319">
        <f>E11-E12</f>
        <v>659078</v>
      </c>
      <c r="F13" s="319">
        <f t="shared" ref="F13:P13" si="6">F11-F12</f>
        <v>634447</v>
      </c>
      <c r="G13" s="319">
        <f t="shared" si="6"/>
        <v>628124</v>
      </c>
      <c r="H13" s="319">
        <f t="shared" si="6"/>
        <v>1907391</v>
      </c>
      <c r="I13" s="319">
        <f t="shared" si="6"/>
        <v>370292</v>
      </c>
      <c r="J13" s="319">
        <f t="shared" si="6"/>
        <v>495456</v>
      </c>
      <c r="K13" s="319">
        <f t="shared" si="6"/>
        <v>663008</v>
      </c>
      <c r="L13" s="319">
        <f t="shared" si="6"/>
        <v>421455</v>
      </c>
      <c r="M13" s="319">
        <f t="shared" si="6"/>
        <v>503772</v>
      </c>
      <c r="N13" s="319">
        <f t="shared" si="6"/>
        <v>514366</v>
      </c>
      <c r="O13" s="319">
        <f t="shared" si="6"/>
        <v>329854</v>
      </c>
      <c r="P13" s="65">
        <f t="shared" si="6"/>
        <v>92330</v>
      </c>
      <c r="Q13" s="65">
        <f t="shared" si="3"/>
        <v>7219573</v>
      </c>
      <c r="S13" s="129"/>
    </row>
    <row r="14" spans="1:19" s="127" customFormat="1" ht="14.15" customHeight="1">
      <c r="A14" s="619" t="str">
        <f>DXシステム本部!C2</f>
        <v>DXシステム本部</v>
      </c>
      <c r="B14" s="619"/>
      <c r="C14" s="619"/>
      <c r="D14" s="128" t="s">
        <v>20</v>
      </c>
      <c r="E14" s="317">
        <f>DXシステム本部!L2</f>
        <v>2493700</v>
      </c>
      <c r="F14" s="317">
        <f>DXシステム本部!M2</f>
        <v>2299200</v>
      </c>
      <c r="G14" s="317">
        <f>DXシステム本部!N2</f>
        <v>2549200</v>
      </c>
      <c r="H14" s="317">
        <f>DXシステム本部!O2</f>
        <v>2549200</v>
      </c>
      <c r="I14" s="317">
        <f>DXシステム本部!P2</f>
        <v>3285160</v>
      </c>
      <c r="J14" s="317">
        <f>DXシステム本部!Q2</f>
        <v>3139830</v>
      </c>
      <c r="K14" s="317">
        <f>DXシステム本部!R2</f>
        <v>3299200</v>
      </c>
      <c r="L14" s="317">
        <f>DXシステム本部!S2</f>
        <v>3247650</v>
      </c>
      <c r="M14" s="317">
        <f>DXシステム本部!T2</f>
        <v>3299200</v>
      </c>
      <c r="N14" s="317">
        <f>DXシステム本部!U2</f>
        <v>3280480</v>
      </c>
      <c r="O14" s="317">
        <f>DXシステム本部!V2</f>
        <v>3808650</v>
      </c>
      <c r="P14" s="63">
        <f>DXシステム本部!W2</f>
        <v>3899200</v>
      </c>
      <c r="Q14" s="63">
        <f t="shared" si="3"/>
        <v>37150670</v>
      </c>
      <c r="S14" s="129"/>
    </row>
    <row r="15" spans="1:19" s="127" customFormat="1" ht="14.15" customHeight="1">
      <c r="A15" s="620"/>
      <c r="B15" s="620"/>
      <c r="C15" s="620"/>
      <c r="D15" s="130" t="s">
        <v>21</v>
      </c>
      <c r="E15" s="318">
        <f>DXシステム本部!L3</f>
        <v>1960995.5238095238</v>
      </c>
      <c r="F15" s="318">
        <f>DXシステム本部!M3</f>
        <v>1946020</v>
      </c>
      <c r="G15" s="318">
        <f>DXシステム本部!N3</f>
        <v>1974776</v>
      </c>
      <c r="H15" s="318">
        <f>DXシステム本部!O3</f>
        <v>2013459</v>
      </c>
      <c r="I15" s="318">
        <f>DXシステム本部!P3</f>
        <v>2547631</v>
      </c>
      <c r="J15" s="318">
        <f>DXシステム本部!Q3</f>
        <v>2550410</v>
      </c>
      <c r="K15" s="318">
        <f>DXシステム本部!R3</f>
        <v>2540711</v>
      </c>
      <c r="L15" s="318">
        <f>DXシステム本部!S3</f>
        <v>2539305</v>
      </c>
      <c r="M15" s="318">
        <f>DXシステム本部!T3</f>
        <v>2561701</v>
      </c>
      <c r="N15" s="318">
        <f>DXシステム本部!U3</f>
        <v>2550225</v>
      </c>
      <c r="O15" s="318">
        <f>DXシステム本部!V3</f>
        <v>3018143</v>
      </c>
      <c r="P15" s="64">
        <f>DXシステム本部!W3</f>
        <v>3038749</v>
      </c>
      <c r="Q15" s="64">
        <f t="shared" si="3"/>
        <v>29242125.523809522</v>
      </c>
      <c r="S15" s="129"/>
    </row>
    <row r="16" spans="1:19" s="127" customFormat="1" ht="14.15" customHeight="1">
      <c r="A16" s="621"/>
      <c r="B16" s="621"/>
      <c r="C16" s="621"/>
      <c r="D16" s="6" t="s">
        <v>22</v>
      </c>
      <c r="E16" s="319">
        <f>E14-E15</f>
        <v>532704.47619047621</v>
      </c>
      <c r="F16" s="319">
        <f t="shared" ref="F16:P16" si="7">F14-F15</f>
        <v>353180</v>
      </c>
      <c r="G16" s="319">
        <f t="shared" si="7"/>
        <v>574424</v>
      </c>
      <c r="H16" s="319">
        <f t="shared" si="7"/>
        <v>535741</v>
      </c>
      <c r="I16" s="319">
        <f t="shared" si="7"/>
        <v>737529</v>
      </c>
      <c r="J16" s="319">
        <f t="shared" si="7"/>
        <v>589420</v>
      </c>
      <c r="K16" s="319">
        <f t="shared" si="7"/>
        <v>758489</v>
      </c>
      <c r="L16" s="319">
        <f t="shared" si="7"/>
        <v>708345</v>
      </c>
      <c r="M16" s="319">
        <f t="shared" si="7"/>
        <v>737499</v>
      </c>
      <c r="N16" s="319">
        <f t="shared" si="7"/>
        <v>730255</v>
      </c>
      <c r="O16" s="319">
        <f t="shared" si="7"/>
        <v>790507</v>
      </c>
      <c r="P16" s="65">
        <f t="shared" si="7"/>
        <v>860451</v>
      </c>
      <c r="Q16" s="65">
        <f t="shared" si="3"/>
        <v>7908544.4761904757</v>
      </c>
      <c r="S16" s="129"/>
    </row>
    <row r="17" spans="1:19" s="127" customFormat="1" ht="14.15" customHeight="1">
      <c r="A17" s="625" t="str">
        <f>マーケティングコミュニケーション本部!C$2</f>
        <v>マーケティングコミュニケーション本部</v>
      </c>
      <c r="B17" s="625"/>
      <c r="C17" s="625"/>
      <c r="D17" s="128" t="s">
        <v>20</v>
      </c>
      <c r="E17" s="317">
        <f>マーケティングコミュニケーション本部!L2</f>
        <v>1497500</v>
      </c>
      <c r="F17" s="317">
        <f>マーケティングコミュニケーション本部!M2</f>
        <v>1692200</v>
      </c>
      <c r="G17" s="317">
        <f>マーケティングコミュニケーション本部!N2</f>
        <v>1674800</v>
      </c>
      <c r="H17" s="317">
        <f>マーケティングコミュニケーション本部!O2</f>
        <v>1923740</v>
      </c>
      <c r="I17" s="317">
        <f>マーケティングコミュニケーション本部!P2</f>
        <v>1709080</v>
      </c>
      <c r="J17" s="317">
        <f>マーケティングコミュニケーション本部!Q2</f>
        <v>1741555</v>
      </c>
      <c r="K17" s="317">
        <f>マーケティングコミュニケーション本部!R2</f>
        <v>1784720</v>
      </c>
      <c r="L17" s="317">
        <f>マーケティングコミュニケーション本部!S2</f>
        <v>1738930</v>
      </c>
      <c r="M17" s="317">
        <f>マーケティングコミュニケーション本部!T2</f>
        <v>2138210</v>
      </c>
      <c r="N17" s="317">
        <f>マーケティングコミュニケーション本部!U2</f>
        <v>1909595</v>
      </c>
      <c r="O17" s="317">
        <f>マーケティングコミュニケーション本部!V2</f>
        <v>1814625</v>
      </c>
      <c r="P17" s="63">
        <f>マーケティングコミュニケーション本部!W2</f>
        <v>2106500</v>
      </c>
      <c r="Q17" s="63">
        <f t="shared" ref="Q17:Q19" si="8">SUM(E17:P17)</f>
        <v>21731455</v>
      </c>
      <c r="S17" s="129"/>
    </row>
    <row r="18" spans="1:19" s="127" customFormat="1" ht="14.15" customHeight="1">
      <c r="A18" s="626"/>
      <c r="B18" s="626"/>
      <c r="C18" s="626"/>
      <c r="D18" s="130" t="s">
        <v>21</v>
      </c>
      <c r="E18" s="318">
        <f>マーケティングコミュニケーション本部!L3</f>
        <v>1238221.6666666665</v>
      </c>
      <c r="F18" s="318">
        <f>マーケティングコミュニケーション本部!M3</f>
        <v>1460165</v>
      </c>
      <c r="G18" s="318">
        <f>マーケティングコミュニケーション本部!N3</f>
        <v>1671530</v>
      </c>
      <c r="H18" s="318">
        <f>マーケティングコミュニケーション本部!O3</f>
        <v>1628669</v>
      </c>
      <c r="I18" s="318">
        <f>マーケティングコミュニケーション本部!P3</f>
        <v>1428099.9668004378</v>
      </c>
      <c r="J18" s="318">
        <f>マーケティングコミュニケーション本部!Q3</f>
        <v>1423623.3400011663</v>
      </c>
      <c r="K18" s="318">
        <f>マーケティングコミュニケーション本部!R3</f>
        <v>1318885.9630244921</v>
      </c>
      <c r="L18" s="318">
        <f>マーケティングコミュニケーション本部!S3</f>
        <v>1510767.9098786828</v>
      </c>
      <c r="M18" s="318">
        <f>マーケティングコミュニケーション本部!T3</f>
        <v>1468841.8536089463</v>
      </c>
      <c r="N18" s="318">
        <f>マーケティングコミュニケーション本部!U3</f>
        <v>1394071.3618779774</v>
      </c>
      <c r="O18" s="318">
        <f>マーケティングコミュニケーション本部!V3</f>
        <v>1422288.8549939832</v>
      </c>
      <c r="P18" s="64">
        <f>マーケティングコミュニケーション本部!W3</f>
        <v>1621088</v>
      </c>
      <c r="Q18" s="64">
        <f t="shared" si="8"/>
        <v>17586252.916852351</v>
      </c>
      <c r="S18" s="129"/>
    </row>
    <row r="19" spans="1:19" s="127" customFormat="1" ht="14.15" customHeight="1">
      <c r="A19" s="627"/>
      <c r="B19" s="627"/>
      <c r="C19" s="627"/>
      <c r="D19" s="6" t="s">
        <v>22</v>
      </c>
      <c r="E19" s="319">
        <f>マーケティングコミュニケーション本部!L4</f>
        <v>259278.33333333349</v>
      </c>
      <c r="F19" s="319">
        <f>マーケティングコミュニケーション本部!M4</f>
        <v>232035</v>
      </c>
      <c r="G19" s="319">
        <f>マーケティングコミュニケーション本部!N4</f>
        <v>3270</v>
      </c>
      <c r="H19" s="319">
        <f>マーケティングコミュニケーション本部!O4</f>
        <v>295071</v>
      </c>
      <c r="I19" s="319">
        <f>マーケティングコミュニケーション本部!P4</f>
        <v>280980.03319956223</v>
      </c>
      <c r="J19" s="319">
        <f>マーケティングコミュニケーション本部!Q4</f>
        <v>317931.65999883367</v>
      </c>
      <c r="K19" s="319">
        <f>マーケティングコミュニケーション本部!R4</f>
        <v>465834.03697550786</v>
      </c>
      <c r="L19" s="319">
        <f>マーケティングコミュニケーション本部!S4</f>
        <v>228162.09012131719</v>
      </c>
      <c r="M19" s="319">
        <f>マーケティングコミュニケーション本部!T4</f>
        <v>669368.14639105368</v>
      </c>
      <c r="N19" s="319">
        <f>マーケティングコミュニケーション本部!U4</f>
        <v>515523.63812202262</v>
      </c>
      <c r="O19" s="319">
        <f>マーケティングコミュニケーション本部!V4</f>
        <v>392336.14500601683</v>
      </c>
      <c r="P19" s="65">
        <f>マーケティングコミュニケーション本部!W4</f>
        <v>485412</v>
      </c>
      <c r="Q19" s="65">
        <f t="shared" si="8"/>
        <v>4145202.0831476473</v>
      </c>
      <c r="S19" s="129"/>
    </row>
    <row r="20" spans="1:19" s="127" customFormat="1" ht="14.15" customHeight="1">
      <c r="A20" s="616" t="str">
        <f>ネットワークサービス本部!C$2</f>
        <v>ネットワークサービス本部</v>
      </c>
      <c r="B20" s="616"/>
      <c r="C20" s="616"/>
      <c r="D20" s="128" t="s">
        <v>20</v>
      </c>
      <c r="E20" s="317">
        <f>ネットワークサービス本部!L2</f>
        <v>1150000</v>
      </c>
      <c r="F20" s="317">
        <f>ネットワークサービス本部!M2</f>
        <v>1127150</v>
      </c>
      <c r="G20" s="317">
        <f>ネットワークサービス本部!N2</f>
        <v>1150000</v>
      </c>
      <c r="H20" s="317">
        <f>ネットワークサービス本部!O2</f>
        <v>1150000</v>
      </c>
      <c r="I20" s="317">
        <f>ネットワークサービス本部!P2</f>
        <v>1150000</v>
      </c>
      <c r="J20" s="317">
        <f>ネットワークサービス本部!Q2</f>
        <v>1150000</v>
      </c>
      <c r="K20" s="317">
        <f>ネットワークサービス本部!R2</f>
        <v>1150000</v>
      </c>
      <c r="L20" s="317">
        <f>ネットワークサービス本部!S2</f>
        <v>1062805</v>
      </c>
      <c r="M20" s="317">
        <f>ネットワークサービス本部!T2</f>
        <v>1063170</v>
      </c>
      <c r="N20" s="317">
        <f>ネットワークサービス本部!U2</f>
        <v>1124865</v>
      </c>
      <c r="O20" s="317">
        <f>ネットワークサービス本部!V2</f>
        <v>1054065</v>
      </c>
      <c r="P20" s="63">
        <f>ネットワークサービス本部!W2</f>
        <v>1150000</v>
      </c>
      <c r="Q20" s="63">
        <f t="shared" ref="Q20:Q22" si="9">SUM(E20:P20)</f>
        <v>13482055</v>
      </c>
      <c r="S20" s="129"/>
    </row>
    <row r="21" spans="1:19" s="127" customFormat="1" ht="14.15" customHeight="1">
      <c r="A21" s="617"/>
      <c r="B21" s="617"/>
      <c r="C21" s="617"/>
      <c r="D21" s="130" t="s">
        <v>21</v>
      </c>
      <c r="E21" s="318">
        <f>ネットワークサービス本部!L3</f>
        <v>866552</v>
      </c>
      <c r="F21" s="318">
        <f>ネットワークサービス本部!M3</f>
        <v>863755</v>
      </c>
      <c r="G21" s="318">
        <f>ネットワークサービス本部!N3</f>
        <v>869534</v>
      </c>
      <c r="H21" s="318">
        <f>ネットワークサービス本部!O3</f>
        <v>867547</v>
      </c>
      <c r="I21" s="318">
        <f>ネットワークサービス本部!P3</f>
        <v>862003</v>
      </c>
      <c r="J21" s="318">
        <f>ネットワークサービス本部!Q3</f>
        <v>864804</v>
      </c>
      <c r="K21" s="318">
        <f>ネットワークサービス本部!R3</f>
        <v>866337</v>
      </c>
      <c r="L21" s="318">
        <f>ネットワークサービス本部!S3</f>
        <v>852634</v>
      </c>
      <c r="M21" s="318">
        <f>ネットワークサービス本部!T3</f>
        <v>862421</v>
      </c>
      <c r="N21" s="318">
        <f>ネットワークサービス本部!U3</f>
        <v>862562</v>
      </c>
      <c r="O21" s="318">
        <f>ネットワークサービス本部!V3</f>
        <v>855801</v>
      </c>
      <c r="P21" s="64">
        <f>ネットワークサービス本部!W3</f>
        <v>866552</v>
      </c>
      <c r="Q21" s="64">
        <f t="shared" si="9"/>
        <v>10360502</v>
      </c>
      <c r="S21" s="129"/>
    </row>
    <row r="22" spans="1:19" s="127" customFormat="1" ht="14.15" customHeight="1">
      <c r="A22" s="618"/>
      <c r="B22" s="618"/>
      <c r="C22" s="618"/>
      <c r="D22" s="6" t="s">
        <v>22</v>
      </c>
      <c r="E22" s="319">
        <f>E20-E21</f>
        <v>283448</v>
      </c>
      <c r="F22" s="319">
        <f t="shared" ref="F22:P22" si="10">F20-F21</f>
        <v>263395</v>
      </c>
      <c r="G22" s="319">
        <f t="shared" si="10"/>
        <v>280466</v>
      </c>
      <c r="H22" s="319">
        <f t="shared" si="10"/>
        <v>282453</v>
      </c>
      <c r="I22" s="319">
        <f t="shared" si="10"/>
        <v>287997</v>
      </c>
      <c r="J22" s="319">
        <f t="shared" si="10"/>
        <v>285196</v>
      </c>
      <c r="K22" s="319">
        <f t="shared" si="10"/>
        <v>283663</v>
      </c>
      <c r="L22" s="319">
        <f t="shared" si="10"/>
        <v>210171</v>
      </c>
      <c r="M22" s="319">
        <f t="shared" si="10"/>
        <v>200749</v>
      </c>
      <c r="N22" s="319">
        <f t="shared" si="10"/>
        <v>262303</v>
      </c>
      <c r="O22" s="319">
        <f t="shared" si="10"/>
        <v>198264</v>
      </c>
      <c r="P22" s="65">
        <f t="shared" si="10"/>
        <v>283448</v>
      </c>
      <c r="Q22" s="65">
        <f t="shared" si="9"/>
        <v>3121553</v>
      </c>
      <c r="S22" s="129"/>
    </row>
    <row r="23" spans="1:19" s="127" customFormat="1" ht="14.15" customHeight="1">
      <c r="A23" s="619" t="str">
        <f>アカウントサービス第一本部!C2</f>
        <v>アカウントサービス第一本部</v>
      </c>
      <c r="B23" s="619"/>
      <c r="C23" s="619"/>
      <c r="D23" s="128" t="s">
        <v>20</v>
      </c>
      <c r="E23" s="317">
        <f>アカウントサービス第一本部!L2</f>
        <v>7233400</v>
      </c>
      <c r="F23" s="317">
        <f>アカウントサービス第一本部!M2</f>
        <v>7381230</v>
      </c>
      <c r="G23" s="317">
        <f>アカウントサービス第一本部!N2</f>
        <v>7754925</v>
      </c>
      <c r="H23" s="317">
        <f>アカウントサービス第一本部!O2</f>
        <v>7945385</v>
      </c>
      <c r="I23" s="317">
        <f>アカウントサービス第一本部!P2</f>
        <v>7255870</v>
      </c>
      <c r="J23" s="317">
        <f>アカウントサービス第一本部!Q2</f>
        <v>7501850</v>
      </c>
      <c r="K23" s="317">
        <f>アカウントサービス第一本部!R2</f>
        <v>7944685</v>
      </c>
      <c r="L23" s="317">
        <f>アカウントサービス第一本部!S2</f>
        <v>7497605</v>
      </c>
      <c r="M23" s="317">
        <f>アカウントサービス第一本部!T2</f>
        <v>7517185</v>
      </c>
      <c r="N23" s="317">
        <f>アカウントサービス第一本部!U2</f>
        <v>7830420</v>
      </c>
      <c r="O23" s="317">
        <f>アカウントサービス第一本部!V2</f>
        <v>6900465</v>
      </c>
      <c r="P23" s="63">
        <f>アカウントサービス第一本部!W2</f>
        <v>7247882.777777778</v>
      </c>
      <c r="Q23" s="63">
        <f t="shared" ref="Q23:Q25" si="11">SUM(E23:P23)</f>
        <v>90010902.777777776</v>
      </c>
      <c r="S23" s="129"/>
    </row>
    <row r="24" spans="1:19" s="127" customFormat="1" ht="14.15" customHeight="1">
      <c r="A24" s="620"/>
      <c r="B24" s="620"/>
      <c r="C24" s="620"/>
      <c r="D24" s="130" t="s">
        <v>21</v>
      </c>
      <c r="E24" s="318">
        <f>アカウントサービス第一本部!L3</f>
        <v>5961660</v>
      </c>
      <c r="F24" s="318">
        <f>アカウントサービス第一本部!M3</f>
        <v>5817622</v>
      </c>
      <c r="G24" s="318">
        <f>アカウントサービス第一本部!N3</f>
        <v>6261808</v>
      </c>
      <c r="H24" s="318">
        <f>アカウントサービス第一本部!O3</f>
        <v>6454475</v>
      </c>
      <c r="I24" s="318">
        <f>アカウントサービス第一本部!P3</f>
        <v>5955003</v>
      </c>
      <c r="J24" s="318">
        <f>アカウントサービス第一本部!Q3</f>
        <v>5994003</v>
      </c>
      <c r="K24" s="318">
        <f>アカウントサービス第一本部!R3</f>
        <v>6284881</v>
      </c>
      <c r="L24" s="318">
        <f>アカウントサービス第一本部!S3</f>
        <v>6005666</v>
      </c>
      <c r="M24" s="318">
        <f>アカウントサービス第一本部!T3</f>
        <v>6199941</v>
      </c>
      <c r="N24" s="318">
        <f>アカウントサービス第一本部!U3</f>
        <v>6367285</v>
      </c>
      <c r="O24" s="318">
        <f>アカウントサービス第一本部!V3</f>
        <v>5711900</v>
      </c>
      <c r="P24" s="64">
        <f>アカウントサービス第一本部!W3</f>
        <v>5939386.1111111101</v>
      </c>
      <c r="Q24" s="64">
        <f t="shared" si="11"/>
        <v>72953630.111111104</v>
      </c>
      <c r="S24" s="129"/>
    </row>
    <row r="25" spans="1:19" s="127" customFormat="1" ht="14.15" customHeight="1">
      <c r="A25" s="621"/>
      <c r="B25" s="621"/>
      <c r="C25" s="621"/>
      <c r="D25" s="6" t="s">
        <v>22</v>
      </c>
      <c r="E25" s="319">
        <f>E23-E24</f>
        <v>1271740</v>
      </c>
      <c r="F25" s="319">
        <f t="shared" ref="F25:P25" si="12">F23-F24</f>
        <v>1563608</v>
      </c>
      <c r="G25" s="319">
        <f t="shared" si="12"/>
        <v>1493117</v>
      </c>
      <c r="H25" s="319">
        <f t="shared" si="12"/>
        <v>1490910</v>
      </c>
      <c r="I25" s="319">
        <f t="shared" si="12"/>
        <v>1300867</v>
      </c>
      <c r="J25" s="319">
        <f t="shared" si="12"/>
        <v>1507847</v>
      </c>
      <c r="K25" s="319">
        <f t="shared" si="12"/>
        <v>1659804</v>
      </c>
      <c r="L25" s="319">
        <f t="shared" si="12"/>
        <v>1491939</v>
      </c>
      <c r="M25" s="319">
        <f t="shared" si="12"/>
        <v>1317244</v>
      </c>
      <c r="N25" s="319">
        <f t="shared" si="12"/>
        <v>1463135</v>
      </c>
      <c r="O25" s="319">
        <f t="shared" si="12"/>
        <v>1188565</v>
      </c>
      <c r="P25" s="65">
        <f t="shared" si="12"/>
        <v>1308496.6666666679</v>
      </c>
      <c r="Q25" s="65">
        <f t="shared" si="11"/>
        <v>17057272.666666668</v>
      </c>
      <c r="S25" s="129"/>
    </row>
    <row r="26" spans="1:19" s="127" customFormat="1" ht="14.15" customHeight="1">
      <c r="A26" s="616" t="str">
        <f>アカウントサービス第二本部!C2</f>
        <v>アカウントサービス第二本部</v>
      </c>
      <c r="B26" s="616"/>
      <c r="C26" s="616"/>
      <c r="D26" s="128" t="s">
        <v>20</v>
      </c>
      <c r="E26" s="317">
        <f>アカウントサービス第二本部!L2</f>
        <v>760000</v>
      </c>
      <c r="F26" s="317">
        <f>アカウントサービス第二本部!M2</f>
        <v>1051235</v>
      </c>
      <c r="G26" s="317">
        <f>アカウントサービス第二本部!N2</f>
        <v>1070905</v>
      </c>
      <c r="H26" s="317">
        <f>アカウントサービス第二本部!O2</f>
        <v>1450000</v>
      </c>
      <c r="I26" s="317">
        <f>アカウントサービス第二本部!P2</f>
        <v>1454060</v>
      </c>
      <c r="J26" s="317">
        <f>アカウントサービス第二本部!Q2</f>
        <v>1450000</v>
      </c>
      <c r="K26" s="317">
        <f>アカウントサービス第二本部!R2</f>
        <v>1614020</v>
      </c>
      <c r="L26" s="317">
        <f>アカウントサービス第二本部!S2</f>
        <v>1450000</v>
      </c>
      <c r="M26" s="317">
        <f>アカウントサービス第二本部!T2</f>
        <v>1450000</v>
      </c>
      <c r="N26" s="317">
        <f>アカウントサービス第二本部!U2</f>
        <v>1450000</v>
      </c>
      <c r="O26" s="317">
        <f>アカウントサービス第二本部!V2</f>
        <v>1375000</v>
      </c>
      <c r="P26" s="63">
        <f>アカウントサービス第二本部!W2</f>
        <v>1410000</v>
      </c>
      <c r="Q26" s="63">
        <f t="shared" ref="Q26:Q28" si="13">SUM(E26:P26)</f>
        <v>15985220</v>
      </c>
      <c r="S26" s="129"/>
    </row>
    <row r="27" spans="1:19" s="127" customFormat="1" ht="14.15" customHeight="1">
      <c r="A27" s="617"/>
      <c r="B27" s="617"/>
      <c r="C27" s="617"/>
      <c r="D27" s="130" t="s">
        <v>21</v>
      </c>
      <c r="E27" s="318">
        <f>アカウントサービス第二本部!L3</f>
        <v>612134</v>
      </c>
      <c r="F27" s="318">
        <f>アカウントサービス第二本部!M3</f>
        <v>910091</v>
      </c>
      <c r="G27" s="318">
        <f>アカウントサービス第二本部!N3</f>
        <v>865244</v>
      </c>
      <c r="H27" s="318">
        <f>アカウントサービス第二本部!O3</f>
        <v>1017483</v>
      </c>
      <c r="I27" s="318">
        <f>アカウントサービス第二本部!P3</f>
        <v>1013218</v>
      </c>
      <c r="J27" s="318">
        <f>アカウントサービス第二本部!Q3</f>
        <v>999652</v>
      </c>
      <c r="K27" s="318">
        <f>アカウントサービス第二本部!R3</f>
        <v>1142236</v>
      </c>
      <c r="L27" s="318">
        <f>アカウントサービス第二本部!S3</f>
        <v>1020062</v>
      </c>
      <c r="M27" s="318">
        <f>アカウントサービス第二本部!T3</f>
        <v>1024420</v>
      </c>
      <c r="N27" s="318">
        <f>アカウントサービス第二本部!U3</f>
        <v>1025826</v>
      </c>
      <c r="O27" s="318">
        <f>アカウントサービス第二本部!V3</f>
        <v>1035417</v>
      </c>
      <c r="P27" s="64">
        <f>アカウントサービス第二本部!W3</f>
        <v>976783</v>
      </c>
      <c r="Q27" s="64">
        <f t="shared" si="13"/>
        <v>11642566</v>
      </c>
      <c r="S27" s="129"/>
    </row>
    <row r="28" spans="1:19" s="127" customFormat="1" ht="14.15" customHeight="1">
      <c r="A28" s="618"/>
      <c r="B28" s="618"/>
      <c r="C28" s="618"/>
      <c r="D28" s="6" t="s">
        <v>22</v>
      </c>
      <c r="E28" s="319">
        <f>E26-E27</f>
        <v>147866</v>
      </c>
      <c r="F28" s="319">
        <f t="shared" ref="F28:G28" si="14">F26-F27</f>
        <v>141144</v>
      </c>
      <c r="G28" s="319">
        <f t="shared" si="14"/>
        <v>205661</v>
      </c>
      <c r="H28" s="319">
        <f>H26-H27</f>
        <v>432517</v>
      </c>
      <c r="I28" s="319">
        <f t="shared" ref="I28:P28" si="15">I26-I27</f>
        <v>440842</v>
      </c>
      <c r="J28" s="319">
        <f t="shared" si="15"/>
        <v>450348</v>
      </c>
      <c r="K28" s="319">
        <f t="shared" si="15"/>
        <v>471784</v>
      </c>
      <c r="L28" s="319">
        <f t="shared" si="15"/>
        <v>429938</v>
      </c>
      <c r="M28" s="319">
        <f t="shared" si="15"/>
        <v>425580</v>
      </c>
      <c r="N28" s="319">
        <f t="shared" si="15"/>
        <v>424174</v>
      </c>
      <c r="O28" s="319">
        <f t="shared" si="15"/>
        <v>339583</v>
      </c>
      <c r="P28" s="65">
        <f t="shared" si="15"/>
        <v>433217</v>
      </c>
      <c r="Q28" s="65">
        <f t="shared" si="13"/>
        <v>4342654</v>
      </c>
      <c r="S28" s="129"/>
    </row>
    <row r="29" spans="1:19" s="127" customFormat="1" ht="14.15" customHeight="1">
      <c r="A29" s="619" t="str">
        <f>アカウントサービス第五本部!C2</f>
        <v>アカウントサービス第五本部</v>
      </c>
      <c r="B29" s="619"/>
      <c r="C29" s="619"/>
      <c r="D29" s="128" t="s">
        <v>20</v>
      </c>
      <c r="E29" s="317">
        <f>アカウントサービス第五本部!L2</f>
        <v>5097600</v>
      </c>
      <c r="F29" s="317">
        <f>アカウントサービス第五本部!M2</f>
        <v>4924750</v>
      </c>
      <c r="G29" s="317">
        <f>アカウントサービス第五本部!N2</f>
        <v>4957050</v>
      </c>
      <c r="H29" s="317">
        <f>アカウントサービス第五本部!O2</f>
        <v>5049400</v>
      </c>
      <c r="I29" s="317">
        <f>アカウントサービス第五本部!P2</f>
        <v>4693700</v>
      </c>
      <c r="J29" s="317">
        <f>アカウントサービス第五本部!Q2</f>
        <v>4794295</v>
      </c>
      <c r="K29" s="317">
        <f>アカウントサービス第五本部!R2</f>
        <v>4373550</v>
      </c>
      <c r="L29" s="317">
        <f>アカウントサービス第五本部!S2</f>
        <v>4130180</v>
      </c>
      <c r="M29" s="317">
        <f>アカウントサービス第五本部!T2</f>
        <v>4824760</v>
      </c>
      <c r="N29" s="317">
        <f>アカウントサービス第五本部!U2</f>
        <v>6110710</v>
      </c>
      <c r="O29" s="317">
        <f>アカウントサービス第五本部!V2</f>
        <v>6033925</v>
      </c>
      <c r="P29" s="63">
        <f>アカウントサービス第五本部!W2</f>
        <v>6412600</v>
      </c>
      <c r="Q29" s="63">
        <f>SUM(E29:P29)</f>
        <v>61402520</v>
      </c>
      <c r="S29" s="129"/>
    </row>
    <row r="30" spans="1:19" s="127" customFormat="1" ht="14.15" customHeight="1">
      <c r="A30" s="620"/>
      <c r="B30" s="620"/>
      <c r="C30" s="620"/>
      <c r="D30" s="130" t="s">
        <v>21</v>
      </c>
      <c r="E30" s="318">
        <f>アカウントサービス第五本部!L3</f>
        <v>3846091</v>
      </c>
      <c r="F30" s="318">
        <f>アカウントサービス第五本部!M3</f>
        <v>3740385</v>
      </c>
      <c r="G30" s="318">
        <f>アカウントサービス第五本部!N3</f>
        <v>3815448</v>
      </c>
      <c r="H30" s="318">
        <f>アカウントサービス第五本部!O3</f>
        <v>3977832</v>
      </c>
      <c r="I30" s="318">
        <f>アカウントサービス第五本部!P3</f>
        <v>3788701</v>
      </c>
      <c r="J30" s="318">
        <f>アカウントサービス第五本部!Q3</f>
        <v>3631814</v>
      </c>
      <c r="K30" s="318">
        <f>アカウントサービス第五本部!R3</f>
        <v>3207288</v>
      </c>
      <c r="L30" s="318">
        <f>アカウントサービス第五本部!S3</f>
        <v>3338455</v>
      </c>
      <c r="M30" s="318">
        <f>アカウントサービス第五本部!T3</f>
        <v>3616998</v>
      </c>
      <c r="N30" s="318">
        <f>アカウントサービス第五本部!U3</f>
        <v>4609267</v>
      </c>
      <c r="O30" s="318">
        <f>アカウントサービス第五本部!V3</f>
        <v>4553072</v>
      </c>
      <c r="P30" s="64">
        <f>アカウントサービス第五本部!W3</f>
        <v>4605472</v>
      </c>
      <c r="Q30" s="64">
        <f>SUM(E30:P30)</f>
        <v>46730823</v>
      </c>
      <c r="S30" s="129"/>
    </row>
    <row r="31" spans="1:19" s="127" customFormat="1" ht="14.15" customHeight="1">
      <c r="A31" s="621"/>
      <c r="B31" s="621"/>
      <c r="C31" s="621"/>
      <c r="D31" s="6" t="s">
        <v>22</v>
      </c>
      <c r="E31" s="319">
        <f t="shared" ref="E31:P31" si="16">E29-E30</f>
        <v>1251509</v>
      </c>
      <c r="F31" s="319">
        <f t="shared" si="16"/>
        <v>1184365</v>
      </c>
      <c r="G31" s="319">
        <f t="shared" si="16"/>
        <v>1141602</v>
      </c>
      <c r="H31" s="319">
        <f t="shared" si="16"/>
        <v>1071568</v>
      </c>
      <c r="I31" s="319">
        <f t="shared" si="16"/>
        <v>904999</v>
      </c>
      <c r="J31" s="319">
        <f t="shared" si="16"/>
        <v>1162481</v>
      </c>
      <c r="K31" s="319">
        <f t="shared" si="16"/>
        <v>1166262</v>
      </c>
      <c r="L31" s="319">
        <f t="shared" si="16"/>
        <v>791725</v>
      </c>
      <c r="M31" s="319">
        <f t="shared" si="16"/>
        <v>1207762</v>
      </c>
      <c r="N31" s="319">
        <f t="shared" si="16"/>
        <v>1501443</v>
      </c>
      <c r="O31" s="319">
        <f t="shared" si="16"/>
        <v>1480853</v>
      </c>
      <c r="P31" s="65">
        <f t="shared" si="16"/>
        <v>1807128</v>
      </c>
      <c r="Q31" s="65">
        <f>SUM(E31:P31)</f>
        <v>14671697</v>
      </c>
      <c r="S31" s="129"/>
    </row>
    <row r="32" spans="1:19" s="127" customFormat="1" ht="14.15" customHeight="1">
      <c r="A32" s="619" t="str">
        <f>マネージドサービス第一本部!C2</f>
        <v>マネージドサービス第一本部</v>
      </c>
      <c r="B32" s="619"/>
      <c r="C32" s="619"/>
      <c r="D32" s="128" t="s">
        <v>20</v>
      </c>
      <c r="E32" s="317">
        <f>マネージドサービス第一本部!L2</f>
        <v>9019005</v>
      </c>
      <c r="F32" s="317">
        <f>マネージドサービス第一本部!M2</f>
        <v>8517400</v>
      </c>
      <c r="G32" s="317">
        <f>マネージドサービス第一本部!N2</f>
        <v>8553300</v>
      </c>
      <c r="H32" s="317">
        <f>マネージドサービス第一本部!O2</f>
        <v>8728550</v>
      </c>
      <c r="I32" s="317">
        <f>マネージドサービス第一本部!P2</f>
        <v>8362195</v>
      </c>
      <c r="J32" s="317">
        <f>マネージドサービス第一本部!Q2</f>
        <v>8137740</v>
      </c>
      <c r="K32" s="317">
        <f>マネージドサービス第一本部!R2</f>
        <v>9029510</v>
      </c>
      <c r="L32" s="317">
        <f>マネージドサービス第一本部!S2</f>
        <v>8574705</v>
      </c>
      <c r="M32" s="317">
        <f>マネージドサービス第一本部!T2</f>
        <v>9031110</v>
      </c>
      <c r="N32" s="317">
        <f>マネージドサービス第一本部!U2</f>
        <v>8560110</v>
      </c>
      <c r="O32" s="317">
        <f>マネージドサービス第一本部!V2</f>
        <v>8510555</v>
      </c>
      <c r="P32" s="63">
        <f>マネージドサービス第一本部!W2</f>
        <v>8615508.3333333321</v>
      </c>
      <c r="Q32" s="63">
        <f t="shared" ref="Q32:Q52" si="17">SUM(E32:P32)</f>
        <v>103639688.33333333</v>
      </c>
      <c r="S32" s="129"/>
    </row>
    <row r="33" spans="1:19" s="127" customFormat="1" ht="14.15" customHeight="1">
      <c r="A33" s="620"/>
      <c r="B33" s="620"/>
      <c r="C33" s="620"/>
      <c r="D33" s="130" t="s">
        <v>21</v>
      </c>
      <c r="E33" s="318">
        <f>マネージドサービス第一本部!L3</f>
        <v>7421278</v>
      </c>
      <c r="F33" s="318">
        <f>マネージドサービス第一本部!M3</f>
        <v>7091978</v>
      </c>
      <c r="G33" s="318">
        <f>マネージドサービス第一本部!N3</f>
        <v>7112189</v>
      </c>
      <c r="H33" s="318">
        <f>マネージドサービス第一本部!O3</f>
        <v>7197283</v>
      </c>
      <c r="I33" s="318">
        <f>マネージドサービス第一本部!P3</f>
        <v>7091566</v>
      </c>
      <c r="J33" s="318">
        <f>マネージドサービス第一本部!Q3</f>
        <v>7109635</v>
      </c>
      <c r="K33" s="318">
        <f>マネージドサービス第一本部!R3</f>
        <v>7364005.5</v>
      </c>
      <c r="L33" s="318">
        <f>マネージドサービス第一本部!S3</f>
        <v>7404708</v>
      </c>
      <c r="M33" s="318">
        <f>マネージドサービス第一本部!T3</f>
        <v>7472520</v>
      </c>
      <c r="N33" s="318">
        <f>マネージドサービス第一本部!U3</f>
        <v>7369189</v>
      </c>
      <c r="O33" s="318">
        <f>マネージドサービス第一本部!V3</f>
        <v>7300105</v>
      </c>
      <c r="P33" s="64">
        <f>マネージドサービス第一本部!W3</f>
        <v>7251849.222222222</v>
      </c>
      <c r="Q33" s="64">
        <f t="shared" si="17"/>
        <v>87186305.722222224</v>
      </c>
      <c r="S33" s="129"/>
    </row>
    <row r="34" spans="1:19" s="127" customFormat="1" ht="14.15" customHeight="1">
      <c r="A34" s="621"/>
      <c r="B34" s="621"/>
      <c r="C34" s="621"/>
      <c r="D34" s="6" t="s">
        <v>22</v>
      </c>
      <c r="E34" s="319">
        <f>E32-E33</f>
        <v>1597727</v>
      </c>
      <c r="F34" s="319">
        <f t="shared" ref="F34:P34" si="18">F32-F33</f>
        <v>1425422</v>
      </c>
      <c r="G34" s="319">
        <f t="shared" si="18"/>
        <v>1441111</v>
      </c>
      <c r="H34" s="319">
        <f t="shared" si="18"/>
        <v>1531267</v>
      </c>
      <c r="I34" s="319">
        <f t="shared" si="18"/>
        <v>1270629</v>
      </c>
      <c r="J34" s="319">
        <f t="shared" si="18"/>
        <v>1028105</v>
      </c>
      <c r="K34" s="319">
        <f t="shared" si="18"/>
        <v>1665504.5</v>
      </c>
      <c r="L34" s="319">
        <f t="shared" si="18"/>
        <v>1169997</v>
      </c>
      <c r="M34" s="319">
        <f t="shared" si="18"/>
        <v>1558590</v>
      </c>
      <c r="N34" s="319">
        <f t="shared" si="18"/>
        <v>1190921</v>
      </c>
      <c r="O34" s="319">
        <f t="shared" si="18"/>
        <v>1210450</v>
      </c>
      <c r="P34" s="65">
        <f t="shared" si="18"/>
        <v>1363659.1111111101</v>
      </c>
      <c r="Q34" s="65">
        <f t="shared" si="17"/>
        <v>16453382.61111111</v>
      </c>
      <c r="S34" s="129"/>
    </row>
    <row r="35" spans="1:19" s="127" customFormat="1" ht="14.15" customHeight="1">
      <c r="A35" s="616" t="str">
        <f>マネージドサービス第二本部!C2</f>
        <v>マネージドサービス第二本部</v>
      </c>
      <c r="B35" s="616"/>
      <c r="C35" s="616"/>
      <c r="D35" s="128" t="s">
        <v>20</v>
      </c>
      <c r="E35" s="317">
        <f>マネージドサービス第二本部!K2</f>
        <v>4758625</v>
      </c>
      <c r="F35" s="317">
        <f>マネージドサービス第二本部!L2</f>
        <v>4539760</v>
      </c>
      <c r="G35" s="317">
        <f>マネージドサービス第二本部!M2</f>
        <v>4685890</v>
      </c>
      <c r="H35" s="317">
        <f>マネージドサービス第二本部!N2</f>
        <v>4235550</v>
      </c>
      <c r="I35" s="317">
        <f>マネージドサービス第二本部!O2</f>
        <v>4232000</v>
      </c>
      <c r="J35" s="317">
        <f>マネージドサービス第二本部!P2</f>
        <v>4305625</v>
      </c>
      <c r="K35" s="317">
        <f>マネージドサービス第二本部!Q2</f>
        <v>4286630</v>
      </c>
      <c r="L35" s="317">
        <f>マネージドサービス第二本部!R2</f>
        <v>4035400</v>
      </c>
      <c r="M35" s="317">
        <f>マネージドサービス第二本部!S2</f>
        <v>4249050</v>
      </c>
      <c r="N35" s="317">
        <f>マネージドサービス第二本部!T2</f>
        <v>3773205</v>
      </c>
      <c r="O35" s="317">
        <f>マネージドサービス第二本部!U2</f>
        <v>3645155</v>
      </c>
      <c r="P35" s="63">
        <f>マネージドサービス第二本部!V2</f>
        <v>3789575</v>
      </c>
      <c r="Q35" s="64">
        <f t="shared" ref="Q35:Q43" si="19">SUM(E35:P35)</f>
        <v>50536465</v>
      </c>
      <c r="S35" s="129"/>
    </row>
    <row r="36" spans="1:19" s="127" customFormat="1" ht="14.15" customHeight="1">
      <c r="A36" s="617"/>
      <c r="B36" s="617"/>
      <c r="C36" s="617"/>
      <c r="D36" s="130" t="s">
        <v>21</v>
      </c>
      <c r="E36" s="318">
        <f>マネージドサービス第二本部!K3</f>
        <v>3409115</v>
      </c>
      <c r="F36" s="318">
        <f>マネージドサービス第二本部!L3</f>
        <v>3360925</v>
      </c>
      <c r="G36" s="318">
        <f>マネージドサービス第二本部!M3</f>
        <v>3405027</v>
      </c>
      <c r="H36" s="318">
        <f>マネージドサービス第二本部!N3</f>
        <v>2977481</v>
      </c>
      <c r="I36" s="318">
        <f>マネージドサービス第二本部!O3</f>
        <v>2953730</v>
      </c>
      <c r="J36" s="318">
        <f>マネージドサービス第二本部!P3</f>
        <v>2930924</v>
      </c>
      <c r="K36" s="318">
        <f>マネージドサービス第二本部!Q3</f>
        <v>3114891</v>
      </c>
      <c r="L36" s="318">
        <f>マネージドサービス第二本部!R3</f>
        <v>2919826</v>
      </c>
      <c r="M36" s="318">
        <f>マネージドサービス第二本部!S3</f>
        <v>3012369</v>
      </c>
      <c r="N36" s="318">
        <f>マネージドサービス第二本部!T3</f>
        <v>2646234</v>
      </c>
      <c r="O36" s="318">
        <f>マネージドサービス第二本部!U3</f>
        <v>2632013</v>
      </c>
      <c r="P36" s="64">
        <f>マネージドサービス第二本部!V3</f>
        <v>2676301</v>
      </c>
      <c r="Q36" s="64">
        <f t="shared" si="19"/>
        <v>36038836</v>
      </c>
      <c r="S36" s="129"/>
    </row>
    <row r="37" spans="1:19" s="127" customFormat="1" ht="14.15" customHeight="1">
      <c r="A37" s="618"/>
      <c r="B37" s="618"/>
      <c r="C37" s="618"/>
      <c r="D37" s="6" t="s">
        <v>22</v>
      </c>
      <c r="E37" s="319">
        <f>E35-E36</f>
        <v>1349510</v>
      </c>
      <c r="F37" s="319">
        <f t="shared" ref="F37:P37" si="20">F35-F36</f>
        <v>1178835</v>
      </c>
      <c r="G37" s="319">
        <f t="shared" si="20"/>
        <v>1280863</v>
      </c>
      <c r="H37" s="319">
        <f t="shared" si="20"/>
        <v>1258069</v>
      </c>
      <c r="I37" s="319">
        <f t="shared" si="20"/>
        <v>1278270</v>
      </c>
      <c r="J37" s="319">
        <f t="shared" si="20"/>
        <v>1374701</v>
      </c>
      <c r="K37" s="319">
        <f t="shared" si="20"/>
        <v>1171739</v>
      </c>
      <c r="L37" s="319">
        <f t="shared" si="20"/>
        <v>1115574</v>
      </c>
      <c r="M37" s="319">
        <f t="shared" si="20"/>
        <v>1236681</v>
      </c>
      <c r="N37" s="319">
        <f t="shared" si="20"/>
        <v>1126971</v>
      </c>
      <c r="O37" s="319">
        <f t="shared" si="20"/>
        <v>1013142</v>
      </c>
      <c r="P37" s="65">
        <f t="shared" si="20"/>
        <v>1113274</v>
      </c>
      <c r="Q37" s="65">
        <f t="shared" si="19"/>
        <v>14497629</v>
      </c>
      <c r="S37" s="129"/>
    </row>
    <row r="38" spans="1:19" s="127" customFormat="1" ht="14.15" customHeight="1">
      <c r="A38" s="619" t="str">
        <f>セキュリティサービス本部!C2</f>
        <v>セキュリティサービス本部</v>
      </c>
      <c r="B38" s="619"/>
      <c r="C38" s="619"/>
      <c r="D38" s="128" t="s">
        <v>20</v>
      </c>
      <c r="E38" s="317">
        <f>セキュリティサービス本部!L2</f>
        <v>600000</v>
      </c>
      <c r="F38" s="317">
        <f>セキュリティサービス本部!M2</f>
        <v>625250</v>
      </c>
      <c r="G38" s="317">
        <f>セキュリティサービス本部!N2</f>
        <v>590400</v>
      </c>
      <c r="H38" s="317">
        <f>セキュリティサービス本部!O2</f>
        <v>606800</v>
      </c>
      <c r="I38" s="317">
        <f>セキュリティサービス本部!P2</f>
        <v>1265200</v>
      </c>
      <c r="J38" s="317">
        <f>セキュリティサービス本部!Q2</f>
        <v>1389350</v>
      </c>
      <c r="K38" s="317">
        <f>セキュリティサービス本部!R2</f>
        <v>1634100</v>
      </c>
      <c r="L38" s="317">
        <f>セキュリティサービス本部!S2</f>
        <v>1353450</v>
      </c>
      <c r="M38" s="317">
        <f>セキュリティサービス本部!T2</f>
        <v>1492150</v>
      </c>
      <c r="N38" s="317">
        <f>セキュリティサービス本部!U2</f>
        <v>1424650</v>
      </c>
      <c r="O38" s="317">
        <f>セキュリティサービス本部!V2</f>
        <v>1428450</v>
      </c>
      <c r="P38" s="63">
        <f>セキュリティサービス本部!W2</f>
        <v>1545000</v>
      </c>
      <c r="Q38" s="63">
        <f t="shared" si="19"/>
        <v>13954800</v>
      </c>
      <c r="S38" s="129"/>
    </row>
    <row r="39" spans="1:19" s="127" customFormat="1" ht="14.15" customHeight="1">
      <c r="A39" s="620"/>
      <c r="B39" s="620"/>
      <c r="C39" s="620"/>
      <c r="D39" s="130" t="s">
        <v>21</v>
      </c>
      <c r="E39" s="318">
        <f>セキュリティサービス本部!L3</f>
        <v>523561</v>
      </c>
      <c r="F39" s="318">
        <f>セキュリティサービス本部!M3</f>
        <v>492359</v>
      </c>
      <c r="G39" s="318">
        <f>セキュリティサービス本部!N3</f>
        <v>510393</v>
      </c>
      <c r="H39" s="318">
        <f>セキュリティサービス本部!O3</f>
        <v>518204</v>
      </c>
      <c r="I39" s="318">
        <f>セキュリティサービス本部!P3</f>
        <v>1212862</v>
      </c>
      <c r="J39" s="318">
        <f>セキュリティサービス本部!Q3</f>
        <v>1231190</v>
      </c>
      <c r="K39" s="318">
        <f>セキュリティサービス本部!R3</f>
        <v>1280192</v>
      </c>
      <c r="L39" s="318">
        <f>セキュリティサービス本部!S3</f>
        <v>1172634</v>
      </c>
      <c r="M39" s="318">
        <f>セキュリティサービス本部!T3</f>
        <v>1260720</v>
      </c>
      <c r="N39" s="318">
        <f>セキュリティサービス本部!U3</f>
        <v>1211592</v>
      </c>
      <c r="O39" s="318">
        <f>セキュリティサービス本部!V3</f>
        <v>1231705</v>
      </c>
      <c r="P39" s="64">
        <f>セキュリティサービス本部!W3</f>
        <v>1283957</v>
      </c>
      <c r="Q39" s="64">
        <f t="shared" si="19"/>
        <v>11929369</v>
      </c>
      <c r="S39" s="129"/>
    </row>
    <row r="40" spans="1:19" s="127" customFormat="1" ht="14.15" customHeight="1">
      <c r="A40" s="621"/>
      <c r="B40" s="621"/>
      <c r="C40" s="621"/>
      <c r="D40" s="6" t="s">
        <v>22</v>
      </c>
      <c r="E40" s="319">
        <f>E38-E39</f>
        <v>76439</v>
      </c>
      <c r="F40" s="319">
        <f t="shared" ref="F40:P40" si="21">F38-F39</f>
        <v>132891</v>
      </c>
      <c r="G40" s="319">
        <f t="shared" si="21"/>
        <v>80007</v>
      </c>
      <c r="H40" s="319">
        <f t="shared" si="21"/>
        <v>88596</v>
      </c>
      <c r="I40" s="319">
        <f t="shared" si="21"/>
        <v>52338</v>
      </c>
      <c r="J40" s="319">
        <f t="shared" si="21"/>
        <v>158160</v>
      </c>
      <c r="K40" s="319">
        <f t="shared" si="21"/>
        <v>353908</v>
      </c>
      <c r="L40" s="319">
        <f t="shared" si="21"/>
        <v>180816</v>
      </c>
      <c r="M40" s="319">
        <f t="shared" si="21"/>
        <v>231430</v>
      </c>
      <c r="N40" s="319">
        <f t="shared" si="21"/>
        <v>213058</v>
      </c>
      <c r="O40" s="319">
        <f t="shared" si="21"/>
        <v>196745</v>
      </c>
      <c r="P40" s="65">
        <f t="shared" si="21"/>
        <v>261043</v>
      </c>
      <c r="Q40" s="65">
        <f t="shared" si="19"/>
        <v>2025431</v>
      </c>
      <c r="S40" s="129"/>
    </row>
    <row r="41" spans="1:19" s="127" customFormat="1" ht="14.15" customHeight="1">
      <c r="A41" s="619" t="str">
        <f>カスタマーリレーション本部!C2</f>
        <v>カスタマーリレーション本部</v>
      </c>
      <c r="B41" s="619"/>
      <c r="C41" s="619"/>
      <c r="D41" s="128" t="s">
        <v>20</v>
      </c>
      <c r="E41" s="317">
        <f>カスタマーリレーション本部!L2</f>
        <v>4175455</v>
      </c>
      <c r="F41" s="317">
        <f>カスタマーリレーション本部!M2</f>
        <v>4198670</v>
      </c>
      <c r="G41" s="317">
        <f>カスタマーリレーション本部!N2</f>
        <v>4160580</v>
      </c>
      <c r="H41" s="317">
        <f>カスタマーリレーション本部!O2</f>
        <v>3795580</v>
      </c>
      <c r="I41" s="317">
        <f>カスタマーリレーション本部!P2</f>
        <v>3728995</v>
      </c>
      <c r="J41" s="317">
        <f>カスタマーリレーション本部!Q2</f>
        <v>3753690</v>
      </c>
      <c r="K41" s="317">
        <f>カスタマーリレーション本部!R2</f>
        <v>3798640</v>
      </c>
      <c r="L41" s="317">
        <f>カスタマーリレーション本部!S2</f>
        <v>3544465</v>
      </c>
      <c r="M41" s="317">
        <f>カスタマーリレーション本部!T2</f>
        <v>3736610</v>
      </c>
      <c r="N41" s="317">
        <f>カスタマーリレーション本部!U2</f>
        <v>3616300</v>
      </c>
      <c r="O41" s="317">
        <f>カスタマーリレーション本部!V2</f>
        <v>3543090</v>
      </c>
      <c r="P41" s="63">
        <f>カスタマーリレーション本部!W2</f>
        <v>3791427.222222222</v>
      </c>
      <c r="Q41" s="63">
        <f t="shared" si="19"/>
        <v>45843502.222222224</v>
      </c>
      <c r="S41" s="129"/>
    </row>
    <row r="42" spans="1:19" s="127" customFormat="1" ht="14.15" customHeight="1">
      <c r="A42" s="620"/>
      <c r="B42" s="620"/>
      <c r="C42" s="620"/>
      <c r="D42" s="130" t="s">
        <v>21</v>
      </c>
      <c r="E42" s="318">
        <f>カスタマーリレーション本部!L3</f>
        <v>3353049</v>
      </c>
      <c r="F42" s="318">
        <f>カスタマーリレーション本部!M3</f>
        <v>3349200</v>
      </c>
      <c r="G42" s="318">
        <f>カスタマーリレーション本部!N3</f>
        <v>3352503</v>
      </c>
      <c r="H42" s="318">
        <f>カスタマーリレーション本部!O3</f>
        <v>3078132</v>
      </c>
      <c r="I42" s="318">
        <f>カスタマーリレーション本部!P3</f>
        <v>3033272</v>
      </c>
      <c r="J42" s="318">
        <f>カスタマーリレーション本部!Q3</f>
        <v>3086778</v>
      </c>
      <c r="K42" s="318">
        <f>カスタマーリレーション本部!R3</f>
        <v>3094674</v>
      </c>
      <c r="L42" s="318">
        <f>カスタマーリレーション本部!S3</f>
        <v>3029065</v>
      </c>
      <c r="M42" s="318">
        <f>カスタマーリレーション本部!T3</f>
        <v>3060899</v>
      </c>
      <c r="N42" s="318">
        <f>カスタマーリレーション本部!U3</f>
        <v>3054276</v>
      </c>
      <c r="O42" s="318">
        <f>カスタマーリレーション本部!V3</f>
        <v>3030569</v>
      </c>
      <c r="P42" s="64">
        <f>カスタマーリレーション本部!W3</f>
        <v>3061101</v>
      </c>
      <c r="Q42" s="64">
        <f t="shared" si="19"/>
        <v>37583518</v>
      </c>
      <c r="S42" s="129"/>
    </row>
    <row r="43" spans="1:19" s="127" customFormat="1" ht="14.15" customHeight="1">
      <c r="A43" s="621"/>
      <c r="B43" s="621"/>
      <c r="C43" s="621"/>
      <c r="D43" s="6" t="s">
        <v>22</v>
      </c>
      <c r="E43" s="319">
        <f>E41-E42</f>
        <v>822406</v>
      </c>
      <c r="F43" s="319">
        <f t="shared" ref="F43:P43" si="22">F41-F42</f>
        <v>849470</v>
      </c>
      <c r="G43" s="319">
        <f t="shared" si="22"/>
        <v>808077</v>
      </c>
      <c r="H43" s="319">
        <f t="shared" si="22"/>
        <v>717448</v>
      </c>
      <c r="I43" s="319">
        <f t="shared" si="22"/>
        <v>695723</v>
      </c>
      <c r="J43" s="319">
        <f t="shared" si="22"/>
        <v>666912</v>
      </c>
      <c r="K43" s="319">
        <f t="shared" si="22"/>
        <v>703966</v>
      </c>
      <c r="L43" s="319">
        <f t="shared" si="22"/>
        <v>515400</v>
      </c>
      <c r="M43" s="319">
        <f t="shared" si="22"/>
        <v>675711</v>
      </c>
      <c r="N43" s="319">
        <f t="shared" si="22"/>
        <v>562024</v>
      </c>
      <c r="O43" s="319">
        <f t="shared" si="22"/>
        <v>512521</v>
      </c>
      <c r="P43" s="65">
        <f t="shared" si="22"/>
        <v>730326.22222222202</v>
      </c>
      <c r="Q43" s="65">
        <f t="shared" si="19"/>
        <v>8259984.222222222</v>
      </c>
      <c r="S43" s="129"/>
    </row>
    <row r="44" spans="1:19" s="127" customFormat="1" ht="14.15" customHeight="1">
      <c r="A44" s="616" t="str">
        <f>中部支店!C2</f>
        <v>中部支店</v>
      </c>
      <c r="B44" s="616"/>
      <c r="C44" s="616"/>
      <c r="D44" s="128" t="s">
        <v>20</v>
      </c>
      <c r="E44" s="317">
        <f>中部支店!L2</f>
        <v>1698395</v>
      </c>
      <c r="F44" s="317">
        <f>中部支店!M2</f>
        <v>1685881</v>
      </c>
      <c r="G44" s="317">
        <f>中部支店!N2</f>
        <v>1455725</v>
      </c>
      <c r="H44" s="317">
        <f>中部支店!O2</f>
        <v>1459990</v>
      </c>
      <c r="I44" s="317">
        <f>中部支店!P2</f>
        <v>1491335</v>
      </c>
      <c r="J44" s="317">
        <f>中部支店!Q2</f>
        <v>1675136</v>
      </c>
      <c r="K44" s="317">
        <f>中部支店!R2</f>
        <v>1792152</v>
      </c>
      <c r="L44" s="317">
        <f>中部支店!S2</f>
        <v>1446616</v>
      </c>
      <c r="M44" s="317">
        <f>中部支店!T2</f>
        <v>1458667</v>
      </c>
      <c r="N44" s="317">
        <f>中部支店!U2</f>
        <v>1425246</v>
      </c>
      <c r="O44" s="317">
        <f>中部支店!V2</f>
        <v>1347760</v>
      </c>
      <c r="P44" s="63">
        <f>中部支店!W2</f>
        <v>1672645</v>
      </c>
      <c r="Q44" s="63">
        <f t="shared" si="17"/>
        <v>18609548</v>
      </c>
      <c r="S44" s="129"/>
    </row>
    <row r="45" spans="1:19" s="127" customFormat="1" ht="14.15" customHeight="1">
      <c r="A45" s="617"/>
      <c r="B45" s="617"/>
      <c r="C45" s="617"/>
      <c r="D45" s="130" t="s">
        <v>21</v>
      </c>
      <c r="E45" s="318">
        <f>中部支店!L3</f>
        <v>1446665</v>
      </c>
      <c r="F45" s="318">
        <f>中部支店!M3</f>
        <v>1376574</v>
      </c>
      <c r="G45" s="318">
        <f>中部支店!N3</f>
        <v>1396151</v>
      </c>
      <c r="H45" s="318">
        <f>中部支店!O3</f>
        <v>1256122</v>
      </c>
      <c r="I45" s="318">
        <f>中部支店!P3</f>
        <v>1320368</v>
      </c>
      <c r="J45" s="318">
        <f>中部支店!Q3</f>
        <v>1381883</v>
      </c>
      <c r="K45" s="318">
        <f>中部支店!R3</f>
        <v>1487191</v>
      </c>
      <c r="L45" s="318">
        <f>中部支店!S3</f>
        <v>1288499</v>
      </c>
      <c r="M45" s="318">
        <f>中部支店!T3</f>
        <v>1298874</v>
      </c>
      <c r="N45" s="318">
        <f>中部支店!U3</f>
        <v>1190887</v>
      </c>
      <c r="O45" s="318">
        <f>中部支店!V3</f>
        <v>1167168</v>
      </c>
      <c r="P45" s="64">
        <f>中部支店!W3</f>
        <v>1410043</v>
      </c>
      <c r="Q45" s="64">
        <f t="shared" si="17"/>
        <v>16020425</v>
      </c>
      <c r="S45" s="129"/>
    </row>
    <row r="46" spans="1:19" s="127" customFormat="1" ht="14.15" customHeight="1">
      <c r="A46" s="618"/>
      <c r="B46" s="618"/>
      <c r="C46" s="618"/>
      <c r="D46" s="6" t="s">
        <v>22</v>
      </c>
      <c r="E46" s="319">
        <f>E44-E45</f>
        <v>251730</v>
      </c>
      <c r="F46" s="319">
        <f t="shared" ref="F46:P46" si="23">F44-F45</f>
        <v>309307</v>
      </c>
      <c r="G46" s="319">
        <f t="shared" si="23"/>
        <v>59574</v>
      </c>
      <c r="H46" s="319">
        <f t="shared" si="23"/>
        <v>203868</v>
      </c>
      <c r="I46" s="319">
        <f t="shared" si="23"/>
        <v>170967</v>
      </c>
      <c r="J46" s="319">
        <f t="shared" si="23"/>
        <v>293253</v>
      </c>
      <c r="K46" s="319">
        <f t="shared" si="23"/>
        <v>304961</v>
      </c>
      <c r="L46" s="319">
        <f t="shared" si="23"/>
        <v>158117</v>
      </c>
      <c r="M46" s="319">
        <f t="shared" si="23"/>
        <v>159793</v>
      </c>
      <c r="N46" s="319">
        <f t="shared" si="23"/>
        <v>234359</v>
      </c>
      <c r="O46" s="319">
        <f t="shared" si="23"/>
        <v>180592</v>
      </c>
      <c r="P46" s="65">
        <f t="shared" si="23"/>
        <v>262602</v>
      </c>
      <c r="Q46" s="65">
        <f t="shared" si="17"/>
        <v>2589123</v>
      </c>
      <c r="S46" s="129"/>
    </row>
    <row r="47" spans="1:19" s="127" customFormat="1" ht="14.15" customHeight="1">
      <c r="A47" s="619" t="str">
        <f>関西支店!C2</f>
        <v>関西支店</v>
      </c>
      <c r="B47" s="619"/>
      <c r="C47" s="619"/>
      <c r="D47" s="128" t="s">
        <v>20</v>
      </c>
      <c r="E47" s="317">
        <f>関西支店!L2</f>
        <v>5889090</v>
      </c>
      <c r="F47" s="317">
        <f>関西支店!M2</f>
        <v>5730205</v>
      </c>
      <c r="G47" s="317">
        <f>関西支店!N2</f>
        <v>5873915</v>
      </c>
      <c r="H47" s="317">
        <f>関西支店!O2</f>
        <v>6739310</v>
      </c>
      <c r="I47" s="317">
        <f>関西支店!P2</f>
        <v>6687320</v>
      </c>
      <c r="J47" s="317">
        <f>関西支店!Q2</f>
        <v>6848325</v>
      </c>
      <c r="K47" s="317">
        <f>関西支店!R2</f>
        <v>7151175</v>
      </c>
      <c r="L47" s="317">
        <f>関西支店!S2</f>
        <v>6571715</v>
      </c>
      <c r="M47" s="317">
        <f>関西支店!T2</f>
        <v>6927610</v>
      </c>
      <c r="N47" s="317">
        <f>関西支店!U2</f>
        <v>6621775</v>
      </c>
      <c r="O47" s="317">
        <f>関西支店!V2</f>
        <v>6433350</v>
      </c>
      <c r="P47" s="63">
        <f>関西支店!W2</f>
        <v>6652111.666666666</v>
      </c>
      <c r="Q47" s="63">
        <f t="shared" si="17"/>
        <v>78125901.666666672</v>
      </c>
      <c r="S47" s="129"/>
    </row>
    <row r="48" spans="1:19" s="127" customFormat="1" ht="14.15" customHeight="1">
      <c r="A48" s="620"/>
      <c r="B48" s="620"/>
      <c r="C48" s="620"/>
      <c r="D48" s="130" t="s">
        <v>21</v>
      </c>
      <c r="E48" s="318">
        <f>関西支店!L3</f>
        <v>4783382</v>
      </c>
      <c r="F48" s="318">
        <f>関西支店!M3</f>
        <v>4635866</v>
      </c>
      <c r="G48" s="318">
        <f>関西支店!N3</f>
        <v>4798011</v>
      </c>
      <c r="H48" s="318">
        <f>関西支店!O3</f>
        <v>5344646</v>
      </c>
      <c r="I48" s="318">
        <f>関西支店!P3</f>
        <v>5503766</v>
      </c>
      <c r="J48" s="318">
        <f>関西支店!Q3</f>
        <v>5638676</v>
      </c>
      <c r="K48" s="318">
        <f>関西支店!R3</f>
        <v>5549070</v>
      </c>
      <c r="L48" s="318">
        <f>関西支店!S3</f>
        <v>5218175</v>
      </c>
      <c r="M48" s="318">
        <f>関西支店!T3</f>
        <v>5343375</v>
      </c>
      <c r="N48" s="318">
        <f>関西支店!U3</f>
        <v>5112012</v>
      </c>
      <c r="O48" s="318">
        <f>関西支店!V3</f>
        <v>5042344</v>
      </c>
      <c r="P48" s="64">
        <f>関西支店!W3</f>
        <v>5202936.277777778</v>
      </c>
      <c r="Q48" s="64">
        <f t="shared" si="17"/>
        <v>62172259.277777776</v>
      </c>
      <c r="S48" s="129"/>
    </row>
    <row r="49" spans="1:19" s="127" customFormat="1" ht="14.15" customHeight="1">
      <c r="A49" s="621"/>
      <c r="B49" s="621"/>
      <c r="C49" s="621"/>
      <c r="D49" s="6" t="s">
        <v>22</v>
      </c>
      <c r="E49" s="319">
        <f>E47-E48</f>
        <v>1105708</v>
      </c>
      <c r="F49" s="319">
        <f t="shared" ref="F49:P49" si="24">F47-F48</f>
        <v>1094339</v>
      </c>
      <c r="G49" s="319">
        <f t="shared" si="24"/>
        <v>1075904</v>
      </c>
      <c r="H49" s="319">
        <f t="shared" si="24"/>
        <v>1394664</v>
      </c>
      <c r="I49" s="319">
        <f t="shared" si="24"/>
        <v>1183554</v>
      </c>
      <c r="J49" s="319">
        <f t="shared" si="24"/>
        <v>1209649</v>
      </c>
      <c r="K49" s="319">
        <f t="shared" si="24"/>
        <v>1602105</v>
      </c>
      <c r="L49" s="319">
        <f t="shared" si="24"/>
        <v>1353540</v>
      </c>
      <c r="M49" s="319">
        <f t="shared" si="24"/>
        <v>1584235</v>
      </c>
      <c r="N49" s="319">
        <f t="shared" si="24"/>
        <v>1509763</v>
      </c>
      <c r="O49" s="319">
        <f t="shared" si="24"/>
        <v>1391006</v>
      </c>
      <c r="P49" s="65">
        <f t="shared" si="24"/>
        <v>1449175.3888888881</v>
      </c>
      <c r="Q49" s="65">
        <f t="shared" si="17"/>
        <v>15953642.388888888</v>
      </c>
      <c r="S49" s="129"/>
    </row>
    <row r="50" spans="1:19" s="127" customFormat="1" ht="14.15" customHeight="1">
      <c r="A50" s="616" t="str">
        <f>地方!C2</f>
        <v>地方</v>
      </c>
      <c r="B50" s="616"/>
      <c r="C50" s="616"/>
      <c r="D50" s="128" t="s">
        <v>20</v>
      </c>
      <c r="E50" s="317">
        <f>地方!L2</f>
        <v>2690695</v>
      </c>
      <c r="F50" s="317">
        <f>地方!M2</f>
        <v>2633465</v>
      </c>
      <c r="G50" s="317">
        <f>地方!N2</f>
        <v>2686965</v>
      </c>
      <c r="H50" s="317">
        <f>地方!O2</f>
        <v>2786920</v>
      </c>
      <c r="I50" s="317">
        <f>地方!P2</f>
        <v>2357900</v>
      </c>
      <c r="J50" s="317">
        <f>地方!Q2</f>
        <v>2799565</v>
      </c>
      <c r="K50" s="317">
        <f>地方!R2</f>
        <v>4326752</v>
      </c>
      <c r="L50" s="317">
        <f>地方!S2</f>
        <v>2585875</v>
      </c>
      <c r="M50" s="317">
        <f>地方!T2</f>
        <v>2753280</v>
      </c>
      <c r="N50" s="317">
        <f>地方!U2</f>
        <v>4000770</v>
      </c>
      <c r="O50" s="317">
        <f>地方!V2</f>
        <v>3926060</v>
      </c>
      <c r="P50" s="63">
        <f>地方!W2</f>
        <v>4104567.222222222</v>
      </c>
      <c r="Q50" s="63">
        <f t="shared" si="17"/>
        <v>37652814.222222224</v>
      </c>
      <c r="S50" s="129"/>
    </row>
    <row r="51" spans="1:19" s="127" customFormat="1" ht="14.15" customHeight="1">
      <c r="A51" s="617"/>
      <c r="B51" s="617"/>
      <c r="C51" s="617"/>
      <c r="D51" s="130" t="s">
        <v>21</v>
      </c>
      <c r="E51" s="318">
        <f>地方!L3</f>
        <v>2173468</v>
      </c>
      <c r="F51" s="318">
        <f>地方!M3</f>
        <v>2115001</v>
      </c>
      <c r="G51" s="318">
        <f>地方!N3</f>
        <v>2149533</v>
      </c>
      <c r="H51" s="318">
        <f>地方!O3</f>
        <v>2205432</v>
      </c>
      <c r="I51" s="318">
        <f>地方!P3</f>
        <v>2072891</v>
      </c>
      <c r="J51" s="318">
        <f>地方!Q3</f>
        <v>2491641</v>
      </c>
      <c r="K51" s="318">
        <f>地方!R3</f>
        <v>2343981</v>
      </c>
      <c r="L51" s="318">
        <f>地方!S3</f>
        <v>2026843</v>
      </c>
      <c r="M51" s="318">
        <f>地方!T3</f>
        <v>2170295</v>
      </c>
      <c r="N51" s="318">
        <f>地方!U3</f>
        <v>3060339</v>
      </c>
      <c r="O51" s="318">
        <f>地方!V3</f>
        <v>3072359</v>
      </c>
      <c r="P51" s="64">
        <f>地方!W3</f>
        <v>3032893.6666666665</v>
      </c>
      <c r="Q51" s="64">
        <f t="shared" si="17"/>
        <v>28914676.666666668</v>
      </c>
      <c r="S51" s="129"/>
    </row>
    <row r="52" spans="1:19" s="127" customFormat="1" ht="14.15" customHeight="1">
      <c r="A52" s="618"/>
      <c r="B52" s="618"/>
      <c r="C52" s="618"/>
      <c r="D52" s="6" t="s">
        <v>22</v>
      </c>
      <c r="E52" s="319">
        <f>E50-E51</f>
        <v>517227</v>
      </c>
      <c r="F52" s="319">
        <f t="shared" ref="F52:P52" si="25">F50-F51</f>
        <v>518464</v>
      </c>
      <c r="G52" s="319">
        <f t="shared" si="25"/>
        <v>537432</v>
      </c>
      <c r="H52" s="319">
        <f t="shared" si="25"/>
        <v>581488</v>
      </c>
      <c r="I52" s="319">
        <f t="shared" si="25"/>
        <v>285009</v>
      </c>
      <c r="J52" s="319">
        <f t="shared" si="25"/>
        <v>307924</v>
      </c>
      <c r="K52" s="319">
        <f t="shared" si="25"/>
        <v>1982771</v>
      </c>
      <c r="L52" s="319">
        <f t="shared" si="25"/>
        <v>559032</v>
      </c>
      <c r="M52" s="319">
        <f t="shared" si="25"/>
        <v>582985</v>
      </c>
      <c r="N52" s="319">
        <f t="shared" si="25"/>
        <v>940431</v>
      </c>
      <c r="O52" s="319">
        <f t="shared" si="25"/>
        <v>853701</v>
      </c>
      <c r="P52" s="65">
        <f t="shared" si="25"/>
        <v>1071673.5555555555</v>
      </c>
      <c r="Q52" s="65">
        <f t="shared" si="17"/>
        <v>8738137.555555556</v>
      </c>
      <c r="S52" s="129"/>
    </row>
    <row r="53" spans="1:19" s="127" customFormat="1" ht="14.15" customHeight="1">
      <c r="A53" s="131"/>
      <c r="B53" s="131"/>
      <c r="C53" s="131"/>
      <c r="D53" s="128" t="s">
        <v>20</v>
      </c>
      <c r="E53" s="314">
        <f t="shared" ref="E53:Q53" si="26">E2</f>
        <v>56058811</v>
      </c>
      <c r="F53" s="314">
        <f t="shared" si="26"/>
        <v>55056008</v>
      </c>
      <c r="G53" s="314">
        <f t="shared" si="26"/>
        <v>56149143</v>
      </c>
      <c r="H53" s="314">
        <f t="shared" si="26"/>
        <v>58799277</v>
      </c>
      <c r="I53" s="314">
        <f t="shared" si="26"/>
        <v>55632341</v>
      </c>
      <c r="J53" s="314">
        <f t="shared" si="26"/>
        <v>57287363</v>
      </c>
      <c r="K53" s="314">
        <f t="shared" si="26"/>
        <v>61911924</v>
      </c>
      <c r="L53" s="314">
        <f t="shared" si="26"/>
        <v>55318343</v>
      </c>
      <c r="M53" s="314">
        <f t="shared" si="26"/>
        <v>58644806</v>
      </c>
      <c r="N53" s="314">
        <f t="shared" si="26"/>
        <v>59091045</v>
      </c>
      <c r="O53" s="314">
        <f t="shared" si="26"/>
        <v>57178567</v>
      </c>
      <c r="P53" s="60">
        <f t="shared" si="26"/>
        <v>60248273.222222216</v>
      </c>
      <c r="Q53" s="60">
        <f t="shared" si="26"/>
        <v>691375901.22222221</v>
      </c>
      <c r="S53" s="129"/>
    </row>
    <row r="54" spans="1:19" s="127" customFormat="1" ht="14.15" customHeight="1">
      <c r="A54" s="131"/>
      <c r="B54" s="131"/>
      <c r="C54" s="131"/>
      <c r="D54" s="130" t="s">
        <v>21</v>
      </c>
      <c r="E54" s="315">
        <f t="shared" ref="E54:Q54" si="27">E3</f>
        <v>45001579.190476194</v>
      </c>
      <c r="F54" s="315">
        <f t="shared" si="27"/>
        <v>44303397</v>
      </c>
      <c r="G54" s="315">
        <f t="shared" si="27"/>
        <v>45633632</v>
      </c>
      <c r="H54" s="315">
        <f t="shared" si="27"/>
        <v>46036102</v>
      </c>
      <c r="I54" s="315">
        <f t="shared" si="27"/>
        <v>45651218.966800436</v>
      </c>
      <c r="J54" s="315">
        <f t="shared" si="27"/>
        <v>46511417.840001166</v>
      </c>
      <c r="K54" s="315">
        <f t="shared" si="27"/>
        <v>47468200.46302449</v>
      </c>
      <c r="L54" s="315">
        <f t="shared" si="27"/>
        <v>45353471.243212014</v>
      </c>
      <c r="M54" s="315">
        <f t="shared" si="27"/>
        <v>46874174.853608951</v>
      </c>
      <c r="N54" s="315">
        <f t="shared" si="27"/>
        <v>47071789.361877978</v>
      </c>
      <c r="O54" s="315">
        <f t="shared" si="27"/>
        <v>46258019.854993984</v>
      </c>
      <c r="P54" s="61">
        <f t="shared" si="27"/>
        <v>47607740.277777776</v>
      </c>
      <c r="Q54" s="61">
        <f t="shared" si="27"/>
        <v>553770743.05177295</v>
      </c>
      <c r="S54" s="129"/>
    </row>
    <row r="55" spans="1:19" s="127" customFormat="1" ht="14.15" customHeight="1">
      <c r="A55" s="131"/>
      <c r="B55" s="131"/>
      <c r="C55" s="131"/>
      <c r="D55" s="132" t="s">
        <v>22</v>
      </c>
      <c r="E55" s="319">
        <f t="shared" ref="E55:Q55" si="28">E4</f>
        <v>11057231.809523806</v>
      </c>
      <c r="F55" s="319">
        <f t="shared" si="28"/>
        <v>10752611</v>
      </c>
      <c r="G55" s="319">
        <f t="shared" si="28"/>
        <v>10515511</v>
      </c>
      <c r="H55" s="319">
        <f t="shared" si="28"/>
        <v>12763175</v>
      </c>
      <c r="I55" s="319">
        <f t="shared" si="28"/>
        <v>9981122.0331995636</v>
      </c>
      <c r="J55" s="319">
        <f t="shared" si="28"/>
        <v>10775945.159998834</v>
      </c>
      <c r="K55" s="319">
        <f t="shared" si="28"/>
        <v>14443723.53697551</v>
      </c>
      <c r="L55" s="319">
        <f t="shared" si="28"/>
        <v>9964871.7567879856</v>
      </c>
      <c r="M55" s="319">
        <f t="shared" si="28"/>
        <v>11770631.146391049</v>
      </c>
      <c r="N55" s="319">
        <f t="shared" si="28"/>
        <v>12019255.638122022</v>
      </c>
      <c r="O55" s="319">
        <f t="shared" si="28"/>
        <v>10920547.145006016</v>
      </c>
      <c r="P55" s="65">
        <f t="shared" si="28"/>
        <v>12640532.94444444</v>
      </c>
      <c r="Q55" s="65">
        <f t="shared" si="28"/>
        <v>137605158.17044926</v>
      </c>
      <c r="S55" s="129"/>
    </row>
    <row r="56" spans="1:19" s="127" customFormat="1" ht="14.15" customHeight="1">
      <c r="A56" s="131"/>
      <c r="B56" s="131"/>
      <c r="C56" s="131"/>
      <c r="D56" s="128" t="s">
        <v>76</v>
      </c>
      <c r="E56" s="605">
        <f>SUM(E53:G53)</f>
        <v>167263962</v>
      </c>
      <c r="F56" s="605"/>
      <c r="G56" s="605"/>
      <c r="H56" s="605">
        <f t="shared" ref="H56" si="29">SUM(H53:J53)</f>
        <v>171718981</v>
      </c>
      <c r="I56" s="605"/>
      <c r="J56" s="605"/>
      <c r="K56" s="605">
        <f>SUM(K53:M53)</f>
        <v>175875073</v>
      </c>
      <c r="L56" s="605"/>
      <c r="M56" s="605"/>
      <c r="N56" s="606">
        <f>SUM(N53:P53)</f>
        <v>176517885.22222221</v>
      </c>
      <c r="O56" s="606"/>
      <c r="P56" s="606"/>
      <c r="Q56" s="66">
        <f>SUM(E56:P56)</f>
        <v>691375901.22222221</v>
      </c>
      <c r="S56" s="129"/>
    </row>
    <row r="57" spans="1:19" s="127" customFormat="1" ht="14.15" customHeight="1">
      <c r="A57" s="131"/>
      <c r="B57" s="131"/>
      <c r="C57" s="131"/>
      <c r="D57" s="130" t="s">
        <v>77</v>
      </c>
      <c r="E57" s="607">
        <f>SUM(E54:G54)</f>
        <v>134938608.19047618</v>
      </c>
      <c r="F57" s="607"/>
      <c r="G57" s="607"/>
      <c r="H57" s="607">
        <f t="shared" ref="H57" si="30">SUM(H54:J54)</f>
        <v>138198738.80680162</v>
      </c>
      <c r="I57" s="607"/>
      <c r="J57" s="607"/>
      <c r="K57" s="607">
        <f t="shared" ref="K57" si="31">SUM(K54:M54)</f>
        <v>139695846.55984545</v>
      </c>
      <c r="L57" s="607"/>
      <c r="M57" s="607"/>
      <c r="N57" s="608">
        <f t="shared" ref="N57:N58" si="32">SUM(N54:P54)</f>
        <v>140937549.49464974</v>
      </c>
      <c r="O57" s="608"/>
      <c r="P57" s="608"/>
      <c r="Q57" s="67">
        <f t="shared" ref="Q57:Q58" si="33">SUM(E57:P57)</f>
        <v>553770743.05177295</v>
      </c>
      <c r="S57" s="129"/>
    </row>
    <row r="58" spans="1:19" s="127" customFormat="1" ht="14.15" customHeight="1">
      <c r="A58" s="131"/>
      <c r="B58" s="131"/>
      <c r="C58" s="131"/>
      <c r="D58" s="132" t="s">
        <v>78</v>
      </c>
      <c r="E58" s="603">
        <f>SUM(E55:G55)</f>
        <v>32325353.809523806</v>
      </c>
      <c r="F58" s="603"/>
      <c r="G58" s="603"/>
      <c r="H58" s="603">
        <f>SUM(H55:J55)</f>
        <v>33520242.193198398</v>
      </c>
      <c r="I58" s="603"/>
      <c r="J58" s="603"/>
      <c r="K58" s="603">
        <f>SUM(K55:M55)</f>
        <v>36179226.440154545</v>
      </c>
      <c r="L58" s="603"/>
      <c r="M58" s="603"/>
      <c r="N58" s="604">
        <f t="shared" si="32"/>
        <v>35580335.727572478</v>
      </c>
      <c r="O58" s="604"/>
      <c r="P58" s="604"/>
      <c r="Q58" s="68">
        <f t="shared" si="33"/>
        <v>137605158.17044923</v>
      </c>
      <c r="S58" s="129"/>
    </row>
    <row r="59" spans="1:19" s="127" customFormat="1" ht="14.15" customHeight="1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S59" s="129"/>
    </row>
    <row r="60" spans="1:19" ht="14.15" customHeight="1">
      <c r="S60" s="129"/>
    </row>
    <row r="61" spans="1:19" ht="14.15" customHeight="1">
      <c r="A61" s="616" t="s">
        <v>105</v>
      </c>
      <c r="B61" s="616"/>
      <c r="C61" s="616"/>
      <c r="D61" s="128" t="s">
        <v>20</v>
      </c>
      <c r="E61" s="317">
        <f t="shared" ref="E61:Q61" si="34">E2-E64</f>
        <v>45780631</v>
      </c>
      <c r="F61" s="317">
        <f t="shared" si="34"/>
        <v>45006457</v>
      </c>
      <c r="G61" s="317">
        <f t="shared" si="34"/>
        <v>46132538</v>
      </c>
      <c r="H61" s="317">
        <f t="shared" si="34"/>
        <v>47813057</v>
      </c>
      <c r="I61" s="317">
        <f t="shared" si="34"/>
        <v>45095786</v>
      </c>
      <c r="J61" s="317">
        <f t="shared" si="34"/>
        <v>45964337</v>
      </c>
      <c r="K61" s="317">
        <f t="shared" si="34"/>
        <v>48641845</v>
      </c>
      <c r="L61" s="317">
        <f t="shared" si="34"/>
        <v>44714137</v>
      </c>
      <c r="M61" s="317">
        <f t="shared" si="34"/>
        <v>47505249</v>
      </c>
      <c r="N61" s="317">
        <f t="shared" si="34"/>
        <v>47043254</v>
      </c>
      <c r="O61" s="317">
        <f t="shared" si="34"/>
        <v>45471397</v>
      </c>
      <c r="P61" s="63">
        <f t="shared" si="34"/>
        <v>47818949.333333328</v>
      </c>
      <c r="Q61" s="63">
        <f t="shared" si="34"/>
        <v>556987637.33333325</v>
      </c>
      <c r="S61" s="129"/>
    </row>
    <row r="62" spans="1:19" ht="14.15" customHeight="1">
      <c r="A62" s="617"/>
      <c r="B62" s="617"/>
      <c r="C62" s="617"/>
      <c r="D62" s="130" t="s">
        <v>21</v>
      </c>
      <c r="E62" s="318">
        <f t="shared" ref="E62:Q62" si="35">E3-E65</f>
        <v>36598064.190476194</v>
      </c>
      <c r="F62" s="318">
        <f t="shared" si="35"/>
        <v>36175956</v>
      </c>
      <c r="G62" s="318">
        <f t="shared" si="35"/>
        <v>37289937</v>
      </c>
      <c r="H62" s="318">
        <f t="shared" si="35"/>
        <v>37229902</v>
      </c>
      <c r="I62" s="318">
        <f t="shared" si="35"/>
        <v>36754193.966800436</v>
      </c>
      <c r="J62" s="318">
        <f t="shared" si="35"/>
        <v>36999217.840001166</v>
      </c>
      <c r="K62" s="318">
        <f t="shared" si="35"/>
        <v>38087958.46302449</v>
      </c>
      <c r="L62" s="318">
        <f t="shared" si="35"/>
        <v>36819954.243212014</v>
      </c>
      <c r="M62" s="318">
        <f t="shared" si="35"/>
        <v>38061630.853608951</v>
      </c>
      <c r="N62" s="318">
        <f t="shared" si="35"/>
        <v>37708551.361877978</v>
      </c>
      <c r="O62" s="318">
        <f t="shared" si="35"/>
        <v>36976148.854993984</v>
      </c>
      <c r="P62" s="64">
        <f t="shared" si="35"/>
        <v>37961867.333333328</v>
      </c>
      <c r="Q62" s="64">
        <f t="shared" si="35"/>
        <v>446663382.10732853</v>
      </c>
      <c r="S62" s="129"/>
    </row>
    <row r="63" spans="1:19" ht="14.15" customHeight="1">
      <c r="A63" s="618"/>
      <c r="B63" s="618"/>
      <c r="C63" s="618"/>
      <c r="D63" s="6" t="s">
        <v>22</v>
      </c>
      <c r="E63" s="319">
        <f>E61-E62</f>
        <v>9182566.809523806</v>
      </c>
      <c r="F63" s="319">
        <f t="shared" ref="F63:Q63" si="36">F61-F62</f>
        <v>8830501</v>
      </c>
      <c r="G63" s="319">
        <f t="shared" si="36"/>
        <v>8842601</v>
      </c>
      <c r="H63" s="319">
        <f t="shared" si="36"/>
        <v>10583155</v>
      </c>
      <c r="I63" s="319">
        <f t="shared" si="36"/>
        <v>8341592.0331995636</v>
      </c>
      <c r="J63" s="319">
        <f t="shared" si="36"/>
        <v>8965119.1599988341</v>
      </c>
      <c r="K63" s="319">
        <f t="shared" si="36"/>
        <v>10553886.53697551</v>
      </c>
      <c r="L63" s="319">
        <f t="shared" si="36"/>
        <v>7894182.7567879856</v>
      </c>
      <c r="M63" s="319">
        <f t="shared" si="36"/>
        <v>9443618.146391049</v>
      </c>
      <c r="N63" s="319">
        <f t="shared" si="36"/>
        <v>9334702.6381220222</v>
      </c>
      <c r="O63" s="319">
        <f t="shared" si="36"/>
        <v>8495248.1450060159</v>
      </c>
      <c r="P63" s="65">
        <f t="shared" si="36"/>
        <v>9857082</v>
      </c>
      <c r="Q63" s="65">
        <f t="shared" si="36"/>
        <v>110324255.22600472</v>
      </c>
      <c r="S63" s="129"/>
    </row>
    <row r="64" spans="1:19" ht="14.15" customHeight="1">
      <c r="A64" s="616" t="s">
        <v>132</v>
      </c>
      <c r="B64" s="616"/>
      <c r="C64" s="616"/>
      <c r="D64" s="128" t="s">
        <v>20</v>
      </c>
      <c r="E64" s="317">
        <f>E44+E47+E50</f>
        <v>10278180</v>
      </c>
      <c r="F64" s="317">
        <f t="shared" ref="F64:P64" si="37">F44+F47+F50</f>
        <v>10049551</v>
      </c>
      <c r="G64" s="317">
        <f t="shared" si="37"/>
        <v>10016605</v>
      </c>
      <c r="H64" s="317">
        <f t="shared" si="37"/>
        <v>10986220</v>
      </c>
      <c r="I64" s="317">
        <f t="shared" si="37"/>
        <v>10536555</v>
      </c>
      <c r="J64" s="317">
        <f t="shared" si="37"/>
        <v>11323026</v>
      </c>
      <c r="K64" s="317">
        <f t="shared" si="37"/>
        <v>13270079</v>
      </c>
      <c r="L64" s="317">
        <f t="shared" si="37"/>
        <v>10604206</v>
      </c>
      <c r="M64" s="317">
        <f t="shared" si="37"/>
        <v>11139557</v>
      </c>
      <c r="N64" s="317">
        <f t="shared" si="37"/>
        <v>12047791</v>
      </c>
      <c r="O64" s="317">
        <f t="shared" si="37"/>
        <v>11707170</v>
      </c>
      <c r="P64" s="63">
        <f t="shared" si="37"/>
        <v>12429323.888888888</v>
      </c>
      <c r="Q64" s="63">
        <f t="shared" ref="Q64:Q66" si="38">SUM(E64:P64)</f>
        <v>134388263.8888889</v>
      </c>
      <c r="S64" s="129"/>
    </row>
    <row r="65" spans="1:19" ht="14.15" customHeight="1">
      <c r="A65" s="617"/>
      <c r="B65" s="617"/>
      <c r="C65" s="617"/>
      <c r="D65" s="130" t="s">
        <v>21</v>
      </c>
      <c r="E65" s="318">
        <f>E45+E48+E51</f>
        <v>8403515</v>
      </c>
      <c r="F65" s="318">
        <f t="shared" ref="F65:P65" si="39">F45+F48+F51</f>
        <v>8127441</v>
      </c>
      <c r="G65" s="318">
        <f t="shared" si="39"/>
        <v>8343695</v>
      </c>
      <c r="H65" s="318">
        <f t="shared" si="39"/>
        <v>8806200</v>
      </c>
      <c r="I65" s="318">
        <f t="shared" si="39"/>
        <v>8897025</v>
      </c>
      <c r="J65" s="318">
        <f t="shared" si="39"/>
        <v>9512200</v>
      </c>
      <c r="K65" s="318">
        <f t="shared" si="39"/>
        <v>9380242</v>
      </c>
      <c r="L65" s="318">
        <f t="shared" si="39"/>
        <v>8533517</v>
      </c>
      <c r="M65" s="318">
        <f t="shared" si="39"/>
        <v>8812544</v>
      </c>
      <c r="N65" s="318">
        <f t="shared" si="39"/>
        <v>9363238</v>
      </c>
      <c r="O65" s="318">
        <f t="shared" si="39"/>
        <v>9281871</v>
      </c>
      <c r="P65" s="64">
        <f t="shared" si="39"/>
        <v>9645872.944444444</v>
      </c>
      <c r="Q65" s="64">
        <f t="shared" si="38"/>
        <v>107107360.94444445</v>
      </c>
      <c r="S65" s="129"/>
    </row>
    <row r="66" spans="1:19" ht="14.15" customHeight="1">
      <c r="A66" s="618"/>
      <c r="B66" s="618"/>
      <c r="C66" s="618"/>
      <c r="D66" s="6" t="s">
        <v>22</v>
      </c>
      <c r="E66" s="319">
        <f>E64-E65</f>
        <v>1874665</v>
      </c>
      <c r="F66" s="319">
        <f t="shared" ref="F66:P66" si="40">F64-F65</f>
        <v>1922110</v>
      </c>
      <c r="G66" s="319">
        <f t="shared" si="40"/>
        <v>1672910</v>
      </c>
      <c r="H66" s="319">
        <f t="shared" si="40"/>
        <v>2180020</v>
      </c>
      <c r="I66" s="319">
        <f t="shared" si="40"/>
        <v>1639530</v>
      </c>
      <c r="J66" s="319">
        <f t="shared" si="40"/>
        <v>1810826</v>
      </c>
      <c r="K66" s="319">
        <f t="shared" si="40"/>
        <v>3889837</v>
      </c>
      <c r="L66" s="319">
        <f t="shared" si="40"/>
        <v>2070689</v>
      </c>
      <c r="M66" s="319">
        <f t="shared" si="40"/>
        <v>2327013</v>
      </c>
      <c r="N66" s="319">
        <f t="shared" si="40"/>
        <v>2684553</v>
      </c>
      <c r="O66" s="319">
        <f t="shared" si="40"/>
        <v>2425299</v>
      </c>
      <c r="P66" s="65">
        <f t="shared" si="40"/>
        <v>2783450.944444444</v>
      </c>
      <c r="Q66" s="65">
        <f t="shared" si="38"/>
        <v>27280902.944444444</v>
      </c>
      <c r="S66" s="129"/>
    </row>
    <row r="67" spans="1:19" ht="14.15" customHeight="1">
      <c r="S67" s="129"/>
    </row>
    <row r="68" spans="1:19" ht="14.15" customHeight="1">
      <c r="S68" s="129"/>
    </row>
    <row r="69" spans="1:19" ht="14.15" customHeight="1">
      <c r="S69" s="129"/>
    </row>
    <row r="70" spans="1:19" ht="14.15" customHeight="1">
      <c r="S70" s="129"/>
    </row>
    <row r="71" spans="1:19" ht="14.15" customHeight="1">
      <c r="S71" s="129"/>
    </row>
    <row r="72" spans="1:19" ht="14.15" customHeight="1">
      <c r="S72" s="129"/>
    </row>
    <row r="73" spans="1:19" ht="14.15" customHeight="1">
      <c r="S73" s="129"/>
    </row>
    <row r="74" spans="1:19" ht="14.15" customHeight="1">
      <c r="S74" s="129"/>
    </row>
    <row r="75" spans="1:19" ht="14.15" customHeight="1">
      <c r="S75" s="129"/>
    </row>
    <row r="76" spans="1:19" ht="14.15" customHeight="1">
      <c r="S76" s="129"/>
    </row>
    <row r="77" spans="1:19" ht="14.15" customHeight="1">
      <c r="S77" s="129"/>
    </row>
    <row r="78" spans="1:19" ht="14.15" customHeight="1">
      <c r="S78" s="129"/>
    </row>
    <row r="79" spans="1:19" ht="14.15" customHeight="1">
      <c r="S79" s="129"/>
    </row>
    <row r="80" spans="1:19" ht="14.15" customHeight="1">
      <c r="S80" s="129"/>
    </row>
    <row r="81" spans="19:19" ht="14.15" customHeight="1">
      <c r="S81" s="129"/>
    </row>
    <row r="82" spans="19:19" ht="14.15" customHeight="1">
      <c r="S82" s="129"/>
    </row>
    <row r="83" spans="19:19" ht="14.15" customHeight="1">
      <c r="S83" s="129"/>
    </row>
    <row r="84" spans="19:19" ht="14.15" customHeight="1">
      <c r="S84" s="129"/>
    </row>
    <row r="85" spans="19:19" ht="14.15" customHeight="1">
      <c r="S85" s="129"/>
    </row>
    <row r="86" spans="19:19" ht="14.15" customHeight="1">
      <c r="S86" s="129"/>
    </row>
    <row r="87" spans="19:19" ht="14.15" customHeight="1">
      <c r="S87" s="129"/>
    </row>
    <row r="88" spans="19:19" ht="14.15" customHeight="1">
      <c r="S88" s="129"/>
    </row>
    <row r="89" spans="19:19" ht="14.15" customHeight="1">
      <c r="S89" s="129"/>
    </row>
    <row r="90" spans="19:19" ht="14.15" customHeight="1">
      <c r="S90" s="129"/>
    </row>
    <row r="91" spans="19:19" ht="14.15" customHeight="1">
      <c r="S91" s="129"/>
    </row>
    <row r="92" spans="19:19" ht="14.15" customHeight="1">
      <c r="S92" s="129"/>
    </row>
    <row r="93" spans="19:19" ht="14.15" customHeight="1">
      <c r="S93" s="129"/>
    </row>
    <row r="94" spans="19:19" ht="14.15" customHeight="1">
      <c r="S94" s="129"/>
    </row>
    <row r="95" spans="19:19" ht="14.15" customHeight="1">
      <c r="S95" s="129"/>
    </row>
    <row r="96" spans="19:19" ht="14.15" customHeight="1">
      <c r="S96" s="129"/>
    </row>
    <row r="97" spans="19:19" ht="14.15" customHeight="1">
      <c r="S97" s="129"/>
    </row>
    <row r="98" spans="19:19" ht="14.15" customHeight="1">
      <c r="S98" s="129"/>
    </row>
    <row r="99" spans="19:19" ht="14.15" customHeight="1">
      <c r="S99" s="129"/>
    </row>
    <row r="100" spans="19:19" ht="14.15" customHeight="1">
      <c r="S100" s="129"/>
    </row>
    <row r="101" spans="19:19" ht="14.15" customHeight="1">
      <c r="S101" s="129"/>
    </row>
    <row r="102" spans="19:19" ht="14.15" customHeight="1">
      <c r="S102" s="129"/>
    </row>
    <row r="103" spans="19:19" ht="14.15" customHeight="1">
      <c r="S103" s="129"/>
    </row>
    <row r="104" spans="19:19" ht="14.15" customHeight="1">
      <c r="S104" s="129"/>
    </row>
    <row r="105" spans="19:19" ht="14.15" customHeight="1">
      <c r="S105" s="129"/>
    </row>
    <row r="106" spans="19:19" ht="14.15" customHeight="1">
      <c r="S106" s="129"/>
    </row>
    <row r="107" spans="19:19" ht="14.15" customHeight="1">
      <c r="S107" s="129"/>
    </row>
    <row r="108" spans="19:19" ht="14.15" customHeight="1">
      <c r="S108" s="129"/>
    </row>
    <row r="109" spans="19:19" ht="14.15" customHeight="1">
      <c r="S109" s="129"/>
    </row>
    <row r="110" spans="19:19" ht="14.15" customHeight="1">
      <c r="S110" s="129"/>
    </row>
    <row r="111" spans="19:19" ht="14.15" customHeight="1">
      <c r="S111" s="129"/>
    </row>
    <row r="112" spans="19:19" ht="14.15" customHeight="1">
      <c r="S112" s="129"/>
    </row>
    <row r="113" spans="19:19" ht="14.15" customHeight="1">
      <c r="S113" s="129"/>
    </row>
    <row r="114" spans="19:19" ht="14.15" customHeight="1">
      <c r="S114" s="129"/>
    </row>
    <row r="115" spans="19:19" ht="14.15" customHeight="1">
      <c r="S115" s="129"/>
    </row>
    <row r="116" spans="19:19" ht="14.15" customHeight="1">
      <c r="S116" s="129"/>
    </row>
    <row r="117" spans="19:19" ht="14.15" customHeight="1">
      <c r="S117" s="129"/>
    </row>
    <row r="118" spans="19:19" ht="14.15" customHeight="1">
      <c r="S118" s="129"/>
    </row>
    <row r="119" spans="19:19" ht="14.15" customHeight="1">
      <c r="S119" s="129"/>
    </row>
    <row r="120" spans="19:19" ht="14.15" customHeight="1">
      <c r="S120" s="129"/>
    </row>
    <row r="121" spans="19:19" ht="14.15" customHeight="1">
      <c r="S121" s="129"/>
    </row>
    <row r="122" spans="19:19" ht="14.15" customHeight="1">
      <c r="S122" s="129"/>
    </row>
    <row r="123" spans="19:19" ht="14.15" customHeight="1">
      <c r="S123" s="129"/>
    </row>
    <row r="124" spans="19:19" ht="14.15" customHeight="1">
      <c r="S124" s="129"/>
    </row>
    <row r="125" spans="19:19" ht="14.15" customHeight="1">
      <c r="S125" s="129"/>
    </row>
    <row r="126" spans="19:19" ht="14.15" customHeight="1">
      <c r="S126" s="129"/>
    </row>
    <row r="127" spans="19:19" ht="14.15" customHeight="1">
      <c r="S127" s="129"/>
    </row>
    <row r="128" spans="19:19" ht="14.15" customHeight="1">
      <c r="S128" s="129"/>
    </row>
    <row r="129" spans="19:19" ht="14.15" customHeight="1">
      <c r="S129" s="129"/>
    </row>
    <row r="130" spans="19:19" ht="14.15" customHeight="1">
      <c r="S130" s="129"/>
    </row>
    <row r="131" spans="19:19" ht="14.15" customHeight="1">
      <c r="S131" s="129"/>
    </row>
    <row r="132" spans="19:19" ht="14.15" customHeight="1">
      <c r="S132" s="129"/>
    </row>
    <row r="133" spans="19:19" ht="14.15" customHeight="1">
      <c r="S133" s="129"/>
    </row>
    <row r="134" spans="19:19" ht="14.15" customHeight="1">
      <c r="S134" s="129"/>
    </row>
    <row r="135" spans="19:19" ht="14.15" customHeight="1">
      <c r="S135" s="129"/>
    </row>
    <row r="136" spans="19:19" ht="14.15" customHeight="1">
      <c r="S136" s="129"/>
    </row>
    <row r="137" spans="19:19" ht="14.15" customHeight="1">
      <c r="S137" s="129"/>
    </row>
    <row r="138" spans="19:19" ht="14.15" customHeight="1">
      <c r="S138" s="129"/>
    </row>
    <row r="139" spans="19:19" ht="14.15" customHeight="1">
      <c r="S139" s="129"/>
    </row>
    <row r="140" spans="19:19" ht="14.15" customHeight="1">
      <c r="S140" s="129"/>
    </row>
    <row r="141" spans="19:19" ht="14.15" customHeight="1">
      <c r="S141" s="129"/>
    </row>
    <row r="142" spans="19:19" ht="14.15" customHeight="1">
      <c r="S142" s="129"/>
    </row>
    <row r="143" spans="19:19" ht="14.15" customHeight="1">
      <c r="S143" s="129"/>
    </row>
    <row r="144" spans="19:19" ht="14.15" customHeight="1">
      <c r="S144" s="129"/>
    </row>
    <row r="145" spans="19:19" ht="14.15" customHeight="1">
      <c r="S145" s="129"/>
    </row>
    <row r="146" spans="19:19" ht="14.15" customHeight="1">
      <c r="S146" s="129"/>
    </row>
    <row r="147" spans="19:19" ht="14.15" customHeight="1">
      <c r="S147" s="129"/>
    </row>
    <row r="148" spans="19:19" ht="14.15" customHeight="1">
      <c r="S148" s="129"/>
    </row>
    <row r="149" spans="19:19" ht="14.15" customHeight="1">
      <c r="S149" s="129"/>
    </row>
    <row r="150" spans="19:19" ht="14.15" customHeight="1">
      <c r="S150" s="129"/>
    </row>
    <row r="151" spans="19:19" ht="14.15" customHeight="1">
      <c r="S151" s="129"/>
    </row>
    <row r="152" spans="19:19" ht="14.15" customHeight="1">
      <c r="S152" s="129"/>
    </row>
    <row r="153" spans="19:19" ht="14.15" customHeight="1">
      <c r="S153" s="129"/>
    </row>
    <row r="154" spans="19:19" ht="14.15" customHeight="1">
      <c r="S154" s="129"/>
    </row>
    <row r="155" spans="19:19" ht="14.15" customHeight="1">
      <c r="S155" s="129"/>
    </row>
    <row r="156" spans="19:19" ht="14.15" customHeight="1">
      <c r="S156" s="129"/>
    </row>
    <row r="157" spans="19:19" ht="14.15" customHeight="1">
      <c r="S157" s="129"/>
    </row>
    <row r="158" spans="19:19" ht="14.15" customHeight="1">
      <c r="S158" s="129"/>
    </row>
    <row r="159" spans="19:19" ht="14.15" customHeight="1">
      <c r="S159" s="129"/>
    </row>
    <row r="160" spans="19:19" ht="14.15" customHeight="1">
      <c r="S160" s="129"/>
    </row>
    <row r="161" spans="19:19" ht="14.15" customHeight="1">
      <c r="S161" s="129"/>
    </row>
    <row r="162" spans="19:19" ht="14.15" customHeight="1">
      <c r="S162" s="129"/>
    </row>
    <row r="163" spans="19:19" ht="14.15" customHeight="1">
      <c r="S163" s="129"/>
    </row>
    <row r="164" spans="19:19" ht="14.15" customHeight="1">
      <c r="S164" s="129"/>
    </row>
    <row r="165" spans="19:19" ht="14.15" customHeight="1">
      <c r="S165" s="129"/>
    </row>
    <row r="166" spans="19:19" ht="14.15" customHeight="1">
      <c r="S166" s="129"/>
    </row>
    <row r="167" spans="19:19" ht="14.15" customHeight="1">
      <c r="S167" s="129"/>
    </row>
    <row r="168" spans="19:19" ht="14.15" customHeight="1">
      <c r="S168" s="129"/>
    </row>
    <row r="169" spans="19:19" ht="14.15" customHeight="1">
      <c r="S169" s="129"/>
    </row>
    <row r="170" spans="19:19" ht="14.15" customHeight="1">
      <c r="S170" s="129"/>
    </row>
    <row r="171" spans="19:19" ht="14.15" customHeight="1">
      <c r="S171" s="129"/>
    </row>
    <row r="172" spans="19:19" ht="14.15" customHeight="1">
      <c r="S172" s="129"/>
    </row>
    <row r="173" spans="19:19" ht="14.15" customHeight="1">
      <c r="S173" s="129"/>
    </row>
    <row r="174" spans="19:19" ht="14.15" customHeight="1">
      <c r="S174" s="129"/>
    </row>
    <row r="175" spans="19:19" ht="14.15" customHeight="1">
      <c r="S175" s="129"/>
    </row>
  </sheetData>
  <mergeCells count="32">
    <mergeCell ref="A17:C19"/>
    <mergeCell ref="A20:C22"/>
    <mergeCell ref="E58:G58"/>
    <mergeCell ref="H58:J58"/>
    <mergeCell ref="K58:M58"/>
    <mergeCell ref="A26:C28"/>
    <mergeCell ref="A38:C40"/>
    <mergeCell ref="N58:P58"/>
    <mergeCell ref="E56:G56"/>
    <mergeCell ref="H56:J56"/>
    <mergeCell ref="K56:M56"/>
    <mergeCell ref="N56:P56"/>
    <mergeCell ref="E57:G57"/>
    <mergeCell ref="H57:J57"/>
    <mergeCell ref="K57:M57"/>
    <mergeCell ref="N57:P57"/>
    <mergeCell ref="A64:C66"/>
    <mergeCell ref="A61:C63"/>
    <mergeCell ref="A8:C10"/>
    <mergeCell ref="A47:C49"/>
    <mergeCell ref="A1:C1"/>
    <mergeCell ref="A2:C4"/>
    <mergeCell ref="A5:C7"/>
    <mergeCell ref="A35:C37"/>
    <mergeCell ref="A11:C13"/>
    <mergeCell ref="A44:C46"/>
    <mergeCell ref="A23:C25"/>
    <mergeCell ref="A32:C34"/>
    <mergeCell ref="A14:C16"/>
    <mergeCell ref="A29:C31"/>
    <mergeCell ref="A41:C43"/>
    <mergeCell ref="A50:C52"/>
  </mergeCells>
  <phoneticPr fontId="10"/>
  <printOptions horizontalCentered="1"/>
  <pageMargins left="0.70866141732283472" right="0.70866141732283472" top="0.74803149606299213" bottom="0.74803149606299213" header="0.31496062992125984" footer="0.31496062992125984"/>
  <pageSetup paperSize="9" scale="62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showGridLines="0" workbookViewId="0"/>
  </sheetViews>
  <sheetFormatPr defaultRowHeight="13"/>
  <sheetData/>
  <phoneticPr fontId="10"/>
  <pageMargins left="0.7" right="0.7" top="0.75" bottom="0.75" header="0.3" footer="0.3"/>
  <pageSetup paperSize="9" orientation="portrait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Z427"/>
  <sheetViews>
    <sheetView showGridLines="0" zoomScale="80" zoomScaleNormal="80" zoomScaleSheetLayoutView="70" workbookViewId="0">
      <pane xSplit="11" ySplit="4" topLeftCell="L5" activePane="bottomRight" state="frozen"/>
      <selection activeCell="I53" sqref="I53:I64"/>
      <selection pane="topRight" activeCell="I53" sqref="I53:I64"/>
      <selection pane="bottomLeft" activeCell="I53" sqref="I53:I64"/>
      <selection pane="bottomRight" activeCell="L6" sqref="L6:L87"/>
    </sheetView>
  </sheetViews>
  <sheetFormatPr defaultRowHeight="12"/>
  <cols>
    <col min="1" max="1" width="9.6328125" style="115" customWidth="1"/>
    <col min="2" max="2" width="11.90625" style="73" customWidth="1"/>
    <col min="3" max="3" width="6.36328125" style="9" customWidth="1"/>
    <col min="4" max="4" width="10.36328125" style="9" customWidth="1"/>
    <col min="5" max="5" width="5.08984375" style="9" customWidth="1"/>
    <col min="6" max="6" width="9.90625" style="127" customWidth="1"/>
    <col min="7" max="9" width="9.90625" style="9" customWidth="1"/>
    <col min="10" max="10" width="8.453125" style="9" customWidth="1"/>
    <col min="11" max="11" width="10.453125" style="9" customWidth="1"/>
    <col min="12" max="23" width="13.08984375" style="9" customWidth="1"/>
    <col min="24" max="24" width="16.453125" style="9" customWidth="1"/>
    <col min="25" max="25" width="9" style="2"/>
    <col min="26" max="26" width="10.90625" style="2" customWidth="1"/>
    <col min="27" max="259" width="9" style="2"/>
    <col min="260" max="260" width="9.6328125" style="2" customWidth="1"/>
    <col min="261" max="262" width="5.08984375" style="2" customWidth="1"/>
    <col min="263" max="263" width="9.6328125" style="2" customWidth="1"/>
    <col min="264" max="265" width="11.6328125" style="2" customWidth="1"/>
    <col min="266" max="266" width="15.36328125" style="2" customWidth="1"/>
    <col min="267" max="267" width="10.90625" style="2" customWidth="1"/>
    <col min="268" max="278" width="13.36328125" style="2" customWidth="1"/>
    <col min="279" max="279" width="13.6328125" style="2" customWidth="1"/>
    <col min="280" max="280" width="16.453125" style="2" customWidth="1"/>
    <col min="281" max="515" width="9" style="2"/>
    <col min="516" max="516" width="9.6328125" style="2" customWidth="1"/>
    <col min="517" max="518" width="5.08984375" style="2" customWidth="1"/>
    <col min="519" max="519" width="9.6328125" style="2" customWidth="1"/>
    <col min="520" max="521" width="11.6328125" style="2" customWidth="1"/>
    <col min="522" max="522" width="15.36328125" style="2" customWidth="1"/>
    <col min="523" max="523" width="10.90625" style="2" customWidth="1"/>
    <col min="524" max="534" width="13.36328125" style="2" customWidth="1"/>
    <col min="535" max="535" width="13.6328125" style="2" customWidth="1"/>
    <col min="536" max="536" width="16.453125" style="2" customWidth="1"/>
    <col min="537" max="771" width="9" style="2"/>
    <col min="772" max="772" width="9.6328125" style="2" customWidth="1"/>
    <col min="773" max="774" width="5.08984375" style="2" customWidth="1"/>
    <col min="775" max="775" width="9.6328125" style="2" customWidth="1"/>
    <col min="776" max="777" width="11.6328125" style="2" customWidth="1"/>
    <col min="778" max="778" width="15.36328125" style="2" customWidth="1"/>
    <col min="779" max="779" width="10.90625" style="2" customWidth="1"/>
    <col min="780" max="790" width="13.36328125" style="2" customWidth="1"/>
    <col min="791" max="791" width="13.6328125" style="2" customWidth="1"/>
    <col min="792" max="792" width="16.453125" style="2" customWidth="1"/>
    <col min="793" max="1027" width="9" style="2"/>
    <col min="1028" max="1028" width="9.6328125" style="2" customWidth="1"/>
    <col min="1029" max="1030" width="5.08984375" style="2" customWidth="1"/>
    <col min="1031" max="1031" width="9.6328125" style="2" customWidth="1"/>
    <col min="1032" max="1033" width="11.6328125" style="2" customWidth="1"/>
    <col min="1034" max="1034" width="15.36328125" style="2" customWidth="1"/>
    <col min="1035" max="1035" width="10.90625" style="2" customWidth="1"/>
    <col min="1036" max="1046" width="13.36328125" style="2" customWidth="1"/>
    <col min="1047" max="1047" width="13.6328125" style="2" customWidth="1"/>
    <col min="1048" max="1048" width="16.453125" style="2" customWidth="1"/>
    <col min="1049" max="1283" width="9" style="2"/>
    <col min="1284" max="1284" width="9.6328125" style="2" customWidth="1"/>
    <col min="1285" max="1286" width="5.08984375" style="2" customWidth="1"/>
    <col min="1287" max="1287" width="9.6328125" style="2" customWidth="1"/>
    <col min="1288" max="1289" width="11.6328125" style="2" customWidth="1"/>
    <col min="1290" max="1290" width="15.36328125" style="2" customWidth="1"/>
    <col min="1291" max="1291" width="10.90625" style="2" customWidth="1"/>
    <col min="1292" max="1302" width="13.36328125" style="2" customWidth="1"/>
    <col min="1303" max="1303" width="13.6328125" style="2" customWidth="1"/>
    <col min="1304" max="1304" width="16.453125" style="2" customWidth="1"/>
    <col min="1305" max="1539" width="9" style="2"/>
    <col min="1540" max="1540" width="9.6328125" style="2" customWidth="1"/>
    <col min="1541" max="1542" width="5.08984375" style="2" customWidth="1"/>
    <col min="1543" max="1543" width="9.6328125" style="2" customWidth="1"/>
    <col min="1544" max="1545" width="11.6328125" style="2" customWidth="1"/>
    <col min="1546" max="1546" width="15.36328125" style="2" customWidth="1"/>
    <col min="1547" max="1547" width="10.90625" style="2" customWidth="1"/>
    <col min="1548" max="1558" width="13.36328125" style="2" customWidth="1"/>
    <col min="1559" max="1559" width="13.6328125" style="2" customWidth="1"/>
    <col min="1560" max="1560" width="16.453125" style="2" customWidth="1"/>
    <col min="1561" max="1795" width="9" style="2"/>
    <col min="1796" max="1796" width="9.6328125" style="2" customWidth="1"/>
    <col min="1797" max="1798" width="5.08984375" style="2" customWidth="1"/>
    <col min="1799" max="1799" width="9.6328125" style="2" customWidth="1"/>
    <col min="1800" max="1801" width="11.6328125" style="2" customWidth="1"/>
    <col min="1802" max="1802" width="15.36328125" style="2" customWidth="1"/>
    <col min="1803" max="1803" width="10.90625" style="2" customWidth="1"/>
    <col min="1804" max="1814" width="13.36328125" style="2" customWidth="1"/>
    <col min="1815" max="1815" width="13.6328125" style="2" customWidth="1"/>
    <col min="1816" max="1816" width="16.453125" style="2" customWidth="1"/>
    <col min="1817" max="2051" width="9" style="2"/>
    <col min="2052" max="2052" width="9.6328125" style="2" customWidth="1"/>
    <col min="2053" max="2054" width="5.08984375" style="2" customWidth="1"/>
    <col min="2055" max="2055" width="9.6328125" style="2" customWidth="1"/>
    <col min="2056" max="2057" width="11.6328125" style="2" customWidth="1"/>
    <col min="2058" max="2058" width="15.36328125" style="2" customWidth="1"/>
    <col min="2059" max="2059" width="10.90625" style="2" customWidth="1"/>
    <col min="2060" max="2070" width="13.36328125" style="2" customWidth="1"/>
    <col min="2071" max="2071" width="13.6328125" style="2" customWidth="1"/>
    <col min="2072" max="2072" width="16.453125" style="2" customWidth="1"/>
    <col min="2073" max="2307" width="9" style="2"/>
    <col min="2308" max="2308" width="9.6328125" style="2" customWidth="1"/>
    <col min="2309" max="2310" width="5.08984375" style="2" customWidth="1"/>
    <col min="2311" max="2311" width="9.6328125" style="2" customWidth="1"/>
    <col min="2312" max="2313" width="11.6328125" style="2" customWidth="1"/>
    <col min="2314" max="2314" width="15.36328125" style="2" customWidth="1"/>
    <col min="2315" max="2315" width="10.90625" style="2" customWidth="1"/>
    <col min="2316" max="2326" width="13.36328125" style="2" customWidth="1"/>
    <col min="2327" max="2327" width="13.6328125" style="2" customWidth="1"/>
    <col min="2328" max="2328" width="16.453125" style="2" customWidth="1"/>
    <col min="2329" max="2563" width="9" style="2"/>
    <col min="2564" max="2564" width="9.6328125" style="2" customWidth="1"/>
    <col min="2565" max="2566" width="5.08984375" style="2" customWidth="1"/>
    <col min="2567" max="2567" width="9.6328125" style="2" customWidth="1"/>
    <col min="2568" max="2569" width="11.6328125" style="2" customWidth="1"/>
    <col min="2570" max="2570" width="15.36328125" style="2" customWidth="1"/>
    <col min="2571" max="2571" width="10.90625" style="2" customWidth="1"/>
    <col min="2572" max="2582" width="13.36328125" style="2" customWidth="1"/>
    <col min="2583" max="2583" width="13.6328125" style="2" customWidth="1"/>
    <col min="2584" max="2584" width="16.453125" style="2" customWidth="1"/>
    <col min="2585" max="2819" width="9" style="2"/>
    <col min="2820" max="2820" width="9.6328125" style="2" customWidth="1"/>
    <col min="2821" max="2822" width="5.08984375" style="2" customWidth="1"/>
    <col min="2823" max="2823" width="9.6328125" style="2" customWidth="1"/>
    <col min="2824" max="2825" width="11.6328125" style="2" customWidth="1"/>
    <col min="2826" max="2826" width="15.36328125" style="2" customWidth="1"/>
    <col min="2827" max="2827" width="10.90625" style="2" customWidth="1"/>
    <col min="2828" max="2838" width="13.36328125" style="2" customWidth="1"/>
    <col min="2839" max="2839" width="13.6328125" style="2" customWidth="1"/>
    <col min="2840" max="2840" width="16.453125" style="2" customWidth="1"/>
    <col min="2841" max="3075" width="9" style="2"/>
    <col min="3076" max="3076" width="9.6328125" style="2" customWidth="1"/>
    <col min="3077" max="3078" width="5.08984375" style="2" customWidth="1"/>
    <col min="3079" max="3079" width="9.6328125" style="2" customWidth="1"/>
    <col min="3080" max="3081" width="11.6328125" style="2" customWidth="1"/>
    <col min="3082" max="3082" width="15.36328125" style="2" customWidth="1"/>
    <col min="3083" max="3083" width="10.90625" style="2" customWidth="1"/>
    <col min="3084" max="3094" width="13.36328125" style="2" customWidth="1"/>
    <col min="3095" max="3095" width="13.6328125" style="2" customWidth="1"/>
    <col min="3096" max="3096" width="16.453125" style="2" customWidth="1"/>
    <col min="3097" max="3331" width="9" style="2"/>
    <col min="3332" max="3332" width="9.6328125" style="2" customWidth="1"/>
    <col min="3333" max="3334" width="5.08984375" style="2" customWidth="1"/>
    <col min="3335" max="3335" width="9.6328125" style="2" customWidth="1"/>
    <col min="3336" max="3337" width="11.6328125" style="2" customWidth="1"/>
    <col min="3338" max="3338" width="15.36328125" style="2" customWidth="1"/>
    <col min="3339" max="3339" width="10.90625" style="2" customWidth="1"/>
    <col min="3340" max="3350" width="13.36328125" style="2" customWidth="1"/>
    <col min="3351" max="3351" width="13.6328125" style="2" customWidth="1"/>
    <col min="3352" max="3352" width="16.453125" style="2" customWidth="1"/>
    <col min="3353" max="3587" width="9" style="2"/>
    <col min="3588" max="3588" width="9.6328125" style="2" customWidth="1"/>
    <col min="3589" max="3590" width="5.08984375" style="2" customWidth="1"/>
    <col min="3591" max="3591" width="9.6328125" style="2" customWidth="1"/>
    <col min="3592" max="3593" width="11.6328125" style="2" customWidth="1"/>
    <col min="3594" max="3594" width="15.36328125" style="2" customWidth="1"/>
    <col min="3595" max="3595" width="10.90625" style="2" customWidth="1"/>
    <col min="3596" max="3606" width="13.36328125" style="2" customWidth="1"/>
    <col min="3607" max="3607" width="13.6328125" style="2" customWidth="1"/>
    <col min="3608" max="3608" width="16.453125" style="2" customWidth="1"/>
    <col min="3609" max="3843" width="9" style="2"/>
    <col min="3844" max="3844" width="9.6328125" style="2" customWidth="1"/>
    <col min="3845" max="3846" width="5.08984375" style="2" customWidth="1"/>
    <col min="3847" max="3847" width="9.6328125" style="2" customWidth="1"/>
    <col min="3848" max="3849" width="11.6328125" style="2" customWidth="1"/>
    <col min="3850" max="3850" width="15.36328125" style="2" customWidth="1"/>
    <col min="3851" max="3851" width="10.90625" style="2" customWidth="1"/>
    <col min="3852" max="3862" width="13.36328125" style="2" customWidth="1"/>
    <col min="3863" max="3863" width="13.6328125" style="2" customWidth="1"/>
    <col min="3864" max="3864" width="16.453125" style="2" customWidth="1"/>
    <col min="3865" max="4099" width="9" style="2"/>
    <col min="4100" max="4100" width="9.6328125" style="2" customWidth="1"/>
    <col min="4101" max="4102" width="5.08984375" style="2" customWidth="1"/>
    <col min="4103" max="4103" width="9.6328125" style="2" customWidth="1"/>
    <col min="4104" max="4105" width="11.6328125" style="2" customWidth="1"/>
    <col min="4106" max="4106" width="15.36328125" style="2" customWidth="1"/>
    <col min="4107" max="4107" width="10.90625" style="2" customWidth="1"/>
    <col min="4108" max="4118" width="13.36328125" style="2" customWidth="1"/>
    <col min="4119" max="4119" width="13.6328125" style="2" customWidth="1"/>
    <col min="4120" max="4120" width="16.453125" style="2" customWidth="1"/>
    <col min="4121" max="4355" width="9" style="2"/>
    <col min="4356" max="4356" width="9.6328125" style="2" customWidth="1"/>
    <col min="4357" max="4358" width="5.08984375" style="2" customWidth="1"/>
    <col min="4359" max="4359" width="9.6328125" style="2" customWidth="1"/>
    <col min="4360" max="4361" width="11.6328125" style="2" customWidth="1"/>
    <col min="4362" max="4362" width="15.36328125" style="2" customWidth="1"/>
    <col min="4363" max="4363" width="10.90625" style="2" customWidth="1"/>
    <col min="4364" max="4374" width="13.36328125" style="2" customWidth="1"/>
    <col min="4375" max="4375" width="13.6328125" style="2" customWidth="1"/>
    <col min="4376" max="4376" width="16.453125" style="2" customWidth="1"/>
    <col min="4377" max="4611" width="9" style="2"/>
    <col min="4612" max="4612" width="9.6328125" style="2" customWidth="1"/>
    <col min="4613" max="4614" width="5.08984375" style="2" customWidth="1"/>
    <col min="4615" max="4615" width="9.6328125" style="2" customWidth="1"/>
    <col min="4616" max="4617" width="11.6328125" style="2" customWidth="1"/>
    <col min="4618" max="4618" width="15.36328125" style="2" customWidth="1"/>
    <col min="4619" max="4619" width="10.90625" style="2" customWidth="1"/>
    <col min="4620" max="4630" width="13.36328125" style="2" customWidth="1"/>
    <col min="4631" max="4631" width="13.6328125" style="2" customWidth="1"/>
    <col min="4632" max="4632" width="16.453125" style="2" customWidth="1"/>
    <col min="4633" max="4867" width="9" style="2"/>
    <col min="4868" max="4868" width="9.6328125" style="2" customWidth="1"/>
    <col min="4869" max="4870" width="5.08984375" style="2" customWidth="1"/>
    <col min="4871" max="4871" width="9.6328125" style="2" customWidth="1"/>
    <col min="4872" max="4873" width="11.6328125" style="2" customWidth="1"/>
    <col min="4874" max="4874" width="15.36328125" style="2" customWidth="1"/>
    <col min="4875" max="4875" width="10.90625" style="2" customWidth="1"/>
    <col min="4876" max="4886" width="13.36328125" style="2" customWidth="1"/>
    <col min="4887" max="4887" width="13.6328125" style="2" customWidth="1"/>
    <col min="4888" max="4888" width="16.453125" style="2" customWidth="1"/>
    <col min="4889" max="5123" width="9" style="2"/>
    <col min="5124" max="5124" width="9.6328125" style="2" customWidth="1"/>
    <col min="5125" max="5126" width="5.08984375" style="2" customWidth="1"/>
    <col min="5127" max="5127" width="9.6328125" style="2" customWidth="1"/>
    <col min="5128" max="5129" width="11.6328125" style="2" customWidth="1"/>
    <col min="5130" max="5130" width="15.36328125" style="2" customWidth="1"/>
    <col min="5131" max="5131" width="10.90625" style="2" customWidth="1"/>
    <col min="5132" max="5142" width="13.36328125" style="2" customWidth="1"/>
    <col min="5143" max="5143" width="13.6328125" style="2" customWidth="1"/>
    <col min="5144" max="5144" width="16.453125" style="2" customWidth="1"/>
    <col min="5145" max="5379" width="9" style="2"/>
    <col min="5380" max="5380" width="9.6328125" style="2" customWidth="1"/>
    <col min="5381" max="5382" width="5.08984375" style="2" customWidth="1"/>
    <col min="5383" max="5383" width="9.6328125" style="2" customWidth="1"/>
    <col min="5384" max="5385" width="11.6328125" style="2" customWidth="1"/>
    <col min="5386" max="5386" width="15.36328125" style="2" customWidth="1"/>
    <col min="5387" max="5387" width="10.90625" style="2" customWidth="1"/>
    <col min="5388" max="5398" width="13.36328125" style="2" customWidth="1"/>
    <col min="5399" max="5399" width="13.6328125" style="2" customWidth="1"/>
    <col min="5400" max="5400" width="16.453125" style="2" customWidth="1"/>
    <col min="5401" max="5635" width="9" style="2"/>
    <col min="5636" max="5636" width="9.6328125" style="2" customWidth="1"/>
    <col min="5637" max="5638" width="5.08984375" style="2" customWidth="1"/>
    <col min="5639" max="5639" width="9.6328125" style="2" customWidth="1"/>
    <col min="5640" max="5641" width="11.6328125" style="2" customWidth="1"/>
    <col min="5642" max="5642" width="15.36328125" style="2" customWidth="1"/>
    <col min="5643" max="5643" width="10.90625" style="2" customWidth="1"/>
    <col min="5644" max="5654" width="13.36328125" style="2" customWidth="1"/>
    <col min="5655" max="5655" width="13.6328125" style="2" customWidth="1"/>
    <col min="5656" max="5656" width="16.453125" style="2" customWidth="1"/>
    <col min="5657" max="5891" width="9" style="2"/>
    <col min="5892" max="5892" width="9.6328125" style="2" customWidth="1"/>
    <col min="5893" max="5894" width="5.08984375" style="2" customWidth="1"/>
    <col min="5895" max="5895" width="9.6328125" style="2" customWidth="1"/>
    <col min="5896" max="5897" width="11.6328125" style="2" customWidth="1"/>
    <col min="5898" max="5898" width="15.36328125" style="2" customWidth="1"/>
    <col min="5899" max="5899" width="10.90625" style="2" customWidth="1"/>
    <col min="5900" max="5910" width="13.36328125" style="2" customWidth="1"/>
    <col min="5911" max="5911" width="13.6328125" style="2" customWidth="1"/>
    <col min="5912" max="5912" width="16.453125" style="2" customWidth="1"/>
    <col min="5913" max="6147" width="9" style="2"/>
    <col min="6148" max="6148" width="9.6328125" style="2" customWidth="1"/>
    <col min="6149" max="6150" width="5.08984375" style="2" customWidth="1"/>
    <col min="6151" max="6151" width="9.6328125" style="2" customWidth="1"/>
    <col min="6152" max="6153" width="11.6328125" style="2" customWidth="1"/>
    <col min="6154" max="6154" width="15.36328125" style="2" customWidth="1"/>
    <col min="6155" max="6155" width="10.90625" style="2" customWidth="1"/>
    <col min="6156" max="6166" width="13.36328125" style="2" customWidth="1"/>
    <col min="6167" max="6167" width="13.6328125" style="2" customWidth="1"/>
    <col min="6168" max="6168" width="16.453125" style="2" customWidth="1"/>
    <col min="6169" max="6403" width="9" style="2"/>
    <col min="6404" max="6404" width="9.6328125" style="2" customWidth="1"/>
    <col min="6405" max="6406" width="5.08984375" style="2" customWidth="1"/>
    <col min="6407" max="6407" width="9.6328125" style="2" customWidth="1"/>
    <col min="6408" max="6409" width="11.6328125" style="2" customWidth="1"/>
    <col min="6410" max="6410" width="15.36328125" style="2" customWidth="1"/>
    <col min="6411" max="6411" width="10.90625" style="2" customWidth="1"/>
    <col min="6412" max="6422" width="13.36328125" style="2" customWidth="1"/>
    <col min="6423" max="6423" width="13.6328125" style="2" customWidth="1"/>
    <col min="6424" max="6424" width="16.453125" style="2" customWidth="1"/>
    <col min="6425" max="6659" width="9" style="2"/>
    <col min="6660" max="6660" width="9.6328125" style="2" customWidth="1"/>
    <col min="6661" max="6662" width="5.08984375" style="2" customWidth="1"/>
    <col min="6663" max="6663" width="9.6328125" style="2" customWidth="1"/>
    <col min="6664" max="6665" width="11.6328125" style="2" customWidth="1"/>
    <col min="6666" max="6666" width="15.36328125" style="2" customWidth="1"/>
    <col min="6667" max="6667" width="10.90625" style="2" customWidth="1"/>
    <col min="6668" max="6678" width="13.36328125" style="2" customWidth="1"/>
    <col min="6679" max="6679" width="13.6328125" style="2" customWidth="1"/>
    <col min="6680" max="6680" width="16.453125" style="2" customWidth="1"/>
    <col min="6681" max="6915" width="9" style="2"/>
    <col min="6916" max="6916" width="9.6328125" style="2" customWidth="1"/>
    <col min="6917" max="6918" width="5.08984375" style="2" customWidth="1"/>
    <col min="6919" max="6919" width="9.6328125" style="2" customWidth="1"/>
    <col min="6920" max="6921" width="11.6328125" style="2" customWidth="1"/>
    <col min="6922" max="6922" width="15.36328125" style="2" customWidth="1"/>
    <col min="6923" max="6923" width="10.90625" style="2" customWidth="1"/>
    <col min="6924" max="6934" width="13.36328125" style="2" customWidth="1"/>
    <col min="6935" max="6935" width="13.6328125" style="2" customWidth="1"/>
    <col min="6936" max="6936" width="16.453125" style="2" customWidth="1"/>
    <col min="6937" max="7171" width="9" style="2"/>
    <col min="7172" max="7172" width="9.6328125" style="2" customWidth="1"/>
    <col min="7173" max="7174" width="5.08984375" style="2" customWidth="1"/>
    <col min="7175" max="7175" width="9.6328125" style="2" customWidth="1"/>
    <col min="7176" max="7177" width="11.6328125" style="2" customWidth="1"/>
    <col min="7178" max="7178" width="15.36328125" style="2" customWidth="1"/>
    <col min="7179" max="7179" width="10.90625" style="2" customWidth="1"/>
    <col min="7180" max="7190" width="13.36328125" style="2" customWidth="1"/>
    <col min="7191" max="7191" width="13.6328125" style="2" customWidth="1"/>
    <col min="7192" max="7192" width="16.453125" style="2" customWidth="1"/>
    <col min="7193" max="7427" width="9" style="2"/>
    <col min="7428" max="7428" width="9.6328125" style="2" customWidth="1"/>
    <col min="7429" max="7430" width="5.08984375" style="2" customWidth="1"/>
    <col min="7431" max="7431" width="9.6328125" style="2" customWidth="1"/>
    <col min="7432" max="7433" width="11.6328125" style="2" customWidth="1"/>
    <col min="7434" max="7434" width="15.36328125" style="2" customWidth="1"/>
    <col min="7435" max="7435" width="10.90625" style="2" customWidth="1"/>
    <col min="7436" max="7446" width="13.36328125" style="2" customWidth="1"/>
    <col min="7447" max="7447" width="13.6328125" style="2" customWidth="1"/>
    <col min="7448" max="7448" width="16.453125" style="2" customWidth="1"/>
    <col min="7449" max="7683" width="9" style="2"/>
    <col min="7684" max="7684" width="9.6328125" style="2" customWidth="1"/>
    <col min="7685" max="7686" width="5.08984375" style="2" customWidth="1"/>
    <col min="7687" max="7687" width="9.6328125" style="2" customWidth="1"/>
    <col min="7688" max="7689" width="11.6328125" style="2" customWidth="1"/>
    <col min="7690" max="7690" width="15.36328125" style="2" customWidth="1"/>
    <col min="7691" max="7691" width="10.90625" style="2" customWidth="1"/>
    <col min="7692" max="7702" width="13.36328125" style="2" customWidth="1"/>
    <col min="7703" max="7703" width="13.6328125" style="2" customWidth="1"/>
    <col min="7704" max="7704" width="16.453125" style="2" customWidth="1"/>
    <col min="7705" max="7939" width="9" style="2"/>
    <col min="7940" max="7940" width="9.6328125" style="2" customWidth="1"/>
    <col min="7941" max="7942" width="5.08984375" style="2" customWidth="1"/>
    <col min="7943" max="7943" width="9.6328125" style="2" customWidth="1"/>
    <col min="7944" max="7945" width="11.6328125" style="2" customWidth="1"/>
    <col min="7946" max="7946" width="15.36328125" style="2" customWidth="1"/>
    <col min="7947" max="7947" width="10.90625" style="2" customWidth="1"/>
    <col min="7948" max="7958" width="13.36328125" style="2" customWidth="1"/>
    <col min="7959" max="7959" width="13.6328125" style="2" customWidth="1"/>
    <col min="7960" max="7960" width="16.453125" style="2" customWidth="1"/>
    <col min="7961" max="8195" width="9" style="2"/>
    <col min="8196" max="8196" width="9.6328125" style="2" customWidth="1"/>
    <col min="8197" max="8198" width="5.08984375" style="2" customWidth="1"/>
    <col min="8199" max="8199" width="9.6328125" style="2" customWidth="1"/>
    <col min="8200" max="8201" width="11.6328125" style="2" customWidth="1"/>
    <col min="8202" max="8202" width="15.36328125" style="2" customWidth="1"/>
    <col min="8203" max="8203" width="10.90625" style="2" customWidth="1"/>
    <col min="8204" max="8214" width="13.36328125" style="2" customWidth="1"/>
    <col min="8215" max="8215" width="13.6328125" style="2" customWidth="1"/>
    <col min="8216" max="8216" width="16.453125" style="2" customWidth="1"/>
    <col min="8217" max="8451" width="9" style="2"/>
    <col min="8452" max="8452" width="9.6328125" style="2" customWidth="1"/>
    <col min="8453" max="8454" width="5.08984375" style="2" customWidth="1"/>
    <col min="8455" max="8455" width="9.6328125" style="2" customWidth="1"/>
    <col min="8456" max="8457" width="11.6328125" style="2" customWidth="1"/>
    <col min="8458" max="8458" width="15.36328125" style="2" customWidth="1"/>
    <col min="8459" max="8459" width="10.90625" style="2" customWidth="1"/>
    <col min="8460" max="8470" width="13.36328125" style="2" customWidth="1"/>
    <col min="8471" max="8471" width="13.6328125" style="2" customWidth="1"/>
    <col min="8472" max="8472" width="16.453125" style="2" customWidth="1"/>
    <col min="8473" max="8707" width="9" style="2"/>
    <col min="8708" max="8708" width="9.6328125" style="2" customWidth="1"/>
    <col min="8709" max="8710" width="5.08984375" style="2" customWidth="1"/>
    <col min="8711" max="8711" width="9.6328125" style="2" customWidth="1"/>
    <col min="8712" max="8713" width="11.6328125" style="2" customWidth="1"/>
    <col min="8714" max="8714" width="15.36328125" style="2" customWidth="1"/>
    <col min="8715" max="8715" width="10.90625" style="2" customWidth="1"/>
    <col min="8716" max="8726" width="13.36328125" style="2" customWidth="1"/>
    <col min="8727" max="8727" width="13.6328125" style="2" customWidth="1"/>
    <col min="8728" max="8728" width="16.453125" style="2" customWidth="1"/>
    <col min="8729" max="8963" width="9" style="2"/>
    <col min="8964" max="8964" width="9.6328125" style="2" customWidth="1"/>
    <col min="8965" max="8966" width="5.08984375" style="2" customWidth="1"/>
    <col min="8967" max="8967" width="9.6328125" style="2" customWidth="1"/>
    <col min="8968" max="8969" width="11.6328125" style="2" customWidth="1"/>
    <col min="8970" max="8970" width="15.36328125" style="2" customWidth="1"/>
    <col min="8971" max="8971" width="10.90625" style="2" customWidth="1"/>
    <col min="8972" max="8982" width="13.36328125" style="2" customWidth="1"/>
    <col min="8983" max="8983" width="13.6328125" style="2" customWidth="1"/>
    <col min="8984" max="8984" width="16.453125" style="2" customWidth="1"/>
    <col min="8985" max="9219" width="9" style="2"/>
    <col min="9220" max="9220" width="9.6328125" style="2" customWidth="1"/>
    <col min="9221" max="9222" width="5.08984375" style="2" customWidth="1"/>
    <col min="9223" max="9223" width="9.6328125" style="2" customWidth="1"/>
    <col min="9224" max="9225" width="11.6328125" style="2" customWidth="1"/>
    <col min="9226" max="9226" width="15.36328125" style="2" customWidth="1"/>
    <col min="9227" max="9227" width="10.90625" style="2" customWidth="1"/>
    <col min="9228" max="9238" width="13.36328125" style="2" customWidth="1"/>
    <col min="9239" max="9239" width="13.6328125" style="2" customWidth="1"/>
    <col min="9240" max="9240" width="16.453125" style="2" customWidth="1"/>
    <col min="9241" max="9475" width="9" style="2"/>
    <col min="9476" max="9476" width="9.6328125" style="2" customWidth="1"/>
    <col min="9477" max="9478" width="5.08984375" style="2" customWidth="1"/>
    <col min="9479" max="9479" width="9.6328125" style="2" customWidth="1"/>
    <col min="9480" max="9481" width="11.6328125" style="2" customWidth="1"/>
    <col min="9482" max="9482" width="15.36328125" style="2" customWidth="1"/>
    <col min="9483" max="9483" width="10.90625" style="2" customWidth="1"/>
    <col min="9484" max="9494" width="13.36328125" style="2" customWidth="1"/>
    <col min="9495" max="9495" width="13.6328125" style="2" customWidth="1"/>
    <col min="9496" max="9496" width="16.453125" style="2" customWidth="1"/>
    <col min="9497" max="9731" width="9" style="2"/>
    <col min="9732" max="9732" width="9.6328125" style="2" customWidth="1"/>
    <col min="9733" max="9734" width="5.08984375" style="2" customWidth="1"/>
    <col min="9735" max="9735" width="9.6328125" style="2" customWidth="1"/>
    <col min="9736" max="9737" width="11.6328125" style="2" customWidth="1"/>
    <col min="9738" max="9738" width="15.36328125" style="2" customWidth="1"/>
    <col min="9739" max="9739" width="10.90625" style="2" customWidth="1"/>
    <col min="9740" max="9750" width="13.36328125" style="2" customWidth="1"/>
    <col min="9751" max="9751" width="13.6328125" style="2" customWidth="1"/>
    <col min="9752" max="9752" width="16.453125" style="2" customWidth="1"/>
    <col min="9753" max="9987" width="9" style="2"/>
    <col min="9988" max="9988" width="9.6328125" style="2" customWidth="1"/>
    <col min="9989" max="9990" width="5.08984375" style="2" customWidth="1"/>
    <col min="9991" max="9991" width="9.6328125" style="2" customWidth="1"/>
    <col min="9992" max="9993" width="11.6328125" style="2" customWidth="1"/>
    <col min="9994" max="9994" width="15.36328125" style="2" customWidth="1"/>
    <col min="9995" max="9995" width="10.90625" style="2" customWidth="1"/>
    <col min="9996" max="10006" width="13.36328125" style="2" customWidth="1"/>
    <col min="10007" max="10007" width="13.6328125" style="2" customWidth="1"/>
    <col min="10008" max="10008" width="16.453125" style="2" customWidth="1"/>
    <col min="10009" max="10243" width="9" style="2"/>
    <col min="10244" max="10244" width="9.6328125" style="2" customWidth="1"/>
    <col min="10245" max="10246" width="5.08984375" style="2" customWidth="1"/>
    <col min="10247" max="10247" width="9.6328125" style="2" customWidth="1"/>
    <col min="10248" max="10249" width="11.6328125" style="2" customWidth="1"/>
    <col min="10250" max="10250" width="15.36328125" style="2" customWidth="1"/>
    <col min="10251" max="10251" width="10.90625" style="2" customWidth="1"/>
    <col min="10252" max="10262" width="13.36328125" style="2" customWidth="1"/>
    <col min="10263" max="10263" width="13.6328125" style="2" customWidth="1"/>
    <col min="10264" max="10264" width="16.453125" style="2" customWidth="1"/>
    <col min="10265" max="10499" width="9" style="2"/>
    <col min="10500" max="10500" width="9.6328125" style="2" customWidth="1"/>
    <col min="10501" max="10502" width="5.08984375" style="2" customWidth="1"/>
    <col min="10503" max="10503" width="9.6328125" style="2" customWidth="1"/>
    <col min="10504" max="10505" width="11.6328125" style="2" customWidth="1"/>
    <col min="10506" max="10506" width="15.36328125" style="2" customWidth="1"/>
    <col min="10507" max="10507" width="10.90625" style="2" customWidth="1"/>
    <col min="10508" max="10518" width="13.36328125" style="2" customWidth="1"/>
    <col min="10519" max="10519" width="13.6328125" style="2" customWidth="1"/>
    <col min="10520" max="10520" width="16.453125" style="2" customWidth="1"/>
    <col min="10521" max="10755" width="9" style="2"/>
    <col min="10756" max="10756" width="9.6328125" style="2" customWidth="1"/>
    <col min="10757" max="10758" width="5.08984375" style="2" customWidth="1"/>
    <col min="10759" max="10759" width="9.6328125" style="2" customWidth="1"/>
    <col min="10760" max="10761" width="11.6328125" style="2" customWidth="1"/>
    <col min="10762" max="10762" width="15.36328125" style="2" customWidth="1"/>
    <col min="10763" max="10763" width="10.90625" style="2" customWidth="1"/>
    <col min="10764" max="10774" width="13.36328125" style="2" customWidth="1"/>
    <col min="10775" max="10775" width="13.6328125" style="2" customWidth="1"/>
    <col min="10776" max="10776" width="16.453125" style="2" customWidth="1"/>
    <col min="10777" max="11011" width="9" style="2"/>
    <col min="11012" max="11012" width="9.6328125" style="2" customWidth="1"/>
    <col min="11013" max="11014" width="5.08984375" style="2" customWidth="1"/>
    <col min="11015" max="11015" width="9.6328125" style="2" customWidth="1"/>
    <col min="11016" max="11017" width="11.6328125" style="2" customWidth="1"/>
    <col min="11018" max="11018" width="15.36328125" style="2" customWidth="1"/>
    <col min="11019" max="11019" width="10.90625" style="2" customWidth="1"/>
    <col min="11020" max="11030" width="13.36328125" style="2" customWidth="1"/>
    <col min="11031" max="11031" width="13.6328125" style="2" customWidth="1"/>
    <col min="11032" max="11032" width="16.453125" style="2" customWidth="1"/>
    <col min="11033" max="11267" width="9" style="2"/>
    <col min="11268" max="11268" width="9.6328125" style="2" customWidth="1"/>
    <col min="11269" max="11270" width="5.08984375" style="2" customWidth="1"/>
    <col min="11271" max="11271" width="9.6328125" style="2" customWidth="1"/>
    <col min="11272" max="11273" width="11.6328125" style="2" customWidth="1"/>
    <col min="11274" max="11274" width="15.36328125" style="2" customWidth="1"/>
    <col min="11275" max="11275" width="10.90625" style="2" customWidth="1"/>
    <col min="11276" max="11286" width="13.36328125" style="2" customWidth="1"/>
    <col min="11287" max="11287" width="13.6328125" style="2" customWidth="1"/>
    <col min="11288" max="11288" width="16.453125" style="2" customWidth="1"/>
    <col min="11289" max="11523" width="9" style="2"/>
    <col min="11524" max="11524" width="9.6328125" style="2" customWidth="1"/>
    <col min="11525" max="11526" width="5.08984375" style="2" customWidth="1"/>
    <col min="11527" max="11527" width="9.6328125" style="2" customWidth="1"/>
    <col min="11528" max="11529" width="11.6328125" style="2" customWidth="1"/>
    <col min="11530" max="11530" width="15.36328125" style="2" customWidth="1"/>
    <col min="11531" max="11531" width="10.90625" style="2" customWidth="1"/>
    <col min="11532" max="11542" width="13.36328125" style="2" customWidth="1"/>
    <col min="11543" max="11543" width="13.6328125" style="2" customWidth="1"/>
    <col min="11544" max="11544" width="16.453125" style="2" customWidth="1"/>
    <col min="11545" max="11779" width="9" style="2"/>
    <col min="11780" max="11780" width="9.6328125" style="2" customWidth="1"/>
    <col min="11781" max="11782" width="5.08984375" style="2" customWidth="1"/>
    <col min="11783" max="11783" width="9.6328125" style="2" customWidth="1"/>
    <col min="11784" max="11785" width="11.6328125" style="2" customWidth="1"/>
    <col min="11786" max="11786" width="15.36328125" style="2" customWidth="1"/>
    <col min="11787" max="11787" width="10.90625" style="2" customWidth="1"/>
    <col min="11788" max="11798" width="13.36328125" style="2" customWidth="1"/>
    <col min="11799" max="11799" width="13.6328125" style="2" customWidth="1"/>
    <col min="11800" max="11800" width="16.453125" style="2" customWidth="1"/>
    <col min="11801" max="12035" width="9" style="2"/>
    <col min="12036" max="12036" width="9.6328125" style="2" customWidth="1"/>
    <col min="12037" max="12038" width="5.08984375" style="2" customWidth="1"/>
    <col min="12039" max="12039" width="9.6328125" style="2" customWidth="1"/>
    <col min="12040" max="12041" width="11.6328125" style="2" customWidth="1"/>
    <col min="12042" max="12042" width="15.36328125" style="2" customWidth="1"/>
    <col min="12043" max="12043" width="10.90625" style="2" customWidth="1"/>
    <col min="12044" max="12054" width="13.36328125" style="2" customWidth="1"/>
    <col min="12055" max="12055" width="13.6328125" style="2" customWidth="1"/>
    <col min="12056" max="12056" width="16.453125" style="2" customWidth="1"/>
    <col min="12057" max="12291" width="9" style="2"/>
    <col min="12292" max="12292" width="9.6328125" style="2" customWidth="1"/>
    <col min="12293" max="12294" width="5.08984375" style="2" customWidth="1"/>
    <col min="12295" max="12295" width="9.6328125" style="2" customWidth="1"/>
    <col min="12296" max="12297" width="11.6328125" style="2" customWidth="1"/>
    <col min="12298" max="12298" width="15.36328125" style="2" customWidth="1"/>
    <col min="12299" max="12299" width="10.90625" style="2" customWidth="1"/>
    <col min="12300" max="12310" width="13.36328125" style="2" customWidth="1"/>
    <col min="12311" max="12311" width="13.6328125" style="2" customWidth="1"/>
    <col min="12312" max="12312" width="16.453125" style="2" customWidth="1"/>
    <col min="12313" max="12547" width="9" style="2"/>
    <col min="12548" max="12548" width="9.6328125" style="2" customWidth="1"/>
    <col min="12549" max="12550" width="5.08984375" style="2" customWidth="1"/>
    <col min="12551" max="12551" width="9.6328125" style="2" customWidth="1"/>
    <col min="12552" max="12553" width="11.6328125" style="2" customWidth="1"/>
    <col min="12554" max="12554" width="15.36328125" style="2" customWidth="1"/>
    <col min="12555" max="12555" width="10.90625" style="2" customWidth="1"/>
    <col min="12556" max="12566" width="13.36328125" style="2" customWidth="1"/>
    <col min="12567" max="12567" width="13.6328125" style="2" customWidth="1"/>
    <col min="12568" max="12568" width="16.453125" style="2" customWidth="1"/>
    <col min="12569" max="12803" width="9" style="2"/>
    <col min="12804" max="12804" width="9.6328125" style="2" customWidth="1"/>
    <col min="12805" max="12806" width="5.08984375" style="2" customWidth="1"/>
    <col min="12807" max="12807" width="9.6328125" style="2" customWidth="1"/>
    <col min="12808" max="12809" width="11.6328125" style="2" customWidth="1"/>
    <col min="12810" max="12810" width="15.36328125" style="2" customWidth="1"/>
    <col min="12811" max="12811" width="10.90625" style="2" customWidth="1"/>
    <col min="12812" max="12822" width="13.36328125" style="2" customWidth="1"/>
    <col min="12823" max="12823" width="13.6328125" style="2" customWidth="1"/>
    <col min="12824" max="12824" width="16.453125" style="2" customWidth="1"/>
    <col min="12825" max="13059" width="9" style="2"/>
    <col min="13060" max="13060" width="9.6328125" style="2" customWidth="1"/>
    <col min="13061" max="13062" width="5.08984375" style="2" customWidth="1"/>
    <col min="13063" max="13063" width="9.6328125" style="2" customWidth="1"/>
    <col min="13064" max="13065" width="11.6328125" style="2" customWidth="1"/>
    <col min="13066" max="13066" width="15.36328125" style="2" customWidth="1"/>
    <col min="13067" max="13067" width="10.90625" style="2" customWidth="1"/>
    <col min="13068" max="13078" width="13.36328125" style="2" customWidth="1"/>
    <col min="13079" max="13079" width="13.6328125" style="2" customWidth="1"/>
    <col min="13080" max="13080" width="16.453125" style="2" customWidth="1"/>
    <col min="13081" max="13315" width="9" style="2"/>
    <col min="13316" max="13316" width="9.6328125" style="2" customWidth="1"/>
    <col min="13317" max="13318" width="5.08984375" style="2" customWidth="1"/>
    <col min="13319" max="13319" width="9.6328125" style="2" customWidth="1"/>
    <col min="13320" max="13321" width="11.6328125" style="2" customWidth="1"/>
    <col min="13322" max="13322" width="15.36328125" style="2" customWidth="1"/>
    <col min="13323" max="13323" width="10.90625" style="2" customWidth="1"/>
    <col min="13324" max="13334" width="13.36328125" style="2" customWidth="1"/>
    <col min="13335" max="13335" width="13.6328125" style="2" customWidth="1"/>
    <col min="13336" max="13336" width="16.453125" style="2" customWidth="1"/>
    <col min="13337" max="13571" width="9" style="2"/>
    <col min="13572" max="13572" width="9.6328125" style="2" customWidth="1"/>
    <col min="13573" max="13574" width="5.08984375" style="2" customWidth="1"/>
    <col min="13575" max="13575" width="9.6328125" style="2" customWidth="1"/>
    <col min="13576" max="13577" width="11.6328125" style="2" customWidth="1"/>
    <col min="13578" max="13578" width="15.36328125" style="2" customWidth="1"/>
    <col min="13579" max="13579" width="10.90625" style="2" customWidth="1"/>
    <col min="13580" max="13590" width="13.36328125" style="2" customWidth="1"/>
    <col min="13591" max="13591" width="13.6328125" style="2" customWidth="1"/>
    <col min="13592" max="13592" width="16.453125" style="2" customWidth="1"/>
    <col min="13593" max="13827" width="9" style="2"/>
    <col min="13828" max="13828" width="9.6328125" style="2" customWidth="1"/>
    <col min="13829" max="13830" width="5.08984375" style="2" customWidth="1"/>
    <col min="13831" max="13831" width="9.6328125" style="2" customWidth="1"/>
    <col min="13832" max="13833" width="11.6328125" style="2" customWidth="1"/>
    <col min="13834" max="13834" width="15.36328125" style="2" customWidth="1"/>
    <col min="13835" max="13835" width="10.90625" style="2" customWidth="1"/>
    <col min="13836" max="13846" width="13.36328125" style="2" customWidth="1"/>
    <col min="13847" max="13847" width="13.6328125" style="2" customWidth="1"/>
    <col min="13848" max="13848" width="16.453125" style="2" customWidth="1"/>
    <col min="13849" max="14083" width="9" style="2"/>
    <col min="14084" max="14084" width="9.6328125" style="2" customWidth="1"/>
    <col min="14085" max="14086" width="5.08984375" style="2" customWidth="1"/>
    <col min="14087" max="14087" width="9.6328125" style="2" customWidth="1"/>
    <col min="14088" max="14089" width="11.6328125" style="2" customWidth="1"/>
    <col min="14090" max="14090" width="15.36328125" style="2" customWidth="1"/>
    <col min="14091" max="14091" width="10.90625" style="2" customWidth="1"/>
    <col min="14092" max="14102" width="13.36328125" style="2" customWidth="1"/>
    <col min="14103" max="14103" width="13.6328125" style="2" customWidth="1"/>
    <col min="14104" max="14104" width="16.453125" style="2" customWidth="1"/>
    <col min="14105" max="14339" width="9" style="2"/>
    <col min="14340" max="14340" width="9.6328125" style="2" customWidth="1"/>
    <col min="14341" max="14342" width="5.08984375" style="2" customWidth="1"/>
    <col min="14343" max="14343" width="9.6328125" style="2" customWidth="1"/>
    <col min="14344" max="14345" width="11.6328125" style="2" customWidth="1"/>
    <col min="14346" max="14346" width="15.36328125" style="2" customWidth="1"/>
    <col min="14347" max="14347" width="10.90625" style="2" customWidth="1"/>
    <col min="14348" max="14358" width="13.36328125" style="2" customWidth="1"/>
    <col min="14359" max="14359" width="13.6328125" style="2" customWidth="1"/>
    <col min="14360" max="14360" width="16.453125" style="2" customWidth="1"/>
    <col min="14361" max="14595" width="9" style="2"/>
    <col min="14596" max="14596" width="9.6328125" style="2" customWidth="1"/>
    <col min="14597" max="14598" width="5.08984375" style="2" customWidth="1"/>
    <col min="14599" max="14599" width="9.6328125" style="2" customWidth="1"/>
    <col min="14600" max="14601" width="11.6328125" style="2" customWidth="1"/>
    <col min="14602" max="14602" width="15.36328125" style="2" customWidth="1"/>
    <col min="14603" max="14603" width="10.90625" style="2" customWidth="1"/>
    <col min="14604" max="14614" width="13.36328125" style="2" customWidth="1"/>
    <col min="14615" max="14615" width="13.6328125" style="2" customWidth="1"/>
    <col min="14616" max="14616" width="16.453125" style="2" customWidth="1"/>
    <col min="14617" max="14851" width="9" style="2"/>
    <col min="14852" max="14852" width="9.6328125" style="2" customWidth="1"/>
    <col min="14853" max="14854" width="5.08984375" style="2" customWidth="1"/>
    <col min="14855" max="14855" width="9.6328125" style="2" customWidth="1"/>
    <col min="14856" max="14857" width="11.6328125" style="2" customWidth="1"/>
    <col min="14858" max="14858" width="15.36328125" style="2" customWidth="1"/>
    <col min="14859" max="14859" width="10.90625" style="2" customWidth="1"/>
    <col min="14860" max="14870" width="13.36328125" style="2" customWidth="1"/>
    <col min="14871" max="14871" width="13.6328125" style="2" customWidth="1"/>
    <col min="14872" max="14872" width="16.453125" style="2" customWidth="1"/>
    <col min="14873" max="15107" width="9" style="2"/>
    <col min="15108" max="15108" width="9.6328125" style="2" customWidth="1"/>
    <col min="15109" max="15110" width="5.08984375" style="2" customWidth="1"/>
    <col min="15111" max="15111" width="9.6328125" style="2" customWidth="1"/>
    <col min="15112" max="15113" width="11.6328125" style="2" customWidth="1"/>
    <col min="15114" max="15114" width="15.36328125" style="2" customWidth="1"/>
    <col min="15115" max="15115" width="10.90625" style="2" customWidth="1"/>
    <col min="15116" max="15126" width="13.36328125" style="2" customWidth="1"/>
    <col min="15127" max="15127" width="13.6328125" style="2" customWidth="1"/>
    <col min="15128" max="15128" width="16.453125" style="2" customWidth="1"/>
    <col min="15129" max="15363" width="9" style="2"/>
    <col min="15364" max="15364" width="9.6328125" style="2" customWidth="1"/>
    <col min="15365" max="15366" width="5.08984375" style="2" customWidth="1"/>
    <col min="15367" max="15367" width="9.6328125" style="2" customWidth="1"/>
    <col min="15368" max="15369" width="11.6328125" style="2" customWidth="1"/>
    <col min="15370" max="15370" width="15.36328125" style="2" customWidth="1"/>
    <col min="15371" max="15371" width="10.90625" style="2" customWidth="1"/>
    <col min="15372" max="15382" width="13.36328125" style="2" customWidth="1"/>
    <col min="15383" max="15383" width="13.6328125" style="2" customWidth="1"/>
    <col min="15384" max="15384" width="16.453125" style="2" customWidth="1"/>
    <col min="15385" max="15619" width="9" style="2"/>
    <col min="15620" max="15620" width="9.6328125" style="2" customWidth="1"/>
    <col min="15621" max="15622" width="5.08984375" style="2" customWidth="1"/>
    <col min="15623" max="15623" width="9.6328125" style="2" customWidth="1"/>
    <col min="15624" max="15625" width="11.6328125" style="2" customWidth="1"/>
    <col min="15626" max="15626" width="15.36328125" style="2" customWidth="1"/>
    <col min="15627" max="15627" width="10.90625" style="2" customWidth="1"/>
    <col min="15628" max="15638" width="13.36328125" style="2" customWidth="1"/>
    <col min="15639" max="15639" width="13.6328125" style="2" customWidth="1"/>
    <col min="15640" max="15640" width="16.453125" style="2" customWidth="1"/>
    <col min="15641" max="15875" width="9" style="2"/>
    <col min="15876" max="15876" width="9.6328125" style="2" customWidth="1"/>
    <col min="15877" max="15878" width="5.08984375" style="2" customWidth="1"/>
    <col min="15879" max="15879" width="9.6328125" style="2" customWidth="1"/>
    <col min="15880" max="15881" width="11.6328125" style="2" customWidth="1"/>
    <col min="15882" max="15882" width="15.36328125" style="2" customWidth="1"/>
    <col min="15883" max="15883" width="10.90625" style="2" customWidth="1"/>
    <col min="15884" max="15894" width="13.36328125" style="2" customWidth="1"/>
    <col min="15895" max="15895" width="13.6328125" style="2" customWidth="1"/>
    <col min="15896" max="15896" width="16.453125" style="2" customWidth="1"/>
    <col min="15897" max="16131" width="9" style="2"/>
    <col min="16132" max="16132" width="9.6328125" style="2" customWidth="1"/>
    <col min="16133" max="16134" width="5.08984375" style="2" customWidth="1"/>
    <col min="16135" max="16135" width="9.6328125" style="2" customWidth="1"/>
    <col min="16136" max="16137" width="11.6328125" style="2" customWidth="1"/>
    <col min="16138" max="16138" width="15.36328125" style="2" customWidth="1"/>
    <col min="16139" max="16139" width="10.90625" style="2" customWidth="1"/>
    <col min="16140" max="16150" width="13.36328125" style="2" customWidth="1"/>
    <col min="16151" max="16151" width="13.6328125" style="2" customWidth="1"/>
    <col min="16152" max="16152" width="16.453125" style="2" customWidth="1"/>
    <col min="16153" max="16383" width="9" style="2"/>
    <col min="16384" max="16384" width="9" style="2" customWidth="1"/>
  </cols>
  <sheetData>
    <row r="1" spans="1:26" s="127" customFormat="1" ht="36">
      <c r="A1" s="230" t="s">
        <v>83</v>
      </c>
      <c r="B1" s="230" t="s">
        <v>84</v>
      </c>
      <c r="C1" s="133" t="s">
        <v>56</v>
      </c>
      <c r="D1" s="134" t="s">
        <v>0</v>
      </c>
      <c r="E1" s="134" t="s">
        <v>1</v>
      </c>
      <c r="F1" s="135" t="s">
        <v>2</v>
      </c>
      <c r="G1" s="135" t="s">
        <v>58</v>
      </c>
      <c r="H1" s="135" t="s">
        <v>3</v>
      </c>
      <c r="I1" s="136" t="s">
        <v>4</v>
      </c>
      <c r="J1" s="137" t="s">
        <v>5</v>
      </c>
      <c r="K1" s="233" t="s">
        <v>6</v>
      </c>
      <c r="L1" s="332" t="s">
        <v>7</v>
      </c>
      <c r="M1" s="37" t="s">
        <v>8</v>
      </c>
      <c r="N1" s="37" t="s">
        <v>9</v>
      </c>
      <c r="O1" s="37" t="s">
        <v>10</v>
      </c>
      <c r="P1" s="37" t="s">
        <v>11</v>
      </c>
      <c r="Q1" s="37" t="s">
        <v>12</v>
      </c>
      <c r="R1" s="238" t="s">
        <v>13</v>
      </c>
      <c r="S1" s="238" t="s">
        <v>14</v>
      </c>
      <c r="T1" s="238" t="s">
        <v>15</v>
      </c>
      <c r="U1" s="238" t="s">
        <v>16</v>
      </c>
      <c r="V1" s="238" t="s">
        <v>17</v>
      </c>
      <c r="W1" s="231" t="s">
        <v>18</v>
      </c>
      <c r="X1" s="234" t="s">
        <v>19</v>
      </c>
    </row>
    <row r="2" spans="1:26" s="1" customFormat="1">
      <c r="A2" s="112"/>
      <c r="B2" s="72"/>
      <c r="C2" s="548" t="s">
        <v>120</v>
      </c>
      <c r="D2" s="549"/>
      <c r="E2" s="549"/>
      <c r="F2" s="549"/>
      <c r="G2" s="549"/>
      <c r="H2" s="549"/>
      <c r="I2" s="549"/>
      <c r="J2" s="550"/>
      <c r="K2" s="271" t="s">
        <v>20</v>
      </c>
      <c r="L2" s="333">
        <f>L89</f>
        <v>2549025</v>
      </c>
      <c r="M2" s="324">
        <f t="shared" ref="M2:W3" si="0">M89</f>
        <v>2359392</v>
      </c>
      <c r="N2" s="324">
        <f t="shared" si="0"/>
        <v>2554986</v>
      </c>
      <c r="O2" s="324">
        <f t="shared" si="0"/>
        <v>2686325</v>
      </c>
      <c r="P2" s="324">
        <f t="shared" si="0"/>
        <v>2331236</v>
      </c>
      <c r="Q2" s="324">
        <f t="shared" si="0"/>
        <v>2606247</v>
      </c>
      <c r="R2" s="402">
        <f t="shared" si="0"/>
        <v>3284610</v>
      </c>
      <c r="S2" s="402">
        <f>S89</f>
        <v>2793312</v>
      </c>
      <c r="T2" s="402">
        <f t="shared" si="0"/>
        <v>2717322</v>
      </c>
      <c r="U2" s="402">
        <f t="shared" si="0"/>
        <v>2636611</v>
      </c>
      <c r="V2" s="402">
        <f t="shared" si="0"/>
        <v>2593636</v>
      </c>
      <c r="W2" s="272">
        <f t="shared" si="0"/>
        <v>2943025</v>
      </c>
      <c r="X2" s="273">
        <f t="shared" ref="X2:X4" si="1">SUM(L2:W2)</f>
        <v>32055727</v>
      </c>
      <c r="Z2" s="70"/>
    </row>
    <row r="3" spans="1:26" s="1" customFormat="1">
      <c r="A3" s="112"/>
      <c r="B3" s="72"/>
      <c r="C3" s="551"/>
      <c r="D3" s="552"/>
      <c r="E3" s="552"/>
      <c r="F3" s="552"/>
      <c r="G3" s="552"/>
      <c r="H3" s="552"/>
      <c r="I3" s="552"/>
      <c r="J3" s="553"/>
      <c r="K3" s="144" t="s">
        <v>21</v>
      </c>
      <c r="L3" s="334">
        <f>L90</f>
        <v>2082365</v>
      </c>
      <c r="M3" s="325">
        <f t="shared" si="0"/>
        <v>1950886</v>
      </c>
      <c r="N3" s="325">
        <f t="shared" si="0"/>
        <v>2112324</v>
      </c>
      <c r="O3" s="325">
        <f t="shared" si="0"/>
        <v>2215362</v>
      </c>
      <c r="P3" s="325">
        <f t="shared" si="0"/>
        <v>1995210</v>
      </c>
      <c r="Q3" s="325">
        <f t="shared" si="0"/>
        <v>2157501.5</v>
      </c>
      <c r="R3" s="403">
        <f t="shared" si="0"/>
        <v>2572616</v>
      </c>
      <c r="S3" s="403">
        <f t="shared" si="0"/>
        <v>2446945.3333333335</v>
      </c>
      <c r="T3" s="403">
        <f t="shared" si="0"/>
        <v>2392715</v>
      </c>
      <c r="U3" s="403">
        <f t="shared" si="0"/>
        <v>2198267</v>
      </c>
      <c r="V3" s="403">
        <f t="shared" si="0"/>
        <v>2135912</v>
      </c>
      <c r="W3" s="106">
        <f t="shared" si="0"/>
        <v>2288929</v>
      </c>
      <c r="X3" s="40">
        <f t="shared" si="1"/>
        <v>26549032.833333332</v>
      </c>
      <c r="Z3" s="70"/>
    </row>
    <row r="4" spans="1:26" s="1" customFormat="1" ht="12.5" thickBot="1">
      <c r="A4" s="112"/>
      <c r="B4" s="72"/>
      <c r="C4" s="554"/>
      <c r="D4" s="555"/>
      <c r="E4" s="555"/>
      <c r="F4" s="555"/>
      <c r="G4" s="555"/>
      <c r="H4" s="555"/>
      <c r="I4" s="555"/>
      <c r="J4" s="556"/>
      <c r="K4" s="150" t="s">
        <v>22</v>
      </c>
      <c r="L4" s="335">
        <f>L91</f>
        <v>466660</v>
      </c>
      <c r="M4" s="326">
        <f t="shared" ref="M4:W4" si="2">M91</f>
        <v>408506</v>
      </c>
      <c r="N4" s="326">
        <f t="shared" si="2"/>
        <v>442662</v>
      </c>
      <c r="O4" s="326">
        <f t="shared" si="2"/>
        <v>470963</v>
      </c>
      <c r="P4" s="326">
        <f t="shared" si="2"/>
        <v>336026</v>
      </c>
      <c r="Q4" s="326">
        <f t="shared" si="2"/>
        <v>448745.5</v>
      </c>
      <c r="R4" s="404">
        <f t="shared" si="2"/>
        <v>711994</v>
      </c>
      <c r="S4" s="404">
        <f t="shared" si="2"/>
        <v>346366.66666666651</v>
      </c>
      <c r="T4" s="404">
        <f t="shared" si="2"/>
        <v>324607</v>
      </c>
      <c r="U4" s="404">
        <f t="shared" si="2"/>
        <v>438344</v>
      </c>
      <c r="V4" s="404">
        <f t="shared" si="2"/>
        <v>457724</v>
      </c>
      <c r="W4" s="107">
        <f t="shared" si="2"/>
        <v>654096</v>
      </c>
      <c r="X4" s="41">
        <f t="shared" si="1"/>
        <v>5506694.166666666</v>
      </c>
      <c r="Z4" s="70"/>
    </row>
    <row r="5" spans="1:26" ht="14.15" customHeight="1" thickTop="1">
      <c r="A5" s="115">
        <v>2017034</v>
      </c>
      <c r="C5" s="565">
        <v>1</v>
      </c>
      <c r="D5" s="566" t="s">
        <v>88</v>
      </c>
      <c r="E5" s="566"/>
      <c r="F5" s="566"/>
      <c r="G5" s="566" t="s">
        <v>119</v>
      </c>
      <c r="H5" s="568"/>
      <c r="I5" s="568" t="s">
        <v>91</v>
      </c>
      <c r="J5" s="567" t="s">
        <v>89</v>
      </c>
      <c r="K5" s="277" t="s">
        <v>108</v>
      </c>
      <c r="L5" s="336">
        <f t="shared" ref="L5:W5" si="3">L6+L7</f>
        <v>450450</v>
      </c>
      <c r="M5" s="505">
        <f t="shared" si="3"/>
        <v>413000</v>
      </c>
      <c r="N5" s="505">
        <f t="shared" si="3"/>
        <v>439250</v>
      </c>
      <c r="O5" s="505">
        <f t="shared" si="3"/>
        <v>481600</v>
      </c>
      <c r="P5" s="505">
        <f t="shared" si="3"/>
        <v>364350</v>
      </c>
      <c r="Q5" s="505">
        <f t="shared" si="3"/>
        <v>408100</v>
      </c>
      <c r="R5" s="527">
        <f t="shared" si="3"/>
        <v>438900</v>
      </c>
      <c r="S5" s="527">
        <f t="shared" si="3"/>
        <v>389550</v>
      </c>
      <c r="T5" s="527">
        <f t="shared" si="3"/>
        <v>336700</v>
      </c>
      <c r="U5" s="527">
        <f t="shared" si="3"/>
        <v>400400</v>
      </c>
      <c r="V5" s="527">
        <f t="shared" si="3"/>
        <v>350000</v>
      </c>
      <c r="W5" s="278">
        <f t="shared" si="3"/>
        <v>450450</v>
      </c>
      <c r="X5" s="279">
        <f t="shared" ref="X5:X15" si="4">SUM(L5:W5)</f>
        <v>4922750</v>
      </c>
      <c r="Z5" s="69"/>
    </row>
    <row r="6" spans="1:26">
      <c r="A6" s="114">
        <f>+A5</f>
        <v>2017034</v>
      </c>
      <c r="B6" s="74"/>
      <c r="C6" s="558"/>
      <c r="D6" s="561"/>
      <c r="E6" s="561"/>
      <c r="F6" s="561"/>
      <c r="G6" s="561"/>
      <c r="H6" s="563"/>
      <c r="I6" s="546"/>
      <c r="J6" s="543"/>
      <c r="K6" s="168" t="s">
        <v>109</v>
      </c>
      <c r="L6" s="327">
        <v>450450</v>
      </c>
      <c r="M6" s="327">
        <v>413000</v>
      </c>
      <c r="N6" s="327">
        <v>439250</v>
      </c>
      <c r="O6" s="327">
        <v>481600</v>
      </c>
      <c r="P6" s="327">
        <v>364350</v>
      </c>
      <c r="Q6" s="327">
        <v>408100</v>
      </c>
      <c r="R6" s="528">
        <v>438900</v>
      </c>
      <c r="S6" s="528">
        <v>389550</v>
      </c>
      <c r="T6" s="528">
        <v>336700</v>
      </c>
      <c r="U6" s="528">
        <v>400400</v>
      </c>
      <c r="V6" s="528">
        <v>350000</v>
      </c>
      <c r="W6" s="246">
        <v>450450</v>
      </c>
      <c r="X6" s="14">
        <f t="shared" si="4"/>
        <v>4922750</v>
      </c>
      <c r="Y6" s="245"/>
      <c r="Z6" s="69"/>
    </row>
    <row r="7" spans="1:26">
      <c r="A7" s="114">
        <f>+A6</f>
        <v>2017034</v>
      </c>
      <c r="B7" s="74"/>
      <c r="C7" s="558"/>
      <c r="D7" s="561"/>
      <c r="E7" s="561"/>
      <c r="F7" s="561"/>
      <c r="G7" s="561"/>
      <c r="H7" s="563"/>
      <c r="I7" s="546"/>
      <c r="J7" s="543"/>
      <c r="K7" s="168"/>
      <c r="L7" s="327"/>
      <c r="M7" s="328"/>
      <c r="N7" s="328"/>
      <c r="O7" s="329"/>
      <c r="P7" s="329"/>
      <c r="Q7" s="329"/>
      <c r="R7" s="410"/>
      <c r="S7" s="410"/>
      <c r="T7" s="410"/>
      <c r="U7" s="410"/>
      <c r="V7" s="410"/>
      <c r="W7" s="88"/>
      <c r="X7" s="14">
        <f t="shared" si="4"/>
        <v>0</v>
      </c>
      <c r="Z7" s="69"/>
    </row>
    <row r="8" spans="1:26">
      <c r="A8" s="114">
        <f t="shared" ref="A8:A15" si="5">+A7</f>
        <v>2017034</v>
      </c>
      <c r="B8" s="74"/>
      <c r="C8" s="558"/>
      <c r="D8" s="561"/>
      <c r="E8" s="561"/>
      <c r="F8" s="561"/>
      <c r="G8" s="561"/>
      <c r="H8" s="563"/>
      <c r="I8" s="546"/>
      <c r="J8" s="543"/>
      <c r="K8" s="169" t="s">
        <v>110</v>
      </c>
      <c r="L8" s="337">
        <f>SUM(L9:L15)</f>
        <v>363860</v>
      </c>
      <c r="M8" s="506">
        <f t="shared" ref="M8:W8" si="6">SUM(M9:M15)</f>
        <v>338704</v>
      </c>
      <c r="N8" s="506">
        <f t="shared" si="6"/>
        <v>373712</v>
      </c>
      <c r="O8" s="330">
        <f t="shared" si="6"/>
        <v>391714</v>
      </c>
      <c r="P8" s="330">
        <f t="shared" si="6"/>
        <v>355504</v>
      </c>
      <c r="Q8" s="330">
        <f t="shared" si="6"/>
        <v>341497</v>
      </c>
      <c r="R8" s="426">
        <f t="shared" si="6"/>
        <v>375652</v>
      </c>
      <c r="S8" s="426">
        <f t="shared" si="6"/>
        <v>330015</v>
      </c>
      <c r="T8" s="426">
        <f t="shared" si="6"/>
        <v>352915</v>
      </c>
      <c r="U8" s="426">
        <f t="shared" si="6"/>
        <v>323762</v>
      </c>
      <c r="V8" s="426">
        <f t="shared" si="6"/>
        <v>305465</v>
      </c>
      <c r="W8" s="89">
        <f t="shared" si="6"/>
        <v>363860</v>
      </c>
      <c r="X8" s="15">
        <f t="shared" si="4"/>
        <v>4216660</v>
      </c>
      <c r="Z8" s="69"/>
    </row>
    <row r="9" spans="1:26">
      <c r="A9" s="114">
        <f t="shared" si="5"/>
        <v>2017034</v>
      </c>
      <c r="B9" s="74"/>
      <c r="C9" s="558"/>
      <c r="D9" s="561"/>
      <c r="E9" s="561"/>
      <c r="F9" s="561"/>
      <c r="G9" s="561"/>
      <c r="H9" s="563"/>
      <c r="I9" s="546"/>
      <c r="J9" s="543"/>
      <c r="K9" s="168" t="s">
        <v>111</v>
      </c>
      <c r="L9" s="327">
        <v>303075</v>
      </c>
      <c r="M9" s="327">
        <v>279113</v>
      </c>
      <c r="N9" s="327">
        <v>314775</v>
      </c>
      <c r="O9" s="327">
        <v>330920</v>
      </c>
      <c r="P9" s="327">
        <v>288738</v>
      </c>
      <c r="Q9" s="327">
        <v>275800</v>
      </c>
      <c r="R9" s="528">
        <v>309600</v>
      </c>
      <c r="S9" s="528">
        <v>264438</v>
      </c>
      <c r="T9" s="528">
        <v>287100</v>
      </c>
      <c r="U9" s="528">
        <v>258250</v>
      </c>
      <c r="V9" s="528">
        <v>239963</v>
      </c>
      <c r="W9" s="246">
        <v>303075</v>
      </c>
      <c r="X9" s="14">
        <f t="shared" si="4"/>
        <v>3454847</v>
      </c>
      <c r="Y9" s="245"/>
      <c r="Z9" s="69"/>
    </row>
    <row r="10" spans="1:26">
      <c r="A10" s="114">
        <f t="shared" si="5"/>
        <v>2017034</v>
      </c>
      <c r="B10" s="74"/>
      <c r="C10" s="558"/>
      <c r="D10" s="561"/>
      <c r="E10" s="561"/>
      <c r="F10" s="561"/>
      <c r="G10" s="561"/>
      <c r="H10" s="563"/>
      <c r="I10" s="546"/>
      <c r="J10" s="543"/>
      <c r="K10" s="168" t="s">
        <v>107</v>
      </c>
      <c r="L10" s="327"/>
      <c r="M10" s="327"/>
      <c r="N10" s="327"/>
      <c r="O10" s="327"/>
      <c r="P10" s="327"/>
      <c r="Q10" s="327"/>
      <c r="R10" s="528"/>
      <c r="S10" s="528"/>
      <c r="T10" s="528"/>
      <c r="U10" s="528"/>
      <c r="V10" s="528"/>
      <c r="W10" s="246"/>
      <c r="X10" s="14">
        <f t="shared" si="4"/>
        <v>0</v>
      </c>
      <c r="Y10" s="245"/>
      <c r="Z10" s="69"/>
    </row>
    <row r="11" spans="1:26">
      <c r="A11" s="114">
        <f t="shared" si="5"/>
        <v>2017034</v>
      </c>
      <c r="B11" s="74"/>
      <c r="C11" s="558"/>
      <c r="D11" s="561"/>
      <c r="E11" s="561"/>
      <c r="F11" s="561"/>
      <c r="G11" s="561"/>
      <c r="H11" s="563"/>
      <c r="I11" s="546"/>
      <c r="J11" s="543"/>
      <c r="K11" s="168" t="s">
        <v>112</v>
      </c>
      <c r="L11" s="327">
        <v>18488</v>
      </c>
      <c r="M11" s="327">
        <v>17556</v>
      </c>
      <c r="N11" s="327">
        <v>16538</v>
      </c>
      <c r="O11" s="327">
        <v>18208</v>
      </c>
      <c r="P11" s="327">
        <v>19054</v>
      </c>
      <c r="Q11" s="327">
        <v>18130</v>
      </c>
      <c r="R11" s="528">
        <v>18130</v>
      </c>
      <c r="S11" s="528">
        <v>18130</v>
      </c>
      <c r="T11" s="528">
        <v>18130</v>
      </c>
      <c r="U11" s="528">
        <v>18130</v>
      </c>
      <c r="V11" s="528">
        <v>18130</v>
      </c>
      <c r="W11" s="246">
        <v>18488</v>
      </c>
      <c r="X11" s="14">
        <f t="shared" si="4"/>
        <v>217112</v>
      </c>
      <c r="Y11" s="245"/>
      <c r="Z11" s="69"/>
    </row>
    <row r="12" spans="1:26">
      <c r="A12" s="114">
        <f t="shared" si="5"/>
        <v>2017034</v>
      </c>
      <c r="B12" s="74"/>
      <c r="C12" s="558"/>
      <c r="D12" s="561"/>
      <c r="E12" s="561"/>
      <c r="F12" s="561"/>
      <c r="G12" s="561"/>
      <c r="H12" s="563"/>
      <c r="I12" s="546"/>
      <c r="J12" s="543"/>
      <c r="K12" s="168" t="s">
        <v>113</v>
      </c>
      <c r="L12" s="328">
        <v>13300</v>
      </c>
      <c r="M12" s="328">
        <v>13300</v>
      </c>
      <c r="N12" s="328">
        <v>13300</v>
      </c>
      <c r="O12" s="328">
        <v>13300</v>
      </c>
      <c r="P12" s="328">
        <v>15200</v>
      </c>
      <c r="Q12" s="328">
        <v>15200</v>
      </c>
      <c r="R12" s="529">
        <v>15200</v>
      </c>
      <c r="S12" s="529">
        <v>15200</v>
      </c>
      <c r="T12" s="529">
        <v>15200</v>
      </c>
      <c r="U12" s="529">
        <v>15200</v>
      </c>
      <c r="V12" s="529">
        <v>15200</v>
      </c>
      <c r="W12" s="247">
        <v>13300</v>
      </c>
      <c r="X12" s="14">
        <f t="shared" si="4"/>
        <v>172900</v>
      </c>
      <c r="Y12" s="245"/>
      <c r="Z12" s="69"/>
    </row>
    <row r="13" spans="1:26">
      <c r="A13" s="114">
        <f t="shared" si="5"/>
        <v>2017034</v>
      </c>
      <c r="B13" s="74"/>
      <c r="C13" s="558"/>
      <c r="D13" s="561"/>
      <c r="E13" s="561"/>
      <c r="F13" s="561"/>
      <c r="G13" s="561"/>
      <c r="H13" s="563"/>
      <c r="I13" s="546"/>
      <c r="J13" s="543"/>
      <c r="K13" s="168" t="s">
        <v>114</v>
      </c>
      <c r="L13" s="328">
        <v>25620</v>
      </c>
      <c r="M13" s="328">
        <v>25620</v>
      </c>
      <c r="N13" s="328">
        <v>25620</v>
      </c>
      <c r="O13" s="328">
        <v>25620</v>
      </c>
      <c r="P13" s="328">
        <v>29280</v>
      </c>
      <c r="Q13" s="328">
        <v>29280</v>
      </c>
      <c r="R13" s="529">
        <v>29280</v>
      </c>
      <c r="S13" s="529">
        <v>29280</v>
      </c>
      <c r="T13" s="529">
        <v>29280</v>
      </c>
      <c r="U13" s="529">
        <v>29280</v>
      </c>
      <c r="V13" s="529">
        <v>29280</v>
      </c>
      <c r="W13" s="247">
        <v>25620</v>
      </c>
      <c r="X13" s="14">
        <f t="shared" si="4"/>
        <v>333060</v>
      </c>
      <c r="Y13" s="245"/>
      <c r="Z13" s="69"/>
    </row>
    <row r="14" spans="1:26">
      <c r="A14" s="114">
        <f t="shared" si="5"/>
        <v>2017034</v>
      </c>
      <c r="B14" s="74"/>
      <c r="C14" s="558"/>
      <c r="D14" s="561"/>
      <c r="E14" s="561"/>
      <c r="F14" s="561"/>
      <c r="G14" s="561"/>
      <c r="H14" s="563"/>
      <c r="I14" s="546"/>
      <c r="J14" s="543"/>
      <c r="K14" s="168" t="s">
        <v>115</v>
      </c>
      <c r="L14" s="328">
        <v>1608</v>
      </c>
      <c r="M14" s="328">
        <v>1483</v>
      </c>
      <c r="N14" s="328">
        <v>1657</v>
      </c>
      <c r="O14" s="328">
        <v>1746</v>
      </c>
      <c r="P14" s="328">
        <v>1539</v>
      </c>
      <c r="Q14" s="328">
        <v>1470</v>
      </c>
      <c r="R14" s="529">
        <v>1639</v>
      </c>
      <c r="S14" s="529">
        <v>1413</v>
      </c>
      <c r="T14" s="529">
        <v>1526</v>
      </c>
      <c r="U14" s="529">
        <v>1382</v>
      </c>
      <c r="V14" s="529">
        <v>1377</v>
      </c>
      <c r="W14" s="247">
        <v>1608</v>
      </c>
      <c r="X14" s="14">
        <f t="shared" si="4"/>
        <v>18448</v>
      </c>
      <c r="Y14" s="245"/>
      <c r="Z14" s="69"/>
    </row>
    <row r="15" spans="1:26">
      <c r="A15" s="114">
        <f t="shared" si="5"/>
        <v>2017034</v>
      </c>
      <c r="B15" s="74"/>
      <c r="C15" s="558"/>
      <c r="D15" s="561"/>
      <c r="E15" s="561"/>
      <c r="F15" s="561"/>
      <c r="G15" s="561"/>
      <c r="H15" s="563"/>
      <c r="I15" s="546"/>
      <c r="J15" s="543"/>
      <c r="K15" s="168" t="s">
        <v>116</v>
      </c>
      <c r="L15" s="328">
        <v>1769</v>
      </c>
      <c r="M15" s="328">
        <v>1632</v>
      </c>
      <c r="N15" s="328">
        <v>1822</v>
      </c>
      <c r="O15" s="328">
        <v>1920</v>
      </c>
      <c r="P15" s="328">
        <v>1693</v>
      </c>
      <c r="Q15" s="328">
        <v>1617</v>
      </c>
      <c r="R15" s="529">
        <v>1803</v>
      </c>
      <c r="S15" s="529">
        <v>1554</v>
      </c>
      <c r="T15" s="529">
        <v>1679</v>
      </c>
      <c r="U15" s="529">
        <v>1520</v>
      </c>
      <c r="V15" s="529">
        <v>1515</v>
      </c>
      <c r="W15" s="247">
        <v>1769</v>
      </c>
      <c r="X15" s="14">
        <f t="shared" si="4"/>
        <v>20293</v>
      </c>
      <c r="Y15" s="245"/>
      <c r="Z15" s="69"/>
    </row>
    <row r="16" spans="1:26">
      <c r="A16" s="114">
        <f>+A15</f>
        <v>2017034</v>
      </c>
      <c r="B16" s="74"/>
      <c r="C16" s="559"/>
      <c r="D16" s="562"/>
      <c r="E16" s="562"/>
      <c r="F16" s="562"/>
      <c r="G16" s="562"/>
      <c r="H16" s="564"/>
      <c r="I16" s="547"/>
      <c r="J16" s="544"/>
      <c r="K16" s="170" t="s">
        <v>117</v>
      </c>
      <c r="L16" s="338">
        <f>L5-L8</f>
        <v>86590</v>
      </c>
      <c r="M16" s="331">
        <f t="shared" ref="M16:W16" si="7">M5-M8</f>
        <v>74296</v>
      </c>
      <c r="N16" s="331">
        <f t="shared" si="7"/>
        <v>65538</v>
      </c>
      <c r="O16" s="331">
        <f t="shared" si="7"/>
        <v>89886</v>
      </c>
      <c r="P16" s="331">
        <f t="shared" si="7"/>
        <v>8846</v>
      </c>
      <c r="Q16" s="331">
        <f t="shared" si="7"/>
        <v>66603</v>
      </c>
      <c r="R16" s="405">
        <f t="shared" si="7"/>
        <v>63248</v>
      </c>
      <c r="S16" s="405">
        <f t="shared" si="7"/>
        <v>59535</v>
      </c>
      <c r="T16" s="405">
        <f t="shared" si="7"/>
        <v>-16215</v>
      </c>
      <c r="U16" s="405">
        <f t="shared" si="7"/>
        <v>76638</v>
      </c>
      <c r="V16" s="405">
        <f t="shared" si="7"/>
        <v>44535</v>
      </c>
      <c r="W16" s="90">
        <f t="shared" si="7"/>
        <v>86590</v>
      </c>
      <c r="X16" s="16">
        <f>X5-X8</f>
        <v>706090</v>
      </c>
      <c r="Z16" s="69"/>
    </row>
    <row r="17" spans="1:26" ht="14.15" customHeight="1">
      <c r="A17" s="115">
        <v>2023018</v>
      </c>
      <c r="C17" s="557">
        <f>C5+1</f>
        <v>2</v>
      </c>
      <c r="D17" s="560" t="s">
        <v>88</v>
      </c>
      <c r="E17" s="560"/>
      <c r="F17" s="560"/>
      <c r="G17" s="560" t="s">
        <v>119</v>
      </c>
      <c r="H17" s="545"/>
      <c r="I17" s="545" t="s">
        <v>91</v>
      </c>
      <c r="J17" s="542" t="s">
        <v>89</v>
      </c>
      <c r="K17" s="181" t="s">
        <v>23</v>
      </c>
      <c r="L17" s="339">
        <f t="shared" ref="L17:W17" si="8">L18+L19</f>
        <v>448700</v>
      </c>
      <c r="M17" s="471">
        <f t="shared" si="8"/>
        <v>421050</v>
      </c>
      <c r="N17" s="471">
        <f t="shared" si="8"/>
        <v>443800</v>
      </c>
      <c r="O17" s="471">
        <f t="shared" si="8"/>
        <v>460950</v>
      </c>
      <c r="P17" s="471">
        <f t="shared" si="8"/>
        <v>354900</v>
      </c>
      <c r="Q17" s="471">
        <f t="shared" si="8"/>
        <v>393050</v>
      </c>
      <c r="R17" s="406">
        <f t="shared" si="8"/>
        <v>439250</v>
      </c>
      <c r="S17" s="406">
        <f t="shared" si="8"/>
        <v>351050</v>
      </c>
      <c r="T17" s="406">
        <f t="shared" si="8"/>
        <v>333550</v>
      </c>
      <c r="U17" s="406">
        <f t="shared" si="8"/>
        <v>373100</v>
      </c>
      <c r="V17" s="406">
        <f t="shared" si="8"/>
        <v>402850</v>
      </c>
      <c r="W17" s="94">
        <f t="shared" si="8"/>
        <v>448700</v>
      </c>
      <c r="X17" s="32">
        <f t="shared" ref="X17:X27" si="9">SUM(L17:W17)</f>
        <v>4870950</v>
      </c>
      <c r="Z17" s="69"/>
    </row>
    <row r="18" spans="1:26">
      <c r="A18" s="114">
        <f t="shared" ref="A18:A28" si="10">+A17</f>
        <v>2023018</v>
      </c>
      <c r="B18" s="74"/>
      <c r="C18" s="558"/>
      <c r="D18" s="561"/>
      <c r="E18" s="561"/>
      <c r="F18" s="561"/>
      <c r="G18" s="561"/>
      <c r="H18" s="563"/>
      <c r="I18" s="546"/>
      <c r="J18" s="543"/>
      <c r="K18" s="168" t="s">
        <v>24</v>
      </c>
      <c r="L18" s="327">
        <v>448700</v>
      </c>
      <c r="M18" s="327">
        <v>421050</v>
      </c>
      <c r="N18" s="327">
        <v>443800</v>
      </c>
      <c r="O18" s="327">
        <v>460950</v>
      </c>
      <c r="P18" s="327">
        <v>354900</v>
      </c>
      <c r="Q18" s="327">
        <v>393050</v>
      </c>
      <c r="R18" s="528">
        <v>439250</v>
      </c>
      <c r="S18" s="528">
        <v>351050</v>
      </c>
      <c r="T18" s="528">
        <v>333550</v>
      </c>
      <c r="U18" s="528">
        <v>373100</v>
      </c>
      <c r="V18" s="528">
        <v>402850</v>
      </c>
      <c r="W18" s="246">
        <v>448700</v>
      </c>
      <c r="X18" s="14">
        <f t="shared" si="9"/>
        <v>4870950</v>
      </c>
      <c r="Y18" s="245"/>
      <c r="Z18" s="69"/>
    </row>
    <row r="19" spans="1:26">
      <c r="A19" s="114">
        <f t="shared" si="10"/>
        <v>2023018</v>
      </c>
      <c r="B19" s="74"/>
      <c r="C19" s="558"/>
      <c r="D19" s="561"/>
      <c r="E19" s="561"/>
      <c r="F19" s="561"/>
      <c r="G19" s="561"/>
      <c r="H19" s="563"/>
      <c r="I19" s="546"/>
      <c r="J19" s="543"/>
      <c r="K19" s="168" t="s">
        <v>25</v>
      </c>
      <c r="L19" s="327"/>
      <c r="M19" s="328"/>
      <c r="N19" s="328"/>
      <c r="O19" s="329"/>
      <c r="P19" s="329"/>
      <c r="Q19" s="329"/>
      <c r="R19" s="410"/>
      <c r="S19" s="410"/>
      <c r="T19" s="410"/>
      <c r="U19" s="410"/>
      <c r="V19" s="410"/>
      <c r="W19" s="88"/>
      <c r="X19" s="14">
        <f t="shared" si="9"/>
        <v>0</v>
      </c>
      <c r="Z19" s="69"/>
    </row>
    <row r="20" spans="1:26">
      <c r="A20" s="114">
        <f t="shared" si="10"/>
        <v>2023018</v>
      </c>
      <c r="B20" s="74"/>
      <c r="C20" s="558"/>
      <c r="D20" s="561"/>
      <c r="E20" s="561"/>
      <c r="F20" s="561"/>
      <c r="G20" s="561"/>
      <c r="H20" s="563"/>
      <c r="I20" s="546"/>
      <c r="J20" s="543"/>
      <c r="K20" s="169" t="s">
        <v>26</v>
      </c>
      <c r="L20" s="337">
        <f t="shared" ref="L20:W20" si="11">SUM(L21:L27)</f>
        <v>361049</v>
      </c>
      <c r="M20" s="506">
        <f t="shared" si="11"/>
        <v>338825</v>
      </c>
      <c r="N20" s="506">
        <f t="shared" si="11"/>
        <v>372044</v>
      </c>
      <c r="O20" s="330">
        <f t="shared" si="11"/>
        <v>391065</v>
      </c>
      <c r="P20" s="330">
        <f t="shared" si="11"/>
        <v>324284</v>
      </c>
      <c r="Q20" s="330">
        <f t="shared" si="11"/>
        <v>327393</v>
      </c>
      <c r="R20" s="426">
        <f t="shared" si="11"/>
        <v>375229</v>
      </c>
      <c r="S20" s="426">
        <f t="shared" si="11"/>
        <v>325982</v>
      </c>
      <c r="T20" s="426">
        <f t="shared" si="11"/>
        <v>365544</v>
      </c>
      <c r="U20" s="426">
        <f t="shared" si="11"/>
        <v>309960</v>
      </c>
      <c r="V20" s="426">
        <f t="shared" si="11"/>
        <v>321748</v>
      </c>
      <c r="W20" s="89">
        <f t="shared" si="11"/>
        <v>361049</v>
      </c>
      <c r="X20" s="15">
        <f t="shared" si="9"/>
        <v>4174172</v>
      </c>
      <c r="Z20" s="69"/>
    </row>
    <row r="21" spans="1:26">
      <c r="A21" s="114">
        <f t="shared" si="10"/>
        <v>2023018</v>
      </c>
      <c r="B21" s="74"/>
      <c r="C21" s="558"/>
      <c r="D21" s="561"/>
      <c r="E21" s="561"/>
      <c r="F21" s="561"/>
      <c r="G21" s="561"/>
      <c r="H21" s="563"/>
      <c r="I21" s="546"/>
      <c r="J21" s="543"/>
      <c r="K21" s="168" t="s">
        <v>27</v>
      </c>
      <c r="L21" s="327">
        <v>313280</v>
      </c>
      <c r="M21" s="327">
        <v>284567</v>
      </c>
      <c r="N21" s="327">
        <v>316600</v>
      </c>
      <c r="O21" s="327">
        <v>336684</v>
      </c>
      <c r="P21" s="327">
        <v>271017</v>
      </c>
      <c r="Q21" s="327">
        <v>275164</v>
      </c>
      <c r="R21" s="528">
        <v>321664</v>
      </c>
      <c r="S21" s="528">
        <v>275448</v>
      </c>
      <c r="T21" s="528">
        <v>313759</v>
      </c>
      <c r="U21" s="528">
        <v>259173</v>
      </c>
      <c r="V21" s="528">
        <v>269817</v>
      </c>
      <c r="W21" s="246">
        <v>313280</v>
      </c>
      <c r="X21" s="14">
        <f t="shared" si="9"/>
        <v>3550453</v>
      </c>
      <c r="Y21" s="245"/>
      <c r="Z21" s="69"/>
    </row>
    <row r="22" spans="1:26">
      <c r="A22" s="114">
        <f t="shared" si="10"/>
        <v>2023018</v>
      </c>
      <c r="B22" s="74"/>
      <c r="C22" s="558"/>
      <c r="D22" s="561"/>
      <c r="E22" s="561"/>
      <c r="F22" s="561"/>
      <c r="G22" s="561"/>
      <c r="H22" s="563"/>
      <c r="I22" s="546"/>
      <c r="J22" s="543"/>
      <c r="K22" s="168" t="s">
        <v>107</v>
      </c>
      <c r="L22" s="327"/>
      <c r="M22" s="327"/>
      <c r="N22" s="327"/>
      <c r="O22" s="327"/>
      <c r="P22" s="327"/>
      <c r="Q22" s="327"/>
      <c r="R22" s="528"/>
      <c r="S22" s="528"/>
      <c r="T22" s="528"/>
      <c r="U22" s="528"/>
      <c r="V22" s="528"/>
      <c r="W22" s="246"/>
      <c r="X22" s="14">
        <f t="shared" si="9"/>
        <v>0</v>
      </c>
      <c r="Y22" s="245"/>
      <c r="Z22" s="69"/>
    </row>
    <row r="23" spans="1:26">
      <c r="A23" s="114">
        <f t="shared" si="10"/>
        <v>2023018</v>
      </c>
      <c r="B23" s="74"/>
      <c r="C23" s="558"/>
      <c r="D23" s="561"/>
      <c r="E23" s="561"/>
      <c r="F23" s="561"/>
      <c r="G23" s="561"/>
      <c r="H23" s="563"/>
      <c r="I23" s="546"/>
      <c r="J23" s="543"/>
      <c r="K23" s="168" t="s">
        <v>28</v>
      </c>
      <c r="L23" s="327">
        <v>0</v>
      </c>
      <c r="M23" s="327">
        <v>6720</v>
      </c>
      <c r="N23" s="327">
        <v>7560</v>
      </c>
      <c r="O23" s="327">
        <v>6300</v>
      </c>
      <c r="P23" s="327">
        <v>5880</v>
      </c>
      <c r="Q23" s="327">
        <v>7560</v>
      </c>
      <c r="R23" s="528">
        <v>8400</v>
      </c>
      <c r="S23" s="528">
        <v>5880</v>
      </c>
      <c r="T23" s="528">
        <v>6720</v>
      </c>
      <c r="U23" s="528">
        <v>6300</v>
      </c>
      <c r="V23" s="528">
        <v>7140</v>
      </c>
      <c r="W23" s="246">
        <v>0</v>
      </c>
      <c r="X23" s="14">
        <f t="shared" si="9"/>
        <v>68460</v>
      </c>
      <c r="Y23" s="245"/>
      <c r="Z23" s="69"/>
    </row>
    <row r="24" spans="1:26">
      <c r="A24" s="114">
        <f t="shared" si="10"/>
        <v>2023018</v>
      </c>
      <c r="B24" s="74"/>
      <c r="C24" s="558"/>
      <c r="D24" s="561"/>
      <c r="E24" s="561"/>
      <c r="F24" s="561"/>
      <c r="G24" s="561"/>
      <c r="H24" s="563"/>
      <c r="I24" s="546"/>
      <c r="J24" s="543"/>
      <c r="K24" s="168" t="s">
        <v>29</v>
      </c>
      <c r="L24" s="328">
        <v>15200</v>
      </c>
      <c r="M24" s="328">
        <v>15200</v>
      </c>
      <c r="N24" s="328">
        <v>15200</v>
      </c>
      <c r="O24" s="328">
        <v>15200</v>
      </c>
      <c r="P24" s="328">
        <v>15200</v>
      </c>
      <c r="Q24" s="328">
        <v>14250</v>
      </c>
      <c r="R24" s="529">
        <v>14250</v>
      </c>
      <c r="S24" s="529">
        <v>14250</v>
      </c>
      <c r="T24" s="529">
        <v>14250</v>
      </c>
      <c r="U24" s="529">
        <v>14250</v>
      </c>
      <c r="V24" s="529">
        <v>14250</v>
      </c>
      <c r="W24" s="247">
        <v>15200</v>
      </c>
      <c r="X24" s="14">
        <f t="shared" si="9"/>
        <v>176700</v>
      </c>
      <c r="Y24" s="245"/>
      <c r="Z24" s="69"/>
    </row>
    <row r="25" spans="1:26">
      <c r="A25" s="114">
        <f t="shared" si="10"/>
        <v>2023018</v>
      </c>
      <c r="B25" s="74"/>
      <c r="C25" s="558"/>
      <c r="D25" s="561"/>
      <c r="E25" s="561"/>
      <c r="F25" s="561"/>
      <c r="G25" s="561"/>
      <c r="H25" s="563"/>
      <c r="I25" s="546"/>
      <c r="J25" s="543"/>
      <c r="K25" s="168" t="s">
        <v>30</v>
      </c>
      <c r="L25" s="328">
        <v>29280</v>
      </c>
      <c r="M25" s="328">
        <v>29280</v>
      </c>
      <c r="N25" s="328">
        <v>29280</v>
      </c>
      <c r="O25" s="328">
        <v>29280</v>
      </c>
      <c r="P25" s="328">
        <v>29280</v>
      </c>
      <c r="Q25" s="328">
        <v>27450</v>
      </c>
      <c r="R25" s="529">
        <v>27450</v>
      </c>
      <c r="S25" s="529">
        <v>27450</v>
      </c>
      <c r="T25" s="529">
        <v>27450</v>
      </c>
      <c r="U25" s="529">
        <v>27450</v>
      </c>
      <c r="V25" s="529">
        <v>27450</v>
      </c>
      <c r="W25" s="247">
        <v>29280</v>
      </c>
      <c r="X25" s="14">
        <f t="shared" si="9"/>
        <v>340380</v>
      </c>
      <c r="Y25" s="245"/>
      <c r="Z25" s="69"/>
    </row>
    <row r="26" spans="1:26">
      <c r="A26" s="114">
        <f t="shared" si="10"/>
        <v>2023018</v>
      </c>
      <c r="B26" s="74"/>
      <c r="C26" s="558"/>
      <c r="D26" s="561"/>
      <c r="E26" s="561"/>
      <c r="F26" s="561"/>
      <c r="G26" s="561"/>
      <c r="H26" s="563"/>
      <c r="I26" s="546"/>
      <c r="J26" s="543"/>
      <c r="K26" s="168" t="s">
        <v>31</v>
      </c>
      <c r="L26" s="328">
        <v>1566</v>
      </c>
      <c r="M26" s="328">
        <v>1456</v>
      </c>
      <c r="N26" s="328">
        <v>1621</v>
      </c>
      <c r="O26" s="328">
        <v>1715</v>
      </c>
      <c r="P26" s="328">
        <v>1384</v>
      </c>
      <c r="Q26" s="328">
        <v>1414</v>
      </c>
      <c r="R26" s="529">
        <v>1650</v>
      </c>
      <c r="S26" s="529">
        <v>1407</v>
      </c>
      <c r="T26" s="529">
        <v>1602</v>
      </c>
      <c r="U26" s="529">
        <v>1327</v>
      </c>
      <c r="V26" s="529">
        <v>1472</v>
      </c>
      <c r="W26" s="247">
        <v>1566</v>
      </c>
      <c r="X26" s="14">
        <f t="shared" si="9"/>
        <v>18180</v>
      </c>
      <c r="Y26" s="245"/>
      <c r="Z26" s="69"/>
    </row>
    <row r="27" spans="1:26">
      <c r="A27" s="114">
        <f t="shared" si="10"/>
        <v>2023018</v>
      </c>
      <c r="B27" s="74"/>
      <c r="C27" s="558"/>
      <c r="D27" s="561"/>
      <c r="E27" s="561"/>
      <c r="F27" s="561"/>
      <c r="G27" s="561"/>
      <c r="H27" s="563"/>
      <c r="I27" s="546"/>
      <c r="J27" s="543"/>
      <c r="K27" s="168" t="s">
        <v>32</v>
      </c>
      <c r="L27" s="328">
        <v>1723</v>
      </c>
      <c r="M27" s="328">
        <v>1602</v>
      </c>
      <c r="N27" s="328">
        <v>1783</v>
      </c>
      <c r="O27" s="328">
        <v>1886</v>
      </c>
      <c r="P27" s="328">
        <v>1523</v>
      </c>
      <c r="Q27" s="328">
        <v>1555</v>
      </c>
      <c r="R27" s="529">
        <v>1815</v>
      </c>
      <c r="S27" s="529">
        <v>1547</v>
      </c>
      <c r="T27" s="529">
        <v>1763</v>
      </c>
      <c r="U27" s="529">
        <v>1460</v>
      </c>
      <c r="V27" s="529">
        <v>1619</v>
      </c>
      <c r="W27" s="247">
        <v>1723</v>
      </c>
      <c r="X27" s="14">
        <f t="shared" si="9"/>
        <v>19999</v>
      </c>
      <c r="Y27" s="245"/>
      <c r="Z27" s="69"/>
    </row>
    <row r="28" spans="1:26">
      <c r="A28" s="114">
        <f t="shared" si="10"/>
        <v>2023018</v>
      </c>
      <c r="B28" s="74"/>
      <c r="C28" s="559"/>
      <c r="D28" s="562"/>
      <c r="E28" s="562"/>
      <c r="F28" s="562"/>
      <c r="G28" s="562"/>
      <c r="H28" s="564"/>
      <c r="I28" s="547"/>
      <c r="J28" s="544"/>
      <c r="K28" s="170" t="s">
        <v>33</v>
      </c>
      <c r="L28" s="338">
        <f t="shared" ref="L28:X28" si="12">L17-L20</f>
        <v>87651</v>
      </c>
      <c r="M28" s="331">
        <f t="shared" si="12"/>
        <v>82225</v>
      </c>
      <c r="N28" s="331">
        <f t="shared" si="12"/>
        <v>71756</v>
      </c>
      <c r="O28" s="331">
        <f t="shared" si="12"/>
        <v>69885</v>
      </c>
      <c r="P28" s="331">
        <f t="shared" si="12"/>
        <v>30616</v>
      </c>
      <c r="Q28" s="331">
        <f t="shared" si="12"/>
        <v>65657</v>
      </c>
      <c r="R28" s="405">
        <f t="shared" si="12"/>
        <v>64021</v>
      </c>
      <c r="S28" s="405">
        <f t="shared" si="12"/>
        <v>25068</v>
      </c>
      <c r="T28" s="405">
        <f t="shared" si="12"/>
        <v>-31994</v>
      </c>
      <c r="U28" s="405">
        <f t="shared" si="12"/>
        <v>63140</v>
      </c>
      <c r="V28" s="405">
        <f t="shared" si="12"/>
        <v>81102</v>
      </c>
      <c r="W28" s="90">
        <f t="shared" si="12"/>
        <v>87651</v>
      </c>
      <c r="X28" s="16">
        <f t="shared" si="12"/>
        <v>696778</v>
      </c>
      <c r="Z28" s="69"/>
    </row>
    <row r="29" spans="1:26" ht="14.15" customHeight="1">
      <c r="A29" s="115">
        <v>2017037</v>
      </c>
      <c r="C29" s="557">
        <f t="shared" ref="C29" si="13">C17+1</f>
        <v>3</v>
      </c>
      <c r="D29" s="560" t="s">
        <v>88</v>
      </c>
      <c r="E29" s="560" t="s">
        <v>176</v>
      </c>
      <c r="F29" s="560"/>
      <c r="G29" s="560" t="s">
        <v>119</v>
      </c>
      <c r="H29" s="545"/>
      <c r="I29" s="545" t="s">
        <v>91</v>
      </c>
      <c r="J29" s="542" t="s">
        <v>89</v>
      </c>
      <c r="K29" s="181" t="s">
        <v>23</v>
      </c>
      <c r="L29" s="339">
        <f t="shared" ref="L29:S29" si="14">L30+L31</f>
        <v>476000</v>
      </c>
      <c r="M29" s="471">
        <f t="shared" si="14"/>
        <v>451500</v>
      </c>
      <c r="N29" s="471">
        <f t="shared" si="14"/>
        <v>517650</v>
      </c>
      <c r="O29" s="471">
        <f t="shared" si="14"/>
        <v>511350</v>
      </c>
      <c r="P29" s="471">
        <f t="shared" si="14"/>
        <v>473200</v>
      </c>
      <c r="Q29" s="471">
        <f t="shared" si="14"/>
        <v>439600</v>
      </c>
      <c r="R29" s="471">
        <f t="shared" si="14"/>
        <v>490700</v>
      </c>
      <c r="S29" s="471">
        <f t="shared" si="14"/>
        <v>344750</v>
      </c>
      <c r="T29" s="471">
        <v>0</v>
      </c>
      <c r="U29" s="406">
        <v>0</v>
      </c>
      <c r="V29" s="406">
        <v>0</v>
      </c>
      <c r="W29" s="478">
        <v>0</v>
      </c>
      <c r="X29" s="493">
        <f t="shared" ref="X29:X39" si="15">SUM(L29:W29)</f>
        <v>3704750</v>
      </c>
      <c r="Z29" s="69"/>
    </row>
    <row r="30" spans="1:26">
      <c r="A30" s="114">
        <f t="shared" ref="A30:A40" si="16">+A29</f>
        <v>2017037</v>
      </c>
      <c r="B30" s="74"/>
      <c r="C30" s="558"/>
      <c r="D30" s="561"/>
      <c r="E30" s="561"/>
      <c r="F30" s="561"/>
      <c r="G30" s="561"/>
      <c r="H30" s="563"/>
      <c r="I30" s="546"/>
      <c r="J30" s="543"/>
      <c r="K30" s="168" t="s">
        <v>24</v>
      </c>
      <c r="L30" s="327">
        <v>476000</v>
      </c>
      <c r="M30" s="327">
        <v>451500</v>
      </c>
      <c r="N30" s="327">
        <v>517650</v>
      </c>
      <c r="O30" s="327">
        <v>511350</v>
      </c>
      <c r="P30" s="327">
        <v>473200</v>
      </c>
      <c r="Q30" s="327">
        <v>439600</v>
      </c>
      <c r="R30" s="327">
        <v>490700</v>
      </c>
      <c r="S30" s="327">
        <v>344750</v>
      </c>
      <c r="T30" s="327"/>
      <c r="U30" s="528"/>
      <c r="V30" s="528"/>
      <c r="W30" s="327"/>
      <c r="X30" s="494">
        <f t="shared" si="15"/>
        <v>3704750</v>
      </c>
      <c r="Y30" s="245"/>
      <c r="Z30" s="69"/>
    </row>
    <row r="31" spans="1:26">
      <c r="A31" s="114">
        <f t="shared" si="16"/>
        <v>2017037</v>
      </c>
      <c r="B31" s="74"/>
      <c r="C31" s="558"/>
      <c r="D31" s="561"/>
      <c r="E31" s="561"/>
      <c r="F31" s="561"/>
      <c r="G31" s="561"/>
      <c r="H31" s="563"/>
      <c r="I31" s="546"/>
      <c r="J31" s="543"/>
      <c r="K31" s="168" t="s">
        <v>25</v>
      </c>
      <c r="L31" s="327"/>
      <c r="M31" s="328"/>
      <c r="N31" s="328"/>
      <c r="O31" s="329"/>
      <c r="P31" s="329"/>
      <c r="Q31" s="329"/>
      <c r="R31" s="329"/>
      <c r="S31" s="329"/>
      <c r="T31" s="329"/>
      <c r="U31" s="410"/>
      <c r="V31" s="410"/>
      <c r="W31" s="513"/>
      <c r="X31" s="494">
        <f t="shared" si="15"/>
        <v>0</v>
      </c>
      <c r="Z31" s="69"/>
    </row>
    <row r="32" spans="1:26">
      <c r="A32" s="114">
        <f t="shared" si="16"/>
        <v>2017037</v>
      </c>
      <c r="B32" s="74"/>
      <c r="C32" s="558"/>
      <c r="D32" s="561"/>
      <c r="E32" s="561"/>
      <c r="F32" s="561"/>
      <c r="G32" s="561"/>
      <c r="H32" s="563"/>
      <c r="I32" s="546"/>
      <c r="J32" s="543"/>
      <c r="K32" s="169" t="s">
        <v>26</v>
      </c>
      <c r="L32" s="337">
        <f t="shared" ref="L32:W32" si="17">SUM(L33:L39)</f>
        <v>391803</v>
      </c>
      <c r="M32" s="506">
        <f t="shared" si="17"/>
        <v>378121</v>
      </c>
      <c r="N32" s="506">
        <f t="shared" si="17"/>
        <v>409837</v>
      </c>
      <c r="O32" s="330">
        <f t="shared" si="17"/>
        <v>406460</v>
      </c>
      <c r="P32" s="330">
        <f t="shared" si="17"/>
        <v>374789</v>
      </c>
      <c r="Q32" s="330">
        <f t="shared" si="17"/>
        <v>358626</v>
      </c>
      <c r="R32" s="330">
        <f t="shared" si="17"/>
        <v>382696</v>
      </c>
      <c r="S32" s="330">
        <f t="shared" si="17"/>
        <v>334100</v>
      </c>
      <c r="T32" s="330">
        <v>0</v>
      </c>
      <c r="U32" s="426">
        <v>0</v>
      </c>
      <c r="V32" s="426">
        <v>0</v>
      </c>
      <c r="W32" s="495">
        <f t="shared" si="17"/>
        <v>0</v>
      </c>
      <c r="X32" s="496">
        <f t="shared" si="15"/>
        <v>3036432</v>
      </c>
      <c r="Z32" s="69"/>
    </row>
    <row r="33" spans="1:26">
      <c r="A33" s="114">
        <f t="shared" si="16"/>
        <v>2017037</v>
      </c>
      <c r="B33" s="74"/>
      <c r="C33" s="558"/>
      <c r="D33" s="561"/>
      <c r="E33" s="561"/>
      <c r="F33" s="561"/>
      <c r="G33" s="561"/>
      <c r="H33" s="563"/>
      <c r="I33" s="546"/>
      <c r="J33" s="543"/>
      <c r="K33" s="168" t="s">
        <v>27</v>
      </c>
      <c r="L33" s="327">
        <v>329163</v>
      </c>
      <c r="M33" s="327">
        <v>319163</v>
      </c>
      <c r="N33" s="327">
        <v>350550</v>
      </c>
      <c r="O33" s="327">
        <v>354288</v>
      </c>
      <c r="P33" s="327">
        <v>324125</v>
      </c>
      <c r="Q33" s="327">
        <v>306950</v>
      </c>
      <c r="R33" s="327">
        <v>331950</v>
      </c>
      <c r="S33" s="327">
        <v>281500</v>
      </c>
      <c r="T33" s="327"/>
      <c r="U33" s="528"/>
      <c r="V33" s="528"/>
      <c r="W33" s="327"/>
      <c r="X33" s="494">
        <f t="shared" si="15"/>
        <v>2597689</v>
      </c>
      <c r="Y33" s="245"/>
      <c r="Z33" s="69"/>
    </row>
    <row r="34" spans="1:26">
      <c r="A34" s="114">
        <f t="shared" si="16"/>
        <v>2017037</v>
      </c>
      <c r="B34" s="74"/>
      <c r="C34" s="558"/>
      <c r="D34" s="561"/>
      <c r="E34" s="561"/>
      <c r="F34" s="561"/>
      <c r="G34" s="561"/>
      <c r="H34" s="563"/>
      <c r="I34" s="546"/>
      <c r="J34" s="543"/>
      <c r="K34" s="168" t="s">
        <v>107</v>
      </c>
      <c r="L34" s="327"/>
      <c r="M34" s="327"/>
      <c r="N34" s="327"/>
      <c r="O34" s="327"/>
      <c r="P34" s="327"/>
      <c r="Q34" s="327"/>
      <c r="R34" s="327"/>
      <c r="S34" s="327"/>
      <c r="T34" s="327"/>
      <c r="U34" s="528"/>
      <c r="V34" s="528"/>
      <c r="W34" s="327"/>
      <c r="X34" s="494">
        <f t="shared" si="15"/>
        <v>0</v>
      </c>
      <c r="Y34" s="245"/>
      <c r="Z34" s="69"/>
    </row>
    <row r="35" spans="1:26">
      <c r="A35" s="114">
        <f t="shared" si="16"/>
        <v>2017037</v>
      </c>
      <c r="B35" s="74"/>
      <c r="C35" s="558"/>
      <c r="D35" s="561"/>
      <c r="E35" s="561"/>
      <c r="F35" s="561"/>
      <c r="G35" s="561"/>
      <c r="H35" s="563"/>
      <c r="I35" s="546"/>
      <c r="J35" s="543"/>
      <c r="K35" s="168" t="s">
        <v>28</v>
      </c>
      <c r="L35" s="327">
        <v>11800</v>
      </c>
      <c r="M35" s="327">
        <v>8260</v>
      </c>
      <c r="N35" s="327">
        <v>8260</v>
      </c>
      <c r="O35" s="327">
        <v>1180</v>
      </c>
      <c r="P35" s="327">
        <v>0</v>
      </c>
      <c r="Q35" s="327">
        <v>1180</v>
      </c>
      <c r="R35" s="327">
        <v>0</v>
      </c>
      <c r="S35" s="327">
        <v>2360</v>
      </c>
      <c r="T35" s="327"/>
      <c r="U35" s="528"/>
      <c r="V35" s="528"/>
      <c r="W35" s="327"/>
      <c r="X35" s="494">
        <f t="shared" si="15"/>
        <v>33040</v>
      </c>
      <c r="Y35" s="245"/>
      <c r="Z35" s="69"/>
    </row>
    <row r="36" spans="1:26">
      <c r="A36" s="114">
        <f t="shared" si="16"/>
        <v>2017037</v>
      </c>
      <c r="B36" s="74"/>
      <c r="C36" s="558"/>
      <c r="D36" s="561"/>
      <c r="E36" s="561"/>
      <c r="F36" s="561"/>
      <c r="G36" s="561"/>
      <c r="H36" s="563"/>
      <c r="I36" s="546"/>
      <c r="J36" s="543"/>
      <c r="K36" s="168" t="s">
        <v>29</v>
      </c>
      <c r="L36" s="328">
        <v>16150</v>
      </c>
      <c r="M36" s="328">
        <v>16150</v>
      </c>
      <c r="N36" s="328">
        <v>16150</v>
      </c>
      <c r="O36" s="328">
        <v>16150</v>
      </c>
      <c r="P36" s="328">
        <v>16150</v>
      </c>
      <c r="Q36" s="328">
        <v>16150</v>
      </c>
      <c r="R36" s="328">
        <v>16150</v>
      </c>
      <c r="S36" s="328">
        <v>16150</v>
      </c>
      <c r="T36" s="328"/>
      <c r="U36" s="529"/>
      <c r="V36" s="529"/>
      <c r="W36" s="328"/>
      <c r="X36" s="494">
        <f t="shared" si="15"/>
        <v>129200</v>
      </c>
      <c r="Y36" s="245"/>
      <c r="Z36" s="69"/>
    </row>
    <row r="37" spans="1:26">
      <c r="A37" s="114">
        <f t="shared" si="16"/>
        <v>2017037</v>
      </c>
      <c r="B37" s="74"/>
      <c r="C37" s="558"/>
      <c r="D37" s="561"/>
      <c r="E37" s="561"/>
      <c r="F37" s="561"/>
      <c r="G37" s="561"/>
      <c r="H37" s="563"/>
      <c r="I37" s="546"/>
      <c r="J37" s="543"/>
      <c r="K37" s="168" t="s">
        <v>30</v>
      </c>
      <c r="L37" s="328">
        <v>31110</v>
      </c>
      <c r="M37" s="328">
        <v>31110</v>
      </c>
      <c r="N37" s="328">
        <v>31110</v>
      </c>
      <c r="O37" s="328">
        <v>31110</v>
      </c>
      <c r="P37" s="328">
        <v>31110</v>
      </c>
      <c r="Q37" s="328">
        <v>31110</v>
      </c>
      <c r="R37" s="328">
        <v>31110</v>
      </c>
      <c r="S37" s="328">
        <v>31110</v>
      </c>
      <c r="T37" s="328"/>
      <c r="U37" s="529"/>
      <c r="V37" s="529"/>
      <c r="W37" s="328"/>
      <c r="X37" s="494">
        <f t="shared" si="15"/>
        <v>248880</v>
      </c>
      <c r="Y37" s="245"/>
      <c r="Z37" s="69"/>
    </row>
    <row r="38" spans="1:26">
      <c r="A38" s="114">
        <f t="shared" si="16"/>
        <v>2017037</v>
      </c>
      <c r="B38" s="74"/>
      <c r="C38" s="558"/>
      <c r="D38" s="561"/>
      <c r="E38" s="561"/>
      <c r="F38" s="561"/>
      <c r="G38" s="561"/>
      <c r="H38" s="563"/>
      <c r="I38" s="546"/>
      <c r="J38" s="543"/>
      <c r="K38" s="168" t="s">
        <v>31</v>
      </c>
      <c r="L38" s="328">
        <v>1705</v>
      </c>
      <c r="M38" s="328">
        <v>1637</v>
      </c>
      <c r="N38" s="328">
        <v>1794</v>
      </c>
      <c r="O38" s="328">
        <v>1777</v>
      </c>
      <c r="P38" s="328">
        <v>1621</v>
      </c>
      <c r="Q38" s="328">
        <v>1541</v>
      </c>
      <c r="R38" s="328">
        <v>1660</v>
      </c>
      <c r="S38" s="328">
        <v>1419</v>
      </c>
      <c r="T38" s="328"/>
      <c r="U38" s="529"/>
      <c r="V38" s="529"/>
      <c r="W38" s="328"/>
      <c r="X38" s="494">
        <f t="shared" si="15"/>
        <v>13154</v>
      </c>
      <c r="Y38" s="245"/>
      <c r="Z38" s="69"/>
    </row>
    <row r="39" spans="1:26">
      <c r="A39" s="114">
        <f t="shared" si="16"/>
        <v>2017037</v>
      </c>
      <c r="B39" s="74"/>
      <c r="C39" s="558"/>
      <c r="D39" s="561"/>
      <c r="E39" s="561"/>
      <c r="F39" s="561"/>
      <c r="G39" s="561"/>
      <c r="H39" s="563"/>
      <c r="I39" s="546"/>
      <c r="J39" s="543"/>
      <c r="K39" s="168" t="s">
        <v>32</v>
      </c>
      <c r="L39" s="328">
        <v>1875</v>
      </c>
      <c r="M39" s="328">
        <v>1801</v>
      </c>
      <c r="N39" s="328">
        <v>1973</v>
      </c>
      <c r="O39" s="328">
        <v>1955</v>
      </c>
      <c r="P39" s="328">
        <v>1783</v>
      </c>
      <c r="Q39" s="328">
        <v>1695</v>
      </c>
      <c r="R39" s="328">
        <v>1826</v>
      </c>
      <c r="S39" s="328">
        <v>1561</v>
      </c>
      <c r="T39" s="328"/>
      <c r="U39" s="529"/>
      <c r="V39" s="529"/>
      <c r="W39" s="328"/>
      <c r="X39" s="494">
        <f t="shared" si="15"/>
        <v>14469</v>
      </c>
      <c r="Y39" s="245"/>
      <c r="Z39" s="69"/>
    </row>
    <row r="40" spans="1:26">
      <c r="A40" s="114">
        <f t="shared" si="16"/>
        <v>2017037</v>
      </c>
      <c r="B40" s="74"/>
      <c r="C40" s="559"/>
      <c r="D40" s="562"/>
      <c r="E40" s="562"/>
      <c r="F40" s="562"/>
      <c r="G40" s="562"/>
      <c r="H40" s="564"/>
      <c r="I40" s="547"/>
      <c r="J40" s="544"/>
      <c r="K40" s="170" t="s">
        <v>33</v>
      </c>
      <c r="L40" s="338">
        <f t="shared" ref="L40:W40" si="18">L29-L32</f>
        <v>84197</v>
      </c>
      <c r="M40" s="331">
        <f t="shared" si="18"/>
        <v>73379</v>
      </c>
      <c r="N40" s="331">
        <f t="shared" si="18"/>
        <v>107813</v>
      </c>
      <c r="O40" s="331">
        <f t="shared" si="18"/>
        <v>104890</v>
      </c>
      <c r="P40" s="331">
        <f t="shared" si="18"/>
        <v>98411</v>
      </c>
      <c r="Q40" s="331">
        <f t="shared" si="18"/>
        <v>80974</v>
      </c>
      <c r="R40" s="331">
        <f t="shared" si="18"/>
        <v>108004</v>
      </c>
      <c r="S40" s="331">
        <f t="shared" si="18"/>
        <v>10650</v>
      </c>
      <c r="T40" s="331">
        <f t="shared" si="18"/>
        <v>0</v>
      </c>
      <c r="U40" s="405">
        <f t="shared" si="18"/>
        <v>0</v>
      </c>
      <c r="V40" s="405">
        <f t="shared" si="18"/>
        <v>0</v>
      </c>
      <c r="W40" s="484">
        <f t="shared" si="18"/>
        <v>0</v>
      </c>
      <c r="X40" s="497">
        <f>X29-X32</f>
        <v>668318</v>
      </c>
      <c r="Z40" s="69"/>
    </row>
    <row r="41" spans="1:26" ht="14.15" customHeight="1">
      <c r="A41" s="115">
        <v>2016012</v>
      </c>
      <c r="C41" s="557">
        <f t="shared" ref="C41" si="19">C29+1</f>
        <v>4</v>
      </c>
      <c r="D41" s="560" t="s">
        <v>88</v>
      </c>
      <c r="E41" s="560"/>
      <c r="F41" s="560"/>
      <c r="G41" s="560" t="s">
        <v>119</v>
      </c>
      <c r="H41" s="545"/>
      <c r="I41" s="545" t="s">
        <v>91</v>
      </c>
      <c r="J41" s="542" t="s">
        <v>89</v>
      </c>
      <c r="K41" s="181" t="s">
        <v>23</v>
      </c>
      <c r="L41" s="339">
        <f t="shared" ref="L41:W41" si="20">L42+L43</f>
        <v>597200</v>
      </c>
      <c r="M41" s="471">
        <f t="shared" si="20"/>
        <v>568530</v>
      </c>
      <c r="N41" s="471">
        <f t="shared" si="20"/>
        <v>600300</v>
      </c>
      <c r="O41" s="471">
        <f t="shared" si="20"/>
        <v>565000</v>
      </c>
      <c r="P41" s="471">
        <f t="shared" si="20"/>
        <v>565000</v>
      </c>
      <c r="Q41" s="471">
        <f t="shared" si="20"/>
        <v>580885</v>
      </c>
      <c r="R41" s="406">
        <f t="shared" si="20"/>
        <v>783860</v>
      </c>
      <c r="S41" s="406">
        <f t="shared" si="20"/>
        <v>582650</v>
      </c>
      <c r="T41" s="406">
        <f t="shared" si="20"/>
        <v>660310</v>
      </c>
      <c r="U41" s="406">
        <f t="shared" si="20"/>
        <v>626775</v>
      </c>
      <c r="V41" s="406">
        <f t="shared" si="20"/>
        <v>565000</v>
      </c>
      <c r="W41" s="94">
        <f t="shared" si="20"/>
        <v>597200</v>
      </c>
      <c r="X41" s="32">
        <f t="shared" ref="X41:X51" si="21">SUM(L41:W41)</f>
        <v>7292710</v>
      </c>
      <c r="Z41" s="69"/>
    </row>
    <row r="42" spans="1:26">
      <c r="A42" s="114">
        <f t="shared" ref="A42:A52" si="22">+A41</f>
        <v>2016012</v>
      </c>
      <c r="B42" s="74"/>
      <c r="C42" s="558"/>
      <c r="D42" s="561"/>
      <c r="E42" s="561"/>
      <c r="F42" s="561"/>
      <c r="G42" s="561"/>
      <c r="H42" s="563"/>
      <c r="I42" s="546"/>
      <c r="J42" s="543"/>
      <c r="K42" s="168" t="s">
        <v>24</v>
      </c>
      <c r="L42" s="327">
        <v>597200</v>
      </c>
      <c r="M42" s="327">
        <v>568530</v>
      </c>
      <c r="N42" s="327">
        <v>600300</v>
      </c>
      <c r="O42" s="327">
        <v>565000</v>
      </c>
      <c r="P42" s="327">
        <v>565000</v>
      </c>
      <c r="Q42" s="327">
        <v>580885</v>
      </c>
      <c r="R42" s="528">
        <v>783860</v>
      </c>
      <c r="S42" s="528">
        <v>582650</v>
      </c>
      <c r="T42" s="528">
        <v>660310</v>
      </c>
      <c r="U42" s="528">
        <v>626775</v>
      </c>
      <c r="V42" s="528">
        <v>565000</v>
      </c>
      <c r="W42" s="246">
        <v>597200</v>
      </c>
      <c r="X42" s="14">
        <f t="shared" si="21"/>
        <v>7292710</v>
      </c>
      <c r="Y42" s="245"/>
      <c r="Z42" s="69"/>
    </row>
    <row r="43" spans="1:26">
      <c r="A43" s="114">
        <f t="shared" si="22"/>
        <v>2016012</v>
      </c>
      <c r="B43" s="74"/>
      <c r="C43" s="558"/>
      <c r="D43" s="561"/>
      <c r="E43" s="561"/>
      <c r="F43" s="561"/>
      <c r="G43" s="561"/>
      <c r="H43" s="563"/>
      <c r="I43" s="546"/>
      <c r="J43" s="543"/>
      <c r="K43" s="168" t="s">
        <v>25</v>
      </c>
      <c r="L43" s="327"/>
      <c r="M43" s="328"/>
      <c r="N43" s="328"/>
      <c r="O43" s="329"/>
      <c r="P43" s="329"/>
      <c r="Q43" s="329"/>
      <c r="R43" s="410"/>
      <c r="S43" s="410"/>
      <c r="T43" s="410"/>
      <c r="U43" s="410"/>
      <c r="V43" s="410"/>
      <c r="W43" s="88"/>
      <c r="X43" s="14">
        <f t="shared" si="21"/>
        <v>0</v>
      </c>
      <c r="Z43" s="69"/>
    </row>
    <row r="44" spans="1:26">
      <c r="A44" s="114">
        <f t="shared" si="22"/>
        <v>2016012</v>
      </c>
      <c r="B44" s="74"/>
      <c r="C44" s="558"/>
      <c r="D44" s="561"/>
      <c r="E44" s="561"/>
      <c r="F44" s="561"/>
      <c r="G44" s="561"/>
      <c r="H44" s="563"/>
      <c r="I44" s="546"/>
      <c r="J44" s="543"/>
      <c r="K44" s="169" t="s">
        <v>26</v>
      </c>
      <c r="L44" s="337">
        <f t="shared" ref="L44:W44" si="23">SUM(L45:L51)</f>
        <v>516375</v>
      </c>
      <c r="M44" s="506">
        <f t="shared" si="23"/>
        <v>491590</v>
      </c>
      <c r="N44" s="506">
        <f t="shared" si="23"/>
        <v>487205</v>
      </c>
      <c r="O44" s="330">
        <f t="shared" si="23"/>
        <v>509546</v>
      </c>
      <c r="P44" s="330">
        <f t="shared" si="23"/>
        <v>480638</v>
      </c>
      <c r="Q44" s="330">
        <f t="shared" si="23"/>
        <v>514272</v>
      </c>
      <c r="R44" s="426">
        <f t="shared" si="23"/>
        <v>610877</v>
      </c>
      <c r="S44" s="426">
        <f t="shared" si="23"/>
        <v>495545</v>
      </c>
      <c r="T44" s="426">
        <f t="shared" si="23"/>
        <v>566387</v>
      </c>
      <c r="U44" s="426">
        <f t="shared" si="23"/>
        <v>503931</v>
      </c>
      <c r="V44" s="426">
        <f t="shared" si="23"/>
        <v>453221</v>
      </c>
      <c r="W44" s="89">
        <f t="shared" si="23"/>
        <v>516375</v>
      </c>
      <c r="X44" s="15">
        <f t="shared" si="21"/>
        <v>6145962</v>
      </c>
      <c r="Z44" s="69"/>
    </row>
    <row r="45" spans="1:26">
      <c r="A45" s="114">
        <f t="shared" si="22"/>
        <v>2016012</v>
      </c>
      <c r="B45" s="74"/>
      <c r="C45" s="558"/>
      <c r="D45" s="561"/>
      <c r="E45" s="561"/>
      <c r="F45" s="561"/>
      <c r="G45" s="561"/>
      <c r="H45" s="563"/>
      <c r="I45" s="546"/>
      <c r="J45" s="543"/>
      <c r="K45" s="168" t="s">
        <v>27</v>
      </c>
      <c r="L45" s="327">
        <v>441250</v>
      </c>
      <c r="M45" s="327">
        <v>418200</v>
      </c>
      <c r="N45" s="327">
        <v>417700</v>
      </c>
      <c r="O45" s="327">
        <v>437150</v>
      </c>
      <c r="P45" s="327">
        <v>411200</v>
      </c>
      <c r="Q45" s="327">
        <v>423700</v>
      </c>
      <c r="R45" s="528">
        <v>532659</v>
      </c>
      <c r="S45" s="528">
        <v>418900</v>
      </c>
      <c r="T45" s="528">
        <v>489450</v>
      </c>
      <c r="U45" s="528">
        <v>427200</v>
      </c>
      <c r="V45" s="528">
        <v>375950</v>
      </c>
      <c r="W45" s="246">
        <v>441250</v>
      </c>
      <c r="X45" s="14">
        <f t="shared" si="21"/>
        <v>5234609</v>
      </c>
      <c r="Y45" s="245"/>
      <c r="Z45" s="69"/>
    </row>
    <row r="46" spans="1:26">
      <c r="A46" s="114">
        <f t="shared" si="22"/>
        <v>2016012</v>
      </c>
      <c r="B46" s="74"/>
      <c r="C46" s="558"/>
      <c r="D46" s="561"/>
      <c r="E46" s="561"/>
      <c r="F46" s="561"/>
      <c r="G46" s="561"/>
      <c r="H46" s="563"/>
      <c r="I46" s="546"/>
      <c r="J46" s="543"/>
      <c r="K46" s="168" t="s">
        <v>107</v>
      </c>
      <c r="L46" s="327"/>
      <c r="M46" s="327"/>
      <c r="N46" s="327"/>
      <c r="O46" s="327"/>
      <c r="P46" s="327"/>
      <c r="Q46" s="327"/>
      <c r="R46" s="528"/>
      <c r="S46" s="528"/>
      <c r="T46" s="528"/>
      <c r="U46" s="528"/>
      <c r="V46" s="528"/>
      <c r="W46" s="246"/>
      <c r="X46" s="14">
        <f t="shared" si="21"/>
        <v>0</v>
      </c>
      <c r="Y46" s="245"/>
      <c r="Z46" s="69"/>
    </row>
    <row r="47" spans="1:26">
      <c r="A47" s="114">
        <f t="shared" si="22"/>
        <v>2016012</v>
      </c>
      <c r="B47" s="74"/>
      <c r="C47" s="558"/>
      <c r="D47" s="561"/>
      <c r="E47" s="561"/>
      <c r="F47" s="561"/>
      <c r="G47" s="561"/>
      <c r="H47" s="563"/>
      <c r="I47" s="546"/>
      <c r="J47" s="543"/>
      <c r="K47" s="168" t="s">
        <v>28</v>
      </c>
      <c r="L47" s="327">
        <v>5316</v>
      </c>
      <c r="M47" s="327">
        <v>3879</v>
      </c>
      <c r="N47" s="327">
        <v>0</v>
      </c>
      <c r="O47" s="327">
        <v>2658</v>
      </c>
      <c r="P47" s="327">
        <v>0</v>
      </c>
      <c r="Q47" s="327">
        <v>16391</v>
      </c>
      <c r="R47" s="528">
        <v>3034</v>
      </c>
      <c r="S47" s="528">
        <v>2658</v>
      </c>
      <c r="T47" s="528">
        <v>2215</v>
      </c>
      <c r="U47" s="528">
        <v>2658</v>
      </c>
      <c r="V47" s="528">
        <v>3544</v>
      </c>
      <c r="W47" s="246">
        <v>5316</v>
      </c>
      <c r="X47" s="14">
        <f t="shared" si="21"/>
        <v>47669</v>
      </c>
      <c r="Y47" s="245"/>
      <c r="Z47" s="69"/>
    </row>
    <row r="48" spans="1:26">
      <c r="A48" s="114">
        <f t="shared" si="22"/>
        <v>2016012</v>
      </c>
      <c r="B48" s="74"/>
      <c r="C48" s="558"/>
      <c r="D48" s="561"/>
      <c r="E48" s="561"/>
      <c r="F48" s="561"/>
      <c r="G48" s="561"/>
      <c r="H48" s="563"/>
      <c r="I48" s="546"/>
      <c r="J48" s="543"/>
      <c r="K48" s="168" t="s">
        <v>29</v>
      </c>
      <c r="L48" s="328">
        <v>24860</v>
      </c>
      <c r="M48" s="328">
        <v>24860</v>
      </c>
      <c r="N48" s="328">
        <v>24860</v>
      </c>
      <c r="O48" s="328">
        <v>24860</v>
      </c>
      <c r="P48" s="328">
        <v>24860</v>
      </c>
      <c r="Q48" s="328">
        <v>26555</v>
      </c>
      <c r="R48" s="529">
        <v>26555</v>
      </c>
      <c r="S48" s="529">
        <v>26555</v>
      </c>
      <c r="T48" s="529">
        <v>26555</v>
      </c>
      <c r="U48" s="529">
        <v>26555</v>
      </c>
      <c r="V48" s="529">
        <v>26555</v>
      </c>
      <c r="W48" s="247">
        <v>24860</v>
      </c>
      <c r="X48" s="14">
        <f t="shared" si="21"/>
        <v>308490</v>
      </c>
      <c r="Y48" s="245"/>
      <c r="Z48" s="69"/>
    </row>
    <row r="49" spans="1:26">
      <c r="A49" s="114">
        <f t="shared" si="22"/>
        <v>2016012</v>
      </c>
      <c r="B49" s="74"/>
      <c r="C49" s="558"/>
      <c r="D49" s="561"/>
      <c r="E49" s="561"/>
      <c r="F49" s="561"/>
      <c r="G49" s="561"/>
      <c r="H49" s="563"/>
      <c r="I49" s="546"/>
      <c r="J49" s="543"/>
      <c r="K49" s="168" t="s">
        <v>30</v>
      </c>
      <c r="L49" s="328">
        <v>40260</v>
      </c>
      <c r="M49" s="328">
        <v>40260</v>
      </c>
      <c r="N49" s="328">
        <v>40260</v>
      </c>
      <c r="O49" s="328">
        <v>40260</v>
      </c>
      <c r="P49" s="328">
        <v>40260</v>
      </c>
      <c r="Q49" s="328">
        <v>43005</v>
      </c>
      <c r="R49" s="529">
        <v>43005</v>
      </c>
      <c r="S49" s="529">
        <v>43005</v>
      </c>
      <c r="T49" s="529">
        <v>43005</v>
      </c>
      <c r="U49" s="529">
        <v>43005</v>
      </c>
      <c r="V49" s="529">
        <v>43005</v>
      </c>
      <c r="W49" s="247">
        <v>40260</v>
      </c>
      <c r="X49" s="14">
        <f t="shared" si="21"/>
        <v>499590</v>
      </c>
      <c r="Y49" s="245"/>
      <c r="Z49" s="69"/>
    </row>
    <row r="50" spans="1:26">
      <c r="A50" s="114">
        <f t="shared" si="22"/>
        <v>2016012</v>
      </c>
      <c r="B50" s="74"/>
      <c r="C50" s="558"/>
      <c r="D50" s="561"/>
      <c r="E50" s="561"/>
      <c r="F50" s="561"/>
      <c r="G50" s="561"/>
      <c r="H50" s="563"/>
      <c r="I50" s="546"/>
      <c r="J50" s="543"/>
      <c r="K50" s="168" t="s">
        <v>31</v>
      </c>
      <c r="L50" s="328">
        <v>2233</v>
      </c>
      <c r="M50" s="328">
        <v>2091</v>
      </c>
      <c r="N50" s="328">
        <v>2088</v>
      </c>
      <c r="O50" s="328">
        <v>2199</v>
      </c>
      <c r="P50" s="328">
        <v>2056</v>
      </c>
      <c r="Q50" s="328">
        <v>2200</v>
      </c>
      <c r="R50" s="529">
        <v>2678</v>
      </c>
      <c r="S50" s="529">
        <v>2108</v>
      </c>
      <c r="T50" s="529">
        <v>2458</v>
      </c>
      <c r="U50" s="529">
        <v>2149</v>
      </c>
      <c r="V50" s="529">
        <v>1984</v>
      </c>
      <c r="W50" s="247">
        <v>2233</v>
      </c>
      <c r="X50" s="14">
        <f t="shared" si="21"/>
        <v>26477</v>
      </c>
      <c r="Y50" s="245"/>
      <c r="Z50" s="69"/>
    </row>
    <row r="51" spans="1:26">
      <c r="A51" s="114">
        <f t="shared" si="22"/>
        <v>2016012</v>
      </c>
      <c r="B51" s="74"/>
      <c r="C51" s="558"/>
      <c r="D51" s="561"/>
      <c r="E51" s="561"/>
      <c r="F51" s="561"/>
      <c r="G51" s="561"/>
      <c r="H51" s="563"/>
      <c r="I51" s="546"/>
      <c r="J51" s="543"/>
      <c r="K51" s="168" t="s">
        <v>32</v>
      </c>
      <c r="L51" s="328">
        <v>2456</v>
      </c>
      <c r="M51" s="328">
        <v>2300</v>
      </c>
      <c r="N51" s="328">
        <v>2297</v>
      </c>
      <c r="O51" s="328">
        <v>2419</v>
      </c>
      <c r="P51" s="328">
        <v>2262</v>
      </c>
      <c r="Q51" s="328">
        <v>2421</v>
      </c>
      <c r="R51" s="529">
        <v>2946</v>
      </c>
      <c r="S51" s="529">
        <v>2319</v>
      </c>
      <c r="T51" s="529">
        <v>2704</v>
      </c>
      <c r="U51" s="529">
        <v>2364</v>
      </c>
      <c r="V51" s="529">
        <v>2183</v>
      </c>
      <c r="W51" s="247">
        <v>2456</v>
      </c>
      <c r="X51" s="14">
        <f t="shared" si="21"/>
        <v>29127</v>
      </c>
      <c r="Y51" s="245"/>
      <c r="Z51" s="69"/>
    </row>
    <row r="52" spans="1:26">
      <c r="A52" s="114">
        <f t="shared" si="22"/>
        <v>2016012</v>
      </c>
      <c r="B52" s="74"/>
      <c r="C52" s="559"/>
      <c r="D52" s="562"/>
      <c r="E52" s="562"/>
      <c r="F52" s="562"/>
      <c r="G52" s="562"/>
      <c r="H52" s="564"/>
      <c r="I52" s="547"/>
      <c r="J52" s="544"/>
      <c r="K52" s="170" t="s">
        <v>33</v>
      </c>
      <c r="L52" s="338">
        <f t="shared" ref="L52:X52" si="24">L41-L44</f>
        <v>80825</v>
      </c>
      <c r="M52" s="331">
        <f t="shared" si="24"/>
        <v>76940</v>
      </c>
      <c r="N52" s="331">
        <f t="shared" si="24"/>
        <v>113095</v>
      </c>
      <c r="O52" s="331">
        <f t="shared" si="24"/>
        <v>55454</v>
      </c>
      <c r="P52" s="331">
        <f t="shared" si="24"/>
        <v>84362</v>
      </c>
      <c r="Q52" s="331">
        <f t="shared" si="24"/>
        <v>66613</v>
      </c>
      <c r="R52" s="405">
        <f t="shared" si="24"/>
        <v>172983</v>
      </c>
      <c r="S52" s="405">
        <f t="shared" si="24"/>
        <v>87105</v>
      </c>
      <c r="T52" s="405">
        <f t="shared" si="24"/>
        <v>93923</v>
      </c>
      <c r="U52" s="405">
        <f t="shared" si="24"/>
        <v>122844</v>
      </c>
      <c r="V52" s="405">
        <f t="shared" si="24"/>
        <v>111779</v>
      </c>
      <c r="W52" s="90">
        <f t="shared" si="24"/>
        <v>80825</v>
      </c>
      <c r="X52" s="16">
        <f t="shared" si="24"/>
        <v>1146748</v>
      </c>
      <c r="Z52" s="69"/>
    </row>
    <row r="53" spans="1:26" ht="14.15" customHeight="1">
      <c r="A53" s="115">
        <v>2018043</v>
      </c>
      <c r="C53" s="557">
        <f>C41+1</f>
        <v>5</v>
      </c>
      <c r="D53" s="560" t="s">
        <v>35</v>
      </c>
      <c r="E53" s="560"/>
      <c r="F53" s="560"/>
      <c r="G53" s="560" t="s">
        <v>118</v>
      </c>
      <c r="H53" s="545"/>
      <c r="I53" s="545" t="s">
        <v>91</v>
      </c>
      <c r="J53" s="542" t="s">
        <v>89</v>
      </c>
      <c r="K53" s="181" t="s">
        <v>23</v>
      </c>
      <c r="L53" s="339">
        <f t="shared" ref="L53:W53" si="25">L54+L55</f>
        <v>576675</v>
      </c>
      <c r="M53" s="471">
        <f t="shared" si="25"/>
        <v>505312</v>
      </c>
      <c r="N53" s="471">
        <f t="shared" si="25"/>
        <v>553986</v>
      </c>
      <c r="O53" s="471">
        <f t="shared" si="25"/>
        <v>667425</v>
      </c>
      <c r="P53" s="471">
        <f t="shared" si="25"/>
        <v>573786</v>
      </c>
      <c r="Q53" s="471">
        <f t="shared" si="25"/>
        <v>574612</v>
      </c>
      <c r="R53" s="406">
        <f t="shared" si="25"/>
        <v>669900</v>
      </c>
      <c r="S53" s="406">
        <f t="shared" si="25"/>
        <v>485512</v>
      </c>
      <c r="T53" s="406">
        <f t="shared" si="25"/>
        <v>566362</v>
      </c>
      <c r="U53" s="406">
        <f t="shared" si="25"/>
        <v>492936</v>
      </c>
      <c r="V53" s="406">
        <f t="shared" si="25"/>
        <v>540786</v>
      </c>
      <c r="W53" s="94">
        <f t="shared" si="25"/>
        <v>576675</v>
      </c>
      <c r="X53" s="32">
        <f t="shared" ref="X53:X63" si="26">SUM(L53:W53)</f>
        <v>6783967</v>
      </c>
      <c r="Z53" s="69"/>
    </row>
    <row r="54" spans="1:26">
      <c r="A54" s="114">
        <f t="shared" ref="A54:A88" si="27">+A53</f>
        <v>2018043</v>
      </c>
      <c r="B54" s="74"/>
      <c r="C54" s="558"/>
      <c r="D54" s="561"/>
      <c r="E54" s="561"/>
      <c r="F54" s="561"/>
      <c r="G54" s="561"/>
      <c r="H54" s="563"/>
      <c r="I54" s="546"/>
      <c r="J54" s="543"/>
      <c r="K54" s="168" t="s">
        <v>24</v>
      </c>
      <c r="L54" s="327">
        <v>576675</v>
      </c>
      <c r="M54" s="327">
        <v>505312</v>
      </c>
      <c r="N54" s="327">
        <v>553986</v>
      </c>
      <c r="O54" s="327">
        <v>667425</v>
      </c>
      <c r="P54" s="327">
        <v>573786</v>
      </c>
      <c r="Q54" s="327">
        <v>574612</v>
      </c>
      <c r="R54" s="528">
        <v>669900</v>
      </c>
      <c r="S54" s="528">
        <v>485512</v>
      </c>
      <c r="T54" s="528">
        <v>566362</v>
      </c>
      <c r="U54" s="528">
        <v>492936</v>
      </c>
      <c r="V54" s="528">
        <v>540786</v>
      </c>
      <c r="W54" s="246">
        <v>576675</v>
      </c>
      <c r="X54" s="14">
        <f t="shared" si="26"/>
        <v>6783967</v>
      </c>
      <c r="Y54" s="245"/>
      <c r="Z54" s="69"/>
    </row>
    <row r="55" spans="1:26">
      <c r="A55" s="114">
        <f t="shared" si="27"/>
        <v>2018043</v>
      </c>
      <c r="B55" s="74"/>
      <c r="C55" s="558"/>
      <c r="D55" s="561"/>
      <c r="E55" s="561"/>
      <c r="F55" s="561"/>
      <c r="G55" s="561"/>
      <c r="H55" s="563"/>
      <c r="I55" s="546"/>
      <c r="J55" s="543"/>
      <c r="K55" s="168" t="s">
        <v>25</v>
      </c>
      <c r="L55" s="327"/>
      <c r="M55" s="328"/>
      <c r="N55" s="328"/>
      <c r="O55" s="329"/>
      <c r="P55" s="329"/>
      <c r="Q55" s="329"/>
      <c r="R55" s="410"/>
      <c r="S55" s="410"/>
      <c r="T55" s="410"/>
      <c r="U55" s="410"/>
      <c r="V55" s="410"/>
      <c r="W55" s="88"/>
      <c r="X55" s="14">
        <f t="shared" si="26"/>
        <v>0</v>
      </c>
      <c r="Z55" s="69"/>
    </row>
    <row r="56" spans="1:26">
      <c r="A56" s="114">
        <f t="shared" si="27"/>
        <v>2018043</v>
      </c>
      <c r="B56" s="74"/>
      <c r="C56" s="558"/>
      <c r="D56" s="561"/>
      <c r="E56" s="561"/>
      <c r="F56" s="561"/>
      <c r="G56" s="561"/>
      <c r="H56" s="563"/>
      <c r="I56" s="546"/>
      <c r="J56" s="543"/>
      <c r="K56" s="169" t="s">
        <v>26</v>
      </c>
      <c r="L56" s="337">
        <f t="shared" ref="L56:W56" si="28">SUM(L57:L63)</f>
        <v>449278</v>
      </c>
      <c r="M56" s="506">
        <f t="shared" si="28"/>
        <v>403646</v>
      </c>
      <c r="N56" s="506">
        <f t="shared" si="28"/>
        <v>469526</v>
      </c>
      <c r="O56" s="330">
        <f t="shared" si="28"/>
        <v>516577</v>
      </c>
      <c r="P56" s="330">
        <f t="shared" si="28"/>
        <v>459995</v>
      </c>
      <c r="Q56" s="330">
        <f t="shared" si="28"/>
        <v>467223</v>
      </c>
      <c r="R56" s="426">
        <f t="shared" si="28"/>
        <v>531181</v>
      </c>
      <c r="S56" s="426">
        <f t="shared" si="28"/>
        <v>428147</v>
      </c>
      <c r="T56" s="426">
        <f t="shared" si="28"/>
        <v>488716</v>
      </c>
      <c r="U56" s="426">
        <f t="shared" si="28"/>
        <v>441057</v>
      </c>
      <c r="V56" s="426">
        <f t="shared" si="28"/>
        <v>440497</v>
      </c>
      <c r="W56" s="89">
        <f t="shared" si="28"/>
        <v>449278</v>
      </c>
      <c r="X56" s="15">
        <f t="shared" si="26"/>
        <v>5545121</v>
      </c>
      <c r="Z56" s="69"/>
    </row>
    <row r="57" spans="1:26">
      <c r="A57" s="114">
        <f t="shared" si="27"/>
        <v>2018043</v>
      </c>
      <c r="B57" s="74"/>
      <c r="C57" s="558"/>
      <c r="D57" s="561"/>
      <c r="E57" s="561"/>
      <c r="F57" s="561"/>
      <c r="G57" s="561"/>
      <c r="H57" s="563"/>
      <c r="I57" s="546"/>
      <c r="J57" s="543"/>
      <c r="K57" s="168" t="s">
        <v>27</v>
      </c>
      <c r="L57" s="327">
        <v>390450</v>
      </c>
      <c r="M57" s="327">
        <v>344363</v>
      </c>
      <c r="N57" s="327">
        <v>406775</v>
      </c>
      <c r="O57" s="327">
        <v>453338</v>
      </c>
      <c r="P57" s="327">
        <v>399200</v>
      </c>
      <c r="Q57" s="327">
        <v>407313</v>
      </c>
      <c r="R57" s="528">
        <v>468750</v>
      </c>
      <c r="S57" s="528">
        <v>363075</v>
      </c>
      <c r="T57" s="528">
        <v>430438</v>
      </c>
      <c r="U57" s="528">
        <v>379563</v>
      </c>
      <c r="V57" s="528">
        <v>377900</v>
      </c>
      <c r="W57" s="246">
        <v>390450</v>
      </c>
      <c r="X57" s="14">
        <f t="shared" si="26"/>
        <v>4811615</v>
      </c>
      <c r="Y57" s="245"/>
      <c r="Z57" s="69"/>
    </row>
    <row r="58" spans="1:26">
      <c r="A58" s="114">
        <f t="shared" si="27"/>
        <v>2018043</v>
      </c>
      <c r="B58" s="74"/>
      <c r="C58" s="558"/>
      <c r="D58" s="561"/>
      <c r="E58" s="561"/>
      <c r="F58" s="561"/>
      <c r="G58" s="561"/>
      <c r="H58" s="563"/>
      <c r="I58" s="546"/>
      <c r="J58" s="543"/>
      <c r="K58" s="168" t="s">
        <v>107</v>
      </c>
      <c r="L58" s="327"/>
      <c r="M58" s="327"/>
      <c r="N58" s="327"/>
      <c r="O58" s="327"/>
      <c r="P58" s="327"/>
      <c r="Q58" s="327"/>
      <c r="R58" s="528"/>
      <c r="S58" s="528"/>
      <c r="T58" s="528"/>
      <c r="U58" s="528"/>
      <c r="V58" s="528"/>
      <c r="W58" s="246"/>
      <c r="X58" s="14">
        <f t="shared" si="26"/>
        <v>0</v>
      </c>
      <c r="Y58" s="245"/>
      <c r="Z58" s="69"/>
    </row>
    <row r="59" spans="1:26">
      <c r="A59" s="114">
        <f t="shared" si="27"/>
        <v>2018043</v>
      </c>
      <c r="B59" s="74"/>
      <c r="C59" s="558"/>
      <c r="D59" s="561"/>
      <c r="E59" s="561"/>
      <c r="F59" s="561"/>
      <c r="G59" s="561"/>
      <c r="H59" s="563"/>
      <c r="I59" s="546"/>
      <c r="J59" s="543"/>
      <c r="K59" s="168" t="s">
        <v>28</v>
      </c>
      <c r="L59" s="327">
        <v>4640</v>
      </c>
      <c r="M59" s="327">
        <v>5568</v>
      </c>
      <c r="N59" s="327">
        <v>8352</v>
      </c>
      <c r="O59" s="327">
        <v>8352</v>
      </c>
      <c r="P59" s="327">
        <v>6496</v>
      </c>
      <c r="Q59" s="327">
        <v>2784</v>
      </c>
      <c r="R59" s="528">
        <v>4640</v>
      </c>
      <c r="S59" s="528">
        <v>8352</v>
      </c>
      <c r="T59" s="528">
        <v>928</v>
      </c>
      <c r="U59" s="528">
        <v>4640</v>
      </c>
      <c r="V59" s="528">
        <v>5568</v>
      </c>
      <c r="W59" s="246">
        <v>4640</v>
      </c>
      <c r="X59" s="14">
        <f t="shared" si="26"/>
        <v>64960</v>
      </c>
      <c r="Y59" s="245"/>
      <c r="Z59" s="69"/>
    </row>
    <row r="60" spans="1:26">
      <c r="A60" s="114">
        <f t="shared" si="27"/>
        <v>2018043</v>
      </c>
      <c r="B60" s="74"/>
      <c r="C60" s="558"/>
      <c r="D60" s="561"/>
      <c r="E60" s="561"/>
      <c r="F60" s="561"/>
      <c r="G60" s="561"/>
      <c r="H60" s="563"/>
      <c r="I60" s="546"/>
      <c r="J60" s="543"/>
      <c r="K60" s="168" t="s">
        <v>29</v>
      </c>
      <c r="L60" s="328">
        <v>17100</v>
      </c>
      <c r="M60" s="328">
        <v>17100</v>
      </c>
      <c r="N60" s="328">
        <v>17100</v>
      </c>
      <c r="O60" s="328">
        <v>17100</v>
      </c>
      <c r="P60" s="328">
        <v>17100</v>
      </c>
      <c r="Q60" s="328">
        <v>18050</v>
      </c>
      <c r="R60" s="529">
        <v>18050</v>
      </c>
      <c r="S60" s="529">
        <v>18050</v>
      </c>
      <c r="T60" s="529">
        <v>18050</v>
      </c>
      <c r="U60" s="529">
        <v>18050</v>
      </c>
      <c r="V60" s="529">
        <v>18050</v>
      </c>
      <c r="W60" s="247">
        <v>17100</v>
      </c>
      <c r="X60" s="14">
        <f t="shared" si="26"/>
        <v>210900</v>
      </c>
      <c r="Y60" s="245"/>
      <c r="Z60" s="69"/>
    </row>
    <row r="61" spans="1:26">
      <c r="A61" s="114">
        <f t="shared" si="27"/>
        <v>2018043</v>
      </c>
      <c r="B61" s="74"/>
      <c r="C61" s="558"/>
      <c r="D61" s="561"/>
      <c r="E61" s="561"/>
      <c r="F61" s="561"/>
      <c r="G61" s="561"/>
      <c r="H61" s="563"/>
      <c r="I61" s="546"/>
      <c r="J61" s="543"/>
      <c r="K61" s="168" t="s">
        <v>30</v>
      </c>
      <c r="L61" s="328">
        <v>32940</v>
      </c>
      <c r="M61" s="328">
        <v>32940</v>
      </c>
      <c r="N61" s="328">
        <v>32940</v>
      </c>
      <c r="O61" s="328">
        <v>32940</v>
      </c>
      <c r="P61" s="328">
        <v>32940</v>
      </c>
      <c r="Q61" s="328">
        <v>34770</v>
      </c>
      <c r="R61" s="529">
        <v>34770</v>
      </c>
      <c r="S61" s="529">
        <v>34770</v>
      </c>
      <c r="T61" s="529">
        <v>34770</v>
      </c>
      <c r="U61" s="529">
        <v>34770</v>
      </c>
      <c r="V61" s="529">
        <v>34770</v>
      </c>
      <c r="W61" s="247">
        <v>32940</v>
      </c>
      <c r="X61" s="14">
        <f t="shared" si="26"/>
        <v>406260</v>
      </c>
      <c r="Y61" s="245"/>
      <c r="Z61" s="69"/>
    </row>
    <row r="62" spans="1:26">
      <c r="A62" s="114">
        <f t="shared" si="27"/>
        <v>2018043</v>
      </c>
      <c r="B62" s="74"/>
      <c r="C62" s="558"/>
      <c r="D62" s="561"/>
      <c r="E62" s="561"/>
      <c r="F62" s="561"/>
      <c r="G62" s="561"/>
      <c r="H62" s="563"/>
      <c r="I62" s="546"/>
      <c r="J62" s="543"/>
      <c r="K62" s="168" t="s">
        <v>31</v>
      </c>
      <c r="L62" s="328">
        <v>1975</v>
      </c>
      <c r="M62" s="328">
        <v>1750</v>
      </c>
      <c r="N62" s="328">
        <v>2076</v>
      </c>
      <c r="O62" s="328">
        <v>2308</v>
      </c>
      <c r="P62" s="328">
        <v>2028</v>
      </c>
      <c r="Q62" s="328">
        <v>2050</v>
      </c>
      <c r="R62" s="529">
        <v>2367</v>
      </c>
      <c r="S62" s="529">
        <v>1857</v>
      </c>
      <c r="T62" s="529">
        <v>2157</v>
      </c>
      <c r="U62" s="529">
        <v>1921</v>
      </c>
      <c r="V62" s="529">
        <v>2004</v>
      </c>
      <c r="W62" s="247">
        <v>1975</v>
      </c>
      <c r="X62" s="14">
        <f t="shared" si="26"/>
        <v>24468</v>
      </c>
      <c r="Y62" s="245"/>
      <c r="Z62" s="69"/>
    </row>
    <row r="63" spans="1:26">
      <c r="A63" s="114">
        <f t="shared" si="27"/>
        <v>2018043</v>
      </c>
      <c r="B63" s="74"/>
      <c r="C63" s="558"/>
      <c r="D63" s="561"/>
      <c r="E63" s="561"/>
      <c r="F63" s="561"/>
      <c r="G63" s="561"/>
      <c r="H63" s="563"/>
      <c r="I63" s="546"/>
      <c r="J63" s="543"/>
      <c r="K63" s="168" t="s">
        <v>32</v>
      </c>
      <c r="L63" s="328">
        <v>2173</v>
      </c>
      <c r="M63" s="328">
        <v>1925</v>
      </c>
      <c r="N63" s="328">
        <v>2283</v>
      </c>
      <c r="O63" s="328">
        <v>2539</v>
      </c>
      <c r="P63" s="328">
        <v>2231</v>
      </c>
      <c r="Q63" s="328">
        <v>2256</v>
      </c>
      <c r="R63" s="529">
        <v>2604</v>
      </c>
      <c r="S63" s="529">
        <v>2043</v>
      </c>
      <c r="T63" s="529">
        <v>2373</v>
      </c>
      <c r="U63" s="529">
        <v>2113</v>
      </c>
      <c r="V63" s="529">
        <v>2205</v>
      </c>
      <c r="W63" s="247">
        <v>2173</v>
      </c>
      <c r="X63" s="14">
        <f t="shared" si="26"/>
        <v>26918</v>
      </c>
      <c r="Y63" s="245"/>
      <c r="Z63" s="69"/>
    </row>
    <row r="64" spans="1:26">
      <c r="A64" s="114">
        <f t="shared" si="27"/>
        <v>2018043</v>
      </c>
      <c r="B64" s="74"/>
      <c r="C64" s="559"/>
      <c r="D64" s="562"/>
      <c r="E64" s="562"/>
      <c r="F64" s="562"/>
      <c r="G64" s="562"/>
      <c r="H64" s="564"/>
      <c r="I64" s="547"/>
      <c r="J64" s="544"/>
      <c r="K64" s="170" t="s">
        <v>33</v>
      </c>
      <c r="L64" s="338">
        <f t="shared" ref="L64:X64" si="29">L53-L56</f>
        <v>127397</v>
      </c>
      <c r="M64" s="331">
        <f t="shared" si="29"/>
        <v>101666</v>
      </c>
      <c r="N64" s="331">
        <f t="shared" si="29"/>
        <v>84460</v>
      </c>
      <c r="O64" s="331">
        <f t="shared" si="29"/>
        <v>150848</v>
      </c>
      <c r="P64" s="331">
        <f t="shared" si="29"/>
        <v>113791</v>
      </c>
      <c r="Q64" s="331">
        <f t="shared" si="29"/>
        <v>107389</v>
      </c>
      <c r="R64" s="405">
        <f t="shared" si="29"/>
        <v>138719</v>
      </c>
      <c r="S64" s="405">
        <f t="shared" si="29"/>
        <v>57365</v>
      </c>
      <c r="T64" s="405">
        <f t="shared" si="29"/>
        <v>77646</v>
      </c>
      <c r="U64" s="405">
        <f t="shared" si="29"/>
        <v>51879</v>
      </c>
      <c r="V64" s="405">
        <f t="shared" si="29"/>
        <v>100289</v>
      </c>
      <c r="W64" s="90">
        <f t="shared" si="29"/>
        <v>127397</v>
      </c>
      <c r="X64" s="16">
        <f t="shared" si="29"/>
        <v>1238846</v>
      </c>
      <c r="Z64" s="69"/>
    </row>
    <row r="65" spans="1:26" ht="14.15" customHeight="1">
      <c r="A65" s="115">
        <v>2025014</v>
      </c>
      <c r="C65" s="596">
        <v>6</v>
      </c>
      <c r="D65" s="597" t="s">
        <v>35</v>
      </c>
      <c r="E65" s="600"/>
      <c r="F65" s="560"/>
      <c r="G65" s="560" t="s">
        <v>119</v>
      </c>
      <c r="H65" s="545"/>
      <c r="I65" s="545" t="s">
        <v>91</v>
      </c>
      <c r="J65" s="542" t="s">
        <v>89</v>
      </c>
      <c r="K65" s="181" t="s">
        <v>23</v>
      </c>
      <c r="L65" s="339">
        <f t="shared" ref="L65:W65" si="30">L66+L67</f>
        <v>0</v>
      </c>
      <c r="M65" s="471">
        <f t="shared" si="30"/>
        <v>0</v>
      </c>
      <c r="N65" s="471">
        <f t="shared" si="30"/>
        <v>0</v>
      </c>
      <c r="O65" s="471">
        <f t="shared" si="30"/>
        <v>0</v>
      </c>
      <c r="P65" s="471">
        <f t="shared" si="30"/>
        <v>0</v>
      </c>
      <c r="Q65" s="471">
        <f t="shared" si="30"/>
        <v>210000</v>
      </c>
      <c r="R65" s="406">
        <f t="shared" si="30"/>
        <v>462000</v>
      </c>
      <c r="S65" s="406">
        <f t="shared" si="30"/>
        <v>357000</v>
      </c>
      <c r="T65" s="406">
        <f t="shared" si="30"/>
        <v>420000</v>
      </c>
      <c r="U65" s="406">
        <f t="shared" si="30"/>
        <v>386400</v>
      </c>
      <c r="V65" s="406">
        <f t="shared" si="30"/>
        <v>378000</v>
      </c>
      <c r="W65" s="94">
        <f t="shared" si="30"/>
        <v>450000</v>
      </c>
      <c r="X65" s="32">
        <f t="shared" ref="X65:X75" si="31">SUM(L65:W65)</f>
        <v>2663400</v>
      </c>
      <c r="Z65" s="69"/>
    </row>
    <row r="66" spans="1:26">
      <c r="A66" s="114">
        <f t="shared" si="27"/>
        <v>2025014</v>
      </c>
      <c r="B66" s="74"/>
      <c r="C66" s="596"/>
      <c r="D66" s="598"/>
      <c r="E66" s="601"/>
      <c r="F66" s="561"/>
      <c r="G66" s="561"/>
      <c r="H66" s="563"/>
      <c r="I66" s="546"/>
      <c r="J66" s="543"/>
      <c r="K66" s="168" t="s">
        <v>24</v>
      </c>
      <c r="L66" s="327"/>
      <c r="M66" s="327"/>
      <c r="N66" s="327"/>
      <c r="O66" s="327"/>
      <c r="P66" s="327"/>
      <c r="Q66" s="327">
        <v>210000</v>
      </c>
      <c r="R66" s="528">
        <v>462000</v>
      </c>
      <c r="S66" s="528">
        <v>357000</v>
      </c>
      <c r="T66" s="528">
        <v>420000</v>
      </c>
      <c r="U66" s="528">
        <v>386400</v>
      </c>
      <c r="V66" s="528">
        <v>378000</v>
      </c>
      <c r="W66" s="246">
        <v>450000</v>
      </c>
      <c r="X66" s="14">
        <f t="shared" si="31"/>
        <v>2663400</v>
      </c>
      <c r="Y66" s="245"/>
      <c r="Z66" s="69"/>
    </row>
    <row r="67" spans="1:26">
      <c r="A67" s="114">
        <f t="shared" si="27"/>
        <v>2025014</v>
      </c>
      <c r="B67" s="74"/>
      <c r="C67" s="596"/>
      <c r="D67" s="598"/>
      <c r="E67" s="601"/>
      <c r="F67" s="561"/>
      <c r="G67" s="561"/>
      <c r="H67" s="563"/>
      <c r="I67" s="546"/>
      <c r="J67" s="543"/>
      <c r="K67" s="168" t="s">
        <v>25</v>
      </c>
      <c r="L67" s="327"/>
      <c r="M67" s="328"/>
      <c r="N67" s="328"/>
      <c r="O67" s="329"/>
      <c r="P67" s="329"/>
      <c r="Q67" s="329"/>
      <c r="R67" s="410"/>
      <c r="S67" s="410"/>
      <c r="T67" s="410"/>
      <c r="U67" s="410"/>
      <c r="V67" s="410"/>
      <c r="W67" s="88"/>
      <c r="X67" s="14">
        <f t="shared" si="31"/>
        <v>0</v>
      </c>
      <c r="Z67" s="69"/>
    </row>
    <row r="68" spans="1:26">
      <c r="A68" s="114">
        <f t="shared" si="27"/>
        <v>2025014</v>
      </c>
      <c r="B68" s="74"/>
      <c r="C68" s="596"/>
      <c r="D68" s="598"/>
      <c r="E68" s="601"/>
      <c r="F68" s="561"/>
      <c r="G68" s="561"/>
      <c r="H68" s="563"/>
      <c r="I68" s="546"/>
      <c r="J68" s="543"/>
      <c r="K68" s="169" t="s">
        <v>26</v>
      </c>
      <c r="L68" s="337">
        <f t="shared" ref="L68:W68" si="32">SUM(L69:L75)</f>
        <v>0</v>
      </c>
      <c r="M68" s="506">
        <f t="shared" si="32"/>
        <v>0</v>
      </c>
      <c r="N68" s="506">
        <f t="shared" si="32"/>
        <v>0</v>
      </c>
      <c r="O68" s="330">
        <f t="shared" si="32"/>
        <v>0</v>
      </c>
      <c r="P68" s="330">
        <f t="shared" si="32"/>
        <v>0</v>
      </c>
      <c r="Q68" s="330">
        <f t="shared" si="32"/>
        <v>148490.5</v>
      </c>
      <c r="R68" s="426">
        <f t="shared" si="32"/>
        <v>296981</v>
      </c>
      <c r="S68" s="426">
        <f t="shared" si="32"/>
        <v>296981</v>
      </c>
      <c r="T68" s="426">
        <f t="shared" si="32"/>
        <v>318524</v>
      </c>
      <c r="U68" s="426">
        <f t="shared" si="32"/>
        <v>318928</v>
      </c>
      <c r="V68" s="426">
        <f t="shared" si="32"/>
        <v>312805</v>
      </c>
      <c r="W68" s="89">
        <f t="shared" si="32"/>
        <v>298130</v>
      </c>
      <c r="X68" s="15">
        <f t="shared" si="31"/>
        <v>1990839.5</v>
      </c>
      <c r="Z68" s="69"/>
    </row>
    <row r="69" spans="1:26">
      <c r="A69" s="114">
        <f t="shared" si="27"/>
        <v>2025014</v>
      </c>
      <c r="B69" s="74"/>
      <c r="C69" s="596"/>
      <c r="D69" s="598"/>
      <c r="E69" s="601"/>
      <c r="F69" s="561"/>
      <c r="G69" s="561"/>
      <c r="H69" s="563"/>
      <c r="I69" s="546"/>
      <c r="J69" s="543"/>
      <c r="K69" s="168" t="s">
        <v>27</v>
      </c>
      <c r="L69" s="327"/>
      <c r="M69" s="327"/>
      <c r="N69" s="327"/>
      <c r="O69" s="343"/>
      <c r="P69" s="343"/>
      <c r="Q69" s="343">
        <f>250000/2</f>
        <v>125000</v>
      </c>
      <c r="R69" s="297">
        <v>250000</v>
      </c>
      <c r="S69" s="297">
        <v>250000</v>
      </c>
      <c r="T69" s="297">
        <v>270000</v>
      </c>
      <c r="U69" s="297">
        <v>270400</v>
      </c>
      <c r="V69" s="297">
        <v>264160</v>
      </c>
      <c r="W69" s="91">
        <v>248000</v>
      </c>
      <c r="X69" s="14">
        <f t="shared" si="31"/>
        <v>1677560</v>
      </c>
      <c r="Y69" s="245"/>
      <c r="Z69" s="69"/>
    </row>
    <row r="70" spans="1:26">
      <c r="A70" s="114">
        <f t="shared" si="27"/>
        <v>2025014</v>
      </c>
      <c r="B70" s="74"/>
      <c r="C70" s="596"/>
      <c r="D70" s="598"/>
      <c r="E70" s="601"/>
      <c r="F70" s="561"/>
      <c r="G70" s="561"/>
      <c r="H70" s="563"/>
      <c r="I70" s="546"/>
      <c r="J70" s="543"/>
      <c r="K70" s="168" t="s">
        <v>107</v>
      </c>
      <c r="L70" s="327"/>
      <c r="M70" s="327"/>
      <c r="N70" s="327"/>
      <c r="O70" s="488"/>
      <c r="P70" s="488"/>
      <c r="Q70" s="488"/>
      <c r="R70" s="444"/>
      <c r="S70" s="444"/>
      <c r="T70" s="444"/>
      <c r="U70" s="444"/>
      <c r="V70" s="444"/>
      <c r="W70" s="121"/>
      <c r="X70" s="14">
        <f t="shared" si="31"/>
        <v>0</v>
      </c>
      <c r="Y70" s="245"/>
      <c r="Z70" s="69"/>
    </row>
    <row r="71" spans="1:26">
      <c r="A71" s="114">
        <f t="shared" si="27"/>
        <v>2025014</v>
      </c>
      <c r="B71" s="74"/>
      <c r="C71" s="596"/>
      <c r="D71" s="598"/>
      <c r="E71" s="601"/>
      <c r="F71" s="561"/>
      <c r="G71" s="561"/>
      <c r="H71" s="563"/>
      <c r="I71" s="546"/>
      <c r="J71" s="543"/>
      <c r="K71" s="168" t="s">
        <v>28</v>
      </c>
      <c r="L71" s="327"/>
      <c r="M71" s="327"/>
      <c r="N71" s="327"/>
      <c r="O71" s="343"/>
      <c r="P71" s="343"/>
      <c r="Q71" s="343">
        <f>8130/2</f>
        <v>4065</v>
      </c>
      <c r="R71" s="297">
        <v>8130</v>
      </c>
      <c r="S71" s="297">
        <v>8130</v>
      </c>
      <c r="T71" s="297">
        <v>9450</v>
      </c>
      <c r="U71" s="297">
        <v>9450</v>
      </c>
      <c r="V71" s="297">
        <v>9450</v>
      </c>
      <c r="W71" s="91">
        <v>10000</v>
      </c>
      <c r="X71" s="14">
        <f t="shared" si="31"/>
        <v>58675</v>
      </c>
      <c r="Y71" s="245"/>
      <c r="Z71" s="69"/>
    </row>
    <row r="72" spans="1:26">
      <c r="A72" s="114">
        <f t="shared" si="27"/>
        <v>2025014</v>
      </c>
      <c r="B72" s="74"/>
      <c r="C72" s="596"/>
      <c r="D72" s="598"/>
      <c r="E72" s="601"/>
      <c r="F72" s="561"/>
      <c r="G72" s="561"/>
      <c r="H72" s="563"/>
      <c r="I72" s="546"/>
      <c r="J72" s="543"/>
      <c r="K72" s="168" t="s">
        <v>29</v>
      </c>
      <c r="L72" s="328"/>
      <c r="M72" s="328"/>
      <c r="N72" s="328"/>
      <c r="O72" s="329"/>
      <c r="P72" s="329"/>
      <c r="Q72" s="329">
        <f>12350/2</f>
        <v>6175</v>
      </c>
      <c r="R72" s="410">
        <v>12350</v>
      </c>
      <c r="S72" s="410">
        <v>12350</v>
      </c>
      <c r="T72" s="410">
        <v>12350</v>
      </c>
      <c r="U72" s="410">
        <v>12350</v>
      </c>
      <c r="V72" s="410">
        <v>12350</v>
      </c>
      <c r="W72" s="26">
        <v>11900</v>
      </c>
      <c r="X72" s="14">
        <f t="shared" si="31"/>
        <v>79825</v>
      </c>
      <c r="Y72" s="245"/>
      <c r="Z72" s="69"/>
    </row>
    <row r="73" spans="1:26">
      <c r="A73" s="114">
        <f t="shared" si="27"/>
        <v>2025014</v>
      </c>
      <c r="B73" s="74"/>
      <c r="C73" s="596"/>
      <c r="D73" s="598"/>
      <c r="E73" s="601"/>
      <c r="F73" s="561"/>
      <c r="G73" s="561"/>
      <c r="H73" s="563"/>
      <c r="I73" s="546"/>
      <c r="J73" s="543"/>
      <c r="K73" s="168" t="s">
        <v>30</v>
      </c>
      <c r="L73" s="328"/>
      <c r="M73" s="328"/>
      <c r="N73" s="328"/>
      <c r="O73" s="329"/>
      <c r="P73" s="329"/>
      <c r="Q73" s="329">
        <f>23790/2</f>
        <v>11895</v>
      </c>
      <c r="R73" s="410">
        <v>23790</v>
      </c>
      <c r="S73" s="410">
        <v>23790</v>
      </c>
      <c r="T73" s="410">
        <v>23790</v>
      </c>
      <c r="U73" s="410">
        <v>23790</v>
      </c>
      <c r="V73" s="410">
        <v>23790</v>
      </c>
      <c r="W73" s="26">
        <v>25620</v>
      </c>
      <c r="X73" s="14">
        <f t="shared" si="31"/>
        <v>156465</v>
      </c>
      <c r="Y73" s="245"/>
      <c r="Z73" s="69"/>
    </row>
    <row r="74" spans="1:26">
      <c r="A74" s="114">
        <f t="shared" si="27"/>
        <v>2025014</v>
      </c>
      <c r="B74" s="74"/>
      <c r="C74" s="596"/>
      <c r="D74" s="598"/>
      <c r="E74" s="601"/>
      <c r="F74" s="561"/>
      <c r="G74" s="561"/>
      <c r="H74" s="563"/>
      <c r="I74" s="546"/>
      <c r="J74" s="543"/>
      <c r="K74" s="168" t="s">
        <v>31</v>
      </c>
      <c r="L74" s="328"/>
      <c r="M74" s="328"/>
      <c r="N74" s="328"/>
      <c r="O74" s="329"/>
      <c r="P74" s="329"/>
      <c r="Q74" s="329">
        <f>1291/2</f>
        <v>645.5</v>
      </c>
      <c r="R74" s="410">
        <v>1291</v>
      </c>
      <c r="S74" s="410">
        <v>1291</v>
      </c>
      <c r="T74" s="410">
        <v>1397</v>
      </c>
      <c r="U74" s="410">
        <v>1399</v>
      </c>
      <c r="V74" s="410">
        <v>1455</v>
      </c>
      <c r="W74" s="26">
        <v>870</v>
      </c>
      <c r="X74" s="14">
        <f t="shared" si="31"/>
        <v>8348.5</v>
      </c>
      <c r="Y74" s="245"/>
      <c r="Z74" s="69"/>
    </row>
    <row r="75" spans="1:26">
      <c r="A75" s="114">
        <f t="shared" si="27"/>
        <v>2025014</v>
      </c>
      <c r="B75" s="74"/>
      <c r="C75" s="596"/>
      <c r="D75" s="598"/>
      <c r="E75" s="601"/>
      <c r="F75" s="561"/>
      <c r="G75" s="561"/>
      <c r="H75" s="563"/>
      <c r="I75" s="546"/>
      <c r="J75" s="543"/>
      <c r="K75" s="168" t="s">
        <v>32</v>
      </c>
      <c r="L75" s="328"/>
      <c r="M75" s="328"/>
      <c r="N75" s="328"/>
      <c r="O75" s="395"/>
      <c r="P75" s="395"/>
      <c r="Q75" s="395">
        <f>1420/2</f>
        <v>710</v>
      </c>
      <c r="R75" s="443">
        <v>1420</v>
      </c>
      <c r="S75" s="443">
        <v>1420</v>
      </c>
      <c r="T75" s="443">
        <v>1537</v>
      </c>
      <c r="U75" s="443">
        <v>1539</v>
      </c>
      <c r="V75" s="443">
        <v>1600</v>
      </c>
      <c r="W75" s="221">
        <v>1740</v>
      </c>
      <c r="X75" s="14">
        <f t="shared" si="31"/>
        <v>9966</v>
      </c>
      <c r="Y75" s="245"/>
      <c r="Z75" s="69"/>
    </row>
    <row r="76" spans="1:26" s="511" customFormat="1">
      <c r="A76" s="114">
        <f t="shared" si="27"/>
        <v>2025014</v>
      </c>
      <c r="B76" s="74"/>
      <c r="C76" s="596"/>
      <c r="D76" s="599"/>
      <c r="E76" s="602"/>
      <c r="F76" s="562"/>
      <c r="G76" s="562"/>
      <c r="H76" s="564"/>
      <c r="I76" s="547"/>
      <c r="J76" s="544"/>
      <c r="K76" s="170" t="s">
        <v>33</v>
      </c>
      <c r="L76" s="338">
        <f t="shared" ref="L76:X76" si="33">L65-L68</f>
        <v>0</v>
      </c>
      <c r="M76" s="331">
        <f t="shared" si="33"/>
        <v>0</v>
      </c>
      <c r="N76" s="331">
        <f t="shared" si="33"/>
        <v>0</v>
      </c>
      <c r="O76" s="331">
        <f t="shared" si="33"/>
        <v>0</v>
      </c>
      <c r="P76" s="331">
        <f t="shared" si="33"/>
        <v>0</v>
      </c>
      <c r="Q76" s="331">
        <f>Q65-Q68</f>
        <v>61509.5</v>
      </c>
      <c r="R76" s="405">
        <f t="shared" si="33"/>
        <v>165019</v>
      </c>
      <c r="S76" s="405">
        <f t="shared" si="33"/>
        <v>60019</v>
      </c>
      <c r="T76" s="405">
        <f t="shared" si="33"/>
        <v>101476</v>
      </c>
      <c r="U76" s="405">
        <f t="shared" si="33"/>
        <v>67472</v>
      </c>
      <c r="V76" s="405">
        <f t="shared" si="33"/>
        <v>65195</v>
      </c>
      <c r="W76" s="90">
        <f t="shared" si="33"/>
        <v>151870</v>
      </c>
      <c r="X76" s="16">
        <f t="shared" si="33"/>
        <v>672560.5</v>
      </c>
      <c r="Z76" s="512"/>
    </row>
    <row r="77" spans="1:26" ht="14.15" customHeight="1">
      <c r="A77" s="115">
        <v>2023033</v>
      </c>
      <c r="C77" s="578">
        <v>7</v>
      </c>
      <c r="D77" s="580" t="s">
        <v>35</v>
      </c>
      <c r="E77" s="580"/>
      <c r="F77" s="580"/>
      <c r="G77" s="580" t="s">
        <v>119</v>
      </c>
      <c r="H77" s="593"/>
      <c r="I77" s="593" t="s">
        <v>91</v>
      </c>
      <c r="J77" s="591" t="s">
        <v>89</v>
      </c>
      <c r="K77" s="167" t="s">
        <v>23</v>
      </c>
      <c r="L77" s="393">
        <f t="shared" ref="L77:W77" si="34">L78+L79</f>
        <v>0</v>
      </c>
      <c r="M77" s="367">
        <f t="shared" si="34"/>
        <v>0</v>
      </c>
      <c r="N77" s="367">
        <f t="shared" si="34"/>
        <v>0</v>
      </c>
      <c r="O77" s="367">
        <f t="shared" si="34"/>
        <v>0</v>
      </c>
      <c r="P77" s="367">
        <f t="shared" si="34"/>
        <v>0</v>
      </c>
      <c r="Q77" s="367">
        <v>0</v>
      </c>
      <c r="R77" s="424">
        <f t="shared" si="34"/>
        <v>0</v>
      </c>
      <c r="S77" s="424">
        <f>S78+S79</f>
        <v>282800</v>
      </c>
      <c r="T77" s="424">
        <f t="shared" si="34"/>
        <v>400400</v>
      </c>
      <c r="U77" s="424">
        <f t="shared" si="34"/>
        <v>357000</v>
      </c>
      <c r="V77" s="424">
        <f t="shared" si="34"/>
        <v>357000</v>
      </c>
      <c r="W77" s="87">
        <f t="shared" si="34"/>
        <v>420000</v>
      </c>
      <c r="X77" s="13">
        <f t="shared" ref="X77:X87" si="35">SUM(L77:W77)</f>
        <v>1817200</v>
      </c>
      <c r="Z77" s="69"/>
    </row>
    <row r="78" spans="1:26">
      <c r="A78" s="114">
        <f t="shared" si="27"/>
        <v>2023033</v>
      </c>
      <c r="B78" s="74">
        <f t="shared" ref="B78:B88" si="36">+B77</f>
        <v>0</v>
      </c>
      <c r="C78" s="558"/>
      <c r="D78" s="561"/>
      <c r="E78" s="561"/>
      <c r="F78" s="561"/>
      <c r="G78" s="561"/>
      <c r="H78" s="563"/>
      <c r="I78" s="546"/>
      <c r="J78" s="543"/>
      <c r="K78" s="168" t="s">
        <v>24</v>
      </c>
      <c r="L78" s="327"/>
      <c r="M78" s="327"/>
      <c r="N78" s="327"/>
      <c r="O78" s="327"/>
      <c r="P78" s="327"/>
      <c r="Q78" s="327"/>
      <c r="R78" s="528"/>
      <c r="S78" s="528">
        <v>282800</v>
      </c>
      <c r="T78" s="528">
        <v>400400</v>
      </c>
      <c r="U78" s="528">
        <v>357000</v>
      </c>
      <c r="V78" s="528">
        <v>357000</v>
      </c>
      <c r="W78" s="246">
        <v>420000</v>
      </c>
      <c r="X78" s="14">
        <f t="shared" si="35"/>
        <v>1817200</v>
      </c>
      <c r="Y78" s="245"/>
      <c r="Z78" s="69"/>
    </row>
    <row r="79" spans="1:26">
      <c r="A79" s="114">
        <f t="shared" si="27"/>
        <v>2023033</v>
      </c>
      <c r="B79" s="74">
        <f t="shared" si="36"/>
        <v>0</v>
      </c>
      <c r="C79" s="558"/>
      <c r="D79" s="561"/>
      <c r="E79" s="561"/>
      <c r="F79" s="561"/>
      <c r="G79" s="561"/>
      <c r="H79" s="563"/>
      <c r="I79" s="546"/>
      <c r="J79" s="543"/>
      <c r="K79" s="168" t="s">
        <v>25</v>
      </c>
      <c r="L79" s="327"/>
      <c r="M79" s="328"/>
      <c r="N79" s="328"/>
      <c r="O79" s="329"/>
      <c r="P79" s="329"/>
      <c r="Q79" s="329"/>
      <c r="R79" s="410"/>
      <c r="S79" s="410"/>
      <c r="T79" s="410"/>
      <c r="U79" s="410"/>
      <c r="V79" s="410"/>
      <c r="W79" s="88"/>
      <c r="X79" s="14">
        <f t="shared" si="35"/>
        <v>0</v>
      </c>
      <c r="Z79" s="69"/>
    </row>
    <row r="80" spans="1:26">
      <c r="A80" s="114">
        <f t="shared" si="27"/>
        <v>2023033</v>
      </c>
      <c r="B80" s="74">
        <f t="shared" si="36"/>
        <v>0</v>
      </c>
      <c r="C80" s="558"/>
      <c r="D80" s="561"/>
      <c r="E80" s="561"/>
      <c r="F80" s="561"/>
      <c r="G80" s="561"/>
      <c r="H80" s="563"/>
      <c r="I80" s="546"/>
      <c r="J80" s="543"/>
      <c r="K80" s="169" t="s">
        <v>26</v>
      </c>
      <c r="L80" s="337">
        <f t="shared" ref="L80:W80" si="37">SUM(L81:L87)</f>
        <v>0</v>
      </c>
      <c r="M80" s="506">
        <f t="shared" si="37"/>
        <v>0</v>
      </c>
      <c r="N80" s="506">
        <f t="shared" si="37"/>
        <v>0</v>
      </c>
      <c r="O80" s="330">
        <f t="shared" si="37"/>
        <v>0</v>
      </c>
      <c r="P80" s="330">
        <f t="shared" si="37"/>
        <v>0</v>
      </c>
      <c r="Q80" s="330">
        <v>0</v>
      </c>
      <c r="R80" s="426">
        <v>0</v>
      </c>
      <c r="S80" s="426">
        <f t="shared" si="37"/>
        <v>236175.33333333334</v>
      </c>
      <c r="T80" s="426">
        <f t="shared" si="37"/>
        <v>300629</v>
      </c>
      <c r="U80" s="426">
        <f t="shared" si="37"/>
        <v>300629</v>
      </c>
      <c r="V80" s="426">
        <f t="shared" si="37"/>
        <v>302176</v>
      </c>
      <c r="W80" s="89">
        <f t="shared" si="37"/>
        <v>300237</v>
      </c>
      <c r="X80" s="15">
        <f t="shared" si="35"/>
        <v>1439846.3333333335</v>
      </c>
      <c r="Z80" s="69"/>
    </row>
    <row r="81" spans="1:26">
      <c r="A81" s="114">
        <f t="shared" si="27"/>
        <v>2023033</v>
      </c>
      <c r="B81" s="74">
        <f t="shared" si="36"/>
        <v>0</v>
      </c>
      <c r="C81" s="558"/>
      <c r="D81" s="561"/>
      <c r="E81" s="561"/>
      <c r="F81" s="561"/>
      <c r="G81" s="561"/>
      <c r="H81" s="563"/>
      <c r="I81" s="546"/>
      <c r="J81" s="543"/>
      <c r="K81" s="168" t="s">
        <v>27</v>
      </c>
      <c r="L81" s="327"/>
      <c r="M81" s="327"/>
      <c r="N81" s="327"/>
      <c r="O81" s="343"/>
      <c r="P81" s="343"/>
      <c r="Q81" s="343"/>
      <c r="R81" s="297"/>
      <c r="S81" s="297">
        <f>245000/18*14</f>
        <v>190555.55555555556</v>
      </c>
      <c r="T81" s="297">
        <v>245000</v>
      </c>
      <c r="U81" s="297">
        <v>245000</v>
      </c>
      <c r="V81" s="297">
        <v>246351</v>
      </c>
      <c r="W81" s="91">
        <v>245000</v>
      </c>
      <c r="X81" s="14">
        <f t="shared" si="35"/>
        <v>1171906.5555555555</v>
      </c>
      <c r="Y81" s="245"/>
      <c r="Z81" s="69"/>
    </row>
    <row r="82" spans="1:26">
      <c r="A82" s="114">
        <f t="shared" si="27"/>
        <v>2023033</v>
      </c>
      <c r="B82" s="74">
        <f t="shared" si="36"/>
        <v>0</v>
      </c>
      <c r="C82" s="558"/>
      <c r="D82" s="561"/>
      <c r="E82" s="561"/>
      <c r="F82" s="561"/>
      <c r="G82" s="561"/>
      <c r="H82" s="563"/>
      <c r="I82" s="546"/>
      <c r="J82" s="543"/>
      <c r="K82" s="168" t="s">
        <v>107</v>
      </c>
      <c r="L82" s="327"/>
      <c r="M82" s="327"/>
      <c r="N82" s="327"/>
      <c r="O82" s="488"/>
      <c r="P82" s="488"/>
      <c r="Q82" s="488"/>
      <c r="R82" s="444"/>
      <c r="S82" s="444"/>
      <c r="T82" s="444"/>
      <c r="U82" s="444"/>
      <c r="V82" s="444"/>
      <c r="W82" s="121"/>
      <c r="X82" s="14">
        <f t="shared" si="35"/>
        <v>0</v>
      </c>
      <c r="Y82" s="245"/>
      <c r="Z82" s="69"/>
    </row>
    <row r="83" spans="1:26">
      <c r="A83" s="114">
        <f t="shared" si="27"/>
        <v>2023033</v>
      </c>
      <c r="B83" s="74">
        <f t="shared" si="36"/>
        <v>0</v>
      </c>
      <c r="C83" s="558"/>
      <c r="D83" s="561"/>
      <c r="E83" s="561"/>
      <c r="F83" s="561"/>
      <c r="G83" s="561"/>
      <c r="H83" s="563"/>
      <c r="I83" s="546"/>
      <c r="J83" s="543"/>
      <c r="K83" s="168" t="s">
        <v>28</v>
      </c>
      <c r="L83" s="327"/>
      <c r="M83" s="327"/>
      <c r="N83" s="327"/>
      <c r="O83" s="343"/>
      <c r="P83" s="343"/>
      <c r="Q83" s="343"/>
      <c r="R83" s="297"/>
      <c r="S83" s="297">
        <f>19734/18*14</f>
        <v>15348.666666666666</v>
      </c>
      <c r="T83" s="297">
        <v>16740</v>
      </c>
      <c r="U83" s="297">
        <v>16740</v>
      </c>
      <c r="V83" s="297">
        <v>16740</v>
      </c>
      <c r="W83" s="91">
        <v>16740</v>
      </c>
      <c r="X83" s="14">
        <f t="shared" si="35"/>
        <v>82308.666666666657</v>
      </c>
      <c r="Y83" s="245"/>
      <c r="Z83" s="69"/>
    </row>
    <row r="84" spans="1:26">
      <c r="A84" s="114">
        <f t="shared" si="27"/>
        <v>2023033</v>
      </c>
      <c r="B84" s="74">
        <f t="shared" si="36"/>
        <v>0</v>
      </c>
      <c r="C84" s="558"/>
      <c r="D84" s="561"/>
      <c r="E84" s="561"/>
      <c r="F84" s="561"/>
      <c r="G84" s="561"/>
      <c r="H84" s="563"/>
      <c r="I84" s="546"/>
      <c r="J84" s="543"/>
      <c r="K84" s="168" t="s">
        <v>29</v>
      </c>
      <c r="L84" s="328"/>
      <c r="M84" s="328"/>
      <c r="N84" s="328"/>
      <c r="O84" s="329"/>
      <c r="P84" s="329"/>
      <c r="Q84" s="329"/>
      <c r="R84" s="410"/>
      <c r="S84" s="410">
        <f>12350/18*14</f>
        <v>9605.5555555555547</v>
      </c>
      <c r="T84" s="410">
        <v>12350</v>
      </c>
      <c r="U84" s="410">
        <v>12350</v>
      </c>
      <c r="V84" s="410">
        <v>12350</v>
      </c>
      <c r="W84" s="26">
        <v>12350</v>
      </c>
      <c r="X84" s="14">
        <f t="shared" si="35"/>
        <v>59005.555555555555</v>
      </c>
      <c r="Y84" s="245"/>
      <c r="Z84" s="69"/>
    </row>
    <row r="85" spans="1:26">
      <c r="A85" s="114">
        <f t="shared" si="27"/>
        <v>2023033</v>
      </c>
      <c r="B85" s="74">
        <f t="shared" si="36"/>
        <v>0</v>
      </c>
      <c r="C85" s="558"/>
      <c r="D85" s="561"/>
      <c r="E85" s="561"/>
      <c r="F85" s="561"/>
      <c r="G85" s="561"/>
      <c r="H85" s="563"/>
      <c r="I85" s="546"/>
      <c r="J85" s="543"/>
      <c r="K85" s="168" t="s">
        <v>30</v>
      </c>
      <c r="L85" s="328"/>
      <c r="M85" s="328"/>
      <c r="N85" s="328"/>
      <c r="O85" s="329"/>
      <c r="P85" s="329"/>
      <c r="Q85" s="329"/>
      <c r="R85" s="410"/>
      <c r="S85" s="410">
        <f>23790/18*14</f>
        <v>18503.333333333336</v>
      </c>
      <c r="T85" s="410">
        <v>23790</v>
      </c>
      <c r="U85" s="410">
        <v>23790</v>
      </c>
      <c r="V85" s="410">
        <v>23790</v>
      </c>
      <c r="W85" s="26">
        <v>23790</v>
      </c>
      <c r="X85" s="14">
        <f t="shared" si="35"/>
        <v>113663.33333333334</v>
      </c>
      <c r="Y85" s="245"/>
      <c r="Z85" s="69"/>
    </row>
    <row r="86" spans="1:26">
      <c r="A86" s="114">
        <f t="shared" si="27"/>
        <v>2023033</v>
      </c>
      <c r="B86" s="74">
        <f t="shared" si="36"/>
        <v>0</v>
      </c>
      <c r="C86" s="558"/>
      <c r="D86" s="561"/>
      <c r="E86" s="561"/>
      <c r="F86" s="561"/>
      <c r="G86" s="561"/>
      <c r="H86" s="563"/>
      <c r="I86" s="546"/>
      <c r="J86" s="543"/>
      <c r="K86" s="168" t="s">
        <v>31</v>
      </c>
      <c r="L86" s="328"/>
      <c r="M86" s="328"/>
      <c r="N86" s="328"/>
      <c r="O86" s="329"/>
      <c r="P86" s="329"/>
      <c r="Q86" s="329"/>
      <c r="R86" s="410"/>
      <c r="S86" s="410">
        <f>1324/18*14</f>
        <v>1029.7777777777778</v>
      </c>
      <c r="T86" s="410">
        <v>1309</v>
      </c>
      <c r="U86" s="410">
        <v>1309</v>
      </c>
      <c r="V86" s="410">
        <v>1402</v>
      </c>
      <c r="W86" s="26">
        <v>786</v>
      </c>
      <c r="X86" s="14">
        <f t="shared" si="35"/>
        <v>5835.7777777777774</v>
      </c>
      <c r="Y86" s="245"/>
      <c r="Z86" s="69"/>
    </row>
    <row r="87" spans="1:26">
      <c r="A87" s="114">
        <f t="shared" si="27"/>
        <v>2023033</v>
      </c>
      <c r="B87" s="74">
        <f t="shared" si="36"/>
        <v>0</v>
      </c>
      <c r="C87" s="558"/>
      <c r="D87" s="561"/>
      <c r="E87" s="561"/>
      <c r="F87" s="561"/>
      <c r="G87" s="561"/>
      <c r="H87" s="563"/>
      <c r="I87" s="546"/>
      <c r="J87" s="543"/>
      <c r="K87" s="168" t="s">
        <v>32</v>
      </c>
      <c r="L87" s="328"/>
      <c r="M87" s="328"/>
      <c r="N87" s="328"/>
      <c r="O87" s="395"/>
      <c r="P87" s="395"/>
      <c r="Q87" s="395"/>
      <c r="R87" s="443"/>
      <c r="S87" s="443">
        <f>1456/18*14</f>
        <v>1132.4444444444443</v>
      </c>
      <c r="T87" s="443">
        <v>1440</v>
      </c>
      <c r="U87" s="443">
        <v>1440</v>
      </c>
      <c r="V87" s="443">
        <v>1543</v>
      </c>
      <c r="W87" s="221">
        <v>1571</v>
      </c>
      <c r="X87" s="14">
        <f t="shared" si="35"/>
        <v>7126.4444444444443</v>
      </c>
      <c r="Y87" s="245"/>
      <c r="Z87" s="69"/>
    </row>
    <row r="88" spans="1:26" ht="12.5" thickBot="1">
      <c r="A88" s="114">
        <f t="shared" si="27"/>
        <v>2023033</v>
      </c>
      <c r="B88" s="74">
        <f t="shared" si="36"/>
        <v>0</v>
      </c>
      <c r="C88" s="579"/>
      <c r="D88" s="581"/>
      <c r="E88" s="581"/>
      <c r="F88" s="581"/>
      <c r="G88" s="581"/>
      <c r="H88" s="594"/>
      <c r="I88" s="595"/>
      <c r="J88" s="592"/>
      <c r="K88" s="179" t="s">
        <v>33</v>
      </c>
      <c r="L88" s="340">
        <f t="shared" ref="L88:X88" si="38">L77-L80</f>
        <v>0</v>
      </c>
      <c r="M88" s="456">
        <f t="shared" si="38"/>
        <v>0</v>
      </c>
      <c r="N88" s="456">
        <f t="shared" si="38"/>
        <v>0</v>
      </c>
      <c r="O88" s="456">
        <f t="shared" si="38"/>
        <v>0</v>
      </c>
      <c r="P88" s="456">
        <f t="shared" si="38"/>
        <v>0</v>
      </c>
      <c r="Q88" s="456">
        <f t="shared" si="38"/>
        <v>0</v>
      </c>
      <c r="R88" s="407">
        <f t="shared" si="38"/>
        <v>0</v>
      </c>
      <c r="S88" s="407">
        <f>S77-S80</f>
        <v>46624.666666666657</v>
      </c>
      <c r="T88" s="407">
        <f t="shared" si="38"/>
        <v>99771</v>
      </c>
      <c r="U88" s="407">
        <f t="shared" si="38"/>
        <v>56371</v>
      </c>
      <c r="V88" s="407">
        <f t="shared" si="38"/>
        <v>54824</v>
      </c>
      <c r="W88" s="253">
        <f t="shared" si="38"/>
        <v>119763</v>
      </c>
      <c r="X88" s="254">
        <f t="shared" si="38"/>
        <v>377353.66666666651</v>
      </c>
      <c r="Z88" s="69"/>
    </row>
    <row r="89" spans="1:26" s="1" customFormat="1" ht="12.5" thickTop="1">
      <c r="A89" s="112"/>
      <c r="B89" s="72"/>
      <c r="C89" s="572" t="str">
        <f>C2</f>
        <v>UAL本社営業本部</v>
      </c>
      <c r="D89" s="573"/>
      <c r="E89" s="573"/>
      <c r="F89" s="573"/>
      <c r="G89" s="573"/>
      <c r="H89" s="573"/>
      <c r="I89" s="573"/>
      <c r="J89" s="574"/>
      <c r="K89" s="164" t="s">
        <v>20</v>
      </c>
      <c r="L89" s="382">
        <f>L5+L17+L29+L41+L53+L65+L77</f>
        <v>2549025</v>
      </c>
      <c r="M89" s="459">
        <f t="shared" ref="M89:R89" si="39">M5+M17+M29+M41+M53+M65+M77</f>
        <v>2359392</v>
      </c>
      <c r="N89" s="459">
        <f t="shared" si="39"/>
        <v>2554986</v>
      </c>
      <c r="O89" s="459">
        <f t="shared" si="39"/>
        <v>2686325</v>
      </c>
      <c r="P89" s="459">
        <f t="shared" si="39"/>
        <v>2331236</v>
      </c>
      <c r="Q89" s="459">
        <f t="shared" si="39"/>
        <v>2606247</v>
      </c>
      <c r="R89" s="434">
        <f t="shared" si="39"/>
        <v>3284610</v>
      </c>
      <c r="S89" s="434">
        <f>S5+S17+S29+S41+S53+S65+S77</f>
        <v>2793312</v>
      </c>
      <c r="T89" s="434">
        <f>T5+T17+T29+T41+T53+T65+T77</f>
        <v>2717322</v>
      </c>
      <c r="U89" s="434">
        <f>U5+U17+U29+U41+U53+U65+U77</f>
        <v>2636611</v>
      </c>
      <c r="V89" s="434">
        <f>V5+V17+V29+V41+V53+V65+V77</f>
        <v>2593636</v>
      </c>
      <c r="W89" s="266">
        <f>W5+W17+W29+W41+W53+W65+W77</f>
        <v>2943025</v>
      </c>
      <c r="X89" s="17">
        <f>SUM(L89:W89)</f>
        <v>32055727</v>
      </c>
      <c r="Z89" s="69"/>
    </row>
    <row r="90" spans="1:26" s="1" customFormat="1">
      <c r="A90" s="112"/>
      <c r="B90" s="72"/>
      <c r="C90" s="572"/>
      <c r="D90" s="573"/>
      <c r="E90" s="573"/>
      <c r="F90" s="573"/>
      <c r="G90" s="573"/>
      <c r="H90" s="573"/>
      <c r="I90" s="573"/>
      <c r="J90" s="574"/>
      <c r="K90" s="165" t="s">
        <v>21</v>
      </c>
      <c r="L90" s="383">
        <f>L8+L20+L32+L44+L56+L68+L80</f>
        <v>2082365</v>
      </c>
      <c r="M90" s="460">
        <f t="shared" ref="M90:W90" si="40">M8+M20+M32+M44+M56+M68+M80</f>
        <v>1950886</v>
      </c>
      <c r="N90" s="460">
        <f t="shared" si="40"/>
        <v>2112324</v>
      </c>
      <c r="O90" s="460">
        <f t="shared" si="40"/>
        <v>2215362</v>
      </c>
      <c r="P90" s="460">
        <f t="shared" si="40"/>
        <v>1995210</v>
      </c>
      <c r="Q90" s="460">
        <f t="shared" si="40"/>
        <v>2157501.5</v>
      </c>
      <c r="R90" s="435">
        <f t="shared" si="40"/>
        <v>2572616</v>
      </c>
      <c r="S90" s="435">
        <f>S8+S20+S32+S44+S56+S68+S80</f>
        <v>2446945.3333333335</v>
      </c>
      <c r="T90" s="435">
        <f t="shared" si="40"/>
        <v>2392715</v>
      </c>
      <c r="U90" s="435">
        <f t="shared" si="40"/>
        <v>2198267</v>
      </c>
      <c r="V90" s="435">
        <f t="shared" si="40"/>
        <v>2135912</v>
      </c>
      <c r="W90" s="276">
        <f t="shared" si="40"/>
        <v>2288929</v>
      </c>
      <c r="X90" s="18">
        <f>SUM(L90:W90)</f>
        <v>26549032.833333332</v>
      </c>
      <c r="Z90" s="69"/>
    </row>
    <row r="91" spans="1:26" s="1" customFormat="1">
      <c r="A91" s="112"/>
      <c r="B91" s="72"/>
      <c r="C91" s="575"/>
      <c r="D91" s="576"/>
      <c r="E91" s="576"/>
      <c r="F91" s="576"/>
      <c r="G91" s="576"/>
      <c r="H91" s="576"/>
      <c r="I91" s="576"/>
      <c r="J91" s="577"/>
      <c r="K91" s="182" t="s">
        <v>22</v>
      </c>
      <c r="L91" s="341">
        <f>L89-L90</f>
        <v>466660</v>
      </c>
      <c r="M91" s="458">
        <f>M89-M90</f>
        <v>408506</v>
      </c>
      <c r="N91" s="458">
        <f t="shared" ref="N91:W91" si="41">N89-N90</f>
        <v>442662</v>
      </c>
      <c r="O91" s="458">
        <f t="shared" si="41"/>
        <v>470963</v>
      </c>
      <c r="P91" s="458">
        <f t="shared" si="41"/>
        <v>336026</v>
      </c>
      <c r="Q91" s="458">
        <f t="shared" si="41"/>
        <v>448745.5</v>
      </c>
      <c r="R91" s="408">
        <f t="shared" si="41"/>
        <v>711994</v>
      </c>
      <c r="S91" s="408">
        <f t="shared" si="41"/>
        <v>346366.66666666651</v>
      </c>
      <c r="T91" s="408">
        <f t="shared" si="41"/>
        <v>324607</v>
      </c>
      <c r="U91" s="408">
        <f t="shared" si="41"/>
        <v>438344</v>
      </c>
      <c r="V91" s="408">
        <f t="shared" si="41"/>
        <v>457724</v>
      </c>
      <c r="W91" s="80">
        <f t="shared" si="41"/>
        <v>654096</v>
      </c>
      <c r="X91" s="19">
        <f>SUM(L91:W91)</f>
        <v>5506694.166666666</v>
      </c>
      <c r="Z91" s="69"/>
    </row>
    <row r="92" spans="1:26">
      <c r="C92" s="159"/>
      <c r="K92" s="128" t="s">
        <v>74</v>
      </c>
      <c r="L92" s="583">
        <f>SUM(L89:N89)</f>
        <v>7463403</v>
      </c>
      <c r="M92" s="584"/>
      <c r="N92" s="584"/>
      <c r="O92" s="584">
        <f>SUM(O89:Q89)</f>
        <v>7623808</v>
      </c>
      <c r="P92" s="584"/>
      <c r="Q92" s="584"/>
      <c r="R92" s="585">
        <f>SUM(R89:T89)</f>
        <v>8795244</v>
      </c>
      <c r="S92" s="585"/>
      <c r="T92" s="585"/>
      <c r="U92" s="585">
        <f>SUM(U89:W89)</f>
        <v>8173272</v>
      </c>
      <c r="V92" s="585"/>
      <c r="W92" s="586"/>
      <c r="X92" s="34">
        <f>X89</f>
        <v>32055727</v>
      </c>
      <c r="Z92" s="69"/>
    </row>
    <row r="93" spans="1:26">
      <c r="C93" s="159"/>
      <c r="K93" s="130" t="s">
        <v>77</v>
      </c>
      <c r="L93" s="587">
        <f>SUM(L90:N90)</f>
        <v>6145575</v>
      </c>
      <c r="M93" s="588"/>
      <c r="N93" s="588"/>
      <c r="O93" s="588">
        <f t="shared" ref="O93" si="42">SUM(O90:Q90)</f>
        <v>6368073.5</v>
      </c>
      <c r="P93" s="588"/>
      <c r="Q93" s="588"/>
      <c r="R93" s="589">
        <f t="shared" ref="R93" si="43">SUM(R90:T90)</f>
        <v>7412276.333333334</v>
      </c>
      <c r="S93" s="589"/>
      <c r="T93" s="589"/>
      <c r="U93" s="589">
        <f t="shared" ref="U93" si="44">SUM(U90:W90)</f>
        <v>6623108</v>
      </c>
      <c r="V93" s="589"/>
      <c r="W93" s="590"/>
      <c r="X93" s="35">
        <f>X90</f>
        <v>26549032.833333332</v>
      </c>
      <c r="Z93" s="69"/>
    </row>
    <row r="94" spans="1:26">
      <c r="C94" s="160"/>
      <c r="D94" s="161"/>
      <c r="E94" s="161"/>
      <c r="F94" s="162"/>
      <c r="G94" s="161"/>
      <c r="H94" s="161"/>
      <c r="I94" s="161"/>
      <c r="J94" s="161"/>
      <c r="K94" s="6" t="s">
        <v>75</v>
      </c>
      <c r="L94" s="569">
        <f>SUM(L91:N91)</f>
        <v>1317828</v>
      </c>
      <c r="M94" s="570"/>
      <c r="N94" s="570"/>
      <c r="O94" s="570">
        <f>SUM(O91:Q91)</f>
        <v>1255734.5</v>
      </c>
      <c r="P94" s="570"/>
      <c r="Q94" s="570"/>
      <c r="R94" s="571">
        <f>SUM(R91:T91)</f>
        <v>1382967.6666666665</v>
      </c>
      <c r="S94" s="571"/>
      <c r="T94" s="571"/>
      <c r="U94" s="571">
        <f>SUM(U91:W91)</f>
        <v>1550164</v>
      </c>
      <c r="V94" s="571"/>
      <c r="W94" s="582"/>
      <c r="X94" s="36">
        <f>X91</f>
        <v>5506694.166666666</v>
      </c>
      <c r="Z94" s="69"/>
    </row>
    <row r="95" spans="1:26">
      <c r="Z95" s="69"/>
    </row>
    <row r="96" spans="1:26">
      <c r="Z96" s="69"/>
    </row>
    <row r="97" spans="7:26">
      <c r="Z97" s="69"/>
    </row>
    <row r="98" spans="7:26">
      <c r="Z98" s="69"/>
    </row>
    <row r="99" spans="7:26">
      <c r="Z99" s="69"/>
    </row>
    <row r="100" spans="7:26">
      <c r="Z100" s="69"/>
    </row>
    <row r="101" spans="7:26">
      <c r="Z101" s="69"/>
    </row>
    <row r="102" spans="7:26">
      <c r="Z102" s="69"/>
    </row>
    <row r="103" spans="7:26">
      <c r="Z103" s="69"/>
    </row>
    <row r="104" spans="7:26">
      <c r="Z104" s="69"/>
    </row>
    <row r="105" spans="7:26">
      <c r="Z105" s="69"/>
    </row>
    <row r="106" spans="7:26">
      <c r="G106" s="9">
        <f>COUNTA(F5:F64)</f>
        <v>0</v>
      </c>
      <c r="Z106" s="69"/>
    </row>
    <row r="107" spans="7:26">
      <c r="Z107" s="69"/>
    </row>
    <row r="108" spans="7:26">
      <c r="Z108" s="69"/>
    </row>
    <row r="109" spans="7:26">
      <c r="Z109" s="69"/>
    </row>
    <row r="110" spans="7:26">
      <c r="Z110" s="69"/>
    </row>
    <row r="111" spans="7:26">
      <c r="Z111" s="69"/>
    </row>
    <row r="112" spans="7:26">
      <c r="Z112" s="69"/>
    </row>
    <row r="113" spans="26:26">
      <c r="Z113" s="69"/>
    </row>
    <row r="114" spans="26:26">
      <c r="Z114" s="69"/>
    </row>
    <row r="115" spans="26:26">
      <c r="Z115" s="69"/>
    </row>
    <row r="116" spans="26:26">
      <c r="Z116" s="69"/>
    </row>
    <row r="117" spans="26:26">
      <c r="Z117" s="69"/>
    </row>
    <row r="118" spans="26:26">
      <c r="Z118" s="69"/>
    </row>
    <row r="119" spans="26:26">
      <c r="Z119" s="69"/>
    </row>
    <row r="120" spans="26:26">
      <c r="Z120" s="69"/>
    </row>
    <row r="121" spans="26:26">
      <c r="Z121" s="69"/>
    </row>
    <row r="122" spans="26:26">
      <c r="Z122" s="69"/>
    </row>
    <row r="123" spans="26:26">
      <c r="Z123" s="69"/>
    </row>
    <row r="124" spans="26:26">
      <c r="Z124" s="69"/>
    </row>
    <row r="125" spans="26:26">
      <c r="Z125" s="69"/>
    </row>
    <row r="126" spans="26:26">
      <c r="Z126" s="69"/>
    </row>
    <row r="127" spans="26:26">
      <c r="Z127" s="69"/>
    </row>
    <row r="128" spans="26:26">
      <c r="Z128" s="69"/>
    </row>
    <row r="129" spans="26:26">
      <c r="Z129" s="69"/>
    </row>
    <row r="130" spans="26:26">
      <c r="Z130" s="69"/>
    </row>
    <row r="131" spans="26:26">
      <c r="Z131" s="69"/>
    </row>
    <row r="132" spans="26:26">
      <c r="Z132" s="69"/>
    </row>
    <row r="133" spans="26:26">
      <c r="Z133" s="69"/>
    </row>
    <row r="134" spans="26:26">
      <c r="Z134" s="69"/>
    </row>
    <row r="135" spans="26:26">
      <c r="Z135" s="69"/>
    </row>
    <row r="136" spans="26:26">
      <c r="Z136" s="69"/>
    </row>
    <row r="137" spans="26:26">
      <c r="Z137" s="69"/>
    </row>
    <row r="138" spans="26:26">
      <c r="Z138" s="69"/>
    </row>
    <row r="139" spans="26:26">
      <c r="Z139" s="69"/>
    </row>
    <row r="140" spans="26:26">
      <c r="Z140" s="69"/>
    </row>
    <row r="141" spans="26:26">
      <c r="Z141" s="69"/>
    </row>
    <row r="142" spans="26:26">
      <c r="Z142" s="69"/>
    </row>
    <row r="143" spans="26:26">
      <c r="Z143" s="69"/>
    </row>
    <row r="144" spans="26:26">
      <c r="Z144" s="69"/>
    </row>
    <row r="145" spans="26:26">
      <c r="Z145" s="69"/>
    </row>
    <row r="146" spans="26:26">
      <c r="Z146" s="69"/>
    </row>
    <row r="147" spans="26:26">
      <c r="Z147" s="69"/>
    </row>
    <row r="148" spans="26:26">
      <c r="Z148" s="69"/>
    </row>
    <row r="149" spans="26:26">
      <c r="Z149" s="69"/>
    </row>
    <row r="150" spans="26:26">
      <c r="Z150" s="69"/>
    </row>
    <row r="151" spans="26:26">
      <c r="Z151" s="69"/>
    </row>
    <row r="152" spans="26:26">
      <c r="Z152" s="69"/>
    </row>
    <row r="153" spans="26:26">
      <c r="Z153" s="69"/>
    </row>
    <row r="154" spans="26:26">
      <c r="Z154" s="69"/>
    </row>
    <row r="155" spans="26:26">
      <c r="Z155" s="69"/>
    </row>
    <row r="156" spans="26:26">
      <c r="Z156" s="69"/>
    </row>
    <row r="157" spans="26:26">
      <c r="Z157" s="69"/>
    </row>
    <row r="158" spans="26:26">
      <c r="Z158" s="69"/>
    </row>
    <row r="159" spans="26:26">
      <c r="Z159" s="69"/>
    </row>
    <row r="160" spans="26:26">
      <c r="Z160" s="69"/>
    </row>
    <row r="161" spans="26:26">
      <c r="Z161" s="69"/>
    </row>
    <row r="162" spans="26:26">
      <c r="Z162" s="69"/>
    </row>
    <row r="163" spans="26:26">
      <c r="Z163" s="69"/>
    </row>
    <row r="164" spans="26:26">
      <c r="Z164" s="69"/>
    </row>
    <row r="165" spans="26:26">
      <c r="Z165" s="69"/>
    </row>
    <row r="166" spans="26:26">
      <c r="Z166" s="69"/>
    </row>
    <row r="167" spans="26:26">
      <c r="Z167" s="69"/>
    </row>
    <row r="168" spans="26:26">
      <c r="Z168" s="69"/>
    </row>
    <row r="169" spans="26:26">
      <c r="Z169" s="69"/>
    </row>
    <row r="170" spans="26:26">
      <c r="Z170" s="69"/>
    </row>
    <row r="171" spans="26:26">
      <c r="Z171" s="69"/>
    </row>
    <row r="172" spans="26:26">
      <c r="Z172" s="69"/>
    </row>
    <row r="173" spans="26:26">
      <c r="Z173" s="69"/>
    </row>
    <row r="174" spans="26:26">
      <c r="Z174" s="69"/>
    </row>
    <row r="175" spans="26:26">
      <c r="Z175" s="69"/>
    </row>
    <row r="176" spans="26:26">
      <c r="Z176" s="69"/>
    </row>
    <row r="177" spans="26:26">
      <c r="Z177" s="69"/>
    </row>
    <row r="178" spans="26:26">
      <c r="Z178" s="69"/>
    </row>
    <row r="179" spans="26:26">
      <c r="Z179" s="69"/>
    </row>
    <row r="180" spans="26:26">
      <c r="Z180" s="69"/>
    </row>
    <row r="181" spans="26:26">
      <c r="Z181" s="69"/>
    </row>
    <row r="182" spans="26:26">
      <c r="Z182" s="69"/>
    </row>
    <row r="183" spans="26:26">
      <c r="Z183" s="69"/>
    </row>
    <row r="184" spans="26:26">
      <c r="Z184" s="69"/>
    </row>
    <row r="185" spans="26:26">
      <c r="Z185" s="69"/>
    </row>
    <row r="186" spans="26:26">
      <c r="Z186" s="69"/>
    </row>
    <row r="187" spans="26:26">
      <c r="Z187" s="69"/>
    </row>
    <row r="188" spans="26:26">
      <c r="Z188" s="69"/>
    </row>
    <row r="189" spans="26:26">
      <c r="Z189" s="69"/>
    </row>
    <row r="190" spans="26:26">
      <c r="Z190" s="69"/>
    </row>
    <row r="191" spans="26:26">
      <c r="Z191" s="69"/>
    </row>
    <row r="192" spans="26:26">
      <c r="Z192" s="69"/>
    </row>
    <row r="193" spans="26:26">
      <c r="Z193" s="69"/>
    </row>
    <row r="194" spans="26:26">
      <c r="Z194" s="69"/>
    </row>
    <row r="195" spans="26:26">
      <c r="Z195" s="69"/>
    </row>
    <row r="196" spans="26:26">
      <c r="Z196" s="69"/>
    </row>
    <row r="197" spans="26:26">
      <c r="Z197" s="69"/>
    </row>
    <row r="198" spans="26:26">
      <c r="Z198" s="69"/>
    </row>
    <row r="199" spans="26:26">
      <c r="Z199" s="69"/>
    </row>
    <row r="200" spans="26:26">
      <c r="Z200" s="69"/>
    </row>
    <row r="201" spans="26:26">
      <c r="Z201" s="69"/>
    </row>
    <row r="202" spans="26:26">
      <c r="Z202" s="69"/>
    </row>
    <row r="203" spans="26:26">
      <c r="Z203" s="69"/>
    </row>
    <row r="204" spans="26:26">
      <c r="Z204" s="69"/>
    </row>
    <row r="205" spans="26:26">
      <c r="Z205" s="69"/>
    </row>
    <row r="206" spans="26:26">
      <c r="Z206" s="69"/>
    </row>
    <row r="207" spans="26:26">
      <c r="Z207" s="69"/>
    </row>
    <row r="208" spans="26:26">
      <c r="Z208" s="69"/>
    </row>
    <row r="209" spans="26:26">
      <c r="Z209" s="69"/>
    </row>
    <row r="210" spans="26:26">
      <c r="Z210" s="69"/>
    </row>
    <row r="211" spans="26:26">
      <c r="Z211" s="69"/>
    </row>
    <row r="212" spans="26:26">
      <c r="Z212" s="69"/>
    </row>
    <row r="213" spans="26:26">
      <c r="Z213" s="69"/>
    </row>
    <row r="214" spans="26:26">
      <c r="Z214" s="69"/>
    </row>
    <row r="215" spans="26:26">
      <c r="Z215" s="69"/>
    </row>
    <row r="216" spans="26:26">
      <c r="Z216" s="69"/>
    </row>
    <row r="217" spans="26:26">
      <c r="Z217" s="69"/>
    </row>
    <row r="218" spans="26:26">
      <c r="Z218" s="69"/>
    </row>
    <row r="219" spans="26:26">
      <c r="Z219" s="69"/>
    </row>
    <row r="220" spans="26:26">
      <c r="Z220" s="69"/>
    </row>
    <row r="221" spans="26:26">
      <c r="Z221" s="69"/>
    </row>
    <row r="222" spans="26:26">
      <c r="Z222" s="69"/>
    </row>
    <row r="223" spans="26:26">
      <c r="Z223" s="69"/>
    </row>
    <row r="224" spans="26:26">
      <c r="Z224" s="69"/>
    </row>
    <row r="225" spans="26:26">
      <c r="Z225" s="69"/>
    </row>
    <row r="226" spans="26:26">
      <c r="Z226" s="69"/>
    </row>
    <row r="227" spans="26:26">
      <c r="Z227" s="69"/>
    </row>
    <row r="228" spans="26:26">
      <c r="Z228" s="69"/>
    </row>
    <row r="229" spans="26:26">
      <c r="Z229" s="69"/>
    </row>
    <row r="230" spans="26:26">
      <c r="Z230" s="69"/>
    </row>
    <row r="231" spans="26:26">
      <c r="Z231" s="69"/>
    </row>
    <row r="232" spans="26:26">
      <c r="Z232" s="69"/>
    </row>
    <row r="233" spans="26:26">
      <c r="Z233" s="69"/>
    </row>
    <row r="234" spans="26:26">
      <c r="Z234" s="69"/>
    </row>
    <row r="235" spans="26:26">
      <c r="Z235" s="69"/>
    </row>
    <row r="236" spans="26:26">
      <c r="Z236" s="69"/>
    </row>
    <row r="237" spans="26:26">
      <c r="Z237" s="69"/>
    </row>
    <row r="238" spans="26:26">
      <c r="Z238" s="69"/>
    </row>
    <row r="239" spans="26:26">
      <c r="Z239" s="69"/>
    </row>
    <row r="240" spans="26:26">
      <c r="Z240" s="69"/>
    </row>
    <row r="241" spans="26:26">
      <c r="Z241" s="69"/>
    </row>
    <row r="242" spans="26:26">
      <c r="Z242" s="69"/>
    </row>
    <row r="243" spans="26:26">
      <c r="Z243" s="69"/>
    </row>
    <row r="244" spans="26:26">
      <c r="Z244" s="69"/>
    </row>
    <row r="245" spans="26:26">
      <c r="Z245" s="69"/>
    </row>
    <row r="246" spans="26:26">
      <c r="Z246" s="69"/>
    </row>
    <row r="247" spans="26:26">
      <c r="Z247" s="69"/>
    </row>
    <row r="248" spans="26:26">
      <c r="Z248" s="69"/>
    </row>
    <row r="249" spans="26:26">
      <c r="Z249" s="69"/>
    </row>
    <row r="250" spans="26:26">
      <c r="Z250" s="69"/>
    </row>
    <row r="251" spans="26:26">
      <c r="Z251" s="69"/>
    </row>
    <row r="252" spans="26:26">
      <c r="Z252" s="69"/>
    </row>
    <row r="253" spans="26:26">
      <c r="Z253" s="69"/>
    </row>
    <row r="254" spans="26:26">
      <c r="Z254" s="69"/>
    </row>
    <row r="255" spans="26:26">
      <c r="Z255" s="69"/>
    </row>
    <row r="256" spans="26:26">
      <c r="Z256" s="69"/>
    </row>
    <row r="257" spans="26:26">
      <c r="Z257" s="69"/>
    </row>
    <row r="258" spans="26:26">
      <c r="Z258" s="69"/>
    </row>
    <row r="259" spans="26:26">
      <c r="Z259" s="69"/>
    </row>
    <row r="260" spans="26:26">
      <c r="Z260" s="69"/>
    </row>
    <row r="261" spans="26:26">
      <c r="Z261" s="69"/>
    </row>
    <row r="262" spans="26:26">
      <c r="Z262" s="69"/>
    </row>
    <row r="263" spans="26:26">
      <c r="Z263" s="69"/>
    </row>
    <row r="264" spans="26:26">
      <c r="Z264" s="69"/>
    </row>
    <row r="265" spans="26:26">
      <c r="Z265" s="69"/>
    </row>
    <row r="266" spans="26:26">
      <c r="Z266" s="69"/>
    </row>
    <row r="267" spans="26:26">
      <c r="Z267" s="69"/>
    </row>
    <row r="268" spans="26:26">
      <c r="Z268" s="69"/>
    </row>
    <row r="269" spans="26:26">
      <c r="Z269" s="69"/>
    </row>
    <row r="270" spans="26:26">
      <c r="Z270" s="69"/>
    </row>
    <row r="271" spans="26:26">
      <c r="Z271" s="69"/>
    </row>
    <row r="272" spans="26:26">
      <c r="Z272" s="69"/>
    </row>
    <row r="273" spans="26:26">
      <c r="Z273" s="69"/>
    </row>
    <row r="274" spans="26:26">
      <c r="Z274" s="69"/>
    </row>
    <row r="275" spans="26:26">
      <c r="Z275" s="69"/>
    </row>
    <row r="276" spans="26:26">
      <c r="Z276" s="69"/>
    </row>
    <row r="277" spans="26:26">
      <c r="Z277" s="69"/>
    </row>
    <row r="278" spans="26:26">
      <c r="Z278" s="69"/>
    </row>
    <row r="279" spans="26:26">
      <c r="Z279" s="69"/>
    </row>
    <row r="280" spans="26:26">
      <c r="Z280" s="69"/>
    </row>
    <row r="281" spans="26:26">
      <c r="Z281" s="69"/>
    </row>
    <row r="282" spans="26:26">
      <c r="Z282" s="69"/>
    </row>
    <row r="283" spans="26:26">
      <c r="Z283" s="69"/>
    </row>
    <row r="284" spans="26:26">
      <c r="Z284" s="69"/>
    </row>
    <row r="285" spans="26:26">
      <c r="Z285" s="69"/>
    </row>
    <row r="286" spans="26:26">
      <c r="Z286" s="69"/>
    </row>
    <row r="287" spans="26:26">
      <c r="Z287" s="69"/>
    </row>
    <row r="288" spans="26:26">
      <c r="Z288" s="69"/>
    </row>
    <row r="289" spans="26:26">
      <c r="Z289" s="69"/>
    </row>
    <row r="290" spans="26:26">
      <c r="Z290" s="69"/>
    </row>
    <row r="291" spans="26:26">
      <c r="Z291" s="69"/>
    </row>
    <row r="292" spans="26:26">
      <c r="Z292" s="69"/>
    </row>
    <row r="293" spans="26:26">
      <c r="Z293" s="69"/>
    </row>
    <row r="294" spans="26:26">
      <c r="Z294" s="69"/>
    </row>
    <row r="295" spans="26:26">
      <c r="Z295" s="69"/>
    </row>
    <row r="296" spans="26:26">
      <c r="Z296" s="69"/>
    </row>
    <row r="297" spans="26:26">
      <c r="Z297" s="69"/>
    </row>
    <row r="298" spans="26:26">
      <c r="Z298" s="69"/>
    </row>
    <row r="299" spans="26:26">
      <c r="Z299" s="69"/>
    </row>
    <row r="300" spans="26:26">
      <c r="Z300" s="69"/>
    </row>
    <row r="301" spans="26:26">
      <c r="Z301" s="69"/>
    </row>
    <row r="302" spans="26:26">
      <c r="Z302" s="69"/>
    </row>
    <row r="303" spans="26:26">
      <c r="Z303" s="69"/>
    </row>
    <row r="304" spans="26:26">
      <c r="Z304" s="69"/>
    </row>
    <row r="305" spans="26:26">
      <c r="Z305" s="69"/>
    </row>
    <row r="306" spans="26:26">
      <c r="Z306" s="69"/>
    </row>
    <row r="307" spans="26:26">
      <c r="Z307" s="69"/>
    </row>
    <row r="308" spans="26:26">
      <c r="Z308" s="69"/>
    </row>
    <row r="309" spans="26:26">
      <c r="Z309" s="69"/>
    </row>
    <row r="310" spans="26:26">
      <c r="Z310" s="69"/>
    </row>
    <row r="311" spans="26:26">
      <c r="Z311" s="69"/>
    </row>
    <row r="312" spans="26:26">
      <c r="Z312" s="69"/>
    </row>
    <row r="313" spans="26:26">
      <c r="Z313" s="69"/>
    </row>
    <row r="314" spans="26:26">
      <c r="Z314" s="69"/>
    </row>
    <row r="315" spans="26:26">
      <c r="Z315" s="69"/>
    </row>
    <row r="316" spans="26:26">
      <c r="Z316" s="69"/>
    </row>
    <row r="317" spans="26:26">
      <c r="Z317" s="69"/>
    </row>
    <row r="318" spans="26:26">
      <c r="Z318" s="69"/>
    </row>
    <row r="319" spans="26:26">
      <c r="Z319" s="69"/>
    </row>
    <row r="320" spans="26:26">
      <c r="Z320" s="69"/>
    </row>
    <row r="321" spans="26:26">
      <c r="Z321" s="69"/>
    </row>
    <row r="322" spans="26:26">
      <c r="Z322" s="69"/>
    </row>
    <row r="323" spans="26:26">
      <c r="Z323" s="69"/>
    </row>
    <row r="324" spans="26:26">
      <c r="Z324" s="69"/>
    </row>
    <row r="325" spans="26:26">
      <c r="Z325" s="69"/>
    </row>
    <row r="326" spans="26:26">
      <c r="Z326" s="69"/>
    </row>
    <row r="327" spans="26:26">
      <c r="Z327" s="69"/>
    </row>
    <row r="328" spans="26:26">
      <c r="Z328" s="69"/>
    </row>
    <row r="329" spans="26:26">
      <c r="Z329" s="69"/>
    </row>
    <row r="330" spans="26:26">
      <c r="Z330" s="69"/>
    </row>
    <row r="331" spans="26:26">
      <c r="Z331" s="69"/>
    </row>
    <row r="332" spans="26:26">
      <c r="Z332" s="69"/>
    </row>
    <row r="333" spans="26:26">
      <c r="Z333" s="69"/>
    </row>
    <row r="334" spans="26:26">
      <c r="Z334" s="69"/>
    </row>
    <row r="335" spans="26:26">
      <c r="Z335" s="69"/>
    </row>
    <row r="336" spans="26:26">
      <c r="Z336" s="69"/>
    </row>
    <row r="337" spans="26:26">
      <c r="Z337" s="69"/>
    </row>
    <row r="338" spans="26:26">
      <c r="Z338" s="69"/>
    </row>
    <row r="339" spans="26:26">
      <c r="Z339" s="69"/>
    </row>
    <row r="340" spans="26:26">
      <c r="Z340" s="69"/>
    </row>
    <row r="341" spans="26:26">
      <c r="Z341" s="69"/>
    </row>
    <row r="342" spans="26:26">
      <c r="Z342" s="69"/>
    </row>
    <row r="343" spans="26:26">
      <c r="Z343" s="69"/>
    </row>
    <row r="344" spans="26:26">
      <c r="Z344" s="69"/>
    </row>
    <row r="345" spans="26:26">
      <c r="Z345" s="69"/>
    </row>
    <row r="346" spans="26:26">
      <c r="Z346" s="69"/>
    </row>
    <row r="347" spans="26:26">
      <c r="Z347" s="69"/>
    </row>
    <row r="348" spans="26:26">
      <c r="Z348" s="69"/>
    </row>
    <row r="349" spans="26:26">
      <c r="Z349" s="69"/>
    </row>
    <row r="350" spans="26:26">
      <c r="Z350" s="69"/>
    </row>
    <row r="351" spans="26:26">
      <c r="Z351" s="69"/>
    </row>
    <row r="352" spans="26:26">
      <c r="Z352" s="69"/>
    </row>
    <row r="353" spans="26:26">
      <c r="Z353" s="69"/>
    </row>
    <row r="354" spans="26:26">
      <c r="Z354" s="69"/>
    </row>
    <row r="355" spans="26:26">
      <c r="Z355" s="69"/>
    </row>
    <row r="356" spans="26:26">
      <c r="Z356" s="69"/>
    </row>
    <row r="357" spans="26:26">
      <c r="Z357" s="69"/>
    </row>
    <row r="358" spans="26:26">
      <c r="Z358" s="69"/>
    </row>
    <row r="359" spans="26:26">
      <c r="Z359" s="69"/>
    </row>
    <row r="360" spans="26:26">
      <c r="Z360" s="69"/>
    </row>
    <row r="361" spans="26:26">
      <c r="Z361" s="69"/>
    </row>
    <row r="362" spans="26:26">
      <c r="Z362" s="69"/>
    </row>
    <row r="363" spans="26:26">
      <c r="Z363" s="69"/>
    </row>
    <row r="364" spans="26:26">
      <c r="Z364" s="69"/>
    </row>
    <row r="365" spans="26:26">
      <c r="Z365" s="69"/>
    </row>
    <row r="366" spans="26:26">
      <c r="Z366" s="69"/>
    </row>
    <row r="367" spans="26:26">
      <c r="Z367" s="69"/>
    </row>
    <row r="368" spans="26:26">
      <c r="Z368" s="69"/>
    </row>
    <row r="369" spans="26:26">
      <c r="Z369" s="69"/>
    </row>
    <row r="370" spans="26:26">
      <c r="Z370" s="69"/>
    </row>
    <row r="371" spans="26:26">
      <c r="Z371" s="69"/>
    </row>
    <row r="372" spans="26:26">
      <c r="Z372" s="69"/>
    </row>
    <row r="373" spans="26:26">
      <c r="Z373" s="69"/>
    </row>
    <row r="374" spans="26:26">
      <c r="Z374" s="69"/>
    </row>
    <row r="375" spans="26:26">
      <c r="Z375" s="69"/>
    </row>
    <row r="376" spans="26:26">
      <c r="Z376" s="69"/>
    </row>
    <row r="377" spans="26:26">
      <c r="Z377" s="69"/>
    </row>
    <row r="378" spans="26:26">
      <c r="Z378" s="69"/>
    </row>
    <row r="379" spans="26:26">
      <c r="Z379" s="69"/>
    </row>
    <row r="380" spans="26:26">
      <c r="Z380" s="69"/>
    </row>
    <row r="381" spans="26:26">
      <c r="Z381" s="69"/>
    </row>
    <row r="382" spans="26:26">
      <c r="Z382" s="69"/>
    </row>
    <row r="383" spans="26:26">
      <c r="Z383" s="69"/>
    </row>
    <row r="384" spans="26:26">
      <c r="Z384" s="69"/>
    </row>
    <row r="385" spans="26:26">
      <c r="Z385" s="69"/>
    </row>
    <row r="386" spans="26:26">
      <c r="Z386" s="69"/>
    </row>
    <row r="387" spans="26:26">
      <c r="Z387" s="69"/>
    </row>
    <row r="388" spans="26:26">
      <c r="Z388" s="69"/>
    </row>
    <row r="389" spans="26:26">
      <c r="Z389" s="69"/>
    </row>
    <row r="390" spans="26:26">
      <c r="Z390" s="69"/>
    </row>
    <row r="391" spans="26:26">
      <c r="Z391" s="69"/>
    </row>
    <row r="392" spans="26:26">
      <c r="Z392" s="69"/>
    </row>
    <row r="393" spans="26:26">
      <c r="Z393" s="69"/>
    </row>
    <row r="394" spans="26:26">
      <c r="Z394" s="69"/>
    </row>
    <row r="395" spans="26:26">
      <c r="Z395" s="69"/>
    </row>
    <row r="396" spans="26:26">
      <c r="Z396" s="69"/>
    </row>
    <row r="397" spans="26:26">
      <c r="Z397" s="69"/>
    </row>
    <row r="398" spans="26:26">
      <c r="Z398" s="69"/>
    </row>
    <row r="399" spans="26:26">
      <c r="Z399" s="69"/>
    </row>
    <row r="400" spans="26:26">
      <c r="Z400" s="69"/>
    </row>
    <row r="401" spans="26:26">
      <c r="Z401" s="69"/>
    </row>
    <row r="402" spans="26:26">
      <c r="Z402" s="69"/>
    </row>
    <row r="403" spans="26:26">
      <c r="Z403" s="69"/>
    </row>
    <row r="404" spans="26:26">
      <c r="Z404" s="69"/>
    </row>
    <row r="405" spans="26:26">
      <c r="Z405" s="69"/>
    </row>
    <row r="406" spans="26:26">
      <c r="Z406" s="69"/>
    </row>
    <row r="407" spans="26:26">
      <c r="Z407" s="69"/>
    </row>
    <row r="408" spans="26:26">
      <c r="Z408" s="69"/>
    </row>
    <row r="409" spans="26:26">
      <c r="Z409" s="69"/>
    </row>
    <row r="410" spans="26:26">
      <c r="Z410" s="69"/>
    </row>
    <row r="411" spans="26:26">
      <c r="Z411" s="69"/>
    </row>
    <row r="412" spans="26:26">
      <c r="Z412" s="69"/>
    </row>
    <row r="413" spans="26:26">
      <c r="Z413" s="69"/>
    </row>
    <row r="414" spans="26:26">
      <c r="Z414" s="69"/>
    </row>
    <row r="415" spans="26:26">
      <c r="Z415" s="69"/>
    </row>
    <row r="416" spans="26:26">
      <c r="Z416" s="69"/>
    </row>
    <row r="417" spans="26:26">
      <c r="Z417" s="69"/>
    </row>
    <row r="418" spans="26:26">
      <c r="Z418" s="69"/>
    </row>
    <row r="419" spans="26:26">
      <c r="Z419" s="69"/>
    </row>
    <row r="420" spans="26:26">
      <c r="Z420" s="69"/>
    </row>
    <row r="421" spans="26:26">
      <c r="Z421" s="69"/>
    </row>
    <row r="422" spans="26:26">
      <c r="Z422" s="69"/>
    </row>
    <row r="423" spans="26:26">
      <c r="Z423" s="69"/>
    </row>
    <row r="424" spans="26:26">
      <c r="Z424" s="69"/>
    </row>
    <row r="425" spans="26:26">
      <c r="Z425" s="69"/>
    </row>
    <row r="426" spans="26:26">
      <c r="Z426" s="69"/>
    </row>
    <row r="427" spans="26:26">
      <c r="Z427" s="69"/>
    </row>
  </sheetData>
  <mergeCells count="70">
    <mergeCell ref="H65:H76"/>
    <mergeCell ref="I65:I76"/>
    <mergeCell ref="J65:J76"/>
    <mergeCell ref="C65:C76"/>
    <mergeCell ref="D65:D76"/>
    <mergeCell ref="E65:E76"/>
    <mergeCell ref="F65:F76"/>
    <mergeCell ref="G65:G76"/>
    <mergeCell ref="J77:J88"/>
    <mergeCell ref="E77:E88"/>
    <mergeCell ref="F77:F88"/>
    <mergeCell ref="G77:G88"/>
    <mergeCell ref="H77:H88"/>
    <mergeCell ref="I77:I88"/>
    <mergeCell ref="C29:C40"/>
    <mergeCell ref="D29:D40"/>
    <mergeCell ref="J29:J40"/>
    <mergeCell ref="E29:E40"/>
    <mergeCell ref="F29:F40"/>
    <mergeCell ref="G29:G40"/>
    <mergeCell ref="H29:H40"/>
    <mergeCell ref="U94:W94"/>
    <mergeCell ref="L92:N92"/>
    <mergeCell ref="O92:Q92"/>
    <mergeCell ref="R92:T92"/>
    <mergeCell ref="U92:W92"/>
    <mergeCell ref="L93:N93"/>
    <mergeCell ref="O93:Q93"/>
    <mergeCell ref="R93:T93"/>
    <mergeCell ref="U93:W93"/>
    <mergeCell ref="H41:H52"/>
    <mergeCell ref="L94:N94"/>
    <mergeCell ref="O94:Q94"/>
    <mergeCell ref="R94:T94"/>
    <mergeCell ref="J41:J52"/>
    <mergeCell ref="C89:J91"/>
    <mergeCell ref="J53:J64"/>
    <mergeCell ref="H53:H64"/>
    <mergeCell ref="I53:I64"/>
    <mergeCell ref="C53:C64"/>
    <mergeCell ref="D53:D64"/>
    <mergeCell ref="E53:E64"/>
    <mergeCell ref="F53:F64"/>
    <mergeCell ref="G53:G64"/>
    <mergeCell ref="C77:C88"/>
    <mergeCell ref="D77:D88"/>
    <mergeCell ref="C5:C16"/>
    <mergeCell ref="D5:D16"/>
    <mergeCell ref="J5:J16"/>
    <mergeCell ref="E5:E16"/>
    <mergeCell ref="F5:F16"/>
    <mergeCell ref="G5:G16"/>
    <mergeCell ref="H5:H16"/>
    <mergeCell ref="I5:I16"/>
    <mergeCell ref="J17:J28"/>
    <mergeCell ref="I41:I52"/>
    <mergeCell ref="C2:J4"/>
    <mergeCell ref="C41:C52"/>
    <mergeCell ref="D41:D52"/>
    <mergeCell ref="E41:E52"/>
    <mergeCell ref="F41:F52"/>
    <mergeCell ref="G41:G52"/>
    <mergeCell ref="I17:I28"/>
    <mergeCell ref="C17:C28"/>
    <mergeCell ref="D17:D28"/>
    <mergeCell ref="E17:E28"/>
    <mergeCell ref="F17:F28"/>
    <mergeCell ref="G17:G28"/>
    <mergeCell ref="H17:H28"/>
    <mergeCell ref="I29:I40"/>
  </mergeCells>
  <phoneticPr fontId="12"/>
  <printOptions horizontalCentered="1"/>
  <pageMargins left="0.70866141732283472" right="0.70866141732283472" top="0.70866141732283472" bottom="0.70866141732283472" header="0.31496062992125984" footer="0.31496062992125984"/>
  <pageSetup paperSize="9" scale="52" fitToHeight="0" orientation="landscape" r:id="rId1"/>
  <rowBreaks count="1" manualBreakCount="1">
    <brk id="76" min="2" max="23" man="1"/>
  </rowBreaks>
  <ignoredErrors>
    <ignoredError sqref="X17:X28" formula="1"/>
  </ignoredErrors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pageSetUpPr fitToPage="1"/>
  </sheetPr>
  <dimension ref="A1:Z439"/>
  <sheetViews>
    <sheetView showGridLines="0" zoomScale="80" zoomScaleNormal="80" zoomScaleSheetLayoutView="70" workbookViewId="0">
      <pane xSplit="11" ySplit="4" topLeftCell="L5" activePane="bottomRight" state="frozen"/>
      <selection activeCell="I53" sqref="I53:I64"/>
      <selection pane="topRight" activeCell="I53" sqref="I53:I64"/>
      <selection pane="bottomLeft" activeCell="I53" sqref="I53:I64"/>
      <selection pane="bottomRight" activeCell="L51" sqref="L6:L51"/>
    </sheetView>
  </sheetViews>
  <sheetFormatPr defaultRowHeight="12"/>
  <cols>
    <col min="1" max="1" width="9.6328125" style="115" customWidth="1"/>
    <col min="2" max="2" width="11.90625" style="73" customWidth="1"/>
    <col min="3" max="3" width="6.36328125" style="9" customWidth="1"/>
    <col min="4" max="4" width="10.36328125" style="9" customWidth="1"/>
    <col min="5" max="5" width="5.08984375" style="9" customWidth="1"/>
    <col min="6" max="6" width="9.90625" style="127" customWidth="1"/>
    <col min="7" max="9" width="9.90625" style="9" customWidth="1"/>
    <col min="10" max="10" width="8.453125" style="9" customWidth="1"/>
    <col min="11" max="11" width="10.453125" style="9" customWidth="1"/>
    <col min="12" max="23" width="13.08984375" style="9" customWidth="1"/>
    <col min="24" max="24" width="16.453125" style="9" customWidth="1"/>
    <col min="25" max="25" width="10.08984375" style="2" customWidth="1"/>
    <col min="26" max="26" width="11" style="2" bestFit="1" customWidth="1"/>
    <col min="27" max="259" width="9" style="2"/>
    <col min="260" max="260" width="9.6328125" style="2" customWidth="1"/>
    <col min="261" max="262" width="5.08984375" style="2" customWidth="1"/>
    <col min="263" max="263" width="9.6328125" style="2" customWidth="1"/>
    <col min="264" max="265" width="11.6328125" style="2" customWidth="1"/>
    <col min="266" max="266" width="15.36328125" style="2" customWidth="1"/>
    <col min="267" max="267" width="10.90625" style="2" customWidth="1"/>
    <col min="268" max="278" width="13.36328125" style="2" customWidth="1"/>
    <col min="279" max="279" width="13.6328125" style="2" customWidth="1"/>
    <col min="280" max="280" width="16.453125" style="2" customWidth="1"/>
    <col min="281" max="515" width="9" style="2"/>
    <col min="516" max="516" width="9.6328125" style="2" customWidth="1"/>
    <col min="517" max="518" width="5.08984375" style="2" customWidth="1"/>
    <col min="519" max="519" width="9.6328125" style="2" customWidth="1"/>
    <col min="520" max="521" width="11.6328125" style="2" customWidth="1"/>
    <col min="522" max="522" width="15.36328125" style="2" customWidth="1"/>
    <col min="523" max="523" width="10.90625" style="2" customWidth="1"/>
    <col min="524" max="534" width="13.36328125" style="2" customWidth="1"/>
    <col min="535" max="535" width="13.6328125" style="2" customWidth="1"/>
    <col min="536" max="536" width="16.453125" style="2" customWidth="1"/>
    <col min="537" max="771" width="9" style="2"/>
    <col min="772" max="772" width="9.6328125" style="2" customWidth="1"/>
    <col min="773" max="774" width="5.08984375" style="2" customWidth="1"/>
    <col min="775" max="775" width="9.6328125" style="2" customWidth="1"/>
    <col min="776" max="777" width="11.6328125" style="2" customWidth="1"/>
    <col min="778" max="778" width="15.36328125" style="2" customWidth="1"/>
    <col min="779" max="779" width="10.90625" style="2" customWidth="1"/>
    <col min="780" max="790" width="13.36328125" style="2" customWidth="1"/>
    <col min="791" max="791" width="13.6328125" style="2" customWidth="1"/>
    <col min="792" max="792" width="16.453125" style="2" customWidth="1"/>
    <col min="793" max="1027" width="9" style="2"/>
    <col min="1028" max="1028" width="9.6328125" style="2" customWidth="1"/>
    <col min="1029" max="1030" width="5.08984375" style="2" customWidth="1"/>
    <col min="1031" max="1031" width="9.6328125" style="2" customWidth="1"/>
    <col min="1032" max="1033" width="11.6328125" style="2" customWidth="1"/>
    <col min="1034" max="1034" width="15.36328125" style="2" customWidth="1"/>
    <col min="1035" max="1035" width="10.90625" style="2" customWidth="1"/>
    <col min="1036" max="1046" width="13.36328125" style="2" customWidth="1"/>
    <col min="1047" max="1047" width="13.6328125" style="2" customWidth="1"/>
    <col min="1048" max="1048" width="16.453125" style="2" customWidth="1"/>
    <col min="1049" max="1283" width="9" style="2"/>
    <col min="1284" max="1284" width="9.6328125" style="2" customWidth="1"/>
    <col min="1285" max="1286" width="5.08984375" style="2" customWidth="1"/>
    <col min="1287" max="1287" width="9.6328125" style="2" customWidth="1"/>
    <col min="1288" max="1289" width="11.6328125" style="2" customWidth="1"/>
    <col min="1290" max="1290" width="15.36328125" style="2" customWidth="1"/>
    <col min="1291" max="1291" width="10.90625" style="2" customWidth="1"/>
    <col min="1292" max="1302" width="13.36328125" style="2" customWidth="1"/>
    <col min="1303" max="1303" width="13.6328125" style="2" customWidth="1"/>
    <col min="1304" max="1304" width="16.453125" style="2" customWidth="1"/>
    <col min="1305" max="1539" width="9" style="2"/>
    <col min="1540" max="1540" width="9.6328125" style="2" customWidth="1"/>
    <col min="1541" max="1542" width="5.08984375" style="2" customWidth="1"/>
    <col min="1543" max="1543" width="9.6328125" style="2" customWidth="1"/>
    <col min="1544" max="1545" width="11.6328125" style="2" customWidth="1"/>
    <col min="1546" max="1546" width="15.36328125" style="2" customWidth="1"/>
    <col min="1547" max="1547" width="10.90625" style="2" customWidth="1"/>
    <col min="1548" max="1558" width="13.36328125" style="2" customWidth="1"/>
    <col min="1559" max="1559" width="13.6328125" style="2" customWidth="1"/>
    <col min="1560" max="1560" width="16.453125" style="2" customWidth="1"/>
    <col min="1561" max="1795" width="9" style="2"/>
    <col min="1796" max="1796" width="9.6328125" style="2" customWidth="1"/>
    <col min="1797" max="1798" width="5.08984375" style="2" customWidth="1"/>
    <col min="1799" max="1799" width="9.6328125" style="2" customWidth="1"/>
    <col min="1800" max="1801" width="11.6328125" style="2" customWidth="1"/>
    <col min="1802" max="1802" width="15.36328125" style="2" customWidth="1"/>
    <col min="1803" max="1803" width="10.90625" style="2" customWidth="1"/>
    <col min="1804" max="1814" width="13.36328125" style="2" customWidth="1"/>
    <col min="1815" max="1815" width="13.6328125" style="2" customWidth="1"/>
    <col min="1816" max="1816" width="16.453125" style="2" customWidth="1"/>
    <col min="1817" max="2051" width="9" style="2"/>
    <col min="2052" max="2052" width="9.6328125" style="2" customWidth="1"/>
    <col min="2053" max="2054" width="5.08984375" style="2" customWidth="1"/>
    <col min="2055" max="2055" width="9.6328125" style="2" customWidth="1"/>
    <col min="2056" max="2057" width="11.6328125" style="2" customWidth="1"/>
    <col min="2058" max="2058" width="15.36328125" style="2" customWidth="1"/>
    <col min="2059" max="2059" width="10.90625" style="2" customWidth="1"/>
    <col min="2060" max="2070" width="13.36328125" style="2" customWidth="1"/>
    <col min="2071" max="2071" width="13.6328125" style="2" customWidth="1"/>
    <col min="2072" max="2072" width="16.453125" style="2" customWidth="1"/>
    <col min="2073" max="2307" width="9" style="2"/>
    <col min="2308" max="2308" width="9.6328125" style="2" customWidth="1"/>
    <col min="2309" max="2310" width="5.08984375" style="2" customWidth="1"/>
    <col min="2311" max="2311" width="9.6328125" style="2" customWidth="1"/>
    <col min="2312" max="2313" width="11.6328125" style="2" customWidth="1"/>
    <col min="2314" max="2314" width="15.36328125" style="2" customWidth="1"/>
    <col min="2315" max="2315" width="10.90625" style="2" customWidth="1"/>
    <col min="2316" max="2326" width="13.36328125" style="2" customWidth="1"/>
    <col min="2327" max="2327" width="13.6328125" style="2" customWidth="1"/>
    <col min="2328" max="2328" width="16.453125" style="2" customWidth="1"/>
    <col min="2329" max="2563" width="9" style="2"/>
    <col min="2564" max="2564" width="9.6328125" style="2" customWidth="1"/>
    <col min="2565" max="2566" width="5.08984375" style="2" customWidth="1"/>
    <col min="2567" max="2567" width="9.6328125" style="2" customWidth="1"/>
    <col min="2568" max="2569" width="11.6328125" style="2" customWidth="1"/>
    <col min="2570" max="2570" width="15.36328125" style="2" customWidth="1"/>
    <col min="2571" max="2571" width="10.90625" style="2" customWidth="1"/>
    <col min="2572" max="2582" width="13.36328125" style="2" customWidth="1"/>
    <col min="2583" max="2583" width="13.6328125" style="2" customWidth="1"/>
    <col min="2584" max="2584" width="16.453125" style="2" customWidth="1"/>
    <col min="2585" max="2819" width="9" style="2"/>
    <col min="2820" max="2820" width="9.6328125" style="2" customWidth="1"/>
    <col min="2821" max="2822" width="5.08984375" style="2" customWidth="1"/>
    <col min="2823" max="2823" width="9.6328125" style="2" customWidth="1"/>
    <col min="2824" max="2825" width="11.6328125" style="2" customWidth="1"/>
    <col min="2826" max="2826" width="15.36328125" style="2" customWidth="1"/>
    <col min="2827" max="2827" width="10.90625" style="2" customWidth="1"/>
    <col min="2828" max="2838" width="13.36328125" style="2" customWidth="1"/>
    <col min="2839" max="2839" width="13.6328125" style="2" customWidth="1"/>
    <col min="2840" max="2840" width="16.453125" style="2" customWidth="1"/>
    <col min="2841" max="3075" width="9" style="2"/>
    <col min="3076" max="3076" width="9.6328125" style="2" customWidth="1"/>
    <col min="3077" max="3078" width="5.08984375" style="2" customWidth="1"/>
    <col min="3079" max="3079" width="9.6328125" style="2" customWidth="1"/>
    <col min="3080" max="3081" width="11.6328125" style="2" customWidth="1"/>
    <col min="3082" max="3082" width="15.36328125" style="2" customWidth="1"/>
    <col min="3083" max="3083" width="10.90625" style="2" customWidth="1"/>
    <col min="3084" max="3094" width="13.36328125" style="2" customWidth="1"/>
    <col min="3095" max="3095" width="13.6328125" style="2" customWidth="1"/>
    <col min="3096" max="3096" width="16.453125" style="2" customWidth="1"/>
    <col min="3097" max="3331" width="9" style="2"/>
    <col min="3332" max="3332" width="9.6328125" style="2" customWidth="1"/>
    <col min="3333" max="3334" width="5.08984375" style="2" customWidth="1"/>
    <col min="3335" max="3335" width="9.6328125" style="2" customWidth="1"/>
    <col min="3336" max="3337" width="11.6328125" style="2" customWidth="1"/>
    <col min="3338" max="3338" width="15.36328125" style="2" customWidth="1"/>
    <col min="3339" max="3339" width="10.90625" style="2" customWidth="1"/>
    <col min="3340" max="3350" width="13.36328125" style="2" customWidth="1"/>
    <col min="3351" max="3351" width="13.6328125" style="2" customWidth="1"/>
    <col min="3352" max="3352" width="16.453125" style="2" customWidth="1"/>
    <col min="3353" max="3587" width="9" style="2"/>
    <col min="3588" max="3588" width="9.6328125" style="2" customWidth="1"/>
    <col min="3589" max="3590" width="5.08984375" style="2" customWidth="1"/>
    <col min="3591" max="3591" width="9.6328125" style="2" customWidth="1"/>
    <col min="3592" max="3593" width="11.6328125" style="2" customWidth="1"/>
    <col min="3594" max="3594" width="15.36328125" style="2" customWidth="1"/>
    <col min="3595" max="3595" width="10.90625" style="2" customWidth="1"/>
    <col min="3596" max="3606" width="13.36328125" style="2" customWidth="1"/>
    <col min="3607" max="3607" width="13.6328125" style="2" customWidth="1"/>
    <col min="3608" max="3608" width="16.453125" style="2" customWidth="1"/>
    <col min="3609" max="3843" width="9" style="2"/>
    <col min="3844" max="3844" width="9.6328125" style="2" customWidth="1"/>
    <col min="3845" max="3846" width="5.08984375" style="2" customWidth="1"/>
    <col min="3847" max="3847" width="9.6328125" style="2" customWidth="1"/>
    <col min="3848" max="3849" width="11.6328125" style="2" customWidth="1"/>
    <col min="3850" max="3850" width="15.36328125" style="2" customWidth="1"/>
    <col min="3851" max="3851" width="10.90625" style="2" customWidth="1"/>
    <col min="3852" max="3862" width="13.36328125" style="2" customWidth="1"/>
    <col min="3863" max="3863" width="13.6328125" style="2" customWidth="1"/>
    <col min="3864" max="3864" width="16.453125" style="2" customWidth="1"/>
    <col min="3865" max="4099" width="9" style="2"/>
    <col min="4100" max="4100" width="9.6328125" style="2" customWidth="1"/>
    <col min="4101" max="4102" width="5.08984375" style="2" customWidth="1"/>
    <col min="4103" max="4103" width="9.6328125" style="2" customWidth="1"/>
    <col min="4104" max="4105" width="11.6328125" style="2" customWidth="1"/>
    <col min="4106" max="4106" width="15.36328125" style="2" customWidth="1"/>
    <col min="4107" max="4107" width="10.90625" style="2" customWidth="1"/>
    <col min="4108" max="4118" width="13.36328125" style="2" customWidth="1"/>
    <col min="4119" max="4119" width="13.6328125" style="2" customWidth="1"/>
    <col min="4120" max="4120" width="16.453125" style="2" customWidth="1"/>
    <col min="4121" max="4355" width="9" style="2"/>
    <col min="4356" max="4356" width="9.6328125" style="2" customWidth="1"/>
    <col min="4357" max="4358" width="5.08984375" style="2" customWidth="1"/>
    <col min="4359" max="4359" width="9.6328125" style="2" customWidth="1"/>
    <col min="4360" max="4361" width="11.6328125" style="2" customWidth="1"/>
    <col min="4362" max="4362" width="15.36328125" style="2" customWidth="1"/>
    <col min="4363" max="4363" width="10.90625" style="2" customWidth="1"/>
    <col min="4364" max="4374" width="13.36328125" style="2" customWidth="1"/>
    <col min="4375" max="4375" width="13.6328125" style="2" customWidth="1"/>
    <col min="4376" max="4376" width="16.453125" style="2" customWidth="1"/>
    <col min="4377" max="4611" width="9" style="2"/>
    <col min="4612" max="4612" width="9.6328125" style="2" customWidth="1"/>
    <col min="4613" max="4614" width="5.08984375" style="2" customWidth="1"/>
    <col min="4615" max="4615" width="9.6328125" style="2" customWidth="1"/>
    <col min="4616" max="4617" width="11.6328125" style="2" customWidth="1"/>
    <col min="4618" max="4618" width="15.36328125" style="2" customWidth="1"/>
    <col min="4619" max="4619" width="10.90625" style="2" customWidth="1"/>
    <col min="4620" max="4630" width="13.36328125" style="2" customWidth="1"/>
    <col min="4631" max="4631" width="13.6328125" style="2" customWidth="1"/>
    <col min="4632" max="4632" width="16.453125" style="2" customWidth="1"/>
    <col min="4633" max="4867" width="9" style="2"/>
    <col min="4868" max="4868" width="9.6328125" style="2" customWidth="1"/>
    <col min="4869" max="4870" width="5.08984375" style="2" customWidth="1"/>
    <col min="4871" max="4871" width="9.6328125" style="2" customWidth="1"/>
    <col min="4872" max="4873" width="11.6328125" style="2" customWidth="1"/>
    <col min="4874" max="4874" width="15.36328125" style="2" customWidth="1"/>
    <col min="4875" max="4875" width="10.90625" style="2" customWidth="1"/>
    <col min="4876" max="4886" width="13.36328125" style="2" customWidth="1"/>
    <col min="4887" max="4887" width="13.6328125" style="2" customWidth="1"/>
    <col min="4888" max="4888" width="16.453125" style="2" customWidth="1"/>
    <col min="4889" max="5123" width="9" style="2"/>
    <col min="5124" max="5124" width="9.6328125" style="2" customWidth="1"/>
    <col min="5125" max="5126" width="5.08984375" style="2" customWidth="1"/>
    <col min="5127" max="5127" width="9.6328125" style="2" customWidth="1"/>
    <col min="5128" max="5129" width="11.6328125" style="2" customWidth="1"/>
    <col min="5130" max="5130" width="15.36328125" style="2" customWidth="1"/>
    <col min="5131" max="5131" width="10.90625" style="2" customWidth="1"/>
    <col min="5132" max="5142" width="13.36328125" style="2" customWidth="1"/>
    <col min="5143" max="5143" width="13.6328125" style="2" customWidth="1"/>
    <col min="5144" max="5144" width="16.453125" style="2" customWidth="1"/>
    <col min="5145" max="5379" width="9" style="2"/>
    <col min="5380" max="5380" width="9.6328125" style="2" customWidth="1"/>
    <col min="5381" max="5382" width="5.08984375" style="2" customWidth="1"/>
    <col min="5383" max="5383" width="9.6328125" style="2" customWidth="1"/>
    <col min="5384" max="5385" width="11.6328125" style="2" customWidth="1"/>
    <col min="5386" max="5386" width="15.36328125" style="2" customWidth="1"/>
    <col min="5387" max="5387" width="10.90625" style="2" customWidth="1"/>
    <col min="5388" max="5398" width="13.36328125" style="2" customWidth="1"/>
    <col min="5399" max="5399" width="13.6328125" style="2" customWidth="1"/>
    <col min="5400" max="5400" width="16.453125" style="2" customWidth="1"/>
    <col min="5401" max="5635" width="9" style="2"/>
    <col min="5636" max="5636" width="9.6328125" style="2" customWidth="1"/>
    <col min="5637" max="5638" width="5.08984375" style="2" customWidth="1"/>
    <col min="5639" max="5639" width="9.6328125" style="2" customWidth="1"/>
    <col min="5640" max="5641" width="11.6328125" style="2" customWidth="1"/>
    <col min="5642" max="5642" width="15.36328125" style="2" customWidth="1"/>
    <col min="5643" max="5643" width="10.90625" style="2" customWidth="1"/>
    <col min="5644" max="5654" width="13.36328125" style="2" customWidth="1"/>
    <col min="5655" max="5655" width="13.6328125" style="2" customWidth="1"/>
    <col min="5656" max="5656" width="16.453125" style="2" customWidth="1"/>
    <col min="5657" max="5891" width="9" style="2"/>
    <col min="5892" max="5892" width="9.6328125" style="2" customWidth="1"/>
    <col min="5893" max="5894" width="5.08984375" style="2" customWidth="1"/>
    <col min="5895" max="5895" width="9.6328125" style="2" customWidth="1"/>
    <col min="5896" max="5897" width="11.6328125" style="2" customWidth="1"/>
    <col min="5898" max="5898" width="15.36328125" style="2" customWidth="1"/>
    <col min="5899" max="5899" width="10.90625" style="2" customWidth="1"/>
    <col min="5900" max="5910" width="13.36328125" style="2" customWidth="1"/>
    <col min="5911" max="5911" width="13.6328125" style="2" customWidth="1"/>
    <col min="5912" max="5912" width="16.453125" style="2" customWidth="1"/>
    <col min="5913" max="6147" width="9" style="2"/>
    <col min="6148" max="6148" width="9.6328125" style="2" customWidth="1"/>
    <col min="6149" max="6150" width="5.08984375" style="2" customWidth="1"/>
    <col min="6151" max="6151" width="9.6328125" style="2" customWidth="1"/>
    <col min="6152" max="6153" width="11.6328125" style="2" customWidth="1"/>
    <col min="6154" max="6154" width="15.36328125" style="2" customWidth="1"/>
    <col min="6155" max="6155" width="10.90625" style="2" customWidth="1"/>
    <col min="6156" max="6166" width="13.36328125" style="2" customWidth="1"/>
    <col min="6167" max="6167" width="13.6328125" style="2" customWidth="1"/>
    <col min="6168" max="6168" width="16.453125" style="2" customWidth="1"/>
    <col min="6169" max="6403" width="9" style="2"/>
    <col min="6404" max="6404" width="9.6328125" style="2" customWidth="1"/>
    <col min="6405" max="6406" width="5.08984375" style="2" customWidth="1"/>
    <col min="6407" max="6407" width="9.6328125" style="2" customWidth="1"/>
    <col min="6408" max="6409" width="11.6328125" style="2" customWidth="1"/>
    <col min="6410" max="6410" width="15.36328125" style="2" customWidth="1"/>
    <col min="6411" max="6411" width="10.90625" style="2" customWidth="1"/>
    <col min="6412" max="6422" width="13.36328125" style="2" customWidth="1"/>
    <col min="6423" max="6423" width="13.6328125" style="2" customWidth="1"/>
    <col min="6424" max="6424" width="16.453125" style="2" customWidth="1"/>
    <col min="6425" max="6659" width="9" style="2"/>
    <col min="6660" max="6660" width="9.6328125" style="2" customWidth="1"/>
    <col min="6661" max="6662" width="5.08984375" style="2" customWidth="1"/>
    <col min="6663" max="6663" width="9.6328125" style="2" customWidth="1"/>
    <col min="6664" max="6665" width="11.6328125" style="2" customWidth="1"/>
    <col min="6666" max="6666" width="15.36328125" style="2" customWidth="1"/>
    <col min="6667" max="6667" width="10.90625" style="2" customWidth="1"/>
    <col min="6668" max="6678" width="13.36328125" style="2" customWidth="1"/>
    <col min="6679" max="6679" width="13.6328125" style="2" customWidth="1"/>
    <col min="6680" max="6680" width="16.453125" style="2" customWidth="1"/>
    <col min="6681" max="6915" width="9" style="2"/>
    <col min="6916" max="6916" width="9.6328125" style="2" customWidth="1"/>
    <col min="6917" max="6918" width="5.08984375" style="2" customWidth="1"/>
    <col min="6919" max="6919" width="9.6328125" style="2" customWidth="1"/>
    <col min="6920" max="6921" width="11.6328125" style="2" customWidth="1"/>
    <col min="6922" max="6922" width="15.36328125" style="2" customWidth="1"/>
    <col min="6923" max="6923" width="10.90625" style="2" customWidth="1"/>
    <col min="6924" max="6934" width="13.36328125" style="2" customWidth="1"/>
    <col min="6935" max="6935" width="13.6328125" style="2" customWidth="1"/>
    <col min="6936" max="6936" width="16.453125" style="2" customWidth="1"/>
    <col min="6937" max="7171" width="9" style="2"/>
    <col min="7172" max="7172" width="9.6328125" style="2" customWidth="1"/>
    <col min="7173" max="7174" width="5.08984375" style="2" customWidth="1"/>
    <col min="7175" max="7175" width="9.6328125" style="2" customWidth="1"/>
    <col min="7176" max="7177" width="11.6328125" style="2" customWidth="1"/>
    <col min="7178" max="7178" width="15.36328125" style="2" customWidth="1"/>
    <col min="7179" max="7179" width="10.90625" style="2" customWidth="1"/>
    <col min="7180" max="7190" width="13.36328125" style="2" customWidth="1"/>
    <col min="7191" max="7191" width="13.6328125" style="2" customWidth="1"/>
    <col min="7192" max="7192" width="16.453125" style="2" customWidth="1"/>
    <col min="7193" max="7427" width="9" style="2"/>
    <col min="7428" max="7428" width="9.6328125" style="2" customWidth="1"/>
    <col min="7429" max="7430" width="5.08984375" style="2" customWidth="1"/>
    <col min="7431" max="7431" width="9.6328125" style="2" customWidth="1"/>
    <col min="7432" max="7433" width="11.6328125" style="2" customWidth="1"/>
    <col min="7434" max="7434" width="15.36328125" style="2" customWidth="1"/>
    <col min="7435" max="7435" width="10.90625" style="2" customWidth="1"/>
    <col min="7436" max="7446" width="13.36328125" style="2" customWidth="1"/>
    <col min="7447" max="7447" width="13.6328125" style="2" customWidth="1"/>
    <col min="7448" max="7448" width="16.453125" style="2" customWidth="1"/>
    <col min="7449" max="7683" width="9" style="2"/>
    <col min="7684" max="7684" width="9.6328125" style="2" customWidth="1"/>
    <col min="7685" max="7686" width="5.08984375" style="2" customWidth="1"/>
    <col min="7687" max="7687" width="9.6328125" style="2" customWidth="1"/>
    <col min="7688" max="7689" width="11.6328125" style="2" customWidth="1"/>
    <col min="7690" max="7690" width="15.36328125" style="2" customWidth="1"/>
    <col min="7691" max="7691" width="10.90625" style="2" customWidth="1"/>
    <col min="7692" max="7702" width="13.36328125" style="2" customWidth="1"/>
    <col min="7703" max="7703" width="13.6328125" style="2" customWidth="1"/>
    <col min="7704" max="7704" width="16.453125" style="2" customWidth="1"/>
    <col min="7705" max="7939" width="9" style="2"/>
    <col min="7940" max="7940" width="9.6328125" style="2" customWidth="1"/>
    <col min="7941" max="7942" width="5.08984375" style="2" customWidth="1"/>
    <col min="7943" max="7943" width="9.6328125" style="2" customWidth="1"/>
    <col min="7944" max="7945" width="11.6328125" style="2" customWidth="1"/>
    <col min="7946" max="7946" width="15.36328125" style="2" customWidth="1"/>
    <col min="7947" max="7947" width="10.90625" style="2" customWidth="1"/>
    <col min="7948" max="7958" width="13.36328125" style="2" customWidth="1"/>
    <col min="7959" max="7959" width="13.6328125" style="2" customWidth="1"/>
    <col min="7960" max="7960" width="16.453125" style="2" customWidth="1"/>
    <col min="7961" max="8195" width="9" style="2"/>
    <col min="8196" max="8196" width="9.6328125" style="2" customWidth="1"/>
    <col min="8197" max="8198" width="5.08984375" style="2" customWidth="1"/>
    <col min="8199" max="8199" width="9.6328125" style="2" customWidth="1"/>
    <col min="8200" max="8201" width="11.6328125" style="2" customWidth="1"/>
    <col min="8202" max="8202" width="15.36328125" style="2" customWidth="1"/>
    <col min="8203" max="8203" width="10.90625" style="2" customWidth="1"/>
    <col min="8204" max="8214" width="13.36328125" style="2" customWidth="1"/>
    <col min="8215" max="8215" width="13.6328125" style="2" customWidth="1"/>
    <col min="8216" max="8216" width="16.453125" style="2" customWidth="1"/>
    <col min="8217" max="8451" width="9" style="2"/>
    <col min="8452" max="8452" width="9.6328125" style="2" customWidth="1"/>
    <col min="8453" max="8454" width="5.08984375" style="2" customWidth="1"/>
    <col min="8455" max="8455" width="9.6328125" style="2" customWidth="1"/>
    <col min="8456" max="8457" width="11.6328125" style="2" customWidth="1"/>
    <col min="8458" max="8458" width="15.36328125" style="2" customWidth="1"/>
    <col min="8459" max="8459" width="10.90625" style="2" customWidth="1"/>
    <col min="8460" max="8470" width="13.36328125" style="2" customWidth="1"/>
    <col min="8471" max="8471" width="13.6328125" style="2" customWidth="1"/>
    <col min="8472" max="8472" width="16.453125" style="2" customWidth="1"/>
    <col min="8473" max="8707" width="9" style="2"/>
    <col min="8708" max="8708" width="9.6328125" style="2" customWidth="1"/>
    <col min="8709" max="8710" width="5.08984375" style="2" customWidth="1"/>
    <col min="8711" max="8711" width="9.6328125" style="2" customWidth="1"/>
    <col min="8712" max="8713" width="11.6328125" style="2" customWidth="1"/>
    <col min="8714" max="8714" width="15.36328125" style="2" customWidth="1"/>
    <col min="8715" max="8715" width="10.90625" style="2" customWidth="1"/>
    <col min="8716" max="8726" width="13.36328125" style="2" customWidth="1"/>
    <col min="8727" max="8727" width="13.6328125" style="2" customWidth="1"/>
    <col min="8728" max="8728" width="16.453125" style="2" customWidth="1"/>
    <col min="8729" max="8963" width="9" style="2"/>
    <col min="8964" max="8964" width="9.6328125" style="2" customWidth="1"/>
    <col min="8965" max="8966" width="5.08984375" style="2" customWidth="1"/>
    <col min="8967" max="8967" width="9.6328125" style="2" customWidth="1"/>
    <col min="8968" max="8969" width="11.6328125" style="2" customWidth="1"/>
    <col min="8970" max="8970" width="15.36328125" style="2" customWidth="1"/>
    <col min="8971" max="8971" width="10.90625" style="2" customWidth="1"/>
    <col min="8972" max="8982" width="13.36328125" style="2" customWidth="1"/>
    <col min="8983" max="8983" width="13.6328125" style="2" customWidth="1"/>
    <col min="8984" max="8984" width="16.453125" style="2" customWidth="1"/>
    <col min="8985" max="9219" width="9" style="2"/>
    <col min="9220" max="9220" width="9.6328125" style="2" customWidth="1"/>
    <col min="9221" max="9222" width="5.08984375" style="2" customWidth="1"/>
    <col min="9223" max="9223" width="9.6328125" style="2" customWidth="1"/>
    <col min="9224" max="9225" width="11.6328125" style="2" customWidth="1"/>
    <col min="9226" max="9226" width="15.36328125" style="2" customWidth="1"/>
    <col min="9227" max="9227" width="10.90625" style="2" customWidth="1"/>
    <col min="9228" max="9238" width="13.36328125" style="2" customWidth="1"/>
    <col min="9239" max="9239" width="13.6328125" style="2" customWidth="1"/>
    <col min="9240" max="9240" width="16.453125" style="2" customWidth="1"/>
    <col min="9241" max="9475" width="9" style="2"/>
    <col min="9476" max="9476" width="9.6328125" style="2" customWidth="1"/>
    <col min="9477" max="9478" width="5.08984375" style="2" customWidth="1"/>
    <col min="9479" max="9479" width="9.6328125" style="2" customWidth="1"/>
    <col min="9480" max="9481" width="11.6328125" style="2" customWidth="1"/>
    <col min="9482" max="9482" width="15.36328125" style="2" customWidth="1"/>
    <col min="9483" max="9483" width="10.90625" style="2" customWidth="1"/>
    <col min="9484" max="9494" width="13.36328125" style="2" customWidth="1"/>
    <col min="9495" max="9495" width="13.6328125" style="2" customWidth="1"/>
    <col min="9496" max="9496" width="16.453125" style="2" customWidth="1"/>
    <col min="9497" max="9731" width="9" style="2"/>
    <col min="9732" max="9732" width="9.6328125" style="2" customWidth="1"/>
    <col min="9733" max="9734" width="5.08984375" style="2" customWidth="1"/>
    <col min="9735" max="9735" width="9.6328125" style="2" customWidth="1"/>
    <col min="9736" max="9737" width="11.6328125" style="2" customWidth="1"/>
    <col min="9738" max="9738" width="15.36328125" style="2" customWidth="1"/>
    <col min="9739" max="9739" width="10.90625" style="2" customWidth="1"/>
    <col min="9740" max="9750" width="13.36328125" style="2" customWidth="1"/>
    <col min="9751" max="9751" width="13.6328125" style="2" customWidth="1"/>
    <col min="9752" max="9752" width="16.453125" style="2" customWidth="1"/>
    <col min="9753" max="9987" width="9" style="2"/>
    <col min="9988" max="9988" width="9.6328125" style="2" customWidth="1"/>
    <col min="9989" max="9990" width="5.08984375" style="2" customWidth="1"/>
    <col min="9991" max="9991" width="9.6328125" style="2" customWidth="1"/>
    <col min="9992" max="9993" width="11.6328125" style="2" customWidth="1"/>
    <col min="9994" max="9994" width="15.36328125" style="2" customWidth="1"/>
    <col min="9995" max="9995" width="10.90625" style="2" customWidth="1"/>
    <col min="9996" max="10006" width="13.36328125" style="2" customWidth="1"/>
    <col min="10007" max="10007" width="13.6328125" style="2" customWidth="1"/>
    <col min="10008" max="10008" width="16.453125" style="2" customWidth="1"/>
    <col min="10009" max="10243" width="9" style="2"/>
    <col min="10244" max="10244" width="9.6328125" style="2" customWidth="1"/>
    <col min="10245" max="10246" width="5.08984375" style="2" customWidth="1"/>
    <col min="10247" max="10247" width="9.6328125" style="2" customWidth="1"/>
    <col min="10248" max="10249" width="11.6328125" style="2" customWidth="1"/>
    <col min="10250" max="10250" width="15.36328125" style="2" customWidth="1"/>
    <col min="10251" max="10251" width="10.90625" style="2" customWidth="1"/>
    <col min="10252" max="10262" width="13.36328125" style="2" customWidth="1"/>
    <col min="10263" max="10263" width="13.6328125" style="2" customWidth="1"/>
    <col min="10264" max="10264" width="16.453125" style="2" customWidth="1"/>
    <col min="10265" max="10499" width="9" style="2"/>
    <col min="10500" max="10500" width="9.6328125" style="2" customWidth="1"/>
    <col min="10501" max="10502" width="5.08984375" style="2" customWidth="1"/>
    <col min="10503" max="10503" width="9.6328125" style="2" customWidth="1"/>
    <col min="10504" max="10505" width="11.6328125" style="2" customWidth="1"/>
    <col min="10506" max="10506" width="15.36328125" style="2" customWidth="1"/>
    <col min="10507" max="10507" width="10.90625" style="2" customWidth="1"/>
    <col min="10508" max="10518" width="13.36328125" style="2" customWidth="1"/>
    <col min="10519" max="10519" width="13.6328125" style="2" customWidth="1"/>
    <col min="10520" max="10520" width="16.453125" style="2" customWidth="1"/>
    <col min="10521" max="10755" width="9" style="2"/>
    <col min="10756" max="10756" width="9.6328125" style="2" customWidth="1"/>
    <col min="10757" max="10758" width="5.08984375" style="2" customWidth="1"/>
    <col min="10759" max="10759" width="9.6328125" style="2" customWidth="1"/>
    <col min="10760" max="10761" width="11.6328125" style="2" customWidth="1"/>
    <col min="10762" max="10762" width="15.36328125" style="2" customWidth="1"/>
    <col min="10763" max="10763" width="10.90625" style="2" customWidth="1"/>
    <col min="10764" max="10774" width="13.36328125" style="2" customWidth="1"/>
    <col min="10775" max="10775" width="13.6328125" style="2" customWidth="1"/>
    <col min="10776" max="10776" width="16.453125" style="2" customWidth="1"/>
    <col min="10777" max="11011" width="9" style="2"/>
    <col min="11012" max="11012" width="9.6328125" style="2" customWidth="1"/>
    <col min="11013" max="11014" width="5.08984375" style="2" customWidth="1"/>
    <col min="11015" max="11015" width="9.6328125" style="2" customWidth="1"/>
    <col min="11016" max="11017" width="11.6328125" style="2" customWidth="1"/>
    <col min="11018" max="11018" width="15.36328125" style="2" customWidth="1"/>
    <col min="11019" max="11019" width="10.90625" style="2" customWidth="1"/>
    <col min="11020" max="11030" width="13.36328125" style="2" customWidth="1"/>
    <col min="11031" max="11031" width="13.6328125" style="2" customWidth="1"/>
    <col min="11032" max="11032" width="16.453125" style="2" customWidth="1"/>
    <col min="11033" max="11267" width="9" style="2"/>
    <col min="11268" max="11268" width="9.6328125" style="2" customWidth="1"/>
    <col min="11269" max="11270" width="5.08984375" style="2" customWidth="1"/>
    <col min="11271" max="11271" width="9.6328125" style="2" customWidth="1"/>
    <col min="11272" max="11273" width="11.6328125" style="2" customWidth="1"/>
    <col min="11274" max="11274" width="15.36328125" style="2" customWidth="1"/>
    <col min="11275" max="11275" width="10.90625" style="2" customWidth="1"/>
    <col min="11276" max="11286" width="13.36328125" style="2" customWidth="1"/>
    <col min="11287" max="11287" width="13.6328125" style="2" customWidth="1"/>
    <col min="11288" max="11288" width="16.453125" style="2" customWidth="1"/>
    <col min="11289" max="11523" width="9" style="2"/>
    <col min="11524" max="11524" width="9.6328125" style="2" customWidth="1"/>
    <col min="11525" max="11526" width="5.08984375" style="2" customWidth="1"/>
    <col min="11527" max="11527" width="9.6328125" style="2" customWidth="1"/>
    <col min="11528" max="11529" width="11.6328125" style="2" customWidth="1"/>
    <col min="11530" max="11530" width="15.36328125" style="2" customWidth="1"/>
    <col min="11531" max="11531" width="10.90625" style="2" customWidth="1"/>
    <col min="11532" max="11542" width="13.36328125" style="2" customWidth="1"/>
    <col min="11543" max="11543" width="13.6328125" style="2" customWidth="1"/>
    <col min="11544" max="11544" width="16.453125" style="2" customWidth="1"/>
    <col min="11545" max="11779" width="9" style="2"/>
    <col min="11780" max="11780" width="9.6328125" style="2" customWidth="1"/>
    <col min="11781" max="11782" width="5.08984375" style="2" customWidth="1"/>
    <col min="11783" max="11783" width="9.6328125" style="2" customWidth="1"/>
    <col min="11784" max="11785" width="11.6328125" style="2" customWidth="1"/>
    <col min="11786" max="11786" width="15.36328125" style="2" customWidth="1"/>
    <col min="11787" max="11787" width="10.90625" style="2" customWidth="1"/>
    <col min="11788" max="11798" width="13.36328125" style="2" customWidth="1"/>
    <col min="11799" max="11799" width="13.6328125" style="2" customWidth="1"/>
    <col min="11800" max="11800" width="16.453125" style="2" customWidth="1"/>
    <col min="11801" max="12035" width="9" style="2"/>
    <col min="12036" max="12036" width="9.6328125" style="2" customWidth="1"/>
    <col min="12037" max="12038" width="5.08984375" style="2" customWidth="1"/>
    <col min="12039" max="12039" width="9.6328125" style="2" customWidth="1"/>
    <col min="12040" max="12041" width="11.6328125" style="2" customWidth="1"/>
    <col min="12042" max="12042" width="15.36328125" style="2" customWidth="1"/>
    <col min="12043" max="12043" width="10.90625" style="2" customWidth="1"/>
    <col min="12044" max="12054" width="13.36328125" style="2" customWidth="1"/>
    <col min="12055" max="12055" width="13.6328125" style="2" customWidth="1"/>
    <col min="12056" max="12056" width="16.453125" style="2" customWidth="1"/>
    <col min="12057" max="12291" width="9" style="2"/>
    <col min="12292" max="12292" width="9.6328125" style="2" customWidth="1"/>
    <col min="12293" max="12294" width="5.08984375" style="2" customWidth="1"/>
    <col min="12295" max="12295" width="9.6328125" style="2" customWidth="1"/>
    <col min="12296" max="12297" width="11.6328125" style="2" customWidth="1"/>
    <col min="12298" max="12298" width="15.36328125" style="2" customWidth="1"/>
    <col min="12299" max="12299" width="10.90625" style="2" customWidth="1"/>
    <col min="12300" max="12310" width="13.36328125" style="2" customWidth="1"/>
    <col min="12311" max="12311" width="13.6328125" style="2" customWidth="1"/>
    <col min="12312" max="12312" width="16.453125" style="2" customWidth="1"/>
    <col min="12313" max="12547" width="9" style="2"/>
    <col min="12548" max="12548" width="9.6328125" style="2" customWidth="1"/>
    <col min="12549" max="12550" width="5.08984375" style="2" customWidth="1"/>
    <col min="12551" max="12551" width="9.6328125" style="2" customWidth="1"/>
    <col min="12552" max="12553" width="11.6328125" style="2" customWidth="1"/>
    <col min="12554" max="12554" width="15.36328125" style="2" customWidth="1"/>
    <col min="12555" max="12555" width="10.90625" style="2" customWidth="1"/>
    <col min="12556" max="12566" width="13.36328125" style="2" customWidth="1"/>
    <col min="12567" max="12567" width="13.6328125" style="2" customWidth="1"/>
    <col min="12568" max="12568" width="16.453125" style="2" customWidth="1"/>
    <col min="12569" max="12803" width="9" style="2"/>
    <col min="12804" max="12804" width="9.6328125" style="2" customWidth="1"/>
    <col min="12805" max="12806" width="5.08984375" style="2" customWidth="1"/>
    <col min="12807" max="12807" width="9.6328125" style="2" customWidth="1"/>
    <col min="12808" max="12809" width="11.6328125" style="2" customWidth="1"/>
    <col min="12810" max="12810" width="15.36328125" style="2" customWidth="1"/>
    <col min="12811" max="12811" width="10.90625" style="2" customWidth="1"/>
    <col min="12812" max="12822" width="13.36328125" style="2" customWidth="1"/>
    <col min="12823" max="12823" width="13.6328125" style="2" customWidth="1"/>
    <col min="12824" max="12824" width="16.453125" style="2" customWidth="1"/>
    <col min="12825" max="13059" width="9" style="2"/>
    <col min="13060" max="13060" width="9.6328125" style="2" customWidth="1"/>
    <col min="13061" max="13062" width="5.08984375" style="2" customWidth="1"/>
    <col min="13063" max="13063" width="9.6328125" style="2" customWidth="1"/>
    <col min="13064" max="13065" width="11.6328125" style="2" customWidth="1"/>
    <col min="13066" max="13066" width="15.36328125" style="2" customWidth="1"/>
    <col min="13067" max="13067" width="10.90625" style="2" customWidth="1"/>
    <col min="13068" max="13078" width="13.36328125" style="2" customWidth="1"/>
    <col min="13079" max="13079" width="13.6328125" style="2" customWidth="1"/>
    <col min="13080" max="13080" width="16.453125" style="2" customWidth="1"/>
    <col min="13081" max="13315" width="9" style="2"/>
    <col min="13316" max="13316" width="9.6328125" style="2" customWidth="1"/>
    <col min="13317" max="13318" width="5.08984375" style="2" customWidth="1"/>
    <col min="13319" max="13319" width="9.6328125" style="2" customWidth="1"/>
    <col min="13320" max="13321" width="11.6328125" style="2" customWidth="1"/>
    <col min="13322" max="13322" width="15.36328125" style="2" customWidth="1"/>
    <col min="13323" max="13323" width="10.90625" style="2" customWidth="1"/>
    <col min="13324" max="13334" width="13.36328125" style="2" customWidth="1"/>
    <col min="13335" max="13335" width="13.6328125" style="2" customWidth="1"/>
    <col min="13336" max="13336" width="16.453125" style="2" customWidth="1"/>
    <col min="13337" max="13571" width="9" style="2"/>
    <col min="13572" max="13572" width="9.6328125" style="2" customWidth="1"/>
    <col min="13573" max="13574" width="5.08984375" style="2" customWidth="1"/>
    <col min="13575" max="13575" width="9.6328125" style="2" customWidth="1"/>
    <col min="13576" max="13577" width="11.6328125" style="2" customWidth="1"/>
    <col min="13578" max="13578" width="15.36328125" style="2" customWidth="1"/>
    <col min="13579" max="13579" width="10.90625" style="2" customWidth="1"/>
    <col min="13580" max="13590" width="13.36328125" style="2" customWidth="1"/>
    <col min="13591" max="13591" width="13.6328125" style="2" customWidth="1"/>
    <col min="13592" max="13592" width="16.453125" style="2" customWidth="1"/>
    <col min="13593" max="13827" width="9" style="2"/>
    <col min="13828" max="13828" width="9.6328125" style="2" customWidth="1"/>
    <col min="13829" max="13830" width="5.08984375" style="2" customWidth="1"/>
    <col min="13831" max="13831" width="9.6328125" style="2" customWidth="1"/>
    <col min="13832" max="13833" width="11.6328125" style="2" customWidth="1"/>
    <col min="13834" max="13834" width="15.36328125" style="2" customWidth="1"/>
    <col min="13835" max="13835" width="10.90625" style="2" customWidth="1"/>
    <col min="13836" max="13846" width="13.36328125" style="2" customWidth="1"/>
    <col min="13847" max="13847" width="13.6328125" style="2" customWidth="1"/>
    <col min="13848" max="13848" width="16.453125" style="2" customWidth="1"/>
    <col min="13849" max="14083" width="9" style="2"/>
    <col min="14084" max="14084" width="9.6328125" style="2" customWidth="1"/>
    <col min="14085" max="14086" width="5.08984375" style="2" customWidth="1"/>
    <col min="14087" max="14087" width="9.6328125" style="2" customWidth="1"/>
    <col min="14088" max="14089" width="11.6328125" style="2" customWidth="1"/>
    <col min="14090" max="14090" width="15.36328125" style="2" customWidth="1"/>
    <col min="14091" max="14091" width="10.90625" style="2" customWidth="1"/>
    <col min="14092" max="14102" width="13.36328125" style="2" customWidth="1"/>
    <col min="14103" max="14103" width="13.6328125" style="2" customWidth="1"/>
    <col min="14104" max="14104" width="16.453125" style="2" customWidth="1"/>
    <col min="14105" max="14339" width="9" style="2"/>
    <col min="14340" max="14340" width="9.6328125" style="2" customWidth="1"/>
    <col min="14341" max="14342" width="5.08984375" style="2" customWidth="1"/>
    <col min="14343" max="14343" width="9.6328125" style="2" customWidth="1"/>
    <col min="14344" max="14345" width="11.6328125" style="2" customWidth="1"/>
    <col min="14346" max="14346" width="15.36328125" style="2" customWidth="1"/>
    <col min="14347" max="14347" width="10.90625" style="2" customWidth="1"/>
    <col min="14348" max="14358" width="13.36328125" style="2" customWidth="1"/>
    <col min="14359" max="14359" width="13.6328125" style="2" customWidth="1"/>
    <col min="14360" max="14360" width="16.453125" style="2" customWidth="1"/>
    <col min="14361" max="14595" width="9" style="2"/>
    <col min="14596" max="14596" width="9.6328125" style="2" customWidth="1"/>
    <col min="14597" max="14598" width="5.08984375" style="2" customWidth="1"/>
    <col min="14599" max="14599" width="9.6328125" style="2" customWidth="1"/>
    <col min="14600" max="14601" width="11.6328125" style="2" customWidth="1"/>
    <col min="14602" max="14602" width="15.36328125" style="2" customWidth="1"/>
    <col min="14603" max="14603" width="10.90625" style="2" customWidth="1"/>
    <col min="14604" max="14614" width="13.36328125" style="2" customWidth="1"/>
    <col min="14615" max="14615" width="13.6328125" style="2" customWidth="1"/>
    <col min="14616" max="14616" width="16.453125" style="2" customWidth="1"/>
    <col min="14617" max="14851" width="9" style="2"/>
    <col min="14852" max="14852" width="9.6328125" style="2" customWidth="1"/>
    <col min="14853" max="14854" width="5.08984375" style="2" customWidth="1"/>
    <col min="14855" max="14855" width="9.6328125" style="2" customWidth="1"/>
    <col min="14856" max="14857" width="11.6328125" style="2" customWidth="1"/>
    <col min="14858" max="14858" width="15.36328125" style="2" customWidth="1"/>
    <col min="14859" max="14859" width="10.90625" style="2" customWidth="1"/>
    <col min="14860" max="14870" width="13.36328125" style="2" customWidth="1"/>
    <col min="14871" max="14871" width="13.6328125" style="2" customWidth="1"/>
    <col min="14872" max="14872" width="16.453125" style="2" customWidth="1"/>
    <col min="14873" max="15107" width="9" style="2"/>
    <col min="15108" max="15108" width="9.6328125" style="2" customWidth="1"/>
    <col min="15109" max="15110" width="5.08984375" style="2" customWidth="1"/>
    <col min="15111" max="15111" width="9.6328125" style="2" customWidth="1"/>
    <col min="15112" max="15113" width="11.6328125" style="2" customWidth="1"/>
    <col min="15114" max="15114" width="15.36328125" style="2" customWidth="1"/>
    <col min="15115" max="15115" width="10.90625" style="2" customWidth="1"/>
    <col min="15116" max="15126" width="13.36328125" style="2" customWidth="1"/>
    <col min="15127" max="15127" width="13.6328125" style="2" customWidth="1"/>
    <col min="15128" max="15128" width="16.453125" style="2" customWidth="1"/>
    <col min="15129" max="15363" width="9" style="2"/>
    <col min="15364" max="15364" width="9.6328125" style="2" customWidth="1"/>
    <col min="15365" max="15366" width="5.08984375" style="2" customWidth="1"/>
    <col min="15367" max="15367" width="9.6328125" style="2" customWidth="1"/>
    <col min="15368" max="15369" width="11.6328125" style="2" customWidth="1"/>
    <col min="15370" max="15370" width="15.36328125" style="2" customWidth="1"/>
    <col min="15371" max="15371" width="10.90625" style="2" customWidth="1"/>
    <col min="15372" max="15382" width="13.36328125" style="2" customWidth="1"/>
    <col min="15383" max="15383" width="13.6328125" style="2" customWidth="1"/>
    <col min="15384" max="15384" width="16.453125" style="2" customWidth="1"/>
    <col min="15385" max="15619" width="9" style="2"/>
    <col min="15620" max="15620" width="9.6328125" style="2" customWidth="1"/>
    <col min="15621" max="15622" width="5.08984375" style="2" customWidth="1"/>
    <col min="15623" max="15623" width="9.6328125" style="2" customWidth="1"/>
    <col min="15624" max="15625" width="11.6328125" style="2" customWidth="1"/>
    <col min="15626" max="15626" width="15.36328125" style="2" customWidth="1"/>
    <col min="15627" max="15627" width="10.90625" style="2" customWidth="1"/>
    <col min="15628" max="15638" width="13.36328125" style="2" customWidth="1"/>
    <col min="15639" max="15639" width="13.6328125" style="2" customWidth="1"/>
    <col min="15640" max="15640" width="16.453125" style="2" customWidth="1"/>
    <col min="15641" max="15875" width="9" style="2"/>
    <col min="15876" max="15876" width="9.6328125" style="2" customWidth="1"/>
    <col min="15877" max="15878" width="5.08984375" style="2" customWidth="1"/>
    <col min="15879" max="15879" width="9.6328125" style="2" customWidth="1"/>
    <col min="15880" max="15881" width="11.6328125" style="2" customWidth="1"/>
    <col min="15882" max="15882" width="15.36328125" style="2" customWidth="1"/>
    <col min="15883" max="15883" width="10.90625" style="2" customWidth="1"/>
    <col min="15884" max="15894" width="13.36328125" style="2" customWidth="1"/>
    <col min="15895" max="15895" width="13.6328125" style="2" customWidth="1"/>
    <col min="15896" max="15896" width="16.453125" style="2" customWidth="1"/>
    <col min="15897" max="16131" width="9" style="2"/>
    <col min="16132" max="16132" width="9.6328125" style="2" customWidth="1"/>
    <col min="16133" max="16134" width="5.08984375" style="2" customWidth="1"/>
    <col min="16135" max="16135" width="9.6328125" style="2" customWidth="1"/>
    <col min="16136" max="16137" width="11.6328125" style="2" customWidth="1"/>
    <col min="16138" max="16138" width="15.36328125" style="2" customWidth="1"/>
    <col min="16139" max="16139" width="10.90625" style="2" customWidth="1"/>
    <col min="16140" max="16150" width="13.36328125" style="2" customWidth="1"/>
    <col min="16151" max="16151" width="13.6328125" style="2" customWidth="1"/>
    <col min="16152" max="16152" width="16.453125" style="2" customWidth="1"/>
    <col min="16153" max="16383" width="9" style="2"/>
    <col min="16384" max="16384" width="9" style="2" customWidth="1"/>
  </cols>
  <sheetData>
    <row r="1" spans="1:26" s="127" customFormat="1" ht="36">
      <c r="A1" s="230" t="s">
        <v>83</v>
      </c>
      <c r="B1" s="230" t="s">
        <v>84</v>
      </c>
      <c r="C1" s="133" t="s">
        <v>56</v>
      </c>
      <c r="D1" s="134" t="s">
        <v>0</v>
      </c>
      <c r="E1" s="134" t="s">
        <v>1</v>
      </c>
      <c r="F1" s="135" t="s">
        <v>2</v>
      </c>
      <c r="G1" s="135" t="s">
        <v>58</v>
      </c>
      <c r="H1" s="135" t="s">
        <v>3</v>
      </c>
      <c r="I1" s="136" t="s">
        <v>4</v>
      </c>
      <c r="J1" s="137" t="s">
        <v>5</v>
      </c>
      <c r="K1" s="3" t="s">
        <v>6</v>
      </c>
      <c r="L1" s="352" t="s">
        <v>7</v>
      </c>
      <c r="M1" s="238" t="s">
        <v>8</v>
      </c>
      <c r="N1" s="238" t="s">
        <v>9</v>
      </c>
      <c r="O1" s="238" t="s">
        <v>10</v>
      </c>
      <c r="P1" s="238" t="s">
        <v>11</v>
      </c>
      <c r="Q1" s="238" t="s">
        <v>12</v>
      </c>
      <c r="R1" s="238" t="s">
        <v>13</v>
      </c>
      <c r="S1" s="238" t="s">
        <v>14</v>
      </c>
      <c r="T1" s="238" t="s">
        <v>15</v>
      </c>
      <c r="U1" s="238" t="s">
        <v>16</v>
      </c>
      <c r="V1" s="238" t="s">
        <v>17</v>
      </c>
      <c r="W1" s="231" t="s">
        <v>18</v>
      </c>
      <c r="X1" s="138" t="s">
        <v>19</v>
      </c>
    </row>
    <row r="2" spans="1:26" s="1" customFormat="1">
      <c r="A2" s="112"/>
      <c r="B2" s="72"/>
      <c r="C2" s="548" t="s">
        <v>121</v>
      </c>
      <c r="D2" s="549"/>
      <c r="E2" s="549"/>
      <c r="F2" s="549"/>
      <c r="G2" s="549"/>
      <c r="H2" s="549"/>
      <c r="I2" s="549"/>
      <c r="J2" s="550"/>
      <c r="K2" s="271" t="s">
        <v>20</v>
      </c>
      <c r="L2" s="333">
        <f>L53</f>
        <v>1855900</v>
      </c>
      <c r="M2" s="402">
        <f t="shared" ref="M2:W4" si="0">M53</f>
        <v>1858000</v>
      </c>
      <c r="N2" s="402">
        <f t="shared" si="0"/>
        <v>1865700</v>
      </c>
      <c r="O2" s="402">
        <f t="shared" si="0"/>
        <v>1967800</v>
      </c>
      <c r="P2" s="402">
        <f t="shared" si="0"/>
        <v>1750000</v>
      </c>
      <c r="Q2" s="402">
        <f t="shared" si="0"/>
        <v>1915300</v>
      </c>
      <c r="R2" s="402">
        <f t="shared" si="0"/>
        <v>1958200</v>
      </c>
      <c r="S2" s="402">
        <f t="shared" si="0"/>
        <v>1573900</v>
      </c>
      <c r="T2" s="402">
        <f t="shared" si="0"/>
        <v>1775800</v>
      </c>
      <c r="U2" s="402">
        <f t="shared" si="0"/>
        <v>1700600</v>
      </c>
      <c r="V2" s="402">
        <f t="shared" si="0"/>
        <v>1690780</v>
      </c>
      <c r="W2" s="272">
        <f t="shared" si="0"/>
        <v>1855900</v>
      </c>
      <c r="X2" s="273">
        <f t="shared" ref="X2:X4" si="1">SUM(L2:W2)</f>
        <v>21767880</v>
      </c>
      <c r="Z2" s="70"/>
    </row>
    <row r="3" spans="1:26" s="1" customFormat="1">
      <c r="A3" s="112"/>
      <c r="B3" s="72"/>
      <c r="C3" s="551"/>
      <c r="D3" s="552"/>
      <c r="E3" s="552"/>
      <c r="F3" s="552"/>
      <c r="G3" s="552"/>
      <c r="H3" s="552"/>
      <c r="I3" s="552"/>
      <c r="J3" s="553"/>
      <c r="K3" s="144" t="s">
        <v>21</v>
      </c>
      <c r="L3" s="334">
        <f>L54</f>
        <v>1391699</v>
      </c>
      <c r="M3" s="403">
        <f t="shared" si="0"/>
        <v>1394797</v>
      </c>
      <c r="N3" s="403">
        <f t="shared" si="0"/>
        <v>1402483</v>
      </c>
      <c r="O3" s="403">
        <f t="shared" si="0"/>
        <v>1466639</v>
      </c>
      <c r="P3" s="403">
        <f t="shared" si="0"/>
        <v>1364900</v>
      </c>
      <c r="Q3" s="403">
        <f t="shared" si="0"/>
        <v>1435484</v>
      </c>
      <c r="R3" s="403">
        <f t="shared" si="0"/>
        <v>1480269</v>
      </c>
      <c r="S3" s="403">
        <f t="shared" si="0"/>
        <v>1289606</v>
      </c>
      <c r="T3" s="403">
        <f t="shared" si="0"/>
        <v>1421175</v>
      </c>
      <c r="U3" s="403">
        <f t="shared" si="0"/>
        <v>1308415</v>
      </c>
      <c r="V3" s="403">
        <f t="shared" si="0"/>
        <v>1306076</v>
      </c>
      <c r="W3" s="106">
        <f t="shared" si="0"/>
        <v>1391699</v>
      </c>
      <c r="X3" s="40">
        <f t="shared" si="1"/>
        <v>16653242</v>
      </c>
      <c r="Z3" s="70"/>
    </row>
    <row r="4" spans="1:26" s="1" customFormat="1" ht="12.5" thickBot="1">
      <c r="A4" s="112"/>
      <c r="B4" s="72"/>
      <c r="C4" s="554"/>
      <c r="D4" s="555"/>
      <c r="E4" s="555"/>
      <c r="F4" s="555"/>
      <c r="G4" s="555"/>
      <c r="H4" s="555"/>
      <c r="I4" s="555"/>
      <c r="J4" s="556"/>
      <c r="K4" s="150" t="s">
        <v>22</v>
      </c>
      <c r="L4" s="335">
        <f>L55</f>
        <v>464201</v>
      </c>
      <c r="M4" s="404">
        <f t="shared" si="0"/>
        <v>463203</v>
      </c>
      <c r="N4" s="404">
        <f t="shared" si="0"/>
        <v>463217</v>
      </c>
      <c r="O4" s="404">
        <f t="shared" si="0"/>
        <v>501161</v>
      </c>
      <c r="P4" s="404">
        <f t="shared" si="0"/>
        <v>385100</v>
      </c>
      <c r="Q4" s="404">
        <f t="shared" si="0"/>
        <v>479816</v>
      </c>
      <c r="R4" s="404">
        <f t="shared" si="0"/>
        <v>477931</v>
      </c>
      <c r="S4" s="404">
        <f t="shared" si="0"/>
        <v>284294</v>
      </c>
      <c r="T4" s="404">
        <f t="shared" si="0"/>
        <v>354625</v>
      </c>
      <c r="U4" s="404">
        <f t="shared" si="0"/>
        <v>392185</v>
      </c>
      <c r="V4" s="404">
        <f t="shared" si="0"/>
        <v>384704</v>
      </c>
      <c r="W4" s="107">
        <f t="shared" si="0"/>
        <v>464201</v>
      </c>
      <c r="X4" s="41">
        <f t="shared" si="1"/>
        <v>5114638</v>
      </c>
      <c r="Z4" s="70"/>
    </row>
    <row r="5" spans="1:26" ht="12.5" thickTop="1">
      <c r="A5" s="113">
        <v>2024038</v>
      </c>
      <c r="C5" s="641">
        <v>1</v>
      </c>
      <c r="D5" s="644" t="s">
        <v>60</v>
      </c>
      <c r="E5" s="644"/>
      <c r="F5" s="644"/>
      <c r="G5" s="644" t="s">
        <v>141</v>
      </c>
      <c r="H5" s="647" t="s">
        <v>170</v>
      </c>
      <c r="I5" s="647"/>
      <c r="J5" s="628" t="s">
        <v>55</v>
      </c>
      <c r="K5" s="225" t="s">
        <v>61</v>
      </c>
      <c r="L5" s="353">
        <f>L6+L7</f>
        <v>354900</v>
      </c>
      <c r="M5" s="409">
        <f t="shared" ref="M5:V5" si="2">M6+M7</f>
        <v>382200</v>
      </c>
      <c r="N5" s="409">
        <f t="shared" si="2"/>
        <v>359100</v>
      </c>
      <c r="O5" s="409">
        <f t="shared" si="2"/>
        <v>352800</v>
      </c>
      <c r="P5" s="409">
        <f t="shared" si="2"/>
        <v>289800</v>
      </c>
      <c r="Q5" s="409">
        <f t="shared" si="2"/>
        <v>359100</v>
      </c>
      <c r="R5" s="409">
        <f t="shared" si="2"/>
        <v>378000</v>
      </c>
      <c r="S5" s="409">
        <f t="shared" si="2"/>
        <v>327600</v>
      </c>
      <c r="T5" s="409">
        <f t="shared" si="2"/>
        <v>327600</v>
      </c>
      <c r="U5" s="409">
        <f t="shared" si="2"/>
        <v>327600</v>
      </c>
      <c r="V5" s="409">
        <f t="shared" si="2"/>
        <v>296100</v>
      </c>
      <c r="W5" s="120">
        <f t="shared" ref="W5" si="3">W6+W7</f>
        <v>354900</v>
      </c>
      <c r="X5" s="122">
        <f t="shared" ref="X5:X15" si="4">SUM(L5:W5)</f>
        <v>4109700</v>
      </c>
      <c r="Z5" s="69"/>
    </row>
    <row r="6" spans="1:26">
      <c r="A6" s="114">
        <f>+A5</f>
        <v>2024038</v>
      </c>
      <c r="B6" s="74"/>
      <c r="C6" s="642"/>
      <c r="D6" s="645"/>
      <c r="E6" s="645"/>
      <c r="F6" s="645"/>
      <c r="G6" s="645"/>
      <c r="H6" s="648"/>
      <c r="I6" s="650"/>
      <c r="J6" s="629"/>
      <c r="K6" s="201" t="s">
        <v>62</v>
      </c>
      <c r="L6" s="329">
        <v>354900</v>
      </c>
      <c r="M6" s="410">
        <v>382200</v>
      </c>
      <c r="N6" s="410">
        <v>359100</v>
      </c>
      <c r="O6" s="410">
        <v>352800</v>
      </c>
      <c r="P6" s="410">
        <v>289800</v>
      </c>
      <c r="Q6" s="410">
        <v>359100</v>
      </c>
      <c r="R6" s="410">
        <v>378000</v>
      </c>
      <c r="S6" s="410">
        <v>327600</v>
      </c>
      <c r="T6" s="410">
        <v>327600</v>
      </c>
      <c r="U6" s="410">
        <v>327600</v>
      </c>
      <c r="V6" s="410">
        <v>296100</v>
      </c>
      <c r="W6" s="26">
        <v>354900</v>
      </c>
      <c r="X6" s="58">
        <f t="shared" si="4"/>
        <v>4109700</v>
      </c>
      <c r="Y6" s="69"/>
      <c r="Z6" s="69"/>
    </row>
    <row r="7" spans="1:26">
      <c r="A7" s="114">
        <f>+A6</f>
        <v>2024038</v>
      </c>
      <c r="B7" s="74"/>
      <c r="C7" s="642"/>
      <c r="D7" s="645"/>
      <c r="E7" s="645"/>
      <c r="F7" s="645"/>
      <c r="G7" s="645"/>
      <c r="H7" s="648"/>
      <c r="I7" s="650"/>
      <c r="J7" s="629"/>
      <c r="K7" s="201"/>
      <c r="L7" s="354"/>
      <c r="M7" s="297"/>
      <c r="N7" s="297"/>
      <c r="O7" s="297"/>
      <c r="P7" s="297"/>
      <c r="Q7" s="297"/>
      <c r="R7" s="297"/>
      <c r="S7" s="297"/>
      <c r="T7" s="297"/>
      <c r="U7" s="297"/>
      <c r="V7" s="297"/>
      <c r="W7" s="93"/>
      <c r="X7" s="58">
        <f t="shared" si="4"/>
        <v>0</v>
      </c>
      <c r="Z7" s="69"/>
    </row>
    <row r="8" spans="1:26">
      <c r="A8" s="114">
        <f t="shared" ref="A8:A15" si="5">+A7</f>
        <v>2024038</v>
      </c>
      <c r="B8" s="74"/>
      <c r="C8" s="642"/>
      <c r="D8" s="645"/>
      <c r="E8" s="645"/>
      <c r="F8" s="645"/>
      <c r="G8" s="645"/>
      <c r="H8" s="648"/>
      <c r="I8" s="650"/>
      <c r="J8" s="629"/>
      <c r="K8" s="202" t="s">
        <v>63</v>
      </c>
      <c r="L8" s="355">
        <f t="shared" ref="L8:V8" si="6">SUM(L9:L15)</f>
        <v>261142</v>
      </c>
      <c r="M8" s="411">
        <f t="shared" si="6"/>
        <v>282373</v>
      </c>
      <c r="N8" s="411">
        <f t="shared" si="6"/>
        <v>266305</v>
      </c>
      <c r="O8" s="411">
        <f t="shared" si="6"/>
        <v>261782</v>
      </c>
      <c r="P8" s="411">
        <f t="shared" si="6"/>
        <v>259660</v>
      </c>
      <c r="Q8" s="411">
        <f t="shared" si="6"/>
        <v>265646</v>
      </c>
      <c r="R8" s="411">
        <f t="shared" si="6"/>
        <v>278699</v>
      </c>
      <c r="S8" s="411">
        <f t="shared" si="6"/>
        <v>242631</v>
      </c>
      <c r="T8" s="411">
        <f t="shared" si="6"/>
        <v>265244</v>
      </c>
      <c r="U8" s="411">
        <f t="shared" si="6"/>
        <v>241313</v>
      </c>
      <c r="V8" s="411">
        <f t="shared" si="6"/>
        <v>242718</v>
      </c>
      <c r="W8" s="108">
        <f t="shared" ref="W8" si="7">SUM(W9:W15)</f>
        <v>261142</v>
      </c>
      <c r="X8" s="59">
        <f t="shared" si="4"/>
        <v>3128655</v>
      </c>
      <c r="Z8" s="69"/>
    </row>
    <row r="9" spans="1:26">
      <c r="A9" s="114">
        <f t="shared" si="5"/>
        <v>2024038</v>
      </c>
      <c r="B9" s="74"/>
      <c r="C9" s="642"/>
      <c r="D9" s="645"/>
      <c r="E9" s="645"/>
      <c r="F9" s="645"/>
      <c r="G9" s="645"/>
      <c r="H9" s="648"/>
      <c r="I9" s="650"/>
      <c r="J9" s="629"/>
      <c r="K9" s="203" t="s">
        <v>64</v>
      </c>
      <c r="L9" s="343">
        <v>256675</v>
      </c>
      <c r="M9" s="297">
        <v>277800</v>
      </c>
      <c r="N9" s="297">
        <v>259700</v>
      </c>
      <c r="O9" s="297">
        <v>255200</v>
      </c>
      <c r="P9" s="297">
        <v>255200</v>
      </c>
      <c r="Q9" s="297">
        <v>260100</v>
      </c>
      <c r="R9" s="297">
        <v>275200</v>
      </c>
      <c r="S9" s="297">
        <v>237200</v>
      </c>
      <c r="T9" s="297">
        <v>259700</v>
      </c>
      <c r="U9" s="297">
        <v>238000</v>
      </c>
      <c r="V9" s="297">
        <v>237200</v>
      </c>
      <c r="W9" s="91">
        <v>256675</v>
      </c>
      <c r="X9" s="58">
        <f t="shared" si="4"/>
        <v>3068650</v>
      </c>
      <c r="Y9" s="69"/>
      <c r="Z9" s="69"/>
    </row>
    <row r="10" spans="1:26">
      <c r="A10" s="114">
        <f t="shared" si="5"/>
        <v>2024038</v>
      </c>
      <c r="B10" s="74"/>
      <c r="C10" s="642"/>
      <c r="D10" s="645"/>
      <c r="E10" s="645"/>
      <c r="F10" s="645"/>
      <c r="G10" s="645"/>
      <c r="H10" s="648"/>
      <c r="I10" s="650"/>
      <c r="J10" s="629"/>
      <c r="K10" s="262" t="s">
        <v>72</v>
      </c>
      <c r="L10" s="343"/>
      <c r="M10" s="297"/>
      <c r="N10" s="297"/>
      <c r="O10" s="297"/>
      <c r="P10" s="297"/>
      <c r="Q10" s="297"/>
      <c r="R10" s="297"/>
      <c r="S10" s="297"/>
      <c r="T10" s="297"/>
      <c r="U10" s="297"/>
      <c r="V10" s="297"/>
      <c r="W10" s="91"/>
      <c r="X10" s="58">
        <f t="shared" si="4"/>
        <v>0</v>
      </c>
      <c r="Y10" s="69"/>
      <c r="Z10" s="69"/>
    </row>
    <row r="11" spans="1:26">
      <c r="A11" s="114">
        <f t="shared" si="5"/>
        <v>2024038</v>
      </c>
      <c r="B11" s="74"/>
      <c r="C11" s="642"/>
      <c r="D11" s="645"/>
      <c r="E11" s="645"/>
      <c r="F11" s="645"/>
      <c r="G11" s="645"/>
      <c r="H11" s="648"/>
      <c r="I11" s="650"/>
      <c r="J11" s="629"/>
      <c r="K11" s="203" t="s">
        <v>66</v>
      </c>
      <c r="L11" s="343">
        <v>3168</v>
      </c>
      <c r="M11" s="297">
        <v>3168</v>
      </c>
      <c r="N11" s="297">
        <v>5280</v>
      </c>
      <c r="O11" s="297">
        <v>5280</v>
      </c>
      <c r="P11" s="297">
        <v>3168</v>
      </c>
      <c r="Q11" s="297">
        <v>4224</v>
      </c>
      <c r="R11" s="297">
        <v>2112</v>
      </c>
      <c r="S11" s="297">
        <v>4224</v>
      </c>
      <c r="T11" s="297">
        <v>4224</v>
      </c>
      <c r="U11" s="297">
        <v>2112</v>
      </c>
      <c r="V11" s="297">
        <v>4224</v>
      </c>
      <c r="W11" s="91">
        <v>3168</v>
      </c>
      <c r="X11" s="58">
        <f t="shared" si="4"/>
        <v>44352</v>
      </c>
      <c r="Y11" s="69"/>
      <c r="Z11" s="69"/>
    </row>
    <row r="12" spans="1:26">
      <c r="A12" s="114">
        <f t="shared" si="5"/>
        <v>2024038</v>
      </c>
      <c r="B12" s="74"/>
      <c r="C12" s="642"/>
      <c r="D12" s="645"/>
      <c r="E12" s="645"/>
      <c r="F12" s="645"/>
      <c r="G12" s="645"/>
      <c r="H12" s="648"/>
      <c r="I12" s="650"/>
      <c r="J12" s="629"/>
      <c r="K12" s="203" t="s">
        <v>67</v>
      </c>
      <c r="L12" s="343"/>
      <c r="M12" s="297"/>
      <c r="N12" s="297"/>
      <c r="O12" s="297"/>
      <c r="P12" s="297"/>
      <c r="Q12" s="297"/>
      <c r="R12" s="297"/>
      <c r="S12" s="297"/>
      <c r="T12" s="297"/>
      <c r="U12" s="297"/>
      <c r="V12" s="297"/>
      <c r="W12" s="91"/>
      <c r="X12" s="58">
        <f t="shared" si="4"/>
        <v>0</v>
      </c>
      <c r="Y12" s="69"/>
      <c r="Z12" s="69"/>
    </row>
    <row r="13" spans="1:26">
      <c r="A13" s="114">
        <f t="shared" si="5"/>
        <v>2024038</v>
      </c>
      <c r="B13" s="74"/>
      <c r="C13" s="642"/>
      <c r="D13" s="645"/>
      <c r="E13" s="645"/>
      <c r="F13" s="645"/>
      <c r="G13" s="645"/>
      <c r="H13" s="648"/>
      <c r="I13" s="650"/>
      <c r="J13" s="629"/>
      <c r="K13" s="203" t="s">
        <v>68</v>
      </c>
      <c r="L13" s="343"/>
      <c r="M13" s="297"/>
      <c r="N13" s="297"/>
      <c r="O13" s="297"/>
      <c r="P13" s="297"/>
      <c r="Q13" s="297"/>
      <c r="R13" s="297"/>
      <c r="S13" s="297"/>
      <c r="T13" s="297"/>
      <c r="U13" s="297"/>
      <c r="V13" s="297"/>
      <c r="W13" s="91"/>
      <c r="X13" s="58">
        <f t="shared" si="4"/>
        <v>0</v>
      </c>
      <c r="Y13" s="69"/>
      <c r="Z13" s="69"/>
    </row>
    <row r="14" spans="1:26">
      <c r="A14" s="114">
        <f t="shared" si="5"/>
        <v>2024038</v>
      </c>
      <c r="B14" s="74"/>
      <c r="C14" s="642"/>
      <c r="D14" s="645"/>
      <c r="E14" s="645"/>
      <c r="F14" s="645"/>
      <c r="G14" s="645"/>
      <c r="H14" s="648"/>
      <c r="I14" s="650"/>
      <c r="J14" s="629"/>
      <c r="K14" s="203" t="s">
        <v>69</v>
      </c>
      <c r="L14" s="343">
        <v>1299</v>
      </c>
      <c r="M14" s="297">
        <v>1405</v>
      </c>
      <c r="N14" s="297">
        <v>1325</v>
      </c>
      <c r="O14" s="297">
        <v>1302</v>
      </c>
      <c r="P14" s="297">
        <v>1292</v>
      </c>
      <c r="Q14" s="297">
        <v>1322</v>
      </c>
      <c r="R14" s="297">
        <v>1387</v>
      </c>
      <c r="S14" s="297">
        <v>1207</v>
      </c>
      <c r="T14" s="297">
        <v>1320</v>
      </c>
      <c r="U14" s="297">
        <v>1201</v>
      </c>
      <c r="V14" s="297">
        <v>1294</v>
      </c>
      <c r="W14" s="91">
        <v>1299</v>
      </c>
      <c r="X14" s="58">
        <f t="shared" si="4"/>
        <v>15653</v>
      </c>
      <c r="Y14" s="69"/>
      <c r="Z14" s="69"/>
    </row>
    <row r="15" spans="1:26">
      <c r="A15" s="114">
        <f t="shared" si="5"/>
        <v>2024038</v>
      </c>
      <c r="B15" s="74"/>
      <c r="C15" s="642"/>
      <c r="D15" s="645"/>
      <c r="E15" s="645"/>
      <c r="F15" s="645"/>
      <c r="G15" s="645"/>
      <c r="H15" s="648"/>
      <c r="I15" s="650"/>
      <c r="J15" s="629"/>
      <c r="K15" s="203" t="s">
        <v>70</v>
      </c>
      <c r="L15" s="343"/>
      <c r="M15" s="297"/>
      <c r="N15" s="297"/>
      <c r="O15" s="297"/>
      <c r="P15" s="297"/>
      <c r="Q15" s="297"/>
      <c r="R15" s="297"/>
      <c r="S15" s="297"/>
      <c r="T15" s="297"/>
      <c r="U15" s="297"/>
      <c r="V15" s="297"/>
      <c r="W15" s="91"/>
      <c r="X15" s="58">
        <f t="shared" si="4"/>
        <v>0</v>
      </c>
      <c r="Y15" s="69"/>
      <c r="Z15" s="69"/>
    </row>
    <row r="16" spans="1:26">
      <c r="A16" s="114">
        <f>+A15</f>
        <v>2024038</v>
      </c>
      <c r="B16" s="74"/>
      <c r="C16" s="654"/>
      <c r="D16" s="655"/>
      <c r="E16" s="655"/>
      <c r="F16" s="655"/>
      <c r="G16" s="655"/>
      <c r="H16" s="652"/>
      <c r="I16" s="653"/>
      <c r="J16" s="630"/>
      <c r="K16" s="204" t="s">
        <v>71</v>
      </c>
      <c r="L16" s="356">
        <f>L5-L8</f>
        <v>93758</v>
      </c>
      <c r="M16" s="412">
        <f t="shared" ref="M16:V16" si="8">M5-M8</f>
        <v>99827</v>
      </c>
      <c r="N16" s="412">
        <f t="shared" si="8"/>
        <v>92795</v>
      </c>
      <c r="O16" s="412">
        <f t="shared" si="8"/>
        <v>91018</v>
      </c>
      <c r="P16" s="412">
        <f t="shared" si="8"/>
        <v>30140</v>
      </c>
      <c r="Q16" s="412">
        <f t="shared" si="8"/>
        <v>93454</v>
      </c>
      <c r="R16" s="412">
        <f t="shared" si="8"/>
        <v>99301</v>
      </c>
      <c r="S16" s="412">
        <f t="shared" si="8"/>
        <v>84969</v>
      </c>
      <c r="T16" s="412">
        <f t="shared" si="8"/>
        <v>62356</v>
      </c>
      <c r="U16" s="412">
        <f t="shared" si="8"/>
        <v>86287</v>
      </c>
      <c r="V16" s="412">
        <f t="shared" si="8"/>
        <v>53382</v>
      </c>
      <c r="W16" s="109">
        <f t="shared" ref="W16:X16" si="9">W5-W8</f>
        <v>93758</v>
      </c>
      <c r="X16" s="43">
        <f t="shared" si="9"/>
        <v>981045</v>
      </c>
      <c r="Z16" s="69"/>
    </row>
    <row r="17" spans="1:26">
      <c r="A17" s="115">
        <v>2023028</v>
      </c>
      <c r="C17" s="642">
        <f>C5+1</f>
        <v>2</v>
      </c>
      <c r="D17" s="645" t="s">
        <v>94</v>
      </c>
      <c r="E17" s="645"/>
      <c r="F17" s="645"/>
      <c r="G17" s="645" t="s">
        <v>141</v>
      </c>
      <c r="H17" s="648" t="s">
        <v>104</v>
      </c>
      <c r="I17" s="648"/>
      <c r="J17" s="629" t="s">
        <v>55</v>
      </c>
      <c r="K17" s="274" t="s">
        <v>61</v>
      </c>
      <c r="L17" s="357">
        <f t="shared" ref="L17:V17" si="10">L18+L19</f>
        <v>445000</v>
      </c>
      <c r="M17" s="413">
        <f t="shared" si="10"/>
        <v>445000</v>
      </c>
      <c r="N17" s="413">
        <f t="shared" si="10"/>
        <v>445000</v>
      </c>
      <c r="O17" s="413">
        <f t="shared" si="10"/>
        <v>445000</v>
      </c>
      <c r="P17" s="413">
        <f t="shared" si="10"/>
        <v>445000</v>
      </c>
      <c r="Q17" s="413">
        <f t="shared" si="10"/>
        <v>445000</v>
      </c>
      <c r="R17" s="413">
        <f t="shared" si="10"/>
        <v>445000</v>
      </c>
      <c r="S17" s="413">
        <f t="shared" si="10"/>
        <v>431100</v>
      </c>
      <c r="T17" s="413">
        <f t="shared" si="10"/>
        <v>445000</v>
      </c>
      <c r="U17" s="413">
        <f t="shared" si="10"/>
        <v>445000</v>
      </c>
      <c r="V17" s="413">
        <f t="shared" si="10"/>
        <v>433880</v>
      </c>
      <c r="W17" s="264">
        <f t="shared" ref="W17" si="11">W18+W19</f>
        <v>445000</v>
      </c>
      <c r="X17" s="42">
        <f t="shared" ref="X17:X27" si="12">SUM(L17:W17)</f>
        <v>5314980</v>
      </c>
      <c r="Z17" s="69"/>
    </row>
    <row r="18" spans="1:26">
      <c r="A18" s="114">
        <f>+A17</f>
        <v>2023028</v>
      </c>
      <c r="B18" s="74"/>
      <c r="C18" s="642"/>
      <c r="D18" s="645"/>
      <c r="E18" s="645"/>
      <c r="F18" s="645"/>
      <c r="G18" s="645"/>
      <c r="H18" s="648"/>
      <c r="I18" s="650"/>
      <c r="J18" s="629"/>
      <c r="K18" s="201" t="s">
        <v>62</v>
      </c>
      <c r="L18" s="343">
        <v>445000</v>
      </c>
      <c r="M18" s="297">
        <v>445000</v>
      </c>
      <c r="N18" s="297">
        <v>445000</v>
      </c>
      <c r="O18" s="297">
        <v>445000</v>
      </c>
      <c r="P18" s="297">
        <v>445000</v>
      </c>
      <c r="Q18" s="297">
        <v>445000</v>
      </c>
      <c r="R18" s="297">
        <v>445000</v>
      </c>
      <c r="S18" s="297">
        <v>431100</v>
      </c>
      <c r="T18" s="297">
        <v>445000</v>
      </c>
      <c r="U18" s="297">
        <v>445000</v>
      </c>
      <c r="V18" s="297">
        <v>433880</v>
      </c>
      <c r="W18" s="91">
        <v>445000</v>
      </c>
      <c r="X18" s="58">
        <f t="shared" si="12"/>
        <v>5314980</v>
      </c>
      <c r="Y18" s="69"/>
      <c r="Z18" s="69"/>
    </row>
    <row r="19" spans="1:26">
      <c r="A19" s="114">
        <f>+A18</f>
        <v>2023028</v>
      </c>
      <c r="B19" s="74"/>
      <c r="C19" s="642"/>
      <c r="D19" s="645"/>
      <c r="E19" s="645"/>
      <c r="F19" s="645"/>
      <c r="G19" s="645"/>
      <c r="H19" s="648"/>
      <c r="I19" s="650"/>
      <c r="J19" s="629"/>
      <c r="K19" s="201"/>
      <c r="L19" s="354"/>
      <c r="M19" s="297"/>
      <c r="N19" s="297"/>
      <c r="O19" s="297"/>
      <c r="P19" s="297"/>
      <c r="Q19" s="297"/>
      <c r="R19" s="297"/>
      <c r="S19" s="297"/>
      <c r="T19" s="297"/>
      <c r="U19" s="297"/>
      <c r="V19" s="297"/>
      <c r="W19" s="93"/>
      <c r="X19" s="58">
        <f t="shared" si="12"/>
        <v>0</v>
      </c>
      <c r="Z19" s="69"/>
    </row>
    <row r="20" spans="1:26">
      <c r="A20" s="114">
        <f t="shared" ref="A20:A27" si="13">+A19</f>
        <v>2023028</v>
      </c>
      <c r="B20" s="74"/>
      <c r="C20" s="642"/>
      <c r="D20" s="645"/>
      <c r="E20" s="645"/>
      <c r="F20" s="645"/>
      <c r="G20" s="645"/>
      <c r="H20" s="648"/>
      <c r="I20" s="650"/>
      <c r="J20" s="629"/>
      <c r="K20" s="202" t="s">
        <v>63</v>
      </c>
      <c r="L20" s="355">
        <f t="shared" ref="L20:V20" si="14">SUM(L21:L27)</f>
        <v>300281</v>
      </c>
      <c r="M20" s="411">
        <f t="shared" si="14"/>
        <v>299876</v>
      </c>
      <c r="N20" s="411">
        <f t="shared" si="14"/>
        <v>300281</v>
      </c>
      <c r="O20" s="411">
        <f t="shared" si="14"/>
        <v>297993</v>
      </c>
      <c r="P20" s="411">
        <f t="shared" si="14"/>
        <v>298732</v>
      </c>
      <c r="Q20" s="411">
        <f t="shared" si="14"/>
        <v>299876</v>
      </c>
      <c r="R20" s="411">
        <f t="shared" si="14"/>
        <v>298651</v>
      </c>
      <c r="S20" s="411">
        <f t="shared" si="14"/>
        <v>298328</v>
      </c>
      <c r="T20" s="411">
        <f t="shared" si="14"/>
        <v>299876</v>
      </c>
      <c r="U20" s="411">
        <f t="shared" si="14"/>
        <v>298328</v>
      </c>
      <c r="V20" s="411">
        <f t="shared" si="14"/>
        <v>297264</v>
      </c>
      <c r="W20" s="108">
        <f t="shared" ref="W20" si="15">SUM(W21:W27)</f>
        <v>300281</v>
      </c>
      <c r="X20" s="59">
        <f t="shared" si="12"/>
        <v>3589767</v>
      </c>
      <c r="Z20" s="69"/>
    </row>
    <row r="21" spans="1:26">
      <c r="A21" s="114">
        <f t="shared" si="13"/>
        <v>2023028</v>
      </c>
      <c r="B21" s="74"/>
      <c r="C21" s="642"/>
      <c r="D21" s="645"/>
      <c r="E21" s="645"/>
      <c r="F21" s="645"/>
      <c r="G21" s="645"/>
      <c r="H21" s="648"/>
      <c r="I21" s="650"/>
      <c r="J21" s="629"/>
      <c r="K21" s="203" t="s">
        <v>64</v>
      </c>
      <c r="L21" s="343">
        <v>256800</v>
      </c>
      <c r="M21" s="297">
        <v>256400</v>
      </c>
      <c r="N21" s="297">
        <v>256800</v>
      </c>
      <c r="O21" s="297">
        <v>257600</v>
      </c>
      <c r="P21" s="297">
        <v>256800</v>
      </c>
      <c r="Q21" s="297">
        <v>256400</v>
      </c>
      <c r="R21" s="297">
        <v>257200</v>
      </c>
      <c r="S21" s="297">
        <v>256400</v>
      </c>
      <c r="T21" s="297">
        <v>256400</v>
      </c>
      <c r="U21" s="297">
        <v>256400</v>
      </c>
      <c r="V21" s="297">
        <v>253634</v>
      </c>
      <c r="W21" s="91">
        <v>256800</v>
      </c>
      <c r="X21" s="58">
        <f t="shared" si="12"/>
        <v>3077634</v>
      </c>
      <c r="Y21" s="69"/>
      <c r="Z21" s="69"/>
    </row>
    <row r="22" spans="1:26">
      <c r="A22" s="114">
        <f t="shared" si="13"/>
        <v>2023028</v>
      </c>
      <c r="B22" s="74"/>
      <c r="C22" s="642"/>
      <c r="D22" s="645"/>
      <c r="E22" s="645"/>
      <c r="F22" s="645"/>
      <c r="G22" s="645"/>
      <c r="H22" s="648"/>
      <c r="I22" s="650"/>
      <c r="J22" s="629"/>
      <c r="K22" s="203" t="s">
        <v>72</v>
      </c>
      <c r="L22" s="343"/>
      <c r="M22" s="297"/>
      <c r="N22" s="297"/>
      <c r="O22" s="297"/>
      <c r="P22" s="297"/>
      <c r="Q22" s="297"/>
      <c r="R22" s="297"/>
      <c r="S22" s="297"/>
      <c r="T22" s="297"/>
      <c r="U22" s="297"/>
      <c r="V22" s="297"/>
      <c r="W22" s="91"/>
      <c r="X22" s="58">
        <f t="shared" si="12"/>
        <v>0</v>
      </c>
      <c r="Y22" s="69"/>
      <c r="Z22" s="69"/>
    </row>
    <row r="23" spans="1:26">
      <c r="A23" s="114">
        <f t="shared" si="13"/>
        <v>2023028</v>
      </c>
      <c r="B23" s="74"/>
      <c r="C23" s="642"/>
      <c r="D23" s="645"/>
      <c r="E23" s="645"/>
      <c r="F23" s="645"/>
      <c r="G23" s="645"/>
      <c r="H23" s="648"/>
      <c r="I23" s="650"/>
      <c r="J23" s="629"/>
      <c r="K23" s="203" t="s">
        <v>66</v>
      </c>
      <c r="L23" s="343">
        <v>4596</v>
      </c>
      <c r="M23" s="297">
        <v>4596</v>
      </c>
      <c r="N23" s="297">
        <v>4596</v>
      </c>
      <c r="O23" s="297">
        <v>1532</v>
      </c>
      <c r="P23" s="297">
        <v>3064</v>
      </c>
      <c r="Q23" s="297">
        <v>4596</v>
      </c>
      <c r="R23" s="297">
        <v>2583</v>
      </c>
      <c r="S23" s="297">
        <v>3064</v>
      </c>
      <c r="T23" s="297">
        <v>4596</v>
      </c>
      <c r="U23" s="297">
        <v>3064</v>
      </c>
      <c r="V23" s="297">
        <v>4596</v>
      </c>
      <c r="W23" s="91">
        <v>4596</v>
      </c>
      <c r="X23" s="58">
        <f t="shared" si="12"/>
        <v>45479</v>
      </c>
      <c r="Y23" s="69"/>
      <c r="Z23" s="69"/>
    </row>
    <row r="24" spans="1:26">
      <c r="A24" s="114">
        <f t="shared" si="13"/>
        <v>2023028</v>
      </c>
      <c r="B24" s="74"/>
      <c r="C24" s="642"/>
      <c r="D24" s="645"/>
      <c r="E24" s="645"/>
      <c r="F24" s="645"/>
      <c r="G24" s="645"/>
      <c r="H24" s="648"/>
      <c r="I24" s="650"/>
      <c r="J24" s="629"/>
      <c r="K24" s="203" t="s">
        <v>67</v>
      </c>
      <c r="L24" s="343">
        <v>12350</v>
      </c>
      <c r="M24" s="297">
        <v>12350</v>
      </c>
      <c r="N24" s="297">
        <v>12350</v>
      </c>
      <c r="O24" s="297">
        <v>12350</v>
      </c>
      <c r="P24" s="297">
        <v>12350</v>
      </c>
      <c r="Q24" s="297">
        <v>12350</v>
      </c>
      <c r="R24" s="297">
        <v>12350</v>
      </c>
      <c r="S24" s="297">
        <v>12350</v>
      </c>
      <c r="T24" s="297">
        <v>12350</v>
      </c>
      <c r="U24" s="297">
        <v>12350</v>
      </c>
      <c r="V24" s="297">
        <v>12350</v>
      </c>
      <c r="W24" s="91">
        <v>12350</v>
      </c>
      <c r="X24" s="58">
        <f t="shared" si="12"/>
        <v>148200</v>
      </c>
      <c r="Y24" s="69"/>
      <c r="Z24" s="69"/>
    </row>
    <row r="25" spans="1:26">
      <c r="A25" s="114">
        <f t="shared" si="13"/>
        <v>2023028</v>
      </c>
      <c r="B25" s="74"/>
      <c r="C25" s="642"/>
      <c r="D25" s="645"/>
      <c r="E25" s="645"/>
      <c r="F25" s="645"/>
      <c r="G25" s="645"/>
      <c r="H25" s="648"/>
      <c r="I25" s="650"/>
      <c r="J25" s="629"/>
      <c r="K25" s="203" t="s">
        <v>68</v>
      </c>
      <c r="L25" s="343">
        <v>23790</v>
      </c>
      <c r="M25" s="297">
        <v>23790</v>
      </c>
      <c r="N25" s="297">
        <v>23790</v>
      </c>
      <c r="O25" s="297">
        <v>23790</v>
      </c>
      <c r="P25" s="297">
        <v>23790</v>
      </c>
      <c r="Q25" s="297">
        <v>23790</v>
      </c>
      <c r="R25" s="297">
        <v>23790</v>
      </c>
      <c r="S25" s="297">
        <v>23790</v>
      </c>
      <c r="T25" s="297">
        <v>23790</v>
      </c>
      <c r="U25" s="297">
        <v>23790</v>
      </c>
      <c r="V25" s="297">
        <v>23790</v>
      </c>
      <c r="W25" s="91">
        <v>23790</v>
      </c>
      <c r="X25" s="58">
        <f t="shared" si="12"/>
        <v>285480</v>
      </c>
      <c r="Y25" s="69"/>
      <c r="Z25" s="69"/>
    </row>
    <row r="26" spans="1:26">
      <c r="A26" s="114">
        <f t="shared" si="13"/>
        <v>2023028</v>
      </c>
      <c r="B26" s="74"/>
      <c r="C26" s="642"/>
      <c r="D26" s="645"/>
      <c r="E26" s="645"/>
      <c r="F26" s="645"/>
      <c r="G26" s="645"/>
      <c r="H26" s="648"/>
      <c r="I26" s="650"/>
      <c r="J26" s="629"/>
      <c r="K26" s="203" t="s">
        <v>69</v>
      </c>
      <c r="L26" s="343">
        <v>1307</v>
      </c>
      <c r="M26" s="297">
        <v>1305</v>
      </c>
      <c r="N26" s="297">
        <v>1307</v>
      </c>
      <c r="O26" s="297">
        <v>1296</v>
      </c>
      <c r="P26" s="297">
        <v>1299</v>
      </c>
      <c r="Q26" s="297">
        <v>1305</v>
      </c>
      <c r="R26" s="297">
        <v>1299</v>
      </c>
      <c r="S26" s="297">
        <v>1297</v>
      </c>
      <c r="T26" s="297">
        <v>1305</v>
      </c>
      <c r="U26" s="297">
        <v>1297</v>
      </c>
      <c r="V26" s="297">
        <v>1378</v>
      </c>
      <c r="W26" s="91">
        <v>1307</v>
      </c>
      <c r="X26" s="58">
        <f t="shared" si="12"/>
        <v>15702</v>
      </c>
      <c r="Y26" s="69"/>
      <c r="Z26" s="69"/>
    </row>
    <row r="27" spans="1:26">
      <c r="A27" s="114">
        <f t="shared" si="13"/>
        <v>2023028</v>
      </c>
      <c r="B27" s="74"/>
      <c r="C27" s="642"/>
      <c r="D27" s="645"/>
      <c r="E27" s="645"/>
      <c r="F27" s="645"/>
      <c r="G27" s="645"/>
      <c r="H27" s="648"/>
      <c r="I27" s="650"/>
      <c r="J27" s="629"/>
      <c r="K27" s="203" t="s">
        <v>70</v>
      </c>
      <c r="L27" s="343">
        <v>1438</v>
      </c>
      <c r="M27" s="297">
        <v>1435</v>
      </c>
      <c r="N27" s="297">
        <v>1438</v>
      </c>
      <c r="O27" s="297">
        <v>1425</v>
      </c>
      <c r="P27" s="297">
        <v>1429</v>
      </c>
      <c r="Q27" s="297">
        <v>1435</v>
      </c>
      <c r="R27" s="297">
        <v>1429</v>
      </c>
      <c r="S27" s="297">
        <v>1427</v>
      </c>
      <c r="T27" s="297">
        <v>1435</v>
      </c>
      <c r="U27" s="297">
        <v>1427</v>
      </c>
      <c r="V27" s="297">
        <v>1516</v>
      </c>
      <c r="W27" s="91">
        <v>1438</v>
      </c>
      <c r="X27" s="58">
        <f t="shared" si="12"/>
        <v>17272</v>
      </c>
      <c r="Y27" s="69"/>
      <c r="Z27" s="69"/>
    </row>
    <row r="28" spans="1:26">
      <c r="A28" s="114">
        <f>+A27</f>
        <v>2023028</v>
      </c>
      <c r="B28" s="74"/>
      <c r="C28" s="654"/>
      <c r="D28" s="655"/>
      <c r="E28" s="655"/>
      <c r="F28" s="655"/>
      <c r="G28" s="655"/>
      <c r="H28" s="652"/>
      <c r="I28" s="653"/>
      <c r="J28" s="630"/>
      <c r="K28" s="204" t="s">
        <v>71</v>
      </c>
      <c r="L28" s="356">
        <f t="shared" ref="L28:V28" si="16">L17-L20</f>
        <v>144719</v>
      </c>
      <c r="M28" s="412">
        <f t="shared" si="16"/>
        <v>145124</v>
      </c>
      <c r="N28" s="412">
        <f t="shared" si="16"/>
        <v>144719</v>
      </c>
      <c r="O28" s="412">
        <f t="shared" si="16"/>
        <v>147007</v>
      </c>
      <c r="P28" s="412">
        <f t="shared" si="16"/>
        <v>146268</v>
      </c>
      <c r="Q28" s="412">
        <f t="shared" si="16"/>
        <v>145124</v>
      </c>
      <c r="R28" s="412">
        <f t="shared" si="16"/>
        <v>146349</v>
      </c>
      <c r="S28" s="412">
        <f t="shared" si="16"/>
        <v>132772</v>
      </c>
      <c r="T28" s="412">
        <f t="shared" si="16"/>
        <v>145124</v>
      </c>
      <c r="U28" s="412">
        <f t="shared" si="16"/>
        <v>146672</v>
      </c>
      <c r="V28" s="412">
        <f t="shared" si="16"/>
        <v>136616</v>
      </c>
      <c r="W28" s="109">
        <f t="shared" ref="W28" si="17">W17-W20</f>
        <v>144719</v>
      </c>
      <c r="X28" s="43">
        <f>X17-X20</f>
        <v>1725213</v>
      </c>
      <c r="Z28" s="69"/>
    </row>
    <row r="29" spans="1:26">
      <c r="A29" s="115">
        <v>2018015</v>
      </c>
      <c r="C29" s="642">
        <f t="shared" ref="C29" si="18">C17+1</f>
        <v>3</v>
      </c>
      <c r="D29" s="644" t="s">
        <v>60</v>
      </c>
      <c r="E29" s="644"/>
      <c r="F29" s="644"/>
      <c r="G29" s="644" t="s">
        <v>141</v>
      </c>
      <c r="H29" s="647"/>
      <c r="I29" s="647"/>
      <c r="J29" s="628" t="s">
        <v>55</v>
      </c>
      <c r="K29" s="225" t="s">
        <v>61</v>
      </c>
      <c r="L29" s="353">
        <f>L30+L31</f>
        <v>552000</v>
      </c>
      <c r="M29" s="409">
        <f t="shared" ref="M29:W29" si="19">M30+M31</f>
        <v>537600</v>
      </c>
      <c r="N29" s="409">
        <f t="shared" si="19"/>
        <v>556000</v>
      </c>
      <c r="O29" s="409">
        <f t="shared" si="19"/>
        <v>624000</v>
      </c>
      <c r="P29" s="409">
        <f t="shared" si="19"/>
        <v>518400</v>
      </c>
      <c r="Q29" s="409">
        <f t="shared" si="19"/>
        <v>603200</v>
      </c>
      <c r="R29" s="409">
        <f t="shared" si="19"/>
        <v>629600</v>
      </c>
      <c r="S29" s="409">
        <f t="shared" si="19"/>
        <v>383200</v>
      </c>
      <c r="T29" s="409">
        <f t="shared" si="19"/>
        <v>545600</v>
      </c>
      <c r="U29" s="409">
        <f t="shared" si="19"/>
        <v>494400</v>
      </c>
      <c r="V29" s="409">
        <f t="shared" si="19"/>
        <v>528800</v>
      </c>
      <c r="W29" s="120">
        <f t="shared" si="19"/>
        <v>552000</v>
      </c>
      <c r="X29" s="122">
        <f t="shared" ref="X29:X39" si="20">SUM(L29:W29)</f>
        <v>6524800</v>
      </c>
      <c r="Z29" s="69"/>
    </row>
    <row r="30" spans="1:26">
      <c r="A30" s="114">
        <f>+A29</f>
        <v>2018015</v>
      </c>
      <c r="B30" s="74"/>
      <c r="C30" s="642"/>
      <c r="D30" s="645"/>
      <c r="E30" s="645"/>
      <c r="F30" s="645"/>
      <c r="G30" s="645"/>
      <c r="H30" s="648"/>
      <c r="I30" s="650"/>
      <c r="J30" s="629"/>
      <c r="K30" s="201" t="s">
        <v>62</v>
      </c>
      <c r="L30" s="343">
        <v>552000</v>
      </c>
      <c r="M30" s="297">
        <v>537600</v>
      </c>
      <c r="N30" s="297">
        <v>556000</v>
      </c>
      <c r="O30" s="297">
        <v>624000</v>
      </c>
      <c r="P30" s="297">
        <v>518400</v>
      </c>
      <c r="Q30" s="297">
        <v>603200</v>
      </c>
      <c r="R30" s="297">
        <v>629600</v>
      </c>
      <c r="S30" s="297">
        <v>383200</v>
      </c>
      <c r="T30" s="297">
        <v>545600</v>
      </c>
      <c r="U30" s="297">
        <v>494400</v>
      </c>
      <c r="V30" s="297">
        <v>528800</v>
      </c>
      <c r="W30" s="91">
        <v>552000</v>
      </c>
      <c r="X30" s="58">
        <f t="shared" si="20"/>
        <v>6524800</v>
      </c>
      <c r="Y30" s="69"/>
      <c r="Z30" s="69"/>
    </row>
    <row r="31" spans="1:26">
      <c r="A31" s="114">
        <f>+A30</f>
        <v>2018015</v>
      </c>
      <c r="B31" s="74"/>
      <c r="C31" s="642"/>
      <c r="D31" s="645"/>
      <c r="E31" s="645"/>
      <c r="F31" s="645"/>
      <c r="G31" s="645"/>
      <c r="H31" s="648"/>
      <c r="I31" s="650"/>
      <c r="J31" s="629"/>
      <c r="K31" s="201"/>
      <c r="L31" s="354"/>
      <c r="M31" s="297"/>
      <c r="N31" s="297"/>
      <c r="O31" s="297"/>
      <c r="P31" s="297"/>
      <c r="Q31" s="297"/>
      <c r="R31" s="297"/>
      <c r="S31" s="297"/>
      <c r="T31" s="297"/>
      <c r="U31" s="297"/>
      <c r="V31" s="297"/>
      <c r="W31" s="93"/>
      <c r="X31" s="58">
        <f t="shared" si="20"/>
        <v>0</v>
      </c>
      <c r="Z31" s="69"/>
    </row>
    <row r="32" spans="1:26">
      <c r="A32" s="114">
        <f t="shared" ref="A32:A39" si="21">+A31</f>
        <v>2018015</v>
      </c>
      <c r="B32" s="74"/>
      <c r="C32" s="642"/>
      <c r="D32" s="645"/>
      <c r="E32" s="645"/>
      <c r="F32" s="645"/>
      <c r="G32" s="645"/>
      <c r="H32" s="648"/>
      <c r="I32" s="650"/>
      <c r="J32" s="629"/>
      <c r="K32" s="202" t="s">
        <v>63</v>
      </c>
      <c r="L32" s="355">
        <f t="shared" ref="L32:W32" si="22">SUM(L33:L39)</f>
        <v>410462</v>
      </c>
      <c r="M32" s="411">
        <f t="shared" si="22"/>
        <v>400879</v>
      </c>
      <c r="N32" s="411">
        <f t="shared" si="22"/>
        <v>414937</v>
      </c>
      <c r="O32" s="411">
        <f t="shared" si="22"/>
        <v>456942</v>
      </c>
      <c r="P32" s="411">
        <f t="shared" si="22"/>
        <v>392258</v>
      </c>
      <c r="Q32" s="411">
        <f t="shared" si="22"/>
        <v>448087</v>
      </c>
      <c r="R32" s="411">
        <f t="shared" si="22"/>
        <v>465901</v>
      </c>
      <c r="S32" s="411">
        <f t="shared" si="22"/>
        <v>380445</v>
      </c>
      <c r="T32" s="411">
        <f t="shared" si="22"/>
        <v>425853</v>
      </c>
      <c r="U32" s="411">
        <f t="shared" si="22"/>
        <v>376994</v>
      </c>
      <c r="V32" s="411">
        <f t="shared" si="22"/>
        <v>398114</v>
      </c>
      <c r="W32" s="108">
        <f t="shared" si="22"/>
        <v>410462</v>
      </c>
      <c r="X32" s="59">
        <f t="shared" si="20"/>
        <v>4981334</v>
      </c>
      <c r="Z32" s="69"/>
    </row>
    <row r="33" spans="1:26">
      <c r="A33" s="114">
        <f t="shared" si="21"/>
        <v>2018015</v>
      </c>
      <c r="B33" s="74"/>
      <c r="C33" s="642"/>
      <c r="D33" s="645"/>
      <c r="E33" s="645"/>
      <c r="F33" s="645"/>
      <c r="G33" s="645"/>
      <c r="H33" s="648"/>
      <c r="I33" s="650"/>
      <c r="J33" s="629"/>
      <c r="K33" s="203" t="s">
        <v>64</v>
      </c>
      <c r="L33" s="346">
        <v>358700</v>
      </c>
      <c r="M33" s="414">
        <v>348720</v>
      </c>
      <c r="N33" s="414">
        <v>359650</v>
      </c>
      <c r="O33" s="414">
        <v>404200</v>
      </c>
      <c r="P33" s="414">
        <v>335680</v>
      </c>
      <c r="Q33" s="414">
        <v>388940</v>
      </c>
      <c r="R33" s="414">
        <v>406570</v>
      </c>
      <c r="S33" s="414">
        <v>323990</v>
      </c>
      <c r="T33" s="414">
        <v>369920</v>
      </c>
      <c r="U33" s="414">
        <v>319580</v>
      </c>
      <c r="V33" s="414">
        <v>342310</v>
      </c>
      <c r="W33" s="251">
        <v>358700</v>
      </c>
      <c r="X33" s="58">
        <f t="shared" si="20"/>
        <v>4316960</v>
      </c>
      <c r="Y33" s="69"/>
      <c r="Z33" s="69"/>
    </row>
    <row r="34" spans="1:26">
      <c r="A34" s="114">
        <f t="shared" si="21"/>
        <v>2018015</v>
      </c>
      <c r="B34" s="74"/>
      <c r="C34" s="642"/>
      <c r="D34" s="645"/>
      <c r="E34" s="645"/>
      <c r="F34" s="645"/>
      <c r="G34" s="645"/>
      <c r="H34" s="648"/>
      <c r="I34" s="650"/>
      <c r="J34" s="629"/>
      <c r="K34" s="262" t="s">
        <v>72</v>
      </c>
      <c r="L34" s="347"/>
      <c r="M34" s="415"/>
      <c r="N34" s="415"/>
      <c r="O34" s="415"/>
      <c r="P34" s="415"/>
      <c r="Q34" s="415"/>
      <c r="R34" s="415"/>
      <c r="S34" s="415"/>
      <c r="T34" s="415"/>
      <c r="U34" s="415"/>
      <c r="V34" s="415"/>
      <c r="W34" s="249"/>
      <c r="X34" s="58">
        <f t="shared" si="20"/>
        <v>0</v>
      </c>
      <c r="Y34" s="69"/>
      <c r="Z34" s="69"/>
    </row>
    <row r="35" spans="1:26">
      <c r="A35" s="114">
        <f t="shared" si="21"/>
        <v>2018015</v>
      </c>
      <c r="B35" s="74"/>
      <c r="C35" s="642"/>
      <c r="D35" s="645"/>
      <c r="E35" s="645"/>
      <c r="F35" s="645"/>
      <c r="G35" s="645"/>
      <c r="H35" s="648"/>
      <c r="I35" s="650"/>
      <c r="J35" s="629"/>
      <c r="K35" s="203" t="s">
        <v>66</v>
      </c>
      <c r="L35" s="348">
        <v>3479</v>
      </c>
      <c r="M35" s="416">
        <v>3976</v>
      </c>
      <c r="N35" s="416">
        <v>6958</v>
      </c>
      <c r="O35" s="416">
        <v>3976</v>
      </c>
      <c r="P35" s="416">
        <v>2982</v>
      </c>
      <c r="Q35" s="416">
        <v>4970</v>
      </c>
      <c r="R35" s="416">
        <v>4970</v>
      </c>
      <c r="S35" s="416">
        <v>2982</v>
      </c>
      <c r="T35" s="416">
        <v>1988</v>
      </c>
      <c r="U35" s="416">
        <v>3976</v>
      </c>
      <c r="V35" s="416">
        <v>1988</v>
      </c>
      <c r="W35" s="248">
        <v>3479</v>
      </c>
      <c r="X35" s="58">
        <f t="shared" si="20"/>
        <v>45724</v>
      </c>
      <c r="Y35" s="69"/>
      <c r="Z35" s="69"/>
    </row>
    <row r="36" spans="1:26">
      <c r="A36" s="114">
        <f t="shared" si="21"/>
        <v>2018015</v>
      </c>
      <c r="B36" s="74"/>
      <c r="C36" s="642"/>
      <c r="D36" s="645"/>
      <c r="E36" s="645"/>
      <c r="F36" s="645"/>
      <c r="G36" s="645"/>
      <c r="H36" s="648"/>
      <c r="I36" s="650"/>
      <c r="J36" s="629"/>
      <c r="K36" s="203" t="s">
        <v>67</v>
      </c>
      <c r="L36" s="343">
        <v>15200</v>
      </c>
      <c r="M36" s="297">
        <v>15200</v>
      </c>
      <c r="N36" s="297">
        <v>15200</v>
      </c>
      <c r="O36" s="297">
        <v>15200</v>
      </c>
      <c r="P36" s="297">
        <v>17100</v>
      </c>
      <c r="Q36" s="297">
        <v>17100</v>
      </c>
      <c r="R36" s="297">
        <v>17100</v>
      </c>
      <c r="S36" s="297">
        <v>17100</v>
      </c>
      <c r="T36" s="297">
        <v>17100</v>
      </c>
      <c r="U36" s="297">
        <v>17100</v>
      </c>
      <c r="V36" s="297">
        <v>17100</v>
      </c>
      <c r="W36" s="91">
        <v>15200</v>
      </c>
      <c r="X36" s="58">
        <f t="shared" si="20"/>
        <v>195700</v>
      </c>
      <c r="Y36" s="69"/>
      <c r="Z36" s="69"/>
    </row>
    <row r="37" spans="1:26">
      <c r="A37" s="114">
        <f t="shared" si="21"/>
        <v>2018015</v>
      </c>
      <c r="B37" s="74"/>
      <c r="C37" s="642"/>
      <c r="D37" s="645"/>
      <c r="E37" s="645"/>
      <c r="F37" s="645"/>
      <c r="G37" s="645"/>
      <c r="H37" s="648"/>
      <c r="I37" s="650"/>
      <c r="J37" s="629"/>
      <c r="K37" s="203" t="s">
        <v>68</v>
      </c>
      <c r="L37" s="343">
        <v>29280</v>
      </c>
      <c r="M37" s="297">
        <v>29280</v>
      </c>
      <c r="N37" s="297">
        <v>29280</v>
      </c>
      <c r="O37" s="297">
        <v>29280</v>
      </c>
      <c r="P37" s="297">
        <v>32940</v>
      </c>
      <c r="Q37" s="297">
        <v>32940</v>
      </c>
      <c r="R37" s="297">
        <v>32940</v>
      </c>
      <c r="S37" s="297">
        <v>32940</v>
      </c>
      <c r="T37" s="297">
        <v>32940</v>
      </c>
      <c r="U37" s="297">
        <v>32940</v>
      </c>
      <c r="V37" s="297">
        <v>32940</v>
      </c>
      <c r="W37" s="91">
        <v>29280</v>
      </c>
      <c r="X37" s="58">
        <f t="shared" si="20"/>
        <v>376980</v>
      </c>
      <c r="Y37" s="69"/>
      <c r="Z37" s="69"/>
    </row>
    <row r="38" spans="1:26">
      <c r="A38" s="114">
        <f t="shared" si="21"/>
        <v>2018015</v>
      </c>
      <c r="B38" s="74"/>
      <c r="C38" s="642"/>
      <c r="D38" s="645"/>
      <c r="E38" s="645"/>
      <c r="F38" s="645"/>
      <c r="G38" s="645"/>
      <c r="H38" s="648"/>
      <c r="I38" s="650"/>
      <c r="J38" s="629"/>
      <c r="K38" s="203" t="s">
        <v>69</v>
      </c>
      <c r="L38" s="343">
        <v>1811</v>
      </c>
      <c r="M38" s="297">
        <v>1763</v>
      </c>
      <c r="N38" s="297">
        <v>1833</v>
      </c>
      <c r="O38" s="297">
        <v>2041</v>
      </c>
      <c r="P38" s="297">
        <v>1693</v>
      </c>
      <c r="Q38" s="297">
        <v>1970</v>
      </c>
      <c r="R38" s="297">
        <v>2058</v>
      </c>
      <c r="S38" s="297">
        <v>1635</v>
      </c>
      <c r="T38" s="297">
        <v>1860</v>
      </c>
      <c r="U38" s="297">
        <v>1618</v>
      </c>
      <c r="V38" s="297">
        <v>1798</v>
      </c>
      <c r="W38" s="91">
        <v>1811</v>
      </c>
      <c r="X38" s="58">
        <f t="shared" si="20"/>
        <v>21891</v>
      </c>
      <c r="Y38" s="69"/>
      <c r="Z38" s="69"/>
    </row>
    <row r="39" spans="1:26">
      <c r="A39" s="114">
        <f t="shared" si="21"/>
        <v>2018015</v>
      </c>
      <c r="B39" s="74"/>
      <c r="C39" s="642"/>
      <c r="D39" s="645"/>
      <c r="E39" s="645"/>
      <c r="F39" s="645"/>
      <c r="G39" s="645"/>
      <c r="H39" s="648"/>
      <c r="I39" s="650"/>
      <c r="J39" s="629"/>
      <c r="K39" s="203" t="s">
        <v>70</v>
      </c>
      <c r="L39" s="343">
        <v>1992</v>
      </c>
      <c r="M39" s="297">
        <v>1940</v>
      </c>
      <c r="N39" s="297">
        <v>2016</v>
      </c>
      <c r="O39" s="297">
        <v>2245</v>
      </c>
      <c r="P39" s="297">
        <v>1863</v>
      </c>
      <c r="Q39" s="297">
        <v>2167</v>
      </c>
      <c r="R39" s="297">
        <v>2263</v>
      </c>
      <c r="S39" s="297">
        <v>1798</v>
      </c>
      <c r="T39" s="297">
        <v>2045</v>
      </c>
      <c r="U39" s="297">
        <v>1780</v>
      </c>
      <c r="V39" s="297">
        <v>1978</v>
      </c>
      <c r="W39" s="91">
        <v>1992</v>
      </c>
      <c r="X39" s="58">
        <f t="shared" si="20"/>
        <v>24079</v>
      </c>
      <c r="Y39" s="69"/>
      <c r="Z39" s="69"/>
    </row>
    <row r="40" spans="1:26">
      <c r="A40" s="114">
        <f>+A39</f>
        <v>2018015</v>
      </c>
      <c r="B40" s="74"/>
      <c r="C40" s="654"/>
      <c r="D40" s="655"/>
      <c r="E40" s="655"/>
      <c r="F40" s="655"/>
      <c r="G40" s="655"/>
      <c r="H40" s="652"/>
      <c r="I40" s="653"/>
      <c r="J40" s="630"/>
      <c r="K40" s="204" t="s">
        <v>71</v>
      </c>
      <c r="L40" s="356">
        <f t="shared" ref="L40:X40" si="23">L29-L32</f>
        <v>141538</v>
      </c>
      <c r="M40" s="412">
        <f t="shared" si="23"/>
        <v>136721</v>
      </c>
      <c r="N40" s="412">
        <f t="shared" si="23"/>
        <v>141063</v>
      </c>
      <c r="O40" s="412">
        <f t="shared" si="23"/>
        <v>167058</v>
      </c>
      <c r="P40" s="412">
        <f t="shared" si="23"/>
        <v>126142</v>
      </c>
      <c r="Q40" s="412">
        <f t="shared" si="23"/>
        <v>155113</v>
      </c>
      <c r="R40" s="412">
        <f t="shared" si="23"/>
        <v>163699</v>
      </c>
      <c r="S40" s="412">
        <f t="shared" si="23"/>
        <v>2755</v>
      </c>
      <c r="T40" s="412">
        <f t="shared" si="23"/>
        <v>119747</v>
      </c>
      <c r="U40" s="412">
        <f t="shared" si="23"/>
        <v>117406</v>
      </c>
      <c r="V40" s="412">
        <f t="shared" si="23"/>
        <v>130686</v>
      </c>
      <c r="W40" s="109">
        <f t="shared" si="23"/>
        <v>141538</v>
      </c>
      <c r="X40" s="43">
        <f t="shared" si="23"/>
        <v>1543466</v>
      </c>
      <c r="Z40" s="69"/>
    </row>
    <row r="41" spans="1:26">
      <c r="A41" s="115">
        <v>2018003</v>
      </c>
      <c r="C41" s="641">
        <f t="shared" ref="C41" si="24">C29+1</f>
        <v>4</v>
      </c>
      <c r="D41" s="644" t="s">
        <v>60</v>
      </c>
      <c r="E41" s="644"/>
      <c r="F41" s="644"/>
      <c r="G41" s="644" t="s">
        <v>142</v>
      </c>
      <c r="H41" s="647"/>
      <c r="I41" s="647"/>
      <c r="J41" s="628" t="s">
        <v>55</v>
      </c>
      <c r="K41" s="225" t="s">
        <v>61</v>
      </c>
      <c r="L41" s="353">
        <f>L42+L43</f>
        <v>504000</v>
      </c>
      <c r="M41" s="409">
        <f>M42+M43</f>
        <v>493200</v>
      </c>
      <c r="N41" s="409">
        <f t="shared" ref="N41:W41" si="25">N42+N43</f>
        <v>505600</v>
      </c>
      <c r="O41" s="409">
        <f t="shared" si="25"/>
        <v>546000</v>
      </c>
      <c r="P41" s="409">
        <f t="shared" si="25"/>
        <v>496800</v>
      </c>
      <c r="Q41" s="409">
        <f t="shared" si="25"/>
        <v>508000</v>
      </c>
      <c r="R41" s="409">
        <f t="shared" si="25"/>
        <v>505600</v>
      </c>
      <c r="S41" s="409">
        <f t="shared" si="25"/>
        <v>432000</v>
      </c>
      <c r="T41" s="409">
        <f t="shared" si="25"/>
        <v>457600</v>
      </c>
      <c r="U41" s="409">
        <f t="shared" si="25"/>
        <v>433600</v>
      </c>
      <c r="V41" s="409">
        <f t="shared" si="25"/>
        <v>432000</v>
      </c>
      <c r="W41" s="120">
        <f t="shared" si="25"/>
        <v>504000</v>
      </c>
      <c r="X41" s="122">
        <f t="shared" ref="X41:X51" si="26">SUM(L41:W41)</f>
        <v>5818400</v>
      </c>
      <c r="Z41" s="69"/>
    </row>
    <row r="42" spans="1:26">
      <c r="A42" s="114">
        <f>+A41</f>
        <v>2018003</v>
      </c>
      <c r="B42" s="74">
        <f>+B41</f>
        <v>0</v>
      </c>
      <c r="C42" s="642"/>
      <c r="D42" s="645"/>
      <c r="E42" s="645"/>
      <c r="F42" s="645"/>
      <c r="G42" s="645"/>
      <c r="H42" s="648"/>
      <c r="I42" s="650"/>
      <c r="J42" s="629"/>
      <c r="K42" s="201" t="s">
        <v>62</v>
      </c>
      <c r="L42" s="343">
        <v>504000</v>
      </c>
      <c r="M42" s="297">
        <v>493200</v>
      </c>
      <c r="N42" s="297">
        <v>505600</v>
      </c>
      <c r="O42" s="297">
        <v>546000</v>
      </c>
      <c r="P42" s="297">
        <v>496800</v>
      </c>
      <c r="Q42" s="297">
        <v>508000</v>
      </c>
      <c r="R42" s="297">
        <v>505600</v>
      </c>
      <c r="S42" s="297">
        <v>432000</v>
      </c>
      <c r="T42" s="297">
        <v>457600</v>
      </c>
      <c r="U42" s="297">
        <v>433600</v>
      </c>
      <c r="V42" s="297">
        <v>432000</v>
      </c>
      <c r="W42" s="91">
        <v>504000</v>
      </c>
      <c r="X42" s="58">
        <f t="shared" si="26"/>
        <v>5818400</v>
      </c>
      <c r="Y42" s="69"/>
      <c r="Z42" s="69"/>
    </row>
    <row r="43" spans="1:26">
      <c r="A43" s="114">
        <f>+A42</f>
        <v>2018003</v>
      </c>
      <c r="B43" s="74">
        <f t="shared" ref="B43:B51" si="27">+B42</f>
        <v>0</v>
      </c>
      <c r="C43" s="642"/>
      <c r="D43" s="645"/>
      <c r="E43" s="645"/>
      <c r="F43" s="645"/>
      <c r="G43" s="645"/>
      <c r="H43" s="648"/>
      <c r="I43" s="650"/>
      <c r="J43" s="629"/>
      <c r="K43" s="201"/>
      <c r="L43" s="354"/>
      <c r="M43" s="297"/>
      <c r="N43" s="297"/>
      <c r="O43" s="297"/>
      <c r="P43" s="297"/>
      <c r="Q43" s="297"/>
      <c r="R43" s="297"/>
      <c r="S43" s="297"/>
      <c r="T43" s="297"/>
      <c r="U43" s="297"/>
      <c r="V43" s="297"/>
      <c r="W43" s="93"/>
      <c r="X43" s="58">
        <f t="shared" si="26"/>
        <v>0</v>
      </c>
      <c r="Z43" s="69"/>
    </row>
    <row r="44" spans="1:26">
      <c r="A44" s="114">
        <f t="shared" ref="A44:A51" si="28">+A43</f>
        <v>2018003</v>
      </c>
      <c r="B44" s="74">
        <f t="shared" si="27"/>
        <v>0</v>
      </c>
      <c r="C44" s="642"/>
      <c r="D44" s="645"/>
      <c r="E44" s="645"/>
      <c r="F44" s="645"/>
      <c r="G44" s="645"/>
      <c r="H44" s="648"/>
      <c r="I44" s="650"/>
      <c r="J44" s="629"/>
      <c r="K44" s="202" t="s">
        <v>63</v>
      </c>
      <c r="L44" s="355">
        <f>SUM(L45:L51)</f>
        <v>419814</v>
      </c>
      <c r="M44" s="411">
        <f t="shared" ref="M44:V44" si="29">SUM(M45:M51)</f>
        <v>411669</v>
      </c>
      <c r="N44" s="411">
        <f t="shared" si="29"/>
        <v>420960</v>
      </c>
      <c r="O44" s="411">
        <f t="shared" si="29"/>
        <v>449922</v>
      </c>
      <c r="P44" s="411">
        <f t="shared" si="29"/>
        <v>414250</v>
      </c>
      <c r="Q44" s="411">
        <f t="shared" si="29"/>
        <v>421875</v>
      </c>
      <c r="R44" s="411">
        <f t="shared" si="29"/>
        <v>437018</v>
      </c>
      <c r="S44" s="411">
        <f t="shared" si="29"/>
        <v>368202</v>
      </c>
      <c r="T44" s="411">
        <f t="shared" si="29"/>
        <v>430202</v>
      </c>
      <c r="U44" s="411">
        <f t="shared" si="29"/>
        <v>391780</v>
      </c>
      <c r="V44" s="411">
        <f t="shared" si="29"/>
        <v>367980</v>
      </c>
      <c r="W44" s="108">
        <f t="shared" ref="W44" si="30">SUM(W45:W51)</f>
        <v>419814</v>
      </c>
      <c r="X44" s="59">
        <f t="shared" si="26"/>
        <v>4953486</v>
      </c>
      <c r="Z44" s="69"/>
    </row>
    <row r="45" spans="1:26">
      <c r="A45" s="114">
        <f t="shared" si="28"/>
        <v>2018003</v>
      </c>
      <c r="B45" s="74">
        <f t="shared" si="27"/>
        <v>0</v>
      </c>
      <c r="C45" s="642"/>
      <c r="D45" s="645"/>
      <c r="E45" s="645"/>
      <c r="F45" s="645"/>
      <c r="G45" s="645"/>
      <c r="H45" s="648"/>
      <c r="I45" s="650"/>
      <c r="J45" s="629"/>
      <c r="K45" s="203" t="s">
        <v>64</v>
      </c>
      <c r="L45" s="343">
        <v>362725</v>
      </c>
      <c r="M45" s="297">
        <v>354665</v>
      </c>
      <c r="N45" s="297">
        <v>363860</v>
      </c>
      <c r="O45" s="297">
        <v>392520</v>
      </c>
      <c r="P45" s="297">
        <v>357219</v>
      </c>
      <c r="Q45" s="297">
        <v>364765</v>
      </c>
      <c r="R45" s="297">
        <v>379750</v>
      </c>
      <c r="S45" s="297">
        <v>311650</v>
      </c>
      <c r="T45" s="297">
        <v>373005</v>
      </c>
      <c r="U45" s="297">
        <v>334983</v>
      </c>
      <c r="V45" s="297">
        <v>311250</v>
      </c>
      <c r="W45" s="91">
        <v>362725</v>
      </c>
      <c r="X45" s="58">
        <f t="shared" si="26"/>
        <v>4269117</v>
      </c>
      <c r="Y45" s="69"/>
      <c r="Z45" s="69"/>
    </row>
    <row r="46" spans="1:26">
      <c r="A46" s="114">
        <f t="shared" si="28"/>
        <v>2018003</v>
      </c>
      <c r="B46" s="74">
        <f t="shared" si="27"/>
        <v>0</v>
      </c>
      <c r="C46" s="642"/>
      <c r="D46" s="645"/>
      <c r="E46" s="645"/>
      <c r="F46" s="645"/>
      <c r="G46" s="645"/>
      <c r="H46" s="648"/>
      <c r="I46" s="650"/>
      <c r="J46" s="629"/>
      <c r="K46" s="203" t="s">
        <v>72</v>
      </c>
      <c r="L46" s="343"/>
      <c r="M46" s="297"/>
      <c r="N46" s="297"/>
      <c r="O46" s="297"/>
      <c r="P46" s="297"/>
      <c r="Q46" s="297"/>
      <c r="R46" s="297"/>
      <c r="S46" s="297"/>
      <c r="T46" s="297"/>
      <c r="U46" s="297"/>
      <c r="V46" s="297"/>
      <c r="W46" s="91"/>
      <c r="X46" s="58">
        <f t="shared" si="26"/>
        <v>0</v>
      </c>
      <c r="Y46" s="69"/>
      <c r="Z46" s="69"/>
    </row>
    <row r="47" spans="1:26">
      <c r="A47" s="114">
        <f t="shared" si="28"/>
        <v>2018003</v>
      </c>
      <c r="B47" s="74">
        <f t="shared" si="27"/>
        <v>0</v>
      </c>
      <c r="C47" s="642"/>
      <c r="D47" s="645"/>
      <c r="E47" s="645"/>
      <c r="F47" s="645"/>
      <c r="G47" s="645"/>
      <c r="H47" s="648"/>
      <c r="I47" s="650"/>
      <c r="J47" s="629"/>
      <c r="K47" s="203" t="s">
        <v>66</v>
      </c>
      <c r="L47" s="343">
        <v>0</v>
      </c>
      <c r="M47" s="297">
        <v>0</v>
      </c>
      <c r="N47" s="297">
        <v>0</v>
      </c>
      <c r="O47" s="297">
        <v>0</v>
      </c>
      <c r="P47" s="297">
        <v>0</v>
      </c>
      <c r="Q47" s="297">
        <v>0</v>
      </c>
      <c r="R47" s="297">
        <v>0</v>
      </c>
      <c r="S47" s="297">
        <v>0</v>
      </c>
      <c r="T47" s="297">
        <v>0</v>
      </c>
      <c r="U47" s="297">
        <v>0</v>
      </c>
      <c r="V47" s="297">
        <v>0</v>
      </c>
      <c r="W47" s="91">
        <v>0</v>
      </c>
      <c r="X47" s="58">
        <f t="shared" si="26"/>
        <v>0</v>
      </c>
      <c r="Y47" s="69"/>
      <c r="Z47" s="69"/>
    </row>
    <row r="48" spans="1:26">
      <c r="A48" s="114">
        <f t="shared" si="28"/>
        <v>2018003</v>
      </c>
      <c r="B48" s="74">
        <f t="shared" si="27"/>
        <v>0</v>
      </c>
      <c r="C48" s="642"/>
      <c r="D48" s="645"/>
      <c r="E48" s="645"/>
      <c r="F48" s="645"/>
      <c r="G48" s="645"/>
      <c r="H48" s="648"/>
      <c r="I48" s="650"/>
      <c r="J48" s="629"/>
      <c r="K48" s="203" t="s">
        <v>67</v>
      </c>
      <c r="L48" s="343">
        <v>20340</v>
      </c>
      <c r="M48" s="297">
        <v>20340</v>
      </c>
      <c r="N48" s="297">
        <v>20340</v>
      </c>
      <c r="O48" s="297">
        <v>20340</v>
      </c>
      <c r="P48" s="297">
        <v>20340</v>
      </c>
      <c r="Q48" s="297">
        <v>20340</v>
      </c>
      <c r="R48" s="297">
        <v>20340</v>
      </c>
      <c r="S48" s="297">
        <v>20340</v>
      </c>
      <c r="T48" s="297">
        <v>20340</v>
      </c>
      <c r="U48" s="297">
        <v>20340</v>
      </c>
      <c r="V48" s="297">
        <v>20340</v>
      </c>
      <c r="W48" s="91">
        <v>20340</v>
      </c>
      <c r="X48" s="58">
        <f t="shared" si="26"/>
        <v>244080</v>
      </c>
      <c r="Y48" s="69"/>
      <c r="Z48" s="69"/>
    </row>
    <row r="49" spans="1:26">
      <c r="A49" s="114">
        <f t="shared" si="28"/>
        <v>2018003</v>
      </c>
      <c r="B49" s="74">
        <f t="shared" si="27"/>
        <v>0</v>
      </c>
      <c r="C49" s="642"/>
      <c r="D49" s="645"/>
      <c r="E49" s="645"/>
      <c r="F49" s="645"/>
      <c r="G49" s="645"/>
      <c r="H49" s="648"/>
      <c r="I49" s="650"/>
      <c r="J49" s="629"/>
      <c r="K49" s="203" t="s">
        <v>68</v>
      </c>
      <c r="L49" s="343">
        <v>32940</v>
      </c>
      <c r="M49" s="297">
        <v>32940</v>
      </c>
      <c r="N49" s="297">
        <v>32940</v>
      </c>
      <c r="O49" s="297">
        <v>32940</v>
      </c>
      <c r="P49" s="297">
        <v>32940</v>
      </c>
      <c r="Q49" s="297">
        <v>32940</v>
      </c>
      <c r="R49" s="297">
        <v>32940</v>
      </c>
      <c r="S49" s="297">
        <v>32940</v>
      </c>
      <c r="T49" s="297">
        <v>32940</v>
      </c>
      <c r="U49" s="297">
        <v>32940</v>
      </c>
      <c r="V49" s="297">
        <v>32940</v>
      </c>
      <c r="W49" s="91">
        <v>32940</v>
      </c>
      <c r="X49" s="58">
        <f t="shared" si="26"/>
        <v>395280</v>
      </c>
      <c r="Y49" s="69"/>
      <c r="Z49" s="69"/>
    </row>
    <row r="50" spans="1:26">
      <c r="A50" s="114">
        <f t="shared" si="28"/>
        <v>2018003</v>
      </c>
      <c r="B50" s="74">
        <f t="shared" si="27"/>
        <v>0</v>
      </c>
      <c r="C50" s="642"/>
      <c r="D50" s="645"/>
      <c r="E50" s="645"/>
      <c r="F50" s="645"/>
      <c r="G50" s="645"/>
      <c r="H50" s="648"/>
      <c r="I50" s="650"/>
      <c r="J50" s="629"/>
      <c r="K50" s="203" t="s">
        <v>69</v>
      </c>
      <c r="L50" s="343">
        <v>1814</v>
      </c>
      <c r="M50" s="297">
        <v>1773</v>
      </c>
      <c r="N50" s="297">
        <v>1819</v>
      </c>
      <c r="O50" s="297">
        <v>1963</v>
      </c>
      <c r="P50" s="297">
        <v>1786</v>
      </c>
      <c r="Q50" s="297">
        <v>1824</v>
      </c>
      <c r="R50" s="297">
        <v>1899</v>
      </c>
      <c r="S50" s="297">
        <v>1558</v>
      </c>
      <c r="T50" s="297">
        <v>1865</v>
      </c>
      <c r="U50" s="297">
        <v>1675</v>
      </c>
      <c r="V50" s="297">
        <v>1643</v>
      </c>
      <c r="W50" s="91">
        <v>1814</v>
      </c>
      <c r="X50" s="58">
        <f t="shared" si="26"/>
        <v>21433</v>
      </c>
      <c r="Y50" s="69"/>
      <c r="Z50" s="69"/>
    </row>
    <row r="51" spans="1:26">
      <c r="A51" s="114">
        <f t="shared" si="28"/>
        <v>2018003</v>
      </c>
      <c r="B51" s="74">
        <f t="shared" si="27"/>
        <v>0</v>
      </c>
      <c r="C51" s="642"/>
      <c r="D51" s="645"/>
      <c r="E51" s="645"/>
      <c r="F51" s="645"/>
      <c r="G51" s="645"/>
      <c r="H51" s="648"/>
      <c r="I51" s="650"/>
      <c r="J51" s="629"/>
      <c r="K51" s="203" t="s">
        <v>70</v>
      </c>
      <c r="L51" s="343">
        <v>1995</v>
      </c>
      <c r="M51" s="297">
        <v>1951</v>
      </c>
      <c r="N51" s="297">
        <v>2001</v>
      </c>
      <c r="O51" s="297">
        <v>2159</v>
      </c>
      <c r="P51" s="297">
        <v>1965</v>
      </c>
      <c r="Q51" s="297">
        <v>2006</v>
      </c>
      <c r="R51" s="297">
        <v>2089</v>
      </c>
      <c r="S51" s="297">
        <v>1714</v>
      </c>
      <c r="T51" s="297">
        <v>2052</v>
      </c>
      <c r="U51" s="297">
        <v>1842</v>
      </c>
      <c r="V51" s="297">
        <v>1807</v>
      </c>
      <c r="W51" s="91">
        <v>1995</v>
      </c>
      <c r="X51" s="58">
        <f t="shared" si="26"/>
        <v>23576</v>
      </c>
      <c r="Y51" s="69"/>
      <c r="Z51" s="69"/>
    </row>
    <row r="52" spans="1:26" ht="12.5" thickBot="1">
      <c r="A52" s="114">
        <f>+A51</f>
        <v>2018003</v>
      </c>
      <c r="B52" s="74">
        <f>+B51</f>
        <v>0</v>
      </c>
      <c r="C52" s="643"/>
      <c r="D52" s="646"/>
      <c r="E52" s="646"/>
      <c r="F52" s="646"/>
      <c r="G52" s="646"/>
      <c r="H52" s="649"/>
      <c r="I52" s="651"/>
      <c r="J52" s="631"/>
      <c r="K52" s="205" t="s">
        <v>71</v>
      </c>
      <c r="L52" s="358">
        <f t="shared" ref="L52:V52" si="31">L41-L44</f>
        <v>84186</v>
      </c>
      <c r="M52" s="417">
        <f t="shared" si="31"/>
        <v>81531</v>
      </c>
      <c r="N52" s="417">
        <f t="shared" si="31"/>
        <v>84640</v>
      </c>
      <c r="O52" s="417">
        <f t="shared" si="31"/>
        <v>96078</v>
      </c>
      <c r="P52" s="417">
        <f t="shared" si="31"/>
        <v>82550</v>
      </c>
      <c r="Q52" s="417">
        <f t="shared" si="31"/>
        <v>86125</v>
      </c>
      <c r="R52" s="417">
        <f t="shared" si="31"/>
        <v>68582</v>
      </c>
      <c r="S52" s="417">
        <f t="shared" si="31"/>
        <v>63798</v>
      </c>
      <c r="T52" s="417">
        <f t="shared" si="31"/>
        <v>27398</v>
      </c>
      <c r="U52" s="417">
        <f t="shared" si="31"/>
        <v>41820</v>
      </c>
      <c r="V52" s="417">
        <f t="shared" si="31"/>
        <v>64020</v>
      </c>
      <c r="W52" s="200">
        <f t="shared" ref="W52:X52" si="32">W41-W44</f>
        <v>84186</v>
      </c>
      <c r="X52" s="78">
        <f t="shared" si="32"/>
        <v>864914</v>
      </c>
      <c r="Z52" s="69"/>
    </row>
    <row r="53" spans="1:26" s="1" customFormat="1" ht="12.5" thickTop="1">
      <c r="A53" s="112"/>
      <c r="B53" s="73"/>
      <c r="C53" s="633" t="str">
        <f>C2</f>
        <v>パートナー営業本部</v>
      </c>
      <c r="D53" s="634"/>
      <c r="E53" s="634"/>
      <c r="F53" s="634"/>
      <c r="G53" s="634"/>
      <c r="H53" s="634"/>
      <c r="I53" s="634"/>
      <c r="J53" s="635"/>
      <c r="K53" s="143" t="s">
        <v>20</v>
      </c>
      <c r="L53" s="359">
        <f>L5+L17+L29+L41</f>
        <v>1855900</v>
      </c>
      <c r="M53" s="462">
        <f t="shared" ref="M53:W53" si="33">M5+M17+M29+M41</f>
        <v>1858000</v>
      </c>
      <c r="N53" s="462">
        <f t="shared" si="33"/>
        <v>1865700</v>
      </c>
      <c r="O53" s="462">
        <f t="shared" si="33"/>
        <v>1967800</v>
      </c>
      <c r="P53" s="462">
        <f t="shared" si="33"/>
        <v>1750000</v>
      </c>
      <c r="Q53" s="418">
        <f t="shared" si="33"/>
        <v>1915300</v>
      </c>
      <c r="R53" s="418">
        <f t="shared" si="33"/>
        <v>1958200</v>
      </c>
      <c r="S53" s="418">
        <f t="shared" si="33"/>
        <v>1573900</v>
      </c>
      <c r="T53" s="418">
        <f t="shared" si="33"/>
        <v>1775800</v>
      </c>
      <c r="U53" s="418">
        <f t="shared" si="33"/>
        <v>1700600</v>
      </c>
      <c r="V53" s="418">
        <f t="shared" si="33"/>
        <v>1690780</v>
      </c>
      <c r="W53" s="260">
        <f t="shared" si="33"/>
        <v>1855900</v>
      </c>
      <c r="X53" s="77">
        <f>SUM(L53:W53)</f>
        <v>21767880</v>
      </c>
      <c r="Z53" s="69"/>
    </row>
    <row r="54" spans="1:26" s="1" customFormat="1">
      <c r="A54" s="112"/>
      <c r="B54" s="72"/>
      <c r="C54" s="633"/>
      <c r="D54" s="634"/>
      <c r="E54" s="634"/>
      <c r="F54" s="634"/>
      <c r="G54" s="634"/>
      <c r="H54" s="634"/>
      <c r="I54" s="634"/>
      <c r="J54" s="635"/>
      <c r="K54" s="144" t="s">
        <v>21</v>
      </c>
      <c r="L54" s="360">
        <f>L8+L20+L32+L44</f>
        <v>1391699</v>
      </c>
      <c r="M54" s="350">
        <f t="shared" ref="M54:W54" si="34">M8+M20+M32+M44</f>
        <v>1394797</v>
      </c>
      <c r="N54" s="350">
        <f t="shared" si="34"/>
        <v>1402483</v>
      </c>
      <c r="O54" s="350">
        <f t="shared" si="34"/>
        <v>1466639</v>
      </c>
      <c r="P54" s="350">
        <f t="shared" si="34"/>
        <v>1364900</v>
      </c>
      <c r="Q54" s="419">
        <f t="shared" si="34"/>
        <v>1435484</v>
      </c>
      <c r="R54" s="419">
        <f t="shared" si="34"/>
        <v>1480269</v>
      </c>
      <c r="S54" s="419">
        <f t="shared" si="34"/>
        <v>1289606</v>
      </c>
      <c r="T54" s="419">
        <f t="shared" si="34"/>
        <v>1421175</v>
      </c>
      <c r="U54" s="419">
        <f t="shared" si="34"/>
        <v>1308415</v>
      </c>
      <c r="V54" s="419">
        <f t="shared" si="34"/>
        <v>1306076</v>
      </c>
      <c r="W54" s="261">
        <f t="shared" si="34"/>
        <v>1391699</v>
      </c>
      <c r="X54" s="44">
        <f>SUM(L54:W54)</f>
        <v>16653242</v>
      </c>
      <c r="Z54" s="69"/>
    </row>
    <row r="55" spans="1:26" s="1" customFormat="1">
      <c r="A55" s="112"/>
      <c r="B55" s="72"/>
      <c r="C55" s="636"/>
      <c r="D55" s="637"/>
      <c r="E55" s="637"/>
      <c r="F55" s="637"/>
      <c r="G55" s="637"/>
      <c r="H55" s="637"/>
      <c r="I55" s="637"/>
      <c r="J55" s="638"/>
      <c r="K55" s="153" t="s">
        <v>22</v>
      </c>
      <c r="L55" s="361">
        <f>L53-L54</f>
        <v>464201</v>
      </c>
      <c r="M55" s="420">
        <f t="shared" ref="M55:W55" si="35">M53-M54</f>
        <v>463203</v>
      </c>
      <c r="N55" s="420">
        <f t="shared" si="35"/>
        <v>463217</v>
      </c>
      <c r="O55" s="420">
        <f t="shared" si="35"/>
        <v>501161</v>
      </c>
      <c r="P55" s="420">
        <f t="shared" si="35"/>
        <v>385100</v>
      </c>
      <c r="Q55" s="420">
        <f t="shared" si="35"/>
        <v>479816</v>
      </c>
      <c r="R55" s="420">
        <f t="shared" si="35"/>
        <v>477931</v>
      </c>
      <c r="S55" s="420">
        <f t="shared" si="35"/>
        <v>284294</v>
      </c>
      <c r="T55" s="420">
        <f t="shared" si="35"/>
        <v>354625</v>
      </c>
      <c r="U55" s="420">
        <f t="shared" si="35"/>
        <v>392185</v>
      </c>
      <c r="V55" s="420">
        <f t="shared" si="35"/>
        <v>384704</v>
      </c>
      <c r="W55" s="82">
        <f t="shared" si="35"/>
        <v>464201</v>
      </c>
      <c r="X55" s="45">
        <f>SUM(L55:W55)</f>
        <v>5114638</v>
      </c>
      <c r="Z55" s="69"/>
    </row>
    <row r="56" spans="1:26">
      <c r="K56" s="128" t="s">
        <v>74</v>
      </c>
      <c r="L56" s="639">
        <f>SUM(L53:N53)</f>
        <v>5579600</v>
      </c>
      <c r="M56" s="585"/>
      <c r="N56" s="585"/>
      <c r="O56" s="585">
        <f t="shared" ref="O56:O57" si="36">SUM(O53:Q53)</f>
        <v>5633100</v>
      </c>
      <c r="P56" s="585"/>
      <c r="Q56" s="585"/>
      <c r="R56" s="585">
        <f t="shared" ref="R56:R57" si="37">SUM(R53:T53)</f>
        <v>5307900</v>
      </c>
      <c r="S56" s="585"/>
      <c r="T56" s="585"/>
      <c r="U56" s="585">
        <f t="shared" ref="U56:U57" si="38">SUM(U53:W53)</f>
        <v>5247280</v>
      </c>
      <c r="V56" s="585"/>
      <c r="W56" s="586"/>
      <c r="X56" s="34">
        <f>SUM(X53)</f>
        <v>21767880</v>
      </c>
      <c r="Z56" s="69"/>
    </row>
    <row r="57" spans="1:26">
      <c r="K57" s="130" t="s">
        <v>77</v>
      </c>
      <c r="L57" s="640">
        <f>SUM(L54:N54)</f>
        <v>4188979</v>
      </c>
      <c r="M57" s="589"/>
      <c r="N57" s="589"/>
      <c r="O57" s="589">
        <f t="shared" si="36"/>
        <v>4267023</v>
      </c>
      <c r="P57" s="589"/>
      <c r="Q57" s="589"/>
      <c r="R57" s="589">
        <f t="shared" si="37"/>
        <v>4191050</v>
      </c>
      <c r="S57" s="589"/>
      <c r="T57" s="589"/>
      <c r="U57" s="589">
        <f t="shared" si="38"/>
        <v>4006190</v>
      </c>
      <c r="V57" s="589"/>
      <c r="W57" s="590"/>
      <c r="X57" s="35">
        <f>SUM(X54)</f>
        <v>16653242</v>
      </c>
      <c r="Z57" s="69"/>
    </row>
    <row r="58" spans="1:26">
      <c r="K58" s="6" t="s">
        <v>75</v>
      </c>
      <c r="L58" s="632">
        <f>SUM(L55:N55)</f>
        <v>1390621</v>
      </c>
      <c r="M58" s="571"/>
      <c r="N58" s="571"/>
      <c r="O58" s="571">
        <f>SUM(O55:Q55)</f>
        <v>1366077</v>
      </c>
      <c r="P58" s="571"/>
      <c r="Q58" s="571"/>
      <c r="R58" s="571">
        <f>SUM(R55:T55)</f>
        <v>1116850</v>
      </c>
      <c r="S58" s="571"/>
      <c r="T58" s="571"/>
      <c r="U58" s="571">
        <f>SUM(U55:W55)</f>
        <v>1241090</v>
      </c>
      <c r="V58" s="571"/>
      <c r="W58" s="582"/>
      <c r="X58" s="36">
        <f>SUM(X55)</f>
        <v>5114638</v>
      </c>
      <c r="Z58" s="69"/>
    </row>
    <row r="59" spans="1:26">
      <c r="Z59" s="69"/>
    </row>
    <row r="60" spans="1:26">
      <c r="Z60" s="69"/>
    </row>
    <row r="61" spans="1:26">
      <c r="Z61" s="69"/>
    </row>
    <row r="62" spans="1:26">
      <c r="Z62" s="69"/>
    </row>
    <row r="63" spans="1:26">
      <c r="F63" s="9">
        <f>COUNTA(F5:F52)</f>
        <v>0</v>
      </c>
      <c r="Z63" s="69"/>
    </row>
    <row r="64" spans="1:26">
      <c r="Z64" s="69"/>
    </row>
    <row r="65" spans="26:26">
      <c r="Z65" s="69"/>
    </row>
    <row r="66" spans="26:26">
      <c r="Z66" s="69"/>
    </row>
    <row r="67" spans="26:26">
      <c r="Z67" s="69"/>
    </row>
    <row r="68" spans="26:26">
      <c r="Z68" s="69"/>
    </row>
    <row r="69" spans="26:26">
      <c r="Z69" s="69"/>
    </row>
    <row r="70" spans="26:26">
      <c r="Z70" s="69"/>
    </row>
    <row r="71" spans="26:26">
      <c r="Z71" s="69"/>
    </row>
    <row r="72" spans="26:26">
      <c r="Z72" s="69"/>
    </row>
    <row r="73" spans="26:26">
      <c r="Z73" s="69"/>
    </row>
    <row r="74" spans="26:26">
      <c r="Z74" s="69"/>
    </row>
    <row r="75" spans="26:26">
      <c r="Z75" s="69"/>
    </row>
    <row r="76" spans="26:26">
      <c r="Z76" s="69"/>
    </row>
    <row r="77" spans="26:26">
      <c r="Z77" s="69"/>
    </row>
    <row r="78" spans="26:26">
      <c r="Z78" s="69"/>
    </row>
    <row r="79" spans="26:26">
      <c r="Z79" s="69"/>
    </row>
    <row r="80" spans="26:26">
      <c r="Z80" s="69"/>
    </row>
    <row r="81" spans="26:26">
      <c r="Z81" s="69"/>
    </row>
    <row r="82" spans="26:26">
      <c r="Z82" s="69"/>
    </row>
    <row r="83" spans="26:26">
      <c r="Z83" s="69"/>
    </row>
    <row r="84" spans="26:26">
      <c r="Z84" s="69"/>
    </row>
    <row r="85" spans="26:26">
      <c r="Z85" s="69"/>
    </row>
    <row r="86" spans="26:26">
      <c r="Z86" s="69"/>
    </row>
    <row r="87" spans="26:26">
      <c r="Z87" s="69"/>
    </row>
    <row r="88" spans="26:26">
      <c r="Z88" s="69"/>
    </row>
    <row r="89" spans="26:26">
      <c r="Z89" s="69"/>
    </row>
    <row r="90" spans="26:26">
      <c r="Z90" s="69"/>
    </row>
    <row r="91" spans="26:26">
      <c r="Z91" s="69"/>
    </row>
    <row r="92" spans="26:26">
      <c r="Z92" s="69"/>
    </row>
    <row r="93" spans="26:26">
      <c r="Z93" s="69"/>
    </row>
    <row r="94" spans="26:26">
      <c r="Z94" s="69"/>
    </row>
    <row r="95" spans="26:26">
      <c r="Z95" s="69"/>
    </row>
    <row r="96" spans="26:26">
      <c r="Z96" s="69"/>
    </row>
    <row r="97" spans="26:26">
      <c r="Z97" s="69"/>
    </row>
    <row r="98" spans="26:26">
      <c r="Z98" s="69"/>
    </row>
    <row r="99" spans="26:26">
      <c r="Z99" s="69"/>
    </row>
    <row r="100" spans="26:26">
      <c r="Z100" s="69"/>
    </row>
    <row r="101" spans="26:26">
      <c r="Z101" s="69"/>
    </row>
    <row r="102" spans="26:26">
      <c r="Z102" s="69"/>
    </row>
    <row r="103" spans="26:26">
      <c r="Z103" s="69"/>
    </row>
    <row r="104" spans="26:26">
      <c r="Z104" s="69"/>
    </row>
    <row r="105" spans="26:26">
      <c r="Z105" s="69"/>
    </row>
    <row r="106" spans="26:26">
      <c r="Z106" s="69"/>
    </row>
    <row r="107" spans="26:26">
      <c r="Z107" s="69"/>
    </row>
    <row r="108" spans="26:26">
      <c r="Z108" s="69"/>
    </row>
    <row r="109" spans="26:26">
      <c r="Z109" s="69"/>
    </row>
    <row r="110" spans="26:26">
      <c r="Z110" s="69"/>
    </row>
    <row r="111" spans="26:26">
      <c r="Z111" s="69"/>
    </row>
    <row r="112" spans="26:26">
      <c r="Z112" s="69"/>
    </row>
    <row r="113" spans="26:26">
      <c r="Z113" s="69"/>
    </row>
    <row r="114" spans="26:26">
      <c r="Z114" s="69"/>
    </row>
    <row r="115" spans="26:26">
      <c r="Z115" s="69"/>
    </row>
    <row r="116" spans="26:26">
      <c r="Z116" s="69"/>
    </row>
    <row r="117" spans="26:26">
      <c r="Z117" s="69"/>
    </row>
    <row r="118" spans="26:26">
      <c r="Z118" s="69"/>
    </row>
    <row r="119" spans="26:26">
      <c r="Z119" s="69"/>
    </row>
    <row r="120" spans="26:26">
      <c r="Z120" s="69"/>
    </row>
    <row r="121" spans="26:26">
      <c r="Z121" s="69"/>
    </row>
    <row r="122" spans="26:26">
      <c r="Z122" s="69"/>
    </row>
    <row r="123" spans="26:26">
      <c r="Z123" s="69"/>
    </row>
    <row r="124" spans="26:26">
      <c r="Z124" s="69"/>
    </row>
    <row r="125" spans="26:26">
      <c r="Z125" s="69"/>
    </row>
    <row r="126" spans="26:26">
      <c r="Z126" s="69"/>
    </row>
    <row r="127" spans="26:26">
      <c r="Z127" s="69"/>
    </row>
    <row r="128" spans="26:26">
      <c r="Z128" s="69"/>
    </row>
    <row r="129" spans="26:26">
      <c r="Z129" s="69"/>
    </row>
    <row r="130" spans="26:26">
      <c r="Z130" s="69"/>
    </row>
    <row r="131" spans="26:26">
      <c r="Z131" s="69"/>
    </row>
    <row r="132" spans="26:26">
      <c r="Z132" s="69"/>
    </row>
    <row r="133" spans="26:26">
      <c r="Z133" s="69"/>
    </row>
    <row r="134" spans="26:26">
      <c r="Z134" s="69"/>
    </row>
    <row r="135" spans="26:26">
      <c r="Z135" s="69"/>
    </row>
    <row r="136" spans="26:26">
      <c r="Z136" s="69"/>
    </row>
    <row r="137" spans="26:26">
      <c r="Z137" s="69"/>
    </row>
    <row r="138" spans="26:26">
      <c r="Z138" s="69"/>
    </row>
    <row r="139" spans="26:26">
      <c r="Z139" s="69"/>
    </row>
    <row r="140" spans="26:26">
      <c r="Z140" s="69"/>
    </row>
    <row r="141" spans="26:26">
      <c r="Z141" s="69"/>
    </row>
    <row r="142" spans="26:26">
      <c r="Z142" s="69"/>
    </row>
    <row r="143" spans="26:26">
      <c r="Z143" s="69"/>
    </row>
    <row r="144" spans="26:26">
      <c r="Z144" s="69"/>
    </row>
    <row r="145" spans="26:26">
      <c r="Z145" s="69"/>
    </row>
    <row r="146" spans="26:26">
      <c r="Z146" s="69"/>
    </row>
    <row r="147" spans="26:26">
      <c r="Z147" s="69"/>
    </row>
    <row r="148" spans="26:26">
      <c r="Z148" s="69"/>
    </row>
    <row r="149" spans="26:26">
      <c r="Z149" s="69"/>
    </row>
    <row r="150" spans="26:26">
      <c r="Z150" s="69"/>
    </row>
    <row r="151" spans="26:26">
      <c r="Z151" s="69"/>
    </row>
    <row r="152" spans="26:26">
      <c r="Z152" s="69"/>
    </row>
    <row r="153" spans="26:26">
      <c r="Z153" s="69"/>
    </row>
    <row r="154" spans="26:26">
      <c r="Z154" s="69"/>
    </row>
    <row r="155" spans="26:26">
      <c r="Z155" s="69"/>
    </row>
    <row r="156" spans="26:26">
      <c r="Z156" s="69"/>
    </row>
    <row r="157" spans="26:26">
      <c r="Z157" s="69"/>
    </row>
    <row r="158" spans="26:26">
      <c r="Z158" s="69"/>
    </row>
    <row r="159" spans="26:26">
      <c r="Z159" s="69"/>
    </row>
    <row r="160" spans="26:26">
      <c r="Z160" s="69"/>
    </row>
    <row r="161" spans="26:26">
      <c r="Z161" s="69"/>
    </row>
    <row r="162" spans="26:26">
      <c r="Z162" s="69"/>
    </row>
    <row r="163" spans="26:26">
      <c r="Z163" s="69"/>
    </row>
    <row r="164" spans="26:26">
      <c r="Z164" s="69"/>
    </row>
    <row r="165" spans="26:26">
      <c r="Z165" s="69"/>
    </row>
    <row r="166" spans="26:26">
      <c r="Z166" s="69"/>
    </row>
    <row r="167" spans="26:26">
      <c r="Z167" s="69"/>
    </row>
    <row r="168" spans="26:26">
      <c r="Z168" s="69"/>
    </row>
    <row r="169" spans="26:26">
      <c r="Z169" s="69"/>
    </row>
    <row r="170" spans="26:26">
      <c r="Z170" s="69"/>
    </row>
    <row r="171" spans="26:26">
      <c r="Z171" s="69"/>
    </row>
    <row r="172" spans="26:26">
      <c r="Z172" s="69"/>
    </row>
    <row r="173" spans="26:26">
      <c r="Z173" s="69"/>
    </row>
    <row r="174" spans="26:26">
      <c r="Z174" s="69"/>
    </row>
    <row r="175" spans="26:26">
      <c r="Z175" s="69"/>
    </row>
    <row r="176" spans="26:26">
      <c r="Z176" s="69"/>
    </row>
    <row r="177" spans="26:26">
      <c r="Z177" s="69"/>
    </row>
    <row r="178" spans="26:26">
      <c r="Z178" s="69"/>
    </row>
    <row r="179" spans="26:26">
      <c r="Z179" s="69"/>
    </row>
    <row r="180" spans="26:26">
      <c r="Z180" s="69"/>
    </row>
    <row r="181" spans="26:26">
      <c r="Z181" s="69"/>
    </row>
    <row r="182" spans="26:26">
      <c r="Z182" s="69"/>
    </row>
    <row r="183" spans="26:26">
      <c r="Z183" s="69"/>
    </row>
    <row r="184" spans="26:26">
      <c r="Z184" s="69"/>
    </row>
    <row r="185" spans="26:26">
      <c r="Z185" s="69"/>
    </row>
    <row r="186" spans="26:26">
      <c r="Z186" s="69"/>
    </row>
    <row r="187" spans="26:26">
      <c r="Z187" s="69"/>
    </row>
    <row r="188" spans="26:26">
      <c r="Z188" s="69"/>
    </row>
    <row r="189" spans="26:26">
      <c r="Z189" s="69"/>
    </row>
    <row r="190" spans="26:26">
      <c r="Z190" s="69"/>
    </row>
    <row r="191" spans="26:26">
      <c r="Z191" s="69"/>
    </row>
    <row r="192" spans="26:26">
      <c r="Z192" s="69"/>
    </row>
    <row r="193" spans="26:26">
      <c r="Z193" s="69"/>
    </row>
    <row r="194" spans="26:26">
      <c r="Z194" s="69"/>
    </row>
    <row r="195" spans="26:26">
      <c r="Z195" s="69"/>
    </row>
    <row r="196" spans="26:26">
      <c r="Z196" s="69"/>
    </row>
    <row r="197" spans="26:26">
      <c r="Z197" s="69"/>
    </row>
    <row r="198" spans="26:26">
      <c r="Z198" s="69"/>
    </row>
    <row r="199" spans="26:26">
      <c r="Z199" s="69"/>
    </row>
    <row r="200" spans="26:26">
      <c r="Z200" s="69"/>
    </row>
    <row r="201" spans="26:26">
      <c r="Z201" s="69"/>
    </row>
    <row r="202" spans="26:26">
      <c r="Z202" s="69"/>
    </row>
    <row r="203" spans="26:26">
      <c r="Z203" s="69"/>
    </row>
    <row r="204" spans="26:26">
      <c r="Z204" s="69"/>
    </row>
    <row r="205" spans="26:26">
      <c r="Z205" s="69"/>
    </row>
    <row r="206" spans="26:26">
      <c r="Z206" s="69"/>
    </row>
    <row r="207" spans="26:26">
      <c r="Z207" s="69"/>
    </row>
    <row r="208" spans="26:26">
      <c r="Z208" s="69"/>
    </row>
    <row r="209" spans="26:26">
      <c r="Z209" s="69"/>
    </row>
    <row r="210" spans="26:26">
      <c r="Z210" s="69"/>
    </row>
    <row r="211" spans="26:26">
      <c r="Z211" s="69"/>
    </row>
    <row r="212" spans="26:26">
      <c r="Z212" s="69"/>
    </row>
    <row r="213" spans="26:26">
      <c r="Z213" s="69"/>
    </row>
    <row r="214" spans="26:26">
      <c r="Z214" s="69"/>
    </row>
    <row r="215" spans="26:26">
      <c r="Z215" s="69"/>
    </row>
    <row r="216" spans="26:26">
      <c r="Z216" s="69"/>
    </row>
    <row r="217" spans="26:26">
      <c r="Z217" s="69"/>
    </row>
    <row r="218" spans="26:26">
      <c r="Z218" s="69"/>
    </row>
    <row r="219" spans="26:26">
      <c r="Z219" s="69"/>
    </row>
    <row r="220" spans="26:26">
      <c r="Z220" s="69"/>
    </row>
    <row r="221" spans="26:26">
      <c r="Z221" s="69"/>
    </row>
    <row r="222" spans="26:26">
      <c r="Z222" s="69"/>
    </row>
    <row r="223" spans="26:26">
      <c r="Z223" s="69"/>
    </row>
    <row r="224" spans="26:26">
      <c r="Z224" s="69"/>
    </row>
    <row r="225" spans="26:26">
      <c r="Z225" s="69"/>
    </row>
    <row r="226" spans="26:26">
      <c r="Z226" s="69"/>
    </row>
    <row r="227" spans="26:26">
      <c r="Z227" s="69"/>
    </row>
    <row r="228" spans="26:26">
      <c r="Z228" s="69"/>
    </row>
    <row r="229" spans="26:26">
      <c r="Z229" s="69"/>
    </row>
    <row r="230" spans="26:26">
      <c r="Z230" s="69"/>
    </row>
    <row r="231" spans="26:26">
      <c r="Z231" s="69"/>
    </row>
    <row r="232" spans="26:26">
      <c r="Z232" s="69"/>
    </row>
    <row r="233" spans="26:26">
      <c r="Z233" s="69"/>
    </row>
    <row r="234" spans="26:26">
      <c r="Z234" s="69"/>
    </row>
    <row r="235" spans="26:26">
      <c r="Z235" s="69"/>
    </row>
    <row r="236" spans="26:26">
      <c r="Z236" s="69"/>
    </row>
    <row r="237" spans="26:26">
      <c r="Z237" s="69"/>
    </row>
    <row r="238" spans="26:26">
      <c r="Z238" s="69"/>
    </row>
    <row r="239" spans="26:26">
      <c r="Z239" s="69"/>
    </row>
    <row r="240" spans="26:26">
      <c r="Z240" s="69"/>
    </row>
    <row r="241" spans="26:26">
      <c r="Z241" s="69"/>
    </row>
    <row r="242" spans="26:26">
      <c r="Z242" s="69"/>
    </row>
    <row r="243" spans="26:26">
      <c r="Z243" s="69"/>
    </row>
    <row r="244" spans="26:26">
      <c r="Z244" s="69"/>
    </row>
    <row r="245" spans="26:26">
      <c r="Z245" s="69"/>
    </row>
    <row r="246" spans="26:26">
      <c r="Z246" s="69"/>
    </row>
    <row r="247" spans="26:26">
      <c r="Z247" s="69"/>
    </row>
    <row r="248" spans="26:26">
      <c r="Z248" s="69"/>
    </row>
    <row r="249" spans="26:26">
      <c r="Z249" s="69"/>
    </row>
    <row r="250" spans="26:26">
      <c r="Z250" s="69"/>
    </row>
    <row r="251" spans="26:26">
      <c r="Z251" s="69"/>
    </row>
    <row r="252" spans="26:26">
      <c r="Z252" s="69"/>
    </row>
    <row r="253" spans="26:26">
      <c r="Z253" s="69"/>
    </row>
    <row r="254" spans="26:26">
      <c r="Z254" s="69"/>
    </row>
    <row r="255" spans="26:26">
      <c r="Z255" s="69"/>
    </row>
    <row r="256" spans="26:26">
      <c r="Z256" s="69"/>
    </row>
    <row r="257" spans="26:26">
      <c r="Z257" s="69"/>
    </row>
    <row r="258" spans="26:26">
      <c r="Z258" s="69"/>
    </row>
    <row r="259" spans="26:26">
      <c r="Z259" s="69"/>
    </row>
    <row r="260" spans="26:26">
      <c r="Z260" s="69"/>
    </row>
    <row r="261" spans="26:26">
      <c r="Z261" s="69"/>
    </row>
    <row r="262" spans="26:26">
      <c r="Z262" s="69"/>
    </row>
    <row r="263" spans="26:26">
      <c r="Z263" s="69"/>
    </row>
    <row r="264" spans="26:26">
      <c r="Z264" s="69"/>
    </row>
    <row r="265" spans="26:26">
      <c r="Z265" s="69"/>
    </row>
    <row r="266" spans="26:26">
      <c r="Z266" s="69"/>
    </row>
    <row r="267" spans="26:26">
      <c r="Z267" s="69"/>
    </row>
    <row r="268" spans="26:26">
      <c r="Z268" s="69"/>
    </row>
    <row r="269" spans="26:26">
      <c r="Z269" s="69"/>
    </row>
    <row r="270" spans="26:26">
      <c r="Z270" s="69"/>
    </row>
    <row r="271" spans="26:26">
      <c r="Z271" s="69"/>
    </row>
    <row r="272" spans="26:26">
      <c r="Z272" s="69"/>
    </row>
    <row r="273" spans="26:26">
      <c r="Z273" s="69"/>
    </row>
    <row r="274" spans="26:26">
      <c r="Z274" s="69"/>
    </row>
    <row r="275" spans="26:26">
      <c r="Z275" s="69"/>
    </row>
    <row r="276" spans="26:26">
      <c r="Z276" s="69"/>
    </row>
    <row r="277" spans="26:26">
      <c r="Z277" s="69"/>
    </row>
    <row r="278" spans="26:26">
      <c r="Z278" s="69"/>
    </row>
    <row r="279" spans="26:26">
      <c r="Z279" s="69"/>
    </row>
    <row r="280" spans="26:26">
      <c r="Z280" s="69"/>
    </row>
    <row r="281" spans="26:26">
      <c r="Z281" s="69"/>
    </row>
    <row r="282" spans="26:26">
      <c r="Z282" s="69"/>
    </row>
    <row r="283" spans="26:26">
      <c r="Z283" s="69"/>
    </row>
    <row r="284" spans="26:26">
      <c r="Z284" s="69"/>
    </row>
    <row r="285" spans="26:26">
      <c r="Z285" s="69"/>
    </row>
    <row r="286" spans="26:26">
      <c r="Z286" s="69"/>
    </row>
    <row r="287" spans="26:26">
      <c r="Z287" s="69"/>
    </row>
    <row r="288" spans="26:26">
      <c r="Z288" s="69"/>
    </row>
    <row r="289" spans="26:26">
      <c r="Z289" s="69"/>
    </row>
    <row r="290" spans="26:26">
      <c r="Z290" s="69"/>
    </row>
    <row r="291" spans="26:26">
      <c r="Z291" s="69"/>
    </row>
    <row r="292" spans="26:26">
      <c r="Z292" s="69"/>
    </row>
    <row r="293" spans="26:26">
      <c r="Z293" s="69"/>
    </row>
    <row r="294" spans="26:26">
      <c r="Z294" s="69"/>
    </row>
    <row r="295" spans="26:26">
      <c r="Z295" s="69"/>
    </row>
    <row r="296" spans="26:26">
      <c r="Z296" s="69"/>
    </row>
    <row r="297" spans="26:26">
      <c r="Z297" s="69"/>
    </row>
    <row r="298" spans="26:26">
      <c r="Z298" s="69"/>
    </row>
    <row r="299" spans="26:26">
      <c r="Z299" s="69"/>
    </row>
    <row r="300" spans="26:26">
      <c r="Z300" s="69"/>
    </row>
    <row r="301" spans="26:26">
      <c r="Z301" s="69"/>
    </row>
    <row r="302" spans="26:26">
      <c r="Z302" s="69"/>
    </row>
    <row r="303" spans="26:26">
      <c r="Z303" s="69"/>
    </row>
    <row r="304" spans="26:26">
      <c r="Z304" s="69"/>
    </row>
    <row r="305" spans="26:26">
      <c r="Z305" s="69"/>
    </row>
    <row r="306" spans="26:26">
      <c r="Z306" s="69"/>
    </row>
    <row r="307" spans="26:26">
      <c r="Z307" s="69"/>
    </row>
    <row r="308" spans="26:26">
      <c r="Z308" s="69"/>
    </row>
    <row r="309" spans="26:26">
      <c r="Z309" s="69"/>
    </row>
    <row r="310" spans="26:26">
      <c r="Z310" s="69"/>
    </row>
    <row r="311" spans="26:26">
      <c r="Z311" s="69"/>
    </row>
    <row r="312" spans="26:26">
      <c r="Z312" s="69"/>
    </row>
    <row r="313" spans="26:26">
      <c r="Z313" s="69"/>
    </row>
    <row r="314" spans="26:26">
      <c r="Z314" s="69"/>
    </row>
    <row r="315" spans="26:26">
      <c r="Z315" s="69"/>
    </row>
    <row r="316" spans="26:26">
      <c r="Z316" s="69"/>
    </row>
    <row r="317" spans="26:26">
      <c r="Z317" s="69"/>
    </row>
    <row r="318" spans="26:26">
      <c r="Z318" s="69"/>
    </row>
    <row r="319" spans="26:26">
      <c r="Z319" s="69"/>
    </row>
    <row r="320" spans="26:26">
      <c r="Z320" s="69"/>
    </row>
    <row r="321" spans="26:26">
      <c r="Z321" s="69"/>
    </row>
    <row r="322" spans="26:26">
      <c r="Z322" s="69"/>
    </row>
    <row r="323" spans="26:26">
      <c r="Z323" s="69"/>
    </row>
    <row r="324" spans="26:26">
      <c r="Z324" s="69"/>
    </row>
    <row r="325" spans="26:26">
      <c r="Z325" s="69"/>
    </row>
    <row r="326" spans="26:26">
      <c r="Z326" s="69"/>
    </row>
    <row r="327" spans="26:26">
      <c r="Z327" s="69"/>
    </row>
    <row r="328" spans="26:26">
      <c r="Z328" s="69"/>
    </row>
    <row r="329" spans="26:26">
      <c r="Z329" s="69"/>
    </row>
    <row r="330" spans="26:26">
      <c r="Z330" s="69"/>
    </row>
    <row r="331" spans="26:26">
      <c r="Z331" s="69"/>
    </row>
    <row r="332" spans="26:26">
      <c r="Z332" s="69"/>
    </row>
    <row r="333" spans="26:26">
      <c r="Z333" s="69"/>
    </row>
    <row r="334" spans="26:26">
      <c r="Z334" s="69"/>
    </row>
    <row r="335" spans="26:26">
      <c r="Z335" s="69"/>
    </row>
    <row r="336" spans="26:26">
      <c r="Z336" s="69"/>
    </row>
    <row r="337" spans="26:26">
      <c r="Z337" s="69"/>
    </row>
    <row r="338" spans="26:26">
      <c r="Z338" s="69"/>
    </row>
    <row r="339" spans="26:26">
      <c r="Z339" s="69"/>
    </row>
    <row r="340" spans="26:26">
      <c r="Z340" s="69"/>
    </row>
    <row r="341" spans="26:26">
      <c r="Z341" s="69"/>
    </row>
    <row r="342" spans="26:26">
      <c r="Z342" s="69"/>
    </row>
    <row r="343" spans="26:26">
      <c r="Z343" s="69"/>
    </row>
    <row r="344" spans="26:26">
      <c r="Z344" s="69"/>
    </row>
    <row r="345" spans="26:26">
      <c r="Z345" s="69"/>
    </row>
    <row r="346" spans="26:26">
      <c r="Z346" s="69"/>
    </row>
    <row r="347" spans="26:26">
      <c r="Z347" s="69"/>
    </row>
    <row r="348" spans="26:26">
      <c r="Z348" s="69"/>
    </row>
    <row r="349" spans="26:26">
      <c r="Z349" s="69"/>
    </row>
    <row r="350" spans="26:26">
      <c r="Z350" s="69"/>
    </row>
    <row r="351" spans="26:26">
      <c r="Z351" s="69"/>
    </row>
    <row r="352" spans="26:26">
      <c r="Z352" s="69"/>
    </row>
    <row r="353" spans="26:26">
      <c r="Z353" s="69"/>
    </row>
    <row r="354" spans="26:26">
      <c r="Z354" s="69"/>
    </row>
    <row r="355" spans="26:26">
      <c r="Z355" s="69"/>
    </row>
    <row r="356" spans="26:26">
      <c r="Z356" s="69"/>
    </row>
    <row r="357" spans="26:26">
      <c r="Z357" s="69"/>
    </row>
    <row r="358" spans="26:26">
      <c r="Z358" s="69"/>
    </row>
    <row r="359" spans="26:26">
      <c r="Z359" s="69"/>
    </row>
    <row r="360" spans="26:26">
      <c r="Z360" s="69"/>
    </row>
    <row r="361" spans="26:26">
      <c r="Z361" s="69"/>
    </row>
    <row r="362" spans="26:26">
      <c r="Z362" s="69"/>
    </row>
    <row r="363" spans="26:26">
      <c r="Z363" s="69"/>
    </row>
    <row r="364" spans="26:26">
      <c r="Z364" s="69"/>
    </row>
    <row r="365" spans="26:26">
      <c r="Z365" s="69"/>
    </row>
    <row r="366" spans="26:26">
      <c r="Z366" s="69"/>
    </row>
    <row r="367" spans="26:26">
      <c r="Z367" s="69"/>
    </row>
    <row r="368" spans="26:26">
      <c r="Z368" s="69"/>
    </row>
    <row r="369" spans="26:26">
      <c r="Z369" s="69"/>
    </row>
    <row r="370" spans="26:26">
      <c r="Z370" s="69"/>
    </row>
    <row r="371" spans="26:26">
      <c r="Z371" s="69"/>
    </row>
    <row r="372" spans="26:26">
      <c r="Z372" s="69"/>
    </row>
    <row r="373" spans="26:26">
      <c r="Z373" s="69"/>
    </row>
    <row r="374" spans="26:26">
      <c r="Z374" s="69"/>
    </row>
    <row r="375" spans="26:26">
      <c r="Z375" s="69"/>
    </row>
    <row r="376" spans="26:26">
      <c r="Z376" s="69"/>
    </row>
    <row r="377" spans="26:26">
      <c r="Z377" s="69"/>
    </row>
    <row r="378" spans="26:26">
      <c r="Z378" s="69"/>
    </row>
    <row r="379" spans="26:26">
      <c r="Z379" s="69"/>
    </row>
    <row r="380" spans="26:26">
      <c r="Z380" s="69"/>
    </row>
    <row r="381" spans="26:26">
      <c r="Z381" s="69"/>
    </row>
    <row r="382" spans="26:26">
      <c r="Z382" s="69"/>
    </row>
    <row r="383" spans="26:26">
      <c r="Z383" s="69"/>
    </row>
    <row r="384" spans="26:26">
      <c r="Z384" s="69"/>
    </row>
    <row r="385" spans="26:26">
      <c r="Z385" s="69"/>
    </row>
    <row r="386" spans="26:26">
      <c r="Z386" s="69"/>
    </row>
    <row r="387" spans="26:26">
      <c r="Z387" s="69"/>
    </row>
    <row r="388" spans="26:26">
      <c r="Z388" s="69"/>
    </row>
    <row r="389" spans="26:26">
      <c r="Z389" s="69"/>
    </row>
    <row r="390" spans="26:26">
      <c r="Z390" s="69"/>
    </row>
    <row r="391" spans="26:26">
      <c r="Z391" s="69"/>
    </row>
    <row r="392" spans="26:26">
      <c r="Z392" s="69"/>
    </row>
    <row r="393" spans="26:26">
      <c r="Z393" s="69"/>
    </row>
    <row r="394" spans="26:26">
      <c r="Z394" s="69"/>
    </row>
    <row r="395" spans="26:26">
      <c r="Z395" s="69"/>
    </row>
    <row r="396" spans="26:26">
      <c r="Z396" s="69"/>
    </row>
    <row r="397" spans="26:26">
      <c r="Z397" s="69"/>
    </row>
    <row r="398" spans="26:26">
      <c r="Z398" s="69"/>
    </row>
    <row r="399" spans="26:26">
      <c r="Z399" s="69"/>
    </row>
    <row r="400" spans="26:26">
      <c r="Z400" s="69"/>
    </row>
    <row r="401" spans="26:26">
      <c r="Z401" s="69"/>
    </row>
    <row r="402" spans="26:26">
      <c r="Z402" s="69"/>
    </row>
    <row r="403" spans="26:26">
      <c r="Z403" s="69"/>
    </row>
    <row r="404" spans="26:26">
      <c r="Z404" s="69"/>
    </row>
    <row r="405" spans="26:26">
      <c r="Z405" s="69"/>
    </row>
    <row r="406" spans="26:26">
      <c r="Z406" s="69"/>
    </row>
    <row r="407" spans="26:26">
      <c r="Z407" s="69"/>
    </row>
    <row r="408" spans="26:26">
      <c r="Z408" s="69"/>
    </row>
    <row r="409" spans="26:26">
      <c r="Z409" s="69"/>
    </row>
    <row r="410" spans="26:26">
      <c r="Z410" s="69"/>
    </row>
    <row r="411" spans="26:26">
      <c r="Z411" s="69"/>
    </row>
    <row r="412" spans="26:26">
      <c r="Z412" s="69"/>
    </row>
    <row r="413" spans="26:26">
      <c r="Z413" s="69"/>
    </row>
    <row r="414" spans="26:26">
      <c r="Z414" s="69"/>
    </row>
    <row r="415" spans="26:26">
      <c r="Z415" s="69"/>
    </row>
    <row r="416" spans="26:26">
      <c r="Z416" s="69"/>
    </row>
    <row r="417" spans="26:26">
      <c r="Z417" s="69"/>
    </row>
    <row r="418" spans="26:26">
      <c r="Z418" s="69"/>
    </row>
    <row r="419" spans="26:26">
      <c r="Z419" s="69"/>
    </row>
    <row r="420" spans="26:26">
      <c r="Z420" s="69"/>
    </row>
    <row r="421" spans="26:26">
      <c r="Z421" s="69"/>
    </row>
    <row r="422" spans="26:26">
      <c r="Z422" s="69"/>
    </row>
    <row r="423" spans="26:26">
      <c r="Z423" s="69"/>
    </row>
    <row r="424" spans="26:26">
      <c r="Z424" s="69"/>
    </row>
    <row r="425" spans="26:26">
      <c r="Z425" s="69"/>
    </row>
    <row r="426" spans="26:26">
      <c r="Z426" s="69"/>
    </row>
    <row r="427" spans="26:26">
      <c r="Z427" s="69"/>
    </row>
    <row r="428" spans="26:26">
      <c r="Z428" s="69"/>
    </row>
    <row r="429" spans="26:26">
      <c r="Z429" s="69"/>
    </row>
    <row r="430" spans="26:26">
      <c r="Z430" s="69"/>
    </row>
    <row r="431" spans="26:26">
      <c r="Z431" s="69"/>
    </row>
    <row r="432" spans="26:26">
      <c r="Z432" s="69"/>
    </row>
    <row r="433" spans="26:26">
      <c r="Z433" s="69"/>
    </row>
    <row r="434" spans="26:26">
      <c r="Z434" s="69"/>
    </row>
    <row r="435" spans="26:26">
      <c r="Z435" s="69"/>
    </row>
    <row r="436" spans="26:26">
      <c r="Z436" s="69"/>
    </row>
    <row r="437" spans="26:26">
      <c r="Z437" s="69"/>
    </row>
    <row r="438" spans="26:26">
      <c r="Z438" s="69"/>
    </row>
    <row r="439" spans="26:26">
      <c r="Z439" s="69"/>
    </row>
  </sheetData>
  <mergeCells count="46">
    <mergeCell ref="H29:H40"/>
    <mergeCell ref="I29:I40"/>
    <mergeCell ref="J29:J40"/>
    <mergeCell ref="C29:C40"/>
    <mergeCell ref="D29:D40"/>
    <mergeCell ref="E29:E40"/>
    <mergeCell ref="F29:F40"/>
    <mergeCell ref="G29:G40"/>
    <mergeCell ref="H5:H16"/>
    <mergeCell ref="I5:I16"/>
    <mergeCell ref="C5:C16"/>
    <mergeCell ref="D5:D16"/>
    <mergeCell ref="E5:E16"/>
    <mergeCell ref="F5:F16"/>
    <mergeCell ref="G5:G16"/>
    <mergeCell ref="C2:J4"/>
    <mergeCell ref="C41:C52"/>
    <mergeCell ref="D41:D52"/>
    <mergeCell ref="E41:E52"/>
    <mergeCell ref="F41:F52"/>
    <mergeCell ref="G41:G52"/>
    <mergeCell ref="H41:H52"/>
    <mergeCell ref="I41:I52"/>
    <mergeCell ref="H17:H28"/>
    <mergeCell ref="I17:I28"/>
    <mergeCell ref="C17:C28"/>
    <mergeCell ref="D17:D28"/>
    <mergeCell ref="E17:E28"/>
    <mergeCell ref="F17:F28"/>
    <mergeCell ref="G17:G28"/>
    <mergeCell ref="J17:J28"/>
    <mergeCell ref="U58:W58"/>
    <mergeCell ref="C53:J55"/>
    <mergeCell ref="L56:N56"/>
    <mergeCell ref="O56:Q56"/>
    <mergeCell ref="R56:T56"/>
    <mergeCell ref="U56:W56"/>
    <mergeCell ref="L57:N57"/>
    <mergeCell ref="O57:Q57"/>
    <mergeCell ref="R57:T57"/>
    <mergeCell ref="U57:W57"/>
    <mergeCell ref="J5:J16"/>
    <mergeCell ref="J41:J52"/>
    <mergeCell ref="L58:N58"/>
    <mergeCell ref="O58:Q58"/>
    <mergeCell ref="R58:T58"/>
  </mergeCells>
  <phoneticPr fontId="10"/>
  <printOptions horizontalCentered="1"/>
  <pageMargins left="0.70866141732283472" right="0.70866141732283472" top="0.70866141732283472" bottom="0.70866141732283472" header="0.31496062992125984" footer="0.31496062992125984"/>
  <pageSetup paperSize="9" scale="52" fitToHeight="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pageSetUpPr fitToPage="1"/>
  </sheetPr>
  <dimension ref="A1:Z415"/>
  <sheetViews>
    <sheetView showGridLines="0" zoomScale="80" zoomScaleNormal="80" zoomScaleSheetLayoutView="70" workbookViewId="0">
      <pane xSplit="11" ySplit="1" topLeftCell="L2" activePane="bottomRight" state="frozen"/>
      <selection activeCell="I53" sqref="I53:I64"/>
      <selection pane="topRight" activeCell="I53" sqref="I53:I64"/>
      <selection pane="bottomLeft" activeCell="I53" sqref="I53:I64"/>
      <selection pane="bottomRight" activeCell="L6" sqref="L6:L135"/>
    </sheetView>
  </sheetViews>
  <sheetFormatPr defaultRowHeight="12"/>
  <cols>
    <col min="1" max="1" width="9.6328125" style="115" customWidth="1"/>
    <col min="2" max="2" width="11.90625" style="73" customWidth="1"/>
    <col min="3" max="3" width="6.36328125" style="9" customWidth="1"/>
    <col min="4" max="4" width="10.36328125" style="9" customWidth="1"/>
    <col min="5" max="5" width="5.08984375" style="9" customWidth="1"/>
    <col min="6" max="6" width="9.90625" style="127" customWidth="1"/>
    <col min="7" max="9" width="9.90625" style="9" customWidth="1"/>
    <col min="10" max="10" width="8.453125" style="9" customWidth="1"/>
    <col min="11" max="11" width="10.453125" style="9" customWidth="1"/>
    <col min="12" max="23" width="13.08984375" style="9" customWidth="1"/>
    <col min="24" max="24" width="16.453125" style="9" customWidth="1"/>
    <col min="25" max="25" width="9.6328125" style="2" bestFit="1" customWidth="1"/>
    <col min="26" max="26" width="11" style="2" bestFit="1" customWidth="1"/>
    <col min="27" max="259" width="9" style="2"/>
    <col min="260" max="260" width="9.6328125" style="2" customWidth="1"/>
    <col min="261" max="262" width="5.08984375" style="2" customWidth="1"/>
    <col min="263" max="263" width="9.6328125" style="2" customWidth="1"/>
    <col min="264" max="265" width="11.6328125" style="2" customWidth="1"/>
    <col min="266" max="266" width="15.36328125" style="2" customWidth="1"/>
    <col min="267" max="267" width="10.90625" style="2" customWidth="1"/>
    <col min="268" max="278" width="13.36328125" style="2" customWidth="1"/>
    <col min="279" max="279" width="13.6328125" style="2" customWidth="1"/>
    <col min="280" max="280" width="16.453125" style="2" customWidth="1"/>
    <col min="281" max="515" width="9" style="2"/>
    <col min="516" max="516" width="9.6328125" style="2" customWidth="1"/>
    <col min="517" max="518" width="5.08984375" style="2" customWidth="1"/>
    <col min="519" max="519" width="9.6328125" style="2" customWidth="1"/>
    <col min="520" max="521" width="11.6328125" style="2" customWidth="1"/>
    <col min="522" max="522" width="15.36328125" style="2" customWidth="1"/>
    <col min="523" max="523" width="10.90625" style="2" customWidth="1"/>
    <col min="524" max="534" width="13.36328125" style="2" customWidth="1"/>
    <col min="535" max="535" width="13.6328125" style="2" customWidth="1"/>
    <col min="536" max="536" width="16.453125" style="2" customWidth="1"/>
    <col min="537" max="771" width="9" style="2"/>
    <col min="772" max="772" width="9.6328125" style="2" customWidth="1"/>
    <col min="773" max="774" width="5.08984375" style="2" customWidth="1"/>
    <col min="775" max="775" width="9.6328125" style="2" customWidth="1"/>
    <col min="776" max="777" width="11.6328125" style="2" customWidth="1"/>
    <col min="778" max="778" width="15.36328125" style="2" customWidth="1"/>
    <col min="779" max="779" width="10.90625" style="2" customWidth="1"/>
    <col min="780" max="790" width="13.36328125" style="2" customWidth="1"/>
    <col min="791" max="791" width="13.6328125" style="2" customWidth="1"/>
    <col min="792" max="792" width="16.453125" style="2" customWidth="1"/>
    <col min="793" max="1027" width="9" style="2"/>
    <col min="1028" max="1028" width="9.6328125" style="2" customWidth="1"/>
    <col min="1029" max="1030" width="5.08984375" style="2" customWidth="1"/>
    <col min="1031" max="1031" width="9.6328125" style="2" customWidth="1"/>
    <col min="1032" max="1033" width="11.6328125" style="2" customWidth="1"/>
    <col min="1034" max="1034" width="15.36328125" style="2" customWidth="1"/>
    <col min="1035" max="1035" width="10.90625" style="2" customWidth="1"/>
    <col min="1036" max="1046" width="13.36328125" style="2" customWidth="1"/>
    <col min="1047" max="1047" width="13.6328125" style="2" customWidth="1"/>
    <col min="1048" max="1048" width="16.453125" style="2" customWidth="1"/>
    <col min="1049" max="1283" width="9" style="2"/>
    <col min="1284" max="1284" width="9.6328125" style="2" customWidth="1"/>
    <col min="1285" max="1286" width="5.08984375" style="2" customWidth="1"/>
    <col min="1287" max="1287" width="9.6328125" style="2" customWidth="1"/>
    <col min="1288" max="1289" width="11.6328125" style="2" customWidth="1"/>
    <col min="1290" max="1290" width="15.36328125" style="2" customWidth="1"/>
    <col min="1291" max="1291" width="10.90625" style="2" customWidth="1"/>
    <col min="1292" max="1302" width="13.36328125" style="2" customWidth="1"/>
    <col min="1303" max="1303" width="13.6328125" style="2" customWidth="1"/>
    <col min="1304" max="1304" width="16.453125" style="2" customWidth="1"/>
    <col min="1305" max="1539" width="9" style="2"/>
    <col min="1540" max="1540" width="9.6328125" style="2" customWidth="1"/>
    <col min="1541" max="1542" width="5.08984375" style="2" customWidth="1"/>
    <col min="1543" max="1543" width="9.6328125" style="2" customWidth="1"/>
    <col min="1544" max="1545" width="11.6328125" style="2" customWidth="1"/>
    <col min="1546" max="1546" width="15.36328125" style="2" customWidth="1"/>
    <col min="1547" max="1547" width="10.90625" style="2" customWidth="1"/>
    <col min="1548" max="1558" width="13.36328125" style="2" customWidth="1"/>
    <col min="1559" max="1559" width="13.6328125" style="2" customWidth="1"/>
    <col min="1560" max="1560" width="16.453125" style="2" customWidth="1"/>
    <col min="1561" max="1795" width="9" style="2"/>
    <col min="1796" max="1796" width="9.6328125" style="2" customWidth="1"/>
    <col min="1797" max="1798" width="5.08984375" style="2" customWidth="1"/>
    <col min="1799" max="1799" width="9.6328125" style="2" customWidth="1"/>
    <col min="1800" max="1801" width="11.6328125" style="2" customWidth="1"/>
    <col min="1802" max="1802" width="15.36328125" style="2" customWidth="1"/>
    <col min="1803" max="1803" width="10.90625" style="2" customWidth="1"/>
    <col min="1804" max="1814" width="13.36328125" style="2" customWidth="1"/>
    <col min="1815" max="1815" width="13.6328125" style="2" customWidth="1"/>
    <col min="1816" max="1816" width="16.453125" style="2" customWidth="1"/>
    <col min="1817" max="2051" width="9" style="2"/>
    <col min="2052" max="2052" width="9.6328125" style="2" customWidth="1"/>
    <col min="2053" max="2054" width="5.08984375" style="2" customWidth="1"/>
    <col min="2055" max="2055" width="9.6328125" style="2" customWidth="1"/>
    <col min="2056" max="2057" width="11.6328125" style="2" customWidth="1"/>
    <col min="2058" max="2058" width="15.36328125" style="2" customWidth="1"/>
    <col min="2059" max="2059" width="10.90625" style="2" customWidth="1"/>
    <col min="2060" max="2070" width="13.36328125" style="2" customWidth="1"/>
    <col min="2071" max="2071" width="13.6328125" style="2" customWidth="1"/>
    <col min="2072" max="2072" width="16.453125" style="2" customWidth="1"/>
    <col min="2073" max="2307" width="9" style="2"/>
    <col min="2308" max="2308" width="9.6328125" style="2" customWidth="1"/>
    <col min="2309" max="2310" width="5.08984375" style="2" customWidth="1"/>
    <col min="2311" max="2311" width="9.6328125" style="2" customWidth="1"/>
    <col min="2312" max="2313" width="11.6328125" style="2" customWidth="1"/>
    <col min="2314" max="2314" width="15.36328125" style="2" customWidth="1"/>
    <col min="2315" max="2315" width="10.90625" style="2" customWidth="1"/>
    <col min="2316" max="2326" width="13.36328125" style="2" customWidth="1"/>
    <col min="2327" max="2327" width="13.6328125" style="2" customWidth="1"/>
    <col min="2328" max="2328" width="16.453125" style="2" customWidth="1"/>
    <col min="2329" max="2563" width="9" style="2"/>
    <col min="2564" max="2564" width="9.6328125" style="2" customWidth="1"/>
    <col min="2565" max="2566" width="5.08984375" style="2" customWidth="1"/>
    <col min="2567" max="2567" width="9.6328125" style="2" customWidth="1"/>
    <col min="2568" max="2569" width="11.6328125" style="2" customWidth="1"/>
    <col min="2570" max="2570" width="15.36328125" style="2" customWidth="1"/>
    <col min="2571" max="2571" width="10.90625" style="2" customWidth="1"/>
    <col min="2572" max="2582" width="13.36328125" style="2" customWidth="1"/>
    <col min="2583" max="2583" width="13.6328125" style="2" customWidth="1"/>
    <col min="2584" max="2584" width="16.453125" style="2" customWidth="1"/>
    <col min="2585" max="2819" width="9" style="2"/>
    <col min="2820" max="2820" width="9.6328125" style="2" customWidth="1"/>
    <col min="2821" max="2822" width="5.08984375" style="2" customWidth="1"/>
    <col min="2823" max="2823" width="9.6328125" style="2" customWidth="1"/>
    <col min="2824" max="2825" width="11.6328125" style="2" customWidth="1"/>
    <col min="2826" max="2826" width="15.36328125" style="2" customWidth="1"/>
    <col min="2827" max="2827" width="10.90625" style="2" customWidth="1"/>
    <col min="2828" max="2838" width="13.36328125" style="2" customWidth="1"/>
    <col min="2839" max="2839" width="13.6328125" style="2" customWidth="1"/>
    <col min="2840" max="2840" width="16.453125" style="2" customWidth="1"/>
    <col min="2841" max="3075" width="9" style="2"/>
    <col min="3076" max="3076" width="9.6328125" style="2" customWidth="1"/>
    <col min="3077" max="3078" width="5.08984375" style="2" customWidth="1"/>
    <col min="3079" max="3079" width="9.6328125" style="2" customWidth="1"/>
    <col min="3080" max="3081" width="11.6328125" style="2" customWidth="1"/>
    <col min="3082" max="3082" width="15.36328125" style="2" customWidth="1"/>
    <col min="3083" max="3083" width="10.90625" style="2" customWidth="1"/>
    <col min="3084" max="3094" width="13.36328125" style="2" customWidth="1"/>
    <col min="3095" max="3095" width="13.6328125" style="2" customWidth="1"/>
    <col min="3096" max="3096" width="16.453125" style="2" customWidth="1"/>
    <col min="3097" max="3331" width="9" style="2"/>
    <col min="3332" max="3332" width="9.6328125" style="2" customWidth="1"/>
    <col min="3333" max="3334" width="5.08984375" style="2" customWidth="1"/>
    <col min="3335" max="3335" width="9.6328125" style="2" customWidth="1"/>
    <col min="3336" max="3337" width="11.6328125" style="2" customWidth="1"/>
    <col min="3338" max="3338" width="15.36328125" style="2" customWidth="1"/>
    <col min="3339" max="3339" width="10.90625" style="2" customWidth="1"/>
    <col min="3340" max="3350" width="13.36328125" style="2" customWidth="1"/>
    <col min="3351" max="3351" width="13.6328125" style="2" customWidth="1"/>
    <col min="3352" max="3352" width="16.453125" style="2" customWidth="1"/>
    <col min="3353" max="3587" width="9" style="2"/>
    <col min="3588" max="3588" width="9.6328125" style="2" customWidth="1"/>
    <col min="3589" max="3590" width="5.08984375" style="2" customWidth="1"/>
    <col min="3591" max="3591" width="9.6328125" style="2" customWidth="1"/>
    <col min="3592" max="3593" width="11.6328125" style="2" customWidth="1"/>
    <col min="3594" max="3594" width="15.36328125" style="2" customWidth="1"/>
    <col min="3595" max="3595" width="10.90625" style="2" customWidth="1"/>
    <col min="3596" max="3606" width="13.36328125" style="2" customWidth="1"/>
    <col min="3607" max="3607" width="13.6328125" style="2" customWidth="1"/>
    <col min="3608" max="3608" width="16.453125" style="2" customWidth="1"/>
    <col min="3609" max="3843" width="9" style="2"/>
    <col min="3844" max="3844" width="9.6328125" style="2" customWidth="1"/>
    <col min="3845" max="3846" width="5.08984375" style="2" customWidth="1"/>
    <col min="3847" max="3847" width="9.6328125" style="2" customWidth="1"/>
    <col min="3848" max="3849" width="11.6328125" style="2" customWidth="1"/>
    <col min="3850" max="3850" width="15.36328125" style="2" customWidth="1"/>
    <col min="3851" max="3851" width="10.90625" style="2" customWidth="1"/>
    <col min="3852" max="3862" width="13.36328125" style="2" customWidth="1"/>
    <col min="3863" max="3863" width="13.6328125" style="2" customWidth="1"/>
    <col min="3864" max="3864" width="16.453125" style="2" customWidth="1"/>
    <col min="3865" max="4099" width="9" style="2"/>
    <col min="4100" max="4100" width="9.6328125" style="2" customWidth="1"/>
    <col min="4101" max="4102" width="5.08984375" style="2" customWidth="1"/>
    <col min="4103" max="4103" width="9.6328125" style="2" customWidth="1"/>
    <col min="4104" max="4105" width="11.6328125" style="2" customWidth="1"/>
    <col min="4106" max="4106" width="15.36328125" style="2" customWidth="1"/>
    <col min="4107" max="4107" width="10.90625" style="2" customWidth="1"/>
    <col min="4108" max="4118" width="13.36328125" style="2" customWidth="1"/>
    <col min="4119" max="4119" width="13.6328125" style="2" customWidth="1"/>
    <col min="4120" max="4120" width="16.453125" style="2" customWidth="1"/>
    <col min="4121" max="4355" width="9" style="2"/>
    <col min="4356" max="4356" width="9.6328125" style="2" customWidth="1"/>
    <col min="4357" max="4358" width="5.08984375" style="2" customWidth="1"/>
    <col min="4359" max="4359" width="9.6328125" style="2" customWidth="1"/>
    <col min="4360" max="4361" width="11.6328125" style="2" customWidth="1"/>
    <col min="4362" max="4362" width="15.36328125" style="2" customWidth="1"/>
    <col min="4363" max="4363" width="10.90625" style="2" customWidth="1"/>
    <col min="4364" max="4374" width="13.36328125" style="2" customWidth="1"/>
    <col min="4375" max="4375" width="13.6328125" style="2" customWidth="1"/>
    <col min="4376" max="4376" width="16.453125" style="2" customWidth="1"/>
    <col min="4377" max="4611" width="9" style="2"/>
    <col min="4612" max="4612" width="9.6328125" style="2" customWidth="1"/>
    <col min="4613" max="4614" width="5.08984375" style="2" customWidth="1"/>
    <col min="4615" max="4615" width="9.6328125" style="2" customWidth="1"/>
    <col min="4616" max="4617" width="11.6328125" style="2" customWidth="1"/>
    <col min="4618" max="4618" width="15.36328125" style="2" customWidth="1"/>
    <col min="4619" max="4619" width="10.90625" style="2" customWidth="1"/>
    <col min="4620" max="4630" width="13.36328125" style="2" customWidth="1"/>
    <col min="4631" max="4631" width="13.6328125" style="2" customWidth="1"/>
    <col min="4632" max="4632" width="16.453125" style="2" customWidth="1"/>
    <col min="4633" max="4867" width="9" style="2"/>
    <col min="4868" max="4868" width="9.6328125" style="2" customWidth="1"/>
    <col min="4869" max="4870" width="5.08984375" style="2" customWidth="1"/>
    <col min="4871" max="4871" width="9.6328125" style="2" customWidth="1"/>
    <col min="4872" max="4873" width="11.6328125" style="2" customWidth="1"/>
    <col min="4874" max="4874" width="15.36328125" style="2" customWidth="1"/>
    <col min="4875" max="4875" width="10.90625" style="2" customWidth="1"/>
    <col min="4876" max="4886" width="13.36328125" style="2" customWidth="1"/>
    <col min="4887" max="4887" width="13.6328125" style="2" customWidth="1"/>
    <col min="4888" max="4888" width="16.453125" style="2" customWidth="1"/>
    <col min="4889" max="5123" width="9" style="2"/>
    <col min="5124" max="5124" width="9.6328125" style="2" customWidth="1"/>
    <col min="5125" max="5126" width="5.08984375" style="2" customWidth="1"/>
    <col min="5127" max="5127" width="9.6328125" style="2" customWidth="1"/>
    <col min="5128" max="5129" width="11.6328125" style="2" customWidth="1"/>
    <col min="5130" max="5130" width="15.36328125" style="2" customWidth="1"/>
    <col min="5131" max="5131" width="10.90625" style="2" customWidth="1"/>
    <col min="5132" max="5142" width="13.36328125" style="2" customWidth="1"/>
    <col min="5143" max="5143" width="13.6328125" style="2" customWidth="1"/>
    <col min="5144" max="5144" width="16.453125" style="2" customWidth="1"/>
    <col min="5145" max="5379" width="9" style="2"/>
    <col min="5380" max="5380" width="9.6328125" style="2" customWidth="1"/>
    <col min="5381" max="5382" width="5.08984375" style="2" customWidth="1"/>
    <col min="5383" max="5383" width="9.6328125" style="2" customWidth="1"/>
    <col min="5384" max="5385" width="11.6328125" style="2" customWidth="1"/>
    <col min="5386" max="5386" width="15.36328125" style="2" customWidth="1"/>
    <col min="5387" max="5387" width="10.90625" style="2" customWidth="1"/>
    <col min="5388" max="5398" width="13.36328125" style="2" customWidth="1"/>
    <col min="5399" max="5399" width="13.6328125" style="2" customWidth="1"/>
    <col min="5400" max="5400" width="16.453125" style="2" customWidth="1"/>
    <col min="5401" max="5635" width="9" style="2"/>
    <col min="5636" max="5636" width="9.6328125" style="2" customWidth="1"/>
    <col min="5637" max="5638" width="5.08984375" style="2" customWidth="1"/>
    <col min="5639" max="5639" width="9.6328125" style="2" customWidth="1"/>
    <col min="5640" max="5641" width="11.6328125" style="2" customWidth="1"/>
    <col min="5642" max="5642" width="15.36328125" style="2" customWidth="1"/>
    <col min="5643" max="5643" width="10.90625" style="2" customWidth="1"/>
    <col min="5644" max="5654" width="13.36328125" style="2" customWidth="1"/>
    <col min="5655" max="5655" width="13.6328125" style="2" customWidth="1"/>
    <col min="5656" max="5656" width="16.453125" style="2" customWidth="1"/>
    <col min="5657" max="5891" width="9" style="2"/>
    <col min="5892" max="5892" width="9.6328125" style="2" customWidth="1"/>
    <col min="5893" max="5894" width="5.08984375" style="2" customWidth="1"/>
    <col min="5895" max="5895" width="9.6328125" style="2" customWidth="1"/>
    <col min="5896" max="5897" width="11.6328125" style="2" customWidth="1"/>
    <col min="5898" max="5898" width="15.36328125" style="2" customWidth="1"/>
    <col min="5899" max="5899" width="10.90625" style="2" customWidth="1"/>
    <col min="5900" max="5910" width="13.36328125" style="2" customWidth="1"/>
    <col min="5911" max="5911" width="13.6328125" style="2" customWidth="1"/>
    <col min="5912" max="5912" width="16.453125" style="2" customWidth="1"/>
    <col min="5913" max="6147" width="9" style="2"/>
    <col min="6148" max="6148" width="9.6328125" style="2" customWidth="1"/>
    <col min="6149" max="6150" width="5.08984375" style="2" customWidth="1"/>
    <col min="6151" max="6151" width="9.6328125" style="2" customWidth="1"/>
    <col min="6152" max="6153" width="11.6328125" style="2" customWidth="1"/>
    <col min="6154" max="6154" width="15.36328125" style="2" customWidth="1"/>
    <col min="6155" max="6155" width="10.90625" style="2" customWidth="1"/>
    <col min="6156" max="6166" width="13.36328125" style="2" customWidth="1"/>
    <col min="6167" max="6167" width="13.6328125" style="2" customWidth="1"/>
    <col min="6168" max="6168" width="16.453125" style="2" customWidth="1"/>
    <col min="6169" max="6403" width="9" style="2"/>
    <col min="6404" max="6404" width="9.6328125" style="2" customWidth="1"/>
    <col min="6405" max="6406" width="5.08984375" style="2" customWidth="1"/>
    <col min="6407" max="6407" width="9.6328125" style="2" customWidth="1"/>
    <col min="6408" max="6409" width="11.6328125" style="2" customWidth="1"/>
    <col min="6410" max="6410" width="15.36328125" style="2" customWidth="1"/>
    <col min="6411" max="6411" width="10.90625" style="2" customWidth="1"/>
    <col min="6412" max="6422" width="13.36328125" style="2" customWidth="1"/>
    <col min="6423" max="6423" width="13.6328125" style="2" customWidth="1"/>
    <col min="6424" max="6424" width="16.453125" style="2" customWidth="1"/>
    <col min="6425" max="6659" width="9" style="2"/>
    <col min="6660" max="6660" width="9.6328125" style="2" customWidth="1"/>
    <col min="6661" max="6662" width="5.08984375" style="2" customWidth="1"/>
    <col min="6663" max="6663" width="9.6328125" style="2" customWidth="1"/>
    <col min="6664" max="6665" width="11.6328125" style="2" customWidth="1"/>
    <col min="6666" max="6666" width="15.36328125" style="2" customWidth="1"/>
    <col min="6667" max="6667" width="10.90625" style="2" customWidth="1"/>
    <col min="6668" max="6678" width="13.36328125" style="2" customWidth="1"/>
    <col min="6679" max="6679" width="13.6328125" style="2" customWidth="1"/>
    <col min="6680" max="6680" width="16.453125" style="2" customWidth="1"/>
    <col min="6681" max="6915" width="9" style="2"/>
    <col min="6916" max="6916" width="9.6328125" style="2" customWidth="1"/>
    <col min="6917" max="6918" width="5.08984375" style="2" customWidth="1"/>
    <col min="6919" max="6919" width="9.6328125" style="2" customWidth="1"/>
    <col min="6920" max="6921" width="11.6328125" style="2" customWidth="1"/>
    <col min="6922" max="6922" width="15.36328125" style="2" customWidth="1"/>
    <col min="6923" max="6923" width="10.90625" style="2" customWidth="1"/>
    <col min="6924" max="6934" width="13.36328125" style="2" customWidth="1"/>
    <col min="6935" max="6935" width="13.6328125" style="2" customWidth="1"/>
    <col min="6936" max="6936" width="16.453125" style="2" customWidth="1"/>
    <col min="6937" max="7171" width="9" style="2"/>
    <col min="7172" max="7172" width="9.6328125" style="2" customWidth="1"/>
    <col min="7173" max="7174" width="5.08984375" style="2" customWidth="1"/>
    <col min="7175" max="7175" width="9.6328125" style="2" customWidth="1"/>
    <col min="7176" max="7177" width="11.6328125" style="2" customWidth="1"/>
    <col min="7178" max="7178" width="15.36328125" style="2" customWidth="1"/>
    <col min="7179" max="7179" width="10.90625" style="2" customWidth="1"/>
    <col min="7180" max="7190" width="13.36328125" style="2" customWidth="1"/>
    <col min="7191" max="7191" width="13.6328125" style="2" customWidth="1"/>
    <col min="7192" max="7192" width="16.453125" style="2" customWidth="1"/>
    <col min="7193" max="7427" width="9" style="2"/>
    <col min="7428" max="7428" width="9.6328125" style="2" customWidth="1"/>
    <col min="7429" max="7430" width="5.08984375" style="2" customWidth="1"/>
    <col min="7431" max="7431" width="9.6328125" style="2" customWidth="1"/>
    <col min="7432" max="7433" width="11.6328125" style="2" customWidth="1"/>
    <col min="7434" max="7434" width="15.36328125" style="2" customWidth="1"/>
    <col min="7435" max="7435" width="10.90625" style="2" customWidth="1"/>
    <col min="7436" max="7446" width="13.36328125" style="2" customWidth="1"/>
    <col min="7447" max="7447" width="13.6328125" style="2" customWidth="1"/>
    <col min="7448" max="7448" width="16.453125" style="2" customWidth="1"/>
    <col min="7449" max="7683" width="9" style="2"/>
    <col min="7684" max="7684" width="9.6328125" style="2" customWidth="1"/>
    <col min="7685" max="7686" width="5.08984375" style="2" customWidth="1"/>
    <col min="7687" max="7687" width="9.6328125" style="2" customWidth="1"/>
    <col min="7688" max="7689" width="11.6328125" style="2" customWidth="1"/>
    <col min="7690" max="7690" width="15.36328125" style="2" customWidth="1"/>
    <col min="7691" max="7691" width="10.90625" style="2" customWidth="1"/>
    <col min="7692" max="7702" width="13.36328125" style="2" customWidth="1"/>
    <col min="7703" max="7703" width="13.6328125" style="2" customWidth="1"/>
    <col min="7704" max="7704" width="16.453125" style="2" customWidth="1"/>
    <col min="7705" max="7939" width="9" style="2"/>
    <col min="7940" max="7940" width="9.6328125" style="2" customWidth="1"/>
    <col min="7941" max="7942" width="5.08984375" style="2" customWidth="1"/>
    <col min="7943" max="7943" width="9.6328125" style="2" customWidth="1"/>
    <col min="7944" max="7945" width="11.6328125" style="2" customWidth="1"/>
    <col min="7946" max="7946" width="15.36328125" style="2" customWidth="1"/>
    <col min="7947" max="7947" width="10.90625" style="2" customWidth="1"/>
    <col min="7948" max="7958" width="13.36328125" style="2" customWidth="1"/>
    <col min="7959" max="7959" width="13.6328125" style="2" customWidth="1"/>
    <col min="7960" max="7960" width="16.453125" style="2" customWidth="1"/>
    <col min="7961" max="8195" width="9" style="2"/>
    <col min="8196" max="8196" width="9.6328125" style="2" customWidth="1"/>
    <col min="8197" max="8198" width="5.08984375" style="2" customWidth="1"/>
    <col min="8199" max="8199" width="9.6328125" style="2" customWidth="1"/>
    <col min="8200" max="8201" width="11.6328125" style="2" customWidth="1"/>
    <col min="8202" max="8202" width="15.36328125" style="2" customWidth="1"/>
    <col min="8203" max="8203" width="10.90625" style="2" customWidth="1"/>
    <col min="8204" max="8214" width="13.36328125" style="2" customWidth="1"/>
    <col min="8215" max="8215" width="13.6328125" style="2" customWidth="1"/>
    <col min="8216" max="8216" width="16.453125" style="2" customWidth="1"/>
    <col min="8217" max="8451" width="9" style="2"/>
    <col min="8452" max="8452" width="9.6328125" style="2" customWidth="1"/>
    <col min="8453" max="8454" width="5.08984375" style="2" customWidth="1"/>
    <col min="8455" max="8455" width="9.6328125" style="2" customWidth="1"/>
    <col min="8456" max="8457" width="11.6328125" style="2" customWidth="1"/>
    <col min="8458" max="8458" width="15.36328125" style="2" customWidth="1"/>
    <col min="8459" max="8459" width="10.90625" style="2" customWidth="1"/>
    <col min="8460" max="8470" width="13.36328125" style="2" customWidth="1"/>
    <col min="8471" max="8471" width="13.6328125" style="2" customWidth="1"/>
    <col min="8472" max="8472" width="16.453125" style="2" customWidth="1"/>
    <col min="8473" max="8707" width="9" style="2"/>
    <col min="8708" max="8708" width="9.6328125" style="2" customWidth="1"/>
    <col min="8709" max="8710" width="5.08984375" style="2" customWidth="1"/>
    <col min="8711" max="8711" width="9.6328125" style="2" customWidth="1"/>
    <col min="8712" max="8713" width="11.6328125" style="2" customWidth="1"/>
    <col min="8714" max="8714" width="15.36328125" style="2" customWidth="1"/>
    <col min="8715" max="8715" width="10.90625" style="2" customWidth="1"/>
    <col min="8716" max="8726" width="13.36328125" style="2" customWidth="1"/>
    <col min="8727" max="8727" width="13.6328125" style="2" customWidth="1"/>
    <col min="8728" max="8728" width="16.453125" style="2" customWidth="1"/>
    <col min="8729" max="8963" width="9" style="2"/>
    <col min="8964" max="8964" width="9.6328125" style="2" customWidth="1"/>
    <col min="8965" max="8966" width="5.08984375" style="2" customWidth="1"/>
    <col min="8967" max="8967" width="9.6328125" style="2" customWidth="1"/>
    <col min="8968" max="8969" width="11.6328125" style="2" customWidth="1"/>
    <col min="8970" max="8970" width="15.36328125" style="2" customWidth="1"/>
    <col min="8971" max="8971" width="10.90625" style="2" customWidth="1"/>
    <col min="8972" max="8982" width="13.36328125" style="2" customWidth="1"/>
    <col min="8983" max="8983" width="13.6328125" style="2" customWidth="1"/>
    <col min="8984" max="8984" width="16.453125" style="2" customWidth="1"/>
    <col min="8985" max="9219" width="9" style="2"/>
    <col min="9220" max="9220" width="9.6328125" style="2" customWidth="1"/>
    <col min="9221" max="9222" width="5.08984375" style="2" customWidth="1"/>
    <col min="9223" max="9223" width="9.6328125" style="2" customWidth="1"/>
    <col min="9224" max="9225" width="11.6328125" style="2" customWidth="1"/>
    <col min="9226" max="9226" width="15.36328125" style="2" customWidth="1"/>
    <col min="9227" max="9227" width="10.90625" style="2" customWidth="1"/>
    <col min="9228" max="9238" width="13.36328125" style="2" customWidth="1"/>
    <col min="9239" max="9239" width="13.6328125" style="2" customWidth="1"/>
    <col min="9240" max="9240" width="16.453125" style="2" customWidth="1"/>
    <col min="9241" max="9475" width="9" style="2"/>
    <col min="9476" max="9476" width="9.6328125" style="2" customWidth="1"/>
    <col min="9477" max="9478" width="5.08984375" style="2" customWidth="1"/>
    <col min="9479" max="9479" width="9.6328125" style="2" customWidth="1"/>
    <col min="9480" max="9481" width="11.6328125" style="2" customWidth="1"/>
    <col min="9482" max="9482" width="15.36328125" style="2" customWidth="1"/>
    <col min="9483" max="9483" width="10.90625" style="2" customWidth="1"/>
    <col min="9484" max="9494" width="13.36328125" style="2" customWidth="1"/>
    <col min="9495" max="9495" width="13.6328125" style="2" customWidth="1"/>
    <col min="9496" max="9496" width="16.453125" style="2" customWidth="1"/>
    <col min="9497" max="9731" width="9" style="2"/>
    <col min="9732" max="9732" width="9.6328125" style="2" customWidth="1"/>
    <col min="9733" max="9734" width="5.08984375" style="2" customWidth="1"/>
    <col min="9735" max="9735" width="9.6328125" style="2" customWidth="1"/>
    <col min="9736" max="9737" width="11.6328125" style="2" customWidth="1"/>
    <col min="9738" max="9738" width="15.36328125" style="2" customWidth="1"/>
    <col min="9739" max="9739" width="10.90625" style="2" customWidth="1"/>
    <col min="9740" max="9750" width="13.36328125" style="2" customWidth="1"/>
    <col min="9751" max="9751" width="13.6328125" style="2" customWidth="1"/>
    <col min="9752" max="9752" width="16.453125" style="2" customWidth="1"/>
    <col min="9753" max="9987" width="9" style="2"/>
    <col min="9988" max="9988" width="9.6328125" style="2" customWidth="1"/>
    <col min="9989" max="9990" width="5.08984375" style="2" customWidth="1"/>
    <col min="9991" max="9991" width="9.6328125" style="2" customWidth="1"/>
    <col min="9992" max="9993" width="11.6328125" style="2" customWidth="1"/>
    <col min="9994" max="9994" width="15.36328125" style="2" customWidth="1"/>
    <col min="9995" max="9995" width="10.90625" style="2" customWidth="1"/>
    <col min="9996" max="10006" width="13.36328125" style="2" customWidth="1"/>
    <col min="10007" max="10007" width="13.6328125" style="2" customWidth="1"/>
    <col min="10008" max="10008" width="16.453125" style="2" customWidth="1"/>
    <col min="10009" max="10243" width="9" style="2"/>
    <col min="10244" max="10244" width="9.6328125" style="2" customWidth="1"/>
    <col min="10245" max="10246" width="5.08984375" style="2" customWidth="1"/>
    <col min="10247" max="10247" width="9.6328125" style="2" customWidth="1"/>
    <col min="10248" max="10249" width="11.6328125" style="2" customWidth="1"/>
    <col min="10250" max="10250" width="15.36328125" style="2" customWidth="1"/>
    <col min="10251" max="10251" width="10.90625" style="2" customWidth="1"/>
    <col min="10252" max="10262" width="13.36328125" style="2" customWidth="1"/>
    <col min="10263" max="10263" width="13.6328125" style="2" customWidth="1"/>
    <col min="10264" max="10264" width="16.453125" style="2" customWidth="1"/>
    <col min="10265" max="10499" width="9" style="2"/>
    <col min="10500" max="10500" width="9.6328125" style="2" customWidth="1"/>
    <col min="10501" max="10502" width="5.08984375" style="2" customWidth="1"/>
    <col min="10503" max="10503" width="9.6328125" style="2" customWidth="1"/>
    <col min="10504" max="10505" width="11.6328125" style="2" customWidth="1"/>
    <col min="10506" max="10506" width="15.36328125" style="2" customWidth="1"/>
    <col min="10507" max="10507" width="10.90625" style="2" customWidth="1"/>
    <col min="10508" max="10518" width="13.36328125" style="2" customWidth="1"/>
    <col min="10519" max="10519" width="13.6328125" style="2" customWidth="1"/>
    <col min="10520" max="10520" width="16.453125" style="2" customWidth="1"/>
    <col min="10521" max="10755" width="9" style="2"/>
    <col min="10756" max="10756" width="9.6328125" style="2" customWidth="1"/>
    <col min="10757" max="10758" width="5.08984375" style="2" customWidth="1"/>
    <col min="10759" max="10759" width="9.6328125" style="2" customWidth="1"/>
    <col min="10760" max="10761" width="11.6328125" style="2" customWidth="1"/>
    <col min="10762" max="10762" width="15.36328125" style="2" customWidth="1"/>
    <col min="10763" max="10763" width="10.90625" style="2" customWidth="1"/>
    <col min="10764" max="10774" width="13.36328125" style="2" customWidth="1"/>
    <col min="10775" max="10775" width="13.6328125" style="2" customWidth="1"/>
    <col min="10776" max="10776" width="16.453125" style="2" customWidth="1"/>
    <col min="10777" max="11011" width="9" style="2"/>
    <col min="11012" max="11012" width="9.6328125" style="2" customWidth="1"/>
    <col min="11013" max="11014" width="5.08984375" style="2" customWidth="1"/>
    <col min="11015" max="11015" width="9.6328125" style="2" customWidth="1"/>
    <col min="11016" max="11017" width="11.6328125" style="2" customWidth="1"/>
    <col min="11018" max="11018" width="15.36328125" style="2" customWidth="1"/>
    <col min="11019" max="11019" width="10.90625" style="2" customWidth="1"/>
    <col min="11020" max="11030" width="13.36328125" style="2" customWidth="1"/>
    <col min="11031" max="11031" width="13.6328125" style="2" customWidth="1"/>
    <col min="11032" max="11032" width="16.453125" style="2" customWidth="1"/>
    <col min="11033" max="11267" width="9" style="2"/>
    <col min="11268" max="11268" width="9.6328125" style="2" customWidth="1"/>
    <col min="11269" max="11270" width="5.08984375" style="2" customWidth="1"/>
    <col min="11271" max="11271" width="9.6328125" style="2" customWidth="1"/>
    <col min="11272" max="11273" width="11.6328125" style="2" customWidth="1"/>
    <col min="11274" max="11274" width="15.36328125" style="2" customWidth="1"/>
    <col min="11275" max="11275" width="10.90625" style="2" customWidth="1"/>
    <col min="11276" max="11286" width="13.36328125" style="2" customWidth="1"/>
    <col min="11287" max="11287" width="13.6328125" style="2" customWidth="1"/>
    <col min="11288" max="11288" width="16.453125" style="2" customWidth="1"/>
    <col min="11289" max="11523" width="9" style="2"/>
    <col min="11524" max="11524" width="9.6328125" style="2" customWidth="1"/>
    <col min="11525" max="11526" width="5.08984375" style="2" customWidth="1"/>
    <col min="11527" max="11527" width="9.6328125" style="2" customWidth="1"/>
    <col min="11528" max="11529" width="11.6328125" style="2" customWidth="1"/>
    <col min="11530" max="11530" width="15.36328125" style="2" customWidth="1"/>
    <col min="11531" max="11531" width="10.90625" style="2" customWidth="1"/>
    <col min="11532" max="11542" width="13.36328125" style="2" customWidth="1"/>
    <col min="11543" max="11543" width="13.6328125" style="2" customWidth="1"/>
    <col min="11544" max="11544" width="16.453125" style="2" customWidth="1"/>
    <col min="11545" max="11779" width="9" style="2"/>
    <col min="11780" max="11780" width="9.6328125" style="2" customWidth="1"/>
    <col min="11781" max="11782" width="5.08984375" style="2" customWidth="1"/>
    <col min="11783" max="11783" width="9.6328125" style="2" customWidth="1"/>
    <col min="11784" max="11785" width="11.6328125" style="2" customWidth="1"/>
    <col min="11786" max="11786" width="15.36328125" style="2" customWidth="1"/>
    <col min="11787" max="11787" width="10.90625" style="2" customWidth="1"/>
    <col min="11788" max="11798" width="13.36328125" style="2" customWidth="1"/>
    <col min="11799" max="11799" width="13.6328125" style="2" customWidth="1"/>
    <col min="11800" max="11800" width="16.453125" style="2" customWidth="1"/>
    <col min="11801" max="12035" width="9" style="2"/>
    <col min="12036" max="12036" width="9.6328125" style="2" customWidth="1"/>
    <col min="12037" max="12038" width="5.08984375" style="2" customWidth="1"/>
    <col min="12039" max="12039" width="9.6328125" style="2" customWidth="1"/>
    <col min="12040" max="12041" width="11.6328125" style="2" customWidth="1"/>
    <col min="12042" max="12042" width="15.36328125" style="2" customWidth="1"/>
    <col min="12043" max="12043" width="10.90625" style="2" customWidth="1"/>
    <col min="12044" max="12054" width="13.36328125" style="2" customWidth="1"/>
    <col min="12055" max="12055" width="13.6328125" style="2" customWidth="1"/>
    <col min="12056" max="12056" width="16.453125" style="2" customWidth="1"/>
    <col min="12057" max="12291" width="9" style="2"/>
    <col min="12292" max="12292" width="9.6328125" style="2" customWidth="1"/>
    <col min="12293" max="12294" width="5.08984375" style="2" customWidth="1"/>
    <col min="12295" max="12295" width="9.6328125" style="2" customWidth="1"/>
    <col min="12296" max="12297" width="11.6328125" style="2" customWidth="1"/>
    <col min="12298" max="12298" width="15.36328125" style="2" customWidth="1"/>
    <col min="12299" max="12299" width="10.90625" style="2" customWidth="1"/>
    <col min="12300" max="12310" width="13.36328125" style="2" customWidth="1"/>
    <col min="12311" max="12311" width="13.6328125" style="2" customWidth="1"/>
    <col min="12312" max="12312" width="16.453125" style="2" customWidth="1"/>
    <col min="12313" max="12547" width="9" style="2"/>
    <col min="12548" max="12548" width="9.6328125" style="2" customWidth="1"/>
    <col min="12549" max="12550" width="5.08984375" style="2" customWidth="1"/>
    <col min="12551" max="12551" width="9.6328125" style="2" customWidth="1"/>
    <col min="12552" max="12553" width="11.6328125" style="2" customWidth="1"/>
    <col min="12554" max="12554" width="15.36328125" style="2" customWidth="1"/>
    <col min="12555" max="12555" width="10.90625" style="2" customWidth="1"/>
    <col min="12556" max="12566" width="13.36328125" style="2" customWidth="1"/>
    <col min="12567" max="12567" width="13.6328125" style="2" customWidth="1"/>
    <col min="12568" max="12568" width="16.453125" style="2" customWidth="1"/>
    <col min="12569" max="12803" width="9" style="2"/>
    <col min="12804" max="12804" width="9.6328125" style="2" customWidth="1"/>
    <col min="12805" max="12806" width="5.08984375" style="2" customWidth="1"/>
    <col min="12807" max="12807" width="9.6328125" style="2" customWidth="1"/>
    <col min="12808" max="12809" width="11.6328125" style="2" customWidth="1"/>
    <col min="12810" max="12810" width="15.36328125" style="2" customWidth="1"/>
    <col min="12811" max="12811" width="10.90625" style="2" customWidth="1"/>
    <col min="12812" max="12822" width="13.36328125" style="2" customWidth="1"/>
    <col min="12823" max="12823" width="13.6328125" style="2" customWidth="1"/>
    <col min="12824" max="12824" width="16.453125" style="2" customWidth="1"/>
    <col min="12825" max="13059" width="9" style="2"/>
    <col min="13060" max="13060" width="9.6328125" style="2" customWidth="1"/>
    <col min="13061" max="13062" width="5.08984375" style="2" customWidth="1"/>
    <col min="13063" max="13063" width="9.6328125" style="2" customWidth="1"/>
    <col min="13064" max="13065" width="11.6328125" style="2" customWidth="1"/>
    <col min="13066" max="13066" width="15.36328125" style="2" customWidth="1"/>
    <col min="13067" max="13067" width="10.90625" style="2" customWidth="1"/>
    <col min="13068" max="13078" width="13.36328125" style="2" customWidth="1"/>
    <col min="13079" max="13079" width="13.6328125" style="2" customWidth="1"/>
    <col min="13080" max="13080" width="16.453125" style="2" customWidth="1"/>
    <col min="13081" max="13315" width="9" style="2"/>
    <col min="13316" max="13316" width="9.6328125" style="2" customWidth="1"/>
    <col min="13317" max="13318" width="5.08984375" style="2" customWidth="1"/>
    <col min="13319" max="13319" width="9.6328125" style="2" customWidth="1"/>
    <col min="13320" max="13321" width="11.6328125" style="2" customWidth="1"/>
    <col min="13322" max="13322" width="15.36328125" style="2" customWidth="1"/>
    <col min="13323" max="13323" width="10.90625" style="2" customWidth="1"/>
    <col min="13324" max="13334" width="13.36328125" style="2" customWidth="1"/>
    <col min="13335" max="13335" width="13.6328125" style="2" customWidth="1"/>
    <col min="13336" max="13336" width="16.453125" style="2" customWidth="1"/>
    <col min="13337" max="13571" width="9" style="2"/>
    <col min="13572" max="13572" width="9.6328125" style="2" customWidth="1"/>
    <col min="13573" max="13574" width="5.08984375" style="2" customWidth="1"/>
    <col min="13575" max="13575" width="9.6328125" style="2" customWidth="1"/>
    <col min="13576" max="13577" width="11.6328125" style="2" customWidth="1"/>
    <col min="13578" max="13578" width="15.36328125" style="2" customWidth="1"/>
    <col min="13579" max="13579" width="10.90625" style="2" customWidth="1"/>
    <col min="13580" max="13590" width="13.36328125" style="2" customWidth="1"/>
    <col min="13591" max="13591" width="13.6328125" style="2" customWidth="1"/>
    <col min="13592" max="13592" width="16.453125" style="2" customWidth="1"/>
    <col min="13593" max="13827" width="9" style="2"/>
    <col min="13828" max="13828" width="9.6328125" style="2" customWidth="1"/>
    <col min="13829" max="13830" width="5.08984375" style="2" customWidth="1"/>
    <col min="13831" max="13831" width="9.6328125" style="2" customWidth="1"/>
    <col min="13832" max="13833" width="11.6328125" style="2" customWidth="1"/>
    <col min="13834" max="13834" width="15.36328125" style="2" customWidth="1"/>
    <col min="13835" max="13835" width="10.90625" style="2" customWidth="1"/>
    <col min="13836" max="13846" width="13.36328125" style="2" customWidth="1"/>
    <col min="13847" max="13847" width="13.6328125" style="2" customWidth="1"/>
    <col min="13848" max="13848" width="16.453125" style="2" customWidth="1"/>
    <col min="13849" max="14083" width="9" style="2"/>
    <col min="14084" max="14084" width="9.6328125" style="2" customWidth="1"/>
    <col min="14085" max="14086" width="5.08984375" style="2" customWidth="1"/>
    <col min="14087" max="14087" width="9.6328125" style="2" customWidth="1"/>
    <col min="14088" max="14089" width="11.6328125" style="2" customWidth="1"/>
    <col min="14090" max="14090" width="15.36328125" style="2" customWidth="1"/>
    <col min="14091" max="14091" width="10.90625" style="2" customWidth="1"/>
    <col min="14092" max="14102" width="13.36328125" style="2" customWidth="1"/>
    <col min="14103" max="14103" width="13.6328125" style="2" customWidth="1"/>
    <col min="14104" max="14104" width="16.453125" style="2" customWidth="1"/>
    <col min="14105" max="14339" width="9" style="2"/>
    <col min="14340" max="14340" width="9.6328125" style="2" customWidth="1"/>
    <col min="14341" max="14342" width="5.08984375" style="2" customWidth="1"/>
    <col min="14343" max="14343" width="9.6328125" style="2" customWidth="1"/>
    <col min="14344" max="14345" width="11.6328125" style="2" customWidth="1"/>
    <col min="14346" max="14346" width="15.36328125" style="2" customWidth="1"/>
    <col min="14347" max="14347" width="10.90625" style="2" customWidth="1"/>
    <col min="14348" max="14358" width="13.36328125" style="2" customWidth="1"/>
    <col min="14359" max="14359" width="13.6328125" style="2" customWidth="1"/>
    <col min="14360" max="14360" width="16.453125" style="2" customWidth="1"/>
    <col min="14361" max="14595" width="9" style="2"/>
    <col min="14596" max="14596" width="9.6328125" style="2" customWidth="1"/>
    <col min="14597" max="14598" width="5.08984375" style="2" customWidth="1"/>
    <col min="14599" max="14599" width="9.6328125" style="2" customWidth="1"/>
    <col min="14600" max="14601" width="11.6328125" style="2" customWidth="1"/>
    <col min="14602" max="14602" width="15.36328125" style="2" customWidth="1"/>
    <col min="14603" max="14603" width="10.90625" style="2" customWidth="1"/>
    <col min="14604" max="14614" width="13.36328125" style="2" customWidth="1"/>
    <col min="14615" max="14615" width="13.6328125" style="2" customWidth="1"/>
    <col min="14616" max="14616" width="16.453125" style="2" customWidth="1"/>
    <col min="14617" max="14851" width="9" style="2"/>
    <col min="14852" max="14852" width="9.6328125" style="2" customWidth="1"/>
    <col min="14853" max="14854" width="5.08984375" style="2" customWidth="1"/>
    <col min="14855" max="14855" width="9.6328125" style="2" customWidth="1"/>
    <col min="14856" max="14857" width="11.6328125" style="2" customWidth="1"/>
    <col min="14858" max="14858" width="15.36328125" style="2" customWidth="1"/>
    <col min="14859" max="14859" width="10.90625" style="2" customWidth="1"/>
    <col min="14860" max="14870" width="13.36328125" style="2" customWidth="1"/>
    <col min="14871" max="14871" width="13.6328125" style="2" customWidth="1"/>
    <col min="14872" max="14872" width="16.453125" style="2" customWidth="1"/>
    <col min="14873" max="15107" width="9" style="2"/>
    <col min="15108" max="15108" width="9.6328125" style="2" customWidth="1"/>
    <col min="15109" max="15110" width="5.08984375" style="2" customWidth="1"/>
    <col min="15111" max="15111" width="9.6328125" style="2" customWidth="1"/>
    <col min="15112" max="15113" width="11.6328125" style="2" customWidth="1"/>
    <col min="15114" max="15114" width="15.36328125" style="2" customWidth="1"/>
    <col min="15115" max="15115" width="10.90625" style="2" customWidth="1"/>
    <col min="15116" max="15126" width="13.36328125" style="2" customWidth="1"/>
    <col min="15127" max="15127" width="13.6328125" style="2" customWidth="1"/>
    <col min="15128" max="15128" width="16.453125" style="2" customWidth="1"/>
    <col min="15129" max="15363" width="9" style="2"/>
    <col min="15364" max="15364" width="9.6328125" style="2" customWidth="1"/>
    <col min="15365" max="15366" width="5.08984375" style="2" customWidth="1"/>
    <col min="15367" max="15367" width="9.6328125" style="2" customWidth="1"/>
    <col min="15368" max="15369" width="11.6328125" style="2" customWidth="1"/>
    <col min="15370" max="15370" width="15.36328125" style="2" customWidth="1"/>
    <col min="15371" max="15371" width="10.90625" style="2" customWidth="1"/>
    <col min="15372" max="15382" width="13.36328125" style="2" customWidth="1"/>
    <col min="15383" max="15383" width="13.6328125" style="2" customWidth="1"/>
    <col min="15384" max="15384" width="16.453125" style="2" customWidth="1"/>
    <col min="15385" max="15619" width="9" style="2"/>
    <col min="15620" max="15620" width="9.6328125" style="2" customWidth="1"/>
    <col min="15621" max="15622" width="5.08984375" style="2" customWidth="1"/>
    <col min="15623" max="15623" width="9.6328125" style="2" customWidth="1"/>
    <col min="15624" max="15625" width="11.6328125" style="2" customWidth="1"/>
    <col min="15626" max="15626" width="15.36328125" style="2" customWidth="1"/>
    <col min="15627" max="15627" width="10.90625" style="2" customWidth="1"/>
    <col min="15628" max="15638" width="13.36328125" style="2" customWidth="1"/>
    <col min="15639" max="15639" width="13.6328125" style="2" customWidth="1"/>
    <col min="15640" max="15640" width="16.453125" style="2" customWidth="1"/>
    <col min="15641" max="15875" width="9" style="2"/>
    <col min="15876" max="15876" width="9.6328125" style="2" customWidth="1"/>
    <col min="15877" max="15878" width="5.08984375" style="2" customWidth="1"/>
    <col min="15879" max="15879" width="9.6328125" style="2" customWidth="1"/>
    <col min="15880" max="15881" width="11.6328125" style="2" customWidth="1"/>
    <col min="15882" max="15882" width="15.36328125" style="2" customWidth="1"/>
    <col min="15883" max="15883" width="10.90625" style="2" customWidth="1"/>
    <col min="15884" max="15894" width="13.36328125" style="2" customWidth="1"/>
    <col min="15895" max="15895" width="13.6328125" style="2" customWidth="1"/>
    <col min="15896" max="15896" width="16.453125" style="2" customWidth="1"/>
    <col min="15897" max="16131" width="9" style="2"/>
    <col min="16132" max="16132" width="9.6328125" style="2" customWidth="1"/>
    <col min="16133" max="16134" width="5.08984375" style="2" customWidth="1"/>
    <col min="16135" max="16135" width="9.6328125" style="2" customWidth="1"/>
    <col min="16136" max="16137" width="11.6328125" style="2" customWidth="1"/>
    <col min="16138" max="16138" width="15.36328125" style="2" customWidth="1"/>
    <col min="16139" max="16139" width="10.90625" style="2" customWidth="1"/>
    <col min="16140" max="16150" width="13.36328125" style="2" customWidth="1"/>
    <col min="16151" max="16151" width="13.6328125" style="2" customWidth="1"/>
    <col min="16152" max="16152" width="16.453125" style="2" customWidth="1"/>
    <col min="16153" max="16384" width="9" style="2"/>
  </cols>
  <sheetData>
    <row r="1" spans="1:26" s="127" customFormat="1" ht="36">
      <c r="A1" s="230" t="s">
        <v>83</v>
      </c>
      <c r="B1" s="230" t="s">
        <v>84</v>
      </c>
      <c r="C1" s="133" t="s">
        <v>56</v>
      </c>
      <c r="D1" s="134" t="s">
        <v>0</v>
      </c>
      <c r="E1" s="134" t="s">
        <v>1</v>
      </c>
      <c r="F1" s="135" t="s">
        <v>2</v>
      </c>
      <c r="G1" s="135" t="s">
        <v>58</v>
      </c>
      <c r="H1" s="135" t="s">
        <v>3</v>
      </c>
      <c r="I1" s="136" t="s">
        <v>4</v>
      </c>
      <c r="J1" s="137" t="s">
        <v>5</v>
      </c>
      <c r="K1" s="3" t="s">
        <v>6</v>
      </c>
      <c r="L1" s="352" t="s">
        <v>7</v>
      </c>
      <c r="M1" s="238" t="s">
        <v>8</v>
      </c>
      <c r="N1" s="238" t="s">
        <v>9</v>
      </c>
      <c r="O1" s="238" t="s">
        <v>10</v>
      </c>
      <c r="P1" s="238" t="s">
        <v>11</v>
      </c>
      <c r="Q1" s="238" t="s">
        <v>12</v>
      </c>
      <c r="R1" s="238" t="s">
        <v>13</v>
      </c>
      <c r="S1" s="238" t="s">
        <v>14</v>
      </c>
      <c r="T1" s="238" t="s">
        <v>15</v>
      </c>
      <c r="U1" s="238" t="s">
        <v>16</v>
      </c>
      <c r="V1" s="238" t="s">
        <v>17</v>
      </c>
      <c r="W1" s="231" t="s">
        <v>18</v>
      </c>
      <c r="X1" s="142" t="s">
        <v>19</v>
      </c>
    </row>
    <row r="2" spans="1:26" s="1" customFormat="1">
      <c r="A2" s="112"/>
      <c r="B2" s="72"/>
      <c r="C2" s="548" t="s">
        <v>97</v>
      </c>
      <c r="D2" s="549"/>
      <c r="E2" s="549"/>
      <c r="F2" s="549"/>
      <c r="G2" s="549"/>
      <c r="H2" s="549"/>
      <c r="I2" s="549"/>
      <c r="J2" s="550"/>
      <c r="K2" s="271" t="s">
        <v>20</v>
      </c>
      <c r="L2" s="333">
        <f>L137</f>
        <v>4590421</v>
      </c>
      <c r="M2" s="402">
        <f t="shared" ref="M2:W3" si="0">M137</f>
        <v>4432220</v>
      </c>
      <c r="N2" s="402">
        <f t="shared" si="0"/>
        <v>4564802</v>
      </c>
      <c r="O2" s="402">
        <f t="shared" si="0"/>
        <v>5724727</v>
      </c>
      <c r="P2" s="402">
        <f t="shared" si="0"/>
        <v>3878290</v>
      </c>
      <c r="Q2" s="402">
        <f t="shared" si="0"/>
        <v>4078855</v>
      </c>
      <c r="R2" s="402">
        <f t="shared" si="0"/>
        <v>4483980</v>
      </c>
      <c r="S2" s="402">
        <f t="shared" si="0"/>
        <v>3711735</v>
      </c>
      <c r="T2" s="402">
        <f t="shared" si="0"/>
        <v>4210682</v>
      </c>
      <c r="U2" s="402">
        <f t="shared" si="0"/>
        <v>3625708</v>
      </c>
      <c r="V2" s="402">
        <f t="shared" si="0"/>
        <v>3073001</v>
      </c>
      <c r="W2" s="272">
        <f t="shared" si="0"/>
        <v>3052331</v>
      </c>
      <c r="X2" s="273">
        <f t="shared" ref="X2:X4" si="1">SUM(L2:W2)</f>
        <v>49426752</v>
      </c>
      <c r="Z2" s="70"/>
    </row>
    <row r="3" spans="1:26" s="1" customFormat="1">
      <c r="A3" s="112"/>
      <c r="B3" s="72"/>
      <c r="C3" s="551"/>
      <c r="D3" s="552"/>
      <c r="E3" s="552"/>
      <c r="F3" s="552"/>
      <c r="G3" s="552"/>
      <c r="H3" s="552"/>
      <c r="I3" s="552"/>
      <c r="J3" s="553"/>
      <c r="K3" s="144" t="s">
        <v>21</v>
      </c>
      <c r="L3" s="334">
        <f>L138</f>
        <v>3931343</v>
      </c>
      <c r="M3" s="403">
        <f t="shared" si="0"/>
        <v>3797773</v>
      </c>
      <c r="N3" s="403">
        <f t="shared" si="0"/>
        <v>3936678</v>
      </c>
      <c r="O3" s="403">
        <f t="shared" si="0"/>
        <v>3817336</v>
      </c>
      <c r="P3" s="403">
        <f t="shared" si="0"/>
        <v>3507998</v>
      </c>
      <c r="Q3" s="403">
        <f t="shared" si="0"/>
        <v>3583399</v>
      </c>
      <c r="R3" s="403">
        <f t="shared" si="0"/>
        <v>3820972</v>
      </c>
      <c r="S3" s="403">
        <f t="shared" si="0"/>
        <v>3290280</v>
      </c>
      <c r="T3" s="403">
        <f t="shared" si="0"/>
        <v>3706910</v>
      </c>
      <c r="U3" s="403">
        <f t="shared" si="0"/>
        <v>3111342</v>
      </c>
      <c r="V3" s="403">
        <f t="shared" si="0"/>
        <v>2743147</v>
      </c>
      <c r="W3" s="106">
        <f t="shared" si="0"/>
        <v>2960001</v>
      </c>
      <c r="X3" s="40">
        <f t="shared" si="1"/>
        <v>42207179</v>
      </c>
      <c r="Z3" s="70"/>
    </row>
    <row r="4" spans="1:26" s="1" customFormat="1" ht="12.5" thickBot="1">
      <c r="A4" s="112"/>
      <c r="B4" s="72"/>
      <c r="C4" s="554"/>
      <c r="D4" s="555"/>
      <c r="E4" s="555"/>
      <c r="F4" s="555"/>
      <c r="G4" s="555"/>
      <c r="H4" s="555"/>
      <c r="I4" s="555"/>
      <c r="J4" s="556"/>
      <c r="K4" s="150" t="s">
        <v>22</v>
      </c>
      <c r="L4" s="335">
        <f t="shared" ref="L4:W4" si="2">L2-L3</f>
        <v>659078</v>
      </c>
      <c r="M4" s="404">
        <f t="shared" si="2"/>
        <v>634447</v>
      </c>
      <c r="N4" s="404">
        <f t="shared" si="2"/>
        <v>628124</v>
      </c>
      <c r="O4" s="404">
        <f t="shared" si="2"/>
        <v>1907391</v>
      </c>
      <c r="P4" s="404">
        <f t="shared" si="2"/>
        <v>370292</v>
      </c>
      <c r="Q4" s="404">
        <f t="shared" si="2"/>
        <v>495456</v>
      </c>
      <c r="R4" s="404">
        <f t="shared" si="2"/>
        <v>663008</v>
      </c>
      <c r="S4" s="404">
        <f t="shared" si="2"/>
        <v>421455</v>
      </c>
      <c r="T4" s="404">
        <f t="shared" si="2"/>
        <v>503772</v>
      </c>
      <c r="U4" s="404">
        <f t="shared" si="2"/>
        <v>514366</v>
      </c>
      <c r="V4" s="404">
        <f t="shared" si="2"/>
        <v>329854</v>
      </c>
      <c r="W4" s="107">
        <f t="shared" si="2"/>
        <v>92330</v>
      </c>
      <c r="X4" s="41">
        <f t="shared" si="1"/>
        <v>7219573</v>
      </c>
      <c r="Z4" s="70"/>
    </row>
    <row r="5" spans="1:26" ht="12.5" thickTop="1">
      <c r="A5" s="113">
        <v>2019006</v>
      </c>
      <c r="C5" s="641">
        <v>1</v>
      </c>
      <c r="D5" s="644" t="s">
        <v>94</v>
      </c>
      <c r="E5" s="644"/>
      <c r="F5" s="644"/>
      <c r="G5" s="644" t="s">
        <v>143</v>
      </c>
      <c r="H5" s="647"/>
      <c r="I5" s="647"/>
      <c r="J5" s="628" t="s">
        <v>55</v>
      </c>
      <c r="K5" s="176" t="s">
        <v>23</v>
      </c>
      <c r="L5" s="353">
        <f t="shared" ref="L5:Q5" si="3">L6+L7</f>
        <v>388080</v>
      </c>
      <c r="M5" s="409">
        <f t="shared" si="3"/>
        <v>359100</v>
      </c>
      <c r="N5" s="409">
        <f t="shared" si="3"/>
        <v>363510</v>
      </c>
      <c r="O5" s="409">
        <f t="shared" si="3"/>
        <v>383670</v>
      </c>
      <c r="P5" s="409">
        <f t="shared" si="3"/>
        <v>309960</v>
      </c>
      <c r="Q5" s="409">
        <f t="shared" si="3"/>
        <v>309960</v>
      </c>
      <c r="R5" s="409">
        <f>R6+R7</f>
        <v>369180</v>
      </c>
      <c r="S5" s="409">
        <f t="shared" ref="S5:V5" si="4">S6+S7</f>
        <v>315630</v>
      </c>
      <c r="T5" s="409">
        <f t="shared" si="4"/>
        <v>332640</v>
      </c>
      <c r="U5" s="409">
        <f t="shared" si="4"/>
        <v>359100</v>
      </c>
      <c r="V5" s="409">
        <f t="shared" si="4"/>
        <v>345870</v>
      </c>
      <c r="W5" s="120">
        <f>W6+W7</f>
        <v>388080</v>
      </c>
      <c r="X5" s="122">
        <f>SUM(L5:W5)</f>
        <v>4224780</v>
      </c>
      <c r="Z5" s="69"/>
    </row>
    <row r="6" spans="1:26">
      <c r="A6" s="114">
        <f>+A5</f>
        <v>2019006</v>
      </c>
      <c r="B6" s="74"/>
      <c r="C6" s="642"/>
      <c r="D6" s="645"/>
      <c r="E6" s="645"/>
      <c r="F6" s="645"/>
      <c r="G6" s="645"/>
      <c r="H6" s="648"/>
      <c r="I6" s="650"/>
      <c r="J6" s="629"/>
      <c r="K6" s="172" t="s">
        <v>24</v>
      </c>
      <c r="L6" s="362">
        <v>388080</v>
      </c>
      <c r="M6" s="301">
        <v>359100</v>
      </c>
      <c r="N6" s="301">
        <v>363510</v>
      </c>
      <c r="O6" s="301">
        <v>383670</v>
      </c>
      <c r="P6" s="301">
        <v>309960</v>
      </c>
      <c r="Q6" s="301">
        <v>309960</v>
      </c>
      <c r="R6" s="301">
        <v>369180</v>
      </c>
      <c r="S6" s="301">
        <v>315630</v>
      </c>
      <c r="T6" s="301">
        <v>332640</v>
      </c>
      <c r="U6" s="301">
        <v>359100</v>
      </c>
      <c r="V6" s="301">
        <v>345870</v>
      </c>
      <c r="W6" s="102">
        <v>388080</v>
      </c>
      <c r="X6" s="58">
        <f>SUM(L6:W6)</f>
        <v>4224780</v>
      </c>
      <c r="Y6" s="69"/>
      <c r="Z6" s="69"/>
    </row>
    <row r="7" spans="1:26">
      <c r="A7" s="114">
        <f>+A6</f>
        <v>2019006</v>
      </c>
      <c r="B7" s="74"/>
      <c r="C7" s="642"/>
      <c r="D7" s="645"/>
      <c r="E7" s="645"/>
      <c r="F7" s="645"/>
      <c r="G7" s="645"/>
      <c r="H7" s="648"/>
      <c r="I7" s="650"/>
      <c r="J7" s="629"/>
      <c r="K7" s="172" t="s">
        <v>25</v>
      </c>
      <c r="L7" s="354"/>
      <c r="M7" s="297"/>
      <c r="N7" s="297"/>
      <c r="O7" s="297"/>
      <c r="P7" s="297"/>
      <c r="Q7" s="297"/>
      <c r="R7" s="297"/>
      <c r="S7" s="297"/>
      <c r="T7" s="297"/>
      <c r="U7" s="297"/>
      <c r="V7" s="297"/>
      <c r="W7" s="93"/>
      <c r="X7" s="58">
        <v>0</v>
      </c>
      <c r="Z7" s="69"/>
    </row>
    <row r="8" spans="1:26">
      <c r="A8" s="114">
        <f t="shared" ref="A8:A15" si="5">+A7</f>
        <v>2019006</v>
      </c>
      <c r="B8" s="74"/>
      <c r="C8" s="642"/>
      <c r="D8" s="645"/>
      <c r="E8" s="645"/>
      <c r="F8" s="645"/>
      <c r="G8" s="645"/>
      <c r="H8" s="648"/>
      <c r="I8" s="650"/>
      <c r="J8" s="629"/>
      <c r="K8" s="173" t="s">
        <v>26</v>
      </c>
      <c r="L8" s="355">
        <f t="shared" ref="L8:Q8" si="6">SUM(L9:L15)</f>
        <v>303474</v>
      </c>
      <c r="M8" s="411">
        <f t="shared" si="6"/>
        <v>289570</v>
      </c>
      <c r="N8" s="411">
        <f t="shared" si="6"/>
        <v>304712</v>
      </c>
      <c r="O8" s="411">
        <f t="shared" si="6"/>
        <v>315343</v>
      </c>
      <c r="P8" s="411">
        <f t="shared" si="6"/>
        <v>284679</v>
      </c>
      <c r="Q8" s="411">
        <f t="shared" si="6"/>
        <v>290913</v>
      </c>
      <c r="R8" s="411">
        <f>SUM(R9:R15)</f>
        <v>317695</v>
      </c>
      <c r="S8" s="411">
        <f t="shared" ref="S8:V8" si="7">SUM(S9:S15)</f>
        <v>282308</v>
      </c>
      <c r="T8" s="411">
        <f t="shared" si="7"/>
        <v>294581</v>
      </c>
      <c r="U8" s="411">
        <f t="shared" si="7"/>
        <v>280252</v>
      </c>
      <c r="V8" s="411">
        <f t="shared" si="7"/>
        <v>284128</v>
      </c>
      <c r="W8" s="108">
        <f>SUM(W9:W15)</f>
        <v>303474</v>
      </c>
      <c r="X8" s="59">
        <f>SUM(L8:W8)</f>
        <v>3551129</v>
      </c>
      <c r="Z8" s="69"/>
    </row>
    <row r="9" spans="1:26">
      <c r="A9" s="114">
        <f t="shared" si="5"/>
        <v>2019006</v>
      </c>
      <c r="B9" s="74"/>
      <c r="C9" s="642"/>
      <c r="D9" s="645"/>
      <c r="E9" s="645"/>
      <c r="F9" s="645"/>
      <c r="G9" s="645"/>
      <c r="H9" s="648"/>
      <c r="I9" s="650"/>
      <c r="J9" s="629"/>
      <c r="K9" s="174" t="s">
        <v>27</v>
      </c>
      <c r="L9" s="362">
        <v>262750</v>
      </c>
      <c r="M9" s="301">
        <v>250200</v>
      </c>
      <c r="N9" s="301">
        <v>265185</v>
      </c>
      <c r="O9" s="301">
        <v>275705</v>
      </c>
      <c r="P9" s="301">
        <v>245360</v>
      </c>
      <c r="Q9" s="301">
        <v>248600</v>
      </c>
      <c r="R9" s="301">
        <v>275103</v>
      </c>
      <c r="S9" s="301">
        <v>240085</v>
      </c>
      <c r="T9" s="301">
        <v>249810</v>
      </c>
      <c r="U9" s="301">
        <v>238050</v>
      </c>
      <c r="V9" s="301">
        <v>240495</v>
      </c>
      <c r="W9" s="102">
        <v>262750</v>
      </c>
      <c r="X9" s="58">
        <f t="shared" ref="X9:X15" si="8">SUM(L9:W9)</f>
        <v>3054093</v>
      </c>
      <c r="Y9" s="69"/>
      <c r="Z9" s="69"/>
    </row>
    <row r="10" spans="1:26">
      <c r="A10" s="114">
        <f t="shared" si="5"/>
        <v>2019006</v>
      </c>
      <c r="B10" s="74"/>
      <c r="C10" s="642"/>
      <c r="D10" s="645"/>
      <c r="E10" s="645"/>
      <c r="F10" s="645"/>
      <c r="G10" s="645"/>
      <c r="H10" s="648"/>
      <c r="I10" s="650"/>
      <c r="J10" s="629"/>
      <c r="K10" s="174" t="s">
        <v>34</v>
      </c>
      <c r="L10" s="362"/>
      <c r="M10" s="301"/>
      <c r="N10" s="301"/>
      <c r="O10" s="301"/>
      <c r="P10" s="301"/>
      <c r="Q10" s="301"/>
      <c r="R10" s="301"/>
      <c r="S10" s="301"/>
      <c r="T10" s="301"/>
      <c r="U10" s="301"/>
      <c r="V10" s="301"/>
      <c r="W10" s="102"/>
      <c r="X10" s="58">
        <f t="shared" si="8"/>
        <v>0</v>
      </c>
      <c r="Y10" s="69"/>
      <c r="Z10" s="69"/>
    </row>
    <row r="11" spans="1:26">
      <c r="A11" s="114">
        <f t="shared" si="5"/>
        <v>2019006</v>
      </c>
      <c r="B11" s="74"/>
      <c r="C11" s="642"/>
      <c r="D11" s="645"/>
      <c r="E11" s="645"/>
      <c r="F11" s="645"/>
      <c r="G11" s="645"/>
      <c r="H11" s="648"/>
      <c r="I11" s="650"/>
      <c r="J11" s="629"/>
      <c r="K11" s="174" t="s">
        <v>28</v>
      </c>
      <c r="L11" s="362">
        <v>2420</v>
      </c>
      <c r="M11" s="301">
        <v>1210</v>
      </c>
      <c r="N11" s="301">
        <v>1210</v>
      </c>
      <c r="O11" s="301">
        <v>1210</v>
      </c>
      <c r="P11" s="301">
        <v>1210</v>
      </c>
      <c r="Q11" s="301">
        <v>1210</v>
      </c>
      <c r="R11" s="301">
        <v>1210</v>
      </c>
      <c r="S11" s="301">
        <v>1210</v>
      </c>
      <c r="T11" s="301">
        <v>3630</v>
      </c>
      <c r="U11" s="301">
        <v>1210</v>
      </c>
      <c r="V11" s="301">
        <v>2420</v>
      </c>
      <c r="W11" s="102">
        <v>2420</v>
      </c>
      <c r="X11" s="58">
        <f t="shared" si="8"/>
        <v>20570</v>
      </c>
      <c r="Y11" s="69"/>
      <c r="Z11" s="69"/>
    </row>
    <row r="12" spans="1:26">
      <c r="A12" s="114">
        <f t="shared" si="5"/>
        <v>2019006</v>
      </c>
      <c r="B12" s="74"/>
      <c r="C12" s="642"/>
      <c r="D12" s="645"/>
      <c r="E12" s="645"/>
      <c r="F12" s="645"/>
      <c r="G12" s="645"/>
      <c r="H12" s="648"/>
      <c r="I12" s="650"/>
      <c r="J12" s="629"/>
      <c r="K12" s="174" t="s">
        <v>29</v>
      </c>
      <c r="L12" s="362">
        <v>13560</v>
      </c>
      <c r="M12" s="301">
        <v>13560</v>
      </c>
      <c r="N12" s="301">
        <v>13560</v>
      </c>
      <c r="O12" s="301">
        <v>13560</v>
      </c>
      <c r="P12" s="301">
        <v>13560</v>
      </c>
      <c r="Q12" s="301">
        <v>14690</v>
      </c>
      <c r="R12" s="301">
        <v>14690</v>
      </c>
      <c r="S12" s="301">
        <v>14690</v>
      </c>
      <c r="T12" s="301">
        <v>14690</v>
      </c>
      <c r="U12" s="301">
        <v>14690</v>
      </c>
      <c r="V12" s="301">
        <v>14690</v>
      </c>
      <c r="W12" s="102">
        <v>13560</v>
      </c>
      <c r="X12" s="58">
        <f t="shared" si="8"/>
        <v>169500</v>
      </c>
      <c r="Y12" s="69"/>
      <c r="Z12" s="69"/>
    </row>
    <row r="13" spans="1:26">
      <c r="A13" s="114">
        <f t="shared" si="5"/>
        <v>2019006</v>
      </c>
      <c r="B13" s="74"/>
      <c r="C13" s="642"/>
      <c r="D13" s="645"/>
      <c r="E13" s="645"/>
      <c r="F13" s="645"/>
      <c r="G13" s="645"/>
      <c r="H13" s="648"/>
      <c r="I13" s="650"/>
      <c r="J13" s="629"/>
      <c r="K13" s="174" t="s">
        <v>30</v>
      </c>
      <c r="L13" s="362">
        <v>21960</v>
      </c>
      <c r="M13" s="301">
        <v>21960</v>
      </c>
      <c r="N13" s="301">
        <v>21960</v>
      </c>
      <c r="O13" s="301">
        <v>21960</v>
      </c>
      <c r="P13" s="301">
        <v>21960</v>
      </c>
      <c r="Q13" s="301">
        <v>23790</v>
      </c>
      <c r="R13" s="301">
        <v>23790</v>
      </c>
      <c r="S13" s="301">
        <v>23790</v>
      </c>
      <c r="T13" s="301">
        <v>23790</v>
      </c>
      <c r="U13" s="301">
        <v>23790</v>
      </c>
      <c r="V13" s="301">
        <v>23790</v>
      </c>
      <c r="W13" s="102">
        <v>21960</v>
      </c>
      <c r="X13" s="58">
        <f t="shared" si="8"/>
        <v>274500</v>
      </c>
      <c r="Y13" s="69"/>
      <c r="Z13" s="69"/>
    </row>
    <row r="14" spans="1:26">
      <c r="A14" s="114">
        <f t="shared" si="5"/>
        <v>2019006</v>
      </c>
      <c r="B14" s="74"/>
      <c r="C14" s="642"/>
      <c r="D14" s="645"/>
      <c r="E14" s="645"/>
      <c r="F14" s="645"/>
      <c r="G14" s="645"/>
      <c r="H14" s="648"/>
      <c r="I14" s="650"/>
      <c r="J14" s="629"/>
      <c r="K14" s="174" t="s">
        <v>31</v>
      </c>
      <c r="L14" s="362">
        <v>1326</v>
      </c>
      <c r="M14" s="301">
        <v>1257</v>
      </c>
      <c r="N14" s="301">
        <v>1332</v>
      </c>
      <c r="O14" s="301">
        <v>1385</v>
      </c>
      <c r="P14" s="301">
        <v>1233</v>
      </c>
      <c r="Q14" s="301">
        <v>1249</v>
      </c>
      <c r="R14" s="301">
        <v>1382</v>
      </c>
      <c r="S14" s="301">
        <v>1206</v>
      </c>
      <c r="T14" s="301">
        <v>1267</v>
      </c>
      <c r="U14" s="301">
        <v>1196</v>
      </c>
      <c r="V14" s="301">
        <v>1301</v>
      </c>
      <c r="W14" s="102">
        <v>1326</v>
      </c>
      <c r="X14" s="58">
        <f t="shared" si="8"/>
        <v>15460</v>
      </c>
      <c r="Y14" s="69"/>
      <c r="Z14" s="69"/>
    </row>
    <row r="15" spans="1:26">
      <c r="A15" s="114">
        <f t="shared" si="5"/>
        <v>2019006</v>
      </c>
      <c r="B15" s="74"/>
      <c r="C15" s="642"/>
      <c r="D15" s="645"/>
      <c r="E15" s="645"/>
      <c r="F15" s="645"/>
      <c r="G15" s="645"/>
      <c r="H15" s="648"/>
      <c r="I15" s="650"/>
      <c r="J15" s="629"/>
      <c r="K15" s="174" t="s">
        <v>32</v>
      </c>
      <c r="L15" s="362">
        <v>1458</v>
      </c>
      <c r="M15" s="301">
        <v>1383</v>
      </c>
      <c r="N15" s="301">
        <v>1465</v>
      </c>
      <c r="O15" s="301">
        <v>1523</v>
      </c>
      <c r="P15" s="301">
        <v>1356</v>
      </c>
      <c r="Q15" s="301">
        <v>1374</v>
      </c>
      <c r="R15" s="301">
        <v>1520</v>
      </c>
      <c r="S15" s="301">
        <v>1327</v>
      </c>
      <c r="T15" s="301">
        <v>1394</v>
      </c>
      <c r="U15" s="301">
        <v>1316</v>
      </c>
      <c r="V15" s="301">
        <v>1432</v>
      </c>
      <c r="W15" s="102">
        <v>1458</v>
      </c>
      <c r="X15" s="58">
        <f t="shared" si="8"/>
        <v>17006</v>
      </c>
      <c r="Y15" s="69"/>
      <c r="Z15" s="69"/>
    </row>
    <row r="16" spans="1:26">
      <c r="A16" s="114">
        <f>+A15</f>
        <v>2019006</v>
      </c>
      <c r="B16" s="74"/>
      <c r="C16" s="654"/>
      <c r="D16" s="655"/>
      <c r="E16" s="655"/>
      <c r="F16" s="655"/>
      <c r="G16" s="655"/>
      <c r="H16" s="652"/>
      <c r="I16" s="653"/>
      <c r="J16" s="630"/>
      <c r="K16" s="175" t="s">
        <v>33</v>
      </c>
      <c r="L16" s="356">
        <f t="shared" ref="L16:X16" si="9">L5-L8</f>
        <v>84606</v>
      </c>
      <c r="M16" s="412">
        <f t="shared" si="9"/>
        <v>69530</v>
      </c>
      <c r="N16" s="412">
        <f t="shared" si="9"/>
        <v>58798</v>
      </c>
      <c r="O16" s="412">
        <f t="shared" si="9"/>
        <v>68327</v>
      </c>
      <c r="P16" s="412">
        <f t="shared" si="9"/>
        <v>25281</v>
      </c>
      <c r="Q16" s="412">
        <f t="shared" si="9"/>
        <v>19047</v>
      </c>
      <c r="R16" s="412">
        <f t="shared" si="9"/>
        <v>51485</v>
      </c>
      <c r="S16" s="412">
        <f t="shared" si="9"/>
        <v>33322</v>
      </c>
      <c r="T16" s="412">
        <f t="shared" si="9"/>
        <v>38059</v>
      </c>
      <c r="U16" s="412">
        <f t="shared" si="9"/>
        <v>78848</v>
      </c>
      <c r="V16" s="412">
        <f t="shared" si="9"/>
        <v>61742</v>
      </c>
      <c r="W16" s="109">
        <f t="shared" si="9"/>
        <v>84606</v>
      </c>
      <c r="X16" s="43">
        <f t="shared" si="9"/>
        <v>673651</v>
      </c>
      <c r="Z16" s="69"/>
    </row>
    <row r="17" spans="1:26">
      <c r="A17" s="113">
        <v>2020007</v>
      </c>
      <c r="C17" s="641">
        <f>C5+1</f>
        <v>2</v>
      </c>
      <c r="D17" s="645" t="s">
        <v>94</v>
      </c>
      <c r="E17" s="645" t="s">
        <v>173</v>
      </c>
      <c r="F17" s="645"/>
      <c r="G17" s="645" t="s">
        <v>143</v>
      </c>
      <c r="H17" s="648"/>
      <c r="I17" s="648" t="s">
        <v>82</v>
      </c>
      <c r="J17" s="629" t="s">
        <v>80</v>
      </c>
      <c r="K17" s="177" t="s">
        <v>23</v>
      </c>
      <c r="L17" s="357">
        <f t="shared" ref="L17:T17" si="10">L18+L19</f>
        <v>366660</v>
      </c>
      <c r="M17" s="507">
        <f t="shared" si="10"/>
        <v>322560</v>
      </c>
      <c r="N17" s="507">
        <f t="shared" si="10"/>
        <v>350280</v>
      </c>
      <c r="O17" s="507">
        <f t="shared" si="10"/>
        <v>408240</v>
      </c>
      <c r="P17" s="507">
        <f t="shared" si="10"/>
        <v>315000</v>
      </c>
      <c r="Q17" s="507">
        <f t="shared" si="10"/>
        <v>365715</v>
      </c>
      <c r="R17" s="507">
        <f t="shared" si="10"/>
        <v>349650</v>
      </c>
      <c r="S17" s="507">
        <f t="shared" si="10"/>
        <v>292320</v>
      </c>
      <c r="T17" s="507">
        <f t="shared" si="10"/>
        <v>287595</v>
      </c>
      <c r="U17" s="507"/>
      <c r="V17" s="413"/>
      <c r="W17" s="508"/>
      <c r="X17" s="509">
        <f t="shared" ref="X17:X27" si="11">SUM(L17:W17)</f>
        <v>3058020</v>
      </c>
      <c r="Z17" s="69"/>
    </row>
    <row r="18" spans="1:26">
      <c r="A18" s="114">
        <f>+A17</f>
        <v>2020007</v>
      </c>
      <c r="B18" s="74"/>
      <c r="C18" s="642"/>
      <c r="D18" s="645"/>
      <c r="E18" s="645"/>
      <c r="F18" s="645"/>
      <c r="G18" s="645"/>
      <c r="H18" s="648"/>
      <c r="I18" s="650"/>
      <c r="J18" s="629"/>
      <c r="K18" s="172" t="s">
        <v>24</v>
      </c>
      <c r="L18" s="362">
        <v>366660</v>
      </c>
      <c r="M18" s="362">
        <v>322560</v>
      </c>
      <c r="N18" s="362">
        <v>350280</v>
      </c>
      <c r="O18" s="362">
        <v>408240</v>
      </c>
      <c r="P18" s="362">
        <v>315000</v>
      </c>
      <c r="Q18" s="362">
        <v>365715</v>
      </c>
      <c r="R18" s="362">
        <v>349650</v>
      </c>
      <c r="S18" s="362">
        <v>292320</v>
      </c>
      <c r="T18" s="362">
        <v>287595</v>
      </c>
      <c r="U18" s="362"/>
      <c r="V18" s="301"/>
      <c r="W18" s="362"/>
      <c r="X18" s="480">
        <f>SUM(L18:W18)</f>
        <v>3058020</v>
      </c>
      <c r="Y18" s="69"/>
      <c r="Z18" s="69"/>
    </row>
    <row r="19" spans="1:26">
      <c r="A19" s="114">
        <f>+A18</f>
        <v>2020007</v>
      </c>
      <c r="B19" s="74"/>
      <c r="C19" s="642"/>
      <c r="D19" s="645"/>
      <c r="E19" s="645"/>
      <c r="F19" s="645"/>
      <c r="G19" s="645"/>
      <c r="H19" s="648"/>
      <c r="I19" s="650"/>
      <c r="J19" s="629"/>
      <c r="K19" s="172" t="s">
        <v>25</v>
      </c>
      <c r="L19" s="354"/>
      <c r="M19" s="343"/>
      <c r="N19" s="343"/>
      <c r="O19" s="343"/>
      <c r="P19" s="343"/>
      <c r="Q19" s="343"/>
      <c r="R19" s="343"/>
      <c r="S19" s="343"/>
      <c r="T19" s="343"/>
      <c r="U19" s="343"/>
      <c r="V19" s="297"/>
      <c r="W19" s="481"/>
      <c r="X19" s="480">
        <f t="shared" si="11"/>
        <v>0</v>
      </c>
      <c r="Z19" s="69"/>
    </row>
    <row r="20" spans="1:26">
      <c r="A20" s="114">
        <f t="shared" ref="A20:A27" si="12">+A19</f>
        <v>2020007</v>
      </c>
      <c r="B20" s="74"/>
      <c r="C20" s="642"/>
      <c r="D20" s="645"/>
      <c r="E20" s="645"/>
      <c r="F20" s="645"/>
      <c r="G20" s="645"/>
      <c r="H20" s="648"/>
      <c r="I20" s="650"/>
      <c r="J20" s="629"/>
      <c r="K20" s="173" t="s">
        <v>26</v>
      </c>
      <c r="L20" s="355">
        <f t="shared" ref="L20:T20" si="13">SUM(L21:L27)</f>
        <v>339931</v>
      </c>
      <c r="M20" s="344">
        <f t="shared" si="13"/>
        <v>325986</v>
      </c>
      <c r="N20" s="344">
        <f t="shared" si="13"/>
        <v>341363</v>
      </c>
      <c r="O20" s="344">
        <f t="shared" si="13"/>
        <v>348943</v>
      </c>
      <c r="P20" s="344">
        <f t="shared" si="13"/>
        <v>336513</v>
      </c>
      <c r="Q20" s="344">
        <f t="shared" si="13"/>
        <v>335903</v>
      </c>
      <c r="R20" s="344">
        <f t="shared" si="13"/>
        <v>353935</v>
      </c>
      <c r="S20" s="344">
        <f t="shared" si="13"/>
        <v>304324</v>
      </c>
      <c r="T20" s="344">
        <f t="shared" si="13"/>
        <v>335572</v>
      </c>
      <c r="U20" s="344"/>
      <c r="V20" s="411"/>
      <c r="W20" s="482"/>
      <c r="X20" s="483">
        <f t="shared" si="11"/>
        <v>3022470</v>
      </c>
      <c r="Z20" s="69"/>
    </row>
    <row r="21" spans="1:26">
      <c r="A21" s="114">
        <f t="shared" si="12"/>
        <v>2020007</v>
      </c>
      <c r="B21" s="74"/>
      <c r="C21" s="642"/>
      <c r="D21" s="645"/>
      <c r="E21" s="645"/>
      <c r="F21" s="645"/>
      <c r="G21" s="645"/>
      <c r="H21" s="648"/>
      <c r="I21" s="650"/>
      <c r="J21" s="629"/>
      <c r="K21" s="174" t="s">
        <v>27</v>
      </c>
      <c r="L21" s="362">
        <v>291100</v>
      </c>
      <c r="M21" s="362">
        <v>277300</v>
      </c>
      <c r="N21" s="362">
        <v>292500</v>
      </c>
      <c r="O21" s="362">
        <v>300000</v>
      </c>
      <c r="P21" s="362">
        <v>287700</v>
      </c>
      <c r="Q21" s="362">
        <v>290025</v>
      </c>
      <c r="R21" s="362">
        <v>307850</v>
      </c>
      <c r="S21" s="362">
        <v>257200</v>
      </c>
      <c r="T21" s="362">
        <v>274125</v>
      </c>
      <c r="U21" s="362"/>
      <c r="V21" s="301"/>
      <c r="W21" s="362"/>
      <c r="X21" s="480">
        <f>SUM(L21:W21)</f>
        <v>2577800</v>
      </c>
      <c r="Y21" s="69"/>
      <c r="Z21" s="69"/>
    </row>
    <row r="22" spans="1:26">
      <c r="A22" s="114">
        <f t="shared" si="12"/>
        <v>2020007</v>
      </c>
      <c r="B22" s="74"/>
      <c r="C22" s="642"/>
      <c r="D22" s="645"/>
      <c r="E22" s="645"/>
      <c r="F22" s="645"/>
      <c r="G22" s="645"/>
      <c r="H22" s="648"/>
      <c r="I22" s="650"/>
      <c r="J22" s="629"/>
      <c r="K22" s="174" t="s">
        <v>86</v>
      </c>
      <c r="L22" s="362"/>
      <c r="M22" s="362"/>
      <c r="N22" s="362"/>
      <c r="O22" s="362"/>
      <c r="P22" s="362"/>
      <c r="Q22" s="362"/>
      <c r="R22" s="362"/>
      <c r="S22" s="362"/>
      <c r="T22" s="362"/>
      <c r="U22" s="362"/>
      <c r="V22" s="301"/>
      <c r="W22" s="362"/>
      <c r="X22" s="480">
        <f t="shared" si="11"/>
        <v>0</v>
      </c>
      <c r="Y22" s="69"/>
      <c r="Z22" s="69"/>
    </row>
    <row r="23" spans="1:26">
      <c r="A23" s="114">
        <f t="shared" si="12"/>
        <v>2020007</v>
      </c>
      <c r="B23" s="74"/>
      <c r="C23" s="642"/>
      <c r="D23" s="645"/>
      <c r="E23" s="645"/>
      <c r="F23" s="645"/>
      <c r="G23" s="645"/>
      <c r="H23" s="648"/>
      <c r="I23" s="650"/>
      <c r="J23" s="629"/>
      <c r="K23" s="174" t="s">
        <v>28</v>
      </c>
      <c r="L23" s="362">
        <v>1360</v>
      </c>
      <c r="M23" s="362">
        <v>1360</v>
      </c>
      <c r="N23" s="362">
        <v>1378</v>
      </c>
      <c r="O23" s="362">
        <v>1378</v>
      </c>
      <c r="P23" s="362">
        <v>1378</v>
      </c>
      <c r="Q23" s="362">
        <v>1378</v>
      </c>
      <c r="R23" s="362">
        <v>1398</v>
      </c>
      <c r="S23" s="362">
        <v>2952</v>
      </c>
      <c r="T23" s="362">
        <v>17712</v>
      </c>
      <c r="U23" s="362"/>
      <c r="V23" s="301"/>
      <c r="W23" s="362"/>
      <c r="X23" s="480">
        <f t="shared" si="11"/>
        <v>30294</v>
      </c>
      <c r="Y23" s="69"/>
      <c r="Z23" s="69"/>
    </row>
    <row r="24" spans="1:26">
      <c r="A24" s="114">
        <f t="shared" si="12"/>
        <v>2020007</v>
      </c>
      <c r="B24" s="74"/>
      <c r="C24" s="642"/>
      <c r="D24" s="645"/>
      <c r="E24" s="645"/>
      <c r="F24" s="645"/>
      <c r="G24" s="645"/>
      <c r="H24" s="648"/>
      <c r="I24" s="650"/>
      <c r="J24" s="629"/>
      <c r="K24" s="174" t="s">
        <v>29</v>
      </c>
      <c r="L24" s="362">
        <v>16950</v>
      </c>
      <c r="M24" s="362">
        <v>16950</v>
      </c>
      <c r="N24" s="362">
        <v>16950</v>
      </c>
      <c r="O24" s="362">
        <v>16950</v>
      </c>
      <c r="P24" s="362">
        <v>16950</v>
      </c>
      <c r="Q24" s="362">
        <v>15820</v>
      </c>
      <c r="R24" s="362">
        <v>15820</v>
      </c>
      <c r="S24" s="362">
        <v>15820</v>
      </c>
      <c r="T24" s="362">
        <v>15820</v>
      </c>
      <c r="U24" s="362"/>
      <c r="V24" s="301"/>
      <c r="W24" s="362"/>
      <c r="X24" s="480">
        <f t="shared" si="11"/>
        <v>148030</v>
      </c>
      <c r="Y24" s="69"/>
      <c r="Z24" s="69"/>
    </row>
    <row r="25" spans="1:26">
      <c r="A25" s="114">
        <f t="shared" si="12"/>
        <v>2020007</v>
      </c>
      <c r="B25" s="74"/>
      <c r="C25" s="642"/>
      <c r="D25" s="645"/>
      <c r="E25" s="645"/>
      <c r="F25" s="645"/>
      <c r="G25" s="645"/>
      <c r="H25" s="648"/>
      <c r="I25" s="650"/>
      <c r="J25" s="629"/>
      <c r="K25" s="174" t="s">
        <v>30</v>
      </c>
      <c r="L25" s="362">
        <v>27450</v>
      </c>
      <c r="M25" s="362">
        <v>27450</v>
      </c>
      <c r="N25" s="362">
        <v>27450</v>
      </c>
      <c r="O25" s="362">
        <v>27450</v>
      </c>
      <c r="P25" s="362">
        <v>27450</v>
      </c>
      <c r="Q25" s="362">
        <v>25620</v>
      </c>
      <c r="R25" s="362">
        <v>25620</v>
      </c>
      <c r="S25" s="362">
        <v>25620</v>
      </c>
      <c r="T25" s="362">
        <v>25620</v>
      </c>
      <c r="U25" s="362"/>
      <c r="V25" s="301"/>
      <c r="W25" s="362"/>
      <c r="X25" s="480">
        <f t="shared" si="11"/>
        <v>239730</v>
      </c>
      <c r="Y25" s="69"/>
      <c r="Z25" s="69"/>
    </row>
    <row r="26" spans="1:26">
      <c r="A26" s="114">
        <f t="shared" si="12"/>
        <v>2020007</v>
      </c>
      <c r="B26" s="74"/>
      <c r="C26" s="642"/>
      <c r="D26" s="645"/>
      <c r="E26" s="645"/>
      <c r="F26" s="645"/>
      <c r="G26" s="645"/>
      <c r="H26" s="648"/>
      <c r="I26" s="650"/>
      <c r="J26" s="629"/>
      <c r="K26" s="174" t="s">
        <v>31</v>
      </c>
      <c r="L26" s="362">
        <v>1462</v>
      </c>
      <c r="M26" s="362">
        <v>1393</v>
      </c>
      <c r="N26" s="362">
        <v>1469</v>
      </c>
      <c r="O26" s="362">
        <v>1507</v>
      </c>
      <c r="P26" s="362">
        <v>1445</v>
      </c>
      <c r="Q26" s="362">
        <v>1457</v>
      </c>
      <c r="R26" s="362">
        <v>1546</v>
      </c>
      <c r="S26" s="362">
        <v>1301</v>
      </c>
      <c r="T26" s="362">
        <v>1350</v>
      </c>
      <c r="U26" s="362"/>
      <c r="V26" s="301"/>
      <c r="W26" s="362"/>
      <c r="X26" s="480">
        <f t="shared" si="11"/>
        <v>12930</v>
      </c>
      <c r="Y26" s="69"/>
      <c r="Z26" s="69"/>
    </row>
    <row r="27" spans="1:26">
      <c r="A27" s="114">
        <f t="shared" si="12"/>
        <v>2020007</v>
      </c>
      <c r="B27" s="74"/>
      <c r="C27" s="642"/>
      <c r="D27" s="645"/>
      <c r="E27" s="645"/>
      <c r="F27" s="645"/>
      <c r="G27" s="645"/>
      <c r="H27" s="648"/>
      <c r="I27" s="650"/>
      <c r="J27" s="629"/>
      <c r="K27" s="174" t="s">
        <v>32</v>
      </c>
      <c r="L27" s="362">
        <v>1609</v>
      </c>
      <c r="M27" s="362">
        <v>1533</v>
      </c>
      <c r="N27" s="362">
        <v>1616</v>
      </c>
      <c r="O27" s="362">
        <v>1658</v>
      </c>
      <c r="P27" s="362">
        <v>1590</v>
      </c>
      <c r="Q27" s="362">
        <v>1603</v>
      </c>
      <c r="R27" s="362">
        <v>1701</v>
      </c>
      <c r="S27" s="362">
        <v>1431</v>
      </c>
      <c r="T27" s="362">
        <v>945</v>
      </c>
      <c r="U27" s="362"/>
      <c r="V27" s="301"/>
      <c r="W27" s="362"/>
      <c r="X27" s="480">
        <f t="shared" si="11"/>
        <v>13686</v>
      </c>
      <c r="Y27" s="69"/>
      <c r="Z27" s="69"/>
    </row>
    <row r="28" spans="1:26">
      <c r="A28" s="114">
        <f>+A27</f>
        <v>2020007</v>
      </c>
      <c r="B28" s="74"/>
      <c r="C28" s="654"/>
      <c r="D28" s="655"/>
      <c r="E28" s="655"/>
      <c r="F28" s="655"/>
      <c r="G28" s="655"/>
      <c r="H28" s="652"/>
      <c r="I28" s="653"/>
      <c r="J28" s="630"/>
      <c r="K28" s="175" t="s">
        <v>33</v>
      </c>
      <c r="L28" s="356">
        <f t="shared" ref="L28:T28" si="14">L17-L20</f>
        <v>26729</v>
      </c>
      <c r="M28" s="345">
        <f t="shared" si="14"/>
        <v>-3426</v>
      </c>
      <c r="N28" s="345">
        <f t="shared" si="14"/>
        <v>8917</v>
      </c>
      <c r="O28" s="345">
        <f t="shared" si="14"/>
        <v>59297</v>
      </c>
      <c r="P28" s="345">
        <f t="shared" si="14"/>
        <v>-21513</v>
      </c>
      <c r="Q28" s="345">
        <f t="shared" si="14"/>
        <v>29812</v>
      </c>
      <c r="R28" s="345">
        <f t="shared" si="14"/>
        <v>-4285</v>
      </c>
      <c r="S28" s="345">
        <f t="shared" si="14"/>
        <v>-12004</v>
      </c>
      <c r="T28" s="345">
        <f t="shared" si="14"/>
        <v>-47977</v>
      </c>
      <c r="U28" s="345"/>
      <c r="V28" s="412"/>
      <c r="W28" s="510"/>
      <c r="X28" s="485">
        <f t="shared" ref="X28" si="15">X17-X20</f>
        <v>35550</v>
      </c>
      <c r="Z28" s="69"/>
    </row>
    <row r="29" spans="1:26">
      <c r="A29" s="113">
        <v>2021012</v>
      </c>
      <c r="C29" s="641">
        <f t="shared" ref="C29" si="16">C17+1</f>
        <v>3</v>
      </c>
      <c r="D29" s="645" t="s">
        <v>94</v>
      </c>
      <c r="E29" s="645"/>
      <c r="F29" s="645"/>
      <c r="G29" s="645" t="s">
        <v>143</v>
      </c>
      <c r="H29" s="648"/>
      <c r="I29" s="648" t="s">
        <v>82</v>
      </c>
      <c r="J29" s="629" t="s">
        <v>80</v>
      </c>
      <c r="K29" s="177" t="s">
        <v>23</v>
      </c>
      <c r="L29" s="357">
        <f t="shared" ref="L29:W29" si="17">L30+L31</f>
        <v>360360</v>
      </c>
      <c r="M29" s="413">
        <f t="shared" si="17"/>
        <v>370440</v>
      </c>
      <c r="N29" s="413">
        <f t="shared" si="17"/>
        <v>374220</v>
      </c>
      <c r="O29" s="413">
        <f t="shared" si="17"/>
        <v>384300</v>
      </c>
      <c r="P29" s="413">
        <f t="shared" si="17"/>
        <v>307440</v>
      </c>
      <c r="Q29" s="413">
        <f t="shared" si="17"/>
        <v>361620</v>
      </c>
      <c r="R29" s="413">
        <f t="shared" si="17"/>
        <v>366660</v>
      </c>
      <c r="S29" s="413">
        <f t="shared" si="17"/>
        <v>312480</v>
      </c>
      <c r="T29" s="413">
        <f t="shared" si="17"/>
        <v>352800</v>
      </c>
      <c r="U29" s="413">
        <f t="shared" si="17"/>
        <v>328860</v>
      </c>
      <c r="V29" s="413">
        <f t="shared" si="17"/>
        <v>307440</v>
      </c>
      <c r="W29" s="264">
        <f t="shared" si="17"/>
        <v>360360</v>
      </c>
      <c r="X29" s="42">
        <f t="shared" ref="X29:X39" si="18">SUM(L29:W29)</f>
        <v>4186980</v>
      </c>
      <c r="Z29" s="69"/>
    </row>
    <row r="30" spans="1:26">
      <c r="A30" s="114">
        <f>+A29</f>
        <v>2021012</v>
      </c>
      <c r="B30" s="74"/>
      <c r="C30" s="642"/>
      <c r="D30" s="645"/>
      <c r="E30" s="645"/>
      <c r="F30" s="645"/>
      <c r="G30" s="645"/>
      <c r="H30" s="648"/>
      <c r="I30" s="650"/>
      <c r="J30" s="629"/>
      <c r="K30" s="172" t="s">
        <v>24</v>
      </c>
      <c r="L30" s="362">
        <v>360360</v>
      </c>
      <c r="M30" s="301">
        <v>370440</v>
      </c>
      <c r="N30" s="301">
        <v>374220</v>
      </c>
      <c r="O30" s="301">
        <v>384300</v>
      </c>
      <c r="P30" s="301">
        <v>307440</v>
      </c>
      <c r="Q30" s="301">
        <v>361620</v>
      </c>
      <c r="R30" s="301">
        <v>366660</v>
      </c>
      <c r="S30" s="301">
        <v>312480</v>
      </c>
      <c r="T30" s="301">
        <v>352800</v>
      </c>
      <c r="U30" s="301">
        <v>328860</v>
      </c>
      <c r="V30" s="301">
        <v>307440</v>
      </c>
      <c r="W30" s="102">
        <v>360360</v>
      </c>
      <c r="X30" s="58">
        <f t="shared" si="18"/>
        <v>4186980</v>
      </c>
      <c r="Y30" s="69"/>
      <c r="Z30" s="69"/>
    </row>
    <row r="31" spans="1:26">
      <c r="A31" s="114">
        <f>+A30</f>
        <v>2021012</v>
      </c>
      <c r="B31" s="74"/>
      <c r="C31" s="642"/>
      <c r="D31" s="645"/>
      <c r="E31" s="645"/>
      <c r="F31" s="645"/>
      <c r="G31" s="645"/>
      <c r="H31" s="648"/>
      <c r="I31" s="650"/>
      <c r="J31" s="629"/>
      <c r="K31" s="172" t="s">
        <v>25</v>
      </c>
      <c r="L31" s="354"/>
      <c r="M31" s="297"/>
      <c r="N31" s="297"/>
      <c r="O31" s="297"/>
      <c r="P31" s="297"/>
      <c r="Q31" s="297"/>
      <c r="R31" s="297"/>
      <c r="S31" s="297"/>
      <c r="T31" s="297"/>
      <c r="U31" s="297"/>
      <c r="V31" s="297"/>
      <c r="W31" s="93"/>
      <c r="X31" s="58">
        <f t="shared" si="18"/>
        <v>0</v>
      </c>
      <c r="Z31" s="69"/>
    </row>
    <row r="32" spans="1:26">
      <c r="A32" s="114">
        <f t="shared" ref="A32:A39" si="19">+A31</f>
        <v>2021012</v>
      </c>
      <c r="B32" s="74"/>
      <c r="C32" s="642"/>
      <c r="D32" s="645"/>
      <c r="E32" s="645"/>
      <c r="F32" s="645"/>
      <c r="G32" s="645"/>
      <c r="H32" s="648"/>
      <c r="I32" s="650"/>
      <c r="J32" s="629"/>
      <c r="K32" s="173" t="s">
        <v>26</v>
      </c>
      <c r="L32" s="355">
        <f t="shared" ref="L32:W32" si="20">SUM(L33:L39)</f>
        <v>301427</v>
      </c>
      <c r="M32" s="411">
        <f t="shared" si="20"/>
        <v>295925</v>
      </c>
      <c r="N32" s="411">
        <f t="shared" si="20"/>
        <v>310482</v>
      </c>
      <c r="O32" s="411">
        <f t="shared" si="20"/>
        <v>326514</v>
      </c>
      <c r="P32" s="411">
        <f t="shared" si="20"/>
        <v>288158</v>
      </c>
      <c r="Q32" s="411">
        <f t="shared" si="20"/>
        <v>296397</v>
      </c>
      <c r="R32" s="411">
        <f t="shared" si="20"/>
        <v>318739</v>
      </c>
      <c r="S32" s="411">
        <f t="shared" si="20"/>
        <v>267925</v>
      </c>
      <c r="T32" s="411">
        <f t="shared" si="20"/>
        <v>308830</v>
      </c>
      <c r="U32" s="411">
        <f t="shared" si="20"/>
        <v>279965</v>
      </c>
      <c r="V32" s="411">
        <f t="shared" si="20"/>
        <v>278233</v>
      </c>
      <c r="W32" s="108">
        <f t="shared" si="20"/>
        <v>301427</v>
      </c>
      <c r="X32" s="59">
        <f t="shared" si="18"/>
        <v>3574022</v>
      </c>
      <c r="Z32" s="69"/>
    </row>
    <row r="33" spans="1:26">
      <c r="A33" s="114">
        <f t="shared" si="19"/>
        <v>2021012</v>
      </c>
      <c r="B33" s="74"/>
      <c r="C33" s="642"/>
      <c r="D33" s="645"/>
      <c r="E33" s="645"/>
      <c r="F33" s="645"/>
      <c r="G33" s="645"/>
      <c r="H33" s="648"/>
      <c r="I33" s="650"/>
      <c r="J33" s="629"/>
      <c r="K33" s="174" t="s">
        <v>27</v>
      </c>
      <c r="L33" s="362">
        <v>258135</v>
      </c>
      <c r="M33" s="301">
        <v>252690</v>
      </c>
      <c r="N33" s="301">
        <v>268120</v>
      </c>
      <c r="O33" s="301">
        <v>283985</v>
      </c>
      <c r="P33" s="301">
        <v>246028</v>
      </c>
      <c r="Q33" s="301">
        <v>253125</v>
      </c>
      <c r="R33" s="301">
        <v>275235</v>
      </c>
      <c r="S33" s="301">
        <v>226005</v>
      </c>
      <c r="T33" s="301">
        <v>266485</v>
      </c>
      <c r="U33" s="301">
        <v>236860</v>
      </c>
      <c r="V33" s="301">
        <v>236025</v>
      </c>
      <c r="W33" s="102">
        <v>258135</v>
      </c>
      <c r="X33" s="58">
        <f t="shared" si="18"/>
        <v>3060828</v>
      </c>
      <c r="Y33" s="69"/>
      <c r="Z33" s="69"/>
    </row>
    <row r="34" spans="1:26">
      <c r="A34" s="114">
        <f t="shared" si="19"/>
        <v>2021012</v>
      </c>
      <c r="B34" s="74"/>
      <c r="C34" s="642"/>
      <c r="D34" s="645"/>
      <c r="E34" s="645"/>
      <c r="F34" s="645"/>
      <c r="G34" s="645"/>
      <c r="H34" s="648"/>
      <c r="I34" s="650"/>
      <c r="J34" s="629"/>
      <c r="K34" s="174" t="s">
        <v>86</v>
      </c>
      <c r="L34" s="362"/>
      <c r="M34" s="301"/>
      <c r="N34" s="301"/>
      <c r="O34" s="301"/>
      <c r="P34" s="301"/>
      <c r="Q34" s="301"/>
      <c r="R34" s="301"/>
      <c r="S34" s="301"/>
      <c r="T34" s="301"/>
      <c r="U34" s="301"/>
      <c r="V34" s="301"/>
      <c r="W34" s="102"/>
      <c r="X34" s="58">
        <f t="shared" si="18"/>
        <v>0</v>
      </c>
      <c r="Y34" s="69"/>
      <c r="Z34" s="69"/>
    </row>
    <row r="35" spans="1:26">
      <c r="A35" s="114">
        <f t="shared" si="19"/>
        <v>2021012</v>
      </c>
      <c r="B35" s="74"/>
      <c r="C35" s="642"/>
      <c r="D35" s="645"/>
      <c r="E35" s="645"/>
      <c r="F35" s="645"/>
      <c r="G35" s="645"/>
      <c r="H35" s="648"/>
      <c r="I35" s="650"/>
      <c r="J35" s="629"/>
      <c r="K35" s="174" t="s">
        <v>28</v>
      </c>
      <c r="L35" s="362">
        <v>2080</v>
      </c>
      <c r="M35" s="301">
        <v>2080</v>
      </c>
      <c r="N35" s="301">
        <v>1056</v>
      </c>
      <c r="O35" s="301">
        <v>1056</v>
      </c>
      <c r="P35" s="301">
        <v>1056</v>
      </c>
      <c r="Q35" s="301">
        <v>2112</v>
      </c>
      <c r="R35" s="301">
        <v>2112</v>
      </c>
      <c r="S35" s="301">
        <v>1056</v>
      </c>
      <c r="T35" s="301">
        <v>1056</v>
      </c>
      <c r="U35" s="301">
        <v>2116</v>
      </c>
      <c r="V35" s="301">
        <v>1056</v>
      </c>
      <c r="W35" s="102">
        <v>2080</v>
      </c>
      <c r="X35" s="58">
        <f t="shared" si="18"/>
        <v>18916</v>
      </c>
      <c r="Y35" s="69"/>
      <c r="Z35" s="69"/>
    </row>
    <row r="36" spans="1:26">
      <c r="A36" s="114">
        <f t="shared" si="19"/>
        <v>2021012</v>
      </c>
      <c r="B36" s="74"/>
      <c r="C36" s="642"/>
      <c r="D36" s="645"/>
      <c r="E36" s="645"/>
      <c r="F36" s="645"/>
      <c r="G36" s="645"/>
      <c r="H36" s="648"/>
      <c r="I36" s="650"/>
      <c r="J36" s="629"/>
      <c r="K36" s="174" t="s">
        <v>29</v>
      </c>
      <c r="L36" s="362">
        <v>14690</v>
      </c>
      <c r="M36" s="301">
        <v>14690</v>
      </c>
      <c r="N36" s="301">
        <v>14690</v>
      </c>
      <c r="O36" s="301">
        <v>14690</v>
      </c>
      <c r="P36" s="301">
        <v>14690</v>
      </c>
      <c r="Q36" s="301">
        <v>14690</v>
      </c>
      <c r="R36" s="301">
        <v>14690</v>
      </c>
      <c r="S36" s="301">
        <v>14690</v>
      </c>
      <c r="T36" s="301">
        <v>14690</v>
      </c>
      <c r="U36" s="301">
        <v>14690</v>
      </c>
      <c r="V36" s="301">
        <v>14690</v>
      </c>
      <c r="W36" s="102">
        <v>14690</v>
      </c>
      <c r="X36" s="58">
        <f t="shared" si="18"/>
        <v>176280</v>
      </c>
      <c r="Y36" s="69"/>
      <c r="Z36" s="69"/>
    </row>
    <row r="37" spans="1:26">
      <c r="A37" s="114">
        <f t="shared" si="19"/>
        <v>2021012</v>
      </c>
      <c r="B37" s="74"/>
      <c r="C37" s="642"/>
      <c r="D37" s="645"/>
      <c r="E37" s="645"/>
      <c r="F37" s="645"/>
      <c r="G37" s="645"/>
      <c r="H37" s="648"/>
      <c r="I37" s="650"/>
      <c r="J37" s="629"/>
      <c r="K37" s="174" t="s">
        <v>30</v>
      </c>
      <c r="L37" s="362">
        <v>23790</v>
      </c>
      <c r="M37" s="301">
        <v>23790</v>
      </c>
      <c r="N37" s="301">
        <v>23790</v>
      </c>
      <c r="O37" s="301">
        <v>23790</v>
      </c>
      <c r="P37" s="301">
        <v>23790</v>
      </c>
      <c r="Q37" s="301">
        <v>23790</v>
      </c>
      <c r="R37" s="301">
        <v>23790</v>
      </c>
      <c r="S37" s="301">
        <v>23790</v>
      </c>
      <c r="T37" s="301">
        <v>23790</v>
      </c>
      <c r="U37" s="301">
        <v>23790</v>
      </c>
      <c r="V37" s="301">
        <v>23790</v>
      </c>
      <c r="W37" s="102">
        <v>23790</v>
      </c>
      <c r="X37" s="58">
        <f t="shared" si="18"/>
        <v>285480</v>
      </c>
      <c r="Y37" s="69"/>
      <c r="Z37" s="69"/>
    </row>
    <row r="38" spans="1:26">
      <c r="A38" s="114">
        <f t="shared" si="19"/>
        <v>2021012</v>
      </c>
      <c r="B38" s="74"/>
      <c r="C38" s="642"/>
      <c r="D38" s="645"/>
      <c r="E38" s="645"/>
      <c r="F38" s="645"/>
      <c r="G38" s="645"/>
      <c r="H38" s="648"/>
      <c r="I38" s="650"/>
      <c r="J38" s="629"/>
      <c r="K38" s="174" t="s">
        <v>31</v>
      </c>
      <c r="L38" s="362">
        <v>1301</v>
      </c>
      <c r="M38" s="301">
        <v>1274</v>
      </c>
      <c r="N38" s="301">
        <v>1346</v>
      </c>
      <c r="O38" s="301">
        <v>1425</v>
      </c>
      <c r="P38" s="301">
        <v>1235</v>
      </c>
      <c r="Q38" s="301">
        <v>1276</v>
      </c>
      <c r="R38" s="301">
        <v>1387</v>
      </c>
      <c r="S38" s="301">
        <v>1135</v>
      </c>
      <c r="T38" s="301">
        <v>1338</v>
      </c>
      <c r="U38" s="301">
        <v>1195</v>
      </c>
      <c r="V38" s="301">
        <v>1272</v>
      </c>
      <c r="W38" s="102">
        <v>1301</v>
      </c>
      <c r="X38" s="58">
        <f t="shared" si="18"/>
        <v>15485</v>
      </c>
      <c r="Y38" s="69"/>
      <c r="Z38" s="69"/>
    </row>
    <row r="39" spans="1:26">
      <c r="A39" s="114">
        <f t="shared" si="19"/>
        <v>2021012</v>
      </c>
      <c r="B39" s="74"/>
      <c r="C39" s="642"/>
      <c r="D39" s="645"/>
      <c r="E39" s="645"/>
      <c r="F39" s="645"/>
      <c r="G39" s="645"/>
      <c r="H39" s="648"/>
      <c r="I39" s="650"/>
      <c r="J39" s="629"/>
      <c r="K39" s="174" t="s">
        <v>32</v>
      </c>
      <c r="L39" s="362">
        <v>1431</v>
      </c>
      <c r="M39" s="301">
        <v>1401</v>
      </c>
      <c r="N39" s="301">
        <v>1480</v>
      </c>
      <c r="O39" s="301">
        <v>1568</v>
      </c>
      <c r="P39" s="301">
        <v>1359</v>
      </c>
      <c r="Q39" s="301">
        <v>1404</v>
      </c>
      <c r="R39" s="301">
        <v>1525</v>
      </c>
      <c r="S39" s="301">
        <v>1249</v>
      </c>
      <c r="T39" s="301">
        <v>1471</v>
      </c>
      <c r="U39" s="301">
        <v>1314</v>
      </c>
      <c r="V39" s="301">
        <v>1400</v>
      </c>
      <c r="W39" s="102">
        <v>1431</v>
      </c>
      <c r="X39" s="58">
        <f t="shared" si="18"/>
        <v>17033</v>
      </c>
      <c r="Y39" s="69"/>
      <c r="Z39" s="69"/>
    </row>
    <row r="40" spans="1:26">
      <c r="A40" s="114">
        <f>+A39</f>
        <v>2021012</v>
      </c>
      <c r="B40" s="74"/>
      <c r="C40" s="654"/>
      <c r="D40" s="655"/>
      <c r="E40" s="655"/>
      <c r="F40" s="655"/>
      <c r="G40" s="655"/>
      <c r="H40" s="652"/>
      <c r="I40" s="653"/>
      <c r="J40" s="630"/>
      <c r="K40" s="175" t="s">
        <v>33</v>
      </c>
      <c r="L40" s="356">
        <f t="shared" ref="L40:X40" si="21">L29-L32</f>
        <v>58933</v>
      </c>
      <c r="M40" s="412">
        <f t="shared" si="21"/>
        <v>74515</v>
      </c>
      <c r="N40" s="412">
        <f t="shared" si="21"/>
        <v>63738</v>
      </c>
      <c r="O40" s="412">
        <f t="shared" si="21"/>
        <v>57786</v>
      </c>
      <c r="P40" s="412">
        <f t="shared" si="21"/>
        <v>19282</v>
      </c>
      <c r="Q40" s="412">
        <f t="shared" si="21"/>
        <v>65223</v>
      </c>
      <c r="R40" s="412">
        <f t="shared" si="21"/>
        <v>47921</v>
      </c>
      <c r="S40" s="412">
        <f t="shared" si="21"/>
        <v>44555</v>
      </c>
      <c r="T40" s="412">
        <f t="shared" si="21"/>
        <v>43970</v>
      </c>
      <c r="U40" s="412">
        <f t="shared" si="21"/>
        <v>48895</v>
      </c>
      <c r="V40" s="412">
        <f t="shared" si="21"/>
        <v>29207</v>
      </c>
      <c r="W40" s="109">
        <f t="shared" si="21"/>
        <v>58933</v>
      </c>
      <c r="X40" s="43">
        <f t="shared" si="21"/>
        <v>612958</v>
      </c>
      <c r="Z40" s="69"/>
    </row>
    <row r="41" spans="1:26">
      <c r="A41" s="113">
        <v>2019053</v>
      </c>
      <c r="C41" s="641">
        <f t="shared" ref="C41" si="22">C29+1</f>
        <v>4</v>
      </c>
      <c r="D41" s="645" t="s">
        <v>94</v>
      </c>
      <c r="E41" s="645"/>
      <c r="F41" s="645"/>
      <c r="G41" s="645" t="s">
        <v>143</v>
      </c>
      <c r="H41" s="648"/>
      <c r="I41" s="648" t="s">
        <v>82</v>
      </c>
      <c r="J41" s="629" t="s">
        <v>80</v>
      </c>
      <c r="K41" s="177" t="s">
        <v>23</v>
      </c>
      <c r="L41" s="357">
        <f t="shared" ref="L41:W41" si="23">L42+L43</f>
        <v>513135</v>
      </c>
      <c r="M41" s="413">
        <f t="shared" si="23"/>
        <v>458010</v>
      </c>
      <c r="N41" s="413">
        <f t="shared" si="23"/>
        <v>440685</v>
      </c>
      <c r="O41" s="413">
        <f t="shared" si="23"/>
        <v>453915</v>
      </c>
      <c r="P41" s="413">
        <f t="shared" si="23"/>
        <v>449505</v>
      </c>
      <c r="Q41" s="413">
        <f t="shared" si="23"/>
        <v>471870</v>
      </c>
      <c r="R41" s="413">
        <f t="shared" si="23"/>
        <v>513765</v>
      </c>
      <c r="S41" s="413">
        <f t="shared" si="23"/>
        <v>405090</v>
      </c>
      <c r="T41" s="413">
        <f t="shared" si="23"/>
        <v>474390</v>
      </c>
      <c r="U41" s="413">
        <f t="shared" si="23"/>
        <v>404460</v>
      </c>
      <c r="V41" s="413">
        <f t="shared" si="23"/>
        <v>349650</v>
      </c>
      <c r="W41" s="264">
        <f t="shared" si="23"/>
        <v>513135</v>
      </c>
      <c r="X41" s="42">
        <f t="shared" ref="X41:X51" si="24">SUM(L41:W41)</f>
        <v>5447610</v>
      </c>
      <c r="Z41" s="69"/>
    </row>
    <row r="42" spans="1:26">
      <c r="A42" s="114">
        <f>+A41</f>
        <v>2019053</v>
      </c>
      <c r="B42" s="74"/>
      <c r="C42" s="642"/>
      <c r="D42" s="645"/>
      <c r="E42" s="645"/>
      <c r="F42" s="645"/>
      <c r="G42" s="645"/>
      <c r="H42" s="648"/>
      <c r="I42" s="650"/>
      <c r="J42" s="629"/>
      <c r="K42" s="172" t="s">
        <v>24</v>
      </c>
      <c r="L42" s="362">
        <v>513135</v>
      </c>
      <c r="M42" s="301">
        <v>458010</v>
      </c>
      <c r="N42" s="301">
        <v>440685</v>
      </c>
      <c r="O42" s="301">
        <v>453915</v>
      </c>
      <c r="P42" s="301">
        <v>449505</v>
      </c>
      <c r="Q42" s="301">
        <v>471870</v>
      </c>
      <c r="R42" s="301">
        <v>513765</v>
      </c>
      <c r="S42" s="301">
        <v>405090</v>
      </c>
      <c r="T42" s="301">
        <v>474390</v>
      </c>
      <c r="U42" s="301">
        <v>404460</v>
      </c>
      <c r="V42" s="301">
        <v>349650</v>
      </c>
      <c r="W42" s="102">
        <v>513135</v>
      </c>
      <c r="X42" s="58">
        <f t="shared" si="24"/>
        <v>5447610</v>
      </c>
      <c r="Y42" s="69"/>
      <c r="Z42" s="69"/>
    </row>
    <row r="43" spans="1:26">
      <c r="A43" s="114">
        <f>+A42</f>
        <v>2019053</v>
      </c>
      <c r="B43" s="74"/>
      <c r="C43" s="642"/>
      <c r="D43" s="645"/>
      <c r="E43" s="645"/>
      <c r="F43" s="645"/>
      <c r="G43" s="645"/>
      <c r="H43" s="648"/>
      <c r="I43" s="650"/>
      <c r="J43" s="629"/>
      <c r="K43" s="172" t="s">
        <v>25</v>
      </c>
      <c r="L43" s="354"/>
      <c r="M43" s="297"/>
      <c r="N43" s="297"/>
      <c r="O43" s="297"/>
      <c r="P43" s="297"/>
      <c r="Q43" s="297"/>
      <c r="R43" s="297"/>
      <c r="S43" s="297"/>
      <c r="T43" s="297"/>
      <c r="U43" s="297"/>
      <c r="V43" s="297"/>
      <c r="W43" s="93"/>
      <c r="X43" s="58">
        <f t="shared" si="24"/>
        <v>0</v>
      </c>
      <c r="Z43" s="69"/>
    </row>
    <row r="44" spans="1:26">
      <c r="A44" s="114">
        <f t="shared" ref="A44:A51" si="25">+A43</f>
        <v>2019053</v>
      </c>
      <c r="B44" s="74"/>
      <c r="C44" s="642"/>
      <c r="D44" s="645"/>
      <c r="E44" s="645"/>
      <c r="F44" s="645"/>
      <c r="G44" s="645"/>
      <c r="H44" s="648"/>
      <c r="I44" s="650"/>
      <c r="J44" s="629"/>
      <c r="K44" s="173" t="s">
        <v>26</v>
      </c>
      <c r="L44" s="355">
        <f t="shared" ref="L44:W44" si="26">SUM(L45:L51)</f>
        <v>436703</v>
      </c>
      <c r="M44" s="411">
        <f t="shared" si="26"/>
        <v>406534</v>
      </c>
      <c r="N44" s="411">
        <f t="shared" si="26"/>
        <v>383396</v>
      </c>
      <c r="O44" s="411">
        <f t="shared" si="26"/>
        <v>406296</v>
      </c>
      <c r="P44" s="411">
        <f t="shared" si="26"/>
        <v>393916</v>
      </c>
      <c r="Q44" s="411">
        <f t="shared" si="26"/>
        <v>414889</v>
      </c>
      <c r="R44" s="411">
        <f t="shared" si="26"/>
        <v>434262</v>
      </c>
      <c r="S44" s="411">
        <f t="shared" si="26"/>
        <v>372486</v>
      </c>
      <c r="T44" s="411">
        <f t="shared" si="26"/>
        <v>424685</v>
      </c>
      <c r="U44" s="411">
        <f t="shared" si="26"/>
        <v>372177</v>
      </c>
      <c r="V44" s="411">
        <f t="shared" si="26"/>
        <v>346819</v>
      </c>
      <c r="W44" s="108">
        <f t="shared" si="26"/>
        <v>436703</v>
      </c>
      <c r="X44" s="59">
        <f t="shared" si="24"/>
        <v>4828866</v>
      </c>
      <c r="Z44" s="69"/>
    </row>
    <row r="45" spans="1:26">
      <c r="A45" s="114">
        <f t="shared" si="25"/>
        <v>2019053</v>
      </c>
      <c r="B45" s="74"/>
      <c r="C45" s="642"/>
      <c r="D45" s="645"/>
      <c r="E45" s="645"/>
      <c r="F45" s="645"/>
      <c r="G45" s="645"/>
      <c r="H45" s="648"/>
      <c r="I45" s="650"/>
      <c r="J45" s="629"/>
      <c r="K45" s="174" t="s">
        <v>27</v>
      </c>
      <c r="L45" s="362">
        <v>372283</v>
      </c>
      <c r="M45" s="301">
        <v>356970</v>
      </c>
      <c r="N45" s="301">
        <v>331428</v>
      </c>
      <c r="O45" s="301">
        <v>355413</v>
      </c>
      <c r="P45" s="301">
        <v>337658</v>
      </c>
      <c r="Q45" s="301">
        <v>355770</v>
      </c>
      <c r="R45" s="301">
        <v>378908</v>
      </c>
      <c r="S45" s="301">
        <v>318435</v>
      </c>
      <c r="T45" s="301">
        <v>369430</v>
      </c>
      <c r="U45" s="301">
        <v>318790</v>
      </c>
      <c r="V45" s="301">
        <v>293515</v>
      </c>
      <c r="W45" s="102">
        <v>372283</v>
      </c>
      <c r="X45" s="58">
        <f t="shared" si="24"/>
        <v>4160883</v>
      </c>
      <c r="Y45" s="69"/>
      <c r="Z45" s="69"/>
    </row>
    <row r="46" spans="1:26">
      <c r="A46" s="114">
        <f t="shared" si="25"/>
        <v>2019053</v>
      </c>
      <c r="B46" s="74"/>
      <c r="C46" s="642"/>
      <c r="D46" s="645"/>
      <c r="E46" s="645"/>
      <c r="F46" s="645"/>
      <c r="G46" s="645"/>
      <c r="H46" s="648"/>
      <c r="I46" s="650"/>
      <c r="J46" s="629"/>
      <c r="K46" s="174" t="s">
        <v>86</v>
      </c>
      <c r="L46" s="362"/>
      <c r="M46" s="301"/>
      <c r="N46" s="301"/>
      <c r="O46" s="301"/>
      <c r="P46" s="301"/>
      <c r="Q46" s="301"/>
      <c r="R46" s="301"/>
      <c r="S46" s="301"/>
      <c r="T46" s="301"/>
      <c r="U46" s="301"/>
      <c r="V46" s="301"/>
      <c r="W46" s="102"/>
      <c r="X46" s="58">
        <f t="shared" si="24"/>
        <v>0</v>
      </c>
      <c r="Y46" s="69"/>
      <c r="Z46" s="69"/>
    </row>
    <row r="47" spans="1:26">
      <c r="A47" s="114">
        <f t="shared" si="25"/>
        <v>2019053</v>
      </c>
      <c r="B47" s="74"/>
      <c r="C47" s="642"/>
      <c r="D47" s="645"/>
      <c r="E47" s="645"/>
      <c r="F47" s="645"/>
      <c r="G47" s="645"/>
      <c r="H47" s="648"/>
      <c r="I47" s="650"/>
      <c r="J47" s="629"/>
      <c r="K47" s="174" t="s">
        <v>28</v>
      </c>
      <c r="L47" s="362">
        <v>15864</v>
      </c>
      <c r="M47" s="301">
        <v>1322</v>
      </c>
      <c r="N47" s="301">
        <v>3966</v>
      </c>
      <c r="O47" s="301">
        <v>2644</v>
      </c>
      <c r="P47" s="301">
        <v>2644</v>
      </c>
      <c r="Q47" s="301">
        <v>5288</v>
      </c>
      <c r="R47" s="301">
        <v>1322</v>
      </c>
      <c r="S47" s="301">
        <v>661</v>
      </c>
      <c r="T47" s="301">
        <v>1322</v>
      </c>
      <c r="U47" s="301">
        <v>0</v>
      </c>
      <c r="V47" s="301">
        <v>0</v>
      </c>
      <c r="W47" s="102">
        <v>15864</v>
      </c>
      <c r="X47" s="58">
        <f t="shared" si="24"/>
        <v>50897</v>
      </c>
      <c r="Y47" s="69"/>
      <c r="Z47" s="69"/>
    </row>
    <row r="48" spans="1:26">
      <c r="A48" s="114">
        <f t="shared" si="25"/>
        <v>2019053</v>
      </c>
      <c r="B48" s="74"/>
      <c r="C48" s="642"/>
      <c r="D48" s="645"/>
      <c r="E48" s="645"/>
      <c r="F48" s="645"/>
      <c r="G48" s="645"/>
      <c r="H48" s="648"/>
      <c r="I48" s="650"/>
      <c r="J48" s="629"/>
      <c r="K48" s="174" t="s">
        <v>29</v>
      </c>
      <c r="L48" s="362">
        <v>15200</v>
      </c>
      <c r="M48" s="301">
        <v>15200</v>
      </c>
      <c r="N48" s="301">
        <v>15200</v>
      </c>
      <c r="O48" s="301">
        <v>15200</v>
      </c>
      <c r="P48" s="301">
        <v>17100</v>
      </c>
      <c r="Q48" s="301">
        <v>17100</v>
      </c>
      <c r="R48" s="301">
        <v>17100</v>
      </c>
      <c r="S48" s="301">
        <v>17100</v>
      </c>
      <c r="T48" s="301">
        <v>17100</v>
      </c>
      <c r="U48" s="301">
        <v>17100</v>
      </c>
      <c r="V48" s="301">
        <v>17100</v>
      </c>
      <c r="W48" s="102">
        <v>15200</v>
      </c>
      <c r="X48" s="58">
        <f t="shared" si="24"/>
        <v>195700</v>
      </c>
      <c r="Y48" s="69"/>
      <c r="Z48" s="69"/>
    </row>
    <row r="49" spans="1:26">
      <c r="A49" s="114">
        <f t="shared" si="25"/>
        <v>2019053</v>
      </c>
      <c r="B49" s="74"/>
      <c r="C49" s="642"/>
      <c r="D49" s="645"/>
      <c r="E49" s="645"/>
      <c r="F49" s="645"/>
      <c r="G49" s="645"/>
      <c r="H49" s="648"/>
      <c r="I49" s="650"/>
      <c r="J49" s="629"/>
      <c r="K49" s="174" t="s">
        <v>30</v>
      </c>
      <c r="L49" s="362">
        <v>29280</v>
      </c>
      <c r="M49" s="301">
        <v>29280</v>
      </c>
      <c r="N49" s="301">
        <v>29280</v>
      </c>
      <c r="O49" s="301">
        <v>29280</v>
      </c>
      <c r="P49" s="301">
        <v>32940</v>
      </c>
      <c r="Q49" s="301">
        <v>32940</v>
      </c>
      <c r="R49" s="301">
        <v>32940</v>
      </c>
      <c r="S49" s="301">
        <v>32940</v>
      </c>
      <c r="T49" s="301">
        <v>32940</v>
      </c>
      <c r="U49" s="301">
        <v>32940</v>
      </c>
      <c r="V49" s="301">
        <v>32940</v>
      </c>
      <c r="W49" s="102">
        <v>29280</v>
      </c>
      <c r="X49" s="58">
        <f t="shared" si="24"/>
        <v>376980</v>
      </c>
      <c r="Y49" s="69"/>
      <c r="Z49" s="69"/>
    </row>
    <row r="50" spans="1:26">
      <c r="A50" s="114">
        <f t="shared" si="25"/>
        <v>2019053</v>
      </c>
      <c r="B50" s="74"/>
      <c r="C50" s="642"/>
      <c r="D50" s="645"/>
      <c r="E50" s="645"/>
      <c r="F50" s="645"/>
      <c r="G50" s="645"/>
      <c r="H50" s="648"/>
      <c r="I50" s="650"/>
      <c r="J50" s="629"/>
      <c r="K50" s="174" t="s">
        <v>31</v>
      </c>
      <c r="L50" s="362">
        <v>1941</v>
      </c>
      <c r="M50" s="301">
        <v>1791</v>
      </c>
      <c r="N50" s="301">
        <v>1677</v>
      </c>
      <c r="O50" s="301">
        <v>1790</v>
      </c>
      <c r="P50" s="301">
        <v>1702</v>
      </c>
      <c r="Q50" s="301">
        <v>1805</v>
      </c>
      <c r="R50" s="301">
        <v>1901</v>
      </c>
      <c r="S50" s="301">
        <v>1595</v>
      </c>
      <c r="T50" s="301">
        <v>1854</v>
      </c>
      <c r="U50" s="301">
        <v>1594</v>
      </c>
      <c r="V50" s="301">
        <v>1554</v>
      </c>
      <c r="W50" s="102">
        <v>1941</v>
      </c>
      <c r="X50" s="58">
        <f t="shared" si="24"/>
        <v>21145</v>
      </c>
      <c r="Y50" s="69"/>
      <c r="Z50" s="69"/>
    </row>
    <row r="51" spans="1:26">
      <c r="A51" s="114">
        <f t="shared" si="25"/>
        <v>2019053</v>
      </c>
      <c r="B51" s="74"/>
      <c r="C51" s="642"/>
      <c r="D51" s="645"/>
      <c r="E51" s="645"/>
      <c r="F51" s="645"/>
      <c r="G51" s="645"/>
      <c r="H51" s="648"/>
      <c r="I51" s="650"/>
      <c r="J51" s="629"/>
      <c r="K51" s="174" t="s">
        <v>32</v>
      </c>
      <c r="L51" s="362">
        <v>2135</v>
      </c>
      <c r="M51" s="301">
        <v>1971</v>
      </c>
      <c r="N51" s="301">
        <v>1845</v>
      </c>
      <c r="O51" s="301">
        <v>1969</v>
      </c>
      <c r="P51" s="301">
        <v>1872</v>
      </c>
      <c r="Q51" s="301">
        <v>1986</v>
      </c>
      <c r="R51" s="301">
        <v>2091</v>
      </c>
      <c r="S51" s="301">
        <v>1755</v>
      </c>
      <c r="T51" s="301">
        <v>2039</v>
      </c>
      <c r="U51" s="301">
        <v>1753</v>
      </c>
      <c r="V51" s="301">
        <v>1710</v>
      </c>
      <c r="W51" s="102">
        <v>2135</v>
      </c>
      <c r="X51" s="58">
        <f t="shared" si="24"/>
        <v>23261</v>
      </c>
      <c r="Y51" s="69"/>
      <c r="Z51" s="69"/>
    </row>
    <row r="52" spans="1:26">
      <c r="A52" s="114">
        <f>+A51</f>
        <v>2019053</v>
      </c>
      <c r="B52" s="74"/>
      <c r="C52" s="654"/>
      <c r="D52" s="655"/>
      <c r="E52" s="655"/>
      <c r="F52" s="655"/>
      <c r="G52" s="655"/>
      <c r="H52" s="652"/>
      <c r="I52" s="653"/>
      <c r="J52" s="630"/>
      <c r="K52" s="175" t="s">
        <v>33</v>
      </c>
      <c r="L52" s="356">
        <f t="shared" ref="L52:X52" si="27">L41-L44</f>
        <v>76432</v>
      </c>
      <c r="M52" s="412">
        <f t="shared" si="27"/>
        <v>51476</v>
      </c>
      <c r="N52" s="412">
        <f t="shared" si="27"/>
        <v>57289</v>
      </c>
      <c r="O52" s="412">
        <f t="shared" si="27"/>
        <v>47619</v>
      </c>
      <c r="P52" s="412">
        <f t="shared" si="27"/>
        <v>55589</v>
      </c>
      <c r="Q52" s="412">
        <f t="shared" si="27"/>
        <v>56981</v>
      </c>
      <c r="R52" s="412">
        <f t="shared" si="27"/>
        <v>79503</v>
      </c>
      <c r="S52" s="412">
        <f t="shared" si="27"/>
        <v>32604</v>
      </c>
      <c r="T52" s="412">
        <f t="shared" si="27"/>
        <v>49705</v>
      </c>
      <c r="U52" s="412">
        <f t="shared" si="27"/>
        <v>32283</v>
      </c>
      <c r="V52" s="412">
        <f t="shared" si="27"/>
        <v>2831</v>
      </c>
      <c r="W52" s="109">
        <f t="shared" si="27"/>
        <v>76432</v>
      </c>
      <c r="X52" s="43">
        <f t="shared" si="27"/>
        <v>618744</v>
      </c>
      <c r="Z52" s="69"/>
    </row>
    <row r="53" spans="1:26">
      <c r="A53" s="113">
        <v>2018048</v>
      </c>
      <c r="C53" s="641">
        <f t="shared" ref="C53" si="28">C41+1</f>
        <v>5</v>
      </c>
      <c r="D53" s="645" t="s">
        <v>94</v>
      </c>
      <c r="E53" s="645"/>
      <c r="F53" s="645"/>
      <c r="G53" s="645" t="s">
        <v>143</v>
      </c>
      <c r="H53" s="648"/>
      <c r="I53" s="648" t="s">
        <v>82</v>
      </c>
      <c r="J53" s="629" t="s">
        <v>80</v>
      </c>
      <c r="K53" s="177" t="s">
        <v>23</v>
      </c>
      <c r="L53" s="357">
        <f t="shared" ref="L53:W53" si="29">L54+L55</f>
        <v>378630</v>
      </c>
      <c r="M53" s="413">
        <f t="shared" si="29"/>
        <v>370125</v>
      </c>
      <c r="N53" s="413">
        <f t="shared" si="29"/>
        <v>406350</v>
      </c>
      <c r="O53" s="413">
        <f t="shared" si="29"/>
        <v>445725</v>
      </c>
      <c r="P53" s="413">
        <f t="shared" si="29"/>
        <v>298620</v>
      </c>
      <c r="Q53" s="413">
        <f t="shared" si="29"/>
        <v>399105</v>
      </c>
      <c r="R53" s="413">
        <f t="shared" si="29"/>
        <v>416430</v>
      </c>
      <c r="S53" s="413">
        <f t="shared" si="29"/>
        <v>367290</v>
      </c>
      <c r="T53" s="413">
        <f t="shared" si="29"/>
        <v>420525</v>
      </c>
      <c r="U53" s="413">
        <f t="shared" si="29"/>
        <v>434070</v>
      </c>
      <c r="V53" s="413">
        <f t="shared" si="29"/>
        <v>440370</v>
      </c>
      <c r="W53" s="264">
        <f t="shared" si="29"/>
        <v>378630</v>
      </c>
      <c r="X53" s="42">
        <f t="shared" ref="X53:X63" si="30">SUM(L53:W53)</f>
        <v>4755870</v>
      </c>
      <c r="Z53" s="69"/>
    </row>
    <row r="54" spans="1:26">
      <c r="A54" s="114">
        <f>+A53</f>
        <v>2018048</v>
      </c>
      <c r="B54" s="74"/>
      <c r="C54" s="642"/>
      <c r="D54" s="645"/>
      <c r="E54" s="645"/>
      <c r="F54" s="645"/>
      <c r="G54" s="645"/>
      <c r="H54" s="648"/>
      <c r="I54" s="650"/>
      <c r="J54" s="629"/>
      <c r="K54" s="172" t="s">
        <v>24</v>
      </c>
      <c r="L54" s="362">
        <v>378630</v>
      </c>
      <c r="M54" s="301">
        <v>370125</v>
      </c>
      <c r="N54" s="301">
        <v>406350</v>
      </c>
      <c r="O54" s="301">
        <v>445725</v>
      </c>
      <c r="P54" s="301">
        <v>298620</v>
      </c>
      <c r="Q54" s="301">
        <v>399105</v>
      </c>
      <c r="R54" s="301">
        <v>416430</v>
      </c>
      <c r="S54" s="301">
        <v>367290</v>
      </c>
      <c r="T54" s="301">
        <v>420525</v>
      </c>
      <c r="U54" s="301">
        <v>434070</v>
      </c>
      <c r="V54" s="301">
        <v>440370</v>
      </c>
      <c r="W54" s="102">
        <v>378630</v>
      </c>
      <c r="X54" s="58">
        <f t="shared" si="30"/>
        <v>4755870</v>
      </c>
      <c r="Y54" s="69"/>
      <c r="Z54" s="69"/>
    </row>
    <row r="55" spans="1:26">
      <c r="A55" s="114">
        <f>+A54</f>
        <v>2018048</v>
      </c>
      <c r="B55" s="74"/>
      <c r="C55" s="642"/>
      <c r="D55" s="645"/>
      <c r="E55" s="645"/>
      <c r="F55" s="645"/>
      <c r="G55" s="645"/>
      <c r="H55" s="648"/>
      <c r="I55" s="650"/>
      <c r="J55" s="629"/>
      <c r="K55" s="172" t="s">
        <v>25</v>
      </c>
      <c r="L55" s="354"/>
      <c r="M55" s="297"/>
      <c r="N55" s="297"/>
      <c r="O55" s="297"/>
      <c r="P55" s="297"/>
      <c r="Q55" s="297"/>
      <c r="R55" s="297"/>
      <c r="S55" s="297"/>
      <c r="T55" s="297"/>
      <c r="U55" s="297"/>
      <c r="V55" s="297"/>
      <c r="W55" s="93"/>
      <c r="X55" s="58">
        <f t="shared" si="30"/>
        <v>0</v>
      </c>
      <c r="Z55" s="69"/>
    </row>
    <row r="56" spans="1:26">
      <c r="A56" s="114">
        <f t="shared" ref="A56:A63" si="31">+A55</f>
        <v>2018048</v>
      </c>
      <c r="B56" s="74"/>
      <c r="C56" s="642"/>
      <c r="D56" s="645"/>
      <c r="E56" s="645"/>
      <c r="F56" s="645"/>
      <c r="G56" s="645"/>
      <c r="H56" s="648"/>
      <c r="I56" s="650"/>
      <c r="J56" s="629"/>
      <c r="K56" s="173" t="s">
        <v>26</v>
      </c>
      <c r="L56" s="355">
        <f t="shared" ref="L56:W56" si="32">SUM(L57:L63)</f>
        <v>323479</v>
      </c>
      <c r="M56" s="411">
        <f t="shared" si="32"/>
        <v>308331</v>
      </c>
      <c r="N56" s="411">
        <f t="shared" si="32"/>
        <v>331143</v>
      </c>
      <c r="O56" s="411">
        <f t="shared" si="32"/>
        <v>355517</v>
      </c>
      <c r="P56" s="411">
        <f t="shared" si="32"/>
        <v>304869</v>
      </c>
      <c r="Q56" s="411">
        <f t="shared" si="32"/>
        <v>317028</v>
      </c>
      <c r="R56" s="411">
        <f t="shared" si="32"/>
        <v>322956</v>
      </c>
      <c r="S56" s="411">
        <f t="shared" si="32"/>
        <v>302500</v>
      </c>
      <c r="T56" s="411">
        <f t="shared" si="32"/>
        <v>350276</v>
      </c>
      <c r="U56" s="411">
        <f t="shared" si="32"/>
        <v>351122</v>
      </c>
      <c r="V56" s="411">
        <f t="shared" si="32"/>
        <v>326521</v>
      </c>
      <c r="W56" s="108">
        <f t="shared" si="32"/>
        <v>323479</v>
      </c>
      <c r="X56" s="59">
        <f t="shared" si="30"/>
        <v>3917221</v>
      </c>
      <c r="Z56" s="69"/>
    </row>
    <row r="57" spans="1:26">
      <c r="A57" s="114">
        <f t="shared" si="31"/>
        <v>2018048</v>
      </c>
      <c r="B57" s="74"/>
      <c r="C57" s="642"/>
      <c r="D57" s="645"/>
      <c r="E57" s="645"/>
      <c r="F57" s="645"/>
      <c r="G57" s="645"/>
      <c r="H57" s="648"/>
      <c r="I57" s="650"/>
      <c r="J57" s="629"/>
      <c r="K57" s="174" t="s">
        <v>27</v>
      </c>
      <c r="L57" s="362">
        <v>276338</v>
      </c>
      <c r="M57" s="301">
        <v>261348</v>
      </c>
      <c r="N57" s="301">
        <v>285238</v>
      </c>
      <c r="O57" s="362">
        <v>301463</v>
      </c>
      <c r="P57" s="301">
        <v>260553</v>
      </c>
      <c r="Q57" s="301">
        <v>271270</v>
      </c>
      <c r="R57" s="301">
        <v>274505</v>
      </c>
      <c r="S57" s="301">
        <v>259525</v>
      </c>
      <c r="T57" s="301">
        <v>305488</v>
      </c>
      <c r="U57" s="301">
        <v>298430</v>
      </c>
      <c r="V57" s="301">
        <v>281800</v>
      </c>
      <c r="W57" s="102">
        <v>276338</v>
      </c>
      <c r="X57" s="58">
        <f t="shared" si="30"/>
        <v>3352296</v>
      </c>
      <c r="Y57" s="69"/>
      <c r="Z57" s="69"/>
    </row>
    <row r="58" spans="1:26">
      <c r="A58" s="114">
        <f t="shared" si="31"/>
        <v>2018048</v>
      </c>
      <c r="B58" s="74"/>
      <c r="C58" s="642"/>
      <c r="D58" s="645"/>
      <c r="E58" s="645"/>
      <c r="F58" s="645"/>
      <c r="G58" s="645"/>
      <c r="H58" s="648"/>
      <c r="I58" s="650"/>
      <c r="J58" s="629"/>
      <c r="K58" s="174" t="s">
        <v>34</v>
      </c>
      <c r="L58" s="362"/>
      <c r="M58" s="301"/>
      <c r="N58" s="301"/>
      <c r="O58" s="301"/>
      <c r="P58" s="301"/>
      <c r="Q58" s="301"/>
      <c r="R58" s="301"/>
      <c r="S58" s="301"/>
      <c r="T58" s="301"/>
      <c r="U58" s="301"/>
      <c r="V58" s="301"/>
      <c r="W58" s="102"/>
      <c r="X58" s="58">
        <f t="shared" si="30"/>
        <v>0</v>
      </c>
      <c r="Y58" s="69"/>
      <c r="Z58" s="69"/>
    </row>
    <row r="59" spans="1:26">
      <c r="A59" s="114">
        <f t="shared" si="31"/>
        <v>2018048</v>
      </c>
      <c r="B59" s="74"/>
      <c r="C59" s="642"/>
      <c r="D59" s="645"/>
      <c r="E59" s="645"/>
      <c r="F59" s="645"/>
      <c r="G59" s="645"/>
      <c r="H59" s="648"/>
      <c r="I59" s="650"/>
      <c r="J59" s="629"/>
      <c r="K59" s="174" t="s">
        <v>28</v>
      </c>
      <c r="L59" s="362">
        <v>5264</v>
      </c>
      <c r="M59" s="301">
        <v>5264</v>
      </c>
      <c r="N59" s="301">
        <v>3948</v>
      </c>
      <c r="O59" s="362">
        <v>11844</v>
      </c>
      <c r="P59" s="301">
        <v>2632</v>
      </c>
      <c r="Q59" s="301">
        <v>3948</v>
      </c>
      <c r="R59" s="301">
        <v>6580</v>
      </c>
      <c r="S59" s="301">
        <v>1316</v>
      </c>
      <c r="T59" s="301">
        <v>2632</v>
      </c>
      <c r="U59" s="301">
        <v>10528</v>
      </c>
      <c r="V59" s="301">
        <v>2632</v>
      </c>
      <c r="W59" s="102">
        <v>5264</v>
      </c>
      <c r="X59" s="58">
        <f t="shared" si="30"/>
        <v>61852</v>
      </c>
      <c r="Y59" s="69"/>
      <c r="Z59" s="69"/>
    </row>
    <row r="60" spans="1:26">
      <c r="A60" s="114">
        <f t="shared" si="31"/>
        <v>2018048</v>
      </c>
      <c r="B60" s="74"/>
      <c r="C60" s="642"/>
      <c r="D60" s="645"/>
      <c r="E60" s="645"/>
      <c r="F60" s="645"/>
      <c r="G60" s="645"/>
      <c r="H60" s="648"/>
      <c r="I60" s="650"/>
      <c r="J60" s="629"/>
      <c r="K60" s="174" t="s">
        <v>29</v>
      </c>
      <c r="L60" s="362">
        <v>13300</v>
      </c>
      <c r="M60" s="301">
        <v>13300</v>
      </c>
      <c r="N60" s="301">
        <v>13300</v>
      </c>
      <c r="O60" s="301">
        <v>13300</v>
      </c>
      <c r="P60" s="301">
        <v>13300</v>
      </c>
      <c r="Q60" s="301">
        <v>13300</v>
      </c>
      <c r="R60" s="301">
        <v>13300</v>
      </c>
      <c r="S60" s="301">
        <v>13300</v>
      </c>
      <c r="T60" s="301">
        <v>13300</v>
      </c>
      <c r="U60" s="301">
        <v>13300</v>
      </c>
      <c r="V60" s="301">
        <v>13300</v>
      </c>
      <c r="W60" s="102">
        <v>13300</v>
      </c>
      <c r="X60" s="58">
        <f t="shared" si="30"/>
        <v>159600</v>
      </c>
      <c r="Y60" s="69"/>
      <c r="Z60" s="69"/>
    </row>
    <row r="61" spans="1:26">
      <c r="A61" s="114">
        <f t="shared" si="31"/>
        <v>2018048</v>
      </c>
      <c r="B61" s="74"/>
      <c r="C61" s="642"/>
      <c r="D61" s="645"/>
      <c r="E61" s="645"/>
      <c r="F61" s="645"/>
      <c r="G61" s="645"/>
      <c r="H61" s="648"/>
      <c r="I61" s="650"/>
      <c r="J61" s="629"/>
      <c r="K61" s="174" t="s">
        <v>30</v>
      </c>
      <c r="L61" s="362">
        <v>25620</v>
      </c>
      <c r="M61" s="301">
        <v>25620</v>
      </c>
      <c r="N61" s="301">
        <v>25620</v>
      </c>
      <c r="O61" s="301">
        <v>25620</v>
      </c>
      <c r="P61" s="301">
        <v>25620</v>
      </c>
      <c r="Q61" s="301">
        <v>25620</v>
      </c>
      <c r="R61" s="301">
        <v>25620</v>
      </c>
      <c r="S61" s="301">
        <v>25620</v>
      </c>
      <c r="T61" s="301">
        <v>25620</v>
      </c>
      <c r="U61" s="301">
        <v>25620</v>
      </c>
      <c r="V61" s="301">
        <v>25620</v>
      </c>
      <c r="W61" s="102">
        <v>25620</v>
      </c>
      <c r="X61" s="58">
        <f t="shared" si="30"/>
        <v>307440</v>
      </c>
      <c r="Y61" s="69"/>
      <c r="Z61" s="69"/>
    </row>
    <row r="62" spans="1:26">
      <c r="A62" s="114">
        <f t="shared" si="31"/>
        <v>2018048</v>
      </c>
      <c r="B62" s="74"/>
      <c r="C62" s="642"/>
      <c r="D62" s="645"/>
      <c r="E62" s="645"/>
      <c r="F62" s="645"/>
      <c r="G62" s="645"/>
      <c r="H62" s="648"/>
      <c r="I62" s="650"/>
      <c r="J62" s="629"/>
      <c r="K62" s="174" t="s">
        <v>31</v>
      </c>
      <c r="L62" s="362">
        <v>1408</v>
      </c>
      <c r="M62" s="301">
        <v>1333</v>
      </c>
      <c r="N62" s="301">
        <v>1446</v>
      </c>
      <c r="O62" s="301">
        <v>1567</v>
      </c>
      <c r="P62" s="301">
        <v>1316</v>
      </c>
      <c r="Q62" s="301">
        <v>1376</v>
      </c>
      <c r="R62" s="301">
        <v>1405</v>
      </c>
      <c r="S62" s="301">
        <v>1304</v>
      </c>
      <c r="T62" s="301">
        <v>1541</v>
      </c>
      <c r="U62" s="301">
        <v>1545</v>
      </c>
      <c r="V62" s="301">
        <v>1509</v>
      </c>
      <c r="W62" s="102">
        <v>1408</v>
      </c>
      <c r="X62" s="58">
        <f t="shared" si="30"/>
        <v>17158</v>
      </c>
      <c r="Y62" s="69"/>
      <c r="Z62" s="69"/>
    </row>
    <row r="63" spans="1:26">
      <c r="A63" s="114">
        <f t="shared" si="31"/>
        <v>2018048</v>
      </c>
      <c r="B63" s="74"/>
      <c r="C63" s="642"/>
      <c r="D63" s="645"/>
      <c r="E63" s="645"/>
      <c r="F63" s="645"/>
      <c r="G63" s="645"/>
      <c r="H63" s="648"/>
      <c r="I63" s="650"/>
      <c r="J63" s="629"/>
      <c r="K63" s="174" t="s">
        <v>32</v>
      </c>
      <c r="L63" s="362">
        <v>1549</v>
      </c>
      <c r="M63" s="301">
        <v>1466</v>
      </c>
      <c r="N63" s="301">
        <v>1591</v>
      </c>
      <c r="O63" s="301">
        <v>1723</v>
      </c>
      <c r="P63" s="301">
        <v>1448</v>
      </c>
      <c r="Q63" s="301">
        <v>1514</v>
      </c>
      <c r="R63" s="301">
        <v>1546</v>
      </c>
      <c r="S63" s="301">
        <v>1435</v>
      </c>
      <c r="T63" s="301">
        <v>1695</v>
      </c>
      <c r="U63" s="301">
        <v>1699</v>
      </c>
      <c r="V63" s="301">
        <v>1660</v>
      </c>
      <c r="W63" s="102">
        <v>1549</v>
      </c>
      <c r="X63" s="58">
        <f t="shared" si="30"/>
        <v>18875</v>
      </c>
      <c r="Y63" s="69"/>
      <c r="Z63" s="69"/>
    </row>
    <row r="64" spans="1:26">
      <c r="A64" s="114">
        <f>+A63</f>
        <v>2018048</v>
      </c>
      <c r="B64" s="74"/>
      <c r="C64" s="654"/>
      <c r="D64" s="655"/>
      <c r="E64" s="655"/>
      <c r="F64" s="655"/>
      <c r="G64" s="655"/>
      <c r="H64" s="652"/>
      <c r="I64" s="653"/>
      <c r="J64" s="630"/>
      <c r="K64" s="175" t="s">
        <v>33</v>
      </c>
      <c r="L64" s="356">
        <f t="shared" ref="L64:X64" si="33">L53-L56</f>
        <v>55151</v>
      </c>
      <c r="M64" s="412">
        <f t="shared" si="33"/>
        <v>61794</v>
      </c>
      <c r="N64" s="412">
        <f t="shared" si="33"/>
        <v>75207</v>
      </c>
      <c r="O64" s="412">
        <f t="shared" si="33"/>
        <v>90208</v>
      </c>
      <c r="P64" s="412">
        <f t="shared" si="33"/>
        <v>-6249</v>
      </c>
      <c r="Q64" s="412">
        <f t="shared" si="33"/>
        <v>82077</v>
      </c>
      <c r="R64" s="412">
        <f t="shared" si="33"/>
        <v>93474</v>
      </c>
      <c r="S64" s="412">
        <f t="shared" si="33"/>
        <v>64790</v>
      </c>
      <c r="T64" s="412">
        <f t="shared" si="33"/>
        <v>70249</v>
      </c>
      <c r="U64" s="412">
        <f t="shared" si="33"/>
        <v>82948</v>
      </c>
      <c r="V64" s="412">
        <f t="shared" si="33"/>
        <v>113849</v>
      </c>
      <c r="W64" s="109">
        <f t="shared" si="33"/>
        <v>55151</v>
      </c>
      <c r="X64" s="43">
        <f t="shared" si="33"/>
        <v>838649</v>
      </c>
      <c r="Z64" s="69"/>
    </row>
    <row r="65" spans="1:26">
      <c r="A65" s="113">
        <v>2018034</v>
      </c>
      <c r="C65" s="641">
        <f t="shared" ref="C65" si="34">C53+1</f>
        <v>6</v>
      </c>
      <c r="D65" s="645" t="s">
        <v>94</v>
      </c>
      <c r="E65" s="645" t="s">
        <v>173</v>
      </c>
      <c r="F65" s="645"/>
      <c r="G65" s="645" t="s">
        <v>143</v>
      </c>
      <c r="H65" s="648"/>
      <c r="I65" s="648" t="s">
        <v>82</v>
      </c>
      <c r="J65" s="629" t="s">
        <v>80</v>
      </c>
      <c r="K65" s="177" t="s">
        <v>23</v>
      </c>
      <c r="L65" s="357">
        <f t="shared" ref="L65:W65" si="35">L66+L67</f>
        <v>398775</v>
      </c>
      <c r="M65" s="507">
        <f t="shared" si="35"/>
        <v>371800</v>
      </c>
      <c r="N65" s="507">
        <f t="shared" si="35"/>
        <v>387725</v>
      </c>
      <c r="O65" s="507">
        <f t="shared" si="35"/>
        <v>1125600</v>
      </c>
      <c r="P65" s="507">
        <f>P66+P67</f>
        <v>0</v>
      </c>
      <c r="Q65" s="507">
        <f t="shared" si="35"/>
        <v>0</v>
      </c>
      <c r="R65" s="413">
        <f t="shared" si="35"/>
        <v>0</v>
      </c>
      <c r="S65" s="413">
        <f t="shared" si="35"/>
        <v>0</v>
      </c>
      <c r="T65" s="413">
        <f t="shared" si="35"/>
        <v>0</v>
      </c>
      <c r="U65" s="413">
        <f t="shared" si="35"/>
        <v>0</v>
      </c>
      <c r="V65" s="413">
        <f t="shared" si="35"/>
        <v>0</v>
      </c>
      <c r="W65" s="508">
        <f t="shared" si="35"/>
        <v>0</v>
      </c>
      <c r="X65" s="509">
        <f t="shared" ref="X65:X75" si="36">SUM(L65:W65)</f>
        <v>2283900</v>
      </c>
      <c r="Z65" s="69"/>
    </row>
    <row r="66" spans="1:26">
      <c r="A66" s="114">
        <f>+A65</f>
        <v>2018034</v>
      </c>
      <c r="B66" s="74"/>
      <c r="C66" s="642"/>
      <c r="D66" s="645"/>
      <c r="E66" s="645"/>
      <c r="F66" s="645"/>
      <c r="G66" s="645"/>
      <c r="H66" s="648"/>
      <c r="I66" s="650"/>
      <c r="J66" s="629"/>
      <c r="K66" s="172" t="s">
        <v>24</v>
      </c>
      <c r="L66" s="362">
        <v>398775</v>
      </c>
      <c r="M66" s="362">
        <v>371800</v>
      </c>
      <c r="N66" s="362">
        <v>387725</v>
      </c>
      <c r="O66" s="498">
        <v>1125600</v>
      </c>
      <c r="P66" s="362"/>
      <c r="Q66" s="362"/>
      <c r="R66" s="301"/>
      <c r="S66" s="301"/>
      <c r="T66" s="301"/>
      <c r="U66" s="301"/>
      <c r="V66" s="301"/>
      <c r="W66" s="362"/>
      <c r="X66" s="480">
        <f t="shared" si="36"/>
        <v>2283900</v>
      </c>
      <c r="Y66" s="69"/>
      <c r="Z66" s="69"/>
    </row>
    <row r="67" spans="1:26">
      <c r="A67" s="114">
        <f>+A66</f>
        <v>2018034</v>
      </c>
      <c r="B67" s="74"/>
      <c r="C67" s="642"/>
      <c r="D67" s="645"/>
      <c r="E67" s="645"/>
      <c r="F67" s="645"/>
      <c r="G67" s="645"/>
      <c r="H67" s="648"/>
      <c r="I67" s="650"/>
      <c r="J67" s="629"/>
      <c r="K67" s="172" t="s">
        <v>25</v>
      </c>
      <c r="L67" s="354"/>
      <c r="M67" s="343"/>
      <c r="N67" s="343"/>
      <c r="O67" s="343"/>
      <c r="P67" s="343"/>
      <c r="Q67" s="343"/>
      <c r="R67" s="297"/>
      <c r="S67" s="297"/>
      <c r="T67" s="297"/>
      <c r="U67" s="297"/>
      <c r="V67" s="297"/>
      <c r="W67" s="481"/>
      <c r="X67" s="480">
        <f t="shared" si="36"/>
        <v>0</v>
      </c>
      <c r="Z67" s="69"/>
    </row>
    <row r="68" spans="1:26">
      <c r="A68" s="114">
        <f t="shared" ref="A68:A75" si="37">+A67</f>
        <v>2018034</v>
      </c>
      <c r="B68" s="74"/>
      <c r="C68" s="642"/>
      <c r="D68" s="645"/>
      <c r="E68" s="645"/>
      <c r="F68" s="645"/>
      <c r="G68" s="645"/>
      <c r="H68" s="648"/>
      <c r="I68" s="650"/>
      <c r="J68" s="629"/>
      <c r="K68" s="173" t="s">
        <v>26</v>
      </c>
      <c r="L68" s="355">
        <f t="shared" ref="L68:W68" si="38">SUM(L69:L75)</f>
        <v>318334</v>
      </c>
      <c r="M68" s="344">
        <f t="shared" si="38"/>
        <v>300946</v>
      </c>
      <c r="N68" s="344">
        <f t="shared" si="38"/>
        <v>316214</v>
      </c>
      <c r="O68" s="344">
        <f t="shared" si="38"/>
        <v>0</v>
      </c>
      <c r="P68" s="344">
        <f>SUM(P69:P75)</f>
        <v>0</v>
      </c>
      <c r="Q68" s="344">
        <f t="shared" si="38"/>
        <v>0</v>
      </c>
      <c r="R68" s="411">
        <f t="shared" si="38"/>
        <v>0</v>
      </c>
      <c r="S68" s="411">
        <f t="shared" si="38"/>
        <v>0</v>
      </c>
      <c r="T68" s="411">
        <f t="shared" si="38"/>
        <v>0</v>
      </c>
      <c r="U68" s="411">
        <f t="shared" si="38"/>
        <v>0</v>
      </c>
      <c r="V68" s="411">
        <f t="shared" si="38"/>
        <v>0</v>
      </c>
      <c r="W68" s="482">
        <f t="shared" si="38"/>
        <v>0</v>
      </c>
      <c r="X68" s="483">
        <f t="shared" si="36"/>
        <v>935494</v>
      </c>
      <c r="Z68" s="69"/>
    </row>
    <row r="69" spans="1:26">
      <c r="A69" s="114">
        <f t="shared" si="37"/>
        <v>2018034</v>
      </c>
      <c r="B69" s="74"/>
      <c r="C69" s="642"/>
      <c r="D69" s="645"/>
      <c r="E69" s="645"/>
      <c r="F69" s="645"/>
      <c r="G69" s="645"/>
      <c r="H69" s="648"/>
      <c r="I69" s="650"/>
      <c r="J69" s="629"/>
      <c r="K69" s="174" t="s">
        <v>27</v>
      </c>
      <c r="L69" s="362">
        <v>274662</v>
      </c>
      <c r="M69" s="362">
        <v>256535</v>
      </c>
      <c r="N69" s="362">
        <v>272574</v>
      </c>
      <c r="O69" s="362"/>
      <c r="P69" s="362"/>
      <c r="Q69" s="362"/>
      <c r="R69" s="301"/>
      <c r="S69" s="301"/>
      <c r="T69" s="301"/>
      <c r="U69" s="301"/>
      <c r="V69" s="301"/>
      <c r="W69" s="362"/>
      <c r="X69" s="480">
        <f t="shared" si="36"/>
        <v>803771</v>
      </c>
      <c r="Y69" s="69"/>
      <c r="Z69" s="69"/>
    </row>
    <row r="70" spans="1:26">
      <c r="A70" s="114">
        <f t="shared" si="37"/>
        <v>2018034</v>
      </c>
      <c r="B70" s="74"/>
      <c r="C70" s="642"/>
      <c r="D70" s="645"/>
      <c r="E70" s="645"/>
      <c r="F70" s="645"/>
      <c r="G70" s="645"/>
      <c r="H70" s="648"/>
      <c r="I70" s="650"/>
      <c r="J70" s="629"/>
      <c r="K70" s="174" t="s">
        <v>34</v>
      </c>
      <c r="L70" s="362"/>
      <c r="M70" s="362"/>
      <c r="N70" s="362"/>
      <c r="O70" s="362"/>
      <c r="P70" s="362"/>
      <c r="Q70" s="362"/>
      <c r="R70" s="301"/>
      <c r="S70" s="301"/>
      <c r="T70" s="301"/>
      <c r="U70" s="301"/>
      <c r="V70" s="301"/>
      <c r="W70" s="362"/>
      <c r="X70" s="480">
        <f t="shared" si="36"/>
        <v>0</v>
      </c>
      <c r="Y70" s="69"/>
      <c r="Z70" s="69"/>
    </row>
    <row r="71" spans="1:26">
      <c r="A71" s="114">
        <f t="shared" si="37"/>
        <v>2018034</v>
      </c>
      <c r="B71" s="74"/>
      <c r="C71" s="642"/>
      <c r="D71" s="645"/>
      <c r="E71" s="645"/>
      <c r="F71" s="645"/>
      <c r="G71" s="645"/>
      <c r="H71" s="648"/>
      <c r="I71" s="650"/>
      <c r="J71" s="629"/>
      <c r="K71" s="174" t="s">
        <v>28</v>
      </c>
      <c r="L71" s="362">
        <v>4600</v>
      </c>
      <c r="M71" s="362">
        <v>5520</v>
      </c>
      <c r="N71" s="362">
        <v>4590</v>
      </c>
      <c r="O71" s="362"/>
      <c r="P71" s="362"/>
      <c r="Q71" s="362"/>
      <c r="R71" s="301"/>
      <c r="S71" s="301"/>
      <c r="T71" s="301"/>
      <c r="U71" s="301"/>
      <c r="V71" s="301"/>
      <c r="W71" s="362"/>
      <c r="X71" s="480">
        <f t="shared" si="36"/>
        <v>14710</v>
      </c>
      <c r="Y71" s="69"/>
      <c r="Z71" s="69"/>
    </row>
    <row r="72" spans="1:26">
      <c r="A72" s="114">
        <f t="shared" si="37"/>
        <v>2018034</v>
      </c>
      <c r="B72" s="74"/>
      <c r="C72" s="642"/>
      <c r="D72" s="645"/>
      <c r="E72" s="645"/>
      <c r="F72" s="645"/>
      <c r="G72" s="645"/>
      <c r="H72" s="648"/>
      <c r="I72" s="650"/>
      <c r="J72" s="629"/>
      <c r="K72" s="174" t="s">
        <v>29</v>
      </c>
      <c r="L72" s="362">
        <v>12350</v>
      </c>
      <c r="M72" s="362">
        <v>12350</v>
      </c>
      <c r="N72" s="362">
        <v>12350</v>
      </c>
      <c r="O72" s="362"/>
      <c r="P72" s="362"/>
      <c r="Q72" s="362"/>
      <c r="R72" s="301"/>
      <c r="S72" s="301"/>
      <c r="T72" s="301"/>
      <c r="U72" s="301"/>
      <c r="V72" s="301"/>
      <c r="W72" s="362"/>
      <c r="X72" s="480">
        <f t="shared" si="36"/>
        <v>37050</v>
      </c>
      <c r="Y72" s="69"/>
      <c r="Z72" s="69"/>
    </row>
    <row r="73" spans="1:26">
      <c r="A73" s="114">
        <f t="shared" si="37"/>
        <v>2018034</v>
      </c>
      <c r="B73" s="74"/>
      <c r="C73" s="642"/>
      <c r="D73" s="645"/>
      <c r="E73" s="645"/>
      <c r="F73" s="645"/>
      <c r="G73" s="645"/>
      <c r="H73" s="648"/>
      <c r="I73" s="650"/>
      <c r="J73" s="629"/>
      <c r="K73" s="174" t="s">
        <v>30</v>
      </c>
      <c r="L73" s="362">
        <v>23790</v>
      </c>
      <c r="M73" s="362">
        <v>23790</v>
      </c>
      <c r="N73" s="362">
        <v>23790</v>
      </c>
      <c r="O73" s="362"/>
      <c r="P73" s="362"/>
      <c r="Q73" s="362"/>
      <c r="R73" s="301"/>
      <c r="S73" s="301"/>
      <c r="T73" s="301"/>
      <c r="U73" s="301"/>
      <c r="V73" s="301"/>
      <c r="W73" s="362"/>
      <c r="X73" s="480">
        <f t="shared" si="36"/>
        <v>71370</v>
      </c>
      <c r="Y73" s="69"/>
      <c r="Z73" s="69"/>
    </row>
    <row r="74" spans="1:26">
      <c r="A74" s="114">
        <f t="shared" si="37"/>
        <v>2018034</v>
      </c>
      <c r="B74" s="74"/>
      <c r="C74" s="642"/>
      <c r="D74" s="645"/>
      <c r="E74" s="645"/>
      <c r="F74" s="645"/>
      <c r="G74" s="645"/>
      <c r="H74" s="648"/>
      <c r="I74" s="650"/>
      <c r="J74" s="629"/>
      <c r="K74" s="174" t="s">
        <v>31</v>
      </c>
      <c r="L74" s="362">
        <v>1396</v>
      </c>
      <c r="M74" s="362">
        <v>1310</v>
      </c>
      <c r="N74" s="362">
        <v>1386</v>
      </c>
      <c r="O74" s="362"/>
      <c r="P74" s="362"/>
      <c r="Q74" s="362"/>
      <c r="R74" s="301"/>
      <c r="S74" s="301"/>
      <c r="T74" s="301"/>
      <c r="U74" s="301"/>
      <c r="V74" s="301"/>
      <c r="W74" s="362"/>
      <c r="X74" s="480">
        <f t="shared" si="36"/>
        <v>4092</v>
      </c>
      <c r="Y74" s="69"/>
      <c r="Z74" s="69"/>
    </row>
    <row r="75" spans="1:26">
      <c r="A75" s="114">
        <f t="shared" si="37"/>
        <v>2018034</v>
      </c>
      <c r="B75" s="74"/>
      <c r="C75" s="642"/>
      <c r="D75" s="645"/>
      <c r="E75" s="645"/>
      <c r="F75" s="645"/>
      <c r="G75" s="645"/>
      <c r="H75" s="648"/>
      <c r="I75" s="650"/>
      <c r="J75" s="629"/>
      <c r="K75" s="174" t="s">
        <v>32</v>
      </c>
      <c r="L75" s="362">
        <v>1536</v>
      </c>
      <c r="M75" s="362">
        <v>1441</v>
      </c>
      <c r="N75" s="362">
        <v>1524</v>
      </c>
      <c r="O75" s="362"/>
      <c r="P75" s="362"/>
      <c r="Q75" s="362"/>
      <c r="R75" s="301"/>
      <c r="S75" s="301"/>
      <c r="T75" s="301"/>
      <c r="U75" s="301"/>
      <c r="V75" s="301"/>
      <c r="W75" s="362"/>
      <c r="X75" s="480">
        <f t="shared" si="36"/>
        <v>4501</v>
      </c>
      <c r="Y75" s="69"/>
      <c r="Z75" s="69"/>
    </row>
    <row r="76" spans="1:26">
      <c r="A76" s="114">
        <f>+A75</f>
        <v>2018034</v>
      </c>
      <c r="B76" s="74"/>
      <c r="C76" s="654"/>
      <c r="D76" s="655"/>
      <c r="E76" s="655"/>
      <c r="F76" s="655"/>
      <c r="G76" s="655"/>
      <c r="H76" s="652"/>
      <c r="I76" s="653"/>
      <c r="J76" s="630"/>
      <c r="K76" s="175" t="s">
        <v>33</v>
      </c>
      <c r="L76" s="356">
        <f t="shared" ref="L76:X76" si="39">L65-L68</f>
        <v>80441</v>
      </c>
      <c r="M76" s="345">
        <f t="shared" si="39"/>
        <v>70854</v>
      </c>
      <c r="N76" s="345">
        <f t="shared" si="39"/>
        <v>71511</v>
      </c>
      <c r="O76" s="345">
        <f t="shared" si="39"/>
        <v>1125600</v>
      </c>
      <c r="P76" s="345">
        <f>P65-P68</f>
        <v>0</v>
      </c>
      <c r="Q76" s="345">
        <f t="shared" si="39"/>
        <v>0</v>
      </c>
      <c r="R76" s="412">
        <f t="shared" si="39"/>
        <v>0</v>
      </c>
      <c r="S76" s="412">
        <f t="shared" si="39"/>
        <v>0</v>
      </c>
      <c r="T76" s="412">
        <f t="shared" si="39"/>
        <v>0</v>
      </c>
      <c r="U76" s="412">
        <f t="shared" si="39"/>
        <v>0</v>
      </c>
      <c r="V76" s="412">
        <f t="shared" si="39"/>
        <v>0</v>
      </c>
      <c r="W76" s="510">
        <f t="shared" si="39"/>
        <v>0</v>
      </c>
      <c r="X76" s="485">
        <f t="shared" si="39"/>
        <v>1348406</v>
      </c>
      <c r="Z76" s="69"/>
    </row>
    <row r="77" spans="1:26">
      <c r="A77" s="113">
        <v>2018025</v>
      </c>
      <c r="C77" s="641">
        <f t="shared" ref="C77" si="40">C65+1</f>
        <v>7</v>
      </c>
      <c r="D77" s="645" t="s">
        <v>94</v>
      </c>
      <c r="E77" s="645"/>
      <c r="F77" s="645"/>
      <c r="G77" s="645" t="s">
        <v>143</v>
      </c>
      <c r="H77" s="648"/>
      <c r="I77" s="648" t="s">
        <v>82</v>
      </c>
      <c r="J77" s="629" t="s">
        <v>80</v>
      </c>
      <c r="K77" s="177" t="s">
        <v>23</v>
      </c>
      <c r="L77" s="357">
        <f t="shared" ref="L77:W77" si="41">L78+L79</f>
        <v>373905</v>
      </c>
      <c r="M77" s="413">
        <f t="shared" si="41"/>
        <v>394695</v>
      </c>
      <c r="N77" s="413">
        <f t="shared" si="41"/>
        <v>428085</v>
      </c>
      <c r="O77" s="413">
        <f t="shared" si="41"/>
        <v>447930</v>
      </c>
      <c r="P77" s="413">
        <f t="shared" si="41"/>
        <v>404145</v>
      </c>
      <c r="Q77" s="413">
        <f t="shared" si="41"/>
        <v>424620</v>
      </c>
      <c r="R77" s="413">
        <f t="shared" si="41"/>
        <v>466200</v>
      </c>
      <c r="S77" s="413">
        <f t="shared" si="41"/>
        <v>381150</v>
      </c>
      <c r="T77" s="413">
        <f t="shared" si="41"/>
        <v>448245</v>
      </c>
      <c r="U77" s="413">
        <f t="shared" si="41"/>
        <v>403200</v>
      </c>
      <c r="V77" s="413">
        <f t="shared" si="41"/>
        <v>213255</v>
      </c>
      <c r="W77" s="264">
        <f t="shared" si="41"/>
        <v>0</v>
      </c>
      <c r="X77" s="42">
        <f t="shared" ref="X77:X87" si="42">SUM(L77:W77)</f>
        <v>4385430</v>
      </c>
      <c r="Z77" s="69"/>
    </row>
    <row r="78" spans="1:26">
      <c r="A78" s="114">
        <f>+A77</f>
        <v>2018025</v>
      </c>
      <c r="B78" s="74"/>
      <c r="C78" s="642"/>
      <c r="D78" s="645"/>
      <c r="E78" s="645"/>
      <c r="F78" s="645"/>
      <c r="G78" s="645"/>
      <c r="H78" s="648"/>
      <c r="I78" s="650"/>
      <c r="J78" s="629"/>
      <c r="K78" s="172" t="s">
        <v>24</v>
      </c>
      <c r="L78" s="362">
        <v>373905</v>
      </c>
      <c r="M78" s="301">
        <v>394695</v>
      </c>
      <c r="N78" s="301">
        <v>428085</v>
      </c>
      <c r="O78" s="301">
        <v>447930</v>
      </c>
      <c r="P78" s="301">
        <v>404145</v>
      </c>
      <c r="Q78" s="301">
        <v>424620</v>
      </c>
      <c r="R78" s="301">
        <v>466200</v>
      </c>
      <c r="S78" s="301">
        <v>381150</v>
      </c>
      <c r="T78" s="301">
        <v>448245</v>
      </c>
      <c r="U78" s="301">
        <v>403200</v>
      </c>
      <c r="V78" s="301">
        <v>213255</v>
      </c>
      <c r="W78" s="102"/>
      <c r="X78" s="58">
        <f t="shared" si="42"/>
        <v>4385430</v>
      </c>
      <c r="Y78" s="69"/>
      <c r="Z78" s="69"/>
    </row>
    <row r="79" spans="1:26">
      <c r="A79" s="114">
        <f>+A78</f>
        <v>2018025</v>
      </c>
      <c r="B79" s="74"/>
      <c r="C79" s="642"/>
      <c r="D79" s="645"/>
      <c r="E79" s="645"/>
      <c r="F79" s="645"/>
      <c r="G79" s="645"/>
      <c r="H79" s="648"/>
      <c r="I79" s="650"/>
      <c r="J79" s="629"/>
      <c r="K79" s="172" t="s">
        <v>25</v>
      </c>
      <c r="L79" s="354"/>
      <c r="M79" s="297"/>
      <c r="N79" s="297"/>
      <c r="O79" s="297"/>
      <c r="P79" s="297"/>
      <c r="Q79" s="297"/>
      <c r="R79" s="297"/>
      <c r="S79" s="297"/>
      <c r="T79" s="297"/>
      <c r="U79" s="297"/>
      <c r="V79" s="297"/>
      <c r="W79" s="93"/>
      <c r="X79" s="58">
        <f t="shared" si="42"/>
        <v>0</v>
      </c>
      <c r="Z79" s="69"/>
    </row>
    <row r="80" spans="1:26">
      <c r="A80" s="114">
        <f t="shared" ref="A80:A87" si="43">+A79</f>
        <v>2018025</v>
      </c>
      <c r="B80" s="74"/>
      <c r="C80" s="642"/>
      <c r="D80" s="645"/>
      <c r="E80" s="645"/>
      <c r="F80" s="645"/>
      <c r="G80" s="645"/>
      <c r="H80" s="648"/>
      <c r="I80" s="650"/>
      <c r="J80" s="629"/>
      <c r="K80" s="173" t="s">
        <v>26</v>
      </c>
      <c r="L80" s="355">
        <f t="shared" ref="L80:W80" si="44">SUM(L81:L87)</f>
        <v>314622</v>
      </c>
      <c r="M80" s="411">
        <f t="shared" si="44"/>
        <v>299907</v>
      </c>
      <c r="N80" s="411">
        <f t="shared" si="44"/>
        <v>321388</v>
      </c>
      <c r="O80" s="411">
        <f t="shared" si="44"/>
        <v>338356</v>
      </c>
      <c r="P80" s="411">
        <f t="shared" si="44"/>
        <v>306561</v>
      </c>
      <c r="Q80" s="411">
        <f t="shared" si="44"/>
        <v>321237</v>
      </c>
      <c r="R80" s="411">
        <f t="shared" si="44"/>
        <v>355048</v>
      </c>
      <c r="S80" s="411">
        <f t="shared" si="44"/>
        <v>298929</v>
      </c>
      <c r="T80" s="411">
        <f t="shared" si="44"/>
        <v>338427</v>
      </c>
      <c r="U80" s="411">
        <f t="shared" si="44"/>
        <v>320253</v>
      </c>
      <c r="V80" s="411">
        <f t="shared" si="44"/>
        <v>297858</v>
      </c>
      <c r="W80" s="108">
        <f t="shared" si="44"/>
        <v>314622</v>
      </c>
      <c r="X80" s="59">
        <f t="shared" si="42"/>
        <v>3827208</v>
      </c>
      <c r="Z80" s="69"/>
    </row>
    <row r="81" spans="1:26">
      <c r="A81" s="114">
        <f t="shared" si="43"/>
        <v>2018025</v>
      </c>
      <c r="B81" s="74"/>
      <c r="C81" s="642"/>
      <c r="D81" s="645"/>
      <c r="E81" s="645"/>
      <c r="F81" s="645"/>
      <c r="G81" s="645"/>
      <c r="H81" s="648"/>
      <c r="I81" s="650"/>
      <c r="J81" s="629"/>
      <c r="K81" s="174" t="s">
        <v>27</v>
      </c>
      <c r="L81" s="362">
        <v>273260</v>
      </c>
      <c r="M81" s="301">
        <v>259474</v>
      </c>
      <c r="N81" s="301">
        <v>281508</v>
      </c>
      <c r="O81" s="499">
        <v>295196</v>
      </c>
      <c r="P81" s="301">
        <v>264507</v>
      </c>
      <c r="Q81" s="301">
        <v>276279</v>
      </c>
      <c r="R81" s="301">
        <v>311291</v>
      </c>
      <c r="S81" s="301">
        <v>255755</v>
      </c>
      <c r="T81" s="301">
        <v>293291</v>
      </c>
      <c r="U81" s="301">
        <v>276082</v>
      </c>
      <c r="V81" s="301">
        <v>249859</v>
      </c>
      <c r="W81" s="102">
        <v>273260</v>
      </c>
      <c r="X81" s="58">
        <f t="shared" si="42"/>
        <v>3309762</v>
      </c>
      <c r="Y81" s="69"/>
      <c r="Z81" s="69"/>
    </row>
    <row r="82" spans="1:26">
      <c r="A82" s="114">
        <f t="shared" si="43"/>
        <v>2018025</v>
      </c>
      <c r="B82" s="74"/>
      <c r="C82" s="642"/>
      <c r="D82" s="645"/>
      <c r="E82" s="645"/>
      <c r="F82" s="645"/>
      <c r="G82" s="645"/>
      <c r="H82" s="648"/>
      <c r="I82" s="650"/>
      <c r="J82" s="629"/>
      <c r="K82" s="174" t="s">
        <v>34</v>
      </c>
      <c r="L82" s="362"/>
      <c r="M82" s="301"/>
      <c r="N82" s="301"/>
      <c r="O82" s="301"/>
      <c r="P82" s="301"/>
      <c r="Q82" s="301"/>
      <c r="R82" s="301"/>
      <c r="S82" s="301"/>
      <c r="T82" s="301"/>
      <c r="U82" s="301"/>
      <c r="V82" s="301"/>
      <c r="W82" s="102"/>
      <c r="X82" s="58">
        <f t="shared" si="42"/>
        <v>0</v>
      </c>
      <c r="Y82" s="69"/>
      <c r="Z82" s="69"/>
    </row>
    <row r="83" spans="1:26">
      <c r="A83" s="114">
        <f t="shared" si="43"/>
        <v>2018025</v>
      </c>
      <c r="B83" s="74"/>
      <c r="C83" s="642"/>
      <c r="D83" s="645"/>
      <c r="E83" s="645"/>
      <c r="F83" s="645"/>
      <c r="G83" s="645"/>
      <c r="H83" s="648"/>
      <c r="I83" s="650"/>
      <c r="J83" s="629"/>
      <c r="K83" s="174" t="s">
        <v>28</v>
      </c>
      <c r="L83" s="362">
        <v>2328</v>
      </c>
      <c r="M83" s="301">
        <v>1552</v>
      </c>
      <c r="N83" s="301">
        <v>776</v>
      </c>
      <c r="O83" s="301">
        <v>3880</v>
      </c>
      <c r="P83" s="301">
        <v>3104</v>
      </c>
      <c r="Q83" s="301">
        <v>3104</v>
      </c>
      <c r="R83" s="301">
        <v>1552</v>
      </c>
      <c r="S83" s="301">
        <v>1552</v>
      </c>
      <c r="T83" s="301">
        <v>3104</v>
      </c>
      <c r="U83" s="301">
        <v>2328</v>
      </c>
      <c r="V83" s="301">
        <v>6208</v>
      </c>
      <c r="W83" s="102">
        <v>2328</v>
      </c>
      <c r="X83" s="58">
        <f t="shared" si="42"/>
        <v>31816</v>
      </c>
      <c r="Y83" s="69"/>
      <c r="Z83" s="69"/>
    </row>
    <row r="84" spans="1:26">
      <c r="A84" s="114">
        <f t="shared" si="43"/>
        <v>2018025</v>
      </c>
      <c r="B84" s="74"/>
      <c r="C84" s="642"/>
      <c r="D84" s="645"/>
      <c r="E84" s="645"/>
      <c r="F84" s="645"/>
      <c r="G84" s="645"/>
      <c r="H84" s="648"/>
      <c r="I84" s="650"/>
      <c r="J84" s="629"/>
      <c r="K84" s="174" t="s">
        <v>29</v>
      </c>
      <c r="L84" s="362">
        <v>12350</v>
      </c>
      <c r="M84" s="301">
        <v>12350</v>
      </c>
      <c r="N84" s="301">
        <v>12350</v>
      </c>
      <c r="O84" s="301">
        <v>12350</v>
      </c>
      <c r="P84" s="301">
        <v>12350</v>
      </c>
      <c r="Q84" s="301">
        <v>13300</v>
      </c>
      <c r="R84" s="301">
        <v>13300</v>
      </c>
      <c r="S84" s="301">
        <v>13300</v>
      </c>
      <c r="T84" s="301">
        <v>13300</v>
      </c>
      <c r="U84" s="301">
        <v>13300</v>
      </c>
      <c r="V84" s="301">
        <v>13300</v>
      </c>
      <c r="W84" s="102">
        <v>12350</v>
      </c>
      <c r="X84" s="58">
        <f t="shared" si="42"/>
        <v>153900</v>
      </c>
      <c r="Y84" s="69"/>
      <c r="Z84" s="69"/>
    </row>
    <row r="85" spans="1:26">
      <c r="A85" s="114">
        <f t="shared" si="43"/>
        <v>2018025</v>
      </c>
      <c r="B85" s="74"/>
      <c r="C85" s="642"/>
      <c r="D85" s="645"/>
      <c r="E85" s="645"/>
      <c r="F85" s="645"/>
      <c r="G85" s="645"/>
      <c r="H85" s="648"/>
      <c r="I85" s="650"/>
      <c r="J85" s="629"/>
      <c r="K85" s="174" t="s">
        <v>30</v>
      </c>
      <c r="L85" s="362">
        <v>23790</v>
      </c>
      <c r="M85" s="301">
        <v>23790</v>
      </c>
      <c r="N85" s="301">
        <v>23790</v>
      </c>
      <c r="O85" s="301">
        <v>23790</v>
      </c>
      <c r="P85" s="301">
        <v>23790</v>
      </c>
      <c r="Q85" s="301">
        <v>25620</v>
      </c>
      <c r="R85" s="301">
        <v>25620</v>
      </c>
      <c r="S85" s="301">
        <v>25620</v>
      </c>
      <c r="T85" s="301">
        <v>25620</v>
      </c>
      <c r="U85" s="301">
        <v>25620</v>
      </c>
      <c r="V85" s="301">
        <v>25620</v>
      </c>
      <c r="W85" s="102">
        <v>23790</v>
      </c>
      <c r="X85" s="58">
        <f t="shared" si="42"/>
        <v>296460</v>
      </c>
      <c r="Y85" s="69"/>
      <c r="Z85" s="69"/>
    </row>
    <row r="86" spans="1:26">
      <c r="A86" s="114">
        <f t="shared" si="43"/>
        <v>2018025</v>
      </c>
      <c r="B86" s="74"/>
      <c r="C86" s="642"/>
      <c r="D86" s="645"/>
      <c r="E86" s="645"/>
      <c r="F86" s="645"/>
      <c r="G86" s="645"/>
      <c r="H86" s="648"/>
      <c r="I86" s="650"/>
      <c r="J86" s="629"/>
      <c r="K86" s="174" t="s">
        <v>31</v>
      </c>
      <c r="L86" s="362">
        <v>1378</v>
      </c>
      <c r="M86" s="301">
        <v>1305</v>
      </c>
      <c r="N86" s="301">
        <v>1411</v>
      </c>
      <c r="O86" s="301">
        <v>1495</v>
      </c>
      <c r="P86" s="301">
        <v>1338</v>
      </c>
      <c r="Q86" s="301">
        <v>1397</v>
      </c>
      <c r="R86" s="301">
        <v>1564</v>
      </c>
      <c r="S86" s="301">
        <v>1287</v>
      </c>
      <c r="T86" s="301">
        <v>1482</v>
      </c>
      <c r="U86" s="301">
        <v>1392</v>
      </c>
      <c r="V86" s="301">
        <v>1367</v>
      </c>
      <c r="W86" s="102">
        <v>1378</v>
      </c>
      <c r="X86" s="58">
        <f t="shared" si="42"/>
        <v>16794</v>
      </c>
      <c r="Y86" s="69"/>
      <c r="Z86" s="69"/>
    </row>
    <row r="87" spans="1:26">
      <c r="A87" s="114">
        <f t="shared" si="43"/>
        <v>2018025</v>
      </c>
      <c r="B87" s="74"/>
      <c r="C87" s="642"/>
      <c r="D87" s="645"/>
      <c r="E87" s="645"/>
      <c r="F87" s="645"/>
      <c r="G87" s="645"/>
      <c r="H87" s="648"/>
      <c r="I87" s="650"/>
      <c r="J87" s="629"/>
      <c r="K87" s="174" t="s">
        <v>32</v>
      </c>
      <c r="L87" s="362">
        <v>1516</v>
      </c>
      <c r="M87" s="301">
        <v>1436</v>
      </c>
      <c r="N87" s="301">
        <v>1553</v>
      </c>
      <c r="O87" s="301">
        <v>1645</v>
      </c>
      <c r="P87" s="301">
        <v>1472</v>
      </c>
      <c r="Q87" s="301">
        <v>1537</v>
      </c>
      <c r="R87" s="301">
        <v>1721</v>
      </c>
      <c r="S87" s="301">
        <v>1415</v>
      </c>
      <c r="T87" s="301">
        <v>1630</v>
      </c>
      <c r="U87" s="301">
        <v>1531</v>
      </c>
      <c r="V87" s="301">
        <v>1504</v>
      </c>
      <c r="W87" s="102">
        <v>1516</v>
      </c>
      <c r="X87" s="58">
        <f t="shared" si="42"/>
        <v>18476</v>
      </c>
      <c r="Y87" s="69"/>
      <c r="Z87" s="69"/>
    </row>
    <row r="88" spans="1:26">
      <c r="A88" s="114">
        <f>+A87</f>
        <v>2018025</v>
      </c>
      <c r="B88" s="74"/>
      <c r="C88" s="654"/>
      <c r="D88" s="655"/>
      <c r="E88" s="655"/>
      <c r="F88" s="655"/>
      <c r="G88" s="655"/>
      <c r="H88" s="652"/>
      <c r="I88" s="653"/>
      <c r="J88" s="630"/>
      <c r="K88" s="175" t="s">
        <v>33</v>
      </c>
      <c r="L88" s="356">
        <f t="shared" ref="L88:X88" si="45">L77-L80</f>
        <v>59283</v>
      </c>
      <c r="M88" s="412">
        <f t="shared" si="45"/>
        <v>94788</v>
      </c>
      <c r="N88" s="412">
        <f t="shared" si="45"/>
        <v>106697</v>
      </c>
      <c r="O88" s="412">
        <f t="shared" si="45"/>
        <v>109574</v>
      </c>
      <c r="P88" s="412">
        <f t="shared" si="45"/>
        <v>97584</v>
      </c>
      <c r="Q88" s="412">
        <f t="shared" si="45"/>
        <v>103383</v>
      </c>
      <c r="R88" s="412">
        <f t="shared" si="45"/>
        <v>111152</v>
      </c>
      <c r="S88" s="412">
        <f t="shared" si="45"/>
        <v>82221</v>
      </c>
      <c r="T88" s="412">
        <f t="shared" si="45"/>
        <v>109818</v>
      </c>
      <c r="U88" s="412">
        <f t="shared" si="45"/>
        <v>82947</v>
      </c>
      <c r="V88" s="412">
        <f t="shared" si="45"/>
        <v>-84603</v>
      </c>
      <c r="W88" s="109">
        <f t="shared" si="45"/>
        <v>-314622</v>
      </c>
      <c r="X88" s="43">
        <f t="shared" si="45"/>
        <v>558222</v>
      </c>
      <c r="Z88" s="69"/>
    </row>
    <row r="89" spans="1:26">
      <c r="A89" s="113">
        <v>2017006</v>
      </c>
      <c r="C89" s="641">
        <f t="shared" ref="C89" si="46">C77+1</f>
        <v>8</v>
      </c>
      <c r="D89" s="645" t="s">
        <v>94</v>
      </c>
      <c r="E89" s="645"/>
      <c r="F89" s="645"/>
      <c r="G89" s="645" t="s">
        <v>143</v>
      </c>
      <c r="H89" s="648"/>
      <c r="I89" s="648" t="s">
        <v>82</v>
      </c>
      <c r="J89" s="629" t="s">
        <v>80</v>
      </c>
      <c r="K89" s="177" t="s">
        <v>23</v>
      </c>
      <c r="L89" s="357">
        <f t="shared" ref="L89:W89" si="47">L90+L91</f>
        <v>372450</v>
      </c>
      <c r="M89" s="413">
        <f t="shared" si="47"/>
        <v>373750</v>
      </c>
      <c r="N89" s="413">
        <f t="shared" si="47"/>
        <v>376350</v>
      </c>
      <c r="O89" s="413">
        <f t="shared" si="47"/>
        <v>451100</v>
      </c>
      <c r="P89" s="413">
        <f t="shared" si="47"/>
        <v>388375</v>
      </c>
      <c r="Q89" s="413">
        <f t="shared" si="47"/>
        <v>409175</v>
      </c>
      <c r="R89" s="413">
        <f t="shared" si="47"/>
        <v>429975</v>
      </c>
      <c r="S89" s="413">
        <f t="shared" si="47"/>
        <v>329875</v>
      </c>
      <c r="T89" s="413">
        <f t="shared" si="47"/>
        <v>398450</v>
      </c>
      <c r="U89" s="413">
        <f t="shared" si="47"/>
        <v>364650</v>
      </c>
      <c r="V89" s="413">
        <f t="shared" si="47"/>
        <v>374400</v>
      </c>
      <c r="W89" s="264">
        <f t="shared" si="47"/>
        <v>372450</v>
      </c>
      <c r="X89" s="42">
        <f t="shared" ref="X89:X99" si="48">SUM(L89:W89)</f>
        <v>4641000</v>
      </c>
      <c r="Z89" s="69"/>
    </row>
    <row r="90" spans="1:26">
      <c r="A90" s="114">
        <f>+A89</f>
        <v>2017006</v>
      </c>
      <c r="B90" s="74"/>
      <c r="C90" s="642"/>
      <c r="D90" s="645"/>
      <c r="E90" s="645"/>
      <c r="F90" s="645"/>
      <c r="G90" s="645"/>
      <c r="H90" s="648"/>
      <c r="I90" s="650"/>
      <c r="J90" s="629"/>
      <c r="K90" s="172" t="s">
        <v>24</v>
      </c>
      <c r="L90" s="362">
        <v>372450</v>
      </c>
      <c r="M90" s="301">
        <v>373750</v>
      </c>
      <c r="N90" s="301">
        <v>376350</v>
      </c>
      <c r="O90" s="301">
        <v>451100</v>
      </c>
      <c r="P90" s="301">
        <v>388375</v>
      </c>
      <c r="Q90" s="301">
        <v>409175</v>
      </c>
      <c r="R90" s="301">
        <v>429975</v>
      </c>
      <c r="S90" s="301">
        <v>329875</v>
      </c>
      <c r="T90" s="301">
        <v>398450</v>
      </c>
      <c r="U90" s="301">
        <v>364650</v>
      </c>
      <c r="V90" s="301">
        <v>374400</v>
      </c>
      <c r="W90" s="102">
        <v>372450</v>
      </c>
      <c r="X90" s="58">
        <f t="shared" si="48"/>
        <v>4641000</v>
      </c>
      <c r="Y90" s="69"/>
      <c r="Z90" s="69"/>
    </row>
    <row r="91" spans="1:26">
      <c r="A91" s="114">
        <f>+A90</f>
        <v>2017006</v>
      </c>
      <c r="B91" s="74"/>
      <c r="C91" s="642"/>
      <c r="D91" s="645"/>
      <c r="E91" s="645"/>
      <c r="F91" s="645"/>
      <c r="G91" s="645"/>
      <c r="H91" s="648"/>
      <c r="I91" s="650"/>
      <c r="J91" s="629"/>
      <c r="K91" s="172" t="s">
        <v>25</v>
      </c>
      <c r="L91" s="354"/>
      <c r="M91" s="297"/>
      <c r="N91" s="297"/>
      <c r="O91" s="297"/>
      <c r="P91" s="297"/>
      <c r="Q91" s="297"/>
      <c r="R91" s="297"/>
      <c r="S91" s="297"/>
      <c r="T91" s="297"/>
      <c r="U91" s="297"/>
      <c r="V91" s="297"/>
      <c r="W91" s="93"/>
      <c r="X91" s="58">
        <f t="shared" si="48"/>
        <v>0</v>
      </c>
      <c r="Z91" s="69"/>
    </row>
    <row r="92" spans="1:26">
      <c r="A92" s="114">
        <f t="shared" ref="A92:A99" si="49">+A91</f>
        <v>2017006</v>
      </c>
      <c r="B92" s="74"/>
      <c r="C92" s="642"/>
      <c r="D92" s="645"/>
      <c r="E92" s="645"/>
      <c r="F92" s="645"/>
      <c r="G92" s="645"/>
      <c r="H92" s="648"/>
      <c r="I92" s="650"/>
      <c r="J92" s="629"/>
      <c r="K92" s="173" t="s">
        <v>26</v>
      </c>
      <c r="L92" s="355">
        <f t="shared" ref="L92:W92" si="50">SUM(L93:L99)</f>
        <v>361077</v>
      </c>
      <c r="M92" s="411">
        <f t="shared" si="50"/>
        <v>339165</v>
      </c>
      <c r="N92" s="411">
        <f t="shared" si="50"/>
        <v>365539</v>
      </c>
      <c r="O92" s="411">
        <f t="shared" si="50"/>
        <v>384050</v>
      </c>
      <c r="P92" s="411">
        <f t="shared" si="50"/>
        <v>349396</v>
      </c>
      <c r="Q92" s="411">
        <f t="shared" si="50"/>
        <v>358895</v>
      </c>
      <c r="R92" s="411">
        <f t="shared" si="50"/>
        <v>384764</v>
      </c>
      <c r="S92" s="411">
        <f t="shared" si="50"/>
        <v>324958</v>
      </c>
      <c r="T92" s="411">
        <f t="shared" si="50"/>
        <v>367989</v>
      </c>
      <c r="U92" s="411">
        <f t="shared" si="50"/>
        <v>342972</v>
      </c>
      <c r="V92" s="411">
        <f t="shared" si="50"/>
        <v>327155</v>
      </c>
      <c r="W92" s="108">
        <f t="shared" si="50"/>
        <v>361077</v>
      </c>
      <c r="X92" s="59">
        <f t="shared" si="48"/>
        <v>4267037</v>
      </c>
      <c r="Z92" s="69"/>
    </row>
    <row r="93" spans="1:26">
      <c r="A93" s="114">
        <f t="shared" si="49"/>
        <v>2017006</v>
      </c>
      <c r="B93" s="74"/>
      <c r="C93" s="642"/>
      <c r="D93" s="645"/>
      <c r="E93" s="645"/>
      <c r="F93" s="645"/>
      <c r="G93" s="645"/>
      <c r="H93" s="648"/>
      <c r="I93" s="650"/>
      <c r="J93" s="629"/>
      <c r="K93" s="174" t="s">
        <v>27</v>
      </c>
      <c r="L93" s="362">
        <v>306250</v>
      </c>
      <c r="M93" s="301">
        <v>286350</v>
      </c>
      <c r="N93" s="301">
        <v>312450</v>
      </c>
      <c r="O93" s="301">
        <v>327200</v>
      </c>
      <c r="P93" s="301">
        <v>296475</v>
      </c>
      <c r="Q93" s="301">
        <v>305875</v>
      </c>
      <c r="R93" s="301">
        <v>331475</v>
      </c>
      <c r="S93" s="301">
        <v>274075</v>
      </c>
      <c r="T93" s="301">
        <v>314875</v>
      </c>
      <c r="U93" s="301">
        <v>286550</v>
      </c>
      <c r="V93" s="301">
        <v>272500</v>
      </c>
      <c r="W93" s="102">
        <v>306250</v>
      </c>
      <c r="X93" s="58">
        <f t="shared" si="48"/>
        <v>3620325</v>
      </c>
      <c r="Y93" s="69"/>
      <c r="Z93" s="69"/>
    </row>
    <row r="94" spans="1:26">
      <c r="A94" s="114">
        <f t="shared" si="49"/>
        <v>2017006</v>
      </c>
      <c r="B94" s="74"/>
      <c r="C94" s="642"/>
      <c r="D94" s="645"/>
      <c r="E94" s="645"/>
      <c r="F94" s="645"/>
      <c r="G94" s="645"/>
      <c r="H94" s="648"/>
      <c r="I94" s="650"/>
      <c r="J94" s="629"/>
      <c r="K94" s="174" t="s">
        <v>34</v>
      </c>
      <c r="L94" s="362"/>
      <c r="M94" s="301"/>
      <c r="N94" s="301"/>
      <c r="O94" s="301"/>
      <c r="P94" s="301"/>
      <c r="Q94" s="301"/>
      <c r="R94" s="301"/>
      <c r="S94" s="301"/>
      <c r="T94" s="301"/>
      <c r="U94" s="301"/>
      <c r="V94" s="301"/>
      <c r="W94" s="102"/>
      <c r="X94" s="58">
        <f t="shared" si="48"/>
        <v>0</v>
      </c>
      <c r="Y94" s="69"/>
      <c r="Z94" s="69"/>
    </row>
    <row r="95" spans="1:26">
      <c r="A95" s="114">
        <f t="shared" si="49"/>
        <v>2017006</v>
      </c>
      <c r="B95" s="74"/>
      <c r="C95" s="642"/>
      <c r="D95" s="645"/>
      <c r="E95" s="645"/>
      <c r="F95" s="645"/>
      <c r="G95" s="645"/>
      <c r="H95" s="648"/>
      <c r="I95" s="650"/>
      <c r="J95" s="629"/>
      <c r="K95" s="174" t="s">
        <v>28</v>
      </c>
      <c r="L95" s="362">
        <v>7136</v>
      </c>
      <c r="M95" s="301">
        <v>5352</v>
      </c>
      <c r="N95" s="301">
        <v>5352</v>
      </c>
      <c r="O95" s="301">
        <v>8920</v>
      </c>
      <c r="P95" s="301">
        <v>5352</v>
      </c>
      <c r="Q95" s="301">
        <v>5352</v>
      </c>
      <c r="R95" s="301">
        <v>5352</v>
      </c>
      <c r="S95" s="301">
        <v>3568</v>
      </c>
      <c r="T95" s="301">
        <v>5352</v>
      </c>
      <c r="U95" s="301">
        <v>8920</v>
      </c>
      <c r="V95" s="301">
        <v>7136</v>
      </c>
      <c r="W95" s="102">
        <v>7136</v>
      </c>
      <c r="X95" s="58">
        <f t="shared" si="48"/>
        <v>74928</v>
      </c>
      <c r="Y95" s="69"/>
      <c r="Z95" s="69"/>
    </row>
    <row r="96" spans="1:26">
      <c r="A96" s="114">
        <f t="shared" si="49"/>
        <v>2017006</v>
      </c>
      <c r="B96" s="74"/>
      <c r="C96" s="642"/>
      <c r="D96" s="645"/>
      <c r="E96" s="645"/>
      <c r="F96" s="645"/>
      <c r="G96" s="645"/>
      <c r="H96" s="648"/>
      <c r="I96" s="650"/>
      <c r="J96" s="629"/>
      <c r="K96" s="174" t="s">
        <v>29</v>
      </c>
      <c r="L96" s="362">
        <v>16950</v>
      </c>
      <c r="M96" s="301">
        <v>16950</v>
      </c>
      <c r="N96" s="301">
        <v>16950</v>
      </c>
      <c r="O96" s="301">
        <v>16950</v>
      </c>
      <c r="P96" s="301">
        <v>16950</v>
      </c>
      <c r="Q96" s="301">
        <v>16950</v>
      </c>
      <c r="R96" s="301">
        <v>16950</v>
      </c>
      <c r="S96" s="301">
        <v>16950</v>
      </c>
      <c r="T96" s="301">
        <v>16950</v>
      </c>
      <c r="U96" s="301">
        <v>16950</v>
      </c>
      <c r="V96" s="301">
        <v>16950</v>
      </c>
      <c r="W96" s="102">
        <v>16950</v>
      </c>
      <c r="X96" s="58">
        <f t="shared" si="48"/>
        <v>203400</v>
      </c>
      <c r="Y96" s="69"/>
      <c r="Z96" s="69"/>
    </row>
    <row r="97" spans="1:26">
      <c r="A97" s="114">
        <f t="shared" si="49"/>
        <v>2017006</v>
      </c>
      <c r="B97" s="74"/>
      <c r="C97" s="642"/>
      <c r="D97" s="645"/>
      <c r="E97" s="645"/>
      <c r="F97" s="645"/>
      <c r="G97" s="645"/>
      <c r="H97" s="648"/>
      <c r="I97" s="650"/>
      <c r="J97" s="629"/>
      <c r="K97" s="174" t="s">
        <v>30</v>
      </c>
      <c r="L97" s="362">
        <v>27450</v>
      </c>
      <c r="M97" s="301">
        <v>27450</v>
      </c>
      <c r="N97" s="301">
        <v>27450</v>
      </c>
      <c r="O97" s="301">
        <v>27450</v>
      </c>
      <c r="P97" s="301">
        <v>27450</v>
      </c>
      <c r="Q97" s="301">
        <v>27450</v>
      </c>
      <c r="R97" s="301">
        <v>27450</v>
      </c>
      <c r="S97" s="301">
        <v>27450</v>
      </c>
      <c r="T97" s="301">
        <v>27450</v>
      </c>
      <c r="U97" s="301">
        <v>27450</v>
      </c>
      <c r="V97" s="301">
        <v>27450</v>
      </c>
      <c r="W97" s="102">
        <v>27450</v>
      </c>
      <c r="X97" s="58">
        <f t="shared" si="48"/>
        <v>329400</v>
      </c>
      <c r="Y97" s="69"/>
      <c r="Z97" s="69"/>
    </row>
    <row r="98" spans="1:26">
      <c r="A98" s="114">
        <f t="shared" si="49"/>
        <v>2017006</v>
      </c>
      <c r="B98" s="74"/>
      <c r="C98" s="642"/>
      <c r="D98" s="645"/>
      <c r="E98" s="645"/>
      <c r="F98" s="645"/>
      <c r="G98" s="645"/>
      <c r="H98" s="648"/>
      <c r="I98" s="650"/>
      <c r="J98" s="629"/>
      <c r="K98" s="174" t="s">
        <v>31</v>
      </c>
      <c r="L98" s="362">
        <v>1567</v>
      </c>
      <c r="M98" s="301">
        <v>1459</v>
      </c>
      <c r="N98" s="301">
        <v>1589</v>
      </c>
      <c r="O98" s="301">
        <v>1681</v>
      </c>
      <c r="P98" s="301">
        <v>1509</v>
      </c>
      <c r="Q98" s="301">
        <v>1556</v>
      </c>
      <c r="R98" s="301">
        <v>1684</v>
      </c>
      <c r="S98" s="301">
        <v>1388</v>
      </c>
      <c r="T98" s="301">
        <v>1601</v>
      </c>
      <c r="U98" s="301">
        <v>1477</v>
      </c>
      <c r="V98" s="301">
        <v>1485</v>
      </c>
      <c r="W98" s="102">
        <v>1567</v>
      </c>
      <c r="X98" s="58">
        <f t="shared" si="48"/>
        <v>18563</v>
      </c>
      <c r="Y98" s="69"/>
      <c r="Z98" s="69"/>
    </row>
    <row r="99" spans="1:26">
      <c r="A99" s="114">
        <f t="shared" si="49"/>
        <v>2017006</v>
      </c>
      <c r="B99" s="74"/>
      <c r="C99" s="642"/>
      <c r="D99" s="645"/>
      <c r="E99" s="645"/>
      <c r="F99" s="645"/>
      <c r="G99" s="645"/>
      <c r="H99" s="648"/>
      <c r="I99" s="650"/>
      <c r="J99" s="629"/>
      <c r="K99" s="174" t="s">
        <v>32</v>
      </c>
      <c r="L99" s="362">
        <v>1724</v>
      </c>
      <c r="M99" s="301">
        <v>1604</v>
      </c>
      <c r="N99" s="301">
        <v>1748</v>
      </c>
      <c r="O99" s="301">
        <v>1849</v>
      </c>
      <c r="P99" s="301">
        <v>1660</v>
      </c>
      <c r="Q99" s="301">
        <v>1712</v>
      </c>
      <c r="R99" s="301">
        <v>1853</v>
      </c>
      <c r="S99" s="301">
        <v>1527</v>
      </c>
      <c r="T99" s="301">
        <v>1761</v>
      </c>
      <c r="U99" s="301">
        <v>1625</v>
      </c>
      <c r="V99" s="301">
        <v>1634</v>
      </c>
      <c r="W99" s="102">
        <v>1724</v>
      </c>
      <c r="X99" s="58">
        <f t="shared" si="48"/>
        <v>20421</v>
      </c>
      <c r="Y99" s="69"/>
      <c r="Z99" s="69"/>
    </row>
    <row r="100" spans="1:26">
      <c r="A100" s="114">
        <f>+A99</f>
        <v>2017006</v>
      </c>
      <c r="B100" s="74"/>
      <c r="C100" s="654"/>
      <c r="D100" s="655"/>
      <c r="E100" s="655"/>
      <c r="F100" s="655"/>
      <c r="G100" s="655"/>
      <c r="H100" s="652"/>
      <c r="I100" s="653"/>
      <c r="J100" s="630"/>
      <c r="K100" s="175" t="s">
        <v>33</v>
      </c>
      <c r="L100" s="356">
        <f t="shared" ref="L100:X100" si="51">L89-L92</f>
        <v>11373</v>
      </c>
      <c r="M100" s="412">
        <f t="shared" si="51"/>
        <v>34585</v>
      </c>
      <c r="N100" s="412">
        <f t="shared" si="51"/>
        <v>10811</v>
      </c>
      <c r="O100" s="412">
        <f t="shared" si="51"/>
        <v>67050</v>
      </c>
      <c r="P100" s="412">
        <f t="shared" si="51"/>
        <v>38979</v>
      </c>
      <c r="Q100" s="412">
        <f t="shared" si="51"/>
        <v>50280</v>
      </c>
      <c r="R100" s="412">
        <f t="shared" si="51"/>
        <v>45211</v>
      </c>
      <c r="S100" s="412">
        <f t="shared" si="51"/>
        <v>4917</v>
      </c>
      <c r="T100" s="412">
        <f t="shared" si="51"/>
        <v>30461</v>
      </c>
      <c r="U100" s="412">
        <f t="shared" si="51"/>
        <v>21678</v>
      </c>
      <c r="V100" s="412">
        <f t="shared" si="51"/>
        <v>47245</v>
      </c>
      <c r="W100" s="109">
        <f t="shared" si="51"/>
        <v>11373</v>
      </c>
      <c r="X100" s="43">
        <f t="shared" si="51"/>
        <v>373963</v>
      </c>
      <c r="Z100" s="69"/>
    </row>
    <row r="101" spans="1:26">
      <c r="A101" s="113">
        <v>2016023</v>
      </c>
      <c r="C101" s="641">
        <f t="shared" ref="C101" si="52">C89+1</f>
        <v>9</v>
      </c>
      <c r="D101" s="645" t="s">
        <v>94</v>
      </c>
      <c r="E101" s="645"/>
      <c r="F101" s="645"/>
      <c r="G101" s="645" t="s">
        <v>143</v>
      </c>
      <c r="H101" s="648"/>
      <c r="I101" s="648" t="s">
        <v>82</v>
      </c>
      <c r="J101" s="629" t="s">
        <v>80</v>
      </c>
      <c r="K101" s="177" t="s">
        <v>23</v>
      </c>
      <c r="L101" s="357">
        <f t="shared" ref="L101:W101" si="53">L102+L103</f>
        <v>389676</v>
      </c>
      <c r="M101" s="413">
        <f t="shared" si="53"/>
        <v>359100</v>
      </c>
      <c r="N101" s="413">
        <f t="shared" si="53"/>
        <v>382042</v>
      </c>
      <c r="O101" s="413">
        <f t="shared" si="53"/>
        <v>421942</v>
      </c>
      <c r="P101" s="413">
        <f t="shared" si="53"/>
        <v>379050</v>
      </c>
      <c r="Q101" s="413">
        <f t="shared" si="53"/>
        <v>319200</v>
      </c>
      <c r="R101" s="413">
        <f t="shared" si="53"/>
        <v>424935</v>
      </c>
      <c r="S101" s="413">
        <f t="shared" si="53"/>
        <v>339150</v>
      </c>
      <c r="T101" s="413">
        <f t="shared" si="53"/>
        <v>401992</v>
      </c>
      <c r="U101" s="413">
        <f t="shared" si="53"/>
        <v>376056</v>
      </c>
      <c r="V101" s="413">
        <f t="shared" si="53"/>
        <v>392016</v>
      </c>
      <c r="W101" s="264">
        <f t="shared" si="53"/>
        <v>389676</v>
      </c>
      <c r="X101" s="42">
        <f t="shared" ref="X101:X111" si="54">SUM(L101:W101)</f>
        <v>4574835</v>
      </c>
      <c r="Z101" s="69"/>
    </row>
    <row r="102" spans="1:26">
      <c r="A102" s="114">
        <f>+A101</f>
        <v>2016023</v>
      </c>
      <c r="B102" s="74"/>
      <c r="C102" s="642"/>
      <c r="D102" s="645"/>
      <c r="E102" s="645"/>
      <c r="F102" s="645"/>
      <c r="G102" s="645"/>
      <c r="H102" s="648"/>
      <c r="I102" s="650"/>
      <c r="J102" s="629"/>
      <c r="K102" s="172" t="s">
        <v>24</v>
      </c>
      <c r="L102" s="362">
        <v>389676</v>
      </c>
      <c r="M102" s="301">
        <v>359100</v>
      </c>
      <c r="N102" s="301">
        <v>382042</v>
      </c>
      <c r="O102" s="301">
        <v>421942</v>
      </c>
      <c r="P102" s="301">
        <v>379050</v>
      </c>
      <c r="Q102" s="301">
        <v>319200</v>
      </c>
      <c r="R102" s="301">
        <v>424935</v>
      </c>
      <c r="S102" s="301">
        <v>339150</v>
      </c>
      <c r="T102" s="301">
        <v>401992</v>
      </c>
      <c r="U102" s="301">
        <v>376056</v>
      </c>
      <c r="V102" s="301">
        <v>392016</v>
      </c>
      <c r="W102" s="102">
        <v>389676</v>
      </c>
      <c r="X102" s="58">
        <f t="shared" si="54"/>
        <v>4574835</v>
      </c>
      <c r="Y102" s="69"/>
      <c r="Z102" s="69"/>
    </row>
    <row r="103" spans="1:26">
      <c r="A103" s="114">
        <f>+A102</f>
        <v>2016023</v>
      </c>
      <c r="B103" s="74"/>
      <c r="C103" s="642"/>
      <c r="D103" s="645"/>
      <c r="E103" s="645"/>
      <c r="F103" s="645"/>
      <c r="G103" s="645"/>
      <c r="H103" s="648"/>
      <c r="I103" s="650"/>
      <c r="J103" s="629"/>
      <c r="K103" s="172" t="s">
        <v>25</v>
      </c>
      <c r="L103" s="354"/>
      <c r="M103" s="297"/>
      <c r="N103" s="297"/>
      <c r="O103" s="297"/>
      <c r="P103" s="297"/>
      <c r="Q103" s="297"/>
      <c r="R103" s="297"/>
      <c r="S103" s="297"/>
      <c r="T103" s="297"/>
      <c r="U103" s="297"/>
      <c r="V103" s="297"/>
      <c r="W103" s="93"/>
      <c r="X103" s="58">
        <f t="shared" si="54"/>
        <v>0</v>
      </c>
      <c r="Z103" s="69"/>
    </row>
    <row r="104" spans="1:26">
      <c r="A104" s="114">
        <f t="shared" ref="A104:A111" si="55">+A103</f>
        <v>2016023</v>
      </c>
      <c r="B104" s="74"/>
      <c r="C104" s="642"/>
      <c r="D104" s="645"/>
      <c r="E104" s="645"/>
      <c r="F104" s="645"/>
      <c r="G104" s="645"/>
      <c r="H104" s="648"/>
      <c r="I104" s="650"/>
      <c r="J104" s="629"/>
      <c r="K104" s="173" t="s">
        <v>26</v>
      </c>
      <c r="L104" s="355">
        <f t="shared" ref="L104:W104" si="56">SUM(L105:L111)</f>
        <v>365377</v>
      </c>
      <c r="M104" s="411">
        <f t="shared" si="56"/>
        <v>342718</v>
      </c>
      <c r="N104" s="411">
        <f t="shared" si="56"/>
        <v>359274</v>
      </c>
      <c r="O104" s="411">
        <f t="shared" si="56"/>
        <v>374178</v>
      </c>
      <c r="P104" s="411">
        <f t="shared" si="56"/>
        <v>343061</v>
      </c>
      <c r="Q104" s="411">
        <f t="shared" si="56"/>
        <v>352581</v>
      </c>
      <c r="R104" s="411">
        <f t="shared" si="56"/>
        <v>373332</v>
      </c>
      <c r="S104" s="411">
        <f t="shared" si="56"/>
        <v>328511</v>
      </c>
      <c r="T104" s="411">
        <f t="shared" si="56"/>
        <v>370409</v>
      </c>
      <c r="U104" s="411">
        <f t="shared" si="56"/>
        <v>337584</v>
      </c>
      <c r="V104" s="411">
        <f t="shared" si="56"/>
        <v>348639</v>
      </c>
      <c r="W104" s="108">
        <f t="shared" si="56"/>
        <v>365377</v>
      </c>
      <c r="X104" s="59">
        <f t="shared" si="54"/>
        <v>4261041</v>
      </c>
      <c r="Z104" s="69"/>
    </row>
    <row r="105" spans="1:26">
      <c r="A105" s="114">
        <f t="shared" si="55"/>
        <v>2016023</v>
      </c>
      <c r="B105" s="74"/>
      <c r="C105" s="642"/>
      <c r="D105" s="645"/>
      <c r="E105" s="645"/>
      <c r="F105" s="645"/>
      <c r="G105" s="645"/>
      <c r="H105" s="648"/>
      <c r="I105" s="650"/>
      <c r="J105" s="629"/>
      <c r="K105" s="174" t="s">
        <v>27</v>
      </c>
      <c r="L105" s="362">
        <v>307823</v>
      </c>
      <c r="M105" s="301">
        <v>285400</v>
      </c>
      <c r="N105" s="301">
        <v>301843</v>
      </c>
      <c r="O105" s="301">
        <v>316593</v>
      </c>
      <c r="P105" s="301">
        <v>285800</v>
      </c>
      <c r="Q105" s="301">
        <v>298150</v>
      </c>
      <c r="R105" s="301">
        <v>318685</v>
      </c>
      <c r="S105" s="301">
        <v>272380</v>
      </c>
      <c r="T105" s="301">
        <v>315793</v>
      </c>
      <c r="U105" s="301">
        <v>283308</v>
      </c>
      <c r="V105" s="301">
        <v>294068</v>
      </c>
      <c r="W105" s="102">
        <v>307823</v>
      </c>
      <c r="X105" s="58">
        <f t="shared" si="54"/>
        <v>3587666</v>
      </c>
      <c r="Y105" s="69"/>
      <c r="Z105" s="69"/>
    </row>
    <row r="106" spans="1:26">
      <c r="A106" s="114">
        <f t="shared" si="55"/>
        <v>2016023</v>
      </c>
      <c r="B106" s="74"/>
      <c r="C106" s="642"/>
      <c r="D106" s="645"/>
      <c r="E106" s="645"/>
      <c r="F106" s="645"/>
      <c r="G106" s="645"/>
      <c r="H106" s="648"/>
      <c r="I106" s="650"/>
      <c r="J106" s="629"/>
      <c r="K106" s="174" t="s">
        <v>34</v>
      </c>
      <c r="L106" s="362"/>
      <c r="M106" s="301"/>
      <c r="N106" s="301"/>
      <c r="O106" s="301"/>
      <c r="P106" s="301"/>
      <c r="Q106" s="301"/>
      <c r="R106" s="301"/>
      <c r="S106" s="301"/>
      <c r="T106" s="301"/>
      <c r="U106" s="301"/>
      <c r="V106" s="301"/>
      <c r="W106" s="102"/>
      <c r="X106" s="58">
        <f t="shared" si="54"/>
        <v>0</v>
      </c>
      <c r="Y106" s="69"/>
      <c r="Z106" s="69"/>
    </row>
    <row r="107" spans="1:26">
      <c r="A107" s="114">
        <f t="shared" si="55"/>
        <v>2016023</v>
      </c>
      <c r="B107" s="74"/>
      <c r="C107" s="642"/>
      <c r="D107" s="645"/>
      <c r="E107" s="645"/>
      <c r="F107" s="645"/>
      <c r="G107" s="645"/>
      <c r="H107" s="648"/>
      <c r="I107" s="650"/>
      <c r="J107" s="629"/>
      <c r="K107" s="174" t="s">
        <v>28</v>
      </c>
      <c r="L107" s="362">
        <v>3960</v>
      </c>
      <c r="M107" s="301">
        <v>3960</v>
      </c>
      <c r="N107" s="301">
        <v>3900</v>
      </c>
      <c r="O107" s="301">
        <v>3900</v>
      </c>
      <c r="P107" s="301">
        <v>3900</v>
      </c>
      <c r="Q107" s="301">
        <v>3900</v>
      </c>
      <c r="R107" s="301">
        <v>3900</v>
      </c>
      <c r="S107" s="301">
        <v>5850</v>
      </c>
      <c r="T107" s="301">
        <v>3900</v>
      </c>
      <c r="U107" s="301">
        <v>3900</v>
      </c>
      <c r="V107" s="301">
        <v>3900</v>
      </c>
      <c r="W107" s="102">
        <v>3960</v>
      </c>
      <c r="X107" s="58">
        <f t="shared" si="54"/>
        <v>48930</v>
      </c>
      <c r="Y107" s="69"/>
      <c r="Z107" s="69"/>
    </row>
    <row r="108" spans="1:26">
      <c r="A108" s="114">
        <f t="shared" si="55"/>
        <v>2016023</v>
      </c>
      <c r="B108" s="74"/>
      <c r="C108" s="642"/>
      <c r="D108" s="645"/>
      <c r="E108" s="645"/>
      <c r="F108" s="645"/>
      <c r="G108" s="645"/>
      <c r="H108" s="648"/>
      <c r="I108" s="650"/>
      <c r="J108" s="629"/>
      <c r="K108" s="174" t="s">
        <v>29</v>
      </c>
      <c r="L108" s="362">
        <v>19210</v>
      </c>
      <c r="M108" s="301">
        <v>19210</v>
      </c>
      <c r="N108" s="301">
        <v>19210</v>
      </c>
      <c r="O108" s="301">
        <v>19210</v>
      </c>
      <c r="P108" s="301">
        <v>19210</v>
      </c>
      <c r="Q108" s="301">
        <v>18080</v>
      </c>
      <c r="R108" s="301">
        <v>18080</v>
      </c>
      <c r="S108" s="301">
        <v>18080</v>
      </c>
      <c r="T108" s="301">
        <v>18080</v>
      </c>
      <c r="U108" s="301">
        <v>18080</v>
      </c>
      <c r="V108" s="301">
        <v>18080</v>
      </c>
      <c r="W108" s="102">
        <v>19210</v>
      </c>
      <c r="X108" s="58">
        <f t="shared" si="54"/>
        <v>223740</v>
      </c>
      <c r="Y108" s="69"/>
      <c r="Z108" s="69"/>
    </row>
    <row r="109" spans="1:26">
      <c r="A109" s="114">
        <f t="shared" si="55"/>
        <v>2016023</v>
      </c>
      <c r="B109" s="74"/>
      <c r="C109" s="642"/>
      <c r="D109" s="645"/>
      <c r="E109" s="645"/>
      <c r="F109" s="645"/>
      <c r="G109" s="645"/>
      <c r="H109" s="648"/>
      <c r="I109" s="650"/>
      <c r="J109" s="629"/>
      <c r="K109" s="174" t="s">
        <v>30</v>
      </c>
      <c r="L109" s="362">
        <v>31110</v>
      </c>
      <c r="M109" s="301">
        <v>31110</v>
      </c>
      <c r="N109" s="301">
        <v>31110</v>
      </c>
      <c r="O109" s="301">
        <v>31110</v>
      </c>
      <c r="P109" s="301">
        <v>31110</v>
      </c>
      <c r="Q109" s="301">
        <v>29280</v>
      </c>
      <c r="R109" s="301">
        <v>29280</v>
      </c>
      <c r="S109" s="301">
        <v>29280</v>
      </c>
      <c r="T109" s="301">
        <v>29280</v>
      </c>
      <c r="U109" s="301">
        <v>29280</v>
      </c>
      <c r="V109" s="301">
        <v>29280</v>
      </c>
      <c r="W109" s="102">
        <v>31110</v>
      </c>
      <c r="X109" s="58">
        <f t="shared" si="54"/>
        <v>362340</v>
      </c>
      <c r="Y109" s="69"/>
      <c r="Z109" s="69"/>
    </row>
    <row r="110" spans="1:26">
      <c r="A110" s="114">
        <f t="shared" si="55"/>
        <v>2016023</v>
      </c>
      <c r="B110" s="74"/>
      <c r="C110" s="642"/>
      <c r="D110" s="645"/>
      <c r="E110" s="645"/>
      <c r="F110" s="645"/>
      <c r="G110" s="645"/>
      <c r="H110" s="648"/>
      <c r="I110" s="650"/>
      <c r="J110" s="629"/>
      <c r="K110" s="174" t="s">
        <v>31</v>
      </c>
      <c r="L110" s="362">
        <v>1559</v>
      </c>
      <c r="M110" s="301">
        <v>1447</v>
      </c>
      <c r="N110" s="301">
        <v>1529</v>
      </c>
      <c r="O110" s="301">
        <v>1602</v>
      </c>
      <c r="P110" s="301">
        <v>1448</v>
      </c>
      <c r="Q110" s="301">
        <v>1510</v>
      </c>
      <c r="R110" s="301">
        <v>1613</v>
      </c>
      <c r="S110" s="301">
        <v>1391</v>
      </c>
      <c r="T110" s="301">
        <v>1598</v>
      </c>
      <c r="U110" s="301">
        <v>1436</v>
      </c>
      <c r="V110" s="301">
        <v>1577</v>
      </c>
      <c r="W110" s="102">
        <v>1559</v>
      </c>
      <c r="X110" s="58">
        <f t="shared" si="54"/>
        <v>18269</v>
      </c>
      <c r="Y110" s="69"/>
      <c r="Z110" s="69"/>
    </row>
    <row r="111" spans="1:26">
      <c r="A111" s="114">
        <f t="shared" si="55"/>
        <v>2016023</v>
      </c>
      <c r="B111" s="74"/>
      <c r="C111" s="642"/>
      <c r="D111" s="645"/>
      <c r="E111" s="645"/>
      <c r="F111" s="645"/>
      <c r="G111" s="645"/>
      <c r="H111" s="648"/>
      <c r="I111" s="650"/>
      <c r="J111" s="629"/>
      <c r="K111" s="174" t="s">
        <v>32</v>
      </c>
      <c r="L111" s="362">
        <v>1715</v>
      </c>
      <c r="M111" s="301">
        <v>1591</v>
      </c>
      <c r="N111" s="301">
        <v>1682</v>
      </c>
      <c r="O111" s="301">
        <v>1763</v>
      </c>
      <c r="P111" s="301">
        <v>1593</v>
      </c>
      <c r="Q111" s="301">
        <v>1661</v>
      </c>
      <c r="R111" s="301">
        <v>1774</v>
      </c>
      <c r="S111" s="301">
        <v>1530</v>
      </c>
      <c r="T111" s="301">
        <v>1758</v>
      </c>
      <c r="U111" s="301">
        <v>1580</v>
      </c>
      <c r="V111" s="301">
        <v>1734</v>
      </c>
      <c r="W111" s="102">
        <v>1715</v>
      </c>
      <c r="X111" s="58">
        <f t="shared" si="54"/>
        <v>20096</v>
      </c>
      <c r="Y111" s="69"/>
      <c r="Z111" s="69"/>
    </row>
    <row r="112" spans="1:26">
      <c r="A112" s="114">
        <f>+A111</f>
        <v>2016023</v>
      </c>
      <c r="B112" s="74"/>
      <c r="C112" s="654"/>
      <c r="D112" s="655"/>
      <c r="E112" s="655"/>
      <c r="F112" s="655"/>
      <c r="G112" s="655"/>
      <c r="H112" s="652"/>
      <c r="I112" s="653"/>
      <c r="J112" s="630"/>
      <c r="K112" s="175" t="s">
        <v>33</v>
      </c>
      <c r="L112" s="356">
        <f t="shared" ref="L112:X112" si="57">L101-L104</f>
        <v>24299</v>
      </c>
      <c r="M112" s="412">
        <f t="shared" si="57"/>
        <v>16382</v>
      </c>
      <c r="N112" s="412">
        <f t="shared" si="57"/>
        <v>22768</v>
      </c>
      <c r="O112" s="412">
        <f t="shared" si="57"/>
        <v>47764</v>
      </c>
      <c r="P112" s="412">
        <f t="shared" si="57"/>
        <v>35989</v>
      </c>
      <c r="Q112" s="412">
        <f t="shared" si="57"/>
        <v>-33381</v>
      </c>
      <c r="R112" s="412">
        <f t="shared" si="57"/>
        <v>51603</v>
      </c>
      <c r="S112" s="412">
        <f t="shared" si="57"/>
        <v>10639</v>
      </c>
      <c r="T112" s="412">
        <f t="shared" si="57"/>
        <v>31583</v>
      </c>
      <c r="U112" s="412">
        <f t="shared" si="57"/>
        <v>38472</v>
      </c>
      <c r="V112" s="412">
        <f t="shared" si="57"/>
        <v>43377</v>
      </c>
      <c r="W112" s="109">
        <f t="shared" si="57"/>
        <v>24299</v>
      </c>
      <c r="X112" s="43">
        <f t="shared" si="57"/>
        <v>313794</v>
      </c>
      <c r="Z112" s="69"/>
    </row>
    <row r="113" spans="1:26">
      <c r="A113" s="113">
        <v>2023034</v>
      </c>
      <c r="C113" s="641">
        <f t="shared" ref="C113" si="58">C101+1</f>
        <v>10</v>
      </c>
      <c r="D113" s="645" t="s">
        <v>94</v>
      </c>
      <c r="E113" s="645" t="s">
        <v>173</v>
      </c>
      <c r="F113" s="645"/>
      <c r="G113" s="645" t="s">
        <v>144</v>
      </c>
      <c r="H113" s="648"/>
      <c r="I113" s="648"/>
      <c r="J113" s="629" t="s">
        <v>55</v>
      </c>
      <c r="K113" s="177" t="s">
        <v>23</v>
      </c>
      <c r="L113" s="357">
        <f t="shared" ref="L113:Q113" si="59">L114+L115</f>
        <v>398750</v>
      </c>
      <c r="M113" s="507">
        <f t="shared" si="59"/>
        <v>376250</v>
      </c>
      <c r="N113" s="507">
        <f t="shared" si="59"/>
        <v>358750</v>
      </c>
      <c r="O113" s="507">
        <f t="shared" si="59"/>
        <v>403750</v>
      </c>
      <c r="P113" s="507">
        <f t="shared" si="59"/>
        <v>321250</v>
      </c>
      <c r="Q113" s="507">
        <f t="shared" si="59"/>
        <v>318750</v>
      </c>
      <c r="R113" s="507">
        <f>R114+R115</f>
        <v>413750</v>
      </c>
      <c r="S113" s="507">
        <f t="shared" ref="S113:V113" si="60">S114+S115</f>
        <v>318750</v>
      </c>
      <c r="T113" s="507">
        <f t="shared" si="60"/>
        <v>368750</v>
      </c>
      <c r="U113" s="507">
        <f t="shared" si="60"/>
        <v>305312</v>
      </c>
      <c r="V113" s="413">
        <f t="shared" si="60"/>
        <v>0</v>
      </c>
      <c r="W113" s="508">
        <f>W114+W115</f>
        <v>0</v>
      </c>
      <c r="X113" s="509">
        <f t="shared" ref="X113:X123" si="61">SUM(L113:W113)</f>
        <v>3584062</v>
      </c>
      <c r="Z113" s="69"/>
    </row>
    <row r="114" spans="1:26">
      <c r="A114" s="114">
        <f>+A113</f>
        <v>2023034</v>
      </c>
      <c r="B114" s="74"/>
      <c r="C114" s="642"/>
      <c r="D114" s="645"/>
      <c r="E114" s="645"/>
      <c r="F114" s="645"/>
      <c r="G114" s="645"/>
      <c r="H114" s="648"/>
      <c r="I114" s="650"/>
      <c r="J114" s="629"/>
      <c r="K114" s="172" t="s">
        <v>24</v>
      </c>
      <c r="L114" s="362">
        <v>398750</v>
      </c>
      <c r="M114" s="362">
        <v>376250</v>
      </c>
      <c r="N114" s="362">
        <v>358750</v>
      </c>
      <c r="O114" s="362">
        <v>403750</v>
      </c>
      <c r="P114" s="362">
        <v>321250</v>
      </c>
      <c r="Q114" s="362">
        <v>318750</v>
      </c>
      <c r="R114" s="362">
        <v>413750</v>
      </c>
      <c r="S114" s="362">
        <v>318750</v>
      </c>
      <c r="T114" s="362">
        <v>368750</v>
      </c>
      <c r="U114" s="362">
        <v>305312</v>
      </c>
      <c r="V114" s="301"/>
      <c r="W114" s="362"/>
      <c r="X114" s="480">
        <f t="shared" si="61"/>
        <v>3584062</v>
      </c>
      <c r="Y114" s="69"/>
      <c r="Z114" s="69"/>
    </row>
    <row r="115" spans="1:26">
      <c r="A115" s="114">
        <f>+A114</f>
        <v>2023034</v>
      </c>
      <c r="B115" s="74"/>
      <c r="C115" s="642"/>
      <c r="D115" s="645"/>
      <c r="E115" s="645"/>
      <c r="F115" s="645"/>
      <c r="G115" s="645"/>
      <c r="H115" s="648"/>
      <c r="I115" s="650"/>
      <c r="J115" s="629"/>
      <c r="K115" s="172" t="s">
        <v>25</v>
      </c>
      <c r="L115" s="354"/>
      <c r="M115" s="343"/>
      <c r="N115" s="343"/>
      <c r="O115" s="343"/>
      <c r="P115" s="343"/>
      <c r="Q115" s="343"/>
      <c r="R115" s="343"/>
      <c r="S115" s="343"/>
      <c r="T115" s="343"/>
      <c r="U115" s="343"/>
      <c r="V115" s="297"/>
      <c r="W115" s="481"/>
      <c r="X115" s="480">
        <f t="shared" si="61"/>
        <v>0</v>
      </c>
      <c r="Z115" s="69"/>
    </row>
    <row r="116" spans="1:26">
      <c r="A116" s="114">
        <f t="shared" ref="A116:A123" si="62">+A115</f>
        <v>2023034</v>
      </c>
      <c r="B116" s="74"/>
      <c r="C116" s="642"/>
      <c r="D116" s="645"/>
      <c r="E116" s="645"/>
      <c r="F116" s="645"/>
      <c r="G116" s="645"/>
      <c r="H116" s="648"/>
      <c r="I116" s="650"/>
      <c r="J116" s="629"/>
      <c r="K116" s="173" t="s">
        <v>26</v>
      </c>
      <c r="L116" s="355">
        <f t="shared" ref="L116:Q116" si="63">SUM(L117:L123)</f>
        <v>313077</v>
      </c>
      <c r="M116" s="344">
        <f t="shared" si="63"/>
        <v>326704</v>
      </c>
      <c r="N116" s="344">
        <f t="shared" si="63"/>
        <v>309038</v>
      </c>
      <c r="O116" s="344">
        <f t="shared" si="63"/>
        <v>321202</v>
      </c>
      <c r="P116" s="344">
        <f t="shared" si="63"/>
        <v>296091</v>
      </c>
      <c r="Q116" s="344">
        <f t="shared" si="63"/>
        <v>297304</v>
      </c>
      <c r="R116" s="344">
        <f>SUM(R117:R123)</f>
        <v>323603</v>
      </c>
      <c r="S116" s="344">
        <f t="shared" ref="S116:V116" si="64">SUM(S117:S123)</f>
        <v>274203</v>
      </c>
      <c r="T116" s="344">
        <f t="shared" si="64"/>
        <v>306741</v>
      </c>
      <c r="U116" s="344">
        <f t="shared" si="64"/>
        <v>286029</v>
      </c>
      <c r="V116" s="411">
        <f t="shared" si="64"/>
        <v>0</v>
      </c>
      <c r="W116" s="482">
        <f>SUM(W117:W123)</f>
        <v>0</v>
      </c>
      <c r="X116" s="483">
        <f t="shared" si="61"/>
        <v>3053992</v>
      </c>
      <c r="Z116" s="69"/>
    </row>
    <row r="117" spans="1:26">
      <c r="A117" s="114">
        <f t="shared" si="62"/>
        <v>2023034</v>
      </c>
      <c r="B117" s="74"/>
      <c r="C117" s="642"/>
      <c r="D117" s="645"/>
      <c r="E117" s="645"/>
      <c r="F117" s="645"/>
      <c r="G117" s="645"/>
      <c r="H117" s="648"/>
      <c r="I117" s="650"/>
      <c r="J117" s="629"/>
      <c r="K117" s="174" t="s">
        <v>27</v>
      </c>
      <c r="L117" s="362">
        <v>254060</v>
      </c>
      <c r="M117" s="362">
        <v>267545</v>
      </c>
      <c r="N117" s="362">
        <v>250063</v>
      </c>
      <c r="O117" s="362">
        <v>262100</v>
      </c>
      <c r="P117" s="362">
        <v>237250</v>
      </c>
      <c r="Q117" s="362">
        <v>236500</v>
      </c>
      <c r="R117" s="362">
        <v>261725</v>
      </c>
      <c r="S117" s="362">
        <v>213638</v>
      </c>
      <c r="T117" s="362">
        <v>245038</v>
      </c>
      <c r="U117" s="362">
        <v>227757</v>
      </c>
      <c r="V117" s="301"/>
      <c r="W117" s="362"/>
      <c r="X117" s="480">
        <f t="shared" si="61"/>
        <v>2455676</v>
      </c>
      <c r="Y117" s="69"/>
      <c r="Z117" s="69"/>
    </row>
    <row r="118" spans="1:26">
      <c r="A118" s="114">
        <f t="shared" si="62"/>
        <v>2023034</v>
      </c>
      <c r="B118" s="74"/>
      <c r="C118" s="642"/>
      <c r="D118" s="645"/>
      <c r="E118" s="645"/>
      <c r="F118" s="645"/>
      <c r="G118" s="645"/>
      <c r="H118" s="648"/>
      <c r="I118" s="650"/>
      <c r="J118" s="629"/>
      <c r="K118" s="174" t="s">
        <v>34</v>
      </c>
      <c r="L118" s="362"/>
      <c r="M118" s="362"/>
      <c r="N118" s="362"/>
      <c r="O118" s="362"/>
      <c r="P118" s="362"/>
      <c r="Q118" s="362"/>
      <c r="R118" s="362"/>
      <c r="S118" s="362"/>
      <c r="T118" s="362"/>
      <c r="U118" s="362"/>
      <c r="V118" s="301"/>
      <c r="W118" s="362"/>
      <c r="X118" s="480">
        <f t="shared" si="61"/>
        <v>0</v>
      </c>
      <c r="Y118" s="69"/>
      <c r="Z118" s="69"/>
    </row>
    <row r="119" spans="1:26">
      <c r="A119" s="114">
        <f t="shared" si="62"/>
        <v>2023034</v>
      </c>
      <c r="B119" s="74"/>
      <c r="C119" s="642"/>
      <c r="D119" s="645"/>
      <c r="E119" s="645"/>
      <c r="F119" s="645"/>
      <c r="G119" s="645"/>
      <c r="H119" s="648"/>
      <c r="I119" s="650"/>
      <c r="J119" s="629"/>
      <c r="K119" s="174" t="s">
        <v>28</v>
      </c>
      <c r="L119" s="362">
        <v>20000</v>
      </c>
      <c r="M119" s="362">
        <v>20000</v>
      </c>
      <c r="N119" s="362">
        <v>20000</v>
      </c>
      <c r="O119" s="362">
        <v>20000</v>
      </c>
      <c r="P119" s="362">
        <v>20000</v>
      </c>
      <c r="Q119" s="362">
        <v>19200</v>
      </c>
      <c r="R119" s="362">
        <v>20000</v>
      </c>
      <c r="S119" s="362">
        <v>19200</v>
      </c>
      <c r="T119" s="362">
        <v>20000</v>
      </c>
      <c r="U119" s="362">
        <v>19200</v>
      </c>
      <c r="V119" s="301"/>
      <c r="W119" s="362"/>
      <c r="X119" s="480">
        <f t="shared" si="61"/>
        <v>197600</v>
      </c>
      <c r="Y119" s="69"/>
      <c r="Z119" s="69"/>
    </row>
    <row r="120" spans="1:26">
      <c r="A120" s="114">
        <f t="shared" si="62"/>
        <v>2023034</v>
      </c>
      <c r="B120" s="74"/>
      <c r="C120" s="642"/>
      <c r="D120" s="645"/>
      <c r="E120" s="645"/>
      <c r="F120" s="645"/>
      <c r="G120" s="645"/>
      <c r="H120" s="648"/>
      <c r="I120" s="650"/>
      <c r="J120" s="629"/>
      <c r="K120" s="174" t="s">
        <v>29</v>
      </c>
      <c r="L120" s="362">
        <v>12350</v>
      </c>
      <c r="M120" s="362">
        <v>12350</v>
      </c>
      <c r="N120" s="362">
        <v>12350</v>
      </c>
      <c r="O120" s="362">
        <v>12350</v>
      </c>
      <c r="P120" s="362">
        <v>12350</v>
      </c>
      <c r="Q120" s="362">
        <v>13300</v>
      </c>
      <c r="R120" s="362">
        <v>13300</v>
      </c>
      <c r="S120" s="362">
        <v>13300</v>
      </c>
      <c r="T120" s="362">
        <v>13300</v>
      </c>
      <c r="U120" s="362">
        <v>13300</v>
      </c>
      <c r="V120" s="301"/>
      <c r="W120" s="362"/>
      <c r="X120" s="480">
        <f t="shared" si="61"/>
        <v>128250</v>
      </c>
      <c r="Y120" s="69"/>
      <c r="Z120" s="69"/>
    </row>
    <row r="121" spans="1:26">
      <c r="A121" s="114">
        <f t="shared" si="62"/>
        <v>2023034</v>
      </c>
      <c r="B121" s="74"/>
      <c r="C121" s="642"/>
      <c r="D121" s="645"/>
      <c r="E121" s="645"/>
      <c r="F121" s="645"/>
      <c r="G121" s="645"/>
      <c r="H121" s="648"/>
      <c r="I121" s="650"/>
      <c r="J121" s="629"/>
      <c r="K121" s="174" t="s">
        <v>30</v>
      </c>
      <c r="L121" s="362">
        <v>23790</v>
      </c>
      <c r="M121" s="362">
        <v>23790</v>
      </c>
      <c r="N121" s="362">
        <v>23790</v>
      </c>
      <c r="O121" s="362">
        <v>23790</v>
      </c>
      <c r="P121" s="362">
        <v>23790</v>
      </c>
      <c r="Q121" s="362">
        <v>25620</v>
      </c>
      <c r="R121" s="362">
        <v>25620</v>
      </c>
      <c r="S121" s="362">
        <v>25620</v>
      </c>
      <c r="T121" s="362">
        <v>25620</v>
      </c>
      <c r="U121" s="362">
        <v>25620</v>
      </c>
      <c r="V121" s="301"/>
      <c r="W121" s="362"/>
      <c r="X121" s="480">
        <f t="shared" si="61"/>
        <v>247050</v>
      </c>
      <c r="Y121" s="69"/>
      <c r="Z121" s="69"/>
    </row>
    <row r="122" spans="1:26">
      <c r="A122" s="114">
        <f t="shared" si="62"/>
        <v>2023034</v>
      </c>
      <c r="B122" s="74"/>
      <c r="C122" s="642"/>
      <c r="D122" s="645"/>
      <c r="E122" s="645"/>
      <c r="F122" s="645"/>
      <c r="G122" s="645"/>
      <c r="H122" s="648"/>
      <c r="I122" s="650"/>
      <c r="J122" s="629"/>
      <c r="K122" s="174" t="s">
        <v>31</v>
      </c>
      <c r="L122" s="362">
        <v>1370</v>
      </c>
      <c r="M122" s="362">
        <v>1438</v>
      </c>
      <c r="N122" s="362">
        <v>1350</v>
      </c>
      <c r="O122" s="362">
        <v>1410</v>
      </c>
      <c r="P122" s="362">
        <v>1286</v>
      </c>
      <c r="Q122" s="362">
        <v>1278</v>
      </c>
      <c r="R122" s="362">
        <v>1409</v>
      </c>
      <c r="S122" s="362">
        <v>1164</v>
      </c>
      <c r="T122" s="362">
        <v>1325</v>
      </c>
      <c r="U122" s="362">
        <v>72</v>
      </c>
      <c r="V122" s="301"/>
      <c r="W122" s="362"/>
      <c r="X122" s="480">
        <f t="shared" si="61"/>
        <v>12102</v>
      </c>
      <c r="Y122" s="69"/>
      <c r="Z122" s="69"/>
    </row>
    <row r="123" spans="1:26">
      <c r="A123" s="114">
        <f t="shared" si="62"/>
        <v>2023034</v>
      </c>
      <c r="B123" s="74"/>
      <c r="C123" s="642"/>
      <c r="D123" s="645"/>
      <c r="E123" s="645"/>
      <c r="F123" s="645"/>
      <c r="G123" s="645"/>
      <c r="H123" s="648"/>
      <c r="I123" s="650"/>
      <c r="J123" s="629"/>
      <c r="K123" s="174" t="s">
        <v>32</v>
      </c>
      <c r="L123" s="362">
        <v>1507</v>
      </c>
      <c r="M123" s="362">
        <v>1581</v>
      </c>
      <c r="N123" s="362">
        <v>1485</v>
      </c>
      <c r="O123" s="362">
        <v>1552</v>
      </c>
      <c r="P123" s="362">
        <v>1415</v>
      </c>
      <c r="Q123" s="362">
        <v>1406</v>
      </c>
      <c r="R123" s="362">
        <v>1549</v>
      </c>
      <c r="S123" s="362">
        <v>1281</v>
      </c>
      <c r="T123" s="362">
        <v>1458</v>
      </c>
      <c r="U123" s="362">
        <v>80</v>
      </c>
      <c r="V123" s="301"/>
      <c r="W123" s="362"/>
      <c r="X123" s="480">
        <f t="shared" si="61"/>
        <v>13314</v>
      </c>
      <c r="Y123" s="69"/>
      <c r="Z123" s="69"/>
    </row>
    <row r="124" spans="1:26">
      <c r="A124" s="114">
        <f>+A123</f>
        <v>2023034</v>
      </c>
      <c r="B124" s="74"/>
      <c r="C124" s="654"/>
      <c r="D124" s="655"/>
      <c r="E124" s="655"/>
      <c r="F124" s="655"/>
      <c r="G124" s="655"/>
      <c r="H124" s="652"/>
      <c r="I124" s="653"/>
      <c r="J124" s="630"/>
      <c r="K124" s="175" t="s">
        <v>33</v>
      </c>
      <c r="L124" s="356">
        <f t="shared" ref="L124:V124" si="65">L113-L116</f>
        <v>85673</v>
      </c>
      <c r="M124" s="345">
        <f t="shared" si="65"/>
        <v>49546</v>
      </c>
      <c r="N124" s="345">
        <f t="shared" si="65"/>
        <v>49712</v>
      </c>
      <c r="O124" s="345">
        <f t="shared" si="65"/>
        <v>82548</v>
      </c>
      <c r="P124" s="345">
        <f t="shared" si="65"/>
        <v>25159</v>
      </c>
      <c r="Q124" s="345">
        <f t="shared" si="65"/>
        <v>21446</v>
      </c>
      <c r="R124" s="345">
        <f t="shared" si="65"/>
        <v>90147</v>
      </c>
      <c r="S124" s="345">
        <f t="shared" si="65"/>
        <v>44547</v>
      </c>
      <c r="T124" s="345">
        <f t="shared" si="65"/>
        <v>62009</v>
      </c>
      <c r="U124" s="345">
        <f t="shared" si="65"/>
        <v>19283</v>
      </c>
      <c r="V124" s="412">
        <f t="shared" si="65"/>
        <v>0</v>
      </c>
      <c r="W124" s="510">
        <f>W113-W116</f>
        <v>0</v>
      </c>
      <c r="X124" s="485">
        <f t="shared" ref="X124" si="66">X113-X116</f>
        <v>530070</v>
      </c>
      <c r="Z124" s="69"/>
    </row>
    <row r="125" spans="1:26">
      <c r="A125" s="113">
        <v>2024002</v>
      </c>
      <c r="C125" s="641">
        <f t="shared" ref="C125" si="67">C113+1</f>
        <v>11</v>
      </c>
      <c r="D125" s="644" t="s">
        <v>106</v>
      </c>
      <c r="E125" s="644"/>
      <c r="F125" s="644"/>
      <c r="G125" s="644"/>
      <c r="H125" s="647"/>
      <c r="I125" s="647"/>
      <c r="J125" s="628" t="s">
        <v>55</v>
      </c>
      <c r="K125" s="176" t="s">
        <v>23</v>
      </c>
      <c r="L125" s="353">
        <f t="shared" ref="L125:Q125" si="68">L126+L127</f>
        <v>650000</v>
      </c>
      <c r="M125" s="409">
        <f t="shared" si="68"/>
        <v>676390</v>
      </c>
      <c r="N125" s="409">
        <f t="shared" si="68"/>
        <v>696805</v>
      </c>
      <c r="O125" s="409">
        <f t="shared" si="68"/>
        <v>798555</v>
      </c>
      <c r="P125" s="409">
        <f t="shared" si="68"/>
        <v>704945</v>
      </c>
      <c r="Q125" s="409">
        <f t="shared" si="68"/>
        <v>698840</v>
      </c>
      <c r="R125" s="409">
        <f>R126+R127</f>
        <v>733435</v>
      </c>
      <c r="S125" s="409">
        <f t="shared" ref="S125:V125" si="69">S126+S127</f>
        <v>650000</v>
      </c>
      <c r="T125" s="409">
        <f t="shared" si="69"/>
        <v>725295</v>
      </c>
      <c r="U125" s="409">
        <f t="shared" si="69"/>
        <v>650000</v>
      </c>
      <c r="V125" s="409">
        <f t="shared" si="69"/>
        <v>650000</v>
      </c>
      <c r="W125" s="120">
        <f>W126+W127</f>
        <v>650000</v>
      </c>
      <c r="X125" s="122">
        <f>SUM(L125:W125)</f>
        <v>8284265</v>
      </c>
      <c r="Z125" s="69"/>
    </row>
    <row r="126" spans="1:26">
      <c r="A126" s="114">
        <f>+A125</f>
        <v>2024002</v>
      </c>
      <c r="B126" s="74">
        <f>+B125</f>
        <v>0</v>
      </c>
      <c r="C126" s="642"/>
      <c r="D126" s="645"/>
      <c r="E126" s="645"/>
      <c r="F126" s="645"/>
      <c r="G126" s="645"/>
      <c r="H126" s="648"/>
      <c r="I126" s="650"/>
      <c r="J126" s="629"/>
      <c r="K126" s="172" t="s">
        <v>24</v>
      </c>
      <c r="L126" s="362">
        <v>650000</v>
      </c>
      <c r="M126" s="301">
        <v>676390</v>
      </c>
      <c r="N126" s="301">
        <v>696805</v>
      </c>
      <c r="O126" s="301">
        <v>798555</v>
      </c>
      <c r="P126" s="301">
        <v>704945</v>
      </c>
      <c r="Q126" s="301">
        <v>698840</v>
      </c>
      <c r="R126" s="301">
        <v>733435</v>
      </c>
      <c r="S126" s="301">
        <v>650000</v>
      </c>
      <c r="T126" s="301">
        <v>725295</v>
      </c>
      <c r="U126" s="301">
        <v>650000</v>
      </c>
      <c r="V126" s="301">
        <v>650000</v>
      </c>
      <c r="W126" s="102">
        <v>650000</v>
      </c>
      <c r="X126" s="58">
        <f>SUM(L126:W126)</f>
        <v>8284265</v>
      </c>
      <c r="Y126" s="69"/>
      <c r="Z126" s="69"/>
    </row>
    <row r="127" spans="1:26">
      <c r="A127" s="114">
        <f>+A126</f>
        <v>2024002</v>
      </c>
      <c r="B127" s="74">
        <f t="shared" ref="B127:B135" si="70">+B126</f>
        <v>0</v>
      </c>
      <c r="C127" s="642"/>
      <c r="D127" s="645"/>
      <c r="E127" s="645"/>
      <c r="F127" s="645"/>
      <c r="G127" s="645"/>
      <c r="H127" s="648"/>
      <c r="I127" s="650"/>
      <c r="J127" s="629"/>
      <c r="K127" s="172" t="s">
        <v>25</v>
      </c>
      <c r="L127" s="354"/>
      <c r="M127" s="297"/>
      <c r="N127" s="297"/>
      <c r="O127" s="297"/>
      <c r="P127" s="297"/>
      <c r="Q127" s="297"/>
      <c r="R127" s="297"/>
      <c r="S127" s="297"/>
      <c r="T127" s="297"/>
      <c r="U127" s="297"/>
      <c r="V127" s="297"/>
      <c r="W127" s="93"/>
      <c r="X127" s="58">
        <v>0</v>
      </c>
      <c r="Z127" s="69"/>
    </row>
    <row r="128" spans="1:26">
      <c r="A128" s="114">
        <f t="shared" ref="A128:A135" si="71">+A127</f>
        <v>2024002</v>
      </c>
      <c r="B128" s="74">
        <f t="shared" si="70"/>
        <v>0</v>
      </c>
      <c r="C128" s="642"/>
      <c r="D128" s="645"/>
      <c r="E128" s="645"/>
      <c r="F128" s="645"/>
      <c r="G128" s="645"/>
      <c r="H128" s="648"/>
      <c r="I128" s="650"/>
      <c r="J128" s="629"/>
      <c r="K128" s="173" t="s">
        <v>26</v>
      </c>
      <c r="L128" s="355">
        <f t="shared" ref="L128:Q128" si="72">SUM(L129:L135)</f>
        <v>553842</v>
      </c>
      <c r="M128" s="411">
        <f t="shared" si="72"/>
        <v>561987</v>
      </c>
      <c r="N128" s="411">
        <f t="shared" si="72"/>
        <v>594129</v>
      </c>
      <c r="O128" s="411">
        <f t="shared" si="72"/>
        <v>646937</v>
      </c>
      <c r="P128" s="411">
        <f t="shared" si="72"/>
        <v>604754</v>
      </c>
      <c r="Q128" s="411">
        <f t="shared" si="72"/>
        <v>598252</v>
      </c>
      <c r="R128" s="411">
        <f>SUM(R129:R135)</f>
        <v>636638</v>
      </c>
      <c r="S128" s="411">
        <f t="shared" ref="S128:V128" si="73">SUM(S129:S135)</f>
        <v>534136</v>
      </c>
      <c r="T128" s="411">
        <f t="shared" si="73"/>
        <v>609400</v>
      </c>
      <c r="U128" s="411">
        <f t="shared" si="73"/>
        <v>540988</v>
      </c>
      <c r="V128" s="411">
        <f t="shared" si="73"/>
        <v>533794</v>
      </c>
      <c r="W128" s="108">
        <f>SUM(W129:W135)</f>
        <v>553842</v>
      </c>
      <c r="X128" s="59">
        <f t="shared" ref="X128:X135" si="74">SUM(L128:W128)</f>
        <v>6968699</v>
      </c>
      <c r="Z128" s="69"/>
    </row>
    <row r="129" spans="1:26">
      <c r="A129" s="114">
        <f t="shared" si="71"/>
        <v>2024002</v>
      </c>
      <c r="B129" s="74">
        <f t="shared" si="70"/>
        <v>0</v>
      </c>
      <c r="C129" s="642"/>
      <c r="D129" s="645"/>
      <c r="E129" s="645"/>
      <c r="F129" s="645"/>
      <c r="G129" s="645"/>
      <c r="H129" s="648"/>
      <c r="I129" s="650"/>
      <c r="J129" s="629"/>
      <c r="K129" s="174" t="s">
        <v>27</v>
      </c>
      <c r="L129" s="362">
        <v>461709</v>
      </c>
      <c r="M129" s="301">
        <v>469769</v>
      </c>
      <c r="N129" s="301">
        <v>506326</v>
      </c>
      <c r="O129" s="301">
        <v>553995</v>
      </c>
      <c r="P129" s="301">
        <v>515923</v>
      </c>
      <c r="Q129" s="301">
        <v>511778</v>
      </c>
      <c r="R129" s="301">
        <v>551601</v>
      </c>
      <c r="S129" s="301">
        <v>452000</v>
      </c>
      <c r="T129" s="301">
        <v>528319</v>
      </c>
      <c r="U129" s="301">
        <v>459699</v>
      </c>
      <c r="V129" s="301">
        <v>452400</v>
      </c>
      <c r="W129" s="102">
        <v>461709</v>
      </c>
      <c r="X129" s="58">
        <f t="shared" si="74"/>
        <v>5925228</v>
      </c>
      <c r="Y129" s="69"/>
      <c r="Z129" s="69"/>
    </row>
    <row r="130" spans="1:26">
      <c r="A130" s="114">
        <f t="shared" si="71"/>
        <v>2024002</v>
      </c>
      <c r="B130" s="74">
        <f t="shared" si="70"/>
        <v>0</v>
      </c>
      <c r="C130" s="642"/>
      <c r="D130" s="645"/>
      <c r="E130" s="645"/>
      <c r="F130" s="645"/>
      <c r="G130" s="645"/>
      <c r="H130" s="648"/>
      <c r="I130" s="650"/>
      <c r="J130" s="629"/>
      <c r="K130" s="174" t="s">
        <v>34</v>
      </c>
      <c r="L130" s="362"/>
      <c r="M130" s="301"/>
      <c r="N130" s="301"/>
      <c r="O130" s="301"/>
      <c r="P130" s="301"/>
      <c r="Q130" s="301"/>
      <c r="R130" s="301"/>
      <c r="S130" s="301"/>
      <c r="T130" s="301"/>
      <c r="U130" s="301"/>
      <c r="V130" s="301"/>
      <c r="W130" s="102"/>
      <c r="X130" s="58">
        <f t="shared" si="74"/>
        <v>0</v>
      </c>
      <c r="Y130" s="69"/>
      <c r="Z130" s="69"/>
    </row>
    <row r="131" spans="1:26">
      <c r="A131" s="114">
        <f t="shared" si="71"/>
        <v>2024002</v>
      </c>
      <c r="B131" s="74">
        <f t="shared" si="70"/>
        <v>0</v>
      </c>
      <c r="C131" s="642"/>
      <c r="D131" s="645"/>
      <c r="E131" s="645"/>
      <c r="F131" s="645"/>
      <c r="G131" s="645"/>
      <c r="H131" s="648"/>
      <c r="I131" s="650"/>
      <c r="J131" s="629"/>
      <c r="K131" s="174" t="s">
        <v>28</v>
      </c>
      <c r="L131" s="362">
        <v>17600</v>
      </c>
      <c r="M131" s="301">
        <v>17600</v>
      </c>
      <c r="N131" s="301">
        <v>12852</v>
      </c>
      <c r="O131" s="301">
        <v>17442</v>
      </c>
      <c r="P131" s="301">
        <v>13770</v>
      </c>
      <c r="Q131" s="301">
        <v>15606</v>
      </c>
      <c r="R131" s="301">
        <v>13770</v>
      </c>
      <c r="S131" s="301">
        <v>11934</v>
      </c>
      <c r="T131" s="301">
        <v>10098</v>
      </c>
      <c r="U131" s="301">
        <v>11016</v>
      </c>
      <c r="V131" s="301">
        <v>11016</v>
      </c>
      <c r="W131" s="102">
        <v>17600</v>
      </c>
      <c r="X131" s="58">
        <f t="shared" si="74"/>
        <v>170304</v>
      </c>
      <c r="Y131" s="69"/>
      <c r="Z131" s="69"/>
    </row>
    <row r="132" spans="1:26">
      <c r="A132" s="114">
        <f t="shared" si="71"/>
        <v>2024002</v>
      </c>
      <c r="B132" s="74">
        <f t="shared" si="70"/>
        <v>0</v>
      </c>
      <c r="C132" s="642"/>
      <c r="D132" s="645"/>
      <c r="E132" s="645"/>
      <c r="F132" s="645"/>
      <c r="G132" s="645"/>
      <c r="H132" s="648"/>
      <c r="I132" s="650"/>
      <c r="J132" s="629"/>
      <c r="K132" s="174" t="s">
        <v>29</v>
      </c>
      <c r="L132" s="362">
        <v>23750</v>
      </c>
      <c r="M132" s="301">
        <v>23750</v>
      </c>
      <c r="N132" s="301">
        <v>23750</v>
      </c>
      <c r="O132" s="301">
        <v>23750</v>
      </c>
      <c r="P132" s="301">
        <v>23750</v>
      </c>
      <c r="Q132" s="301">
        <v>22325</v>
      </c>
      <c r="R132" s="301">
        <v>22325</v>
      </c>
      <c r="S132" s="301">
        <v>22325</v>
      </c>
      <c r="T132" s="301">
        <v>22325</v>
      </c>
      <c r="U132" s="301">
        <v>22325</v>
      </c>
      <c r="V132" s="301">
        <v>22325</v>
      </c>
      <c r="W132" s="102">
        <v>23750</v>
      </c>
      <c r="X132" s="58">
        <f t="shared" si="74"/>
        <v>276450</v>
      </c>
      <c r="Y132" s="69"/>
      <c r="Z132" s="69"/>
    </row>
    <row r="133" spans="1:26">
      <c r="A133" s="114">
        <f t="shared" si="71"/>
        <v>2024002</v>
      </c>
      <c r="B133" s="74">
        <f t="shared" si="70"/>
        <v>0</v>
      </c>
      <c r="C133" s="642"/>
      <c r="D133" s="645"/>
      <c r="E133" s="645"/>
      <c r="F133" s="645"/>
      <c r="G133" s="645"/>
      <c r="H133" s="648"/>
      <c r="I133" s="650"/>
      <c r="J133" s="629"/>
      <c r="K133" s="174" t="s">
        <v>30</v>
      </c>
      <c r="L133" s="362">
        <v>45750</v>
      </c>
      <c r="M133" s="301">
        <v>45750</v>
      </c>
      <c r="N133" s="301">
        <v>45750</v>
      </c>
      <c r="O133" s="301">
        <v>45750</v>
      </c>
      <c r="P133" s="301">
        <v>45750</v>
      </c>
      <c r="Q133" s="301">
        <v>43005</v>
      </c>
      <c r="R133" s="301">
        <v>43005</v>
      </c>
      <c r="S133" s="301">
        <v>43005</v>
      </c>
      <c r="T133" s="301">
        <v>43005</v>
      </c>
      <c r="U133" s="301">
        <v>43005</v>
      </c>
      <c r="V133" s="301">
        <v>43005</v>
      </c>
      <c r="W133" s="102">
        <v>45750</v>
      </c>
      <c r="X133" s="58">
        <f t="shared" si="74"/>
        <v>532530</v>
      </c>
      <c r="Y133" s="69"/>
      <c r="Z133" s="69"/>
    </row>
    <row r="134" spans="1:26">
      <c r="A134" s="114">
        <f t="shared" si="71"/>
        <v>2024002</v>
      </c>
      <c r="B134" s="74">
        <f t="shared" si="70"/>
        <v>0</v>
      </c>
      <c r="C134" s="642"/>
      <c r="D134" s="645"/>
      <c r="E134" s="645"/>
      <c r="F134" s="645"/>
      <c r="G134" s="645"/>
      <c r="H134" s="648"/>
      <c r="I134" s="650"/>
      <c r="J134" s="629"/>
      <c r="K134" s="174" t="s">
        <v>31</v>
      </c>
      <c r="L134" s="362">
        <v>2397</v>
      </c>
      <c r="M134" s="301">
        <v>2437</v>
      </c>
      <c r="N134" s="301">
        <v>2596</v>
      </c>
      <c r="O134" s="301">
        <v>2857</v>
      </c>
      <c r="P134" s="301">
        <v>2648</v>
      </c>
      <c r="Q134" s="301">
        <v>2637</v>
      </c>
      <c r="R134" s="301">
        <v>2827</v>
      </c>
      <c r="S134" s="301">
        <v>2320</v>
      </c>
      <c r="T134" s="301">
        <v>2692</v>
      </c>
      <c r="U134" s="301">
        <v>2354</v>
      </c>
      <c r="V134" s="301">
        <v>2404</v>
      </c>
      <c r="W134" s="102">
        <v>2397</v>
      </c>
      <c r="X134" s="58">
        <f t="shared" si="74"/>
        <v>30566</v>
      </c>
      <c r="Y134" s="69"/>
      <c r="Z134" s="69"/>
    </row>
    <row r="135" spans="1:26">
      <c r="A135" s="114">
        <f t="shared" si="71"/>
        <v>2024002</v>
      </c>
      <c r="B135" s="74">
        <f t="shared" si="70"/>
        <v>0</v>
      </c>
      <c r="C135" s="642"/>
      <c r="D135" s="645"/>
      <c r="E135" s="645"/>
      <c r="F135" s="645"/>
      <c r="G135" s="645"/>
      <c r="H135" s="648"/>
      <c r="I135" s="650"/>
      <c r="J135" s="629"/>
      <c r="K135" s="174" t="s">
        <v>32</v>
      </c>
      <c r="L135" s="362">
        <v>2636</v>
      </c>
      <c r="M135" s="301">
        <v>2681</v>
      </c>
      <c r="N135" s="301">
        <v>2855</v>
      </c>
      <c r="O135" s="301">
        <v>3143</v>
      </c>
      <c r="P135" s="301">
        <v>2913</v>
      </c>
      <c r="Q135" s="301">
        <v>2901</v>
      </c>
      <c r="R135" s="301">
        <v>3110</v>
      </c>
      <c r="S135" s="301">
        <v>2552</v>
      </c>
      <c r="T135" s="301">
        <v>2961</v>
      </c>
      <c r="U135" s="301">
        <v>2589</v>
      </c>
      <c r="V135" s="301">
        <v>2644</v>
      </c>
      <c r="W135" s="102">
        <v>2636</v>
      </c>
      <c r="X135" s="58">
        <f t="shared" si="74"/>
        <v>33621</v>
      </c>
      <c r="Y135" s="69"/>
      <c r="Z135" s="69"/>
    </row>
    <row r="136" spans="1:26" ht="12.5" thickBot="1">
      <c r="A136" s="114">
        <f>+A135</f>
        <v>2024002</v>
      </c>
      <c r="B136" s="74">
        <f>+B135</f>
        <v>0</v>
      </c>
      <c r="C136" s="643"/>
      <c r="D136" s="646"/>
      <c r="E136" s="646"/>
      <c r="F136" s="646"/>
      <c r="G136" s="646"/>
      <c r="H136" s="649"/>
      <c r="I136" s="651"/>
      <c r="J136" s="631"/>
      <c r="K136" s="178" t="s">
        <v>33</v>
      </c>
      <c r="L136" s="358">
        <f t="shared" ref="L136" si="75">L125-L128</f>
        <v>96158</v>
      </c>
      <c r="M136" s="417">
        <f>M125-M128</f>
        <v>114403</v>
      </c>
      <c r="N136" s="417">
        <f t="shared" ref="N136:W136" si="76">N125-N128</f>
        <v>102676</v>
      </c>
      <c r="O136" s="417">
        <f t="shared" si="76"/>
        <v>151618</v>
      </c>
      <c r="P136" s="417">
        <f t="shared" si="76"/>
        <v>100191</v>
      </c>
      <c r="Q136" s="417">
        <f t="shared" si="76"/>
        <v>100588</v>
      </c>
      <c r="R136" s="417">
        <f t="shared" si="76"/>
        <v>96797</v>
      </c>
      <c r="S136" s="417">
        <f t="shared" si="76"/>
        <v>115864</v>
      </c>
      <c r="T136" s="417">
        <f t="shared" si="76"/>
        <v>115895</v>
      </c>
      <c r="U136" s="417">
        <f t="shared" si="76"/>
        <v>109012</v>
      </c>
      <c r="V136" s="417">
        <f t="shared" si="76"/>
        <v>116206</v>
      </c>
      <c r="W136" s="200">
        <f t="shared" si="76"/>
        <v>96158</v>
      </c>
      <c r="X136" s="78">
        <f t="shared" ref="X136" si="77">X125-X128</f>
        <v>1315566</v>
      </c>
      <c r="Z136" s="69"/>
    </row>
    <row r="137" spans="1:26" s="1" customFormat="1" ht="12.5" thickTop="1">
      <c r="A137" s="112"/>
      <c r="B137" s="72"/>
      <c r="C137" s="633" t="str">
        <f>C2</f>
        <v>ビジネス推進本部</v>
      </c>
      <c r="D137" s="634"/>
      <c r="E137" s="634"/>
      <c r="F137" s="634"/>
      <c r="G137" s="634"/>
      <c r="H137" s="634"/>
      <c r="I137" s="634"/>
      <c r="J137" s="635"/>
      <c r="K137" s="164" t="s">
        <v>20</v>
      </c>
      <c r="L137" s="382">
        <f>L5+L17+L29+L41+L53+L65+L77+L89+L101+L113+L125</f>
        <v>4590421</v>
      </c>
      <c r="M137" s="459">
        <f t="shared" ref="M137:W137" si="78">M5+M17+M29+M41+M53+M65+M77+M89+M101+M113+M125</f>
        <v>4432220</v>
      </c>
      <c r="N137" s="459">
        <f t="shared" si="78"/>
        <v>4564802</v>
      </c>
      <c r="O137" s="459">
        <f t="shared" si="78"/>
        <v>5724727</v>
      </c>
      <c r="P137" s="459">
        <f t="shared" si="78"/>
        <v>3878290</v>
      </c>
      <c r="Q137" s="434">
        <f t="shared" si="78"/>
        <v>4078855</v>
      </c>
      <c r="R137" s="434">
        <f>R5+R17+R29+R41+R53+R65+R77+R89+R101+R113+R125</f>
        <v>4483980</v>
      </c>
      <c r="S137" s="434">
        <f t="shared" si="78"/>
        <v>3711735</v>
      </c>
      <c r="T137" s="434">
        <f>T5+T17+T29+T41+T53+T65+T77+T89+T101+T113+T125</f>
        <v>4210682</v>
      </c>
      <c r="U137" s="434">
        <f t="shared" si="78"/>
        <v>3625708</v>
      </c>
      <c r="V137" s="434">
        <f t="shared" si="78"/>
        <v>3073001</v>
      </c>
      <c r="W137" s="266">
        <f t="shared" si="78"/>
        <v>3052331</v>
      </c>
      <c r="X137" s="123">
        <f t="shared" ref="X137:X142" si="79">SUM(L137:W137)</f>
        <v>49426752</v>
      </c>
      <c r="Z137" s="69"/>
    </row>
    <row r="138" spans="1:26" s="1" customFormat="1">
      <c r="A138" s="112"/>
      <c r="B138" s="72"/>
      <c r="C138" s="633"/>
      <c r="D138" s="634"/>
      <c r="E138" s="634"/>
      <c r="F138" s="634"/>
      <c r="G138" s="634"/>
      <c r="H138" s="634"/>
      <c r="I138" s="634"/>
      <c r="J138" s="635"/>
      <c r="K138" s="165" t="s">
        <v>21</v>
      </c>
      <c r="L138" s="365">
        <f>L8+L20+L32+L44+L56+L68+L80+L92+L104+L116+L128</f>
        <v>3931343</v>
      </c>
      <c r="M138" s="502">
        <f t="shared" ref="M138:W138" si="80">M8+M20+M32+M44+M56+M68+M80+M92+M104+M116+M128</f>
        <v>3797773</v>
      </c>
      <c r="N138" s="502">
        <f t="shared" si="80"/>
        <v>3936678</v>
      </c>
      <c r="O138" s="502">
        <f t="shared" si="80"/>
        <v>3817336</v>
      </c>
      <c r="P138" s="502">
        <f t="shared" si="80"/>
        <v>3507998</v>
      </c>
      <c r="Q138" s="421">
        <f t="shared" si="80"/>
        <v>3583399</v>
      </c>
      <c r="R138" s="421">
        <f>R8+R20+R32+R44+R56+R68+R80+R92+R104+R116+R128</f>
        <v>3820972</v>
      </c>
      <c r="S138" s="421">
        <f t="shared" si="80"/>
        <v>3290280</v>
      </c>
      <c r="T138" s="421">
        <f t="shared" si="80"/>
        <v>3706910</v>
      </c>
      <c r="U138" s="421">
        <f t="shared" si="80"/>
        <v>3111342</v>
      </c>
      <c r="V138" s="421">
        <f t="shared" si="80"/>
        <v>2743147</v>
      </c>
      <c r="W138" s="267">
        <f t="shared" si="80"/>
        <v>2960001</v>
      </c>
      <c r="X138" s="44">
        <f t="shared" si="79"/>
        <v>42207179</v>
      </c>
      <c r="Z138" s="69"/>
    </row>
    <row r="139" spans="1:26" s="1" customFormat="1">
      <c r="A139" s="112"/>
      <c r="B139" s="72"/>
      <c r="C139" s="636"/>
      <c r="D139" s="637"/>
      <c r="E139" s="637"/>
      <c r="F139" s="637"/>
      <c r="G139" s="637"/>
      <c r="H139" s="637"/>
      <c r="I139" s="637"/>
      <c r="J139" s="638"/>
      <c r="K139" s="182" t="s">
        <v>22</v>
      </c>
      <c r="L139" s="361">
        <f>L137-L138</f>
        <v>659078</v>
      </c>
      <c r="M139" s="422">
        <f t="shared" ref="M139:W139" si="81">M137-M138</f>
        <v>634447</v>
      </c>
      <c r="N139" s="422">
        <f t="shared" si="81"/>
        <v>628124</v>
      </c>
      <c r="O139" s="422">
        <f t="shared" si="81"/>
        <v>1907391</v>
      </c>
      <c r="P139" s="422">
        <f t="shared" si="81"/>
        <v>370292</v>
      </c>
      <c r="Q139" s="422">
        <f t="shared" si="81"/>
        <v>495456</v>
      </c>
      <c r="R139" s="422">
        <f t="shared" si="81"/>
        <v>663008</v>
      </c>
      <c r="S139" s="422">
        <f t="shared" si="81"/>
        <v>421455</v>
      </c>
      <c r="T139" s="422">
        <f t="shared" si="81"/>
        <v>503772</v>
      </c>
      <c r="U139" s="422">
        <f t="shared" si="81"/>
        <v>514366</v>
      </c>
      <c r="V139" s="422">
        <f t="shared" si="81"/>
        <v>329854</v>
      </c>
      <c r="W139" s="82">
        <f t="shared" si="81"/>
        <v>92330</v>
      </c>
      <c r="X139" s="124">
        <f t="shared" si="79"/>
        <v>7219573</v>
      </c>
      <c r="Z139" s="69"/>
    </row>
    <row r="140" spans="1:26">
      <c r="K140" s="128" t="s">
        <v>74</v>
      </c>
      <c r="L140" s="639">
        <f>SUM(L137:N137)</f>
        <v>13587443</v>
      </c>
      <c r="M140" s="585"/>
      <c r="N140" s="585"/>
      <c r="O140" s="585">
        <f t="shared" ref="O140:O141" si="82">SUM(O137:Q137)</f>
        <v>13681872</v>
      </c>
      <c r="P140" s="585"/>
      <c r="Q140" s="585"/>
      <c r="R140" s="585">
        <f>SUM(R137:T137)</f>
        <v>12406397</v>
      </c>
      <c r="S140" s="585"/>
      <c r="T140" s="585"/>
      <c r="U140" s="585">
        <f t="shared" ref="U140:U141" si="83">SUM(U137:W137)</f>
        <v>9751040</v>
      </c>
      <c r="V140" s="585"/>
      <c r="W140" s="586"/>
      <c r="X140" s="34">
        <f t="shared" si="79"/>
        <v>49426752</v>
      </c>
      <c r="Z140" s="69"/>
    </row>
    <row r="141" spans="1:26">
      <c r="K141" s="130" t="s">
        <v>77</v>
      </c>
      <c r="L141" s="640">
        <f>SUM(L138:N138)</f>
        <v>11665794</v>
      </c>
      <c r="M141" s="589"/>
      <c r="N141" s="589"/>
      <c r="O141" s="589">
        <f t="shared" si="82"/>
        <v>10908733</v>
      </c>
      <c r="P141" s="589"/>
      <c r="Q141" s="589"/>
      <c r="R141" s="589">
        <f t="shared" ref="R141" si="84">SUM(R138:T138)</f>
        <v>10818162</v>
      </c>
      <c r="S141" s="589"/>
      <c r="T141" s="589"/>
      <c r="U141" s="589">
        <f t="shared" si="83"/>
        <v>8814490</v>
      </c>
      <c r="V141" s="589"/>
      <c r="W141" s="590"/>
      <c r="X141" s="35">
        <f t="shared" si="79"/>
        <v>42207179</v>
      </c>
      <c r="Z141" s="69"/>
    </row>
    <row r="142" spans="1:26">
      <c r="K142" s="6" t="s">
        <v>75</v>
      </c>
      <c r="L142" s="632">
        <f>SUM(L139:N139)</f>
        <v>1921649</v>
      </c>
      <c r="M142" s="571"/>
      <c r="N142" s="571"/>
      <c r="O142" s="571">
        <f>SUM(O139:Q139)</f>
        <v>2773139</v>
      </c>
      <c r="P142" s="571"/>
      <c r="Q142" s="571"/>
      <c r="R142" s="571">
        <f>SUM(R139:T139)</f>
        <v>1588235</v>
      </c>
      <c r="S142" s="571"/>
      <c r="T142" s="571"/>
      <c r="U142" s="571">
        <f>SUM(U139:W139)</f>
        <v>936550</v>
      </c>
      <c r="V142" s="571"/>
      <c r="W142" s="582"/>
      <c r="X142" s="36">
        <f t="shared" si="79"/>
        <v>7219573</v>
      </c>
      <c r="Z142" s="69"/>
    </row>
    <row r="143" spans="1:26">
      <c r="Z143" s="69"/>
    </row>
    <row r="144" spans="1:26">
      <c r="Z144" s="69"/>
    </row>
    <row r="145" spans="23:26">
      <c r="Z145" s="69"/>
    </row>
    <row r="146" spans="23:26">
      <c r="Z146" s="69"/>
    </row>
    <row r="147" spans="23:26">
      <c r="Z147" s="69"/>
    </row>
    <row r="148" spans="23:26">
      <c r="Z148" s="69"/>
    </row>
    <row r="149" spans="23:26">
      <c r="Z149" s="69"/>
    </row>
    <row r="150" spans="23:26">
      <c r="Z150" s="69"/>
    </row>
    <row r="151" spans="23:26">
      <c r="Z151" s="69"/>
    </row>
    <row r="152" spans="23:26">
      <c r="Z152" s="69"/>
    </row>
    <row r="153" spans="23:26">
      <c r="W153" s="364"/>
      <c r="Z153" s="69"/>
    </row>
    <row r="154" spans="23:26">
      <c r="Z154" s="69"/>
    </row>
    <row r="155" spans="23:26">
      <c r="Z155" s="69"/>
    </row>
    <row r="156" spans="23:26">
      <c r="Z156" s="69"/>
    </row>
    <row r="157" spans="23:26">
      <c r="Z157" s="69"/>
    </row>
    <row r="158" spans="23:26">
      <c r="Z158" s="69"/>
    </row>
    <row r="159" spans="23:26">
      <c r="Z159" s="69"/>
    </row>
    <row r="160" spans="23:26">
      <c r="Z160" s="69"/>
    </row>
    <row r="161" spans="26:26">
      <c r="Z161" s="69"/>
    </row>
    <row r="162" spans="26:26">
      <c r="Z162" s="69"/>
    </row>
    <row r="163" spans="26:26">
      <c r="Z163" s="69"/>
    </row>
    <row r="164" spans="26:26">
      <c r="Z164" s="69"/>
    </row>
    <row r="165" spans="26:26">
      <c r="Z165" s="69"/>
    </row>
    <row r="166" spans="26:26">
      <c r="Z166" s="69"/>
    </row>
    <row r="167" spans="26:26">
      <c r="Z167" s="69"/>
    </row>
    <row r="168" spans="26:26">
      <c r="Z168" s="69"/>
    </row>
    <row r="169" spans="26:26">
      <c r="Z169" s="69"/>
    </row>
    <row r="170" spans="26:26">
      <c r="Z170" s="69"/>
    </row>
    <row r="171" spans="26:26">
      <c r="Z171" s="69"/>
    </row>
    <row r="172" spans="26:26">
      <c r="Z172" s="69"/>
    </row>
    <row r="173" spans="26:26">
      <c r="Z173" s="69"/>
    </row>
    <row r="174" spans="26:26">
      <c r="Z174" s="69"/>
    </row>
    <row r="175" spans="26:26">
      <c r="Z175" s="69"/>
    </row>
    <row r="176" spans="26:26">
      <c r="Z176" s="69"/>
    </row>
    <row r="177" spans="26:26">
      <c r="Z177" s="69"/>
    </row>
    <row r="178" spans="26:26">
      <c r="Z178" s="69"/>
    </row>
    <row r="179" spans="26:26">
      <c r="Z179" s="69"/>
    </row>
    <row r="180" spans="26:26">
      <c r="Z180" s="69"/>
    </row>
    <row r="181" spans="26:26">
      <c r="Z181" s="69"/>
    </row>
    <row r="182" spans="26:26">
      <c r="Z182" s="69"/>
    </row>
    <row r="183" spans="26:26">
      <c r="Z183" s="69"/>
    </row>
    <row r="184" spans="26:26">
      <c r="Z184" s="69"/>
    </row>
    <row r="185" spans="26:26">
      <c r="Z185" s="69"/>
    </row>
    <row r="186" spans="26:26">
      <c r="Z186" s="69"/>
    </row>
    <row r="187" spans="26:26">
      <c r="Z187" s="69"/>
    </row>
    <row r="188" spans="26:26">
      <c r="Z188" s="69"/>
    </row>
    <row r="189" spans="26:26">
      <c r="Z189" s="69"/>
    </row>
    <row r="190" spans="26:26">
      <c r="Z190" s="69"/>
    </row>
    <row r="191" spans="26:26">
      <c r="Z191" s="69"/>
    </row>
    <row r="192" spans="26:26">
      <c r="Z192" s="69"/>
    </row>
    <row r="193" spans="26:26">
      <c r="Z193" s="69"/>
    </row>
    <row r="194" spans="26:26">
      <c r="Z194" s="69"/>
    </row>
    <row r="195" spans="26:26">
      <c r="Z195" s="69"/>
    </row>
    <row r="196" spans="26:26">
      <c r="Z196" s="69"/>
    </row>
    <row r="197" spans="26:26">
      <c r="Z197" s="69"/>
    </row>
    <row r="198" spans="26:26">
      <c r="Z198" s="69"/>
    </row>
    <row r="199" spans="26:26">
      <c r="Z199" s="69"/>
    </row>
    <row r="200" spans="26:26">
      <c r="Z200" s="69"/>
    </row>
    <row r="201" spans="26:26">
      <c r="Z201" s="69"/>
    </row>
    <row r="202" spans="26:26">
      <c r="Z202" s="69"/>
    </row>
    <row r="203" spans="26:26">
      <c r="Z203" s="69"/>
    </row>
    <row r="204" spans="26:26">
      <c r="Z204" s="69"/>
    </row>
    <row r="205" spans="26:26">
      <c r="Z205" s="69"/>
    </row>
    <row r="206" spans="26:26">
      <c r="Z206" s="69"/>
    </row>
    <row r="207" spans="26:26">
      <c r="Z207" s="69"/>
    </row>
    <row r="208" spans="26:26">
      <c r="Z208" s="69"/>
    </row>
    <row r="209" spans="26:26">
      <c r="Z209" s="69"/>
    </row>
    <row r="210" spans="26:26">
      <c r="Z210" s="69"/>
    </row>
    <row r="211" spans="26:26">
      <c r="Z211" s="69"/>
    </row>
    <row r="212" spans="26:26">
      <c r="Z212" s="69"/>
    </row>
    <row r="213" spans="26:26">
      <c r="Z213" s="69"/>
    </row>
    <row r="214" spans="26:26">
      <c r="Z214" s="69"/>
    </row>
    <row r="215" spans="26:26">
      <c r="Z215" s="69"/>
    </row>
    <row r="216" spans="26:26">
      <c r="Z216" s="69"/>
    </row>
    <row r="217" spans="26:26">
      <c r="Z217" s="69"/>
    </row>
    <row r="218" spans="26:26">
      <c r="Z218" s="69"/>
    </row>
    <row r="219" spans="26:26">
      <c r="Z219" s="69"/>
    </row>
    <row r="220" spans="26:26">
      <c r="Z220" s="69"/>
    </row>
    <row r="221" spans="26:26">
      <c r="Z221" s="69"/>
    </row>
    <row r="222" spans="26:26">
      <c r="Z222" s="69"/>
    </row>
    <row r="223" spans="26:26">
      <c r="Z223" s="69"/>
    </row>
    <row r="224" spans="26:26">
      <c r="Z224" s="69"/>
    </row>
    <row r="225" spans="26:26">
      <c r="Z225" s="69"/>
    </row>
    <row r="226" spans="26:26">
      <c r="Z226" s="69"/>
    </row>
    <row r="227" spans="26:26">
      <c r="Z227" s="69"/>
    </row>
    <row r="228" spans="26:26">
      <c r="Z228" s="69"/>
    </row>
    <row r="229" spans="26:26">
      <c r="Z229" s="69"/>
    </row>
    <row r="230" spans="26:26">
      <c r="Z230" s="69"/>
    </row>
    <row r="231" spans="26:26">
      <c r="Z231" s="69"/>
    </row>
    <row r="232" spans="26:26">
      <c r="Z232" s="69"/>
    </row>
    <row r="233" spans="26:26">
      <c r="Z233" s="69"/>
    </row>
    <row r="234" spans="26:26">
      <c r="Z234" s="69"/>
    </row>
    <row r="235" spans="26:26">
      <c r="Z235" s="69"/>
    </row>
    <row r="236" spans="26:26">
      <c r="Z236" s="69"/>
    </row>
    <row r="237" spans="26:26">
      <c r="Z237" s="69"/>
    </row>
    <row r="238" spans="26:26">
      <c r="Z238" s="69"/>
    </row>
    <row r="239" spans="26:26">
      <c r="Z239" s="69"/>
    </row>
    <row r="240" spans="26:26">
      <c r="Z240" s="69"/>
    </row>
    <row r="241" spans="26:26">
      <c r="Z241" s="69"/>
    </row>
    <row r="242" spans="26:26">
      <c r="Z242" s="69"/>
    </row>
    <row r="243" spans="26:26">
      <c r="Z243" s="69"/>
    </row>
    <row r="244" spans="26:26">
      <c r="Z244" s="69"/>
    </row>
    <row r="245" spans="26:26">
      <c r="Z245" s="69"/>
    </row>
    <row r="246" spans="26:26">
      <c r="Z246" s="69"/>
    </row>
    <row r="247" spans="26:26">
      <c r="Z247" s="69"/>
    </row>
    <row r="248" spans="26:26">
      <c r="Z248" s="69"/>
    </row>
    <row r="249" spans="26:26">
      <c r="Z249" s="69"/>
    </row>
    <row r="250" spans="26:26">
      <c r="Z250" s="69"/>
    </row>
    <row r="251" spans="26:26">
      <c r="Z251" s="69"/>
    </row>
    <row r="252" spans="26:26">
      <c r="Z252" s="69"/>
    </row>
    <row r="253" spans="26:26">
      <c r="Z253" s="69"/>
    </row>
    <row r="254" spans="26:26">
      <c r="Z254" s="69"/>
    </row>
    <row r="255" spans="26:26">
      <c r="Z255" s="69"/>
    </row>
    <row r="256" spans="26:26">
      <c r="Z256" s="69"/>
    </row>
    <row r="257" spans="26:26">
      <c r="Z257" s="69"/>
    </row>
    <row r="258" spans="26:26">
      <c r="Z258" s="69"/>
    </row>
    <row r="259" spans="26:26">
      <c r="Z259" s="69"/>
    </row>
    <row r="260" spans="26:26">
      <c r="Z260" s="69"/>
    </row>
    <row r="261" spans="26:26">
      <c r="Z261" s="69"/>
    </row>
    <row r="262" spans="26:26">
      <c r="Z262" s="69"/>
    </row>
    <row r="263" spans="26:26">
      <c r="Z263" s="69"/>
    </row>
    <row r="264" spans="26:26">
      <c r="Z264" s="69"/>
    </row>
    <row r="265" spans="26:26">
      <c r="Z265" s="69"/>
    </row>
    <row r="266" spans="26:26">
      <c r="Z266" s="69"/>
    </row>
    <row r="267" spans="26:26">
      <c r="Z267" s="69"/>
    </row>
    <row r="268" spans="26:26">
      <c r="Z268" s="69"/>
    </row>
    <row r="269" spans="26:26">
      <c r="Z269" s="69"/>
    </row>
    <row r="270" spans="26:26">
      <c r="Z270" s="69"/>
    </row>
    <row r="271" spans="26:26">
      <c r="Z271" s="69"/>
    </row>
    <row r="272" spans="26:26">
      <c r="Z272" s="69"/>
    </row>
    <row r="273" spans="26:26">
      <c r="Z273" s="69"/>
    </row>
    <row r="274" spans="26:26">
      <c r="Z274" s="69"/>
    </row>
    <row r="275" spans="26:26">
      <c r="Z275" s="69"/>
    </row>
    <row r="276" spans="26:26">
      <c r="Z276" s="69"/>
    </row>
    <row r="277" spans="26:26">
      <c r="Z277" s="69"/>
    </row>
    <row r="278" spans="26:26">
      <c r="Z278" s="69"/>
    </row>
    <row r="279" spans="26:26">
      <c r="Z279" s="69"/>
    </row>
    <row r="280" spans="26:26">
      <c r="Z280" s="69"/>
    </row>
    <row r="281" spans="26:26">
      <c r="Z281" s="69"/>
    </row>
    <row r="282" spans="26:26">
      <c r="Z282" s="69"/>
    </row>
    <row r="283" spans="26:26">
      <c r="Z283" s="69"/>
    </row>
    <row r="284" spans="26:26">
      <c r="Z284" s="69"/>
    </row>
    <row r="285" spans="26:26">
      <c r="Z285" s="69"/>
    </row>
    <row r="286" spans="26:26">
      <c r="Z286" s="69"/>
    </row>
    <row r="287" spans="26:26">
      <c r="Z287" s="69"/>
    </row>
    <row r="288" spans="26:26">
      <c r="Z288" s="69"/>
    </row>
    <row r="289" spans="26:26">
      <c r="Z289" s="69"/>
    </row>
    <row r="290" spans="26:26">
      <c r="Z290" s="69"/>
    </row>
    <row r="291" spans="26:26">
      <c r="Z291" s="69"/>
    </row>
    <row r="292" spans="26:26">
      <c r="Z292" s="69"/>
    </row>
    <row r="293" spans="26:26">
      <c r="Z293" s="69"/>
    </row>
    <row r="294" spans="26:26">
      <c r="Z294" s="69"/>
    </row>
    <row r="295" spans="26:26">
      <c r="Z295" s="69"/>
    </row>
    <row r="296" spans="26:26">
      <c r="Z296" s="69"/>
    </row>
    <row r="297" spans="26:26">
      <c r="Z297" s="69"/>
    </row>
    <row r="298" spans="26:26">
      <c r="Z298" s="69"/>
    </row>
    <row r="299" spans="26:26">
      <c r="Z299" s="69"/>
    </row>
    <row r="300" spans="26:26">
      <c r="Z300" s="69"/>
    </row>
    <row r="301" spans="26:26">
      <c r="Z301" s="69"/>
    </row>
    <row r="302" spans="26:26">
      <c r="Z302" s="69"/>
    </row>
    <row r="303" spans="26:26">
      <c r="Z303" s="69"/>
    </row>
    <row r="304" spans="26:26">
      <c r="Z304" s="69"/>
    </row>
    <row r="305" spans="26:26">
      <c r="Z305" s="69"/>
    </row>
    <row r="306" spans="26:26">
      <c r="Z306" s="69"/>
    </row>
    <row r="307" spans="26:26">
      <c r="Z307" s="69"/>
    </row>
    <row r="308" spans="26:26">
      <c r="Z308" s="69"/>
    </row>
    <row r="309" spans="26:26">
      <c r="Z309" s="69"/>
    </row>
    <row r="310" spans="26:26">
      <c r="Z310" s="69"/>
    </row>
    <row r="311" spans="26:26">
      <c r="Z311" s="69"/>
    </row>
    <row r="312" spans="26:26">
      <c r="Z312" s="69"/>
    </row>
    <row r="313" spans="26:26">
      <c r="Z313" s="69"/>
    </row>
    <row r="314" spans="26:26">
      <c r="Z314" s="69"/>
    </row>
    <row r="315" spans="26:26">
      <c r="Z315" s="69"/>
    </row>
    <row r="316" spans="26:26">
      <c r="Z316" s="69"/>
    </row>
    <row r="317" spans="26:26">
      <c r="Z317" s="69"/>
    </row>
    <row r="318" spans="26:26">
      <c r="Z318" s="69"/>
    </row>
    <row r="319" spans="26:26">
      <c r="Z319" s="69"/>
    </row>
    <row r="320" spans="26:26">
      <c r="Z320" s="69"/>
    </row>
    <row r="321" spans="26:26">
      <c r="Z321" s="69"/>
    </row>
    <row r="322" spans="26:26">
      <c r="Z322" s="69"/>
    </row>
    <row r="323" spans="26:26">
      <c r="Z323" s="69"/>
    </row>
    <row r="324" spans="26:26">
      <c r="Z324" s="69"/>
    </row>
    <row r="325" spans="26:26">
      <c r="Z325" s="69"/>
    </row>
    <row r="326" spans="26:26">
      <c r="Z326" s="69"/>
    </row>
    <row r="327" spans="26:26">
      <c r="Z327" s="69"/>
    </row>
    <row r="328" spans="26:26">
      <c r="Z328" s="69"/>
    </row>
    <row r="329" spans="26:26">
      <c r="Z329" s="69"/>
    </row>
    <row r="330" spans="26:26">
      <c r="Z330" s="69"/>
    </row>
    <row r="331" spans="26:26">
      <c r="Z331" s="69"/>
    </row>
    <row r="332" spans="26:26">
      <c r="Z332" s="69"/>
    </row>
    <row r="333" spans="26:26">
      <c r="Z333" s="69"/>
    </row>
    <row r="334" spans="26:26">
      <c r="Z334" s="69"/>
    </row>
    <row r="335" spans="26:26">
      <c r="Z335" s="69"/>
    </row>
    <row r="336" spans="26:26">
      <c r="Z336" s="69"/>
    </row>
    <row r="337" spans="26:26">
      <c r="Z337" s="69"/>
    </row>
    <row r="338" spans="26:26">
      <c r="Z338" s="69"/>
    </row>
    <row r="339" spans="26:26">
      <c r="Z339" s="69"/>
    </row>
    <row r="340" spans="26:26">
      <c r="Z340" s="69"/>
    </row>
    <row r="341" spans="26:26">
      <c r="Z341" s="69"/>
    </row>
    <row r="342" spans="26:26">
      <c r="Z342" s="69"/>
    </row>
    <row r="343" spans="26:26">
      <c r="Z343" s="69"/>
    </row>
    <row r="344" spans="26:26">
      <c r="Z344" s="69"/>
    </row>
    <row r="345" spans="26:26">
      <c r="Z345" s="69"/>
    </row>
    <row r="346" spans="26:26">
      <c r="Z346" s="69"/>
    </row>
    <row r="347" spans="26:26">
      <c r="Z347" s="69"/>
    </row>
    <row r="348" spans="26:26">
      <c r="Z348" s="69"/>
    </row>
    <row r="349" spans="26:26">
      <c r="Z349" s="69"/>
    </row>
    <row r="350" spans="26:26">
      <c r="Z350" s="69"/>
    </row>
    <row r="351" spans="26:26">
      <c r="Z351" s="69"/>
    </row>
    <row r="352" spans="26:26">
      <c r="Z352" s="69"/>
    </row>
    <row r="353" spans="26:26">
      <c r="Z353" s="69"/>
    </row>
    <row r="354" spans="26:26">
      <c r="Z354" s="69"/>
    </row>
    <row r="355" spans="26:26">
      <c r="Z355" s="69"/>
    </row>
    <row r="356" spans="26:26">
      <c r="Z356" s="69"/>
    </row>
    <row r="357" spans="26:26">
      <c r="Z357" s="69"/>
    </row>
    <row r="358" spans="26:26">
      <c r="Z358" s="69"/>
    </row>
    <row r="359" spans="26:26">
      <c r="Z359" s="69"/>
    </row>
    <row r="360" spans="26:26">
      <c r="Z360" s="69"/>
    </row>
    <row r="361" spans="26:26">
      <c r="Z361" s="69"/>
    </row>
    <row r="362" spans="26:26">
      <c r="Z362" s="69"/>
    </row>
    <row r="363" spans="26:26">
      <c r="Z363" s="69"/>
    </row>
    <row r="364" spans="26:26">
      <c r="Z364" s="69"/>
    </row>
    <row r="365" spans="26:26">
      <c r="Z365" s="69"/>
    </row>
    <row r="366" spans="26:26">
      <c r="Z366" s="69"/>
    </row>
    <row r="367" spans="26:26">
      <c r="Z367" s="69"/>
    </row>
    <row r="368" spans="26:26">
      <c r="Z368" s="69"/>
    </row>
    <row r="369" spans="26:26">
      <c r="Z369" s="69"/>
    </row>
    <row r="370" spans="26:26">
      <c r="Z370" s="69"/>
    </row>
    <row r="371" spans="26:26">
      <c r="Z371" s="69"/>
    </row>
    <row r="372" spans="26:26">
      <c r="Z372" s="69"/>
    </row>
    <row r="373" spans="26:26">
      <c r="Z373" s="69"/>
    </row>
    <row r="374" spans="26:26">
      <c r="Z374" s="69"/>
    </row>
    <row r="375" spans="26:26">
      <c r="Z375" s="69"/>
    </row>
    <row r="376" spans="26:26">
      <c r="Z376" s="69"/>
    </row>
    <row r="377" spans="26:26">
      <c r="Z377" s="69"/>
    </row>
    <row r="378" spans="26:26">
      <c r="Z378" s="69"/>
    </row>
    <row r="379" spans="26:26">
      <c r="Z379" s="69"/>
    </row>
    <row r="380" spans="26:26">
      <c r="Z380" s="69"/>
    </row>
    <row r="381" spans="26:26">
      <c r="Z381" s="69"/>
    </row>
    <row r="382" spans="26:26">
      <c r="Z382" s="69"/>
    </row>
    <row r="383" spans="26:26">
      <c r="Z383" s="69"/>
    </row>
    <row r="384" spans="26:26">
      <c r="Z384" s="69"/>
    </row>
    <row r="385" spans="26:26">
      <c r="Z385" s="69"/>
    </row>
    <row r="386" spans="26:26">
      <c r="Z386" s="69"/>
    </row>
    <row r="387" spans="26:26">
      <c r="Z387" s="69"/>
    </row>
    <row r="388" spans="26:26">
      <c r="Z388" s="69"/>
    </row>
    <row r="389" spans="26:26">
      <c r="Z389" s="69"/>
    </row>
    <row r="390" spans="26:26">
      <c r="Z390" s="69"/>
    </row>
    <row r="391" spans="26:26">
      <c r="Z391" s="69"/>
    </row>
    <row r="392" spans="26:26">
      <c r="Z392" s="69"/>
    </row>
    <row r="393" spans="26:26">
      <c r="Z393" s="69"/>
    </row>
    <row r="394" spans="26:26">
      <c r="Z394" s="69"/>
    </row>
    <row r="395" spans="26:26">
      <c r="Z395" s="69"/>
    </row>
    <row r="396" spans="26:26">
      <c r="Z396" s="69"/>
    </row>
    <row r="397" spans="26:26">
      <c r="Z397" s="69"/>
    </row>
    <row r="398" spans="26:26">
      <c r="Z398" s="69"/>
    </row>
    <row r="399" spans="26:26">
      <c r="Z399" s="69"/>
    </row>
    <row r="400" spans="26:26">
      <c r="Z400" s="69"/>
    </row>
    <row r="401" spans="26:26">
      <c r="Z401" s="69"/>
    </row>
    <row r="402" spans="26:26">
      <c r="Z402" s="69"/>
    </row>
    <row r="403" spans="26:26">
      <c r="Z403" s="69"/>
    </row>
    <row r="404" spans="26:26">
      <c r="Z404" s="69"/>
    </row>
    <row r="405" spans="26:26">
      <c r="Z405" s="69"/>
    </row>
    <row r="406" spans="26:26">
      <c r="Z406" s="69"/>
    </row>
    <row r="407" spans="26:26">
      <c r="Z407" s="69"/>
    </row>
    <row r="408" spans="26:26">
      <c r="Z408" s="69"/>
    </row>
    <row r="409" spans="26:26">
      <c r="Z409" s="69"/>
    </row>
    <row r="410" spans="26:26">
      <c r="Z410" s="69"/>
    </row>
    <row r="411" spans="26:26">
      <c r="Z411" s="69"/>
    </row>
    <row r="412" spans="26:26">
      <c r="Z412" s="69"/>
    </row>
    <row r="413" spans="26:26">
      <c r="Z413" s="69"/>
    </row>
    <row r="414" spans="26:26">
      <c r="Z414" s="69"/>
    </row>
    <row r="415" spans="26:26">
      <c r="Z415" s="69"/>
    </row>
  </sheetData>
  <mergeCells count="102">
    <mergeCell ref="J5:J16"/>
    <mergeCell ref="L141:N141"/>
    <mergeCell ref="O141:Q141"/>
    <mergeCell ref="R141:T141"/>
    <mergeCell ref="U141:W141"/>
    <mergeCell ref="C137:J139"/>
    <mergeCell ref="C5:C16"/>
    <mergeCell ref="D5:D16"/>
    <mergeCell ref="E5:E16"/>
    <mergeCell ref="F5:F16"/>
    <mergeCell ref="G5:G16"/>
    <mergeCell ref="H5:H16"/>
    <mergeCell ref="I5:I16"/>
    <mergeCell ref="G41:G52"/>
    <mergeCell ref="H101:H112"/>
    <mergeCell ref="I41:I52"/>
    <mergeCell ref="E101:E112"/>
    <mergeCell ref="F101:F112"/>
    <mergeCell ref="G101:G112"/>
    <mergeCell ref="C77:C88"/>
    <mergeCell ref="J113:J124"/>
    <mergeCell ref="H77:H88"/>
    <mergeCell ref="I77:I88"/>
    <mergeCell ref="J77:J88"/>
    <mergeCell ref="U142:W142"/>
    <mergeCell ref="R140:T140"/>
    <mergeCell ref="U140:W140"/>
    <mergeCell ref="L140:N140"/>
    <mergeCell ref="L142:N142"/>
    <mergeCell ref="O140:Q140"/>
    <mergeCell ref="O142:Q142"/>
    <mergeCell ref="R142:T142"/>
    <mergeCell ref="D41:D52"/>
    <mergeCell ref="E41:E52"/>
    <mergeCell ref="D77:D88"/>
    <mergeCell ref="E77:E88"/>
    <mergeCell ref="D65:D76"/>
    <mergeCell ref="E65:E76"/>
    <mergeCell ref="J65:J76"/>
    <mergeCell ref="G89:G100"/>
    <mergeCell ref="H89:H100"/>
    <mergeCell ref="F65:F76"/>
    <mergeCell ref="G65:G76"/>
    <mergeCell ref="J101:J112"/>
    <mergeCell ref="J41:J52"/>
    <mergeCell ref="H113:H124"/>
    <mergeCell ref="J89:J100"/>
    <mergeCell ref="J125:J136"/>
    <mergeCell ref="I65:I76"/>
    <mergeCell ref="I125:I136"/>
    <mergeCell ref="I89:I100"/>
    <mergeCell ref="I101:I112"/>
    <mergeCell ref="I113:I124"/>
    <mergeCell ref="D125:D136"/>
    <mergeCell ref="E125:E136"/>
    <mergeCell ref="F125:F136"/>
    <mergeCell ref="G125:G136"/>
    <mergeCell ref="H125:H136"/>
    <mergeCell ref="F113:F124"/>
    <mergeCell ref="G77:G88"/>
    <mergeCell ref="D113:D124"/>
    <mergeCell ref="G113:G124"/>
    <mergeCell ref="E113:E124"/>
    <mergeCell ref="F77:F88"/>
    <mergeCell ref="D89:D100"/>
    <mergeCell ref="E89:E100"/>
    <mergeCell ref="C113:C124"/>
    <mergeCell ref="G53:G64"/>
    <mergeCell ref="H65:H76"/>
    <mergeCell ref="D53:D64"/>
    <mergeCell ref="E53:E64"/>
    <mergeCell ref="F89:F100"/>
    <mergeCell ref="C89:C100"/>
    <mergeCell ref="F17:F28"/>
    <mergeCell ref="D29:D40"/>
    <mergeCell ref="E29:E40"/>
    <mergeCell ref="F41:F52"/>
    <mergeCell ref="C65:C76"/>
    <mergeCell ref="C125:C136"/>
    <mergeCell ref="F53:F64"/>
    <mergeCell ref="C101:C112"/>
    <mergeCell ref="D101:D112"/>
    <mergeCell ref="C2:J4"/>
    <mergeCell ref="J17:J28"/>
    <mergeCell ref="H53:H64"/>
    <mergeCell ref="H17:H28"/>
    <mergeCell ref="I17:I28"/>
    <mergeCell ref="F29:F40"/>
    <mergeCell ref="G29:G40"/>
    <mergeCell ref="H29:H40"/>
    <mergeCell ref="H41:H52"/>
    <mergeCell ref="J53:J64"/>
    <mergeCell ref="I53:I64"/>
    <mergeCell ref="I29:I40"/>
    <mergeCell ref="J29:J40"/>
    <mergeCell ref="C29:C40"/>
    <mergeCell ref="D17:D28"/>
    <mergeCell ref="E17:E28"/>
    <mergeCell ref="C17:C28"/>
    <mergeCell ref="G17:G28"/>
    <mergeCell ref="C41:C52"/>
    <mergeCell ref="C53:C64"/>
  </mergeCells>
  <phoneticPr fontId="10"/>
  <printOptions horizontalCentered="1"/>
  <pageMargins left="0.70866141732283472" right="0.70866141732283472" top="0.70866141732283472" bottom="0.70866141732283472" header="0.31496062992125984" footer="0.31496062992125984"/>
  <pageSetup paperSize="9" scale="52" fitToHeight="0" orientation="landscape" r:id="rId1"/>
  <rowBreaks count="2" manualBreakCount="2">
    <brk id="64" min="2" max="23" man="1"/>
    <brk id="124" min="2" max="23" man="1"/>
  </rowBreaks>
  <ignoredErrors>
    <ignoredError sqref="X143:X144 X112" formula="1"/>
  </ignoredErrors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pageSetUpPr fitToPage="1"/>
  </sheetPr>
  <dimension ref="A1:Z487"/>
  <sheetViews>
    <sheetView showGridLines="0" zoomScale="80" zoomScaleNormal="80" zoomScaleSheetLayoutView="70" workbookViewId="0">
      <pane xSplit="11" ySplit="4" topLeftCell="L5" activePane="bottomRight" state="frozen"/>
      <selection pane="topRight"/>
      <selection pane="bottomLeft"/>
      <selection pane="bottomRight" activeCell="L6" sqref="L6:L87"/>
    </sheetView>
  </sheetViews>
  <sheetFormatPr defaultRowHeight="12"/>
  <cols>
    <col min="1" max="1" width="9.6328125" style="115" customWidth="1"/>
    <col min="2" max="2" width="11.90625" style="73" customWidth="1"/>
    <col min="3" max="3" width="6.36328125" style="9" customWidth="1"/>
    <col min="4" max="4" width="10.36328125" style="9" customWidth="1"/>
    <col min="5" max="5" width="5.08984375" style="9" customWidth="1"/>
    <col min="6" max="9" width="9.90625" style="9" customWidth="1"/>
    <col min="10" max="10" width="8.453125" style="9" customWidth="1"/>
    <col min="11" max="11" width="10.453125" style="9" customWidth="1"/>
    <col min="12" max="23" width="13.08984375" style="9" customWidth="1"/>
    <col min="24" max="24" width="16.453125" style="9" customWidth="1"/>
    <col min="25" max="25" width="9" style="2"/>
    <col min="26" max="26" width="11" style="2" bestFit="1" customWidth="1"/>
    <col min="27" max="259" width="9" style="2"/>
    <col min="260" max="260" width="9.6328125" style="2" customWidth="1"/>
    <col min="261" max="262" width="5.08984375" style="2" customWidth="1"/>
    <col min="263" max="263" width="9.6328125" style="2" customWidth="1"/>
    <col min="264" max="265" width="11.6328125" style="2" customWidth="1"/>
    <col min="266" max="266" width="15.36328125" style="2" customWidth="1"/>
    <col min="267" max="267" width="10.90625" style="2" customWidth="1"/>
    <col min="268" max="278" width="13.36328125" style="2" customWidth="1"/>
    <col min="279" max="279" width="13.6328125" style="2" customWidth="1"/>
    <col min="280" max="280" width="16.453125" style="2" customWidth="1"/>
    <col min="281" max="515" width="9" style="2"/>
    <col min="516" max="516" width="9.6328125" style="2" customWidth="1"/>
    <col min="517" max="518" width="5.08984375" style="2" customWidth="1"/>
    <col min="519" max="519" width="9.6328125" style="2" customWidth="1"/>
    <col min="520" max="521" width="11.6328125" style="2" customWidth="1"/>
    <col min="522" max="522" width="15.36328125" style="2" customWidth="1"/>
    <col min="523" max="523" width="10.90625" style="2" customWidth="1"/>
    <col min="524" max="534" width="13.36328125" style="2" customWidth="1"/>
    <col min="535" max="535" width="13.6328125" style="2" customWidth="1"/>
    <col min="536" max="536" width="16.453125" style="2" customWidth="1"/>
    <col min="537" max="771" width="9" style="2"/>
    <col min="772" max="772" width="9.6328125" style="2" customWidth="1"/>
    <col min="773" max="774" width="5.08984375" style="2" customWidth="1"/>
    <col min="775" max="775" width="9.6328125" style="2" customWidth="1"/>
    <col min="776" max="777" width="11.6328125" style="2" customWidth="1"/>
    <col min="778" max="778" width="15.36328125" style="2" customWidth="1"/>
    <col min="779" max="779" width="10.90625" style="2" customWidth="1"/>
    <col min="780" max="790" width="13.36328125" style="2" customWidth="1"/>
    <col min="791" max="791" width="13.6328125" style="2" customWidth="1"/>
    <col min="792" max="792" width="16.453125" style="2" customWidth="1"/>
    <col min="793" max="1027" width="9" style="2"/>
    <col min="1028" max="1028" width="9.6328125" style="2" customWidth="1"/>
    <col min="1029" max="1030" width="5.08984375" style="2" customWidth="1"/>
    <col min="1031" max="1031" width="9.6328125" style="2" customWidth="1"/>
    <col min="1032" max="1033" width="11.6328125" style="2" customWidth="1"/>
    <col min="1034" max="1034" width="15.36328125" style="2" customWidth="1"/>
    <col min="1035" max="1035" width="10.90625" style="2" customWidth="1"/>
    <col min="1036" max="1046" width="13.36328125" style="2" customWidth="1"/>
    <col min="1047" max="1047" width="13.6328125" style="2" customWidth="1"/>
    <col min="1048" max="1048" width="16.453125" style="2" customWidth="1"/>
    <col min="1049" max="1283" width="9" style="2"/>
    <col min="1284" max="1284" width="9.6328125" style="2" customWidth="1"/>
    <col min="1285" max="1286" width="5.08984375" style="2" customWidth="1"/>
    <col min="1287" max="1287" width="9.6328125" style="2" customWidth="1"/>
    <col min="1288" max="1289" width="11.6328125" style="2" customWidth="1"/>
    <col min="1290" max="1290" width="15.36328125" style="2" customWidth="1"/>
    <col min="1291" max="1291" width="10.90625" style="2" customWidth="1"/>
    <col min="1292" max="1302" width="13.36328125" style="2" customWidth="1"/>
    <col min="1303" max="1303" width="13.6328125" style="2" customWidth="1"/>
    <col min="1304" max="1304" width="16.453125" style="2" customWidth="1"/>
    <col min="1305" max="1539" width="9" style="2"/>
    <col min="1540" max="1540" width="9.6328125" style="2" customWidth="1"/>
    <col min="1541" max="1542" width="5.08984375" style="2" customWidth="1"/>
    <col min="1543" max="1543" width="9.6328125" style="2" customWidth="1"/>
    <col min="1544" max="1545" width="11.6328125" style="2" customWidth="1"/>
    <col min="1546" max="1546" width="15.36328125" style="2" customWidth="1"/>
    <col min="1547" max="1547" width="10.90625" style="2" customWidth="1"/>
    <col min="1548" max="1558" width="13.36328125" style="2" customWidth="1"/>
    <col min="1559" max="1559" width="13.6328125" style="2" customWidth="1"/>
    <col min="1560" max="1560" width="16.453125" style="2" customWidth="1"/>
    <col min="1561" max="1795" width="9" style="2"/>
    <col min="1796" max="1796" width="9.6328125" style="2" customWidth="1"/>
    <col min="1797" max="1798" width="5.08984375" style="2" customWidth="1"/>
    <col min="1799" max="1799" width="9.6328125" style="2" customWidth="1"/>
    <col min="1800" max="1801" width="11.6328125" style="2" customWidth="1"/>
    <col min="1802" max="1802" width="15.36328125" style="2" customWidth="1"/>
    <col min="1803" max="1803" width="10.90625" style="2" customWidth="1"/>
    <col min="1804" max="1814" width="13.36328125" style="2" customWidth="1"/>
    <col min="1815" max="1815" width="13.6328125" style="2" customWidth="1"/>
    <col min="1816" max="1816" width="16.453125" style="2" customWidth="1"/>
    <col min="1817" max="2051" width="9" style="2"/>
    <col min="2052" max="2052" width="9.6328125" style="2" customWidth="1"/>
    <col min="2053" max="2054" width="5.08984375" style="2" customWidth="1"/>
    <col min="2055" max="2055" width="9.6328125" style="2" customWidth="1"/>
    <col min="2056" max="2057" width="11.6328125" style="2" customWidth="1"/>
    <col min="2058" max="2058" width="15.36328125" style="2" customWidth="1"/>
    <col min="2059" max="2059" width="10.90625" style="2" customWidth="1"/>
    <col min="2060" max="2070" width="13.36328125" style="2" customWidth="1"/>
    <col min="2071" max="2071" width="13.6328125" style="2" customWidth="1"/>
    <col min="2072" max="2072" width="16.453125" style="2" customWidth="1"/>
    <col min="2073" max="2307" width="9" style="2"/>
    <col min="2308" max="2308" width="9.6328125" style="2" customWidth="1"/>
    <col min="2309" max="2310" width="5.08984375" style="2" customWidth="1"/>
    <col min="2311" max="2311" width="9.6328125" style="2" customWidth="1"/>
    <col min="2312" max="2313" width="11.6328125" style="2" customWidth="1"/>
    <col min="2314" max="2314" width="15.36328125" style="2" customWidth="1"/>
    <col min="2315" max="2315" width="10.90625" style="2" customWidth="1"/>
    <col min="2316" max="2326" width="13.36328125" style="2" customWidth="1"/>
    <col min="2327" max="2327" width="13.6328125" style="2" customWidth="1"/>
    <col min="2328" max="2328" width="16.453125" style="2" customWidth="1"/>
    <col min="2329" max="2563" width="9" style="2"/>
    <col min="2564" max="2564" width="9.6328125" style="2" customWidth="1"/>
    <col min="2565" max="2566" width="5.08984375" style="2" customWidth="1"/>
    <col min="2567" max="2567" width="9.6328125" style="2" customWidth="1"/>
    <col min="2568" max="2569" width="11.6328125" style="2" customWidth="1"/>
    <col min="2570" max="2570" width="15.36328125" style="2" customWidth="1"/>
    <col min="2571" max="2571" width="10.90625" style="2" customWidth="1"/>
    <col min="2572" max="2582" width="13.36328125" style="2" customWidth="1"/>
    <col min="2583" max="2583" width="13.6328125" style="2" customWidth="1"/>
    <col min="2584" max="2584" width="16.453125" style="2" customWidth="1"/>
    <col min="2585" max="2819" width="9" style="2"/>
    <col min="2820" max="2820" width="9.6328125" style="2" customWidth="1"/>
    <col min="2821" max="2822" width="5.08984375" style="2" customWidth="1"/>
    <col min="2823" max="2823" width="9.6328125" style="2" customWidth="1"/>
    <col min="2824" max="2825" width="11.6328125" style="2" customWidth="1"/>
    <col min="2826" max="2826" width="15.36328125" style="2" customWidth="1"/>
    <col min="2827" max="2827" width="10.90625" style="2" customWidth="1"/>
    <col min="2828" max="2838" width="13.36328125" style="2" customWidth="1"/>
    <col min="2839" max="2839" width="13.6328125" style="2" customWidth="1"/>
    <col min="2840" max="2840" width="16.453125" style="2" customWidth="1"/>
    <col min="2841" max="3075" width="9" style="2"/>
    <col min="3076" max="3076" width="9.6328125" style="2" customWidth="1"/>
    <col min="3077" max="3078" width="5.08984375" style="2" customWidth="1"/>
    <col min="3079" max="3079" width="9.6328125" style="2" customWidth="1"/>
    <col min="3080" max="3081" width="11.6328125" style="2" customWidth="1"/>
    <col min="3082" max="3082" width="15.36328125" style="2" customWidth="1"/>
    <col min="3083" max="3083" width="10.90625" style="2" customWidth="1"/>
    <col min="3084" max="3094" width="13.36328125" style="2" customWidth="1"/>
    <col min="3095" max="3095" width="13.6328125" style="2" customWidth="1"/>
    <col min="3096" max="3096" width="16.453125" style="2" customWidth="1"/>
    <col min="3097" max="3331" width="9" style="2"/>
    <col min="3332" max="3332" width="9.6328125" style="2" customWidth="1"/>
    <col min="3333" max="3334" width="5.08984375" style="2" customWidth="1"/>
    <col min="3335" max="3335" width="9.6328125" style="2" customWidth="1"/>
    <col min="3336" max="3337" width="11.6328125" style="2" customWidth="1"/>
    <col min="3338" max="3338" width="15.36328125" style="2" customWidth="1"/>
    <col min="3339" max="3339" width="10.90625" style="2" customWidth="1"/>
    <col min="3340" max="3350" width="13.36328125" style="2" customWidth="1"/>
    <col min="3351" max="3351" width="13.6328125" style="2" customWidth="1"/>
    <col min="3352" max="3352" width="16.453125" style="2" customWidth="1"/>
    <col min="3353" max="3587" width="9" style="2"/>
    <col min="3588" max="3588" width="9.6328125" style="2" customWidth="1"/>
    <col min="3589" max="3590" width="5.08984375" style="2" customWidth="1"/>
    <col min="3591" max="3591" width="9.6328125" style="2" customWidth="1"/>
    <col min="3592" max="3593" width="11.6328125" style="2" customWidth="1"/>
    <col min="3594" max="3594" width="15.36328125" style="2" customWidth="1"/>
    <col min="3595" max="3595" width="10.90625" style="2" customWidth="1"/>
    <col min="3596" max="3606" width="13.36328125" style="2" customWidth="1"/>
    <col min="3607" max="3607" width="13.6328125" style="2" customWidth="1"/>
    <col min="3608" max="3608" width="16.453125" style="2" customWidth="1"/>
    <col min="3609" max="3843" width="9" style="2"/>
    <col min="3844" max="3844" width="9.6328125" style="2" customWidth="1"/>
    <col min="3845" max="3846" width="5.08984375" style="2" customWidth="1"/>
    <col min="3847" max="3847" width="9.6328125" style="2" customWidth="1"/>
    <col min="3848" max="3849" width="11.6328125" style="2" customWidth="1"/>
    <col min="3850" max="3850" width="15.36328125" style="2" customWidth="1"/>
    <col min="3851" max="3851" width="10.90625" style="2" customWidth="1"/>
    <col min="3852" max="3862" width="13.36328125" style="2" customWidth="1"/>
    <col min="3863" max="3863" width="13.6328125" style="2" customWidth="1"/>
    <col min="3864" max="3864" width="16.453125" style="2" customWidth="1"/>
    <col min="3865" max="4099" width="9" style="2"/>
    <col min="4100" max="4100" width="9.6328125" style="2" customWidth="1"/>
    <col min="4101" max="4102" width="5.08984375" style="2" customWidth="1"/>
    <col min="4103" max="4103" width="9.6328125" style="2" customWidth="1"/>
    <col min="4104" max="4105" width="11.6328125" style="2" customWidth="1"/>
    <col min="4106" max="4106" width="15.36328125" style="2" customWidth="1"/>
    <col min="4107" max="4107" width="10.90625" style="2" customWidth="1"/>
    <col min="4108" max="4118" width="13.36328125" style="2" customWidth="1"/>
    <col min="4119" max="4119" width="13.6328125" style="2" customWidth="1"/>
    <col min="4120" max="4120" width="16.453125" style="2" customWidth="1"/>
    <col min="4121" max="4355" width="9" style="2"/>
    <col min="4356" max="4356" width="9.6328125" style="2" customWidth="1"/>
    <col min="4357" max="4358" width="5.08984375" style="2" customWidth="1"/>
    <col min="4359" max="4359" width="9.6328125" style="2" customWidth="1"/>
    <col min="4360" max="4361" width="11.6328125" style="2" customWidth="1"/>
    <col min="4362" max="4362" width="15.36328125" style="2" customWidth="1"/>
    <col min="4363" max="4363" width="10.90625" style="2" customWidth="1"/>
    <col min="4364" max="4374" width="13.36328125" style="2" customWidth="1"/>
    <col min="4375" max="4375" width="13.6328125" style="2" customWidth="1"/>
    <col min="4376" max="4376" width="16.453125" style="2" customWidth="1"/>
    <col min="4377" max="4611" width="9" style="2"/>
    <col min="4612" max="4612" width="9.6328125" style="2" customWidth="1"/>
    <col min="4613" max="4614" width="5.08984375" style="2" customWidth="1"/>
    <col min="4615" max="4615" width="9.6328125" style="2" customWidth="1"/>
    <col min="4616" max="4617" width="11.6328125" style="2" customWidth="1"/>
    <col min="4618" max="4618" width="15.36328125" style="2" customWidth="1"/>
    <col min="4619" max="4619" width="10.90625" style="2" customWidth="1"/>
    <col min="4620" max="4630" width="13.36328125" style="2" customWidth="1"/>
    <col min="4631" max="4631" width="13.6328125" style="2" customWidth="1"/>
    <col min="4632" max="4632" width="16.453125" style="2" customWidth="1"/>
    <col min="4633" max="4867" width="9" style="2"/>
    <col min="4868" max="4868" width="9.6328125" style="2" customWidth="1"/>
    <col min="4869" max="4870" width="5.08984375" style="2" customWidth="1"/>
    <col min="4871" max="4871" width="9.6328125" style="2" customWidth="1"/>
    <col min="4872" max="4873" width="11.6328125" style="2" customWidth="1"/>
    <col min="4874" max="4874" width="15.36328125" style="2" customWidth="1"/>
    <col min="4875" max="4875" width="10.90625" style="2" customWidth="1"/>
    <col min="4876" max="4886" width="13.36328125" style="2" customWidth="1"/>
    <col min="4887" max="4887" width="13.6328125" style="2" customWidth="1"/>
    <col min="4888" max="4888" width="16.453125" style="2" customWidth="1"/>
    <col min="4889" max="5123" width="9" style="2"/>
    <col min="5124" max="5124" width="9.6328125" style="2" customWidth="1"/>
    <col min="5125" max="5126" width="5.08984375" style="2" customWidth="1"/>
    <col min="5127" max="5127" width="9.6328125" style="2" customWidth="1"/>
    <col min="5128" max="5129" width="11.6328125" style="2" customWidth="1"/>
    <col min="5130" max="5130" width="15.36328125" style="2" customWidth="1"/>
    <col min="5131" max="5131" width="10.90625" style="2" customWidth="1"/>
    <col min="5132" max="5142" width="13.36328125" style="2" customWidth="1"/>
    <col min="5143" max="5143" width="13.6328125" style="2" customWidth="1"/>
    <col min="5144" max="5144" width="16.453125" style="2" customWidth="1"/>
    <col min="5145" max="5379" width="9" style="2"/>
    <col min="5380" max="5380" width="9.6328125" style="2" customWidth="1"/>
    <col min="5381" max="5382" width="5.08984375" style="2" customWidth="1"/>
    <col min="5383" max="5383" width="9.6328125" style="2" customWidth="1"/>
    <col min="5384" max="5385" width="11.6328125" style="2" customWidth="1"/>
    <col min="5386" max="5386" width="15.36328125" style="2" customWidth="1"/>
    <col min="5387" max="5387" width="10.90625" style="2" customWidth="1"/>
    <col min="5388" max="5398" width="13.36328125" style="2" customWidth="1"/>
    <col min="5399" max="5399" width="13.6328125" style="2" customWidth="1"/>
    <col min="5400" max="5400" width="16.453125" style="2" customWidth="1"/>
    <col min="5401" max="5635" width="9" style="2"/>
    <col min="5636" max="5636" width="9.6328125" style="2" customWidth="1"/>
    <col min="5637" max="5638" width="5.08984375" style="2" customWidth="1"/>
    <col min="5639" max="5639" width="9.6328125" style="2" customWidth="1"/>
    <col min="5640" max="5641" width="11.6328125" style="2" customWidth="1"/>
    <col min="5642" max="5642" width="15.36328125" style="2" customWidth="1"/>
    <col min="5643" max="5643" width="10.90625" style="2" customWidth="1"/>
    <col min="5644" max="5654" width="13.36328125" style="2" customWidth="1"/>
    <col min="5655" max="5655" width="13.6328125" style="2" customWidth="1"/>
    <col min="5656" max="5656" width="16.453125" style="2" customWidth="1"/>
    <col min="5657" max="5891" width="9" style="2"/>
    <col min="5892" max="5892" width="9.6328125" style="2" customWidth="1"/>
    <col min="5893" max="5894" width="5.08984375" style="2" customWidth="1"/>
    <col min="5895" max="5895" width="9.6328125" style="2" customWidth="1"/>
    <col min="5896" max="5897" width="11.6328125" style="2" customWidth="1"/>
    <col min="5898" max="5898" width="15.36328125" style="2" customWidth="1"/>
    <col min="5899" max="5899" width="10.90625" style="2" customWidth="1"/>
    <col min="5900" max="5910" width="13.36328125" style="2" customWidth="1"/>
    <col min="5911" max="5911" width="13.6328125" style="2" customWidth="1"/>
    <col min="5912" max="5912" width="16.453125" style="2" customWidth="1"/>
    <col min="5913" max="6147" width="9" style="2"/>
    <col min="6148" max="6148" width="9.6328125" style="2" customWidth="1"/>
    <col min="6149" max="6150" width="5.08984375" style="2" customWidth="1"/>
    <col min="6151" max="6151" width="9.6328125" style="2" customWidth="1"/>
    <col min="6152" max="6153" width="11.6328125" style="2" customWidth="1"/>
    <col min="6154" max="6154" width="15.36328125" style="2" customWidth="1"/>
    <col min="6155" max="6155" width="10.90625" style="2" customWidth="1"/>
    <col min="6156" max="6166" width="13.36328125" style="2" customWidth="1"/>
    <col min="6167" max="6167" width="13.6328125" style="2" customWidth="1"/>
    <col min="6168" max="6168" width="16.453125" style="2" customWidth="1"/>
    <col min="6169" max="6403" width="9" style="2"/>
    <col min="6404" max="6404" width="9.6328125" style="2" customWidth="1"/>
    <col min="6405" max="6406" width="5.08984375" style="2" customWidth="1"/>
    <col min="6407" max="6407" width="9.6328125" style="2" customWidth="1"/>
    <col min="6408" max="6409" width="11.6328125" style="2" customWidth="1"/>
    <col min="6410" max="6410" width="15.36328125" style="2" customWidth="1"/>
    <col min="6411" max="6411" width="10.90625" style="2" customWidth="1"/>
    <col min="6412" max="6422" width="13.36328125" style="2" customWidth="1"/>
    <col min="6423" max="6423" width="13.6328125" style="2" customWidth="1"/>
    <col min="6424" max="6424" width="16.453125" style="2" customWidth="1"/>
    <col min="6425" max="6659" width="9" style="2"/>
    <col min="6660" max="6660" width="9.6328125" style="2" customWidth="1"/>
    <col min="6661" max="6662" width="5.08984375" style="2" customWidth="1"/>
    <col min="6663" max="6663" width="9.6328125" style="2" customWidth="1"/>
    <col min="6664" max="6665" width="11.6328125" style="2" customWidth="1"/>
    <col min="6666" max="6666" width="15.36328125" style="2" customWidth="1"/>
    <col min="6667" max="6667" width="10.90625" style="2" customWidth="1"/>
    <col min="6668" max="6678" width="13.36328125" style="2" customWidth="1"/>
    <col min="6679" max="6679" width="13.6328125" style="2" customWidth="1"/>
    <col min="6680" max="6680" width="16.453125" style="2" customWidth="1"/>
    <col min="6681" max="6915" width="9" style="2"/>
    <col min="6916" max="6916" width="9.6328125" style="2" customWidth="1"/>
    <col min="6917" max="6918" width="5.08984375" style="2" customWidth="1"/>
    <col min="6919" max="6919" width="9.6328125" style="2" customWidth="1"/>
    <col min="6920" max="6921" width="11.6328125" style="2" customWidth="1"/>
    <col min="6922" max="6922" width="15.36328125" style="2" customWidth="1"/>
    <col min="6923" max="6923" width="10.90625" style="2" customWidth="1"/>
    <col min="6924" max="6934" width="13.36328125" style="2" customWidth="1"/>
    <col min="6935" max="6935" width="13.6328125" style="2" customWidth="1"/>
    <col min="6936" max="6936" width="16.453125" style="2" customWidth="1"/>
    <col min="6937" max="7171" width="9" style="2"/>
    <col min="7172" max="7172" width="9.6328125" style="2" customWidth="1"/>
    <col min="7173" max="7174" width="5.08984375" style="2" customWidth="1"/>
    <col min="7175" max="7175" width="9.6328125" style="2" customWidth="1"/>
    <col min="7176" max="7177" width="11.6328125" style="2" customWidth="1"/>
    <col min="7178" max="7178" width="15.36328125" style="2" customWidth="1"/>
    <col min="7179" max="7179" width="10.90625" style="2" customWidth="1"/>
    <col min="7180" max="7190" width="13.36328125" style="2" customWidth="1"/>
    <col min="7191" max="7191" width="13.6328125" style="2" customWidth="1"/>
    <col min="7192" max="7192" width="16.453125" style="2" customWidth="1"/>
    <col min="7193" max="7427" width="9" style="2"/>
    <col min="7428" max="7428" width="9.6328125" style="2" customWidth="1"/>
    <col min="7429" max="7430" width="5.08984375" style="2" customWidth="1"/>
    <col min="7431" max="7431" width="9.6328125" style="2" customWidth="1"/>
    <col min="7432" max="7433" width="11.6328125" style="2" customWidth="1"/>
    <col min="7434" max="7434" width="15.36328125" style="2" customWidth="1"/>
    <col min="7435" max="7435" width="10.90625" style="2" customWidth="1"/>
    <col min="7436" max="7446" width="13.36328125" style="2" customWidth="1"/>
    <col min="7447" max="7447" width="13.6328125" style="2" customWidth="1"/>
    <col min="7448" max="7448" width="16.453125" style="2" customWidth="1"/>
    <col min="7449" max="7683" width="9" style="2"/>
    <col min="7684" max="7684" width="9.6328125" style="2" customWidth="1"/>
    <col min="7685" max="7686" width="5.08984375" style="2" customWidth="1"/>
    <col min="7687" max="7687" width="9.6328125" style="2" customWidth="1"/>
    <col min="7688" max="7689" width="11.6328125" style="2" customWidth="1"/>
    <col min="7690" max="7690" width="15.36328125" style="2" customWidth="1"/>
    <col min="7691" max="7691" width="10.90625" style="2" customWidth="1"/>
    <col min="7692" max="7702" width="13.36328125" style="2" customWidth="1"/>
    <col min="7703" max="7703" width="13.6328125" style="2" customWidth="1"/>
    <col min="7704" max="7704" width="16.453125" style="2" customWidth="1"/>
    <col min="7705" max="7939" width="9" style="2"/>
    <col min="7940" max="7940" width="9.6328125" style="2" customWidth="1"/>
    <col min="7941" max="7942" width="5.08984375" style="2" customWidth="1"/>
    <col min="7943" max="7943" width="9.6328125" style="2" customWidth="1"/>
    <col min="7944" max="7945" width="11.6328125" style="2" customWidth="1"/>
    <col min="7946" max="7946" width="15.36328125" style="2" customWidth="1"/>
    <col min="7947" max="7947" width="10.90625" style="2" customWidth="1"/>
    <col min="7948" max="7958" width="13.36328125" style="2" customWidth="1"/>
    <col min="7959" max="7959" width="13.6328125" style="2" customWidth="1"/>
    <col min="7960" max="7960" width="16.453125" style="2" customWidth="1"/>
    <col min="7961" max="8195" width="9" style="2"/>
    <col min="8196" max="8196" width="9.6328125" style="2" customWidth="1"/>
    <col min="8197" max="8198" width="5.08984375" style="2" customWidth="1"/>
    <col min="8199" max="8199" width="9.6328125" style="2" customWidth="1"/>
    <col min="8200" max="8201" width="11.6328125" style="2" customWidth="1"/>
    <col min="8202" max="8202" width="15.36328125" style="2" customWidth="1"/>
    <col min="8203" max="8203" width="10.90625" style="2" customWidth="1"/>
    <col min="8204" max="8214" width="13.36328125" style="2" customWidth="1"/>
    <col min="8215" max="8215" width="13.6328125" style="2" customWidth="1"/>
    <col min="8216" max="8216" width="16.453125" style="2" customWidth="1"/>
    <col min="8217" max="8451" width="9" style="2"/>
    <col min="8452" max="8452" width="9.6328125" style="2" customWidth="1"/>
    <col min="8453" max="8454" width="5.08984375" style="2" customWidth="1"/>
    <col min="8455" max="8455" width="9.6328125" style="2" customWidth="1"/>
    <col min="8456" max="8457" width="11.6328125" style="2" customWidth="1"/>
    <col min="8458" max="8458" width="15.36328125" style="2" customWidth="1"/>
    <col min="8459" max="8459" width="10.90625" style="2" customWidth="1"/>
    <col min="8460" max="8470" width="13.36328125" style="2" customWidth="1"/>
    <col min="8471" max="8471" width="13.6328125" style="2" customWidth="1"/>
    <col min="8472" max="8472" width="16.453125" style="2" customWidth="1"/>
    <col min="8473" max="8707" width="9" style="2"/>
    <col min="8708" max="8708" width="9.6328125" style="2" customWidth="1"/>
    <col min="8709" max="8710" width="5.08984375" style="2" customWidth="1"/>
    <col min="8711" max="8711" width="9.6328125" style="2" customWidth="1"/>
    <col min="8712" max="8713" width="11.6328125" style="2" customWidth="1"/>
    <col min="8714" max="8714" width="15.36328125" style="2" customWidth="1"/>
    <col min="8715" max="8715" width="10.90625" style="2" customWidth="1"/>
    <col min="8716" max="8726" width="13.36328125" style="2" customWidth="1"/>
    <col min="8727" max="8727" width="13.6328125" style="2" customWidth="1"/>
    <col min="8728" max="8728" width="16.453125" style="2" customWidth="1"/>
    <col min="8729" max="8963" width="9" style="2"/>
    <col min="8964" max="8964" width="9.6328125" style="2" customWidth="1"/>
    <col min="8965" max="8966" width="5.08984375" style="2" customWidth="1"/>
    <col min="8967" max="8967" width="9.6328125" style="2" customWidth="1"/>
    <col min="8968" max="8969" width="11.6328125" style="2" customWidth="1"/>
    <col min="8970" max="8970" width="15.36328125" style="2" customWidth="1"/>
    <col min="8971" max="8971" width="10.90625" style="2" customWidth="1"/>
    <col min="8972" max="8982" width="13.36328125" style="2" customWidth="1"/>
    <col min="8983" max="8983" width="13.6328125" style="2" customWidth="1"/>
    <col min="8984" max="8984" width="16.453125" style="2" customWidth="1"/>
    <col min="8985" max="9219" width="9" style="2"/>
    <col min="9220" max="9220" width="9.6328125" style="2" customWidth="1"/>
    <col min="9221" max="9222" width="5.08984375" style="2" customWidth="1"/>
    <col min="9223" max="9223" width="9.6328125" style="2" customWidth="1"/>
    <col min="9224" max="9225" width="11.6328125" style="2" customWidth="1"/>
    <col min="9226" max="9226" width="15.36328125" style="2" customWidth="1"/>
    <col min="9227" max="9227" width="10.90625" style="2" customWidth="1"/>
    <col min="9228" max="9238" width="13.36328125" style="2" customWidth="1"/>
    <col min="9239" max="9239" width="13.6328125" style="2" customWidth="1"/>
    <col min="9240" max="9240" width="16.453125" style="2" customWidth="1"/>
    <col min="9241" max="9475" width="9" style="2"/>
    <col min="9476" max="9476" width="9.6328125" style="2" customWidth="1"/>
    <col min="9477" max="9478" width="5.08984375" style="2" customWidth="1"/>
    <col min="9479" max="9479" width="9.6328125" style="2" customWidth="1"/>
    <col min="9480" max="9481" width="11.6328125" style="2" customWidth="1"/>
    <col min="9482" max="9482" width="15.36328125" style="2" customWidth="1"/>
    <col min="9483" max="9483" width="10.90625" style="2" customWidth="1"/>
    <col min="9484" max="9494" width="13.36328125" style="2" customWidth="1"/>
    <col min="9495" max="9495" width="13.6328125" style="2" customWidth="1"/>
    <col min="9496" max="9496" width="16.453125" style="2" customWidth="1"/>
    <col min="9497" max="9731" width="9" style="2"/>
    <col min="9732" max="9732" width="9.6328125" style="2" customWidth="1"/>
    <col min="9733" max="9734" width="5.08984375" style="2" customWidth="1"/>
    <col min="9735" max="9735" width="9.6328125" style="2" customWidth="1"/>
    <col min="9736" max="9737" width="11.6328125" style="2" customWidth="1"/>
    <col min="9738" max="9738" width="15.36328125" style="2" customWidth="1"/>
    <col min="9739" max="9739" width="10.90625" style="2" customWidth="1"/>
    <col min="9740" max="9750" width="13.36328125" style="2" customWidth="1"/>
    <col min="9751" max="9751" width="13.6328125" style="2" customWidth="1"/>
    <col min="9752" max="9752" width="16.453125" style="2" customWidth="1"/>
    <col min="9753" max="9987" width="9" style="2"/>
    <col min="9988" max="9988" width="9.6328125" style="2" customWidth="1"/>
    <col min="9989" max="9990" width="5.08984375" style="2" customWidth="1"/>
    <col min="9991" max="9991" width="9.6328125" style="2" customWidth="1"/>
    <col min="9992" max="9993" width="11.6328125" style="2" customWidth="1"/>
    <col min="9994" max="9994" width="15.36328125" style="2" customWidth="1"/>
    <col min="9995" max="9995" width="10.90625" style="2" customWidth="1"/>
    <col min="9996" max="10006" width="13.36328125" style="2" customWidth="1"/>
    <col min="10007" max="10007" width="13.6328125" style="2" customWidth="1"/>
    <col min="10008" max="10008" width="16.453125" style="2" customWidth="1"/>
    <col min="10009" max="10243" width="9" style="2"/>
    <col min="10244" max="10244" width="9.6328125" style="2" customWidth="1"/>
    <col min="10245" max="10246" width="5.08984375" style="2" customWidth="1"/>
    <col min="10247" max="10247" width="9.6328125" style="2" customWidth="1"/>
    <col min="10248" max="10249" width="11.6328125" style="2" customWidth="1"/>
    <col min="10250" max="10250" width="15.36328125" style="2" customWidth="1"/>
    <col min="10251" max="10251" width="10.90625" style="2" customWidth="1"/>
    <col min="10252" max="10262" width="13.36328125" style="2" customWidth="1"/>
    <col min="10263" max="10263" width="13.6328125" style="2" customWidth="1"/>
    <col min="10264" max="10264" width="16.453125" style="2" customWidth="1"/>
    <col min="10265" max="10499" width="9" style="2"/>
    <col min="10500" max="10500" width="9.6328125" style="2" customWidth="1"/>
    <col min="10501" max="10502" width="5.08984375" style="2" customWidth="1"/>
    <col min="10503" max="10503" width="9.6328125" style="2" customWidth="1"/>
    <col min="10504" max="10505" width="11.6328125" style="2" customWidth="1"/>
    <col min="10506" max="10506" width="15.36328125" style="2" customWidth="1"/>
    <col min="10507" max="10507" width="10.90625" style="2" customWidth="1"/>
    <col min="10508" max="10518" width="13.36328125" style="2" customWidth="1"/>
    <col min="10519" max="10519" width="13.6328125" style="2" customWidth="1"/>
    <col min="10520" max="10520" width="16.453125" style="2" customWidth="1"/>
    <col min="10521" max="10755" width="9" style="2"/>
    <col min="10756" max="10756" width="9.6328125" style="2" customWidth="1"/>
    <col min="10757" max="10758" width="5.08984375" style="2" customWidth="1"/>
    <col min="10759" max="10759" width="9.6328125" style="2" customWidth="1"/>
    <col min="10760" max="10761" width="11.6328125" style="2" customWidth="1"/>
    <col min="10762" max="10762" width="15.36328125" style="2" customWidth="1"/>
    <col min="10763" max="10763" width="10.90625" style="2" customWidth="1"/>
    <col min="10764" max="10774" width="13.36328125" style="2" customWidth="1"/>
    <col min="10775" max="10775" width="13.6328125" style="2" customWidth="1"/>
    <col min="10776" max="10776" width="16.453125" style="2" customWidth="1"/>
    <col min="10777" max="11011" width="9" style="2"/>
    <col min="11012" max="11012" width="9.6328125" style="2" customWidth="1"/>
    <col min="11013" max="11014" width="5.08984375" style="2" customWidth="1"/>
    <col min="11015" max="11015" width="9.6328125" style="2" customWidth="1"/>
    <col min="11016" max="11017" width="11.6328125" style="2" customWidth="1"/>
    <col min="11018" max="11018" width="15.36328125" style="2" customWidth="1"/>
    <col min="11019" max="11019" width="10.90625" style="2" customWidth="1"/>
    <col min="11020" max="11030" width="13.36328125" style="2" customWidth="1"/>
    <col min="11031" max="11031" width="13.6328125" style="2" customWidth="1"/>
    <col min="11032" max="11032" width="16.453125" style="2" customWidth="1"/>
    <col min="11033" max="11267" width="9" style="2"/>
    <col min="11268" max="11268" width="9.6328125" style="2" customWidth="1"/>
    <col min="11269" max="11270" width="5.08984375" style="2" customWidth="1"/>
    <col min="11271" max="11271" width="9.6328125" style="2" customWidth="1"/>
    <col min="11272" max="11273" width="11.6328125" style="2" customWidth="1"/>
    <col min="11274" max="11274" width="15.36328125" style="2" customWidth="1"/>
    <col min="11275" max="11275" width="10.90625" style="2" customWidth="1"/>
    <col min="11276" max="11286" width="13.36328125" style="2" customWidth="1"/>
    <col min="11287" max="11287" width="13.6328125" style="2" customWidth="1"/>
    <col min="11288" max="11288" width="16.453125" style="2" customWidth="1"/>
    <col min="11289" max="11523" width="9" style="2"/>
    <col min="11524" max="11524" width="9.6328125" style="2" customWidth="1"/>
    <col min="11525" max="11526" width="5.08984375" style="2" customWidth="1"/>
    <col min="11527" max="11527" width="9.6328125" style="2" customWidth="1"/>
    <col min="11528" max="11529" width="11.6328125" style="2" customWidth="1"/>
    <col min="11530" max="11530" width="15.36328125" style="2" customWidth="1"/>
    <col min="11531" max="11531" width="10.90625" style="2" customWidth="1"/>
    <col min="11532" max="11542" width="13.36328125" style="2" customWidth="1"/>
    <col min="11543" max="11543" width="13.6328125" style="2" customWidth="1"/>
    <col min="11544" max="11544" width="16.453125" style="2" customWidth="1"/>
    <col min="11545" max="11779" width="9" style="2"/>
    <col min="11780" max="11780" width="9.6328125" style="2" customWidth="1"/>
    <col min="11781" max="11782" width="5.08984375" style="2" customWidth="1"/>
    <col min="11783" max="11783" width="9.6328125" style="2" customWidth="1"/>
    <col min="11784" max="11785" width="11.6328125" style="2" customWidth="1"/>
    <col min="11786" max="11786" width="15.36328125" style="2" customWidth="1"/>
    <col min="11787" max="11787" width="10.90625" style="2" customWidth="1"/>
    <col min="11788" max="11798" width="13.36328125" style="2" customWidth="1"/>
    <col min="11799" max="11799" width="13.6328125" style="2" customWidth="1"/>
    <col min="11800" max="11800" width="16.453125" style="2" customWidth="1"/>
    <col min="11801" max="12035" width="9" style="2"/>
    <col min="12036" max="12036" width="9.6328125" style="2" customWidth="1"/>
    <col min="12037" max="12038" width="5.08984375" style="2" customWidth="1"/>
    <col min="12039" max="12039" width="9.6328125" style="2" customWidth="1"/>
    <col min="12040" max="12041" width="11.6328125" style="2" customWidth="1"/>
    <col min="12042" max="12042" width="15.36328125" style="2" customWidth="1"/>
    <col min="12043" max="12043" width="10.90625" style="2" customWidth="1"/>
    <col min="12044" max="12054" width="13.36328125" style="2" customWidth="1"/>
    <col min="12055" max="12055" width="13.6328125" style="2" customWidth="1"/>
    <col min="12056" max="12056" width="16.453125" style="2" customWidth="1"/>
    <col min="12057" max="12291" width="9" style="2"/>
    <col min="12292" max="12292" width="9.6328125" style="2" customWidth="1"/>
    <col min="12293" max="12294" width="5.08984375" style="2" customWidth="1"/>
    <col min="12295" max="12295" width="9.6328125" style="2" customWidth="1"/>
    <col min="12296" max="12297" width="11.6328125" style="2" customWidth="1"/>
    <col min="12298" max="12298" width="15.36328125" style="2" customWidth="1"/>
    <col min="12299" max="12299" width="10.90625" style="2" customWidth="1"/>
    <col min="12300" max="12310" width="13.36328125" style="2" customWidth="1"/>
    <col min="12311" max="12311" width="13.6328125" style="2" customWidth="1"/>
    <col min="12312" max="12312" width="16.453125" style="2" customWidth="1"/>
    <col min="12313" max="12547" width="9" style="2"/>
    <col min="12548" max="12548" width="9.6328125" style="2" customWidth="1"/>
    <col min="12549" max="12550" width="5.08984375" style="2" customWidth="1"/>
    <col min="12551" max="12551" width="9.6328125" style="2" customWidth="1"/>
    <col min="12552" max="12553" width="11.6328125" style="2" customWidth="1"/>
    <col min="12554" max="12554" width="15.36328125" style="2" customWidth="1"/>
    <col min="12555" max="12555" width="10.90625" style="2" customWidth="1"/>
    <col min="12556" max="12566" width="13.36328125" style="2" customWidth="1"/>
    <col min="12567" max="12567" width="13.6328125" style="2" customWidth="1"/>
    <col min="12568" max="12568" width="16.453125" style="2" customWidth="1"/>
    <col min="12569" max="12803" width="9" style="2"/>
    <col min="12804" max="12804" width="9.6328125" style="2" customWidth="1"/>
    <col min="12805" max="12806" width="5.08984375" style="2" customWidth="1"/>
    <col min="12807" max="12807" width="9.6328125" style="2" customWidth="1"/>
    <col min="12808" max="12809" width="11.6328125" style="2" customWidth="1"/>
    <col min="12810" max="12810" width="15.36328125" style="2" customWidth="1"/>
    <col min="12811" max="12811" width="10.90625" style="2" customWidth="1"/>
    <col min="12812" max="12822" width="13.36328125" style="2" customWidth="1"/>
    <col min="12823" max="12823" width="13.6328125" style="2" customWidth="1"/>
    <col min="12824" max="12824" width="16.453125" style="2" customWidth="1"/>
    <col min="12825" max="13059" width="9" style="2"/>
    <col min="13060" max="13060" width="9.6328125" style="2" customWidth="1"/>
    <col min="13061" max="13062" width="5.08984375" style="2" customWidth="1"/>
    <col min="13063" max="13063" width="9.6328125" style="2" customWidth="1"/>
    <col min="13064" max="13065" width="11.6328125" style="2" customWidth="1"/>
    <col min="13066" max="13066" width="15.36328125" style="2" customWidth="1"/>
    <col min="13067" max="13067" width="10.90625" style="2" customWidth="1"/>
    <col min="13068" max="13078" width="13.36328125" style="2" customWidth="1"/>
    <col min="13079" max="13079" width="13.6328125" style="2" customWidth="1"/>
    <col min="13080" max="13080" width="16.453125" style="2" customWidth="1"/>
    <col min="13081" max="13315" width="9" style="2"/>
    <col min="13316" max="13316" width="9.6328125" style="2" customWidth="1"/>
    <col min="13317" max="13318" width="5.08984375" style="2" customWidth="1"/>
    <col min="13319" max="13319" width="9.6328125" style="2" customWidth="1"/>
    <col min="13320" max="13321" width="11.6328125" style="2" customWidth="1"/>
    <col min="13322" max="13322" width="15.36328125" style="2" customWidth="1"/>
    <col min="13323" max="13323" width="10.90625" style="2" customWidth="1"/>
    <col min="13324" max="13334" width="13.36328125" style="2" customWidth="1"/>
    <col min="13335" max="13335" width="13.6328125" style="2" customWidth="1"/>
    <col min="13336" max="13336" width="16.453125" style="2" customWidth="1"/>
    <col min="13337" max="13571" width="9" style="2"/>
    <col min="13572" max="13572" width="9.6328125" style="2" customWidth="1"/>
    <col min="13573" max="13574" width="5.08984375" style="2" customWidth="1"/>
    <col min="13575" max="13575" width="9.6328125" style="2" customWidth="1"/>
    <col min="13576" max="13577" width="11.6328125" style="2" customWidth="1"/>
    <col min="13578" max="13578" width="15.36328125" style="2" customWidth="1"/>
    <col min="13579" max="13579" width="10.90625" style="2" customWidth="1"/>
    <col min="13580" max="13590" width="13.36328125" style="2" customWidth="1"/>
    <col min="13591" max="13591" width="13.6328125" style="2" customWidth="1"/>
    <col min="13592" max="13592" width="16.453125" style="2" customWidth="1"/>
    <col min="13593" max="13827" width="9" style="2"/>
    <col min="13828" max="13828" width="9.6328125" style="2" customWidth="1"/>
    <col min="13829" max="13830" width="5.08984375" style="2" customWidth="1"/>
    <col min="13831" max="13831" width="9.6328125" style="2" customWidth="1"/>
    <col min="13832" max="13833" width="11.6328125" style="2" customWidth="1"/>
    <col min="13834" max="13834" width="15.36328125" style="2" customWidth="1"/>
    <col min="13835" max="13835" width="10.90625" style="2" customWidth="1"/>
    <col min="13836" max="13846" width="13.36328125" style="2" customWidth="1"/>
    <col min="13847" max="13847" width="13.6328125" style="2" customWidth="1"/>
    <col min="13848" max="13848" width="16.453125" style="2" customWidth="1"/>
    <col min="13849" max="14083" width="9" style="2"/>
    <col min="14084" max="14084" width="9.6328125" style="2" customWidth="1"/>
    <col min="14085" max="14086" width="5.08984375" style="2" customWidth="1"/>
    <col min="14087" max="14087" width="9.6328125" style="2" customWidth="1"/>
    <col min="14088" max="14089" width="11.6328125" style="2" customWidth="1"/>
    <col min="14090" max="14090" width="15.36328125" style="2" customWidth="1"/>
    <col min="14091" max="14091" width="10.90625" style="2" customWidth="1"/>
    <col min="14092" max="14102" width="13.36328125" style="2" customWidth="1"/>
    <col min="14103" max="14103" width="13.6328125" style="2" customWidth="1"/>
    <col min="14104" max="14104" width="16.453125" style="2" customWidth="1"/>
    <col min="14105" max="14339" width="9" style="2"/>
    <col min="14340" max="14340" width="9.6328125" style="2" customWidth="1"/>
    <col min="14341" max="14342" width="5.08984375" style="2" customWidth="1"/>
    <col min="14343" max="14343" width="9.6328125" style="2" customWidth="1"/>
    <col min="14344" max="14345" width="11.6328125" style="2" customWidth="1"/>
    <col min="14346" max="14346" width="15.36328125" style="2" customWidth="1"/>
    <col min="14347" max="14347" width="10.90625" style="2" customWidth="1"/>
    <col min="14348" max="14358" width="13.36328125" style="2" customWidth="1"/>
    <col min="14359" max="14359" width="13.6328125" style="2" customWidth="1"/>
    <col min="14360" max="14360" width="16.453125" style="2" customWidth="1"/>
    <col min="14361" max="14595" width="9" style="2"/>
    <col min="14596" max="14596" width="9.6328125" style="2" customWidth="1"/>
    <col min="14597" max="14598" width="5.08984375" style="2" customWidth="1"/>
    <col min="14599" max="14599" width="9.6328125" style="2" customWidth="1"/>
    <col min="14600" max="14601" width="11.6328125" style="2" customWidth="1"/>
    <col min="14602" max="14602" width="15.36328125" style="2" customWidth="1"/>
    <col min="14603" max="14603" width="10.90625" style="2" customWidth="1"/>
    <col min="14604" max="14614" width="13.36328125" style="2" customWidth="1"/>
    <col min="14615" max="14615" width="13.6328125" style="2" customWidth="1"/>
    <col min="14616" max="14616" width="16.453125" style="2" customWidth="1"/>
    <col min="14617" max="14851" width="9" style="2"/>
    <col min="14852" max="14852" width="9.6328125" style="2" customWidth="1"/>
    <col min="14853" max="14854" width="5.08984375" style="2" customWidth="1"/>
    <col min="14855" max="14855" width="9.6328125" style="2" customWidth="1"/>
    <col min="14856" max="14857" width="11.6328125" style="2" customWidth="1"/>
    <col min="14858" max="14858" width="15.36328125" style="2" customWidth="1"/>
    <col min="14859" max="14859" width="10.90625" style="2" customWidth="1"/>
    <col min="14860" max="14870" width="13.36328125" style="2" customWidth="1"/>
    <col min="14871" max="14871" width="13.6328125" style="2" customWidth="1"/>
    <col min="14872" max="14872" width="16.453125" style="2" customWidth="1"/>
    <col min="14873" max="15107" width="9" style="2"/>
    <col min="15108" max="15108" width="9.6328125" style="2" customWidth="1"/>
    <col min="15109" max="15110" width="5.08984375" style="2" customWidth="1"/>
    <col min="15111" max="15111" width="9.6328125" style="2" customWidth="1"/>
    <col min="15112" max="15113" width="11.6328125" style="2" customWidth="1"/>
    <col min="15114" max="15114" width="15.36328125" style="2" customWidth="1"/>
    <col min="15115" max="15115" width="10.90625" style="2" customWidth="1"/>
    <col min="15116" max="15126" width="13.36328125" style="2" customWidth="1"/>
    <col min="15127" max="15127" width="13.6328125" style="2" customWidth="1"/>
    <col min="15128" max="15128" width="16.453125" style="2" customWidth="1"/>
    <col min="15129" max="15363" width="9" style="2"/>
    <col min="15364" max="15364" width="9.6328125" style="2" customWidth="1"/>
    <col min="15365" max="15366" width="5.08984375" style="2" customWidth="1"/>
    <col min="15367" max="15367" width="9.6328125" style="2" customWidth="1"/>
    <col min="15368" max="15369" width="11.6328125" style="2" customWidth="1"/>
    <col min="15370" max="15370" width="15.36328125" style="2" customWidth="1"/>
    <col min="15371" max="15371" width="10.90625" style="2" customWidth="1"/>
    <col min="15372" max="15382" width="13.36328125" style="2" customWidth="1"/>
    <col min="15383" max="15383" width="13.6328125" style="2" customWidth="1"/>
    <col min="15384" max="15384" width="16.453125" style="2" customWidth="1"/>
    <col min="15385" max="15619" width="9" style="2"/>
    <col min="15620" max="15620" width="9.6328125" style="2" customWidth="1"/>
    <col min="15621" max="15622" width="5.08984375" style="2" customWidth="1"/>
    <col min="15623" max="15623" width="9.6328125" style="2" customWidth="1"/>
    <col min="15624" max="15625" width="11.6328125" style="2" customWidth="1"/>
    <col min="15626" max="15626" width="15.36328125" style="2" customWidth="1"/>
    <col min="15627" max="15627" width="10.90625" style="2" customWidth="1"/>
    <col min="15628" max="15638" width="13.36328125" style="2" customWidth="1"/>
    <col min="15639" max="15639" width="13.6328125" style="2" customWidth="1"/>
    <col min="15640" max="15640" width="16.453125" style="2" customWidth="1"/>
    <col min="15641" max="15875" width="9" style="2"/>
    <col min="15876" max="15876" width="9.6328125" style="2" customWidth="1"/>
    <col min="15877" max="15878" width="5.08984375" style="2" customWidth="1"/>
    <col min="15879" max="15879" width="9.6328125" style="2" customWidth="1"/>
    <col min="15880" max="15881" width="11.6328125" style="2" customWidth="1"/>
    <col min="15882" max="15882" width="15.36328125" style="2" customWidth="1"/>
    <col min="15883" max="15883" width="10.90625" style="2" customWidth="1"/>
    <col min="15884" max="15894" width="13.36328125" style="2" customWidth="1"/>
    <col min="15895" max="15895" width="13.6328125" style="2" customWidth="1"/>
    <col min="15896" max="15896" width="16.453125" style="2" customWidth="1"/>
    <col min="15897" max="16131" width="9" style="2"/>
    <col min="16132" max="16132" width="9.6328125" style="2" customWidth="1"/>
    <col min="16133" max="16134" width="5.08984375" style="2" customWidth="1"/>
    <col min="16135" max="16135" width="9.6328125" style="2" customWidth="1"/>
    <col min="16136" max="16137" width="11.6328125" style="2" customWidth="1"/>
    <col min="16138" max="16138" width="15.36328125" style="2" customWidth="1"/>
    <col min="16139" max="16139" width="10.90625" style="2" customWidth="1"/>
    <col min="16140" max="16150" width="13.36328125" style="2" customWidth="1"/>
    <col min="16151" max="16151" width="13.6328125" style="2" customWidth="1"/>
    <col min="16152" max="16152" width="16.453125" style="2" customWidth="1"/>
    <col min="16153" max="16384" width="9" style="2"/>
  </cols>
  <sheetData>
    <row r="1" spans="1:26" s="127" customFormat="1" ht="36">
      <c r="A1" s="230" t="s">
        <v>83</v>
      </c>
      <c r="B1" s="230" t="s">
        <v>84</v>
      </c>
      <c r="C1" s="133" t="s">
        <v>56</v>
      </c>
      <c r="D1" s="134" t="s">
        <v>0</v>
      </c>
      <c r="E1" s="134" t="s">
        <v>1</v>
      </c>
      <c r="F1" s="135" t="s">
        <v>2</v>
      </c>
      <c r="G1" s="135" t="s">
        <v>58</v>
      </c>
      <c r="H1" s="135" t="s">
        <v>3</v>
      </c>
      <c r="I1" s="136" t="s">
        <v>4</v>
      </c>
      <c r="J1" s="137" t="s">
        <v>5</v>
      </c>
      <c r="K1" s="3" t="s">
        <v>6</v>
      </c>
      <c r="L1" s="352" t="s">
        <v>7</v>
      </c>
      <c r="M1" s="238" t="s">
        <v>8</v>
      </c>
      <c r="N1" s="238" t="s">
        <v>9</v>
      </c>
      <c r="O1" s="238" t="s">
        <v>10</v>
      </c>
      <c r="P1" s="238" t="s">
        <v>11</v>
      </c>
      <c r="Q1" s="238" t="s">
        <v>12</v>
      </c>
      <c r="R1" s="238" t="s">
        <v>13</v>
      </c>
      <c r="S1" s="238" t="s">
        <v>14</v>
      </c>
      <c r="T1" s="238" t="s">
        <v>15</v>
      </c>
      <c r="U1" s="238" t="s">
        <v>16</v>
      </c>
      <c r="V1" s="238" t="s">
        <v>17</v>
      </c>
      <c r="W1" s="366" t="s">
        <v>18</v>
      </c>
      <c r="X1" s="154" t="s">
        <v>19</v>
      </c>
    </row>
    <row r="2" spans="1:26" s="1" customFormat="1">
      <c r="A2" s="112"/>
      <c r="B2" s="72"/>
      <c r="C2" s="548" t="s">
        <v>93</v>
      </c>
      <c r="D2" s="549"/>
      <c r="E2" s="549"/>
      <c r="F2" s="549"/>
      <c r="G2" s="549"/>
      <c r="H2" s="549"/>
      <c r="I2" s="549"/>
      <c r="J2" s="550"/>
      <c r="K2" s="271" t="s">
        <v>20</v>
      </c>
      <c r="L2" s="333">
        <f>L89</f>
        <v>2493700</v>
      </c>
      <c r="M2" s="402">
        <f>M89</f>
        <v>2299200</v>
      </c>
      <c r="N2" s="402">
        <f t="shared" ref="M2:W3" si="0">N89</f>
        <v>2549200</v>
      </c>
      <c r="O2" s="402">
        <f t="shared" si="0"/>
        <v>2549200</v>
      </c>
      <c r="P2" s="402">
        <f t="shared" si="0"/>
        <v>3285160</v>
      </c>
      <c r="Q2" s="402">
        <f t="shared" si="0"/>
        <v>3139830</v>
      </c>
      <c r="R2" s="402">
        <f t="shared" si="0"/>
        <v>3299200</v>
      </c>
      <c r="S2" s="402">
        <f t="shared" si="0"/>
        <v>3247650</v>
      </c>
      <c r="T2" s="402">
        <f t="shared" si="0"/>
        <v>3299200</v>
      </c>
      <c r="U2" s="402">
        <f t="shared" si="0"/>
        <v>3280480</v>
      </c>
      <c r="V2" s="402">
        <f t="shared" si="0"/>
        <v>3808650</v>
      </c>
      <c r="W2" s="110">
        <f t="shared" si="0"/>
        <v>3899200</v>
      </c>
      <c r="X2" s="46">
        <f t="shared" ref="X2:X39" si="1">SUM(L2:W2)</f>
        <v>37150670</v>
      </c>
      <c r="Z2" s="70"/>
    </row>
    <row r="3" spans="1:26" s="1" customFormat="1">
      <c r="A3" s="112"/>
      <c r="B3" s="72"/>
      <c r="C3" s="551"/>
      <c r="D3" s="552"/>
      <c r="E3" s="552"/>
      <c r="F3" s="552"/>
      <c r="G3" s="552"/>
      <c r="H3" s="552"/>
      <c r="I3" s="552"/>
      <c r="J3" s="553"/>
      <c r="K3" s="144" t="s">
        <v>21</v>
      </c>
      <c r="L3" s="334">
        <f>L90</f>
        <v>1960995.5238095238</v>
      </c>
      <c r="M3" s="403">
        <f t="shared" si="0"/>
        <v>1946020</v>
      </c>
      <c r="N3" s="403">
        <f t="shared" si="0"/>
        <v>1974776</v>
      </c>
      <c r="O3" s="403">
        <f t="shared" si="0"/>
        <v>2013459</v>
      </c>
      <c r="P3" s="403">
        <f t="shared" si="0"/>
        <v>2547631</v>
      </c>
      <c r="Q3" s="403">
        <f t="shared" si="0"/>
        <v>2550410</v>
      </c>
      <c r="R3" s="403">
        <f t="shared" si="0"/>
        <v>2540711</v>
      </c>
      <c r="S3" s="403">
        <f t="shared" si="0"/>
        <v>2539305</v>
      </c>
      <c r="T3" s="403">
        <f t="shared" si="0"/>
        <v>2561701</v>
      </c>
      <c r="U3" s="403">
        <f t="shared" si="0"/>
        <v>2550225</v>
      </c>
      <c r="V3" s="403">
        <f t="shared" si="0"/>
        <v>3018143</v>
      </c>
      <c r="W3" s="95">
        <f t="shared" si="0"/>
        <v>3038749</v>
      </c>
      <c r="X3" s="47">
        <f t="shared" si="1"/>
        <v>29242125.523809522</v>
      </c>
      <c r="Z3" s="70"/>
    </row>
    <row r="4" spans="1:26" s="1" customFormat="1" ht="12.5" thickBot="1">
      <c r="A4" s="112"/>
      <c r="B4" s="72"/>
      <c r="C4" s="554"/>
      <c r="D4" s="555"/>
      <c r="E4" s="555"/>
      <c r="F4" s="555"/>
      <c r="G4" s="555"/>
      <c r="H4" s="555"/>
      <c r="I4" s="555"/>
      <c r="J4" s="556"/>
      <c r="K4" s="150" t="s">
        <v>22</v>
      </c>
      <c r="L4" s="335">
        <f>L2-L3</f>
        <v>532704.47619047621</v>
      </c>
      <c r="M4" s="404">
        <f>M2-M3</f>
        <v>353180</v>
      </c>
      <c r="N4" s="404">
        <f t="shared" ref="N4:W4" si="2">N2-N3</f>
        <v>574424</v>
      </c>
      <c r="O4" s="404">
        <f t="shared" si="2"/>
        <v>535741</v>
      </c>
      <c r="P4" s="404">
        <f t="shared" si="2"/>
        <v>737529</v>
      </c>
      <c r="Q4" s="404">
        <f t="shared" si="2"/>
        <v>589420</v>
      </c>
      <c r="R4" s="404">
        <f t="shared" si="2"/>
        <v>758489</v>
      </c>
      <c r="S4" s="404">
        <f t="shared" si="2"/>
        <v>708345</v>
      </c>
      <c r="T4" s="404">
        <f t="shared" si="2"/>
        <v>737499</v>
      </c>
      <c r="U4" s="404">
        <f>U2-U3</f>
        <v>730255</v>
      </c>
      <c r="V4" s="404">
        <f>V2-V3</f>
        <v>790507</v>
      </c>
      <c r="W4" s="111">
        <f t="shared" si="2"/>
        <v>860451</v>
      </c>
      <c r="X4" s="48">
        <f t="shared" si="1"/>
        <v>7908544.4761904757</v>
      </c>
      <c r="Z4" s="70"/>
    </row>
    <row r="5" spans="1:26" ht="14.15" customHeight="1" thickTop="1">
      <c r="A5" s="113">
        <v>2023003</v>
      </c>
      <c r="C5" s="641">
        <v>1</v>
      </c>
      <c r="D5" s="644" t="s">
        <v>35</v>
      </c>
      <c r="E5" s="644"/>
      <c r="F5" s="644"/>
      <c r="G5" s="644" t="s">
        <v>145</v>
      </c>
      <c r="H5" s="647"/>
      <c r="I5" s="644"/>
      <c r="J5" s="628" t="s">
        <v>55</v>
      </c>
      <c r="K5" s="176" t="s">
        <v>23</v>
      </c>
      <c r="L5" s="353">
        <f t="shared" ref="L5:W5" si="3">L6+L7</f>
        <v>250000</v>
      </c>
      <c r="M5" s="409">
        <f t="shared" si="3"/>
        <v>400000</v>
      </c>
      <c r="N5" s="409">
        <f t="shared" si="3"/>
        <v>650000</v>
      </c>
      <c r="O5" s="409">
        <f t="shared" si="3"/>
        <v>650000</v>
      </c>
      <c r="P5" s="409">
        <f t="shared" si="3"/>
        <v>650000</v>
      </c>
      <c r="Q5" s="409">
        <f t="shared" si="3"/>
        <v>554590</v>
      </c>
      <c r="R5" s="409">
        <f t="shared" si="3"/>
        <v>650000</v>
      </c>
      <c r="S5" s="409">
        <f t="shared" si="3"/>
        <v>629700</v>
      </c>
      <c r="T5" s="409">
        <f t="shared" si="3"/>
        <v>650000</v>
      </c>
      <c r="U5" s="409">
        <f t="shared" si="3"/>
        <v>650000</v>
      </c>
      <c r="V5" s="409">
        <f t="shared" si="3"/>
        <v>629700</v>
      </c>
      <c r="W5" s="97">
        <f t="shared" si="3"/>
        <v>650000</v>
      </c>
      <c r="X5" s="117">
        <f>SUM(L5:W5)</f>
        <v>7013990</v>
      </c>
      <c r="Z5" s="69"/>
    </row>
    <row r="6" spans="1:26">
      <c r="A6" s="114">
        <f>+A5</f>
        <v>2023003</v>
      </c>
      <c r="B6" s="74"/>
      <c r="C6" s="642"/>
      <c r="D6" s="645"/>
      <c r="E6" s="645"/>
      <c r="F6" s="645"/>
      <c r="G6" s="645"/>
      <c r="H6" s="648"/>
      <c r="I6" s="645"/>
      <c r="J6" s="629"/>
      <c r="K6" s="172" t="s">
        <v>24</v>
      </c>
      <c r="L6" s="343">
        <v>250000</v>
      </c>
      <c r="M6" s="297">
        <v>400000</v>
      </c>
      <c r="N6" s="297">
        <v>650000</v>
      </c>
      <c r="O6" s="297">
        <v>650000</v>
      </c>
      <c r="P6" s="297">
        <v>650000</v>
      </c>
      <c r="Q6" s="297">
        <v>554590</v>
      </c>
      <c r="R6" s="297">
        <v>650000</v>
      </c>
      <c r="S6" s="297">
        <v>629700</v>
      </c>
      <c r="T6" s="297">
        <v>650000</v>
      </c>
      <c r="U6" s="297">
        <v>650000</v>
      </c>
      <c r="V6" s="297">
        <v>629700</v>
      </c>
      <c r="W6" s="91">
        <v>650000</v>
      </c>
      <c r="X6" s="49">
        <f>SUM(L6:W6)</f>
        <v>7013990</v>
      </c>
      <c r="Y6" s="69"/>
      <c r="Z6" s="69"/>
    </row>
    <row r="7" spans="1:26">
      <c r="A7" s="114">
        <f>+A6</f>
        <v>2023003</v>
      </c>
      <c r="B7" s="74"/>
      <c r="C7" s="642"/>
      <c r="D7" s="645"/>
      <c r="E7" s="645"/>
      <c r="F7" s="645"/>
      <c r="G7" s="645"/>
      <c r="H7" s="648"/>
      <c r="I7" s="645"/>
      <c r="J7" s="629"/>
      <c r="K7" s="172" t="s">
        <v>25</v>
      </c>
      <c r="L7" s="354"/>
      <c r="M7" s="297"/>
      <c r="N7" s="297"/>
      <c r="O7" s="297"/>
      <c r="P7" s="297"/>
      <c r="Q7" s="297"/>
      <c r="R7" s="297"/>
      <c r="S7" s="297"/>
      <c r="T7" s="297"/>
      <c r="U7" s="297"/>
      <c r="V7" s="297"/>
      <c r="W7" s="98"/>
      <c r="X7" s="49">
        <v>0</v>
      </c>
      <c r="Z7" s="69"/>
    </row>
    <row r="8" spans="1:26">
      <c r="A8" s="114">
        <f t="shared" ref="A8:A15" si="4">+A7</f>
        <v>2023003</v>
      </c>
      <c r="B8" s="74"/>
      <c r="C8" s="642"/>
      <c r="D8" s="645"/>
      <c r="E8" s="645"/>
      <c r="F8" s="645"/>
      <c r="G8" s="645"/>
      <c r="H8" s="648"/>
      <c r="I8" s="645"/>
      <c r="J8" s="629"/>
      <c r="K8" s="173" t="s">
        <v>26</v>
      </c>
      <c r="L8" s="355">
        <f t="shared" ref="L8:W8" si="5">SUM(L9:L15)</f>
        <v>184641.52380952382</v>
      </c>
      <c r="M8" s="411">
        <f t="shared" si="5"/>
        <v>473782</v>
      </c>
      <c r="N8" s="411">
        <f t="shared" si="5"/>
        <v>495215</v>
      </c>
      <c r="O8" s="411">
        <f t="shared" si="5"/>
        <v>494397</v>
      </c>
      <c r="P8" s="411">
        <f t="shared" si="5"/>
        <v>493588</v>
      </c>
      <c r="Q8" s="411">
        <f t="shared" si="5"/>
        <v>491971</v>
      </c>
      <c r="R8" s="411">
        <f t="shared" si="5"/>
        <v>494801</v>
      </c>
      <c r="S8" s="411">
        <f t="shared" si="5"/>
        <v>493184</v>
      </c>
      <c r="T8" s="411">
        <f t="shared" si="5"/>
        <v>494811</v>
      </c>
      <c r="U8" s="411">
        <f t="shared" si="5"/>
        <v>493542</v>
      </c>
      <c r="V8" s="411">
        <f t="shared" si="5"/>
        <v>482618</v>
      </c>
      <c r="W8" s="99">
        <f t="shared" si="5"/>
        <v>498720</v>
      </c>
      <c r="X8" s="50">
        <f t="shared" ref="X8:X15" si="6">SUM(L8:W8)</f>
        <v>5591270.5238095243</v>
      </c>
      <c r="Z8" s="69"/>
    </row>
    <row r="9" spans="1:26">
      <c r="A9" s="114">
        <f t="shared" si="4"/>
        <v>2023003</v>
      </c>
      <c r="B9" s="74"/>
      <c r="C9" s="642"/>
      <c r="D9" s="645"/>
      <c r="E9" s="645"/>
      <c r="F9" s="645"/>
      <c r="G9" s="645"/>
      <c r="H9" s="648"/>
      <c r="I9" s="645"/>
      <c r="J9" s="629"/>
      <c r="K9" s="174" t="s">
        <v>27</v>
      </c>
      <c r="L9" s="343">
        <f>402000/21*8</f>
        <v>153142.85714285713</v>
      </c>
      <c r="M9" s="297">
        <v>407600</v>
      </c>
      <c r="N9" s="414">
        <v>427600</v>
      </c>
      <c r="O9" s="414">
        <v>428000</v>
      </c>
      <c r="P9" s="414">
        <v>427200</v>
      </c>
      <c r="Q9" s="414">
        <v>425600</v>
      </c>
      <c r="R9" s="414">
        <v>428400</v>
      </c>
      <c r="S9" s="414">
        <v>426800</v>
      </c>
      <c r="T9" s="414">
        <v>427200</v>
      </c>
      <c r="U9" s="414">
        <v>427200</v>
      </c>
      <c r="V9" s="414">
        <v>415045</v>
      </c>
      <c r="W9" s="251">
        <v>420000</v>
      </c>
      <c r="X9" s="49">
        <f t="shared" si="6"/>
        <v>4813787.8571428573</v>
      </c>
      <c r="Y9" s="69"/>
      <c r="Z9" s="69"/>
    </row>
    <row r="10" spans="1:26">
      <c r="A10" s="114">
        <f t="shared" si="4"/>
        <v>2023003</v>
      </c>
      <c r="B10" s="74"/>
      <c r="C10" s="642"/>
      <c r="D10" s="645"/>
      <c r="E10" s="645"/>
      <c r="F10" s="645"/>
      <c r="G10" s="645"/>
      <c r="H10" s="648"/>
      <c r="I10" s="645"/>
      <c r="J10" s="629"/>
      <c r="K10" s="174" t="s">
        <v>34</v>
      </c>
      <c r="L10" s="363"/>
      <c r="M10" s="423"/>
      <c r="N10" s="415"/>
      <c r="O10" s="415"/>
      <c r="P10" s="415"/>
      <c r="Q10" s="503"/>
      <c r="R10" s="415"/>
      <c r="S10" s="531"/>
      <c r="T10" s="533"/>
      <c r="U10" s="415"/>
      <c r="V10" s="415"/>
      <c r="W10" s="250"/>
      <c r="X10" s="49">
        <f t="shared" si="6"/>
        <v>0</v>
      </c>
      <c r="Y10" s="69"/>
      <c r="Z10" s="69"/>
    </row>
    <row r="11" spans="1:26">
      <c r="A11" s="114">
        <f t="shared" si="4"/>
        <v>2023003</v>
      </c>
      <c r="B11" s="74"/>
      <c r="C11" s="642"/>
      <c r="D11" s="645"/>
      <c r="E11" s="645"/>
      <c r="F11" s="645"/>
      <c r="G11" s="645"/>
      <c r="H11" s="648"/>
      <c r="I11" s="645"/>
      <c r="J11" s="629"/>
      <c r="K11" s="174" t="s">
        <v>28</v>
      </c>
      <c r="L11" s="329">
        <f>17598/21*8</f>
        <v>6704</v>
      </c>
      <c r="M11" s="410">
        <v>1210</v>
      </c>
      <c r="N11" s="473">
        <v>2420</v>
      </c>
      <c r="O11" s="473">
        <v>1210</v>
      </c>
      <c r="P11" s="500">
        <v>1210</v>
      </c>
      <c r="Q11" s="473">
        <v>1210</v>
      </c>
      <c r="R11" s="473">
        <v>1210</v>
      </c>
      <c r="S11" s="410">
        <v>1210</v>
      </c>
      <c r="T11" s="500">
        <v>2420</v>
      </c>
      <c r="U11" s="473">
        <v>1164</v>
      </c>
      <c r="V11" s="473">
        <v>2328</v>
      </c>
      <c r="W11" s="26">
        <v>20000</v>
      </c>
      <c r="X11" s="49">
        <f t="shared" si="6"/>
        <v>42296</v>
      </c>
      <c r="Y11" s="69"/>
      <c r="Z11" s="69"/>
    </row>
    <row r="12" spans="1:26">
      <c r="A12" s="114">
        <f t="shared" si="4"/>
        <v>2023003</v>
      </c>
      <c r="B12" s="74"/>
      <c r="C12" s="642"/>
      <c r="D12" s="645"/>
      <c r="E12" s="645"/>
      <c r="F12" s="645"/>
      <c r="G12" s="645"/>
      <c r="H12" s="648"/>
      <c r="I12" s="645"/>
      <c r="J12" s="629"/>
      <c r="K12" s="174" t="s">
        <v>29</v>
      </c>
      <c r="L12" s="343">
        <f>23165/21*8</f>
        <v>8824.7619047619046</v>
      </c>
      <c r="M12" s="297">
        <v>23165</v>
      </c>
      <c r="N12" s="297">
        <v>23165</v>
      </c>
      <c r="O12" s="297">
        <v>23165</v>
      </c>
      <c r="P12" s="297">
        <v>23165</v>
      </c>
      <c r="Q12" s="297">
        <v>23165</v>
      </c>
      <c r="R12" s="297">
        <v>23165</v>
      </c>
      <c r="S12" s="297">
        <v>23165</v>
      </c>
      <c r="T12" s="297">
        <v>23165</v>
      </c>
      <c r="U12" s="297">
        <v>23165</v>
      </c>
      <c r="V12" s="297">
        <v>23165</v>
      </c>
      <c r="W12" s="91">
        <v>17425</v>
      </c>
      <c r="X12" s="49">
        <f t="shared" si="6"/>
        <v>257899.76190476189</v>
      </c>
      <c r="Y12" s="69"/>
      <c r="Z12" s="69"/>
    </row>
    <row r="13" spans="1:26">
      <c r="A13" s="114">
        <f t="shared" si="4"/>
        <v>2023003</v>
      </c>
      <c r="B13" s="74"/>
      <c r="C13" s="642"/>
      <c r="D13" s="645"/>
      <c r="E13" s="645"/>
      <c r="F13" s="645"/>
      <c r="G13" s="645"/>
      <c r="H13" s="648"/>
      <c r="I13" s="645"/>
      <c r="J13" s="629"/>
      <c r="K13" s="174" t="s">
        <v>30</v>
      </c>
      <c r="L13" s="343">
        <f>37515/21*8</f>
        <v>14291.428571428571</v>
      </c>
      <c r="M13" s="297">
        <v>37515</v>
      </c>
      <c r="N13" s="297">
        <v>37515</v>
      </c>
      <c r="O13" s="297">
        <v>37515</v>
      </c>
      <c r="P13" s="297">
        <v>37515</v>
      </c>
      <c r="Q13" s="297">
        <v>37515</v>
      </c>
      <c r="R13" s="297">
        <v>37515</v>
      </c>
      <c r="S13" s="297">
        <v>37515</v>
      </c>
      <c r="T13" s="297">
        <v>37515</v>
      </c>
      <c r="U13" s="297">
        <v>37515</v>
      </c>
      <c r="V13" s="297">
        <v>37515</v>
      </c>
      <c r="W13" s="91">
        <v>37515</v>
      </c>
      <c r="X13" s="49">
        <f t="shared" si="6"/>
        <v>426956.42857142858</v>
      </c>
      <c r="Y13" s="69"/>
      <c r="Z13" s="69"/>
    </row>
    <row r="14" spans="1:26">
      <c r="A14" s="114">
        <f t="shared" si="4"/>
        <v>2023003</v>
      </c>
      <c r="B14" s="74"/>
      <c r="C14" s="642"/>
      <c r="D14" s="645"/>
      <c r="E14" s="645"/>
      <c r="F14" s="645"/>
      <c r="G14" s="645"/>
      <c r="H14" s="648"/>
      <c r="I14" s="645"/>
      <c r="J14" s="629"/>
      <c r="K14" s="174" t="s">
        <v>31</v>
      </c>
      <c r="L14" s="343">
        <f>2098/21*8</f>
        <v>799.23809523809518</v>
      </c>
      <c r="M14" s="297">
        <v>2044</v>
      </c>
      <c r="N14" s="297">
        <v>2150</v>
      </c>
      <c r="O14" s="297">
        <v>2146</v>
      </c>
      <c r="P14" s="297">
        <v>2142</v>
      </c>
      <c r="Q14" s="297">
        <v>2134</v>
      </c>
      <c r="R14" s="297">
        <v>2148</v>
      </c>
      <c r="S14" s="297">
        <v>2140</v>
      </c>
      <c r="T14" s="297">
        <v>2148</v>
      </c>
      <c r="U14" s="297">
        <v>2142</v>
      </c>
      <c r="V14" s="297">
        <v>2174</v>
      </c>
      <c r="W14" s="91">
        <v>1260</v>
      </c>
      <c r="X14" s="49">
        <f t="shared" si="6"/>
        <v>23427.238095238095</v>
      </c>
      <c r="Y14" s="69"/>
      <c r="Z14" s="69"/>
    </row>
    <row r="15" spans="1:26">
      <c r="A15" s="114">
        <f t="shared" si="4"/>
        <v>2023003</v>
      </c>
      <c r="B15" s="74"/>
      <c r="C15" s="642"/>
      <c r="D15" s="645"/>
      <c r="E15" s="645"/>
      <c r="F15" s="645"/>
      <c r="G15" s="645"/>
      <c r="H15" s="648"/>
      <c r="I15" s="645"/>
      <c r="J15" s="629"/>
      <c r="K15" s="174" t="s">
        <v>32</v>
      </c>
      <c r="L15" s="343">
        <f>2308/21*8</f>
        <v>879.23809523809518</v>
      </c>
      <c r="M15" s="297">
        <v>2248</v>
      </c>
      <c r="N15" s="297">
        <v>2365</v>
      </c>
      <c r="O15" s="297">
        <v>2361</v>
      </c>
      <c r="P15" s="297">
        <v>2356</v>
      </c>
      <c r="Q15" s="297">
        <v>2347</v>
      </c>
      <c r="R15" s="297">
        <v>2363</v>
      </c>
      <c r="S15" s="297">
        <v>2354</v>
      </c>
      <c r="T15" s="297">
        <v>2363</v>
      </c>
      <c r="U15" s="297">
        <v>2356</v>
      </c>
      <c r="V15" s="297">
        <v>2391</v>
      </c>
      <c r="W15" s="91">
        <v>2520</v>
      </c>
      <c r="X15" s="49">
        <f t="shared" si="6"/>
        <v>26903.238095238095</v>
      </c>
      <c r="Y15" s="69"/>
      <c r="Z15" s="69"/>
    </row>
    <row r="16" spans="1:26">
      <c r="A16" s="114">
        <f>+A15</f>
        <v>2023003</v>
      </c>
      <c r="B16" s="74"/>
      <c r="C16" s="654"/>
      <c r="D16" s="655"/>
      <c r="E16" s="655"/>
      <c r="F16" s="655"/>
      <c r="G16" s="655"/>
      <c r="H16" s="652"/>
      <c r="I16" s="655"/>
      <c r="J16" s="630"/>
      <c r="K16" s="175" t="s">
        <v>33</v>
      </c>
      <c r="L16" s="356">
        <f t="shared" ref="L16:X16" si="7">L5-L8</f>
        <v>65358.476190476184</v>
      </c>
      <c r="M16" s="412">
        <f t="shared" si="7"/>
        <v>-73782</v>
      </c>
      <c r="N16" s="412">
        <f t="shared" si="7"/>
        <v>154785</v>
      </c>
      <c r="O16" s="412">
        <f t="shared" si="7"/>
        <v>155603</v>
      </c>
      <c r="P16" s="412">
        <f t="shared" si="7"/>
        <v>156412</v>
      </c>
      <c r="Q16" s="412">
        <f t="shared" si="7"/>
        <v>62619</v>
      </c>
      <c r="R16" s="412">
        <f t="shared" si="7"/>
        <v>155199</v>
      </c>
      <c r="S16" s="412">
        <f t="shared" si="7"/>
        <v>136516</v>
      </c>
      <c r="T16" s="412">
        <f t="shared" si="7"/>
        <v>155189</v>
      </c>
      <c r="U16" s="412">
        <f t="shared" si="7"/>
        <v>156458</v>
      </c>
      <c r="V16" s="412">
        <f t="shared" si="7"/>
        <v>147082</v>
      </c>
      <c r="W16" s="101">
        <f t="shared" si="7"/>
        <v>151280</v>
      </c>
      <c r="X16" s="51">
        <f t="shared" si="7"/>
        <v>1422719.4761904757</v>
      </c>
      <c r="Z16" s="69"/>
    </row>
    <row r="17" spans="1:26" ht="14.15" customHeight="1">
      <c r="A17" s="113">
        <v>2023008</v>
      </c>
      <c r="C17" s="641">
        <f>C5+1</f>
        <v>2</v>
      </c>
      <c r="D17" s="644" t="s">
        <v>35</v>
      </c>
      <c r="E17" s="644" t="s">
        <v>173</v>
      </c>
      <c r="F17" s="644"/>
      <c r="G17" s="644" t="s">
        <v>145</v>
      </c>
      <c r="H17" s="647"/>
      <c r="I17" s="644"/>
      <c r="J17" s="628" t="s">
        <v>55</v>
      </c>
      <c r="K17" s="176" t="s">
        <v>23</v>
      </c>
      <c r="L17" s="353">
        <f t="shared" ref="L17:W17" si="8">L18+L19</f>
        <v>344500</v>
      </c>
      <c r="M17" s="342">
        <f t="shared" si="8"/>
        <v>0</v>
      </c>
      <c r="N17" s="409">
        <f t="shared" si="8"/>
        <v>0</v>
      </c>
      <c r="O17" s="409">
        <f t="shared" si="8"/>
        <v>0</v>
      </c>
      <c r="P17" s="409">
        <f t="shared" si="8"/>
        <v>0</v>
      </c>
      <c r="Q17" s="409">
        <f t="shared" si="8"/>
        <v>0</v>
      </c>
      <c r="R17" s="409">
        <f t="shared" si="8"/>
        <v>0</v>
      </c>
      <c r="S17" s="409">
        <f t="shared" si="8"/>
        <v>0</v>
      </c>
      <c r="T17" s="409">
        <f t="shared" si="8"/>
        <v>0</v>
      </c>
      <c r="U17" s="409">
        <f t="shared" si="8"/>
        <v>0</v>
      </c>
      <c r="V17" s="409">
        <f t="shared" si="8"/>
        <v>0</v>
      </c>
      <c r="W17" s="448">
        <f t="shared" si="8"/>
        <v>0</v>
      </c>
      <c r="X17" s="449">
        <f>SUM(L17:W17)</f>
        <v>344500</v>
      </c>
      <c r="Z17" s="69"/>
    </row>
    <row r="18" spans="1:26">
      <c r="A18" s="114">
        <f>+A17</f>
        <v>2023008</v>
      </c>
      <c r="B18" s="74"/>
      <c r="C18" s="642"/>
      <c r="D18" s="645"/>
      <c r="E18" s="645"/>
      <c r="F18" s="645"/>
      <c r="G18" s="645"/>
      <c r="H18" s="648"/>
      <c r="I18" s="645"/>
      <c r="J18" s="629"/>
      <c r="K18" s="172" t="s">
        <v>24</v>
      </c>
      <c r="L18" s="343">
        <v>344500</v>
      </c>
      <c r="M18" s="343"/>
      <c r="N18" s="297"/>
      <c r="O18" s="297"/>
      <c r="P18" s="297"/>
      <c r="Q18" s="297"/>
      <c r="R18" s="297"/>
      <c r="S18" s="297"/>
      <c r="T18" s="297"/>
      <c r="U18" s="297"/>
      <c r="V18" s="297"/>
      <c r="W18" s="343"/>
      <c r="X18" s="450">
        <f>SUM(L18:W18)</f>
        <v>344500</v>
      </c>
      <c r="Y18" s="69"/>
      <c r="Z18" s="69"/>
    </row>
    <row r="19" spans="1:26">
      <c r="A19" s="114">
        <f>+A18</f>
        <v>2023008</v>
      </c>
      <c r="B19" s="74"/>
      <c r="C19" s="642"/>
      <c r="D19" s="645"/>
      <c r="E19" s="645"/>
      <c r="F19" s="645"/>
      <c r="G19" s="645"/>
      <c r="H19" s="648"/>
      <c r="I19" s="645"/>
      <c r="J19" s="629"/>
      <c r="K19" s="172" t="s">
        <v>25</v>
      </c>
      <c r="L19" s="354"/>
      <c r="M19" s="343"/>
      <c r="N19" s="297"/>
      <c r="O19" s="297"/>
      <c r="P19" s="297"/>
      <c r="Q19" s="297"/>
      <c r="R19" s="297"/>
      <c r="S19" s="297"/>
      <c r="T19" s="297"/>
      <c r="U19" s="297"/>
      <c r="V19" s="297"/>
      <c r="W19" s="451"/>
      <c r="X19" s="450">
        <v>0</v>
      </c>
      <c r="Z19" s="69"/>
    </row>
    <row r="20" spans="1:26">
      <c r="A20" s="114">
        <f t="shared" ref="A20:A27" si="9">+A19</f>
        <v>2023008</v>
      </c>
      <c r="B20" s="74"/>
      <c r="C20" s="642"/>
      <c r="D20" s="645"/>
      <c r="E20" s="645"/>
      <c r="F20" s="645"/>
      <c r="G20" s="645"/>
      <c r="H20" s="648"/>
      <c r="I20" s="645"/>
      <c r="J20" s="629"/>
      <c r="K20" s="173" t="s">
        <v>26</v>
      </c>
      <c r="L20" s="355">
        <f t="shared" ref="L20:W20" si="10">SUM(L21:L27)</f>
        <v>292066</v>
      </c>
      <c r="M20" s="344">
        <f t="shared" si="10"/>
        <v>0</v>
      </c>
      <c r="N20" s="411">
        <f t="shared" si="10"/>
        <v>0</v>
      </c>
      <c r="O20" s="411">
        <f t="shared" si="10"/>
        <v>0</v>
      </c>
      <c r="P20" s="411">
        <f t="shared" si="10"/>
        <v>0</v>
      </c>
      <c r="Q20" s="411">
        <f t="shared" si="10"/>
        <v>0</v>
      </c>
      <c r="R20" s="411">
        <f t="shared" si="10"/>
        <v>0</v>
      </c>
      <c r="S20" s="411">
        <f t="shared" si="10"/>
        <v>0</v>
      </c>
      <c r="T20" s="411">
        <f t="shared" si="10"/>
        <v>0</v>
      </c>
      <c r="U20" s="411">
        <f t="shared" si="10"/>
        <v>0</v>
      </c>
      <c r="V20" s="411">
        <f t="shared" si="10"/>
        <v>0</v>
      </c>
      <c r="W20" s="452">
        <f t="shared" si="10"/>
        <v>0</v>
      </c>
      <c r="X20" s="453">
        <f t="shared" ref="X20:X27" si="11">SUM(L20:W20)</f>
        <v>292066</v>
      </c>
      <c r="Z20" s="69"/>
    </row>
    <row r="21" spans="1:26">
      <c r="A21" s="114">
        <f t="shared" si="9"/>
        <v>2023008</v>
      </c>
      <c r="B21" s="74"/>
      <c r="C21" s="642"/>
      <c r="D21" s="645"/>
      <c r="E21" s="645"/>
      <c r="F21" s="645"/>
      <c r="G21" s="645"/>
      <c r="H21" s="648"/>
      <c r="I21" s="645"/>
      <c r="J21" s="629"/>
      <c r="K21" s="174" t="s">
        <v>27</v>
      </c>
      <c r="L21" s="343">
        <v>255600</v>
      </c>
      <c r="M21" s="343"/>
      <c r="N21" s="297"/>
      <c r="O21" s="297"/>
      <c r="P21" s="297"/>
      <c r="Q21" s="297"/>
      <c r="R21" s="297"/>
      <c r="S21" s="297"/>
      <c r="T21" s="297"/>
      <c r="U21" s="297"/>
      <c r="V21" s="297"/>
      <c r="W21" s="343"/>
      <c r="X21" s="450">
        <f t="shared" si="11"/>
        <v>255600</v>
      </c>
      <c r="Y21" s="69"/>
      <c r="Z21" s="69"/>
    </row>
    <row r="22" spans="1:26">
      <c r="A22" s="114">
        <f t="shared" si="9"/>
        <v>2023008</v>
      </c>
      <c r="B22" s="74"/>
      <c r="C22" s="642"/>
      <c r="D22" s="645"/>
      <c r="E22" s="645"/>
      <c r="F22" s="645"/>
      <c r="G22" s="645"/>
      <c r="H22" s="648"/>
      <c r="I22" s="645"/>
      <c r="J22" s="629"/>
      <c r="K22" s="174" t="s">
        <v>34</v>
      </c>
      <c r="L22" s="354"/>
      <c r="M22" s="343"/>
      <c r="N22" s="297"/>
      <c r="O22" s="297"/>
      <c r="P22" s="297"/>
      <c r="Q22" s="297"/>
      <c r="R22" s="297"/>
      <c r="S22" s="297"/>
      <c r="T22" s="297"/>
      <c r="U22" s="297"/>
      <c r="V22" s="297"/>
      <c r="W22" s="451"/>
      <c r="X22" s="450">
        <f t="shared" si="11"/>
        <v>0</v>
      </c>
      <c r="Y22" s="69"/>
      <c r="Z22" s="69"/>
    </row>
    <row r="23" spans="1:26">
      <c r="A23" s="114">
        <f t="shared" si="9"/>
        <v>2023008</v>
      </c>
      <c r="B23" s="74"/>
      <c r="C23" s="642"/>
      <c r="D23" s="645"/>
      <c r="E23" s="645"/>
      <c r="F23" s="645"/>
      <c r="G23" s="645"/>
      <c r="H23" s="648"/>
      <c r="I23" s="645"/>
      <c r="J23" s="629"/>
      <c r="K23" s="174" t="s">
        <v>28</v>
      </c>
      <c r="L23" s="329">
        <v>418</v>
      </c>
      <c r="M23" s="362"/>
      <c r="N23" s="301"/>
      <c r="O23" s="301"/>
      <c r="P23" s="301"/>
      <c r="Q23" s="301"/>
      <c r="R23" s="301"/>
      <c r="S23" s="301"/>
      <c r="T23" s="301"/>
      <c r="U23" s="301"/>
      <c r="V23" s="301"/>
      <c r="W23" s="362"/>
      <c r="X23" s="450">
        <f t="shared" si="11"/>
        <v>418</v>
      </c>
      <c r="Y23" s="69"/>
      <c r="Z23" s="69"/>
    </row>
    <row r="24" spans="1:26">
      <c r="A24" s="114">
        <f t="shared" si="9"/>
        <v>2023008</v>
      </c>
      <c r="B24" s="74"/>
      <c r="C24" s="642"/>
      <c r="D24" s="645"/>
      <c r="E24" s="645"/>
      <c r="F24" s="645"/>
      <c r="G24" s="645"/>
      <c r="H24" s="648"/>
      <c r="I24" s="645"/>
      <c r="J24" s="629"/>
      <c r="K24" s="174" t="s">
        <v>29</v>
      </c>
      <c r="L24" s="343">
        <v>11400</v>
      </c>
      <c r="M24" s="343"/>
      <c r="N24" s="297"/>
      <c r="O24" s="297"/>
      <c r="P24" s="297"/>
      <c r="Q24" s="297"/>
      <c r="R24" s="297"/>
      <c r="S24" s="297"/>
      <c r="T24" s="297"/>
      <c r="U24" s="297"/>
      <c r="V24" s="297"/>
      <c r="W24" s="343"/>
      <c r="X24" s="450">
        <f t="shared" si="11"/>
        <v>11400</v>
      </c>
      <c r="Y24" s="69"/>
      <c r="Z24" s="69"/>
    </row>
    <row r="25" spans="1:26">
      <c r="A25" s="114">
        <f t="shared" si="9"/>
        <v>2023008</v>
      </c>
      <c r="B25" s="74"/>
      <c r="C25" s="642"/>
      <c r="D25" s="645"/>
      <c r="E25" s="645"/>
      <c r="F25" s="645"/>
      <c r="G25" s="645"/>
      <c r="H25" s="648"/>
      <c r="I25" s="645"/>
      <c r="J25" s="629"/>
      <c r="K25" s="174" t="s">
        <v>30</v>
      </c>
      <c r="L25" s="343">
        <v>21960</v>
      </c>
      <c r="M25" s="343"/>
      <c r="N25" s="297"/>
      <c r="O25" s="297"/>
      <c r="P25" s="297"/>
      <c r="Q25" s="297"/>
      <c r="R25" s="297"/>
      <c r="S25" s="297"/>
      <c r="T25" s="297"/>
      <c r="U25" s="297"/>
      <c r="V25" s="297"/>
      <c r="W25" s="343"/>
      <c r="X25" s="450">
        <f t="shared" si="11"/>
        <v>21960</v>
      </c>
      <c r="Y25" s="69"/>
      <c r="Z25" s="69"/>
    </row>
    <row r="26" spans="1:26">
      <c r="A26" s="114">
        <f t="shared" si="9"/>
        <v>2023008</v>
      </c>
      <c r="B26" s="74"/>
      <c r="C26" s="642"/>
      <c r="D26" s="645"/>
      <c r="E26" s="645"/>
      <c r="F26" s="645"/>
      <c r="G26" s="645"/>
      <c r="H26" s="648"/>
      <c r="I26" s="645"/>
      <c r="J26" s="629"/>
      <c r="K26" s="174" t="s">
        <v>31</v>
      </c>
      <c r="L26" s="343">
        <v>1280</v>
      </c>
      <c r="M26" s="343"/>
      <c r="N26" s="297"/>
      <c r="O26" s="297"/>
      <c r="P26" s="297"/>
      <c r="Q26" s="297"/>
      <c r="R26" s="297"/>
      <c r="S26" s="297"/>
      <c r="T26" s="297"/>
      <c r="U26" s="297"/>
      <c r="V26" s="297"/>
      <c r="W26" s="343"/>
      <c r="X26" s="450">
        <f t="shared" si="11"/>
        <v>1280</v>
      </c>
      <c r="Y26" s="69"/>
      <c r="Z26" s="69"/>
    </row>
    <row r="27" spans="1:26">
      <c r="A27" s="114">
        <f t="shared" si="9"/>
        <v>2023008</v>
      </c>
      <c r="B27" s="74"/>
      <c r="C27" s="642"/>
      <c r="D27" s="645"/>
      <c r="E27" s="645"/>
      <c r="F27" s="645"/>
      <c r="G27" s="645"/>
      <c r="H27" s="648"/>
      <c r="I27" s="645"/>
      <c r="J27" s="629"/>
      <c r="K27" s="174" t="s">
        <v>32</v>
      </c>
      <c r="L27" s="343">
        <v>1408</v>
      </c>
      <c r="M27" s="343"/>
      <c r="N27" s="297"/>
      <c r="O27" s="297"/>
      <c r="P27" s="297"/>
      <c r="Q27" s="297"/>
      <c r="R27" s="297"/>
      <c r="S27" s="297"/>
      <c r="T27" s="297"/>
      <c r="U27" s="297"/>
      <c r="V27" s="297"/>
      <c r="W27" s="343"/>
      <c r="X27" s="450">
        <f t="shared" si="11"/>
        <v>1408</v>
      </c>
      <c r="Y27" s="69"/>
      <c r="Z27" s="69"/>
    </row>
    <row r="28" spans="1:26">
      <c r="A28" s="114">
        <f>+A27</f>
        <v>2023008</v>
      </c>
      <c r="B28" s="74"/>
      <c r="C28" s="654"/>
      <c r="D28" s="655"/>
      <c r="E28" s="655"/>
      <c r="F28" s="655"/>
      <c r="G28" s="655"/>
      <c r="H28" s="652"/>
      <c r="I28" s="655"/>
      <c r="J28" s="630"/>
      <c r="K28" s="175" t="s">
        <v>33</v>
      </c>
      <c r="L28" s="356">
        <f t="shared" ref="L28:X28" si="12">L17-L20</f>
        <v>52434</v>
      </c>
      <c r="M28" s="345">
        <f t="shared" si="12"/>
        <v>0</v>
      </c>
      <c r="N28" s="412">
        <f t="shared" si="12"/>
        <v>0</v>
      </c>
      <c r="O28" s="412">
        <f t="shared" si="12"/>
        <v>0</v>
      </c>
      <c r="P28" s="412">
        <f t="shared" si="12"/>
        <v>0</v>
      </c>
      <c r="Q28" s="412">
        <f t="shared" si="12"/>
        <v>0</v>
      </c>
      <c r="R28" s="412">
        <f t="shared" si="12"/>
        <v>0</v>
      </c>
      <c r="S28" s="412">
        <f t="shared" si="12"/>
        <v>0</v>
      </c>
      <c r="T28" s="412">
        <f t="shared" si="12"/>
        <v>0</v>
      </c>
      <c r="U28" s="412">
        <f t="shared" si="12"/>
        <v>0</v>
      </c>
      <c r="V28" s="412">
        <f t="shared" si="12"/>
        <v>0</v>
      </c>
      <c r="W28" s="454">
        <f t="shared" si="12"/>
        <v>0</v>
      </c>
      <c r="X28" s="455">
        <f t="shared" si="12"/>
        <v>52434</v>
      </c>
      <c r="Z28" s="69"/>
    </row>
    <row r="29" spans="1:26" ht="14.15" customHeight="1">
      <c r="A29" s="113">
        <v>2022012</v>
      </c>
      <c r="C29" s="641">
        <f t="shared" ref="C29" si="13">C17+1</f>
        <v>3</v>
      </c>
      <c r="D29" s="645" t="s">
        <v>35</v>
      </c>
      <c r="E29" s="645"/>
      <c r="F29" s="645"/>
      <c r="G29" s="645" t="s">
        <v>145</v>
      </c>
      <c r="H29" s="648"/>
      <c r="I29" s="648"/>
      <c r="J29" s="629" t="s">
        <v>54</v>
      </c>
      <c r="K29" s="167" t="s">
        <v>23</v>
      </c>
      <c r="L29" s="367">
        <f t="shared" ref="L29:W29" si="14">L30+L31</f>
        <v>800000</v>
      </c>
      <c r="M29" s="424">
        <f t="shared" si="14"/>
        <v>800000</v>
      </c>
      <c r="N29" s="474">
        <f t="shared" si="14"/>
        <v>800000</v>
      </c>
      <c r="O29" s="424">
        <f t="shared" si="14"/>
        <v>800000</v>
      </c>
      <c r="P29" s="424">
        <f t="shared" si="14"/>
        <v>800000</v>
      </c>
      <c r="Q29" s="474">
        <f t="shared" si="14"/>
        <v>800000</v>
      </c>
      <c r="R29" s="424">
        <f t="shared" si="14"/>
        <v>800000</v>
      </c>
      <c r="S29" s="424">
        <f t="shared" si="14"/>
        <v>800000</v>
      </c>
      <c r="T29" s="474">
        <f t="shared" si="14"/>
        <v>800000</v>
      </c>
      <c r="U29" s="424">
        <f t="shared" si="14"/>
        <v>800000</v>
      </c>
      <c r="V29" s="424">
        <f t="shared" si="14"/>
        <v>800000</v>
      </c>
      <c r="W29" s="25">
        <f t="shared" si="14"/>
        <v>800000</v>
      </c>
      <c r="X29" s="13">
        <f t="shared" si="1"/>
        <v>9600000</v>
      </c>
      <c r="Z29" s="69"/>
    </row>
    <row r="30" spans="1:26">
      <c r="A30" s="114">
        <f t="shared" ref="A30:A40" si="15">+A29</f>
        <v>2022012</v>
      </c>
      <c r="B30" s="74"/>
      <c r="C30" s="642"/>
      <c r="D30" s="645"/>
      <c r="E30" s="645"/>
      <c r="F30" s="645"/>
      <c r="G30" s="645"/>
      <c r="H30" s="648"/>
      <c r="I30" s="648"/>
      <c r="J30" s="629"/>
      <c r="K30" s="168" t="s">
        <v>24</v>
      </c>
      <c r="L30" s="368">
        <v>800000</v>
      </c>
      <c r="M30" s="425">
        <v>800000</v>
      </c>
      <c r="N30" s="425">
        <v>800000</v>
      </c>
      <c r="O30" s="425">
        <v>800000</v>
      </c>
      <c r="P30" s="425">
        <v>800000</v>
      </c>
      <c r="Q30" s="425">
        <v>800000</v>
      </c>
      <c r="R30" s="425">
        <v>800000</v>
      </c>
      <c r="S30" s="425">
        <v>800000</v>
      </c>
      <c r="T30" s="425">
        <v>800000</v>
      </c>
      <c r="U30" s="425">
        <v>800000</v>
      </c>
      <c r="V30" s="425">
        <v>800000</v>
      </c>
      <c r="W30" s="56">
        <v>800000</v>
      </c>
      <c r="X30" s="14">
        <f t="shared" si="1"/>
        <v>9600000</v>
      </c>
      <c r="Y30" s="69"/>
      <c r="Z30" s="69"/>
    </row>
    <row r="31" spans="1:26">
      <c r="A31" s="114">
        <f t="shared" si="15"/>
        <v>2022012</v>
      </c>
      <c r="B31" s="74"/>
      <c r="C31" s="642"/>
      <c r="D31" s="645"/>
      <c r="E31" s="645"/>
      <c r="F31" s="645"/>
      <c r="G31" s="645"/>
      <c r="H31" s="648"/>
      <c r="I31" s="648"/>
      <c r="J31" s="629"/>
      <c r="K31" s="168" t="s">
        <v>25</v>
      </c>
      <c r="L31" s="329"/>
      <c r="M31" s="410"/>
      <c r="N31" s="427"/>
      <c r="O31" s="410"/>
      <c r="P31" s="410"/>
      <c r="Q31" s="427"/>
      <c r="R31" s="410"/>
      <c r="S31" s="410"/>
      <c r="T31" s="427"/>
      <c r="U31" s="410"/>
      <c r="V31" s="410"/>
      <c r="W31" s="27"/>
      <c r="X31" s="14">
        <f t="shared" si="1"/>
        <v>0</v>
      </c>
      <c r="Z31" s="69"/>
    </row>
    <row r="32" spans="1:26">
      <c r="A32" s="114">
        <f t="shared" si="15"/>
        <v>2022012</v>
      </c>
      <c r="B32" s="74"/>
      <c r="C32" s="642"/>
      <c r="D32" s="645"/>
      <c r="E32" s="645"/>
      <c r="F32" s="645"/>
      <c r="G32" s="645"/>
      <c r="H32" s="648"/>
      <c r="I32" s="648"/>
      <c r="J32" s="629"/>
      <c r="K32" s="169" t="s">
        <v>26</v>
      </c>
      <c r="L32" s="330">
        <f t="shared" ref="L32:W32" si="16">SUM(L33:L39)</f>
        <v>617441</v>
      </c>
      <c r="M32" s="426">
        <f t="shared" si="16"/>
        <v>616632</v>
      </c>
      <c r="N32" s="475">
        <f t="shared" si="16"/>
        <v>618285</v>
      </c>
      <c r="O32" s="426">
        <f t="shared" si="16"/>
        <v>654182</v>
      </c>
      <c r="P32" s="426">
        <f t="shared" si="16"/>
        <v>616632</v>
      </c>
      <c r="Q32" s="475">
        <f t="shared" si="16"/>
        <v>616632</v>
      </c>
      <c r="R32" s="426">
        <f t="shared" si="16"/>
        <v>617845</v>
      </c>
      <c r="S32" s="426">
        <f t="shared" si="16"/>
        <v>615824</v>
      </c>
      <c r="T32" s="475">
        <f t="shared" si="16"/>
        <v>624519</v>
      </c>
      <c r="U32" s="426">
        <f t="shared" si="16"/>
        <v>616632</v>
      </c>
      <c r="V32" s="426">
        <f t="shared" si="16"/>
        <v>616411</v>
      </c>
      <c r="W32" s="29">
        <f t="shared" si="16"/>
        <v>617441</v>
      </c>
      <c r="X32" s="15">
        <f t="shared" si="1"/>
        <v>7448476</v>
      </c>
      <c r="Z32" s="69"/>
    </row>
    <row r="33" spans="1:26">
      <c r="A33" s="114">
        <f t="shared" si="15"/>
        <v>2022012</v>
      </c>
      <c r="B33" s="74"/>
      <c r="C33" s="642"/>
      <c r="D33" s="645"/>
      <c r="E33" s="645"/>
      <c r="F33" s="645"/>
      <c r="G33" s="645"/>
      <c r="H33" s="648"/>
      <c r="I33" s="648"/>
      <c r="J33" s="629"/>
      <c r="K33" s="168" t="s">
        <v>27</v>
      </c>
      <c r="L33" s="329">
        <v>533400</v>
      </c>
      <c r="M33" s="410">
        <v>532600</v>
      </c>
      <c r="N33" s="410">
        <v>533000</v>
      </c>
      <c r="O33" s="410">
        <v>569759</v>
      </c>
      <c r="P33" s="410">
        <v>532600</v>
      </c>
      <c r="Q33" s="410">
        <v>532600</v>
      </c>
      <c r="R33" s="410">
        <v>533800</v>
      </c>
      <c r="S33" s="410">
        <v>531800</v>
      </c>
      <c r="T33" s="410">
        <v>540405</v>
      </c>
      <c r="U33" s="410">
        <v>532600</v>
      </c>
      <c r="V33" s="410">
        <v>532200</v>
      </c>
      <c r="W33" s="26">
        <v>533400</v>
      </c>
      <c r="X33" s="14">
        <f t="shared" si="1"/>
        <v>6438164</v>
      </c>
      <c r="Y33" s="69"/>
      <c r="Z33" s="69"/>
    </row>
    <row r="34" spans="1:26">
      <c r="A34" s="114">
        <f t="shared" si="15"/>
        <v>2022012</v>
      </c>
      <c r="B34" s="74"/>
      <c r="C34" s="642"/>
      <c r="D34" s="645"/>
      <c r="E34" s="645"/>
      <c r="F34" s="645"/>
      <c r="G34" s="645"/>
      <c r="H34" s="648"/>
      <c r="I34" s="648"/>
      <c r="J34" s="629"/>
      <c r="K34" s="168" t="s">
        <v>34</v>
      </c>
      <c r="L34" s="329"/>
      <c r="M34" s="410"/>
      <c r="N34" s="410"/>
      <c r="O34" s="410"/>
      <c r="P34" s="410"/>
      <c r="Q34" s="410"/>
      <c r="R34" s="410"/>
      <c r="S34" s="410"/>
      <c r="T34" s="410"/>
      <c r="U34" s="410"/>
      <c r="V34" s="410"/>
      <c r="W34" s="26"/>
      <c r="X34" s="14">
        <f t="shared" si="1"/>
        <v>0</v>
      </c>
      <c r="Y34" s="69"/>
      <c r="Z34" s="69"/>
    </row>
    <row r="35" spans="1:26">
      <c r="A35" s="114">
        <f t="shared" si="15"/>
        <v>2022012</v>
      </c>
      <c r="B35" s="74"/>
      <c r="C35" s="642"/>
      <c r="D35" s="645"/>
      <c r="E35" s="645"/>
      <c r="F35" s="645"/>
      <c r="G35" s="645"/>
      <c r="H35" s="648"/>
      <c r="I35" s="648"/>
      <c r="J35" s="629"/>
      <c r="K35" s="168" t="s">
        <v>28</v>
      </c>
      <c r="L35" s="329">
        <v>0</v>
      </c>
      <c r="M35" s="410">
        <v>0</v>
      </c>
      <c r="N35" s="410">
        <v>1236</v>
      </c>
      <c r="O35" s="410">
        <v>0</v>
      </c>
      <c r="P35" s="410">
        <v>0</v>
      </c>
      <c r="Q35" s="410">
        <v>0</v>
      </c>
      <c r="R35" s="410">
        <v>0</v>
      </c>
      <c r="S35" s="410">
        <v>0</v>
      </c>
      <c r="T35" s="410">
        <v>0</v>
      </c>
      <c r="U35" s="410">
        <v>0</v>
      </c>
      <c r="V35" s="410">
        <v>0</v>
      </c>
      <c r="W35" s="26">
        <v>0</v>
      </c>
      <c r="X35" s="14">
        <f t="shared" si="1"/>
        <v>1236</v>
      </c>
      <c r="Y35" s="69"/>
      <c r="Z35" s="69"/>
    </row>
    <row r="36" spans="1:26">
      <c r="A36" s="114">
        <f t="shared" si="15"/>
        <v>2022012</v>
      </c>
      <c r="B36" s="74"/>
      <c r="C36" s="642"/>
      <c r="D36" s="645"/>
      <c r="E36" s="645"/>
      <c r="F36" s="645"/>
      <c r="G36" s="645"/>
      <c r="H36" s="648"/>
      <c r="I36" s="648"/>
      <c r="J36" s="629"/>
      <c r="K36" s="168" t="s">
        <v>29</v>
      </c>
      <c r="L36" s="369">
        <v>29945</v>
      </c>
      <c r="M36" s="427">
        <v>29945</v>
      </c>
      <c r="N36" s="427">
        <v>29945</v>
      </c>
      <c r="O36" s="427">
        <v>29945</v>
      </c>
      <c r="P36" s="427">
        <v>29945</v>
      </c>
      <c r="Q36" s="427">
        <v>29945</v>
      </c>
      <c r="R36" s="427">
        <v>29945</v>
      </c>
      <c r="S36" s="427">
        <v>29945</v>
      </c>
      <c r="T36" s="427">
        <v>29945</v>
      </c>
      <c r="U36" s="427">
        <v>29945</v>
      </c>
      <c r="V36" s="427">
        <v>29945</v>
      </c>
      <c r="W36" s="27">
        <v>29945</v>
      </c>
      <c r="X36" s="14">
        <f t="shared" si="1"/>
        <v>359340</v>
      </c>
      <c r="Y36" s="69"/>
      <c r="Z36" s="69"/>
    </row>
    <row r="37" spans="1:26">
      <c r="A37" s="114">
        <f t="shared" si="15"/>
        <v>2022012</v>
      </c>
      <c r="B37" s="74"/>
      <c r="C37" s="642"/>
      <c r="D37" s="645"/>
      <c r="E37" s="645"/>
      <c r="F37" s="645"/>
      <c r="G37" s="645"/>
      <c r="H37" s="648"/>
      <c r="I37" s="648"/>
      <c r="J37" s="629"/>
      <c r="K37" s="168" t="s">
        <v>30</v>
      </c>
      <c r="L37" s="369">
        <v>48495</v>
      </c>
      <c r="M37" s="427">
        <v>48495</v>
      </c>
      <c r="N37" s="427">
        <v>48495</v>
      </c>
      <c r="O37" s="427">
        <v>48495</v>
      </c>
      <c r="P37" s="427">
        <v>48495</v>
      </c>
      <c r="Q37" s="427">
        <v>48495</v>
      </c>
      <c r="R37" s="427">
        <v>48495</v>
      </c>
      <c r="S37" s="427">
        <v>48495</v>
      </c>
      <c r="T37" s="427">
        <v>48495</v>
      </c>
      <c r="U37" s="427">
        <v>48495</v>
      </c>
      <c r="V37" s="427">
        <v>48495</v>
      </c>
      <c r="W37" s="27">
        <v>48495</v>
      </c>
      <c r="X37" s="14">
        <f t="shared" si="1"/>
        <v>581940</v>
      </c>
      <c r="Y37" s="69"/>
      <c r="Z37" s="69"/>
    </row>
    <row r="38" spans="1:26">
      <c r="A38" s="114">
        <f t="shared" si="15"/>
        <v>2022012</v>
      </c>
      <c r="B38" s="74"/>
      <c r="C38" s="642"/>
      <c r="D38" s="645"/>
      <c r="E38" s="645"/>
      <c r="F38" s="645"/>
      <c r="G38" s="645"/>
      <c r="H38" s="648"/>
      <c r="I38" s="648"/>
      <c r="J38" s="629"/>
      <c r="K38" s="168" t="s">
        <v>31</v>
      </c>
      <c r="L38" s="369">
        <v>2667</v>
      </c>
      <c r="M38" s="427">
        <v>2663</v>
      </c>
      <c r="N38" s="427">
        <v>2671</v>
      </c>
      <c r="O38" s="427">
        <v>2849</v>
      </c>
      <c r="P38" s="427">
        <v>2663</v>
      </c>
      <c r="Q38" s="427">
        <v>2663</v>
      </c>
      <c r="R38" s="427">
        <v>2669</v>
      </c>
      <c r="S38" s="427">
        <v>2659</v>
      </c>
      <c r="T38" s="427">
        <v>2702</v>
      </c>
      <c r="U38" s="427">
        <v>2663</v>
      </c>
      <c r="V38" s="427">
        <v>2748</v>
      </c>
      <c r="W38" s="27">
        <v>2667</v>
      </c>
      <c r="X38" s="14">
        <f t="shared" si="1"/>
        <v>32284</v>
      </c>
      <c r="Y38" s="69"/>
      <c r="Z38" s="69"/>
    </row>
    <row r="39" spans="1:26">
      <c r="A39" s="114">
        <f t="shared" si="15"/>
        <v>2022012</v>
      </c>
      <c r="B39" s="74"/>
      <c r="C39" s="642"/>
      <c r="D39" s="645"/>
      <c r="E39" s="645"/>
      <c r="F39" s="645"/>
      <c r="G39" s="645"/>
      <c r="H39" s="648"/>
      <c r="I39" s="648"/>
      <c r="J39" s="629"/>
      <c r="K39" s="168" t="s">
        <v>32</v>
      </c>
      <c r="L39" s="369">
        <v>2934</v>
      </c>
      <c r="M39" s="427">
        <v>2929</v>
      </c>
      <c r="N39" s="427">
        <v>2938</v>
      </c>
      <c r="O39" s="427">
        <v>3134</v>
      </c>
      <c r="P39" s="427">
        <v>2929</v>
      </c>
      <c r="Q39" s="427">
        <v>2929</v>
      </c>
      <c r="R39" s="427">
        <v>2936</v>
      </c>
      <c r="S39" s="427">
        <v>2925</v>
      </c>
      <c r="T39" s="427">
        <v>2972</v>
      </c>
      <c r="U39" s="427">
        <v>2929</v>
      </c>
      <c r="V39" s="427">
        <v>3023</v>
      </c>
      <c r="W39" s="27">
        <v>2934</v>
      </c>
      <c r="X39" s="14">
        <f t="shared" si="1"/>
        <v>35512</v>
      </c>
      <c r="Y39" s="69"/>
      <c r="Z39" s="69"/>
    </row>
    <row r="40" spans="1:26">
      <c r="A40" s="114">
        <f t="shared" si="15"/>
        <v>2022012</v>
      </c>
      <c r="B40" s="74"/>
      <c r="C40" s="654"/>
      <c r="D40" s="655"/>
      <c r="E40" s="655"/>
      <c r="F40" s="655"/>
      <c r="G40" s="655"/>
      <c r="H40" s="652"/>
      <c r="I40" s="652"/>
      <c r="J40" s="630"/>
      <c r="K40" s="170" t="s">
        <v>33</v>
      </c>
      <c r="L40" s="331">
        <f t="shared" ref="L40:X40" si="17">L29-L32</f>
        <v>182559</v>
      </c>
      <c r="M40" s="405">
        <f t="shared" si="17"/>
        <v>183368</v>
      </c>
      <c r="N40" s="476">
        <f t="shared" si="17"/>
        <v>181715</v>
      </c>
      <c r="O40" s="405">
        <f t="shared" si="17"/>
        <v>145818</v>
      </c>
      <c r="P40" s="405">
        <f t="shared" si="17"/>
        <v>183368</v>
      </c>
      <c r="Q40" s="476">
        <f t="shared" si="17"/>
        <v>183368</v>
      </c>
      <c r="R40" s="405">
        <f t="shared" si="17"/>
        <v>182155</v>
      </c>
      <c r="S40" s="405">
        <f t="shared" si="17"/>
        <v>184176</v>
      </c>
      <c r="T40" s="476">
        <f t="shared" si="17"/>
        <v>175481</v>
      </c>
      <c r="U40" s="405">
        <f t="shared" si="17"/>
        <v>183368</v>
      </c>
      <c r="V40" s="405">
        <f t="shared" si="17"/>
        <v>183589</v>
      </c>
      <c r="W40" s="30">
        <f t="shared" si="17"/>
        <v>182559</v>
      </c>
      <c r="X40" s="16">
        <f t="shared" si="17"/>
        <v>2151524</v>
      </c>
      <c r="Z40" s="69"/>
    </row>
    <row r="41" spans="1:26" ht="14.15" customHeight="1">
      <c r="A41" s="113">
        <v>2016005</v>
      </c>
      <c r="C41" s="641">
        <f t="shared" ref="C41" si="18">C29+1</f>
        <v>4</v>
      </c>
      <c r="D41" s="644" t="s">
        <v>35</v>
      </c>
      <c r="E41" s="644"/>
      <c r="F41" s="644"/>
      <c r="G41" s="644" t="s">
        <v>145</v>
      </c>
      <c r="H41" s="647"/>
      <c r="I41" s="644"/>
      <c r="J41" s="628" t="s">
        <v>55</v>
      </c>
      <c r="K41" s="176" t="s">
        <v>23</v>
      </c>
      <c r="L41" s="353">
        <f t="shared" ref="L41:V41" si="19">L42+L43</f>
        <v>499200</v>
      </c>
      <c r="M41" s="409">
        <f t="shared" si="19"/>
        <v>499200</v>
      </c>
      <c r="N41" s="409">
        <f t="shared" si="19"/>
        <v>499200</v>
      </c>
      <c r="O41" s="409">
        <f t="shared" si="19"/>
        <v>499200</v>
      </c>
      <c r="P41" s="409">
        <f t="shared" si="19"/>
        <v>485160</v>
      </c>
      <c r="Q41" s="409">
        <f t="shared" si="19"/>
        <v>435240</v>
      </c>
      <c r="R41" s="409">
        <f t="shared" si="19"/>
        <v>499200</v>
      </c>
      <c r="S41" s="409">
        <f t="shared" si="19"/>
        <v>491400</v>
      </c>
      <c r="T41" s="409">
        <f t="shared" si="19"/>
        <v>499200</v>
      </c>
      <c r="U41" s="409">
        <f t="shared" si="19"/>
        <v>480480</v>
      </c>
      <c r="V41" s="409">
        <f t="shared" si="19"/>
        <v>452400</v>
      </c>
      <c r="W41" s="97">
        <f t="shared" ref="W41" si="20">W42+W43</f>
        <v>499200</v>
      </c>
      <c r="X41" s="117">
        <f>SUM(L41:W41)</f>
        <v>5839080</v>
      </c>
      <c r="Z41" s="69"/>
    </row>
    <row r="42" spans="1:26">
      <c r="A42" s="114">
        <f>+A41</f>
        <v>2016005</v>
      </c>
      <c r="B42" s="74"/>
      <c r="C42" s="642"/>
      <c r="D42" s="645"/>
      <c r="E42" s="645"/>
      <c r="F42" s="645"/>
      <c r="G42" s="645"/>
      <c r="H42" s="648"/>
      <c r="I42" s="645"/>
      <c r="J42" s="629"/>
      <c r="K42" s="172" t="s">
        <v>24</v>
      </c>
      <c r="L42" s="343">
        <v>499200</v>
      </c>
      <c r="M42" s="297">
        <v>499200</v>
      </c>
      <c r="N42" s="297">
        <v>499200</v>
      </c>
      <c r="O42" s="297">
        <v>499200</v>
      </c>
      <c r="P42" s="297">
        <v>485160</v>
      </c>
      <c r="Q42" s="297">
        <v>435240</v>
      </c>
      <c r="R42" s="297">
        <v>499200</v>
      </c>
      <c r="S42" s="297">
        <v>491400</v>
      </c>
      <c r="T42" s="297">
        <v>499200</v>
      </c>
      <c r="U42" s="297">
        <v>480480</v>
      </c>
      <c r="V42" s="297">
        <v>452400</v>
      </c>
      <c r="W42" s="91">
        <v>499200</v>
      </c>
      <c r="X42" s="49">
        <f>SUM(L42:W42)</f>
        <v>5839080</v>
      </c>
      <c r="Y42" s="69"/>
      <c r="Z42" s="69"/>
    </row>
    <row r="43" spans="1:26">
      <c r="A43" s="114">
        <f>+A42</f>
        <v>2016005</v>
      </c>
      <c r="B43" s="74"/>
      <c r="C43" s="642"/>
      <c r="D43" s="645"/>
      <c r="E43" s="645"/>
      <c r="F43" s="645"/>
      <c r="G43" s="645"/>
      <c r="H43" s="648"/>
      <c r="I43" s="645"/>
      <c r="J43" s="629"/>
      <c r="K43" s="172" t="s">
        <v>25</v>
      </c>
      <c r="L43" s="354"/>
      <c r="M43" s="297"/>
      <c r="N43" s="297"/>
      <c r="O43" s="297"/>
      <c r="P43" s="297"/>
      <c r="Q43" s="297"/>
      <c r="R43" s="297"/>
      <c r="S43" s="297"/>
      <c r="T43" s="297"/>
      <c r="U43" s="297"/>
      <c r="V43" s="297"/>
      <c r="W43" s="98"/>
      <c r="X43" s="49">
        <v>0</v>
      </c>
      <c r="Z43" s="69"/>
    </row>
    <row r="44" spans="1:26">
      <c r="A44" s="114">
        <f t="shared" ref="A44:A51" si="21">+A43</f>
        <v>2016005</v>
      </c>
      <c r="B44" s="74"/>
      <c r="C44" s="642"/>
      <c r="D44" s="645"/>
      <c r="E44" s="645"/>
      <c r="F44" s="645"/>
      <c r="G44" s="645"/>
      <c r="H44" s="648"/>
      <c r="I44" s="645"/>
      <c r="J44" s="629"/>
      <c r="K44" s="173" t="s">
        <v>26</v>
      </c>
      <c r="L44" s="355">
        <f t="shared" ref="L44:V44" si="22">SUM(L45:L51)</f>
        <v>387444</v>
      </c>
      <c r="M44" s="411">
        <f t="shared" si="22"/>
        <v>386332</v>
      </c>
      <c r="N44" s="411">
        <f t="shared" si="22"/>
        <v>388138</v>
      </c>
      <c r="O44" s="411">
        <f t="shared" si="22"/>
        <v>387136</v>
      </c>
      <c r="P44" s="411">
        <f t="shared" si="22"/>
        <v>385923</v>
      </c>
      <c r="Q44" s="411">
        <f t="shared" si="22"/>
        <v>387895</v>
      </c>
      <c r="R44" s="411">
        <f t="shared" si="22"/>
        <v>389512</v>
      </c>
      <c r="S44" s="411">
        <f t="shared" si="22"/>
        <v>389407</v>
      </c>
      <c r="T44" s="411">
        <f t="shared" si="22"/>
        <v>389407</v>
      </c>
      <c r="U44" s="411">
        <f t="shared" si="22"/>
        <v>388299</v>
      </c>
      <c r="V44" s="411">
        <f t="shared" si="22"/>
        <v>388781</v>
      </c>
      <c r="W44" s="99">
        <f t="shared" ref="W44" si="23">SUM(W45:W51)</f>
        <v>387444</v>
      </c>
      <c r="X44" s="50">
        <f t="shared" ref="X44:X51" si="24">SUM(L44:W44)</f>
        <v>4655718</v>
      </c>
      <c r="Z44" s="69"/>
    </row>
    <row r="45" spans="1:26">
      <c r="A45" s="114">
        <f t="shared" si="21"/>
        <v>2016005</v>
      </c>
      <c r="B45" s="74"/>
      <c r="C45" s="642"/>
      <c r="D45" s="645"/>
      <c r="E45" s="645"/>
      <c r="F45" s="645"/>
      <c r="G45" s="645"/>
      <c r="H45" s="648"/>
      <c r="I45" s="645"/>
      <c r="J45" s="629"/>
      <c r="K45" s="174" t="s">
        <v>27</v>
      </c>
      <c r="L45" s="343">
        <v>337200</v>
      </c>
      <c r="M45" s="297">
        <v>337200</v>
      </c>
      <c r="N45" s="297">
        <v>336800</v>
      </c>
      <c r="O45" s="297">
        <v>338000</v>
      </c>
      <c r="P45" s="297">
        <v>336800</v>
      </c>
      <c r="Q45" s="297">
        <v>336000</v>
      </c>
      <c r="R45" s="297">
        <v>337600</v>
      </c>
      <c r="S45" s="297">
        <v>336400</v>
      </c>
      <c r="T45" s="297">
        <v>336400</v>
      </c>
      <c r="U45" s="297">
        <v>336400</v>
      </c>
      <c r="V45" s="297">
        <v>335600</v>
      </c>
      <c r="W45" s="91">
        <v>337200</v>
      </c>
      <c r="X45" s="49">
        <f t="shared" si="24"/>
        <v>4041600</v>
      </c>
      <c r="Y45" s="69"/>
      <c r="Z45" s="69"/>
    </row>
    <row r="46" spans="1:26">
      <c r="A46" s="114">
        <f t="shared" si="21"/>
        <v>2016005</v>
      </c>
      <c r="B46" s="74"/>
      <c r="C46" s="642"/>
      <c r="D46" s="645"/>
      <c r="E46" s="645"/>
      <c r="F46" s="645"/>
      <c r="G46" s="645"/>
      <c r="H46" s="648"/>
      <c r="I46" s="645"/>
      <c r="J46" s="629"/>
      <c r="K46" s="174" t="s">
        <v>34</v>
      </c>
      <c r="L46" s="329"/>
      <c r="M46" s="410"/>
      <c r="N46" s="410"/>
      <c r="O46" s="410"/>
      <c r="P46" s="410"/>
      <c r="Q46" s="410"/>
      <c r="R46" s="410"/>
      <c r="S46" s="410"/>
      <c r="T46" s="410"/>
      <c r="U46" s="410"/>
      <c r="V46" s="410"/>
      <c r="W46" s="26"/>
      <c r="X46" s="49">
        <f t="shared" si="24"/>
        <v>0</v>
      </c>
      <c r="Y46" s="69"/>
      <c r="Z46" s="69"/>
    </row>
    <row r="47" spans="1:26">
      <c r="A47" s="114">
        <f t="shared" si="21"/>
        <v>2016005</v>
      </c>
      <c r="B47" s="74"/>
      <c r="C47" s="642"/>
      <c r="D47" s="645"/>
      <c r="E47" s="645"/>
      <c r="F47" s="645"/>
      <c r="G47" s="645"/>
      <c r="H47" s="648"/>
      <c r="I47" s="645"/>
      <c r="J47" s="629"/>
      <c r="K47" s="174" t="s">
        <v>28</v>
      </c>
      <c r="L47" s="329">
        <v>2200</v>
      </c>
      <c r="M47" s="410">
        <v>1100</v>
      </c>
      <c r="N47" s="410">
        <v>3288</v>
      </c>
      <c r="O47" s="410">
        <v>1096</v>
      </c>
      <c r="P47" s="410">
        <v>1096</v>
      </c>
      <c r="Q47" s="410">
        <v>1096</v>
      </c>
      <c r="R47" s="410">
        <v>1096</v>
      </c>
      <c r="S47" s="410">
        <v>2192</v>
      </c>
      <c r="T47" s="410">
        <v>2192</v>
      </c>
      <c r="U47" s="410">
        <v>1096</v>
      </c>
      <c r="V47" s="410">
        <v>2192</v>
      </c>
      <c r="W47" s="26">
        <v>2200</v>
      </c>
      <c r="X47" s="49">
        <f t="shared" si="24"/>
        <v>20844</v>
      </c>
      <c r="Y47" s="69"/>
      <c r="Z47" s="69"/>
    </row>
    <row r="48" spans="1:26">
      <c r="A48" s="114">
        <f t="shared" si="21"/>
        <v>2016005</v>
      </c>
      <c r="B48" s="74"/>
      <c r="C48" s="642"/>
      <c r="D48" s="645"/>
      <c r="E48" s="645"/>
      <c r="F48" s="645"/>
      <c r="G48" s="645"/>
      <c r="H48" s="648"/>
      <c r="I48" s="645"/>
      <c r="J48" s="629"/>
      <c r="K48" s="174" t="s">
        <v>29</v>
      </c>
      <c r="L48" s="343">
        <v>15200</v>
      </c>
      <c r="M48" s="297">
        <v>15200</v>
      </c>
      <c r="N48" s="297">
        <v>15200</v>
      </c>
      <c r="O48" s="297">
        <v>15200</v>
      </c>
      <c r="P48" s="297">
        <v>15200</v>
      </c>
      <c r="Q48" s="297">
        <v>16150</v>
      </c>
      <c r="R48" s="297">
        <v>16150</v>
      </c>
      <c r="S48" s="297">
        <v>16150</v>
      </c>
      <c r="T48" s="297">
        <v>16150</v>
      </c>
      <c r="U48" s="297">
        <v>16150</v>
      </c>
      <c r="V48" s="297">
        <v>16150</v>
      </c>
      <c r="W48" s="91">
        <v>15200</v>
      </c>
      <c r="X48" s="49">
        <f t="shared" si="24"/>
        <v>188100</v>
      </c>
      <c r="Y48" s="69"/>
      <c r="Z48" s="69"/>
    </row>
    <row r="49" spans="1:26">
      <c r="A49" s="114">
        <f t="shared" si="21"/>
        <v>2016005</v>
      </c>
      <c r="B49" s="74"/>
      <c r="C49" s="642"/>
      <c r="D49" s="645"/>
      <c r="E49" s="645"/>
      <c r="F49" s="645"/>
      <c r="G49" s="645"/>
      <c r="H49" s="648"/>
      <c r="I49" s="645"/>
      <c r="J49" s="629"/>
      <c r="K49" s="174" t="s">
        <v>30</v>
      </c>
      <c r="L49" s="343">
        <v>29280</v>
      </c>
      <c r="M49" s="297">
        <v>29280</v>
      </c>
      <c r="N49" s="297">
        <v>29280</v>
      </c>
      <c r="O49" s="297">
        <v>29280</v>
      </c>
      <c r="P49" s="297">
        <v>29280</v>
      </c>
      <c r="Q49" s="297">
        <v>31110</v>
      </c>
      <c r="R49" s="297">
        <v>31110</v>
      </c>
      <c r="S49" s="297">
        <v>31110</v>
      </c>
      <c r="T49" s="297">
        <v>31110</v>
      </c>
      <c r="U49" s="297">
        <v>31110</v>
      </c>
      <c r="V49" s="297">
        <v>31110</v>
      </c>
      <c r="W49" s="91">
        <v>29280</v>
      </c>
      <c r="X49" s="49">
        <f t="shared" si="24"/>
        <v>362340</v>
      </c>
      <c r="Y49" s="69"/>
      <c r="Z49" s="69"/>
    </row>
    <row r="50" spans="1:26">
      <c r="A50" s="114">
        <f t="shared" si="21"/>
        <v>2016005</v>
      </c>
      <c r="B50" s="74"/>
      <c r="C50" s="642"/>
      <c r="D50" s="645"/>
      <c r="E50" s="645"/>
      <c r="F50" s="645"/>
      <c r="G50" s="645"/>
      <c r="H50" s="648"/>
      <c r="I50" s="645"/>
      <c r="J50" s="629"/>
      <c r="K50" s="174" t="s">
        <v>31</v>
      </c>
      <c r="L50" s="343">
        <v>1697</v>
      </c>
      <c r="M50" s="297">
        <v>1691</v>
      </c>
      <c r="N50" s="297">
        <v>1700</v>
      </c>
      <c r="O50" s="297">
        <v>1695</v>
      </c>
      <c r="P50" s="297">
        <v>1689</v>
      </c>
      <c r="Q50" s="297">
        <v>1685</v>
      </c>
      <c r="R50" s="297">
        <v>1693</v>
      </c>
      <c r="S50" s="297">
        <v>1693</v>
      </c>
      <c r="T50" s="297">
        <v>1693</v>
      </c>
      <c r="U50" s="297">
        <v>1687</v>
      </c>
      <c r="V50" s="297">
        <v>1776</v>
      </c>
      <c r="W50" s="91">
        <v>1697</v>
      </c>
      <c r="X50" s="49">
        <f t="shared" si="24"/>
        <v>20396</v>
      </c>
      <c r="Y50" s="69"/>
      <c r="Z50" s="69"/>
    </row>
    <row r="51" spans="1:26">
      <c r="A51" s="114">
        <f t="shared" si="21"/>
        <v>2016005</v>
      </c>
      <c r="B51" s="74"/>
      <c r="C51" s="642"/>
      <c r="D51" s="645"/>
      <c r="E51" s="645"/>
      <c r="F51" s="645"/>
      <c r="G51" s="645"/>
      <c r="H51" s="648"/>
      <c r="I51" s="645"/>
      <c r="J51" s="629"/>
      <c r="K51" s="174" t="s">
        <v>32</v>
      </c>
      <c r="L51" s="343">
        <v>1867</v>
      </c>
      <c r="M51" s="297">
        <v>1861</v>
      </c>
      <c r="N51" s="297">
        <v>1870</v>
      </c>
      <c r="O51" s="297">
        <v>1865</v>
      </c>
      <c r="P51" s="297">
        <v>1858</v>
      </c>
      <c r="Q51" s="297">
        <v>1854</v>
      </c>
      <c r="R51" s="297">
        <v>1863</v>
      </c>
      <c r="S51" s="297">
        <v>1862</v>
      </c>
      <c r="T51" s="297">
        <v>1862</v>
      </c>
      <c r="U51" s="297">
        <v>1856</v>
      </c>
      <c r="V51" s="297">
        <v>1953</v>
      </c>
      <c r="W51" s="91">
        <v>1867</v>
      </c>
      <c r="X51" s="49">
        <f t="shared" si="24"/>
        <v>22438</v>
      </c>
      <c r="Y51" s="69"/>
      <c r="Z51" s="69"/>
    </row>
    <row r="52" spans="1:26">
      <c r="A52" s="114">
        <f>+A51</f>
        <v>2016005</v>
      </c>
      <c r="B52" s="74"/>
      <c r="C52" s="654"/>
      <c r="D52" s="655"/>
      <c r="E52" s="655"/>
      <c r="F52" s="655"/>
      <c r="G52" s="655"/>
      <c r="H52" s="652"/>
      <c r="I52" s="655"/>
      <c r="J52" s="630"/>
      <c r="K52" s="175" t="s">
        <v>33</v>
      </c>
      <c r="L52" s="356">
        <f t="shared" ref="L52:V52" si="25">L41-L44</f>
        <v>111756</v>
      </c>
      <c r="M52" s="412">
        <f t="shared" si="25"/>
        <v>112868</v>
      </c>
      <c r="N52" s="412">
        <f t="shared" si="25"/>
        <v>111062</v>
      </c>
      <c r="O52" s="412">
        <f t="shared" si="25"/>
        <v>112064</v>
      </c>
      <c r="P52" s="412">
        <f t="shared" si="25"/>
        <v>99237</v>
      </c>
      <c r="Q52" s="412">
        <f t="shared" si="25"/>
        <v>47345</v>
      </c>
      <c r="R52" s="412">
        <f t="shared" si="25"/>
        <v>109688</v>
      </c>
      <c r="S52" s="412">
        <f t="shared" si="25"/>
        <v>101993</v>
      </c>
      <c r="T52" s="412">
        <f t="shared" si="25"/>
        <v>109793</v>
      </c>
      <c r="U52" s="412">
        <f t="shared" si="25"/>
        <v>92181</v>
      </c>
      <c r="V52" s="412">
        <f t="shared" si="25"/>
        <v>63619</v>
      </c>
      <c r="W52" s="101">
        <f t="shared" ref="W52:X52" si="26">W41-W44</f>
        <v>111756</v>
      </c>
      <c r="X52" s="51">
        <f t="shared" si="26"/>
        <v>1183362</v>
      </c>
      <c r="Z52" s="69"/>
    </row>
    <row r="53" spans="1:26" ht="14.15" customHeight="1">
      <c r="A53" s="113">
        <v>2025012</v>
      </c>
      <c r="C53" s="641">
        <f t="shared" ref="C53:C65" si="27">C41+1</f>
        <v>5</v>
      </c>
      <c r="D53" s="644" t="s">
        <v>35</v>
      </c>
      <c r="E53" s="644"/>
      <c r="F53" s="644"/>
      <c r="G53" s="644" t="s">
        <v>175</v>
      </c>
      <c r="H53" s="647"/>
      <c r="I53" s="644"/>
      <c r="J53" s="628" t="s">
        <v>55</v>
      </c>
      <c r="K53" s="176" t="s">
        <v>23</v>
      </c>
      <c r="L53" s="353">
        <f t="shared" ref="L53:W53" si="28">L54+L55</f>
        <v>0</v>
      </c>
      <c r="M53" s="409">
        <f t="shared" si="28"/>
        <v>0</v>
      </c>
      <c r="N53" s="409">
        <f t="shared" si="28"/>
        <v>0</v>
      </c>
      <c r="O53" s="409">
        <f t="shared" si="28"/>
        <v>0</v>
      </c>
      <c r="P53" s="409">
        <f t="shared" si="28"/>
        <v>750000</v>
      </c>
      <c r="Q53" s="409">
        <f t="shared" si="28"/>
        <v>750000</v>
      </c>
      <c r="R53" s="409">
        <f t="shared" si="28"/>
        <v>750000</v>
      </c>
      <c r="S53" s="409">
        <f t="shared" si="28"/>
        <v>726550</v>
      </c>
      <c r="T53" s="409">
        <f t="shared" si="28"/>
        <v>750000</v>
      </c>
      <c r="U53" s="409">
        <f t="shared" si="28"/>
        <v>750000</v>
      </c>
      <c r="V53" s="409">
        <f t="shared" si="28"/>
        <v>726550</v>
      </c>
      <c r="W53" s="97">
        <f t="shared" si="28"/>
        <v>750000</v>
      </c>
      <c r="X53" s="117">
        <f>SUM(L53:W53)</f>
        <v>5953100</v>
      </c>
      <c r="Z53" s="69"/>
    </row>
    <row r="54" spans="1:26">
      <c r="A54" s="114">
        <f>+A53</f>
        <v>2025012</v>
      </c>
      <c r="B54" s="74"/>
      <c r="C54" s="642"/>
      <c r="D54" s="645"/>
      <c r="E54" s="645"/>
      <c r="F54" s="645"/>
      <c r="G54" s="645"/>
      <c r="H54" s="648"/>
      <c r="I54" s="645"/>
      <c r="J54" s="629"/>
      <c r="K54" s="172" t="s">
        <v>24</v>
      </c>
      <c r="L54" s="343"/>
      <c r="M54" s="297"/>
      <c r="N54" s="297"/>
      <c r="O54" s="297"/>
      <c r="P54" s="297">
        <v>750000</v>
      </c>
      <c r="Q54" s="297">
        <v>750000</v>
      </c>
      <c r="R54" s="297">
        <v>750000</v>
      </c>
      <c r="S54" s="297">
        <v>726550</v>
      </c>
      <c r="T54" s="297">
        <v>750000</v>
      </c>
      <c r="U54" s="297">
        <v>750000</v>
      </c>
      <c r="V54" s="297">
        <v>726550</v>
      </c>
      <c r="W54" s="91">
        <v>750000</v>
      </c>
      <c r="X54" s="49">
        <f>SUM(L54:W54)</f>
        <v>5953100</v>
      </c>
      <c r="Y54" s="69"/>
      <c r="Z54" s="69"/>
    </row>
    <row r="55" spans="1:26">
      <c r="A55" s="114">
        <f>+A54</f>
        <v>2025012</v>
      </c>
      <c r="B55" s="74"/>
      <c r="C55" s="642"/>
      <c r="D55" s="645"/>
      <c r="E55" s="645"/>
      <c r="F55" s="645"/>
      <c r="G55" s="645"/>
      <c r="H55" s="648"/>
      <c r="I55" s="645"/>
      <c r="J55" s="629"/>
      <c r="K55" s="172" t="s">
        <v>25</v>
      </c>
      <c r="L55" s="354"/>
      <c r="M55" s="297"/>
      <c r="N55" s="297"/>
      <c r="O55" s="297"/>
      <c r="P55" s="297"/>
      <c r="Q55" s="297"/>
      <c r="R55" s="297"/>
      <c r="S55" s="297"/>
      <c r="T55" s="297"/>
      <c r="U55" s="297"/>
      <c r="V55" s="297"/>
      <c r="W55" s="98"/>
      <c r="X55" s="49">
        <v>0</v>
      </c>
      <c r="Z55" s="69"/>
    </row>
    <row r="56" spans="1:26">
      <c r="A56" s="114">
        <f t="shared" ref="A56:A63" si="29">+A55</f>
        <v>2025012</v>
      </c>
      <c r="B56" s="74"/>
      <c r="C56" s="642"/>
      <c r="D56" s="645"/>
      <c r="E56" s="645"/>
      <c r="F56" s="645"/>
      <c r="G56" s="645"/>
      <c r="H56" s="648"/>
      <c r="I56" s="645"/>
      <c r="J56" s="629"/>
      <c r="K56" s="173" t="s">
        <v>26</v>
      </c>
      <c r="L56" s="355">
        <f t="shared" ref="L56:W56" si="30">SUM(L57:L63)</f>
        <v>0</v>
      </c>
      <c r="M56" s="411">
        <f t="shared" si="30"/>
        <v>0</v>
      </c>
      <c r="N56" s="411">
        <f t="shared" si="30"/>
        <v>0</v>
      </c>
      <c r="O56" s="411">
        <f t="shared" si="30"/>
        <v>0</v>
      </c>
      <c r="P56" s="411">
        <f t="shared" si="30"/>
        <v>583022</v>
      </c>
      <c r="Q56" s="411">
        <f t="shared" si="30"/>
        <v>585042</v>
      </c>
      <c r="R56" s="411">
        <f t="shared" si="30"/>
        <v>577363</v>
      </c>
      <c r="S56" s="411">
        <f t="shared" si="30"/>
        <v>577363</v>
      </c>
      <c r="T56" s="411">
        <f t="shared" si="30"/>
        <v>583690</v>
      </c>
      <c r="U56" s="411">
        <f t="shared" si="30"/>
        <v>583286</v>
      </c>
      <c r="V56" s="411">
        <f t="shared" si="30"/>
        <v>583064</v>
      </c>
      <c r="W56" s="99">
        <f t="shared" si="30"/>
        <v>575962</v>
      </c>
      <c r="X56" s="50">
        <f t="shared" ref="X56:X63" si="31">SUM(L56:W56)</f>
        <v>4648792</v>
      </c>
      <c r="Z56" s="69"/>
    </row>
    <row r="57" spans="1:26">
      <c r="A57" s="114">
        <f t="shared" si="29"/>
        <v>2025012</v>
      </c>
      <c r="B57" s="74"/>
      <c r="C57" s="642"/>
      <c r="D57" s="645"/>
      <c r="E57" s="645"/>
      <c r="F57" s="645"/>
      <c r="G57" s="645"/>
      <c r="H57" s="648"/>
      <c r="I57" s="645"/>
      <c r="J57" s="629"/>
      <c r="K57" s="174" t="s">
        <v>27</v>
      </c>
      <c r="L57" s="343"/>
      <c r="M57" s="297"/>
      <c r="N57" s="297"/>
      <c r="O57" s="297"/>
      <c r="P57" s="297">
        <v>499200</v>
      </c>
      <c r="Q57" s="297">
        <v>499600</v>
      </c>
      <c r="R57" s="297">
        <v>492000</v>
      </c>
      <c r="S57" s="297">
        <v>492000</v>
      </c>
      <c r="T57" s="297">
        <v>500000</v>
      </c>
      <c r="U57" s="297">
        <v>499600</v>
      </c>
      <c r="V57" s="297">
        <v>499200</v>
      </c>
      <c r="W57" s="91">
        <v>492000</v>
      </c>
      <c r="X57" s="49">
        <f t="shared" si="31"/>
        <v>3973600</v>
      </c>
      <c r="Y57" s="69"/>
      <c r="Z57" s="69"/>
    </row>
    <row r="58" spans="1:26">
      <c r="A58" s="114">
        <f t="shared" si="29"/>
        <v>2025012</v>
      </c>
      <c r="B58" s="74"/>
      <c r="C58" s="642"/>
      <c r="D58" s="645"/>
      <c r="E58" s="645"/>
      <c r="F58" s="645"/>
      <c r="G58" s="645"/>
      <c r="H58" s="648"/>
      <c r="I58" s="645"/>
      <c r="J58" s="629"/>
      <c r="K58" s="174" t="s">
        <v>34</v>
      </c>
      <c r="L58" s="329"/>
      <c r="M58" s="410"/>
      <c r="N58" s="410"/>
      <c r="O58" s="410"/>
      <c r="P58" s="410"/>
      <c r="Q58" s="410"/>
      <c r="R58" s="410"/>
      <c r="S58" s="410"/>
      <c r="T58" s="410"/>
      <c r="U58" s="410"/>
      <c r="V58" s="410"/>
      <c r="W58" s="26"/>
      <c r="X58" s="49">
        <f t="shared" si="31"/>
        <v>0</v>
      </c>
      <c r="Y58" s="69"/>
      <c r="Z58" s="69"/>
    </row>
    <row r="59" spans="1:26">
      <c r="A59" s="114">
        <f t="shared" si="29"/>
        <v>2025012</v>
      </c>
      <c r="B59" s="74"/>
      <c r="C59" s="642"/>
      <c r="D59" s="645"/>
      <c r="E59" s="645"/>
      <c r="F59" s="645"/>
      <c r="G59" s="645"/>
      <c r="H59" s="648"/>
      <c r="I59" s="645"/>
      <c r="J59" s="629"/>
      <c r="K59" s="174" t="s">
        <v>28</v>
      </c>
      <c r="L59" s="329"/>
      <c r="M59" s="410"/>
      <c r="N59" s="410"/>
      <c r="O59" s="410"/>
      <c r="P59" s="410">
        <v>4860</v>
      </c>
      <c r="Q59" s="410">
        <v>1738</v>
      </c>
      <c r="R59" s="410">
        <v>1738</v>
      </c>
      <c r="S59" s="410">
        <v>1738</v>
      </c>
      <c r="T59" s="410">
        <v>0</v>
      </c>
      <c r="U59" s="410">
        <v>0</v>
      </c>
      <c r="V59" s="410">
        <v>0</v>
      </c>
      <c r="W59" s="26">
        <v>5000</v>
      </c>
      <c r="X59" s="49">
        <f t="shared" si="31"/>
        <v>15074</v>
      </c>
      <c r="Y59" s="69"/>
      <c r="Z59" s="69"/>
    </row>
    <row r="60" spans="1:26">
      <c r="A60" s="114">
        <f t="shared" si="29"/>
        <v>2025012</v>
      </c>
      <c r="B60" s="74"/>
      <c r="C60" s="642"/>
      <c r="D60" s="645"/>
      <c r="E60" s="645"/>
      <c r="F60" s="645"/>
      <c r="G60" s="645"/>
      <c r="H60" s="648"/>
      <c r="I60" s="645"/>
      <c r="J60" s="629"/>
      <c r="K60" s="174" t="s">
        <v>29</v>
      </c>
      <c r="L60" s="343"/>
      <c r="M60" s="297"/>
      <c r="N60" s="297"/>
      <c r="O60" s="297"/>
      <c r="P60" s="410">
        <v>25175</v>
      </c>
      <c r="Q60" s="410">
        <v>29945</v>
      </c>
      <c r="R60" s="410">
        <v>29945</v>
      </c>
      <c r="S60" s="410">
        <v>29945</v>
      </c>
      <c r="T60" s="410">
        <v>29945</v>
      </c>
      <c r="U60" s="410">
        <v>29945</v>
      </c>
      <c r="V60" s="410">
        <v>29945</v>
      </c>
      <c r="W60" s="26">
        <v>25175</v>
      </c>
      <c r="X60" s="49">
        <f t="shared" si="31"/>
        <v>230020</v>
      </c>
      <c r="Y60" s="69"/>
      <c r="Z60" s="69"/>
    </row>
    <row r="61" spans="1:26">
      <c r="A61" s="114">
        <f t="shared" si="29"/>
        <v>2025012</v>
      </c>
      <c r="B61" s="74"/>
      <c r="C61" s="642"/>
      <c r="D61" s="645"/>
      <c r="E61" s="645"/>
      <c r="F61" s="645"/>
      <c r="G61" s="645"/>
      <c r="H61" s="648"/>
      <c r="I61" s="645"/>
      <c r="J61" s="629"/>
      <c r="K61" s="174" t="s">
        <v>30</v>
      </c>
      <c r="L61" s="343"/>
      <c r="M61" s="297"/>
      <c r="N61" s="297"/>
      <c r="O61" s="297"/>
      <c r="P61" s="410">
        <v>48495</v>
      </c>
      <c r="Q61" s="410">
        <v>48495</v>
      </c>
      <c r="R61" s="410">
        <v>48495</v>
      </c>
      <c r="S61" s="410">
        <v>48495</v>
      </c>
      <c r="T61" s="410">
        <v>48495</v>
      </c>
      <c r="U61" s="410">
        <v>48495</v>
      </c>
      <c r="V61" s="410">
        <v>48495</v>
      </c>
      <c r="W61" s="26">
        <v>48495</v>
      </c>
      <c r="X61" s="49">
        <f t="shared" si="31"/>
        <v>387960</v>
      </c>
      <c r="Y61" s="69"/>
      <c r="Z61" s="69"/>
    </row>
    <row r="62" spans="1:26">
      <c r="A62" s="114">
        <f t="shared" si="29"/>
        <v>2025012</v>
      </c>
      <c r="B62" s="74"/>
      <c r="C62" s="642"/>
      <c r="D62" s="645"/>
      <c r="E62" s="645"/>
      <c r="F62" s="645"/>
      <c r="G62" s="645"/>
      <c r="H62" s="648"/>
      <c r="I62" s="645"/>
      <c r="J62" s="629"/>
      <c r="K62" s="174" t="s">
        <v>31</v>
      </c>
      <c r="L62" s="343"/>
      <c r="M62" s="297"/>
      <c r="N62" s="297"/>
      <c r="O62" s="297"/>
      <c r="P62" s="410">
        <v>2520</v>
      </c>
      <c r="Q62" s="410">
        <v>2507</v>
      </c>
      <c r="R62" s="410">
        <v>2469</v>
      </c>
      <c r="S62" s="410">
        <v>2469</v>
      </c>
      <c r="T62" s="410">
        <v>2500</v>
      </c>
      <c r="U62" s="410">
        <v>2498</v>
      </c>
      <c r="V62" s="410">
        <v>2583</v>
      </c>
      <c r="W62" s="26">
        <v>2520</v>
      </c>
      <c r="X62" s="49">
        <f t="shared" si="31"/>
        <v>20066</v>
      </c>
      <c r="Y62" s="69"/>
      <c r="Z62" s="69"/>
    </row>
    <row r="63" spans="1:26">
      <c r="A63" s="114">
        <f t="shared" si="29"/>
        <v>2025012</v>
      </c>
      <c r="B63" s="74"/>
      <c r="C63" s="642"/>
      <c r="D63" s="645"/>
      <c r="E63" s="645"/>
      <c r="F63" s="645"/>
      <c r="G63" s="645"/>
      <c r="H63" s="648"/>
      <c r="I63" s="645"/>
      <c r="J63" s="629"/>
      <c r="K63" s="174" t="s">
        <v>32</v>
      </c>
      <c r="L63" s="343"/>
      <c r="M63" s="297"/>
      <c r="N63" s="297"/>
      <c r="O63" s="297"/>
      <c r="P63" s="410">
        <v>2772</v>
      </c>
      <c r="Q63" s="410">
        <v>2757</v>
      </c>
      <c r="R63" s="410">
        <v>2716</v>
      </c>
      <c r="S63" s="410">
        <v>2716</v>
      </c>
      <c r="T63" s="410">
        <v>2750</v>
      </c>
      <c r="U63" s="410">
        <v>2748</v>
      </c>
      <c r="V63" s="410">
        <v>2841</v>
      </c>
      <c r="W63" s="26">
        <v>2772</v>
      </c>
      <c r="X63" s="49">
        <f t="shared" si="31"/>
        <v>22072</v>
      </c>
      <c r="Y63" s="69"/>
      <c r="Z63" s="69"/>
    </row>
    <row r="64" spans="1:26">
      <c r="A64" s="114">
        <f>+A63</f>
        <v>2025012</v>
      </c>
      <c r="B64" s="74"/>
      <c r="C64" s="654"/>
      <c r="D64" s="655"/>
      <c r="E64" s="655"/>
      <c r="F64" s="655"/>
      <c r="G64" s="655"/>
      <c r="H64" s="652"/>
      <c r="I64" s="655"/>
      <c r="J64" s="630"/>
      <c r="K64" s="175" t="s">
        <v>33</v>
      </c>
      <c r="L64" s="356">
        <f t="shared" ref="L64:X64" si="32">L53-L56</f>
        <v>0</v>
      </c>
      <c r="M64" s="412">
        <f t="shared" si="32"/>
        <v>0</v>
      </c>
      <c r="N64" s="412">
        <f t="shared" si="32"/>
        <v>0</v>
      </c>
      <c r="O64" s="412">
        <f t="shared" si="32"/>
        <v>0</v>
      </c>
      <c r="P64" s="412">
        <f t="shared" si="32"/>
        <v>166978</v>
      </c>
      <c r="Q64" s="412">
        <f t="shared" si="32"/>
        <v>164958</v>
      </c>
      <c r="R64" s="412">
        <f t="shared" si="32"/>
        <v>172637</v>
      </c>
      <c r="S64" s="412">
        <f t="shared" si="32"/>
        <v>149187</v>
      </c>
      <c r="T64" s="412">
        <f t="shared" si="32"/>
        <v>166310</v>
      </c>
      <c r="U64" s="412">
        <f t="shared" si="32"/>
        <v>166714</v>
      </c>
      <c r="V64" s="412">
        <f t="shared" si="32"/>
        <v>143486</v>
      </c>
      <c r="W64" s="101">
        <f t="shared" si="32"/>
        <v>174038</v>
      </c>
      <c r="X64" s="51">
        <f t="shared" si="32"/>
        <v>1304308</v>
      </c>
      <c r="Z64" s="69"/>
    </row>
    <row r="65" spans="1:26" ht="14.15" customHeight="1">
      <c r="A65" s="113">
        <v>2023022</v>
      </c>
      <c r="C65" s="641">
        <f t="shared" si="27"/>
        <v>6</v>
      </c>
      <c r="D65" s="644" t="s">
        <v>103</v>
      </c>
      <c r="E65" s="644"/>
      <c r="F65" s="644"/>
      <c r="G65" s="644" t="s">
        <v>122</v>
      </c>
      <c r="H65" s="647"/>
      <c r="I65" s="644"/>
      <c r="J65" s="628" t="s">
        <v>55</v>
      </c>
      <c r="K65" s="176" t="s">
        <v>23</v>
      </c>
      <c r="L65" s="353">
        <f t="shared" ref="L65:W65" si="33">L66+L67</f>
        <v>600000</v>
      </c>
      <c r="M65" s="409">
        <f t="shared" si="33"/>
        <v>600000</v>
      </c>
      <c r="N65" s="409">
        <f t="shared" si="33"/>
        <v>600000</v>
      </c>
      <c r="O65" s="409">
        <f t="shared" si="33"/>
        <v>600000</v>
      </c>
      <c r="P65" s="409">
        <f t="shared" si="33"/>
        <v>600000</v>
      </c>
      <c r="Q65" s="409">
        <f t="shared" si="33"/>
        <v>600000</v>
      </c>
      <c r="R65" s="409">
        <f t="shared" si="33"/>
        <v>600000</v>
      </c>
      <c r="S65" s="409">
        <f t="shared" si="33"/>
        <v>600000</v>
      </c>
      <c r="T65" s="409">
        <f t="shared" si="33"/>
        <v>600000</v>
      </c>
      <c r="U65" s="409">
        <f t="shared" si="33"/>
        <v>600000</v>
      </c>
      <c r="V65" s="409">
        <f t="shared" si="33"/>
        <v>600000</v>
      </c>
      <c r="W65" s="97">
        <f t="shared" si="33"/>
        <v>600000</v>
      </c>
      <c r="X65" s="117">
        <f>SUM(L65:W65)</f>
        <v>7200000</v>
      </c>
      <c r="Z65" s="69"/>
    </row>
    <row r="66" spans="1:26">
      <c r="A66" s="114">
        <f>+A65</f>
        <v>2023022</v>
      </c>
      <c r="B66" s="74"/>
      <c r="C66" s="642"/>
      <c r="D66" s="645"/>
      <c r="E66" s="645"/>
      <c r="F66" s="645"/>
      <c r="G66" s="645"/>
      <c r="H66" s="648"/>
      <c r="I66" s="645"/>
      <c r="J66" s="629"/>
      <c r="K66" s="172" t="s">
        <v>24</v>
      </c>
      <c r="L66" s="343">
        <v>600000</v>
      </c>
      <c r="M66" s="297">
        <v>600000</v>
      </c>
      <c r="N66" s="297">
        <v>600000</v>
      </c>
      <c r="O66" s="297">
        <v>600000</v>
      </c>
      <c r="P66" s="297">
        <v>600000</v>
      </c>
      <c r="Q66" s="297">
        <v>600000</v>
      </c>
      <c r="R66" s="297">
        <v>600000</v>
      </c>
      <c r="S66" s="297">
        <v>600000</v>
      </c>
      <c r="T66" s="297">
        <v>600000</v>
      </c>
      <c r="U66" s="297">
        <v>600000</v>
      </c>
      <c r="V66" s="297">
        <v>600000</v>
      </c>
      <c r="W66" s="91">
        <v>600000</v>
      </c>
      <c r="X66" s="49">
        <f>SUM(L66:W66)</f>
        <v>7200000</v>
      </c>
      <c r="Y66" s="69"/>
      <c r="Z66" s="69"/>
    </row>
    <row r="67" spans="1:26">
      <c r="A67" s="114">
        <f>+A66</f>
        <v>2023022</v>
      </c>
      <c r="B67" s="74"/>
      <c r="C67" s="642"/>
      <c r="D67" s="645"/>
      <c r="E67" s="645"/>
      <c r="F67" s="645"/>
      <c r="G67" s="645"/>
      <c r="H67" s="648"/>
      <c r="I67" s="645"/>
      <c r="J67" s="629"/>
      <c r="K67" s="172" t="s">
        <v>25</v>
      </c>
      <c r="L67" s="354"/>
      <c r="M67" s="297"/>
      <c r="N67" s="297"/>
      <c r="O67" s="297"/>
      <c r="P67" s="297"/>
      <c r="Q67" s="297"/>
      <c r="R67" s="297"/>
      <c r="S67" s="297"/>
      <c r="T67" s="297"/>
      <c r="U67" s="297"/>
      <c r="V67" s="297"/>
      <c r="W67" s="98"/>
      <c r="X67" s="49">
        <v>0</v>
      </c>
      <c r="Z67" s="69"/>
    </row>
    <row r="68" spans="1:26">
      <c r="A68" s="114">
        <f t="shared" ref="A68:A75" si="34">+A67</f>
        <v>2023022</v>
      </c>
      <c r="B68" s="74"/>
      <c r="C68" s="642"/>
      <c r="D68" s="645"/>
      <c r="E68" s="645"/>
      <c r="F68" s="645"/>
      <c r="G68" s="645"/>
      <c r="H68" s="648"/>
      <c r="I68" s="645"/>
      <c r="J68" s="629"/>
      <c r="K68" s="173" t="s">
        <v>26</v>
      </c>
      <c r="L68" s="355">
        <f t="shared" ref="L68:W68" si="35">SUM(L69:L75)</f>
        <v>479403</v>
      </c>
      <c r="M68" s="411">
        <f t="shared" si="35"/>
        <v>469274</v>
      </c>
      <c r="N68" s="411">
        <f t="shared" si="35"/>
        <v>473138</v>
      </c>
      <c r="O68" s="411">
        <f t="shared" si="35"/>
        <v>477744</v>
      </c>
      <c r="P68" s="411">
        <f t="shared" si="35"/>
        <v>468466</v>
      </c>
      <c r="Q68" s="411">
        <f t="shared" si="35"/>
        <v>468870</v>
      </c>
      <c r="R68" s="411">
        <f t="shared" si="35"/>
        <v>461190</v>
      </c>
      <c r="S68" s="411">
        <f t="shared" si="35"/>
        <v>463527</v>
      </c>
      <c r="T68" s="411">
        <f t="shared" si="35"/>
        <v>469274</v>
      </c>
      <c r="U68" s="411">
        <f t="shared" si="35"/>
        <v>468466</v>
      </c>
      <c r="V68" s="411">
        <f t="shared" si="35"/>
        <v>468648</v>
      </c>
      <c r="W68" s="99">
        <f t="shared" si="35"/>
        <v>479403</v>
      </c>
      <c r="X68" s="50">
        <f t="shared" ref="X68:X75" si="36">SUM(L68:W68)</f>
        <v>5647403</v>
      </c>
      <c r="Z68" s="69"/>
    </row>
    <row r="69" spans="1:26">
      <c r="A69" s="114">
        <f t="shared" si="34"/>
        <v>2023022</v>
      </c>
      <c r="B69" s="74"/>
      <c r="C69" s="642"/>
      <c r="D69" s="645"/>
      <c r="E69" s="645"/>
      <c r="F69" s="645"/>
      <c r="G69" s="645"/>
      <c r="H69" s="648"/>
      <c r="I69" s="645"/>
      <c r="J69" s="629"/>
      <c r="K69" s="174" t="s">
        <v>27</v>
      </c>
      <c r="L69" s="343">
        <v>415712</v>
      </c>
      <c r="M69" s="297">
        <v>408000</v>
      </c>
      <c r="N69" s="297">
        <v>407200</v>
      </c>
      <c r="O69" s="297">
        <v>416382</v>
      </c>
      <c r="P69" s="297">
        <v>407200</v>
      </c>
      <c r="Q69" s="297">
        <v>407600</v>
      </c>
      <c r="R69" s="297">
        <v>400000</v>
      </c>
      <c r="S69" s="297">
        <v>400000</v>
      </c>
      <c r="T69" s="297">
        <v>408000</v>
      </c>
      <c r="U69" s="297">
        <v>407200</v>
      </c>
      <c r="V69" s="297">
        <v>407200</v>
      </c>
      <c r="W69" s="91">
        <v>415712</v>
      </c>
      <c r="X69" s="49">
        <f t="shared" si="36"/>
        <v>4900206</v>
      </c>
      <c r="Y69" s="69"/>
      <c r="Z69" s="69"/>
    </row>
    <row r="70" spans="1:26">
      <c r="A70" s="114">
        <f t="shared" si="34"/>
        <v>2023022</v>
      </c>
      <c r="B70" s="74"/>
      <c r="C70" s="642"/>
      <c r="D70" s="645"/>
      <c r="E70" s="645"/>
      <c r="F70" s="645"/>
      <c r="G70" s="645"/>
      <c r="H70" s="648"/>
      <c r="I70" s="645"/>
      <c r="J70" s="629"/>
      <c r="K70" s="174" t="s">
        <v>34</v>
      </c>
      <c r="L70" s="329"/>
      <c r="M70" s="410"/>
      <c r="N70" s="410"/>
      <c r="O70" s="410"/>
      <c r="P70" s="410"/>
      <c r="Q70" s="410"/>
      <c r="R70" s="410"/>
      <c r="S70" s="410"/>
      <c r="T70" s="410"/>
      <c r="U70" s="410"/>
      <c r="V70" s="410"/>
      <c r="W70" s="26"/>
      <c r="X70" s="49">
        <f t="shared" si="36"/>
        <v>0</v>
      </c>
      <c r="Y70" s="69"/>
      <c r="Z70" s="69"/>
    </row>
    <row r="71" spans="1:26">
      <c r="A71" s="114">
        <f t="shared" si="34"/>
        <v>2023022</v>
      </c>
      <c r="B71" s="74"/>
      <c r="C71" s="642"/>
      <c r="D71" s="645"/>
      <c r="E71" s="645"/>
      <c r="F71" s="645"/>
      <c r="G71" s="645"/>
      <c r="H71" s="648"/>
      <c r="I71" s="645"/>
      <c r="J71" s="629"/>
      <c r="K71" s="174" t="s">
        <v>28</v>
      </c>
      <c r="L71" s="329">
        <v>2312</v>
      </c>
      <c r="M71" s="410">
        <v>0</v>
      </c>
      <c r="N71" s="410">
        <v>4624</v>
      </c>
      <c r="O71" s="410">
        <v>0</v>
      </c>
      <c r="P71" s="410">
        <v>0</v>
      </c>
      <c r="Q71" s="410">
        <v>0</v>
      </c>
      <c r="R71" s="410">
        <v>0</v>
      </c>
      <c r="S71" s="410">
        <v>2312</v>
      </c>
      <c r="T71" s="410">
        <v>0</v>
      </c>
      <c r="U71" s="410">
        <v>0</v>
      </c>
      <c r="V71" s="410">
        <v>0</v>
      </c>
      <c r="W71" s="26">
        <v>2312</v>
      </c>
      <c r="X71" s="49">
        <f t="shared" si="36"/>
        <v>11560</v>
      </c>
      <c r="Y71" s="69"/>
      <c r="Z71" s="69"/>
    </row>
    <row r="72" spans="1:26">
      <c r="A72" s="114">
        <f t="shared" si="34"/>
        <v>2023022</v>
      </c>
      <c r="B72" s="74"/>
      <c r="C72" s="642"/>
      <c r="D72" s="645"/>
      <c r="E72" s="645"/>
      <c r="F72" s="645"/>
      <c r="G72" s="645"/>
      <c r="H72" s="648"/>
      <c r="I72" s="645"/>
      <c r="J72" s="629"/>
      <c r="K72" s="174" t="s">
        <v>29</v>
      </c>
      <c r="L72" s="343">
        <v>19475</v>
      </c>
      <c r="M72" s="297">
        <v>19475</v>
      </c>
      <c r="N72" s="297">
        <v>19475</v>
      </c>
      <c r="O72" s="297">
        <v>19475</v>
      </c>
      <c r="P72" s="297">
        <v>19475</v>
      </c>
      <c r="Q72" s="297">
        <v>19475</v>
      </c>
      <c r="R72" s="297">
        <v>19475</v>
      </c>
      <c r="S72" s="297">
        <v>19475</v>
      </c>
      <c r="T72" s="297">
        <v>19475</v>
      </c>
      <c r="U72" s="297">
        <v>19475</v>
      </c>
      <c r="V72" s="297">
        <v>19475</v>
      </c>
      <c r="W72" s="91">
        <v>19475</v>
      </c>
      <c r="X72" s="49">
        <f t="shared" si="36"/>
        <v>233700</v>
      </c>
      <c r="Y72" s="69"/>
      <c r="Z72" s="69"/>
    </row>
    <row r="73" spans="1:26">
      <c r="A73" s="114">
        <f t="shared" si="34"/>
        <v>2023022</v>
      </c>
      <c r="B73" s="74"/>
      <c r="C73" s="642"/>
      <c r="D73" s="645"/>
      <c r="E73" s="645"/>
      <c r="F73" s="645"/>
      <c r="G73" s="645"/>
      <c r="H73" s="648"/>
      <c r="I73" s="645"/>
      <c r="J73" s="629"/>
      <c r="K73" s="174" t="s">
        <v>30</v>
      </c>
      <c r="L73" s="343">
        <v>37515</v>
      </c>
      <c r="M73" s="297">
        <v>37515</v>
      </c>
      <c r="N73" s="297">
        <v>37515</v>
      </c>
      <c r="O73" s="297">
        <v>37515</v>
      </c>
      <c r="P73" s="297">
        <v>37515</v>
      </c>
      <c r="Q73" s="297">
        <v>37515</v>
      </c>
      <c r="R73" s="297">
        <v>37515</v>
      </c>
      <c r="S73" s="297">
        <v>37515</v>
      </c>
      <c r="T73" s="297">
        <v>37515</v>
      </c>
      <c r="U73" s="297">
        <v>37515</v>
      </c>
      <c r="V73" s="297">
        <v>37515</v>
      </c>
      <c r="W73" s="91">
        <v>37515</v>
      </c>
      <c r="X73" s="49">
        <f t="shared" si="36"/>
        <v>450180</v>
      </c>
      <c r="Y73" s="69"/>
      <c r="Z73" s="69"/>
    </row>
    <row r="74" spans="1:26">
      <c r="A74" s="114">
        <f t="shared" si="34"/>
        <v>2023022</v>
      </c>
      <c r="B74" s="74"/>
      <c r="C74" s="642"/>
      <c r="D74" s="645"/>
      <c r="E74" s="645"/>
      <c r="F74" s="645"/>
      <c r="G74" s="645"/>
      <c r="H74" s="648"/>
      <c r="I74" s="645"/>
      <c r="J74" s="629"/>
      <c r="K74" s="174" t="s">
        <v>31</v>
      </c>
      <c r="L74" s="343">
        <v>2090</v>
      </c>
      <c r="M74" s="297">
        <v>2040</v>
      </c>
      <c r="N74" s="297">
        <v>2059</v>
      </c>
      <c r="O74" s="297">
        <v>2082</v>
      </c>
      <c r="P74" s="297">
        <v>2036</v>
      </c>
      <c r="Q74" s="297">
        <v>2038</v>
      </c>
      <c r="R74" s="297">
        <v>2000</v>
      </c>
      <c r="S74" s="297">
        <v>2012</v>
      </c>
      <c r="T74" s="297">
        <v>2040</v>
      </c>
      <c r="U74" s="297">
        <v>2036</v>
      </c>
      <c r="V74" s="297">
        <v>2123</v>
      </c>
      <c r="W74" s="91">
        <v>2090</v>
      </c>
      <c r="X74" s="49">
        <f t="shared" si="36"/>
        <v>24646</v>
      </c>
      <c r="Y74" s="69"/>
      <c r="Z74" s="69"/>
    </row>
    <row r="75" spans="1:26">
      <c r="A75" s="114">
        <f t="shared" si="34"/>
        <v>2023022</v>
      </c>
      <c r="B75" s="74"/>
      <c r="C75" s="642"/>
      <c r="D75" s="645"/>
      <c r="E75" s="645"/>
      <c r="F75" s="645"/>
      <c r="G75" s="645"/>
      <c r="H75" s="648"/>
      <c r="I75" s="645"/>
      <c r="J75" s="629"/>
      <c r="K75" s="174" t="s">
        <v>32</v>
      </c>
      <c r="L75" s="343">
        <v>2299</v>
      </c>
      <c r="M75" s="297">
        <v>2244</v>
      </c>
      <c r="N75" s="297">
        <v>2265</v>
      </c>
      <c r="O75" s="297">
        <v>2290</v>
      </c>
      <c r="P75" s="297">
        <v>2240</v>
      </c>
      <c r="Q75" s="297">
        <v>2242</v>
      </c>
      <c r="R75" s="297">
        <v>2200</v>
      </c>
      <c r="S75" s="297">
        <v>2213</v>
      </c>
      <c r="T75" s="297">
        <v>2244</v>
      </c>
      <c r="U75" s="297">
        <v>2240</v>
      </c>
      <c r="V75" s="297">
        <v>2335</v>
      </c>
      <c r="W75" s="91">
        <v>2299</v>
      </c>
      <c r="X75" s="49">
        <f t="shared" si="36"/>
        <v>27111</v>
      </c>
      <c r="Y75" s="69"/>
      <c r="Z75" s="69"/>
    </row>
    <row r="76" spans="1:26">
      <c r="A76" s="114">
        <f>+A75</f>
        <v>2023022</v>
      </c>
      <c r="B76" s="74"/>
      <c r="C76" s="654"/>
      <c r="D76" s="655"/>
      <c r="E76" s="655"/>
      <c r="F76" s="655"/>
      <c r="G76" s="655"/>
      <c r="H76" s="652"/>
      <c r="I76" s="655"/>
      <c r="J76" s="630"/>
      <c r="K76" s="175" t="s">
        <v>33</v>
      </c>
      <c r="L76" s="356">
        <f t="shared" ref="L76:X76" si="37">L65-L68</f>
        <v>120597</v>
      </c>
      <c r="M76" s="412">
        <f t="shared" si="37"/>
        <v>130726</v>
      </c>
      <c r="N76" s="412">
        <f t="shared" si="37"/>
        <v>126862</v>
      </c>
      <c r="O76" s="412">
        <f t="shared" si="37"/>
        <v>122256</v>
      </c>
      <c r="P76" s="412">
        <f t="shared" si="37"/>
        <v>131534</v>
      </c>
      <c r="Q76" s="412">
        <f t="shared" si="37"/>
        <v>131130</v>
      </c>
      <c r="R76" s="412">
        <f t="shared" si="37"/>
        <v>138810</v>
      </c>
      <c r="S76" s="412">
        <f t="shared" si="37"/>
        <v>136473</v>
      </c>
      <c r="T76" s="412">
        <f t="shared" si="37"/>
        <v>130726</v>
      </c>
      <c r="U76" s="412">
        <f t="shared" si="37"/>
        <v>131534</v>
      </c>
      <c r="V76" s="412">
        <f t="shared" si="37"/>
        <v>131352</v>
      </c>
      <c r="W76" s="101">
        <f t="shared" si="37"/>
        <v>120597</v>
      </c>
      <c r="X76" s="51">
        <f t="shared" si="37"/>
        <v>1552597</v>
      </c>
      <c r="Z76" s="69"/>
    </row>
    <row r="77" spans="1:26" ht="14.15" customHeight="1">
      <c r="A77" s="113">
        <v>2025028</v>
      </c>
      <c r="C77" s="642">
        <f t="shared" ref="C77" si="38">C65+1</f>
        <v>7</v>
      </c>
      <c r="D77" s="645" t="s">
        <v>103</v>
      </c>
      <c r="E77" s="645"/>
      <c r="F77" s="645"/>
      <c r="G77" s="645" t="s">
        <v>122</v>
      </c>
      <c r="H77" s="648"/>
      <c r="I77" s="645"/>
      <c r="J77" s="629" t="s">
        <v>55</v>
      </c>
      <c r="K77" s="177" t="s">
        <v>23</v>
      </c>
      <c r="L77" s="357">
        <f t="shared" ref="L77:W77" si="39">L78+L79</f>
        <v>0</v>
      </c>
      <c r="M77" s="413">
        <f t="shared" si="39"/>
        <v>0</v>
      </c>
      <c r="N77" s="413">
        <f t="shared" si="39"/>
        <v>0</v>
      </c>
      <c r="O77" s="413">
        <f t="shared" si="39"/>
        <v>0</v>
      </c>
      <c r="P77" s="413">
        <f t="shared" si="39"/>
        <v>0</v>
      </c>
      <c r="Q77" s="413">
        <f t="shared" si="39"/>
        <v>0</v>
      </c>
      <c r="R77" s="413">
        <f t="shared" si="39"/>
        <v>0</v>
      </c>
      <c r="S77" s="413">
        <f t="shared" si="39"/>
        <v>0</v>
      </c>
      <c r="T77" s="413">
        <f t="shared" si="39"/>
        <v>0</v>
      </c>
      <c r="U77" s="413">
        <f t="shared" si="39"/>
        <v>0</v>
      </c>
      <c r="V77" s="413">
        <f t="shared" si="39"/>
        <v>600000</v>
      </c>
      <c r="W77" s="103">
        <f t="shared" si="39"/>
        <v>600000</v>
      </c>
      <c r="X77" s="52">
        <f>SUM(L77:W77)</f>
        <v>1200000</v>
      </c>
      <c r="Z77" s="69"/>
    </row>
    <row r="78" spans="1:26">
      <c r="A78" s="114">
        <f>+A77</f>
        <v>2025028</v>
      </c>
      <c r="B78" s="74"/>
      <c r="C78" s="642"/>
      <c r="D78" s="645"/>
      <c r="E78" s="645"/>
      <c r="F78" s="645"/>
      <c r="G78" s="645"/>
      <c r="H78" s="648"/>
      <c r="I78" s="645"/>
      <c r="J78" s="629"/>
      <c r="K78" s="172" t="s">
        <v>24</v>
      </c>
      <c r="L78" s="343"/>
      <c r="M78" s="297"/>
      <c r="N78" s="297"/>
      <c r="O78" s="297"/>
      <c r="P78" s="297"/>
      <c r="Q78" s="297"/>
      <c r="R78" s="297"/>
      <c r="S78" s="297"/>
      <c r="T78" s="297"/>
      <c r="U78" s="297"/>
      <c r="V78" s="297">
        <v>600000</v>
      </c>
      <c r="W78" s="91">
        <v>600000</v>
      </c>
      <c r="X78" s="49">
        <f>SUM(L78:W78)</f>
        <v>1200000</v>
      </c>
      <c r="Y78" s="69"/>
      <c r="Z78" s="69"/>
    </row>
    <row r="79" spans="1:26">
      <c r="A79" s="114">
        <f>+A78</f>
        <v>2025028</v>
      </c>
      <c r="B79" s="74">
        <f t="shared" ref="B79:B87" si="40">+B78</f>
        <v>0</v>
      </c>
      <c r="C79" s="642"/>
      <c r="D79" s="645"/>
      <c r="E79" s="645"/>
      <c r="F79" s="645"/>
      <c r="G79" s="645"/>
      <c r="H79" s="648"/>
      <c r="I79" s="645"/>
      <c r="J79" s="629"/>
      <c r="K79" s="172" t="s">
        <v>25</v>
      </c>
      <c r="L79" s="354"/>
      <c r="M79" s="297"/>
      <c r="N79" s="297"/>
      <c r="O79" s="297"/>
      <c r="P79" s="297"/>
      <c r="Q79" s="297"/>
      <c r="R79" s="297"/>
      <c r="S79" s="297"/>
      <c r="T79" s="297"/>
      <c r="U79" s="297"/>
      <c r="V79" s="297"/>
      <c r="W79" s="98"/>
      <c r="X79" s="49">
        <v>0</v>
      </c>
      <c r="Z79" s="69"/>
    </row>
    <row r="80" spans="1:26">
      <c r="A80" s="114">
        <f t="shared" ref="A80:A87" si="41">+A79</f>
        <v>2025028</v>
      </c>
      <c r="B80" s="74">
        <f t="shared" si="40"/>
        <v>0</v>
      </c>
      <c r="C80" s="642"/>
      <c r="D80" s="645"/>
      <c r="E80" s="645"/>
      <c r="F80" s="645"/>
      <c r="G80" s="645"/>
      <c r="H80" s="648"/>
      <c r="I80" s="645"/>
      <c r="J80" s="629"/>
      <c r="K80" s="173" t="s">
        <v>26</v>
      </c>
      <c r="L80" s="355">
        <f t="shared" ref="L80:W80" si="42">SUM(L81:L87)</f>
        <v>0</v>
      </c>
      <c r="M80" s="411">
        <f t="shared" si="42"/>
        <v>0</v>
      </c>
      <c r="N80" s="411">
        <f t="shared" si="42"/>
        <v>0</v>
      </c>
      <c r="O80" s="411">
        <f t="shared" si="42"/>
        <v>0</v>
      </c>
      <c r="P80" s="411">
        <f t="shared" si="42"/>
        <v>0</v>
      </c>
      <c r="Q80" s="411">
        <f t="shared" si="42"/>
        <v>0</v>
      </c>
      <c r="R80" s="411">
        <f t="shared" si="42"/>
        <v>0</v>
      </c>
      <c r="S80" s="411">
        <f t="shared" si="42"/>
        <v>0</v>
      </c>
      <c r="T80" s="411">
        <f t="shared" si="42"/>
        <v>0</v>
      </c>
      <c r="U80" s="411">
        <f t="shared" si="42"/>
        <v>0</v>
      </c>
      <c r="V80" s="411">
        <f t="shared" si="42"/>
        <v>478621</v>
      </c>
      <c r="W80" s="99">
        <f t="shared" si="42"/>
        <v>479779</v>
      </c>
      <c r="X80" s="50">
        <f t="shared" ref="X80:X87" si="43">SUM(L80:W80)</f>
        <v>958400</v>
      </c>
      <c r="Z80" s="69"/>
    </row>
    <row r="81" spans="1:26">
      <c r="A81" s="114">
        <f t="shared" si="41"/>
        <v>2025028</v>
      </c>
      <c r="B81" s="74">
        <f t="shared" si="40"/>
        <v>0</v>
      </c>
      <c r="C81" s="642"/>
      <c r="D81" s="645"/>
      <c r="E81" s="645"/>
      <c r="F81" s="645"/>
      <c r="G81" s="645"/>
      <c r="H81" s="648"/>
      <c r="I81" s="645"/>
      <c r="J81" s="629"/>
      <c r="K81" s="174" t="s">
        <v>27</v>
      </c>
      <c r="L81" s="343"/>
      <c r="M81" s="297"/>
      <c r="N81" s="297"/>
      <c r="O81" s="297"/>
      <c r="P81" s="297"/>
      <c r="Q81" s="297"/>
      <c r="R81" s="297"/>
      <c r="S81" s="297"/>
      <c r="T81" s="297"/>
      <c r="U81" s="297"/>
      <c r="V81" s="297">
        <v>415600</v>
      </c>
      <c r="W81" s="91">
        <v>410000</v>
      </c>
      <c r="X81" s="49">
        <f t="shared" si="43"/>
        <v>825600</v>
      </c>
      <c r="Y81" s="69"/>
      <c r="Z81" s="69"/>
    </row>
    <row r="82" spans="1:26">
      <c r="A82" s="114">
        <f t="shared" si="41"/>
        <v>2025028</v>
      </c>
      <c r="B82" s="74">
        <f t="shared" si="40"/>
        <v>0</v>
      </c>
      <c r="C82" s="642"/>
      <c r="D82" s="645"/>
      <c r="E82" s="645"/>
      <c r="F82" s="645"/>
      <c r="G82" s="645"/>
      <c r="H82" s="648"/>
      <c r="I82" s="645"/>
      <c r="J82" s="629"/>
      <c r="K82" s="174" t="s">
        <v>34</v>
      </c>
      <c r="L82" s="329"/>
      <c r="M82" s="410"/>
      <c r="N82" s="410"/>
      <c r="O82" s="410"/>
      <c r="P82" s="410"/>
      <c r="Q82" s="410"/>
      <c r="R82" s="410"/>
      <c r="S82" s="410"/>
      <c r="T82" s="410"/>
      <c r="U82" s="410"/>
      <c r="V82" s="410"/>
      <c r="W82" s="26"/>
      <c r="X82" s="49">
        <f t="shared" si="43"/>
        <v>0</v>
      </c>
      <c r="Y82" s="69"/>
      <c r="Z82" s="69"/>
    </row>
    <row r="83" spans="1:26">
      <c r="A83" s="114">
        <f t="shared" si="41"/>
        <v>2025028</v>
      </c>
      <c r="B83" s="74">
        <f t="shared" si="40"/>
        <v>0</v>
      </c>
      <c r="C83" s="642"/>
      <c r="D83" s="645"/>
      <c r="E83" s="645"/>
      <c r="F83" s="645"/>
      <c r="G83" s="645"/>
      <c r="H83" s="648"/>
      <c r="I83" s="645"/>
      <c r="J83" s="629"/>
      <c r="K83" s="174" t="s">
        <v>28</v>
      </c>
      <c r="L83" s="329"/>
      <c r="M83" s="410"/>
      <c r="N83" s="410"/>
      <c r="O83" s="410"/>
      <c r="P83" s="410"/>
      <c r="Q83" s="410"/>
      <c r="R83" s="410"/>
      <c r="S83" s="410"/>
      <c r="T83" s="410"/>
      <c r="U83" s="410"/>
      <c r="V83" s="410">
        <v>1470</v>
      </c>
      <c r="W83" s="26">
        <v>8400</v>
      </c>
      <c r="X83" s="49">
        <f t="shared" si="43"/>
        <v>9870</v>
      </c>
      <c r="Y83" s="69"/>
      <c r="Z83" s="69"/>
    </row>
    <row r="84" spans="1:26">
      <c r="A84" s="114">
        <f t="shared" si="41"/>
        <v>2025028</v>
      </c>
      <c r="B84" s="74">
        <f t="shared" si="40"/>
        <v>0</v>
      </c>
      <c r="C84" s="642"/>
      <c r="D84" s="645"/>
      <c r="E84" s="645"/>
      <c r="F84" s="645"/>
      <c r="G84" s="645"/>
      <c r="H84" s="648"/>
      <c r="I84" s="645"/>
      <c r="J84" s="629"/>
      <c r="K84" s="174" t="s">
        <v>29</v>
      </c>
      <c r="L84" s="343"/>
      <c r="M84" s="297"/>
      <c r="N84" s="297"/>
      <c r="O84" s="297"/>
      <c r="P84" s="297"/>
      <c r="Q84" s="297"/>
      <c r="R84" s="297"/>
      <c r="S84" s="297"/>
      <c r="T84" s="297"/>
      <c r="U84" s="297"/>
      <c r="V84" s="297">
        <v>19475</v>
      </c>
      <c r="W84" s="91">
        <v>19475</v>
      </c>
      <c r="X84" s="49">
        <f t="shared" si="43"/>
        <v>38950</v>
      </c>
      <c r="Y84" s="69"/>
      <c r="Z84" s="69"/>
    </row>
    <row r="85" spans="1:26">
      <c r="A85" s="114">
        <f t="shared" si="41"/>
        <v>2025028</v>
      </c>
      <c r="B85" s="74">
        <f t="shared" si="40"/>
        <v>0</v>
      </c>
      <c r="C85" s="642"/>
      <c r="D85" s="645"/>
      <c r="E85" s="645"/>
      <c r="F85" s="645"/>
      <c r="G85" s="645"/>
      <c r="H85" s="648"/>
      <c r="I85" s="645"/>
      <c r="J85" s="629"/>
      <c r="K85" s="174" t="s">
        <v>30</v>
      </c>
      <c r="L85" s="343"/>
      <c r="M85" s="297"/>
      <c r="N85" s="297"/>
      <c r="O85" s="297"/>
      <c r="P85" s="297"/>
      <c r="Q85" s="297"/>
      <c r="R85" s="297"/>
      <c r="S85" s="297"/>
      <c r="T85" s="297"/>
      <c r="U85" s="297"/>
      <c r="V85" s="297">
        <v>37515</v>
      </c>
      <c r="W85" s="91">
        <v>37515</v>
      </c>
      <c r="X85" s="49">
        <f t="shared" si="43"/>
        <v>75030</v>
      </c>
      <c r="Y85" s="69"/>
      <c r="Z85" s="69"/>
    </row>
    <row r="86" spans="1:26">
      <c r="A86" s="114">
        <f t="shared" si="41"/>
        <v>2025028</v>
      </c>
      <c r="B86" s="74">
        <f t="shared" si="40"/>
        <v>0</v>
      </c>
      <c r="C86" s="642"/>
      <c r="D86" s="645"/>
      <c r="E86" s="645"/>
      <c r="F86" s="645"/>
      <c r="G86" s="645"/>
      <c r="H86" s="648"/>
      <c r="I86" s="645"/>
      <c r="J86" s="629"/>
      <c r="K86" s="174" t="s">
        <v>31</v>
      </c>
      <c r="L86" s="343"/>
      <c r="M86" s="297"/>
      <c r="N86" s="297"/>
      <c r="O86" s="297"/>
      <c r="P86" s="297"/>
      <c r="Q86" s="297"/>
      <c r="R86" s="297"/>
      <c r="S86" s="297"/>
      <c r="T86" s="297"/>
      <c r="U86" s="297"/>
      <c r="V86" s="297">
        <v>2172</v>
      </c>
      <c r="W86" s="91">
        <v>2090</v>
      </c>
      <c r="X86" s="49">
        <f t="shared" si="43"/>
        <v>4262</v>
      </c>
      <c r="Y86" s="69"/>
      <c r="Z86" s="69"/>
    </row>
    <row r="87" spans="1:26">
      <c r="A87" s="114">
        <f t="shared" si="41"/>
        <v>2025028</v>
      </c>
      <c r="B87" s="74">
        <f t="shared" si="40"/>
        <v>0</v>
      </c>
      <c r="C87" s="642"/>
      <c r="D87" s="645"/>
      <c r="E87" s="645"/>
      <c r="F87" s="645"/>
      <c r="G87" s="645"/>
      <c r="H87" s="648"/>
      <c r="I87" s="645"/>
      <c r="J87" s="629"/>
      <c r="K87" s="174" t="s">
        <v>32</v>
      </c>
      <c r="L87" s="343"/>
      <c r="M87" s="297"/>
      <c r="N87" s="297"/>
      <c r="O87" s="297"/>
      <c r="P87" s="297"/>
      <c r="Q87" s="297"/>
      <c r="R87" s="297"/>
      <c r="S87" s="297"/>
      <c r="T87" s="297"/>
      <c r="U87" s="297"/>
      <c r="V87" s="297">
        <v>2389</v>
      </c>
      <c r="W87" s="91">
        <v>2299</v>
      </c>
      <c r="X87" s="49">
        <f t="shared" si="43"/>
        <v>4688</v>
      </c>
      <c r="Y87" s="69"/>
      <c r="Z87" s="69"/>
    </row>
    <row r="88" spans="1:26" ht="12.5" thickBot="1">
      <c r="A88" s="114">
        <f>+A87</f>
        <v>2025028</v>
      </c>
      <c r="B88" s="74">
        <f>+B87</f>
        <v>0</v>
      </c>
      <c r="C88" s="643"/>
      <c r="D88" s="646"/>
      <c r="E88" s="646"/>
      <c r="F88" s="646"/>
      <c r="G88" s="646"/>
      <c r="H88" s="649"/>
      <c r="I88" s="646"/>
      <c r="J88" s="631"/>
      <c r="K88" s="178" t="s">
        <v>33</v>
      </c>
      <c r="L88" s="358">
        <f t="shared" ref="L88:X88" si="44">L77-L80</f>
        <v>0</v>
      </c>
      <c r="M88" s="417">
        <f t="shared" si="44"/>
        <v>0</v>
      </c>
      <c r="N88" s="417">
        <f t="shared" si="44"/>
        <v>0</v>
      </c>
      <c r="O88" s="417">
        <f t="shared" si="44"/>
        <v>0</v>
      </c>
      <c r="P88" s="417">
        <f t="shared" si="44"/>
        <v>0</v>
      </c>
      <c r="Q88" s="417">
        <f t="shared" si="44"/>
        <v>0</v>
      </c>
      <c r="R88" s="417">
        <f t="shared" si="44"/>
        <v>0</v>
      </c>
      <c r="S88" s="417">
        <f t="shared" si="44"/>
        <v>0</v>
      </c>
      <c r="T88" s="417">
        <f t="shared" si="44"/>
        <v>0</v>
      </c>
      <c r="U88" s="417">
        <f t="shared" si="44"/>
        <v>0</v>
      </c>
      <c r="V88" s="417">
        <f t="shared" si="44"/>
        <v>121379</v>
      </c>
      <c r="W88" s="105">
        <f t="shared" si="44"/>
        <v>120221</v>
      </c>
      <c r="X88" s="55">
        <f t="shared" si="44"/>
        <v>241600</v>
      </c>
      <c r="Z88" s="69"/>
    </row>
    <row r="89" spans="1:26" s="1" customFormat="1" ht="12.5" thickTop="1">
      <c r="A89" s="112"/>
      <c r="B89" s="72"/>
      <c r="C89" s="656" t="str">
        <f>C2</f>
        <v>DXシステム本部</v>
      </c>
      <c r="D89" s="657"/>
      <c r="E89" s="657"/>
      <c r="F89" s="657"/>
      <c r="G89" s="657"/>
      <c r="H89" s="657"/>
      <c r="I89" s="657"/>
      <c r="J89" s="658"/>
      <c r="K89" s="143" t="s">
        <v>20</v>
      </c>
      <c r="L89" s="462">
        <f>L5+L17+L29+L41+L53+L65+L77</f>
        <v>2493700</v>
      </c>
      <c r="M89" s="462">
        <f t="shared" ref="M89:W89" si="45">M5+M17+M29+M41+M53+M65+M77</f>
        <v>2299200</v>
      </c>
      <c r="N89" s="462">
        <f t="shared" si="45"/>
        <v>2549200</v>
      </c>
      <c r="O89" s="462">
        <f t="shared" si="45"/>
        <v>2549200</v>
      </c>
      <c r="P89" s="462">
        <f t="shared" si="45"/>
        <v>3285160</v>
      </c>
      <c r="Q89" s="462">
        <f t="shared" si="45"/>
        <v>3139830</v>
      </c>
      <c r="R89" s="462">
        <f t="shared" si="45"/>
        <v>3299200</v>
      </c>
      <c r="S89" s="418">
        <f t="shared" si="45"/>
        <v>3247650</v>
      </c>
      <c r="T89" s="418">
        <f t="shared" si="45"/>
        <v>3299200</v>
      </c>
      <c r="U89" s="418">
        <f t="shared" si="45"/>
        <v>3280480</v>
      </c>
      <c r="V89" s="418">
        <f t="shared" si="45"/>
        <v>3808650</v>
      </c>
      <c r="W89" s="76">
        <f t="shared" si="45"/>
        <v>3899200</v>
      </c>
      <c r="X89" s="77">
        <f>SUM(L89:W89)</f>
        <v>37150670</v>
      </c>
      <c r="Z89" s="69"/>
    </row>
    <row r="90" spans="1:26" s="1" customFormat="1">
      <c r="A90" s="112"/>
      <c r="B90" s="72"/>
      <c r="C90" s="656"/>
      <c r="D90" s="657"/>
      <c r="E90" s="657"/>
      <c r="F90" s="657"/>
      <c r="G90" s="657"/>
      <c r="H90" s="657"/>
      <c r="I90" s="657"/>
      <c r="J90" s="658"/>
      <c r="K90" s="144" t="s">
        <v>21</v>
      </c>
      <c r="L90" s="350">
        <f>L8+L20+L32+L44+L56+L68+L80</f>
        <v>1960995.5238095238</v>
      </c>
      <c r="M90" s="350">
        <f t="shared" ref="M90:W90" si="46">M8+M20+M32+M44+M56+M68+M80</f>
        <v>1946020</v>
      </c>
      <c r="N90" s="350">
        <f t="shared" si="46"/>
        <v>1974776</v>
      </c>
      <c r="O90" s="350">
        <f t="shared" si="46"/>
        <v>2013459</v>
      </c>
      <c r="P90" s="350">
        <f t="shared" si="46"/>
        <v>2547631</v>
      </c>
      <c r="Q90" s="350">
        <f t="shared" si="46"/>
        <v>2550410</v>
      </c>
      <c r="R90" s="350">
        <f t="shared" si="46"/>
        <v>2540711</v>
      </c>
      <c r="S90" s="419">
        <f t="shared" si="46"/>
        <v>2539305</v>
      </c>
      <c r="T90" s="419">
        <f t="shared" si="46"/>
        <v>2561701</v>
      </c>
      <c r="U90" s="419">
        <f t="shared" si="46"/>
        <v>2550225</v>
      </c>
      <c r="V90" s="419">
        <f t="shared" si="46"/>
        <v>3018143</v>
      </c>
      <c r="W90" s="71">
        <f t="shared" si="46"/>
        <v>3038749</v>
      </c>
      <c r="X90" s="44">
        <f t="shared" ref="X90:X94" si="47">SUM(L90:W90)</f>
        <v>29242125.523809522</v>
      </c>
      <c r="Z90" s="69"/>
    </row>
    <row r="91" spans="1:26" s="1" customFormat="1">
      <c r="A91" s="112"/>
      <c r="B91" s="72"/>
      <c r="C91" s="659"/>
      <c r="D91" s="660"/>
      <c r="E91" s="660"/>
      <c r="F91" s="660"/>
      <c r="G91" s="660"/>
      <c r="H91" s="660"/>
      <c r="I91" s="660"/>
      <c r="J91" s="661"/>
      <c r="K91" s="153" t="s">
        <v>22</v>
      </c>
      <c r="L91" s="361">
        <f>L89-L90</f>
        <v>532704.47619047621</v>
      </c>
      <c r="M91" s="420">
        <f t="shared" ref="M91:W91" si="48">M89-M90</f>
        <v>353180</v>
      </c>
      <c r="N91" s="420">
        <f t="shared" si="48"/>
        <v>574424</v>
      </c>
      <c r="O91" s="420">
        <f t="shared" si="48"/>
        <v>535741</v>
      </c>
      <c r="P91" s="420">
        <f t="shared" si="48"/>
        <v>737529</v>
      </c>
      <c r="Q91" s="420">
        <f t="shared" si="48"/>
        <v>589420</v>
      </c>
      <c r="R91" s="420">
        <f t="shared" si="48"/>
        <v>758489</v>
      </c>
      <c r="S91" s="420">
        <f t="shared" si="48"/>
        <v>708345</v>
      </c>
      <c r="T91" s="420">
        <f t="shared" si="48"/>
        <v>737499</v>
      </c>
      <c r="U91" s="420">
        <f t="shared" si="48"/>
        <v>730255</v>
      </c>
      <c r="V91" s="420">
        <f t="shared" si="48"/>
        <v>790507</v>
      </c>
      <c r="W91" s="82">
        <f t="shared" si="48"/>
        <v>860451</v>
      </c>
      <c r="X91" s="45">
        <f>SUM(L91:W91)</f>
        <v>7908544.4761904757</v>
      </c>
      <c r="Z91" s="69"/>
    </row>
    <row r="92" spans="1:26">
      <c r="F92" s="127"/>
      <c r="K92" s="128" t="s">
        <v>74</v>
      </c>
      <c r="L92" s="639">
        <f>SUM(L89:N89)</f>
        <v>7342100</v>
      </c>
      <c r="M92" s="585"/>
      <c r="N92" s="585"/>
      <c r="O92" s="585">
        <f t="shared" ref="O92:O93" si="49">SUM(O89:Q89)</f>
        <v>8974190</v>
      </c>
      <c r="P92" s="585"/>
      <c r="Q92" s="585"/>
      <c r="R92" s="585">
        <f t="shared" ref="R92:R93" si="50">SUM(R89:T89)</f>
        <v>9846050</v>
      </c>
      <c r="S92" s="585"/>
      <c r="T92" s="585"/>
      <c r="U92" s="585">
        <f t="shared" ref="U92:U93" si="51">SUM(U89:W89)</f>
        <v>10988330</v>
      </c>
      <c r="V92" s="585"/>
      <c r="W92" s="662"/>
      <c r="X92" s="34">
        <f t="shared" si="47"/>
        <v>37150670</v>
      </c>
      <c r="Z92" s="69"/>
    </row>
    <row r="93" spans="1:26">
      <c r="F93" s="127"/>
      <c r="K93" s="130" t="s">
        <v>77</v>
      </c>
      <c r="L93" s="640">
        <f>SUM(L90:N90)</f>
        <v>5881791.5238095243</v>
      </c>
      <c r="M93" s="589"/>
      <c r="N93" s="589"/>
      <c r="O93" s="589">
        <f t="shared" si="49"/>
        <v>7111500</v>
      </c>
      <c r="P93" s="589"/>
      <c r="Q93" s="589"/>
      <c r="R93" s="589">
        <f t="shared" si="50"/>
        <v>7641717</v>
      </c>
      <c r="S93" s="589"/>
      <c r="T93" s="589"/>
      <c r="U93" s="589">
        <f t="shared" si="51"/>
        <v>8607117</v>
      </c>
      <c r="V93" s="589"/>
      <c r="W93" s="664"/>
      <c r="X93" s="35">
        <f t="shared" si="47"/>
        <v>29242125.523809522</v>
      </c>
      <c r="Z93" s="69"/>
    </row>
    <row r="94" spans="1:26">
      <c r="F94" s="127"/>
      <c r="K94" s="6" t="s">
        <v>75</v>
      </c>
      <c r="L94" s="632">
        <f>SUM(L91:N91)</f>
        <v>1460308.4761904762</v>
      </c>
      <c r="M94" s="571"/>
      <c r="N94" s="571"/>
      <c r="O94" s="571">
        <f>SUM(O91:Q91)</f>
        <v>1862690</v>
      </c>
      <c r="P94" s="571"/>
      <c r="Q94" s="571"/>
      <c r="R94" s="571">
        <f>SUM(R91:T91)</f>
        <v>2204333</v>
      </c>
      <c r="S94" s="571"/>
      <c r="T94" s="571"/>
      <c r="U94" s="571">
        <f>SUM(U91:W91)</f>
        <v>2381213</v>
      </c>
      <c r="V94" s="571"/>
      <c r="W94" s="663"/>
      <c r="X94" s="36">
        <f t="shared" si="47"/>
        <v>7908544.4761904757</v>
      </c>
      <c r="Z94" s="69"/>
    </row>
    <row r="95" spans="1:26">
      <c r="Z95" s="69"/>
    </row>
    <row r="96" spans="1:26">
      <c r="Z96" s="69"/>
    </row>
    <row r="97" spans="26:26">
      <c r="Z97" s="69"/>
    </row>
    <row r="98" spans="26:26">
      <c r="Z98" s="69"/>
    </row>
    <row r="99" spans="26:26">
      <c r="Z99" s="69"/>
    </row>
    <row r="100" spans="26:26">
      <c r="Z100" s="69"/>
    </row>
    <row r="101" spans="26:26">
      <c r="Z101" s="69"/>
    </row>
    <row r="102" spans="26:26">
      <c r="Z102" s="69"/>
    </row>
    <row r="103" spans="26:26">
      <c r="Z103" s="69"/>
    </row>
    <row r="104" spans="26:26">
      <c r="Z104" s="69"/>
    </row>
    <row r="105" spans="26:26">
      <c r="Z105" s="69"/>
    </row>
    <row r="106" spans="26:26">
      <c r="Z106" s="69"/>
    </row>
    <row r="107" spans="26:26">
      <c r="Z107" s="69"/>
    </row>
    <row r="108" spans="26:26">
      <c r="Z108" s="69"/>
    </row>
    <row r="109" spans="26:26">
      <c r="Z109" s="69"/>
    </row>
    <row r="110" spans="26:26">
      <c r="Z110" s="69"/>
    </row>
    <row r="111" spans="26:26">
      <c r="Z111" s="69"/>
    </row>
    <row r="112" spans="26:26">
      <c r="Z112" s="69"/>
    </row>
    <row r="113" spans="26:26">
      <c r="Z113" s="69"/>
    </row>
    <row r="114" spans="26:26">
      <c r="Z114" s="69"/>
    </row>
    <row r="115" spans="26:26">
      <c r="Z115" s="69"/>
    </row>
    <row r="116" spans="26:26">
      <c r="Z116" s="69"/>
    </row>
    <row r="117" spans="26:26">
      <c r="Z117" s="69"/>
    </row>
    <row r="118" spans="26:26">
      <c r="Z118" s="69"/>
    </row>
    <row r="119" spans="26:26">
      <c r="Z119" s="69"/>
    </row>
    <row r="120" spans="26:26">
      <c r="Z120" s="69"/>
    </row>
    <row r="121" spans="26:26">
      <c r="Z121" s="69"/>
    </row>
    <row r="122" spans="26:26">
      <c r="Z122" s="69"/>
    </row>
    <row r="123" spans="26:26">
      <c r="Z123" s="69"/>
    </row>
    <row r="124" spans="26:26">
      <c r="Z124" s="69"/>
    </row>
    <row r="125" spans="26:26">
      <c r="Z125" s="69"/>
    </row>
    <row r="126" spans="26:26">
      <c r="Z126" s="69"/>
    </row>
    <row r="127" spans="26:26">
      <c r="Z127" s="69"/>
    </row>
    <row r="128" spans="26:26">
      <c r="Z128" s="69"/>
    </row>
    <row r="129" spans="26:26">
      <c r="Z129" s="69"/>
    </row>
    <row r="130" spans="26:26">
      <c r="Z130" s="69"/>
    </row>
    <row r="131" spans="26:26">
      <c r="Z131" s="69"/>
    </row>
    <row r="132" spans="26:26">
      <c r="Z132" s="69"/>
    </row>
    <row r="133" spans="26:26">
      <c r="Z133" s="69"/>
    </row>
    <row r="134" spans="26:26">
      <c r="Z134" s="69"/>
    </row>
    <row r="135" spans="26:26">
      <c r="Z135" s="69"/>
    </row>
    <row r="136" spans="26:26">
      <c r="Z136" s="69"/>
    </row>
    <row r="137" spans="26:26">
      <c r="Z137" s="69"/>
    </row>
    <row r="138" spans="26:26">
      <c r="Z138" s="69"/>
    </row>
    <row r="139" spans="26:26">
      <c r="Z139" s="69"/>
    </row>
    <row r="140" spans="26:26">
      <c r="Z140" s="69"/>
    </row>
    <row r="141" spans="26:26">
      <c r="Z141" s="69"/>
    </row>
    <row r="142" spans="26:26">
      <c r="Z142" s="69"/>
    </row>
    <row r="143" spans="26:26">
      <c r="Z143" s="69"/>
    </row>
    <row r="144" spans="26:26">
      <c r="Z144" s="69"/>
    </row>
    <row r="145" spans="26:26">
      <c r="Z145" s="69"/>
    </row>
    <row r="146" spans="26:26">
      <c r="Z146" s="69"/>
    </row>
    <row r="147" spans="26:26">
      <c r="Z147" s="69"/>
    </row>
    <row r="148" spans="26:26">
      <c r="Z148" s="69"/>
    </row>
    <row r="149" spans="26:26">
      <c r="Z149" s="69"/>
    </row>
    <row r="150" spans="26:26">
      <c r="Z150" s="69"/>
    </row>
    <row r="151" spans="26:26">
      <c r="Z151" s="69"/>
    </row>
    <row r="152" spans="26:26">
      <c r="Z152" s="69"/>
    </row>
    <row r="153" spans="26:26">
      <c r="Z153" s="69"/>
    </row>
    <row r="154" spans="26:26">
      <c r="Z154" s="69"/>
    </row>
    <row r="155" spans="26:26">
      <c r="Z155" s="69"/>
    </row>
    <row r="156" spans="26:26">
      <c r="Z156" s="69"/>
    </row>
    <row r="157" spans="26:26">
      <c r="Z157" s="69"/>
    </row>
    <row r="158" spans="26:26">
      <c r="Z158" s="69"/>
    </row>
    <row r="159" spans="26:26">
      <c r="Z159" s="69"/>
    </row>
    <row r="160" spans="26:26">
      <c r="Z160" s="69"/>
    </row>
    <row r="161" spans="26:26">
      <c r="Z161" s="69"/>
    </row>
    <row r="162" spans="26:26">
      <c r="Z162" s="69"/>
    </row>
    <row r="163" spans="26:26">
      <c r="Z163" s="69"/>
    </row>
    <row r="164" spans="26:26">
      <c r="Z164" s="69"/>
    </row>
    <row r="165" spans="26:26">
      <c r="Z165" s="69"/>
    </row>
    <row r="166" spans="26:26">
      <c r="Z166" s="69"/>
    </row>
    <row r="167" spans="26:26">
      <c r="Z167" s="69"/>
    </row>
    <row r="168" spans="26:26">
      <c r="Z168" s="69"/>
    </row>
    <row r="169" spans="26:26">
      <c r="Z169" s="69"/>
    </row>
    <row r="170" spans="26:26">
      <c r="Z170" s="69"/>
    </row>
    <row r="171" spans="26:26">
      <c r="Z171" s="69"/>
    </row>
    <row r="172" spans="26:26">
      <c r="Z172" s="69"/>
    </row>
    <row r="173" spans="26:26">
      <c r="Z173" s="69"/>
    </row>
    <row r="174" spans="26:26">
      <c r="Z174" s="69"/>
    </row>
    <row r="175" spans="26:26">
      <c r="Z175" s="69"/>
    </row>
    <row r="176" spans="26:26">
      <c r="Z176" s="69"/>
    </row>
    <row r="177" spans="26:26">
      <c r="Z177" s="69"/>
    </row>
    <row r="178" spans="26:26">
      <c r="Z178" s="69"/>
    </row>
    <row r="179" spans="26:26">
      <c r="Z179" s="69"/>
    </row>
    <row r="180" spans="26:26">
      <c r="Z180" s="69"/>
    </row>
    <row r="181" spans="26:26">
      <c r="Z181" s="69"/>
    </row>
    <row r="182" spans="26:26">
      <c r="Z182" s="69"/>
    </row>
    <row r="183" spans="26:26">
      <c r="Z183" s="69"/>
    </row>
    <row r="184" spans="26:26">
      <c r="Z184" s="69"/>
    </row>
    <row r="185" spans="26:26">
      <c r="Z185" s="69"/>
    </row>
    <row r="186" spans="26:26">
      <c r="Z186" s="69"/>
    </row>
    <row r="187" spans="26:26">
      <c r="Z187" s="69"/>
    </row>
    <row r="188" spans="26:26">
      <c r="Z188" s="69"/>
    </row>
    <row r="189" spans="26:26">
      <c r="Z189" s="69"/>
    </row>
    <row r="190" spans="26:26">
      <c r="Z190" s="69"/>
    </row>
    <row r="191" spans="26:26">
      <c r="Z191" s="69"/>
    </row>
    <row r="192" spans="26:26">
      <c r="Z192" s="69"/>
    </row>
    <row r="193" spans="26:26">
      <c r="Z193" s="69"/>
    </row>
    <row r="194" spans="26:26">
      <c r="Z194" s="69"/>
    </row>
    <row r="195" spans="26:26">
      <c r="Z195" s="69"/>
    </row>
    <row r="196" spans="26:26">
      <c r="Z196" s="69"/>
    </row>
    <row r="197" spans="26:26">
      <c r="Z197" s="69"/>
    </row>
    <row r="198" spans="26:26">
      <c r="Z198" s="69"/>
    </row>
    <row r="199" spans="26:26">
      <c r="Z199" s="69"/>
    </row>
    <row r="200" spans="26:26">
      <c r="Z200" s="69"/>
    </row>
    <row r="201" spans="26:26">
      <c r="Z201" s="69"/>
    </row>
    <row r="202" spans="26:26">
      <c r="Z202" s="69"/>
    </row>
    <row r="203" spans="26:26">
      <c r="Z203" s="69"/>
    </row>
    <row r="204" spans="26:26">
      <c r="Z204" s="69"/>
    </row>
    <row r="205" spans="26:26">
      <c r="Z205" s="69"/>
    </row>
    <row r="206" spans="26:26">
      <c r="Z206" s="69"/>
    </row>
    <row r="207" spans="26:26">
      <c r="Z207" s="69"/>
    </row>
    <row r="208" spans="26:26">
      <c r="Z208" s="69"/>
    </row>
    <row r="209" spans="26:26">
      <c r="Z209" s="69"/>
    </row>
    <row r="210" spans="26:26">
      <c r="Z210" s="69"/>
    </row>
    <row r="211" spans="26:26">
      <c r="Z211" s="69"/>
    </row>
    <row r="212" spans="26:26">
      <c r="Z212" s="69"/>
    </row>
    <row r="213" spans="26:26">
      <c r="Z213" s="69"/>
    </row>
    <row r="214" spans="26:26">
      <c r="Z214" s="69"/>
    </row>
    <row r="215" spans="26:26">
      <c r="Z215" s="69"/>
    </row>
    <row r="216" spans="26:26">
      <c r="Z216" s="69"/>
    </row>
    <row r="217" spans="26:26">
      <c r="Z217" s="69"/>
    </row>
    <row r="218" spans="26:26">
      <c r="Z218" s="69"/>
    </row>
    <row r="219" spans="26:26">
      <c r="Z219" s="69"/>
    </row>
    <row r="220" spans="26:26">
      <c r="Z220" s="69"/>
    </row>
    <row r="221" spans="26:26">
      <c r="Z221" s="69"/>
    </row>
    <row r="222" spans="26:26">
      <c r="Z222" s="69"/>
    </row>
    <row r="223" spans="26:26">
      <c r="Z223" s="69"/>
    </row>
    <row r="224" spans="26:26">
      <c r="Z224" s="69"/>
    </row>
    <row r="225" spans="26:26">
      <c r="Z225" s="69"/>
    </row>
    <row r="226" spans="26:26">
      <c r="Z226" s="69"/>
    </row>
    <row r="227" spans="26:26">
      <c r="Z227" s="69"/>
    </row>
    <row r="228" spans="26:26">
      <c r="Z228" s="69"/>
    </row>
    <row r="229" spans="26:26">
      <c r="Z229" s="69"/>
    </row>
    <row r="230" spans="26:26">
      <c r="Z230" s="69"/>
    </row>
    <row r="231" spans="26:26">
      <c r="Z231" s="69"/>
    </row>
    <row r="232" spans="26:26">
      <c r="Z232" s="69"/>
    </row>
    <row r="233" spans="26:26">
      <c r="Z233" s="69"/>
    </row>
    <row r="234" spans="26:26">
      <c r="Z234" s="69"/>
    </row>
    <row r="235" spans="26:26">
      <c r="Z235" s="69"/>
    </row>
    <row r="236" spans="26:26">
      <c r="Z236" s="69"/>
    </row>
    <row r="237" spans="26:26">
      <c r="Z237" s="69"/>
    </row>
    <row r="238" spans="26:26">
      <c r="Z238" s="69"/>
    </row>
    <row r="239" spans="26:26">
      <c r="Z239" s="69"/>
    </row>
    <row r="240" spans="26:26">
      <c r="Z240" s="69"/>
    </row>
    <row r="241" spans="26:26">
      <c r="Z241" s="69"/>
    </row>
    <row r="242" spans="26:26">
      <c r="Z242" s="69"/>
    </row>
    <row r="243" spans="26:26">
      <c r="Z243" s="69"/>
    </row>
    <row r="244" spans="26:26">
      <c r="Z244" s="69"/>
    </row>
    <row r="245" spans="26:26">
      <c r="Z245" s="69"/>
    </row>
    <row r="246" spans="26:26">
      <c r="Z246" s="69"/>
    </row>
    <row r="247" spans="26:26">
      <c r="Z247" s="69"/>
    </row>
    <row r="248" spans="26:26">
      <c r="Z248" s="69"/>
    </row>
    <row r="249" spans="26:26">
      <c r="Z249" s="69"/>
    </row>
    <row r="250" spans="26:26">
      <c r="Z250" s="69"/>
    </row>
    <row r="251" spans="26:26">
      <c r="Z251" s="69"/>
    </row>
    <row r="252" spans="26:26">
      <c r="Z252" s="69"/>
    </row>
    <row r="253" spans="26:26">
      <c r="Z253" s="69"/>
    </row>
    <row r="254" spans="26:26">
      <c r="Z254" s="69"/>
    </row>
    <row r="255" spans="26:26">
      <c r="Z255" s="69"/>
    </row>
    <row r="256" spans="26:26">
      <c r="Z256" s="69"/>
    </row>
    <row r="257" spans="26:26">
      <c r="Z257" s="69"/>
    </row>
    <row r="258" spans="26:26">
      <c r="Z258" s="69"/>
    </row>
    <row r="259" spans="26:26">
      <c r="Z259" s="69"/>
    </row>
    <row r="260" spans="26:26">
      <c r="Z260" s="69"/>
    </row>
    <row r="261" spans="26:26">
      <c r="Z261" s="69"/>
    </row>
    <row r="262" spans="26:26">
      <c r="Z262" s="69"/>
    </row>
    <row r="263" spans="26:26">
      <c r="Z263" s="69"/>
    </row>
    <row r="264" spans="26:26">
      <c r="Z264" s="69"/>
    </row>
    <row r="265" spans="26:26">
      <c r="Z265" s="69"/>
    </row>
    <row r="266" spans="26:26">
      <c r="Z266" s="69"/>
    </row>
    <row r="267" spans="26:26">
      <c r="Z267" s="69"/>
    </row>
    <row r="268" spans="26:26">
      <c r="Z268" s="69"/>
    </row>
    <row r="269" spans="26:26">
      <c r="Z269" s="69"/>
    </row>
    <row r="270" spans="26:26">
      <c r="Z270" s="69"/>
    </row>
    <row r="271" spans="26:26">
      <c r="Z271" s="69"/>
    </row>
    <row r="272" spans="26:26">
      <c r="Z272" s="69"/>
    </row>
    <row r="273" spans="26:26">
      <c r="Z273" s="69"/>
    </row>
    <row r="274" spans="26:26">
      <c r="Z274" s="69"/>
    </row>
    <row r="275" spans="26:26">
      <c r="Z275" s="69"/>
    </row>
    <row r="276" spans="26:26">
      <c r="Z276" s="69"/>
    </row>
    <row r="277" spans="26:26">
      <c r="Z277" s="69"/>
    </row>
    <row r="278" spans="26:26">
      <c r="Z278" s="69"/>
    </row>
    <row r="279" spans="26:26">
      <c r="Z279" s="69"/>
    </row>
    <row r="280" spans="26:26">
      <c r="Z280" s="69"/>
    </row>
    <row r="281" spans="26:26">
      <c r="Z281" s="69"/>
    </row>
    <row r="282" spans="26:26">
      <c r="Z282" s="69"/>
    </row>
    <row r="283" spans="26:26">
      <c r="Z283" s="69"/>
    </row>
    <row r="284" spans="26:26">
      <c r="Z284" s="69"/>
    </row>
    <row r="285" spans="26:26">
      <c r="Z285" s="69"/>
    </row>
    <row r="286" spans="26:26">
      <c r="Z286" s="69"/>
    </row>
    <row r="287" spans="26:26">
      <c r="Z287" s="69"/>
    </row>
    <row r="288" spans="26:26">
      <c r="Z288" s="69"/>
    </row>
    <row r="289" spans="26:26">
      <c r="Z289" s="69"/>
    </row>
    <row r="290" spans="26:26">
      <c r="Z290" s="69"/>
    </row>
    <row r="291" spans="26:26">
      <c r="Z291" s="69"/>
    </row>
    <row r="292" spans="26:26">
      <c r="Z292" s="69"/>
    </row>
    <row r="293" spans="26:26">
      <c r="Z293" s="69"/>
    </row>
    <row r="294" spans="26:26">
      <c r="Z294" s="69"/>
    </row>
    <row r="295" spans="26:26">
      <c r="Z295" s="69"/>
    </row>
    <row r="296" spans="26:26">
      <c r="Z296" s="69"/>
    </row>
    <row r="297" spans="26:26">
      <c r="Z297" s="69"/>
    </row>
    <row r="298" spans="26:26">
      <c r="Z298" s="69"/>
    </row>
    <row r="299" spans="26:26">
      <c r="Z299" s="69"/>
    </row>
    <row r="300" spans="26:26">
      <c r="Z300" s="69"/>
    </row>
    <row r="301" spans="26:26">
      <c r="Z301" s="69"/>
    </row>
    <row r="302" spans="26:26">
      <c r="Z302" s="69"/>
    </row>
    <row r="303" spans="26:26">
      <c r="Z303" s="69"/>
    </row>
    <row r="304" spans="26:26">
      <c r="Z304" s="69"/>
    </row>
    <row r="305" spans="26:26">
      <c r="Z305" s="69"/>
    </row>
    <row r="306" spans="26:26">
      <c r="Z306" s="69"/>
    </row>
    <row r="307" spans="26:26">
      <c r="Z307" s="69"/>
    </row>
    <row r="308" spans="26:26">
      <c r="Z308" s="69"/>
    </row>
    <row r="309" spans="26:26">
      <c r="Z309" s="69"/>
    </row>
    <row r="310" spans="26:26">
      <c r="Z310" s="69"/>
    </row>
    <row r="311" spans="26:26">
      <c r="Z311" s="69"/>
    </row>
    <row r="312" spans="26:26">
      <c r="Z312" s="69"/>
    </row>
    <row r="313" spans="26:26">
      <c r="Z313" s="69"/>
    </row>
    <row r="314" spans="26:26">
      <c r="Z314" s="69"/>
    </row>
    <row r="315" spans="26:26">
      <c r="Z315" s="69"/>
    </row>
    <row r="316" spans="26:26">
      <c r="Z316" s="69"/>
    </row>
    <row r="317" spans="26:26">
      <c r="Z317" s="69"/>
    </row>
    <row r="318" spans="26:26">
      <c r="Z318" s="69"/>
    </row>
    <row r="319" spans="26:26">
      <c r="Z319" s="69"/>
    </row>
    <row r="320" spans="26:26">
      <c r="Z320" s="69"/>
    </row>
    <row r="321" spans="26:26">
      <c r="Z321" s="69"/>
    </row>
    <row r="322" spans="26:26">
      <c r="Z322" s="69"/>
    </row>
    <row r="323" spans="26:26">
      <c r="Z323" s="69"/>
    </row>
    <row r="324" spans="26:26">
      <c r="Z324" s="69"/>
    </row>
    <row r="325" spans="26:26">
      <c r="Z325" s="69"/>
    </row>
    <row r="326" spans="26:26">
      <c r="Z326" s="69"/>
    </row>
    <row r="327" spans="26:26">
      <c r="Z327" s="69"/>
    </row>
    <row r="328" spans="26:26">
      <c r="Z328" s="69"/>
    </row>
    <row r="329" spans="26:26">
      <c r="Z329" s="69"/>
    </row>
    <row r="330" spans="26:26">
      <c r="Z330" s="69"/>
    </row>
    <row r="331" spans="26:26">
      <c r="Z331" s="69"/>
    </row>
    <row r="332" spans="26:26">
      <c r="Z332" s="69"/>
    </row>
    <row r="333" spans="26:26">
      <c r="Z333" s="69"/>
    </row>
    <row r="334" spans="26:26">
      <c r="Z334" s="69"/>
    </row>
    <row r="335" spans="26:26">
      <c r="Z335" s="69"/>
    </row>
    <row r="336" spans="26:26">
      <c r="Z336" s="69"/>
    </row>
    <row r="337" spans="26:26">
      <c r="Z337" s="69"/>
    </row>
    <row r="338" spans="26:26">
      <c r="Z338" s="69"/>
    </row>
    <row r="339" spans="26:26">
      <c r="Z339" s="69"/>
    </row>
    <row r="340" spans="26:26">
      <c r="Z340" s="69"/>
    </row>
    <row r="341" spans="26:26">
      <c r="Z341" s="69"/>
    </row>
    <row r="342" spans="26:26">
      <c r="Z342" s="69"/>
    </row>
    <row r="343" spans="26:26">
      <c r="Z343" s="69"/>
    </row>
    <row r="344" spans="26:26">
      <c r="Z344" s="69"/>
    </row>
    <row r="345" spans="26:26">
      <c r="Z345" s="69"/>
    </row>
    <row r="346" spans="26:26">
      <c r="Z346" s="69"/>
    </row>
    <row r="347" spans="26:26">
      <c r="Z347" s="69"/>
    </row>
    <row r="348" spans="26:26">
      <c r="Z348" s="69"/>
    </row>
    <row r="349" spans="26:26">
      <c r="Z349" s="69"/>
    </row>
    <row r="350" spans="26:26">
      <c r="Z350" s="69"/>
    </row>
    <row r="351" spans="26:26">
      <c r="Z351" s="69"/>
    </row>
    <row r="352" spans="26:26">
      <c r="Z352" s="69"/>
    </row>
    <row r="353" spans="26:26">
      <c r="Z353" s="69"/>
    </row>
    <row r="354" spans="26:26">
      <c r="Z354" s="69"/>
    </row>
    <row r="355" spans="26:26">
      <c r="Z355" s="69"/>
    </row>
    <row r="356" spans="26:26">
      <c r="Z356" s="69"/>
    </row>
    <row r="357" spans="26:26">
      <c r="Z357" s="69"/>
    </row>
    <row r="358" spans="26:26">
      <c r="Z358" s="69"/>
    </row>
    <row r="359" spans="26:26">
      <c r="Z359" s="69"/>
    </row>
    <row r="360" spans="26:26">
      <c r="Z360" s="69"/>
    </row>
    <row r="361" spans="26:26">
      <c r="Z361" s="69"/>
    </row>
    <row r="362" spans="26:26">
      <c r="Z362" s="69"/>
    </row>
    <row r="363" spans="26:26">
      <c r="Z363" s="69"/>
    </row>
    <row r="364" spans="26:26">
      <c r="Z364" s="69"/>
    </row>
    <row r="365" spans="26:26">
      <c r="Z365" s="69"/>
    </row>
    <row r="366" spans="26:26">
      <c r="Z366" s="69"/>
    </row>
    <row r="367" spans="26:26">
      <c r="Z367" s="69"/>
    </row>
    <row r="368" spans="26:26">
      <c r="Z368" s="69"/>
    </row>
    <row r="369" spans="26:26">
      <c r="Z369" s="69"/>
    </row>
    <row r="370" spans="26:26">
      <c r="Z370" s="69"/>
    </row>
    <row r="371" spans="26:26">
      <c r="Z371" s="69"/>
    </row>
    <row r="372" spans="26:26">
      <c r="Z372" s="69"/>
    </row>
    <row r="373" spans="26:26">
      <c r="Z373" s="69"/>
    </row>
    <row r="374" spans="26:26">
      <c r="Z374" s="69"/>
    </row>
    <row r="375" spans="26:26">
      <c r="Z375" s="69"/>
    </row>
    <row r="376" spans="26:26">
      <c r="Z376" s="69"/>
    </row>
    <row r="377" spans="26:26">
      <c r="Z377" s="69"/>
    </row>
    <row r="378" spans="26:26">
      <c r="Z378" s="69"/>
    </row>
    <row r="379" spans="26:26">
      <c r="Z379" s="69"/>
    </row>
    <row r="380" spans="26:26">
      <c r="Z380" s="69"/>
    </row>
    <row r="381" spans="26:26">
      <c r="Z381" s="69"/>
    </row>
    <row r="382" spans="26:26">
      <c r="Z382" s="69"/>
    </row>
    <row r="383" spans="26:26">
      <c r="Z383" s="69"/>
    </row>
    <row r="384" spans="26:26">
      <c r="Z384" s="69"/>
    </row>
    <row r="385" spans="26:26">
      <c r="Z385" s="69"/>
    </row>
    <row r="386" spans="26:26">
      <c r="Z386" s="69"/>
    </row>
    <row r="387" spans="26:26">
      <c r="Z387" s="69"/>
    </row>
    <row r="388" spans="26:26">
      <c r="Z388" s="69"/>
    </row>
    <row r="389" spans="26:26">
      <c r="Z389" s="69"/>
    </row>
    <row r="390" spans="26:26">
      <c r="Z390" s="69"/>
    </row>
    <row r="391" spans="26:26">
      <c r="Z391" s="69"/>
    </row>
    <row r="392" spans="26:26">
      <c r="Z392" s="69"/>
    </row>
    <row r="393" spans="26:26">
      <c r="Z393" s="69"/>
    </row>
    <row r="394" spans="26:26">
      <c r="Z394" s="69"/>
    </row>
    <row r="395" spans="26:26">
      <c r="Z395" s="69"/>
    </row>
    <row r="396" spans="26:26">
      <c r="Z396" s="69"/>
    </row>
    <row r="397" spans="26:26">
      <c r="Z397" s="69"/>
    </row>
    <row r="398" spans="26:26">
      <c r="Z398" s="69"/>
    </row>
    <row r="399" spans="26:26">
      <c r="Z399" s="69"/>
    </row>
    <row r="400" spans="26:26">
      <c r="Z400" s="69"/>
    </row>
    <row r="401" spans="26:26">
      <c r="Z401" s="69"/>
    </row>
    <row r="402" spans="26:26">
      <c r="Z402" s="69"/>
    </row>
    <row r="403" spans="26:26">
      <c r="Z403" s="69"/>
    </row>
    <row r="404" spans="26:26">
      <c r="Z404" s="69"/>
    </row>
    <row r="405" spans="26:26">
      <c r="Z405" s="69"/>
    </row>
    <row r="406" spans="26:26">
      <c r="Z406" s="69"/>
    </row>
    <row r="407" spans="26:26">
      <c r="Z407" s="69"/>
    </row>
    <row r="408" spans="26:26">
      <c r="Z408" s="69"/>
    </row>
    <row r="409" spans="26:26">
      <c r="Z409" s="69"/>
    </row>
    <row r="410" spans="26:26">
      <c r="Z410" s="69"/>
    </row>
    <row r="411" spans="26:26">
      <c r="Z411" s="69"/>
    </row>
    <row r="412" spans="26:26">
      <c r="Z412" s="69"/>
    </row>
    <row r="413" spans="26:26">
      <c r="Z413" s="69"/>
    </row>
    <row r="414" spans="26:26">
      <c r="Z414" s="69"/>
    </row>
    <row r="415" spans="26:26">
      <c r="Z415" s="69"/>
    </row>
    <row r="416" spans="26:26">
      <c r="Z416" s="69"/>
    </row>
    <row r="417" spans="26:26">
      <c r="Z417" s="69"/>
    </row>
    <row r="418" spans="26:26">
      <c r="Z418" s="69"/>
    </row>
    <row r="419" spans="26:26">
      <c r="Z419" s="69"/>
    </row>
    <row r="420" spans="26:26">
      <c r="Z420" s="69"/>
    </row>
    <row r="421" spans="26:26">
      <c r="Z421" s="69"/>
    </row>
    <row r="422" spans="26:26">
      <c r="Z422" s="69"/>
    </row>
    <row r="423" spans="26:26">
      <c r="Z423" s="69"/>
    </row>
    <row r="424" spans="26:26">
      <c r="Z424" s="69"/>
    </row>
    <row r="425" spans="26:26">
      <c r="Z425" s="69"/>
    </row>
    <row r="426" spans="26:26">
      <c r="Z426" s="69"/>
    </row>
    <row r="427" spans="26:26">
      <c r="Z427" s="69"/>
    </row>
    <row r="428" spans="26:26">
      <c r="Z428" s="69"/>
    </row>
    <row r="429" spans="26:26">
      <c r="Z429" s="69"/>
    </row>
    <row r="430" spans="26:26">
      <c r="Z430" s="69"/>
    </row>
    <row r="431" spans="26:26">
      <c r="Z431" s="69"/>
    </row>
    <row r="432" spans="26:26">
      <c r="Z432" s="69"/>
    </row>
    <row r="433" spans="26:26">
      <c r="Z433" s="69"/>
    </row>
    <row r="434" spans="26:26">
      <c r="Z434" s="69"/>
    </row>
    <row r="435" spans="26:26">
      <c r="Z435" s="69"/>
    </row>
    <row r="436" spans="26:26">
      <c r="Z436" s="69"/>
    </row>
    <row r="437" spans="26:26">
      <c r="Z437" s="69"/>
    </row>
    <row r="438" spans="26:26">
      <c r="Z438" s="69"/>
    </row>
    <row r="439" spans="26:26">
      <c r="Z439" s="69"/>
    </row>
    <row r="440" spans="26:26">
      <c r="Z440" s="69"/>
    </row>
    <row r="441" spans="26:26">
      <c r="Z441" s="69"/>
    </row>
    <row r="442" spans="26:26">
      <c r="Z442" s="69"/>
    </row>
    <row r="443" spans="26:26">
      <c r="Z443" s="69"/>
    </row>
    <row r="444" spans="26:26">
      <c r="Z444" s="69"/>
    </row>
    <row r="445" spans="26:26">
      <c r="Z445" s="69"/>
    </row>
    <row r="446" spans="26:26">
      <c r="Z446" s="69"/>
    </row>
    <row r="447" spans="26:26">
      <c r="Z447" s="69"/>
    </row>
    <row r="448" spans="26:26">
      <c r="Z448" s="69"/>
    </row>
    <row r="449" spans="26:26">
      <c r="Z449" s="69"/>
    </row>
    <row r="450" spans="26:26">
      <c r="Z450" s="69"/>
    </row>
    <row r="451" spans="26:26">
      <c r="Z451" s="69"/>
    </row>
    <row r="452" spans="26:26">
      <c r="Z452" s="69"/>
    </row>
    <row r="453" spans="26:26">
      <c r="Z453" s="69"/>
    </row>
    <row r="454" spans="26:26">
      <c r="Z454" s="69"/>
    </row>
    <row r="455" spans="26:26">
      <c r="Z455" s="69"/>
    </row>
    <row r="456" spans="26:26">
      <c r="Z456" s="69"/>
    </row>
    <row r="457" spans="26:26">
      <c r="Z457" s="69"/>
    </row>
    <row r="458" spans="26:26">
      <c r="Z458" s="69"/>
    </row>
    <row r="459" spans="26:26">
      <c r="Z459" s="69"/>
    </row>
    <row r="460" spans="26:26">
      <c r="Z460" s="69"/>
    </row>
    <row r="461" spans="26:26">
      <c r="Z461" s="69"/>
    </row>
    <row r="462" spans="26:26">
      <c r="Z462" s="69"/>
    </row>
    <row r="463" spans="26:26">
      <c r="Z463" s="69"/>
    </row>
    <row r="464" spans="26:26">
      <c r="Z464" s="69"/>
    </row>
    <row r="465" spans="26:26">
      <c r="Z465" s="69"/>
    </row>
    <row r="466" spans="26:26">
      <c r="Z466" s="69"/>
    </row>
    <row r="467" spans="26:26">
      <c r="Z467" s="69"/>
    </row>
    <row r="468" spans="26:26">
      <c r="Z468" s="69"/>
    </row>
    <row r="469" spans="26:26">
      <c r="Z469" s="69"/>
    </row>
    <row r="470" spans="26:26">
      <c r="Z470" s="69"/>
    </row>
    <row r="471" spans="26:26">
      <c r="Z471" s="69"/>
    </row>
    <row r="472" spans="26:26">
      <c r="Z472" s="69"/>
    </row>
    <row r="473" spans="26:26">
      <c r="Z473" s="69"/>
    </row>
    <row r="474" spans="26:26">
      <c r="Z474" s="69"/>
    </row>
    <row r="475" spans="26:26">
      <c r="Z475" s="69"/>
    </row>
    <row r="476" spans="26:26">
      <c r="Z476" s="69"/>
    </row>
    <row r="477" spans="26:26">
      <c r="Z477" s="69"/>
    </row>
    <row r="478" spans="26:26">
      <c r="Z478" s="69"/>
    </row>
    <row r="479" spans="26:26">
      <c r="Z479" s="69"/>
    </row>
    <row r="480" spans="26:26">
      <c r="Z480" s="69"/>
    </row>
    <row r="481" spans="26:26">
      <c r="Z481" s="69"/>
    </row>
    <row r="482" spans="26:26">
      <c r="Z482" s="69"/>
    </row>
    <row r="483" spans="26:26">
      <c r="Z483" s="69"/>
    </row>
    <row r="484" spans="26:26">
      <c r="Z484" s="69"/>
    </row>
    <row r="485" spans="26:26">
      <c r="Z485" s="69"/>
    </row>
    <row r="486" spans="26:26">
      <c r="Z486" s="69"/>
    </row>
    <row r="487" spans="26:26">
      <c r="Z487" s="69"/>
    </row>
  </sheetData>
  <mergeCells count="70">
    <mergeCell ref="H77:H88"/>
    <mergeCell ref="I77:I88"/>
    <mergeCell ref="J77:J88"/>
    <mergeCell ref="C77:C88"/>
    <mergeCell ref="D77:D88"/>
    <mergeCell ref="E77:E88"/>
    <mergeCell ref="F77:F88"/>
    <mergeCell ref="G77:G88"/>
    <mergeCell ref="C53:C64"/>
    <mergeCell ref="D53:D64"/>
    <mergeCell ref="E53:E64"/>
    <mergeCell ref="F53:F64"/>
    <mergeCell ref="G53:G64"/>
    <mergeCell ref="U92:W92"/>
    <mergeCell ref="O94:Q94"/>
    <mergeCell ref="R94:T94"/>
    <mergeCell ref="U94:W94"/>
    <mergeCell ref="L92:N92"/>
    <mergeCell ref="L94:N94"/>
    <mergeCell ref="O92:Q92"/>
    <mergeCell ref="R92:T92"/>
    <mergeCell ref="L93:N93"/>
    <mergeCell ref="O93:Q93"/>
    <mergeCell ref="R93:T93"/>
    <mergeCell ref="U93:W93"/>
    <mergeCell ref="C2:J4"/>
    <mergeCell ref="C89:J91"/>
    <mergeCell ref="C41:C52"/>
    <mergeCell ref="D41:D52"/>
    <mergeCell ref="E41:E52"/>
    <mergeCell ref="F41:F52"/>
    <mergeCell ref="G41:G52"/>
    <mergeCell ref="H41:H52"/>
    <mergeCell ref="I41:I52"/>
    <mergeCell ref="J41:J52"/>
    <mergeCell ref="H65:H76"/>
    <mergeCell ref="I65:I76"/>
    <mergeCell ref="J65:J76"/>
    <mergeCell ref="C65:C76"/>
    <mergeCell ref="D65:D76"/>
    <mergeCell ref="E65:E76"/>
    <mergeCell ref="F65:F76"/>
    <mergeCell ref="G65:G76"/>
    <mergeCell ref="H17:H28"/>
    <mergeCell ref="I17:I28"/>
    <mergeCell ref="J17:J28"/>
    <mergeCell ref="H29:H40"/>
    <mergeCell ref="I29:I40"/>
    <mergeCell ref="J29:J40"/>
    <mergeCell ref="H53:H64"/>
    <mergeCell ref="I53:I64"/>
    <mergeCell ref="J53:J64"/>
    <mergeCell ref="C17:C28"/>
    <mergeCell ref="D17:D28"/>
    <mergeCell ref="E17:E28"/>
    <mergeCell ref="F17:F28"/>
    <mergeCell ref="G17:G28"/>
    <mergeCell ref="C29:C40"/>
    <mergeCell ref="D29:D40"/>
    <mergeCell ref="E29:E40"/>
    <mergeCell ref="F29:F40"/>
    <mergeCell ref="G29:G40"/>
    <mergeCell ref="H5:H16"/>
    <mergeCell ref="I5:I16"/>
    <mergeCell ref="J5:J16"/>
    <mergeCell ref="C5:C16"/>
    <mergeCell ref="D5:D16"/>
    <mergeCell ref="E5:E16"/>
    <mergeCell ref="F5:F16"/>
    <mergeCell ref="G5:G16"/>
  </mergeCells>
  <phoneticPr fontId="10"/>
  <printOptions horizontalCentered="1"/>
  <pageMargins left="0.70866141732283472" right="0.70866141732283472" top="0.70866141732283472" bottom="0.70866141732283472" header="0.31496062992125984" footer="0.31496062992125984"/>
  <pageSetup paperSize="8" scale="75" orientation="landscape" r:id="rId1"/>
  <ignoredErrors>
    <ignoredError sqref="X52" formula="1"/>
  </ignoredErrors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42A36-4703-4B00-B3E0-D3B35FE7B86E}">
  <sheetPr>
    <pageSetUpPr fitToPage="1"/>
  </sheetPr>
  <dimension ref="A1:Z403"/>
  <sheetViews>
    <sheetView showGridLines="0" zoomScale="70" zoomScaleNormal="70" zoomScaleSheetLayoutView="70" workbookViewId="0">
      <pane xSplit="11" ySplit="4" topLeftCell="L5" activePane="bottomRight" state="frozen"/>
      <selection pane="topRight"/>
      <selection pane="bottomLeft"/>
      <selection pane="bottomRight" activeCell="L6" sqref="L6:L63"/>
    </sheetView>
  </sheetViews>
  <sheetFormatPr defaultRowHeight="12"/>
  <cols>
    <col min="1" max="1" width="9.6328125" style="115" customWidth="1"/>
    <col min="2" max="2" width="11.90625" style="73" customWidth="1"/>
    <col min="3" max="3" width="6.36328125" style="9" customWidth="1"/>
    <col min="4" max="4" width="10.36328125" style="9" customWidth="1"/>
    <col min="5" max="5" width="5.08984375" style="9" customWidth="1"/>
    <col min="6" max="6" width="9.90625" style="171" customWidth="1"/>
    <col min="7" max="9" width="9.90625" style="9" customWidth="1"/>
    <col min="10" max="10" width="8.453125" style="9" customWidth="1"/>
    <col min="11" max="11" width="10.453125" style="9" customWidth="1"/>
    <col min="12" max="23" width="13.08984375" style="9" customWidth="1"/>
    <col min="24" max="24" width="16.453125" style="9" customWidth="1"/>
    <col min="25" max="25" width="8.90625" style="2"/>
    <col min="26" max="26" width="11" style="2" bestFit="1" customWidth="1"/>
    <col min="27" max="259" width="8.90625" style="2"/>
    <col min="260" max="260" width="9.6328125" style="2" customWidth="1"/>
    <col min="261" max="262" width="5.08984375" style="2" customWidth="1"/>
    <col min="263" max="263" width="9.6328125" style="2" customWidth="1"/>
    <col min="264" max="265" width="11.6328125" style="2" customWidth="1"/>
    <col min="266" max="266" width="15.36328125" style="2" customWidth="1"/>
    <col min="267" max="267" width="10.90625" style="2" customWidth="1"/>
    <col min="268" max="278" width="13.36328125" style="2" customWidth="1"/>
    <col min="279" max="279" width="13.6328125" style="2" customWidth="1"/>
    <col min="280" max="280" width="16.453125" style="2" customWidth="1"/>
    <col min="281" max="515" width="8.90625" style="2"/>
    <col min="516" max="516" width="9.6328125" style="2" customWidth="1"/>
    <col min="517" max="518" width="5.08984375" style="2" customWidth="1"/>
    <col min="519" max="519" width="9.6328125" style="2" customWidth="1"/>
    <col min="520" max="521" width="11.6328125" style="2" customWidth="1"/>
    <col min="522" max="522" width="15.36328125" style="2" customWidth="1"/>
    <col min="523" max="523" width="10.90625" style="2" customWidth="1"/>
    <col min="524" max="534" width="13.36328125" style="2" customWidth="1"/>
    <col min="535" max="535" width="13.6328125" style="2" customWidth="1"/>
    <col min="536" max="536" width="16.453125" style="2" customWidth="1"/>
    <col min="537" max="771" width="8.90625" style="2"/>
    <col min="772" max="772" width="9.6328125" style="2" customWidth="1"/>
    <col min="773" max="774" width="5.08984375" style="2" customWidth="1"/>
    <col min="775" max="775" width="9.6328125" style="2" customWidth="1"/>
    <col min="776" max="777" width="11.6328125" style="2" customWidth="1"/>
    <col min="778" max="778" width="15.36328125" style="2" customWidth="1"/>
    <col min="779" max="779" width="10.90625" style="2" customWidth="1"/>
    <col min="780" max="790" width="13.36328125" style="2" customWidth="1"/>
    <col min="791" max="791" width="13.6328125" style="2" customWidth="1"/>
    <col min="792" max="792" width="16.453125" style="2" customWidth="1"/>
    <col min="793" max="1027" width="8.90625" style="2"/>
    <col min="1028" max="1028" width="9.6328125" style="2" customWidth="1"/>
    <col min="1029" max="1030" width="5.08984375" style="2" customWidth="1"/>
    <col min="1031" max="1031" width="9.6328125" style="2" customWidth="1"/>
    <col min="1032" max="1033" width="11.6328125" style="2" customWidth="1"/>
    <col min="1034" max="1034" width="15.36328125" style="2" customWidth="1"/>
    <col min="1035" max="1035" width="10.90625" style="2" customWidth="1"/>
    <col min="1036" max="1046" width="13.36328125" style="2" customWidth="1"/>
    <col min="1047" max="1047" width="13.6328125" style="2" customWidth="1"/>
    <col min="1048" max="1048" width="16.453125" style="2" customWidth="1"/>
    <col min="1049" max="1283" width="8.90625" style="2"/>
    <col min="1284" max="1284" width="9.6328125" style="2" customWidth="1"/>
    <col min="1285" max="1286" width="5.08984375" style="2" customWidth="1"/>
    <col min="1287" max="1287" width="9.6328125" style="2" customWidth="1"/>
    <col min="1288" max="1289" width="11.6328125" style="2" customWidth="1"/>
    <col min="1290" max="1290" width="15.36328125" style="2" customWidth="1"/>
    <col min="1291" max="1291" width="10.90625" style="2" customWidth="1"/>
    <col min="1292" max="1302" width="13.36328125" style="2" customWidth="1"/>
    <col min="1303" max="1303" width="13.6328125" style="2" customWidth="1"/>
    <col min="1304" max="1304" width="16.453125" style="2" customWidth="1"/>
    <col min="1305" max="1539" width="8.90625" style="2"/>
    <col min="1540" max="1540" width="9.6328125" style="2" customWidth="1"/>
    <col min="1541" max="1542" width="5.08984375" style="2" customWidth="1"/>
    <col min="1543" max="1543" width="9.6328125" style="2" customWidth="1"/>
    <col min="1544" max="1545" width="11.6328125" style="2" customWidth="1"/>
    <col min="1546" max="1546" width="15.36328125" style="2" customWidth="1"/>
    <col min="1547" max="1547" width="10.90625" style="2" customWidth="1"/>
    <col min="1548" max="1558" width="13.36328125" style="2" customWidth="1"/>
    <col min="1559" max="1559" width="13.6328125" style="2" customWidth="1"/>
    <col min="1560" max="1560" width="16.453125" style="2" customWidth="1"/>
    <col min="1561" max="1795" width="8.90625" style="2"/>
    <col min="1796" max="1796" width="9.6328125" style="2" customWidth="1"/>
    <col min="1797" max="1798" width="5.08984375" style="2" customWidth="1"/>
    <col min="1799" max="1799" width="9.6328125" style="2" customWidth="1"/>
    <col min="1800" max="1801" width="11.6328125" style="2" customWidth="1"/>
    <col min="1802" max="1802" width="15.36328125" style="2" customWidth="1"/>
    <col min="1803" max="1803" width="10.90625" style="2" customWidth="1"/>
    <col min="1804" max="1814" width="13.36328125" style="2" customWidth="1"/>
    <col min="1815" max="1815" width="13.6328125" style="2" customWidth="1"/>
    <col min="1816" max="1816" width="16.453125" style="2" customWidth="1"/>
    <col min="1817" max="2051" width="8.90625" style="2"/>
    <col min="2052" max="2052" width="9.6328125" style="2" customWidth="1"/>
    <col min="2053" max="2054" width="5.08984375" style="2" customWidth="1"/>
    <col min="2055" max="2055" width="9.6328125" style="2" customWidth="1"/>
    <col min="2056" max="2057" width="11.6328125" style="2" customWidth="1"/>
    <col min="2058" max="2058" width="15.36328125" style="2" customWidth="1"/>
    <col min="2059" max="2059" width="10.90625" style="2" customWidth="1"/>
    <col min="2060" max="2070" width="13.36328125" style="2" customWidth="1"/>
    <col min="2071" max="2071" width="13.6328125" style="2" customWidth="1"/>
    <col min="2072" max="2072" width="16.453125" style="2" customWidth="1"/>
    <col min="2073" max="2307" width="8.90625" style="2"/>
    <col min="2308" max="2308" width="9.6328125" style="2" customWidth="1"/>
    <col min="2309" max="2310" width="5.08984375" style="2" customWidth="1"/>
    <col min="2311" max="2311" width="9.6328125" style="2" customWidth="1"/>
    <col min="2312" max="2313" width="11.6328125" style="2" customWidth="1"/>
    <col min="2314" max="2314" width="15.36328125" style="2" customWidth="1"/>
    <col min="2315" max="2315" width="10.90625" style="2" customWidth="1"/>
    <col min="2316" max="2326" width="13.36328125" style="2" customWidth="1"/>
    <col min="2327" max="2327" width="13.6328125" style="2" customWidth="1"/>
    <col min="2328" max="2328" width="16.453125" style="2" customWidth="1"/>
    <col min="2329" max="2563" width="8.90625" style="2"/>
    <col min="2564" max="2564" width="9.6328125" style="2" customWidth="1"/>
    <col min="2565" max="2566" width="5.08984375" style="2" customWidth="1"/>
    <col min="2567" max="2567" width="9.6328125" style="2" customWidth="1"/>
    <col min="2568" max="2569" width="11.6328125" style="2" customWidth="1"/>
    <col min="2570" max="2570" width="15.36328125" style="2" customWidth="1"/>
    <col min="2571" max="2571" width="10.90625" style="2" customWidth="1"/>
    <col min="2572" max="2582" width="13.36328125" style="2" customWidth="1"/>
    <col min="2583" max="2583" width="13.6328125" style="2" customWidth="1"/>
    <col min="2584" max="2584" width="16.453125" style="2" customWidth="1"/>
    <col min="2585" max="2819" width="8.90625" style="2"/>
    <col min="2820" max="2820" width="9.6328125" style="2" customWidth="1"/>
    <col min="2821" max="2822" width="5.08984375" style="2" customWidth="1"/>
    <col min="2823" max="2823" width="9.6328125" style="2" customWidth="1"/>
    <col min="2824" max="2825" width="11.6328125" style="2" customWidth="1"/>
    <col min="2826" max="2826" width="15.36328125" style="2" customWidth="1"/>
    <col min="2827" max="2827" width="10.90625" style="2" customWidth="1"/>
    <col min="2828" max="2838" width="13.36328125" style="2" customWidth="1"/>
    <col min="2839" max="2839" width="13.6328125" style="2" customWidth="1"/>
    <col min="2840" max="2840" width="16.453125" style="2" customWidth="1"/>
    <col min="2841" max="3075" width="8.90625" style="2"/>
    <col min="3076" max="3076" width="9.6328125" style="2" customWidth="1"/>
    <col min="3077" max="3078" width="5.08984375" style="2" customWidth="1"/>
    <col min="3079" max="3079" width="9.6328125" style="2" customWidth="1"/>
    <col min="3080" max="3081" width="11.6328125" style="2" customWidth="1"/>
    <col min="3082" max="3082" width="15.36328125" style="2" customWidth="1"/>
    <col min="3083" max="3083" width="10.90625" style="2" customWidth="1"/>
    <col min="3084" max="3094" width="13.36328125" style="2" customWidth="1"/>
    <col min="3095" max="3095" width="13.6328125" style="2" customWidth="1"/>
    <col min="3096" max="3096" width="16.453125" style="2" customWidth="1"/>
    <col min="3097" max="3331" width="8.90625" style="2"/>
    <col min="3332" max="3332" width="9.6328125" style="2" customWidth="1"/>
    <col min="3333" max="3334" width="5.08984375" style="2" customWidth="1"/>
    <col min="3335" max="3335" width="9.6328125" style="2" customWidth="1"/>
    <col min="3336" max="3337" width="11.6328125" style="2" customWidth="1"/>
    <col min="3338" max="3338" width="15.36328125" style="2" customWidth="1"/>
    <col min="3339" max="3339" width="10.90625" style="2" customWidth="1"/>
    <col min="3340" max="3350" width="13.36328125" style="2" customWidth="1"/>
    <col min="3351" max="3351" width="13.6328125" style="2" customWidth="1"/>
    <col min="3352" max="3352" width="16.453125" style="2" customWidth="1"/>
    <col min="3353" max="3587" width="8.90625" style="2"/>
    <col min="3588" max="3588" width="9.6328125" style="2" customWidth="1"/>
    <col min="3589" max="3590" width="5.08984375" style="2" customWidth="1"/>
    <col min="3591" max="3591" width="9.6328125" style="2" customWidth="1"/>
    <col min="3592" max="3593" width="11.6328125" style="2" customWidth="1"/>
    <col min="3594" max="3594" width="15.36328125" style="2" customWidth="1"/>
    <col min="3595" max="3595" width="10.90625" style="2" customWidth="1"/>
    <col min="3596" max="3606" width="13.36328125" style="2" customWidth="1"/>
    <col min="3607" max="3607" width="13.6328125" style="2" customWidth="1"/>
    <col min="3608" max="3608" width="16.453125" style="2" customWidth="1"/>
    <col min="3609" max="3843" width="8.90625" style="2"/>
    <col min="3844" max="3844" width="9.6328125" style="2" customWidth="1"/>
    <col min="3845" max="3846" width="5.08984375" style="2" customWidth="1"/>
    <col min="3847" max="3847" width="9.6328125" style="2" customWidth="1"/>
    <col min="3848" max="3849" width="11.6328125" style="2" customWidth="1"/>
    <col min="3850" max="3850" width="15.36328125" style="2" customWidth="1"/>
    <col min="3851" max="3851" width="10.90625" style="2" customWidth="1"/>
    <col min="3852" max="3862" width="13.36328125" style="2" customWidth="1"/>
    <col min="3863" max="3863" width="13.6328125" style="2" customWidth="1"/>
    <col min="3864" max="3864" width="16.453125" style="2" customWidth="1"/>
    <col min="3865" max="4099" width="8.90625" style="2"/>
    <col min="4100" max="4100" width="9.6328125" style="2" customWidth="1"/>
    <col min="4101" max="4102" width="5.08984375" style="2" customWidth="1"/>
    <col min="4103" max="4103" width="9.6328125" style="2" customWidth="1"/>
    <col min="4104" max="4105" width="11.6328125" style="2" customWidth="1"/>
    <col min="4106" max="4106" width="15.36328125" style="2" customWidth="1"/>
    <col min="4107" max="4107" width="10.90625" style="2" customWidth="1"/>
    <col min="4108" max="4118" width="13.36328125" style="2" customWidth="1"/>
    <col min="4119" max="4119" width="13.6328125" style="2" customWidth="1"/>
    <col min="4120" max="4120" width="16.453125" style="2" customWidth="1"/>
    <col min="4121" max="4355" width="8.90625" style="2"/>
    <col min="4356" max="4356" width="9.6328125" style="2" customWidth="1"/>
    <col min="4357" max="4358" width="5.08984375" style="2" customWidth="1"/>
    <col min="4359" max="4359" width="9.6328125" style="2" customWidth="1"/>
    <col min="4360" max="4361" width="11.6328125" style="2" customWidth="1"/>
    <col min="4362" max="4362" width="15.36328125" style="2" customWidth="1"/>
    <col min="4363" max="4363" width="10.90625" style="2" customWidth="1"/>
    <col min="4364" max="4374" width="13.36328125" style="2" customWidth="1"/>
    <col min="4375" max="4375" width="13.6328125" style="2" customWidth="1"/>
    <col min="4376" max="4376" width="16.453125" style="2" customWidth="1"/>
    <col min="4377" max="4611" width="8.90625" style="2"/>
    <col min="4612" max="4612" width="9.6328125" style="2" customWidth="1"/>
    <col min="4613" max="4614" width="5.08984375" style="2" customWidth="1"/>
    <col min="4615" max="4615" width="9.6328125" style="2" customWidth="1"/>
    <col min="4616" max="4617" width="11.6328125" style="2" customWidth="1"/>
    <col min="4618" max="4618" width="15.36328125" style="2" customWidth="1"/>
    <col min="4619" max="4619" width="10.90625" style="2" customWidth="1"/>
    <col min="4620" max="4630" width="13.36328125" style="2" customWidth="1"/>
    <col min="4631" max="4631" width="13.6328125" style="2" customWidth="1"/>
    <col min="4632" max="4632" width="16.453125" style="2" customWidth="1"/>
    <col min="4633" max="4867" width="8.90625" style="2"/>
    <col min="4868" max="4868" width="9.6328125" style="2" customWidth="1"/>
    <col min="4869" max="4870" width="5.08984375" style="2" customWidth="1"/>
    <col min="4871" max="4871" width="9.6328125" style="2" customWidth="1"/>
    <col min="4872" max="4873" width="11.6328125" style="2" customWidth="1"/>
    <col min="4874" max="4874" width="15.36328125" style="2" customWidth="1"/>
    <col min="4875" max="4875" width="10.90625" style="2" customWidth="1"/>
    <col min="4876" max="4886" width="13.36328125" style="2" customWidth="1"/>
    <col min="4887" max="4887" width="13.6328125" style="2" customWidth="1"/>
    <col min="4888" max="4888" width="16.453125" style="2" customWidth="1"/>
    <col min="4889" max="5123" width="8.90625" style="2"/>
    <col min="5124" max="5124" width="9.6328125" style="2" customWidth="1"/>
    <col min="5125" max="5126" width="5.08984375" style="2" customWidth="1"/>
    <col min="5127" max="5127" width="9.6328125" style="2" customWidth="1"/>
    <col min="5128" max="5129" width="11.6328125" style="2" customWidth="1"/>
    <col min="5130" max="5130" width="15.36328125" style="2" customWidth="1"/>
    <col min="5131" max="5131" width="10.90625" style="2" customWidth="1"/>
    <col min="5132" max="5142" width="13.36328125" style="2" customWidth="1"/>
    <col min="5143" max="5143" width="13.6328125" style="2" customWidth="1"/>
    <col min="5144" max="5144" width="16.453125" style="2" customWidth="1"/>
    <col min="5145" max="5379" width="8.90625" style="2"/>
    <col min="5380" max="5380" width="9.6328125" style="2" customWidth="1"/>
    <col min="5381" max="5382" width="5.08984375" style="2" customWidth="1"/>
    <col min="5383" max="5383" width="9.6328125" style="2" customWidth="1"/>
    <col min="5384" max="5385" width="11.6328125" style="2" customWidth="1"/>
    <col min="5386" max="5386" width="15.36328125" style="2" customWidth="1"/>
    <col min="5387" max="5387" width="10.90625" style="2" customWidth="1"/>
    <col min="5388" max="5398" width="13.36328125" style="2" customWidth="1"/>
    <col min="5399" max="5399" width="13.6328125" style="2" customWidth="1"/>
    <col min="5400" max="5400" width="16.453125" style="2" customWidth="1"/>
    <col min="5401" max="5635" width="8.90625" style="2"/>
    <col min="5636" max="5636" width="9.6328125" style="2" customWidth="1"/>
    <col min="5637" max="5638" width="5.08984375" style="2" customWidth="1"/>
    <col min="5639" max="5639" width="9.6328125" style="2" customWidth="1"/>
    <col min="5640" max="5641" width="11.6328125" style="2" customWidth="1"/>
    <col min="5642" max="5642" width="15.36328125" style="2" customWidth="1"/>
    <col min="5643" max="5643" width="10.90625" style="2" customWidth="1"/>
    <col min="5644" max="5654" width="13.36328125" style="2" customWidth="1"/>
    <col min="5655" max="5655" width="13.6328125" style="2" customWidth="1"/>
    <col min="5656" max="5656" width="16.453125" style="2" customWidth="1"/>
    <col min="5657" max="5891" width="8.90625" style="2"/>
    <col min="5892" max="5892" width="9.6328125" style="2" customWidth="1"/>
    <col min="5893" max="5894" width="5.08984375" style="2" customWidth="1"/>
    <col min="5895" max="5895" width="9.6328125" style="2" customWidth="1"/>
    <col min="5896" max="5897" width="11.6328125" style="2" customWidth="1"/>
    <col min="5898" max="5898" width="15.36328125" style="2" customWidth="1"/>
    <col min="5899" max="5899" width="10.90625" style="2" customWidth="1"/>
    <col min="5900" max="5910" width="13.36328125" style="2" customWidth="1"/>
    <col min="5911" max="5911" width="13.6328125" style="2" customWidth="1"/>
    <col min="5912" max="5912" width="16.453125" style="2" customWidth="1"/>
    <col min="5913" max="6147" width="8.90625" style="2"/>
    <col min="6148" max="6148" width="9.6328125" style="2" customWidth="1"/>
    <col min="6149" max="6150" width="5.08984375" style="2" customWidth="1"/>
    <col min="6151" max="6151" width="9.6328125" style="2" customWidth="1"/>
    <col min="6152" max="6153" width="11.6328125" style="2" customWidth="1"/>
    <col min="6154" max="6154" width="15.36328125" style="2" customWidth="1"/>
    <col min="6155" max="6155" width="10.90625" style="2" customWidth="1"/>
    <col min="6156" max="6166" width="13.36328125" style="2" customWidth="1"/>
    <col min="6167" max="6167" width="13.6328125" style="2" customWidth="1"/>
    <col min="6168" max="6168" width="16.453125" style="2" customWidth="1"/>
    <col min="6169" max="6403" width="8.90625" style="2"/>
    <col min="6404" max="6404" width="9.6328125" style="2" customWidth="1"/>
    <col min="6405" max="6406" width="5.08984375" style="2" customWidth="1"/>
    <col min="6407" max="6407" width="9.6328125" style="2" customWidth="1"/>
    <col min="6408" max="6409" width="11.6328125" style="2" customWidth="1"/>
    <col min="6410" max="6410" width="15.36328125" style="2" customWidth="1"/>
    <col min="6411" max="6411" width="10.90625" style="2" customWidth="1"/>
    <col min="6412" max="6422" width="13.36328125" style="2" customWidth="1"/>
    <col min="6423" max="6423" width="13.6328125" style="2" customWidth="1"/>
    <col min="6424" max="6424" width="16.453125" style="2" customWidth="1"/>
    <col min="6425" max="6659" width="8.90625" style="2"/>
    <col min="6660" max="6660" width="9.6328125" style="2" customWidth="1"/>
    <col min="6661" max="6662" width="5.08984375" style="2" customWidth="1"/>
    <col min="6663" max="6663" width="9.6328125" style="2" customWidth="1"/>
    <col min="6664" max="6665" width="11.6328125" style="2" customWidth="1"/>
    <col min="6666" max="6666" width="15.36328125" style="2" customWidth="1"/>
    <col min="6667" max="6667" width="10.90625" style="2" customWidth="1"/>
    <col min="6668" max="6678" width="13.36328125" style="2" customWidth="1"/>
    <col min="6679" max="6679" width="13.6328125" style="2" customWidth="1"/>
    <col min="6680" max="6680" width="16.453125" style="2" customWidth="1"/>
    <col min="6681" max="6915" width="8.90625" style="2"/>
    <col min="6916" max="6916" width="9.6328125" style="2" customWidth="1"/>
    <col min="6917" max="6918" width="5.08984375" style="2" customWidth="1"/>
    <col min="6919" max="6919" width="9.6328125" style="2" customWidth="1"/>
    <col min="6920" max="6921" width="11.6328125" style="2" customWidth="1"/>
    <col min="6922" max="6922" width="15.36328125" style="2" customWidth="1"/>
    <col min="6923" max="6923" width="10.90625" style="2" customWidth="1"/>
    <col min="6924" max="6934" width="13.36328125" style="2" customWidth="1"/>
    <col min="6935" max="6935" width="13.6328125" style="2" customWidth="1"/>
    <col min="6936" max="6936" width="16.453125" style="2" customWidth="1"/>
    <col min="6937" max="7171" width="8.90625" style="2"/>
    <col min="7172" max="7172" width="9.6328125" style="2" customWidth="1"/>
    <col min="7173" max="7174" width="5.08984375" style="2" customWidth="1"/>
    <col min="7175" max="7175" width="9.6328125" style="2" customWidth="1"/>
    <col min="7176" max="7177" width="11.6328125" style="2" customWidth="1"/>
    <col min="7178" max="7178" width="15.36328125" style="2" customWidth="1"/>
    <col min="7179" max="7179" width="10.90625" style="2" customWidth="1"/>
    <col min="7180" max="7190" width="13.36328125" style="2" customWidth="1"/>
    <col min="7191" max="7191" width="13.6328125" style="2" customWidth="1"/>
    <col min="7192" max="7192" width="16.453125" style="2" customWidth="1"/>
    <col min="7193" max="7427" width="8.90625" style="2"/>
    <col min="7428" max="7428" width="9.6328125" style="2" customWidth="1"/>
    <col min="7429" max="7430" width="5.08984375" style="2" customWidth="1"/>
    <col min="7431" max="7431" width="9.6328125" style="2" customWidth="1"/>
    <col min="7432" max="7433" width="11.6328125" style="2" customWidth="1"/>
    <col min="7434" max="7434" width="15.36328125" style="2" customWidth="1"/>
    <col min="7435" max="7435" width="10.90625" style="2" customWidth="1"/>
    <col min="7436" max="7446" width="13.36328125" style="2" customWidth="1"/>
    <col min="7447" max="7447" width="13.6328125" style="2" customWidth="1"/>
    <col min="7448" max="7448" width="16.453125" style="2" customWidth="1"/>
    <col min="7449" max="7683" width="8.90625" style="2"/>
    <col min="7684" max="7684" width="9.6328125" style="2" customWidth="1"/>
    <col min="7685" max="7686" width="5.08984375" style="2" customWidth="1"/>
    <col min="7687" max="7687" width="9.6328125" style="2" customWidth="1"/>
    <col min="7688" max="7689" width="11.6328125" style="2" customWidth="1"/>
    <col min="7690" max="7690" width="15.36328125" style="2" customWidth="1"/>
    <col min="7691" max="7691" width="10.90625" style="2" customWidth="1"/>
    <col min="7692" max="7702" width="13.36328125" style="2" customWidth="1"/>
    <col min="7703" max="7703" width="13.6328125" style="2" customWidth="1"/>
    <col min="7704" max="7704" width="16.453125" style="2" customWidth="1"/>
    <col min="7705" max="7939" width="8.90625" style="2"/>
    <col min="7940" max="7940" width="9.6328125" style="2" customWidth="1"/>
    <col min="7941" max="7942" width="5.08984375" style="2" customWidth="1"/>
    <col min="7943" max="7943" width="9.6328125" style="2" customWidth="1"/>
    <col min="7944" max="7945" width="11.6328125" style="2" customWidth="1"/>
    <col min="7946" max="7946" width="15.36328125" style="2" customWidth="1"/>
    <col min="7947" max="7947" width="10.90625" style="2" customWidth="1"/>
    <col min="7948" max="7958" width="13.36328125" style="2" customWidth="1"/>
    <col min="7959" max="7959" width="13.6328125" style="2" customWidth="1"/>
    <col min="7960" max="7960" width="16.453125" style="2" customWidth="1"/>
    <col min="7961" max="8195" width="8.90625" style="2"/>
    <col min="8196" max="8196" width="9.6328125" style="2" customWidth="1"/>
    <col min="8197" max="8198" width="5.08984375" style="2" customWidth="1"/>
    <col min="8199" max="8199" width="9.6328125" style="2" customWidth="1"/>
    <col min="8200" max="8201" width="11.6328125" style="2" customWidth="1"/>
    <col min="8202" max="8202" width="15.36328125" style="2" customWidth="1"/>
    <col min="8203" max="8203" width="10.90625" style="2" customWidth="1"/>
    <col min="8204" max="8214" width="13.36328125" style="2" customWidth="1"/>
    <col min="8215" max="8215" width="13.6328125" style="2" customWidth="1"/>
    <col min="8216" max="8216" width="16.453125" style="2" customWidth="1"/>
    <col min="8217" max="8451" width="8.90625" style="2"/>
    <col min="8452" max="8452" width="9.6328125" style="2" customWidth="1"/>
    <col min="8453" max="8454" width="5.08984375" style="2" customWidth="1"/>
    <col min="8455" max="8455" width="9.6328125" style="2" customWidth="1"/>
    <col min="8456" max="8457" width="11.6328125" style="2" customWidth="1"/>
    <col min="8458" max="8458" width="15.36328125" style="2" customWidth="1"/>
    <col min="8459" max="8459" width="10.90625" style="2" customWidth="1"/>
    <col min="8460" max="8470" width="13.36328125" style="2" customWidth="1"/>
    <col min="8471" max="8471" width="13.6328125" style="2" customWidth="1"/>
    <col min="8472" max="8472" width="16.453125" style="2" customWidth="1"/>
    <col min="8473" max="8707" width="8.90625" style="2"/>
    <col min="8708" max="8708" width="9.6328125" style="2" customWidth="1"/>
    <col min="8709" max="8710" width="5.08984375" style="2" customWidth="1"/>
    <col min="8711" max="8711" width="9.6328125" style="2" customWidth="1"/>
    <col min="8712" max="8713" width="11.6328125" style="2" customWidth="1"/>
    <col min="8714" max="8714" width="15.36328125" style="2" customWidth="1"/>
    <col min="8715" max="8715" width="10.90625" style="2" customWidth="1"/>
    <col min="8716" max="8726" width="13.36328125" style="2" customWidth="1"/>
    <col min="8727" max="8727" width="13.6328125" style="2" customWidth="1"/>
    <col min="8728" max="8728" width="16.453125" style="2" customWidth="1"/>
    <col min="8729" max="8963" width="8.90625" style="2"/>
    <col min="8964" max="8964" width="9.6328125" style="2" customWidth="1"/>
    <col min="8965" max="8966" width="5.08984375" style="2" customWidth="1"/>
    <col min="8967" max="8967" width="9.6328125" style="2" customWidth="1"/>
    <col min="8968" max="8969" width="11.6328125" style="2" customWidth="1"/>
    <col min="8970" max="8970" width="15.36328125" style="2" customWidth="1"/>
    <col min="8971" max="8971" width="10.90625" style="2" customWidth="1"/>
    <col min="8972" max="8982" width="13.36328125" style="2" customWidth="1"/>
    <col min="8983" max="8983" width="13.6328125" style="2" customWidth="1"/>
    <col min="8984" max="8984" width="16.453125" style="2" customWidth="1"/>
    <col min="8985" max="9219" width="8.90625" style="2"/>
    <col min="9220" max="9220" width="9.6328125" style="2" customWidth="1"/>
    <col min="9221" max="9222" width="5.08984375" style="2" customWidth="1"/>
    <col min="9223" max="9223" width="9.6328125" style="2" customWidth="1"/>
    <col min="9224" max="9225" width="11.6328125" style="2" customWidth="1"/>
    <col min="9226" max="9226" width="15.36328125" style="2" customWidth="1"/>
    <col min="9227" max="9227" width="10.90625" style="2" customWidth="1"/>
    <col min="9228" max="9238" width="13.36328125" style="2" customWidth="1"/>
    <col min="9239" max="9239" width="13.6328125" style="2" customWidth="1"/>
    <col min="9240" max="9240" width="16.453125" style="2" customWidth="1"/>
    <col min="9241" max="9475" width="8.90625" style="2"/>
    <col min="9476" max="9476" width="9.6328125" style="2" customWidth="1"/>
    <col min="9477" max="9478" width="5.08984375" style="2" customWidth="1"/>
    <col min="9479" max="9479" width="9.6328125" style="2" customWidth="1"/>
    <col min="9480" max="9481" width="11.6328125" style="2" customWidth="1"/>
    <col min="9482" max="9482" width="15.36328125" style="2" customWidth="1"/>
    <col min="9483" max="9483" width="10.90625" style="2" customWidth="1"/>
    <col min="9484" max="9494" width="13.36328125" style="2" customWidth="1"/>
    <col min="9495" max="9495" width="13.6328125" style="2" customWidth="1"/>
    <col min="9496" max="9496" width="16.453125" style="2" customWidth="1"/>
    <col min="9497" max="9731" width="8.90625" style="2"/>
    <col min="9732" max="9732" width="9.6328125" style="2" customWidth="1"/>
    <col min="9733" max="9734" width="5.08984375" style="2" customWidth="1"/>
    <col min="9735" max="9735" width="9.6328125" style="2" customWidth="1"/>
    <col min="9736" max="9737" width="11.6328125" style="2" customWidth="1"/>
    <col min="9738" max="9738" width="15.36328125" style="2" customWidth="1"/>
    <col min="9739" max="9739" width="10.90625" style="2" customWidth="1"/>
    <col min="9740" max="9750" width="13.36328125" style="2" customWidth="1"/>
    <col min="9751" max="9751" width="13.6328125" style="2" customWidth="1"/>
    <col min="9752" max="9752" width="16.453125" style="2" customWidth="1"/>
    <col min="9753" max="9987" width="8.90625" style="2"/>
    <col min="9988" max="9988" width="9.6328125" style="2" customWidth="1"/>
    <col min="9989" max="9990" width="5.08984375" style="2" customWidth="1"/>
    <col min="9991" max="9991" width="9.6328125" style="2" customWidth="1"/>
    <col min="9992" max="9993" width="11.6328125" style="2" customWidth="1"/>
    <col min="9994" max="9994" width="15.36328125" style="2" customWidth="1"/>
    <col min="9995" max="9995" width="10.90625" style="2" customWidth="1"/>
    <col min="9996" max="10006" width="13.36328125" style="2" customWidth="1"/>
    <col min="10007" max="10007" width="13.6328125" style="2" customWidth="1"/>
    <col min="10008" max="10008" width="16.453125" style="2" customWidth="1"/>
    <col min="10009" max="10243" width="8.90625" style="2"/>
    <col min="10244" max="10244" width="9.6328125" style="2" customWidth="1"/>
    <col min="10245" max="10246" width="5.08984375" style="2" customWidth="1"/>
    <col min="10247" max="10247" width="9.6328125" style="2" customWidth="1"/>
    <col min="10248" max="10249" width="11.6328125" style="2" customWidth="1"/>
    <col min="10250" max="10250" width="15.36328125" style="2" customWidth="1"/>
    <col min="10251" max="10251" width="10.90625" style="2" customWidth="1"/>
    <col min="10252" max="10262" width="13.36328125" style="2" customWidth="1"/>
    <col min="10263" max="10263" width="13.6328125" style="2" customWidth="1"/>
    <col min="10264" max="10264" width="16.453125" style="2" customWidth="1"/>
    <col min="10265" max="10499" width="8.90625" style="2"/>
    <col min="10500" max="10500" width="9.6328125" style="2" customWidth="1"/>
    <col min="10501" max="10502" width="5.08984375" style="2" customWidth="1"/>
    <col min="10503" max="10503" width="9.6328125" style="2" customWidth="1"/>
    <col min="10504" max="10505" width="11.6328125" style="2" customWidth="1"/>
    <col min="10506" max="10506" width="15.36328125" style="2" customWidth="1"/>
    <col min="10507" max="10507" width="10.90625" style="2" customWidth="1"/>
    <col min="10508" max="10518" width="13.36328125" style="2" customWidth="1"/>
    <col min="10519" max="10519" width="13.6328125" style="2" customWidth="1"/>
    <col min="10520" max="10520" width="16.453125" style="2" customWidth="1"/>
    <col min="10521" max="10755" width="8.90625" style="2"/>
    <col min="10756" max="10756" width="9.6328125" style="2" customWidth="1"/>
    <col min="10757" max="10758" width="5.08984375" style="2" customWidth="1"/>
    <col min="10759" max="10759" width="9.6328125" style="2" customWidth="1"/>
    <col min="10760" max="10761" width="11.6328125" style="2" customWidth="1"/>
    <col min="10762" max="10762" width="15.36328125" style="2" customWidth="1"/>
    <col min="10763" max="10763" width="10.90625" style="2" customWidth="1"/>
    <col min="10764" max="10774" width="13.36328125" style="2" customWidth="1"/>
    <col min="10775" max="10775" width="13.6328125" style="2" customWidth="1"/>
    <col min="10776" max="10776" width="16.453125" style="2" customWidth="1"/>
    <col min="10777" max="11011" width="8.90625" style="2"/>
    <col min="11012" max="11012" width="9.6328125" style="2" customWidth="1"/>
    <col min="11013" max="11014" width="5.08984375" style="2" customWidth="1"/>
    <col min="11015" max="11015" width="9.6328125" style="2" customWidth="1"/>
    <col min="11016" max="11017" width="11.6328125" style="2" customWidth="1"/>
    <col min="11018" max="11018" width="15.36328125" style="2" customWidth="1"/>
    <col min="11019" max="11019" width="10.90625" style="2" customWidth="1"/>
    <col min="11020" max="11030" width="13.36328125" style="2" customWidth="1"/>
    <col min="11031" max="11031" width="13.6328125" style="2" customWidth="1"/>
    <col min="11032" max="11032" width="16.453125" style="2" customWidth="1"/>
    <col min="11033" max="11267" width="8.90625" style="2"/>
    <col min="11268" max="11268" width="9.6328125" style="2" customWidth="1"/>
    <col min="11269" max="11270" width="5.08984375" style="2" customWidth="1"/>
    <col min="11271" max="11271" width="9.6328125" style="2" customWidth="1"/>
    <col min="11272" max="11273" width="11.6328125" style="2" customWidth="1"/>
    <col min="11274" max="11274" width="15.36328125" style="2" customWidth="1"/>
    <col min="11275" max="11275" width="10.90625" style="2" customWidth="1"/>
    <col min="11276" max="11286" width="13.36328125" style="2" customWidth="1"/>
    <col min="11287" max="11287" width="13.6328125" style="2" customWidth="1"/>
    <col min="11288" max="11288" width="16.453125" style="2" customWidth="1"/>
    <col min="11289" max="11523" width="8.90625" style="2"/>
    <col min="11524" max="11524" width="9.6328125" style="2" customWidth="1"/>
    <col min="11525" max="11526" width="5.08984375" style="2" customWidth="1"/>
    <col min="11527" max="11527" width="9.6328125" style="2" customWidth="1"/>
    <col min="11528" max="11529" width="11.6328125" style="2" customWidth="1"/>
    <col min="11530" max="11530" width="15.36328125" style="2" customWidth="1"/>
    <col min="11531" max="11531" width="10.90625" style="2" customWidth="1"/>
    <col min="11532" max="11542" width="13.36328125" style="2" customWidth="1"/>
    <col min="11543" max="11543" width="13.6328125" style="2" customWidth="1"/>
    <col min="11544" max="11544" width="16.453125" style="2" customWidth="1"/>
    <col min="11545" max="11779" width="8.90625" style="2"/>
    <col min="11780" max="11780" width="9.6328125" style="2" customWidth="1"/>
    <col min="11781" max="11782" width="5.08984375" style="2" customWidth="1"/>
    <col min="11783" max="11783" width="9.6328125" style="2" customWidth="1"/>
    <col min="11784" max="11785" width="11.6328125" style="2" customWidth="1"/>
    <col min="11786" max="11786" width="15.36328125" style="2" customWidth="1"/>
    <col min="11787" max="11787" width="10.90625" style="2" customWidth="1"/>
    <col min="11788" max="11798" width="13.36328125" style="2" customWidth="1"/>
    <col min="11799" max="11799" width="13.6328125" style="2" customWidth="1"/>
    <col min="11800" max="11800" width="16.453125" style="2" customWidth="1"/>
    <col min="11801" max="12035" width="8.90625" style="2"/>
    <col min="12036" max="12036" width="9.6328125" style="2" customWidth="1"/>
    <col min="12037" max="12038" width="5.08984375" style="2" customWidth="1"/>
    <col min="12039" max="12039" width="9.6328125" style="2" customWidth="1"/>
    <col min="12040" max="12041" width="11.6328125" style="2" customWidth="1"/>
    <col min="12042" max="12042" width="15.36328125" style="2" customWidth="1"/>
    <col min="12043" max="12043" width="10.90625" style="2" customWidth="1"/>
    <col min="12044" max="12054" width="13.36328125" style="2" customWidth="1"/>
    <col min="12055" max="12055" width="13.6328125" style="2" customWidth="1"/>
    <col min="12056" max="12056" width="16.453125" style="2" customWidth="1"/>
    <col min="12057" max="12291" width="8.90625" style="2"/>
    <col min="12292" max="12292" width="9.6328125" style="2" customWidth="1"/>
    <col min="12293" max="12294" width="5.08984375" style="2" customWidth="1"/>
    <col min="12295" max="12295" width="9.6328125" style="2" customWidth="1"/>
    <col min="12296" max="12297" width="11.6328125" style="2" customWidth="1"/>
    <col min="12298" max="12298" width="15.36328125" style="2" customWidth="1"/>
    <col min="12299" max="12299" width="10.90625" style="2" customWidth="1"/>
    <col min="12300" max="12310" width="13.36328125" style="2" customWidth="1"/>
    <col min="12311" max="12311" width="13.6328125" style="2" customWidth="1"/>
    <col min="12312" max="12312" width="16.453125" style="2" customWidth="1"/>
    <col min="12313" max="12547" width="8.90625" style="2"/>
    <col min="12548" max="12548" width="9.6328125" style="2" customWidth="1"/>
    <col min="12549" max="12550" width="5.08984375" style="2" customWidth="1"/>
    <col min="12551" max="12551" width="9.6328125" style="2" customWidth="1"/>
    <col min="12552" max="12553" width="11.6328125" style="2" customWidth="1"/>
    <col min="12554" max="12554" width="15.36328125" style="2" customWidth="1"/>
    <col min="12555" max="12555" width="10.90625" style="2" customWidth="1"/>
    <col min="12556" max="12566" width="13.36328125" style="2" customWidth="1"/>
    <col min="12567" max="12567" width="13.6328125" style="2" customWidth="1"/>
    <col min="12568" max="12568" width="16.453125" style="2" customWidth="1"/>
    <col min="12569" max="12803" width="8.90625" style="2"/>
    <col min="12804" max="12804" width="9.6328125" style="2" customWidth="1"/>
    <col min="12805" max="12806" width="5.08984375" style="2" customWidth="1"/>
    <col min="12807" max="12807" width="9.6328125" style="2" customWidth="1"/>
    <col min="12808" max="12809" width="11.6328125" style="2" customWidth="1"/>
    <col min="12810" max="12810" width="15.36328125" style="2" customWidth="1"/>
    <col min="12811" max="12811" width="10.90625" style="2" customWidth="1"/>
    <col min="12812" max="12822" width="13.36328125" style="2" customWidth="1"/>
    <col min="12823" max="12823" width="13.6328125" style="2" customWidth="1"/>
    <col min="12824" max="12824" width="16.453125" style="2" customWidth="1"/>
    <col min="12825" max="13059" width="8.90625" style="2"/>
    <col min="13060" max="13060" width="9.6328125" style="2" customWidth="1"/>
    <col min="13061" max="13062" width="5.08984375" style="2" customWidth="1"/>
    <col min="13063" max="13063" width="9.6328125" style="2" customWidth="1"/>
    <col min="13064" max="13065" width="11.6328125" style="2" customWidth="1"/>
    <col min="13066" max="13066" width="15.36328125" style="2" customWidth="1"/>
    <col min="13067" max="13067" width="10.90625" style="2" customWidth="1"/>
    <col min="13068" max="13078" width="13.36328125" style="2" customWidth="1"/>
    <col min="13079" max="13079" width="13.6328125" style="2" customWidth="1"/>
    <col min="13080" max="13080" width="16.453125" style="2" customWidth="1"/>
    <col min="13081" max="13315" width="8.90625" style="2"/>
    <col min="13316" max="13316" width="9.6328125" style="2" customWidth="1"/>
    <col min="13317" max="13318" width="5.08984375" style="2" customWidth="1"/>
    <col min="13319" max="13319" width="9.6328125" style="2" customWidth="1"/>
    <col min="13320" max="13321" width="11.6328125" style="2" customWidth="1"/>
    <col min="13322" max="13322" width="15.36328125" style="2" customWidth="1"/>
    <col min="13323" max="13323" width="10.90625" style="2" customWidth="1"/>
    <col min="13324" max="13334" width="13.36328125" style="2" customWidth="1"/>
    <col min="13335" max="13335" width="13.6328125" style="2" customWidth="1"/>
    <col min="13336" max="13336" width="16.453125" style="2" customWidth="1"/>
    <col min="13337" max="13571" width="8.90625" style="2"/>
    <col min="13572" max="13572" width="9.6328125" style="2" customWidth="1"/>
    <col min="13573" max="13574" width="5.08984375" style="2" customWidth="1"/>
    <col min="13575" max="13575" width="9.6328125" style="2" customWidth="1"/>
    <col min="13576" max="13577" width="11.6328125" style="2" customWidth="1"/>
    <col min="13578" max="13578" width="15.36328125" style="2" customWidth="1"/>
    <col min="13579" max="13579" width="10.90625" style="2" customWidth="1"/>
    <col min="13580" max="13590" width="13.36328125" style="2" customWidth="1"/>
    <col min="13591" max="13591" width="13.6328125" style="2" customWidth="1"/>
    <col min="13592" max="13592" width="16.453125" style="2" customWidth="1"/>
    <col min="13593" max="13827" width="8.90625" style="2"/>
    <col min="13828" max="13828" width="9.6328125" style="2" customWidth="1"/>
    <col min="13829" max="13830" width="5.08984375" style="2" customWidth="1"/>
    <col min="13831" max="13831" width="9.6328125" style="2" customWidth="1"/>
    <col min="13832" max="13833" width="11.6328125" style="2" customWidth="1"/>
    <col min="13834" max="13834" width="15.36328125" style="2" customWidth="1"/>
    <col min="13835" max="13835" width="10.90625" style="2" customWidth="1"/>
    <col min="13836" max="13846" width="13.36328125" style="2" customWidth="1"/>
    <col min="13847" max="13847" width="13.6328125" style="2" customWidth="1"/>
    <col min="13848" max="13848" width="16.453125" style="2" customWidth="1"/>
    <col min="13849" max="14083" width="8.90625" style="2"/>
    <col min="14084" max="14084" width="9.6328125" style="2" customWidth="1"/>
    <col min="14085" max="14086" width="5.08984375" style="2" customWidth="1"/>
    <col min="14087" max="14087" width="9.6328125" style="2" customWidth="1"/>
    <col min="14088" max="14089" width="11.6328125" style="2" customWidth="1"/>
    <col min="14090" max="14090" width="15.36328125" style="2" customWidth="1"/>
    <col min="14091" max="14091" width="10.90625" style="2" customWidth="1"/>
    <col min="14092" max="14102" width="13.36328125" style="2" customWidth="1"/>
    <col min="14103" max="14103" width="13.6328125" style="2" customWidth="1"/>
    <col min="14104" max="14104" width="16.453125" style="2" customWidth="1"/>
    <col min="14105" max="14339" width="8.90625" style="2"/>
    <col min="14340" max="14340" width="9.6328125" style="2" customWidth="1"/>
    <col min="14341" max="14342" width="5.08984375" style="2" customWidth="1"/>
    <col min="14343" max="14343" width="9.6328125" style="2" customWidth="1"/>
    <col min="14344" max="14345" width="11.6328125" style="2" customWidth="1"/>
    <col min="14346" max="14346" width="15.36328125" style="2" customWidth="1"/>
    <col min="14347" max="14347" width="10.90625" style="2" customWidth="1"/>
    <col min="14348" max="14358" width="13.36328125" style="2" customWidth="1"/>
    <col min="14359" max="14359" width="13.6328125" style="2" customWidth="1"/>
    <col min="14360" max="14360" width="16.453125" style="2" customWidth="1"/>
    <col min="14361" max="14595" width="8.90625" style="2"/>
    <col min="14596" max="14596" width="9.6328125" style="2" customWidth="1"/>
    <col min="14597" max="14598" width="5.08984375" style="2" customWidth="1"/>
    <col min="14599" max="14599" width="9.6328125" style="2" customWidth="1"/>
    <col min="14600" max="14601" width="11.6328125" style="2" customWidth="1"/>
    <col min="14602" max="14602" width="15.36328125" style="2" customWidth="1"/>
    <col min="14603" max="14603" width="10.90625" style="2" customWidth="1"/>
    <col min="14604" max="14614" width="13.36328125" style="2" customWidth="1"/>
    <col min="14615" max="14615" width="13.6328125" style="2" customWidth="1"/>
    <col min="14616" max="14616" width="16.453125" style="2" customWidth="1"/>
    <col min="14617" max="14851" width="8.90625" style="2"/>
    <col min="14852" max="14852" width="9.6328125" style="2" customWidth="1"/>
    <col min="14853" max="14854" width="5.08984375" style="2" customWidth="1"/>
    <col min="14855" max="14855" width="9.6328125" style="2" customWidth="1"/>
    <col min="14856" max="14857" width="11.6328125" style="2" customWidth="1"/>
    <col min="14858" max="14858" width="15.36328125" style="2" customWidth="1"/>
    <col min="14859" max="14859" width="10.90625" style="2" customWidth="1"/>
    <col min="14860" max="14870" width="13.36328125" style="2" customWidth="1"/>
    <col min="14871" max="14871" width="13.6328125" style="2" customWidth="1"/>
    <col min="14872" max="14872" width="16.453125" style="2" customWidth="1"/>
    <col min="14873" max="15107" width="8.90625" style="2"/>
    <col min="15108" max="15108" width="9.6328125" style="2" customWidth="1"/>
    <col min="15109" max="15110" width="5.08984375" style="2" customWidth="1"/>
    <col min="15111" max="15111" width="9.6328125" style="2" customWidth="1"/>
    <col min="15112" max="15113" width="11.6328125" style="2" customWidth="1"/>
    <col min="15114" max="15114" width="15.36328125" style="2" customWidth="1"/>
    <col min="15115" max="15115" width="10.90625" style="2" customWidth="1"/>
    <col min="15116" max="15126" width="13.36328125" style="2" customWidth="1"/>
    <col min="15127" max="15127" width="13.6328125" style="2" customWidth="1"/>
    <col min="15128" max="15128" width="16.453125" style="2" customWidth="1"/>
    <col min="15129" max="15363" width="8.90625" style="2"/>
    <col min="15364" max="15364" width="9.6328125" style="2" customWidth="1"/>
    <col min="15365" max="15366" width="5.08984375" style="2" customWidth="1"/>
    <col min="15367" max="15367" width="9.6328125" style="2" customWidth="1"/>
    <col min="15368" max="15369" width="11.6328125" style="2" customWidth="1"/>
    <col min="15370" max="15370" width="15.36328125" style="2" customWidth="1"/>
    <col min="15371" max="15371" width="10.90625" style="2" customWidth="1"/>
    <col min="15372" max="15382" width="13.36328125" style="2" customWidth="1"/>
    <col min="15383" max="15383" width="13.6328125" style="2" customWidth="1"/>
    <col min="15384" max="15384" width="16.453125" style="2" customWidth="1"/>
    <col min="15385" max="15619" width="8.90625" style="2"/>
    <col min="15620" max="15620" width="9.6328125" style="2" customWidth="1"/>
    <col min="15621" max="15622" width="5.08984375" style="2" customWidth="1"/>
    <col min="15623" max="15623" width="9.6328125" style="2" customWidth="1"/>
    <col min="15624" max="15625" width="11.6328125" style="2" customWidth="1"/>
    <col min="15626" max="15626" width="15.36328125" style="2" customWidth="1"/>
    <col min="15627" max="15627" width="10.90625" style="2" customWidth="1"/>
    <col min="15628" max="15638" width="13.36328125" style="2" customWidth="1"/>
    <col min="15639" max="15639" width="13.6328125" style="2" customWidth="1"/>
    <col min="15640" max="15640" width="16.453125" style="2" customWidth="1"/>
    <col min="15641" max="15875" width="8.90625" style="2"/>
    <col min="15876" max="15876" width="9.6328125" style="2" customWidth="1"/>
    <col min="15877" max="15878" width="5.08984375" style="2" customWidth="1"/>
    <col min="15879" max="15879" width="9.6328125" style="2" customWidth="1"/>
    <col min="15880" max="15881" width="11.6328125" style="2" customWidth="1"/>
    <col min="15882" max="15882" width="15.36328125" style="2" customWidth="1"/>
    <col min="15883" max="15883" width="10.90625" style="2" customWidth="1"/>
    <col min="15884" max="15894" width="13.36328125" style="2" customWidth="1"/>
    <col min="15895" max="15895" width="13.6328125" style="2" customWidth="1"/>
    <col min="15896" max="15896" width="16.453125" style="2" customWidth="1"/>
    <col min="15897" max="16131" width="8.90625" style="2"/>
    <col min="16132" max="16132" width="9.6328125" style="2" customWidth="1"/>
    <col min="16133" max="16134" width="5.08984375" style="2" customWidth="1"/>
    <col min="16135" max="16135" width="9.6328125" style="2" customWidth="1"/>
    <col min="16136" max="16137" width="11.6328125" style="2" customWidth="1"/>
    <col min="16138" max="16138" width="15.36328125" style="2" customWidth="1"/>
    <col min="16139" max="16139" width="10.90625" style="2" customWidth="1"/>
    <col min="16140" max="16150" width="13.36328125" style="2" customWidth="1"/>
    <col min="16151" max="16151" width="13.6328125" style="2" customWidth="1"/>
    <col min="16152" max="16152" width="16.453125" style="2" customWidth="1"/>
    <col min="16153" max="16383" width="8.90625" style="2"/>
    <col min="16384" max="16384" width="9" style="2" customWidth="1"/>
  </cols>
  <sheetData>
    <row r="1" spans="1:26" s="127" customFormat="1" ht="36">
      <c r="A1" s="230" t="s">
        <v>83</v>
      </c>
      <c r="B1" s="230" t="s">
        <v>84</v>
      </c>
      <c r="C1" s="133" t="s">
        <v>56</v>
      </c>
      <c r="D1" s="134" t="s">
        <v>0</v>
      </c>
      <c r="E1" s="134" t="s">
        <v>1</v>
      </c>
      <c r="F1" s="135" t="s">
        <v>2</v>
      </c>
      <c r="G1" s="135" t="s">
        <v>58</v>
      </c>
      <c r="H1" s="135" t="s">
        <v>3</v>
      </c>
      <c r="I1" s="136" t="s">
        <v>4</v>
      </c>
      <c r="J1" s="137" t="s">
        <v>5</v>
      </c>
      <c r="K1" s="3" t="s">
        <v>6</v>
      </c>
      <c r="L1" s="352" t="s">
        <v>7</v>
      </c>
      <c r="M1" s="238" t="s">
        <v>8</v>
      </c>
      <c r="N1" s="238" t="s">
        <v>9</v>
      </c>
      <c r="O1" s="238" t="s">
        <v>10</v>
      </c>
      <c r="P1" s="238" t="s">
        <v>11</v>
      </c>
      <c r="Q1" s="238" t="s">
        <v>12</v>
      </c>
      <c r="R1" s="238" t="s">
        <v>13</v>
      </c>
      <c r="S1" s="238" t="s">
        <v>14</v>
      </c>
      <c r="T1" s="238" t="s">
        <v>15</v>
      </c>
      <c r="U1" s="238" t="s">
        <v>16</v>
      </c>
      <c r="V1" s="238" t="s">
        <v>17</v>
      </c>
      <c r="W1" s="231" t="s">
        <v>18</v>
      </c>
      <c r="X1" s="142" t="s">
        <v>19</v>
      </c>
    </row>
    <row r="2" spans="1:26" s="1" customFormat="1">
      <c r="A2" s="112"/>
      <c r="B2" s="72"/>
      <c r="C2" s="548" t="s">
        <v>147</v>
      </c>
      <c r="D2" s="549"/>
      <c r="E2" s="549"/>
      <c r="F2" s="549"/>
      <c r="G2" s="549"/>
      <c r="H2" s="549"/>
      <c r="I2" s="549"/>
      <c r="J2" s="550"/>
      <c r="K2" s="206" t="s">
        <v>20</v>
      </c>
      <c r="L2" s="372">
        <f>L65</f>
        <v>1497500</v>
      </c>
      <c r="M2" s="428">
        <f t="shared" ref="M2:W3" si="0">M65</f>
        <v>1692200</v>
      </c>
      <c r="N2" s="428">
        <f t="shared" si="0"/>
        <v>1674800</v>
      </c>
      <c r="O2" s="428">
        <f t="shared" si="0"/>
        <v>1923740</v>
      </c>
      <c r="P2" s="428">
        <f t="shared" si="0"/>
        <v>1709080</v>
      </c>
      <c r="Q2" s="428">
        <f t="shared" si="0"/>
        <v>1741555</v>
      </c>
      <c r="R2" s="428">
        <f t="shared" si="0"/>
        <v>1784720</v>
      </c>
      <c r="S2" s="428">
        <f t="shared" si="0"/>
        <v>1738930</v>
      </c>
      <c r="T2" s="428">
        <f t="shared" si="0"/>
        <v>2138210</v>
      </c>
      <c r="U2" s="428">
        <f t="shared" si="0"/>
        <v>1909595</v>
      </c>
      <c r="V2" s="428">
        <f t="shared" si="0"/>
        <v>1814625</v>
      </c>
      <c r="W2" s="84">
        <f t="shared" si="0"/>
        <v>2106500</v>
      </c>
      <c r="X2" s="10">
        <f>SUM(L2:W2)</f>
        <v>21731455</v>
      </c>
      <c r="Z2" s="70"/>
    </row>
    <row r="3" spans="1:26" s="1" customFormat="1">
      <c r="A3" s="112"/>
      <c r="B3" s="72"/>
      <c r="C3" s="551"/>
      <c r="D3" s="552"/>
      <c r="E3" s="552"/>
      <c r="F3" s="552"/>
      <c r="G3" s="552"/>
      <c r="H3" s="552"/>
      <c r="I3" s="552"/>
      <c r="J3" s="553"/>
      <c r="K3" s="165" t="s">
        <v>21</v>
      </c>
      <c r="L3" s="373">
        <f>L66</f>
        <v>1238221.6666666665</v>
      </c>
      <c r="M3" s="429">
        <f t="shared" si="0"/>
        <v>1460165</v>
      </c>
      <c r="N3" s="429">
        <f t="shared" si="0"/>
        <v>1671530</v>
      </c>
      <c r="O3" s="429">
        <f t="shared" si="0"/>
        <v>1628669</v>
      </c>
      <c r="P3" s="429">
        <f t="shared" si="0"/>
        <v>1428099.9668004378</v>
      </c>
      <c r="Q3" s="429">
        <f t="shared" si="0"/>
        <v>1423623.3400011663</v>
      </c>
      <c r="R3" s="429">
        <f t="shared" si="0"/>
        <v>1318885.9630244921</v>
      </c>
      <c r="S3" s="429">
        <f t="shared" si="0"/>
        <v>1510767.9098786828</v>
      </c>
      <c r="T3" s="429">
        <f t="shared" si="0"/>
        <v>1468841.8536089463</v>
      </c>
      <c r="U3" s="429">
        <f t="shared" si="0"/>
        <v>1394071.3618779774</v>
      </c>
      <c r="V3" s="429">
        <f t="shared" si="0"/>
        <v>1422288.8549939832</v>
      </c>
      <c r="W3" s="85">
        <f t="shared" si="0"/>
        <v>1621088</v>
      </c>
      <c r="X3" s="11">
        <f>SUM(L3:W3)</f>
        <v>17586252.916852351</v>
      </c>
      <c r="Z3" s="70"/>
    </row>
    <row r="4" spans="1:26" s="1" customFormat="1" ht="12.5" thickBot="1">
      <c r="A4" s="112"/>
      <c r="B4" s="72"/>
      <c r="C4" s="554"/>
      <c r="D4" s="555"/>
      <c r="E4" s="555"/>
      <c r="F4" s="555"/>
      <c r="G4" s="555"/>
      <c r="H4" s="555"/>
      <c r="I4" s="555"/>
      <c r="J4" s="556"/>
      <c r="K4" s="166" t="s">
        <v>22</v>
      </c>
      <c r="L4" s="374">
        <f t="shared" ref="L4:W4" si="1">L2-L3</f>
        <v>259278.33333333349</v>
      </c>
      <c r="M4" s="430">
        <f t="shared" si="1"/>
        <v>232035</v>
      </c>
      <c r="N4" s="430">
        <f t="shared" si="1"/>
        <v>3270</v>
      </c>
      <c r="O4" s="430">
        <f t="shared" si="1"/>
        <v>295071</v>
      </c>
      <c r="P4" s="430">
        <f t="shared" si="1"/>
        <v>280980.03319956223</v>
      </c>
      <c r="Q4" s="430">
        <f t="shared" si="1"/>
        <v>317931.65999883367</v>
      </c>
      <c r="R4" s="430">
        <f t="shared" si="1"/>
        <v>465834.03697550786</v>
      </c>
      <c r="S4" s="430">
        <f t="shared" si="1"/>
        <v>228162.09012131719</v>
      </c>
      <c r="T4" s="430">
        <f t="shared" si="1"/>
        <v>669368.14639105368</v>
      </c>
      <c r="U4" s="430">
        <f t="shared" si="1"/>
        <v>515523.63812202262</v>
      </c>
      <c r="V4" s="430">
        <f t="shared" si="1"/>
        <v>392336.14500601683</v>
      </c>
      <c r="W4" s="86">
        <f t="shared" si="1"/>
        <v>485412</v>
      </c>
      <c r="X4" s="12">
        <f>SUM(L4:W4)</f>
        <v>4145202.0831476473</v>
      </c>
      <c r="Z4" s="70"/>
    </row>
    <row r="5" spans="1:26" ht="12.65" customHeight="1" thickTop="1">
      <c r="A5" s="113">
        <v>2024032</v>
      </c>
      <c r="C5" s="642">
        <v>1</v>
      </c>
      <c r="D5" s="645" t="s">
        <v>94</v>
      </c>
      <c r="E5" s="645"/>
      <c r="F5" s="669"/>
      <c r="G5" s="648" t="s">
        <v>138</v>
      </c>
      <c r="H5" s="666"/>
      <c r="I5" s="648"/>
      <c r="J5" s="629" t="s">
        <v>80</v>
      </c>
      <c r="K5" s="167" t="s">
        <v>23</v>
      </c>
      <c r="L5" s="375">
        <f t="shared" ref="L5:W5" si="2">L6+L7</f>
        <v>540000</v>
      </c>
      <c r="M5" s="424">
        <f t="shared" si="2"/>
        <v>502200</v>
      </c>
      <c r="N5" s="424">
        <f t="shared" si="2"/>
        <v>672300</v>
      </c>
      <c r="O5" s="424">
        <f t="shared" si="2"/>
        <v>658800</v>
      </c>
      <c r="P5" s="424">
        <f t="shared" si="2"/>
        <v>467100</v>
      </c>
      <c r="Q5" s="424">
        <f t="shared" si="2"/>
        <v>521100</v>
      </c>
      <c r="R5" s="424">
        <f t="shared" si="2"/>
        <v>450900</v>
      </c>
      <c r="S5" s="424">
        <f>S6+S7</f>
        <v>337500</v>
      </c>
      <c r="T5" s="424">
        <f t="shared" si="2"/>
        <v>491400</v>
      </c>
      <c r="U5" s="424">
        <f t="shared" si="2"/>
        <v>248400</v>
      </c>
      <c r="V5" s="424">
        <f t="shared" si="2"/>
        <v>162000</v>
      </c>
      <c r="W5" s="87">
        <f t="shared" si="2"/>
        <v>540000</v>
      </c>
      <c r="X5" s="13">
        <f>SUM(L5:W5)</f>
        <v>5591700</v>
      </c>
      <c r="Z5" s="69"/>
    </row>
    <row r="6" spans="1:26" ht="13.4" customHeight="1">
      <c r="A6" s="114">
        <f>+A5</f>
        <v>2024032</v>
      </c>
      <c r="B6" s="74"/>
      <c r="C6" s="642"/>
      <c r="D6" s="645"/>
      <c r="E6" s="645"/>
      <c r="F6" s="669"/>
      <c r="G6" s="648"/>
      <c r="H6" s="666"/>
      <c r="I6" s="648"/>
      <c r="J6" s="629"/>
      <c r="K6" s="168" t="s">
        <v>24</v>
      </c>
      <c r="L6" s="371">
        <v>540000</v>
      </c>
      <c r="M6" s="431">
        <v>502200</v>
      </c>
      <c r="N6" s="431">
        <v>672300</v>
      </c>
      <c r="O6" s="431">
        <v>658800</v>
      </c>
      <c r="P6" s="431">
        <v>467100</v>
      </c>
      <c r="Q6" s="431">
        <v>521100</v>
      </c>
      <c r="R6" s="431">
        <v>450900</v>
      </c>
      <c r="S6" s="431">
        <v>337500</v>
      </c>
      <c r="T6" s="431">
        <v>491400</v>
      </c>
      <c r="U6" s="431">
        <v>248400</v>
      </c>
      <c r="V6" s="431">
        <v>162000</v>
      </c>
      <c r="W6" s="229">
        <v>540000</v>
      </c>
      <c r="X6" s="14">
        <f t="shared" ref="X6:X15" si="3">SUM(L6:W6)</f>
        <v>5591700</v>
      </c>
      <c r="Z6" s="69"/>
    </row>
    <row r="7" spans="1:26" ht="13.4" customHeight="1">
      <c r="A7" s="114">
        <f>+A6</f>
        <v>2024032</v>
      </c>
      <c r="B7" s="74"/>
      <c r="C7" s="642"/>
      <c r="D7" s="645"/>
      <c r="E7" s="645"/>
      <c r="F7" s="669"/>
      <c r="G7" s="648"/>
      <c r="H7" s="666"/>
      <c r="I7" s="648"/>
      <c r="J7" s="629"/>
      <c r="K7" s="168" t="s">
        <v>25</v>
      </c>
      <c r="L7" s="354"/>
      <c r="M7" s="297"/>
      <c r="N7" s="297"/>
      <c r="O7" s="297"/>
      <c r="P7" s="297"/>
      <c r="Q7" s="297"/>
      <c r="R7" s="297"/>
      <c r="S7" s="297"/>
      <c r="T7" s="297"/>
      <c r="U7" s="297"/>
      <c r="V7" s="297"/>
      <c r="W7" s="93"/>
      <c r="X7" s="14">
        <f t="shared" si="3"/>
        <v>0</v>
      </c>
      <c r="Z7" s="69"/>
    </row>
    <row r="8" spans="1:26" ht="13.4" customHeight="1">
      <c r="A8" s="114">
        <f t="shared" ref="A8:A15" si="4">+A7</f>
        <v>2024032</v>
      </c>
      <c r="B8" s="74"/>
      <c r="C8" s="642"/>
      <c r="D8" s="645"/>
      <c r="E8" s="645"/>
      <c r="F8" s="669"/>
      <c r="G8" s="648"/>
      <c r="H8" s="666"/>
      <c r="I8" s="648"/>
      <c r="J8" s="629"/>
      <c r="K8" s="169" t="s">
        <v>26</v>
      </c>
      <c r="L8" s="376">
        <f>SUM(L9:L15)</f>
        <v>402599.99999999994</v>
      </c>
      <c r="M8" s="426">
        <f t="shared" ref="M8:W8" si="5">SUM(M9:M15)</f>
        <v>392535</v>
      </c>
      <c r="N8" s="426">
        <f t="shared" si="5"/>
        <v>603900</v>
      </c>
      <c r="O8" s="426">
        <f t="shared" si="5"/>
        <v>603900</v>
      </c>
      <c r="P8" s="426">
        <f t="shared" si="5"/>
        <v>387250.96680043777</v>
      </c>
      <c r="Q8" s="426">
        <f t="shared" si="5"/>
        <v>400510.34000116639</v>
      </c>
      <c r="R8" s="426">
        <f t="shared" si="5"/>
        <v>283721.96302449208</v>
      </c>
      <c r="S8" s="426">
        <f t="shared" si="5"/>
        <v>394575.90987868275</v>
      </c>
      <c r="T8" s="426">
        <f t="shared" si="5"/>
        <v>263681.8536089462</v>
      </c>
      <c r="U8" s="426">
        <f t="shared" si="5"/>
        <v>198365.36187797738</v>
      </c>
      <c r="V8" s="426">
        <f t="shared" si="5"/>
        <v>166661.85499398317</v>
      </c>
      <c r="W8" s="89">
        <f t="shared" si="5"/>
        <v>402599.99999999994</v>
      </c>
      <c r="X8" s="15">
        <f t="shared" si="3"/>
        <v>4500303.2501856852</v>
      </c>
      <c r="Z8" s="69"/>
    </row>
    <row r="9" spans="1:26" ht="13.4" customHeight="1">
      <c r="A9" s="114">
        <f t="shared" si="4"/>
        <v>2024032</v>
      </c>
      <c r="B9" s="74"/>
      <c r="C9" s="642"/>
      <c r="D9" s="645"/>
      <c r="E9" s="645"/>
      <c r="F9" s="669"/>
      <c r="G9" s="648"/>
      <c r="H9" s="666"/>
      <c r="I9" s="648"/>
      <c r="J9" s="629"/>
      <c r="K9" s="168" t="s">
        <v>27</v>
      </c>
      <c r="L9" s="343">
        <f>500000/21*14</f>
        <v>333333.33333333331</v>
      </c>
      <c r="M9" s="297">
        <f>500000/20*13</f>
        <v>325000</v>
      </c>
      <c r="N9" s="297">
        <v>500000</v>
      </c>
      <c r="O9" s="297">
        <v>500000</v>
      </c>
      <c r="P9" s="297">
        <f>500000/164.46*105.46</f>
        <v>320625.07600632368</v>
      </c>
      <c r="Q9" s="297">
        <f>500000/171.47*113.72</f>
        <v>331603.1958943255</v>
      </c>
      <c r="R9" s="297">
        <f>606499/210.68*84.01</f>
        <v>241845.3625878109</v>
      </c>
      <c r="S9" s="297">
        <f>500000/144.25*94.25</f>
        <v>326689.77469670709</v>
      </c>
      <c r="T9" s="297">
        <f>500000/177.06*77.31</f>
        <v>218315.82514401901</v>
      </c>
      <c r="U9" s="297">
        <f>500000/174.23*57.23</f>
        <v>164236.92819835848</v>
      </c>
      <c r="V9" s="297">
        <f>518685/182.82*48.91</f>
        <v>138764.26731211029</v>
      </c>
      <c r="W9" s="91">
        <f t="shared" ref="W9" si="6">500000/21*14</f>
        <v>333333.33333333331</v>
      </c>
      <c r="X9" s="14">
        <f t="shared" si="3"/>
        <v>3733747.0965063223</v>
      </c>
      <c r="Z9" s="69"/>
    </row>
    <row r="10" spans="1:26" ht="13.4" customHeight="1">
      <c r="A10" s="114">
        <f t="shared" si="4"/>
        <v>2024032</v>
      </c>
      <c r="B10" s="74"/>
      <c r="C10" s="642"/>
      <c r="D10" s="645"/>
      <c r="E10" s="645"/>
      <c r="F10" s="669"/>
      <c r="G10" s="648"/>
      <c r="H10" s="666"/>
      <c r="I10" s="648"/>
      <c r="J10" s="629"/>
      <c r="K10" s="168" t="s">
        <v>34</v>
      </c>
      <c r="L10" s="343"/>
      <c r="M10" s="297"/>
      <c r="N10" s="297"/>
      <c r="O10" s="297"/>
      <c r="P10" s="297"/>
      <c r="Q10" s="297"/>
      <c r="R10" s="297"/>
      <c r="S10" s="297"/>
      <c r="T10" s="297"/>
      <c r="U10" s="297"/>
      <c r="V10" s="297"/>
      <c r="W10" s="91"/>
      <c r="X10" s="14">
        <f t="shared" si="3"/>
        <v>0</v>
      </c>
      <c r="Z10" s="69"/>
    </row>
    <row r="11" spans="1:26" ht="13.4" customHeight="1">
      <c r="A11" s="114">
        <f t="shared" si="4"/>
        <v>2024032</v>
      </c>
      <c r="B11" s="74"/>
      <c r="C11" s="642"/>
      <c r="D11" s="645"/>
      <c r="E11" s="645"/>
      <c r="F11" s="669"/>
      <c r="G11" s="648"/>
      <c r="H11" s="666"/>
      <c r="I11" s="648"/>
      <c r="J11" s="629"/>
      <c r="K11" s="168" t="s">
        <v>28</v>
      </c>
      <c r="L11" s="343">
        <v>13333.333333333334</v>
      </c>
      <c r="M11" s="297">
        <f>20000/20*13</f>
        <v>13000</v>
      </c>
      <c r="N11" s="297">
        <v>20000</v>
      </c>
      <c r="O11" s="297">
        <v>20000</v>
      </c>
      <c r="P11" s="297">
        <f>20000/164.46*105.46</f>
        <v>12825.003040252946</v>
      </c>
      <c r="Q11" s="297">
        <f>20000/171.47*113.72</f>
        <v>13264.127835773023</v>
      </c>
      <c r="R11" s="297">
        <f>20000/210.68*84.01</f>
        <v>7975.128156445795</v>
      </c>
      <c r="S11" s="297">
        <f>20000/144.25*94.25</f>
        <v>13067.590987868283</v>
      </c>
      <c r="T11" s="297">
        <f>20000/177.06*77.31</f>
        <v>8732.6330057607593</v>
      </c>
      <c r="U11" s="297">
        <f>20000/174.23*57.23</f>
        <v>6569.4771279343395</v>
      </c>
      <c r="V11" s="297">
        <f>20000/182.82*48.91</f>
        <v>5350.6180943004047</v>
      </c>
      <c r="W11" s="91">
        <v>13333.333333333334</v>
      </c>
      <c r="X11" s="14">
        <f t="shared" si="3"/>
        <v>147451.24491500223</v>
      </c>
      <c r="Z11" s="69"/>
    </row>
    <row r="12" spans="1:26" ht="13.4" customHeight="1">
      <c r="A12" s="114">
        <f t="shared" si="4"/>
        <v>2024032</v>
      </c>
      <c r="B12" s="74"/>
      <c r="C12" s="642"/>
      <c r="D12" s="645"/>
      <c r="E12" s="645"/>
      <c r="F12" s="669"/>
      <c r="G12" s="648"/>
      <c r="H12" s="666"/>
      <c r="I12" s="648"/>
      <c r="J12" s="629"/>
      <c r="K12" s="168" t="s">
        <v>29</v>
      </c>
      <c r="L12" s="343">
        <v>19963.333333333332</v>
      </c>
      <c r="M12" s="297">
        <f>29945/20*13</f>
        <v>19464.25</v>
      </c>
      <c r="N12" s="297">
        <v>29945</v>
      </c>
      <c r="O12" s="297">
        <v>29945</v>
      </c>
      <c r="P12" s="297">
        <f>29945/164.46*105.46</f>
        <v>19202.235802018724</v>
      </c>
      <c r="Q12" s="297">
        <f>29945/171.47*113.72</f>
        <v>19859.715402111156</v>
      </c>
      <c r="R12" s="297">
        <f>29945/210.68*84.01</f>
        <v>11940.760632238467</v>
      </c>
      <c r="S12" s="297">
        <f>29945/144.25*94.25</f>
        <v>19565.45060658579</v>
      </c>
      <c r="T12" s="297">
        <f>29945/177.06*77.31</f>
        <v>13074.934767875297</v>
      </c>
      <c r="U12" s="297">
        <f>29945/174.23*57.23</f>
        <v>9836.1496297996891</v>
      </c>
      <c r="V12" s="297">
        <f>29945/182.82*48.91</f>
        <v>8011.2129416912803</v>
      </c>
      <c r="W12" s="91">
        <v>19963.333333333332</v>
      </c>
      <c r="X12" s="14">
        <f t="shared" si="3"/>
        <v>220771.37644898708</v>
      </c>
      <c r="Z12" s="69"/>
    </row>
    <row r="13" spans="1:26" ht="13.4" customHeight="1">
      <c r="A13" s="114">
        <f t="shared" si="4"/>
        <v>2024032</v>
      </c>
      <c r="B13" s="74"/>
      <c r="C13" s="642"/>
      <c r="D13" s="645"/>
      <c r="E13" s="645"/>
      <c r="F13" s="669"/>
      <c r="G13" s="648"/>
      <c r="H13" s="666"/>
      <c r="I13" s="648"/>
      <c r="J13" s="629"/>
      <c r="K13" s="168" t="s">
        <v>30</v>
      </c>
      <c r="L13" s="343">
        <v>32330</v>
      </c>
      <c r="M13" s="297">
        <f>48495/20*13</f>
        <v>31521.75</v>
      </c>
      <c r="N13" s="297">
        <v>48495</v>
      </c>
      <c r="O13" s="297">
        <v>48495</v>
      </c>
      <c r="P13" s="297">
        <f>48495/164.46*105.46</f>
        <v>31097.426121853336</v>
      </c>
      <c r="Q13" s="297">
        <f>48495/171.47*113.72</f>
        <v>32162.193969790635</v>
      </c>
      <c r="R13" s="297">
        <f>48495/210.68*84.01</f>
        <v>19337.691997341943</v>
      </c>
      <c r="S13" s="297">
        <f>48495/144.25*94.25</f>
        <v>31685.641247833621</v>
      </c>
      <c r="T13" s="297">
        <f>48495/177.06*77.31</f>
        <v>21174.451880718399</v>
      </c>
      <c r="U13" s="297">
        <f>48495/174.23*57.23</f>
        <v>15929.339665958791</v>
      </c>
      <c r="V13" s="297">
        <f>48495/182.82*48.91</f>
        <v>12973.911224154905</v>
      </c>
      <c r="W13" s="91">
        <v>32330</v>
      </c>
      <c r="X13" s="14">
        <f t="shared" si="3"/>
        <v>357532.40610765165</v>
      </c>
      <c r="Z13" s="69"/>
    </row>
    <row r="14" spans="1:26" ht="13.4" customHeight="1">
      <c r="A14" s="114">
        <f t="shared" si="4"/>
        <v>2024032</v>
      </c>
      <c r="B14" s="74"/>
      <c r="C14" s="642"/>
      <c r="D14" s="645"/>
      <c r="E14" s="645"/>
      <c r="F14" s="669"/>
      <c r="G14" s="648"/>
      <c r="H14" s="666"/>
      <c r="I14" s="648"/>
      <c r="J14" s="629"/>
      <c r="K14" s="168" t="s">
        <v>31</v>
      </c>
      <c r="L14" s="343">
        <v>1733.3333333333333</v>
      </c>
      <c r="M14" s="297">
        <f>2600/20*13</f>
        <v>1690</v>
      </c>
      <c r="N14" s="297">
        <v>2600</v>
      </c>
      <c r="O14" s="297">
        <v>2600</v>
      </c>
      <c r="P14" s="297">
        <f>2600/164.46*105.46</f>
        <v>1667.2503952328832</v>
      </c>
      <c r="Q14" s="297">
        <f>2600/171.47*113.72</f>
        <v>1724.3366186504929</v>
      </c>
      <c r="R14" s="297">
        <f>3132/210.68*84.01</f>
        <v>1248.9050692994115</v>
      </c>
      <c r="S14" s="297">
        <f>2600/144.25*94.25</f>
        <v>1698.7868284228771</v>
      </c>
      <c r="T14" s="297">
        <f>2600/177.06*77.31</f>
        <v>1135.2422907488988</v>
      </c>
      <c r="U14" s="297">
        <f>2600/174.23*57.23</f>
        <v>854.03202663146419</v>
      </c>
      <c r="V14" s="297">
        <f>2780/182.82*48.91</f>
        <v>743.73591510775623</v>
      </c>
      <c r="W14" s="91">
        <v>1733.3333333333333</v>
      </c>
      <c r="X14" s="14">
        <f t="shared" si="3"/>
        <v>19428.95581076045</v>
      </c>
      <c r="Z14" s="69"/>
    </row>
    <row r="15" spans="1:26" ht="13.4" customHeight="1">
      <c r="A15" s="114">
        <f t="shared" si="4"/>
        <v>2024032</v>
      </c>
      <c r="B15" s="74"/>
      <c r="C15" s="642"/>
      <c r="D15" s="645"/>
      <c r="E15" s="645"/>
      <c r="F15" s="669"/>
      <c r="G15" s="648"/>
      <c r="H15" s="666"/>
      <c r="I15" s="648"/>
      <c r="J15" s="629"/>
      <c r="K15" s="168" t="s">
        <v>32</v>
      </c>
      <c r="L15" s="343">
        <v>1906.666666666667</v>
      </c>
      <c r="M15" s="297">
        <f>2860/20*13</f>
        <v>1859</v>
      </c>
      <c r="N15" s="297">
        <v>2860</v>
      </c>
      <c r="O15" s="297">
        <v>2860</v>
      </c>
      <c r="P15" s="297">
        <f>2860/164.46*105.46</f>
        <v>1833.9754347561714</v>
      </c>
      <c r="Q15" s="297">
        <f>2860/171.47*113.72</f>
        <v>1896.770280515542</v>
      </c>
      <c r="R15" s="297">
        <f>3446/210.68*84.01</f>
        <v>1374.1145813556102</v>
      </c>
      <c r="S15" s="297">
        <f>2860/144.25*94.25</f>
        <v>1868.6655112651647</v>
      </c>
      <c r="T15" s="297">
        <f>2860/177.06*77.31</f>
        <v>1248.7665198237885</v>
      </c>
      <c r="U15" s="297">
        <f>2860/174.23*57.23</f>
        <v>939.43522929461051</v>
      </c>
      <c r="V15" s="297">
        <f>3058/182.82*48.91</f>
        <v>818.1095066185319</v>
      </c>
      <c r="W15" s="91">
        <v>1906.666666666667</v>
      </c>
      <c r="X15" s="14">
        <f t="shared" si="3"/>
        <v>21372.170396962756</v>
      </c>
      <c r="Z15" s="69"/>
    </row>
    <row r="16" spans="1:26" ht="14.15" customHeight="1">
      <c r="A16" s="114">
        <f>+A15</f>
        <v>2024032</v>
      </c>
      <c r="B16" s="74"/>
      <c r="C16" s="642"/>
      <c r="D16" s="645"/>
      <c r="E16" s="645"/>
      <c r="F16" s="669"/>
      <c r="G16" s="648"/>
      <c r="H16" s="666"/>
      <c r="I16" s="648"/>
      <c r="J16" s="629"/>
      <c r="K16" s="255" t="s">
        <v>33</v>
      </c>
      <c r="L16" s="377">
        <f t="shared" ref="L16:W16" si="7">L5-L8</f>
        <v>137400.00000000006</v>
      </c>
      <c r="M16" s="432">
        <f t="shared" si="7"/>
        <v>109665</v>
      </c>
      <c r="N16" s="432">
        <f t="shared" si="7"/>
        <v>68400</v>
      </c>
      <c r="O16" s="432">
        <f t="shared" si="7"/>
        <v>54900</v>
      </c>
      <c r="P16" s="432">
        <f t="shared" si="7"/>
        <v>79849.033199562225</v>
      </c>
      <c r="Q16" s="432">
        <f t="shared" si="7"/>
        <v>120589.65999883361</v>
      </c>
      <c r="R16" s="432">
        <f t="shared" si="7"/>
        <v>167178.03697550792</v>
      </c>
      <c r="S16" s="432">
        <f t="shared" si="7"/>
        <v>-57075.909878682753</v>
      </c>
      <c r="T16" s="432">
        <f t="shared" si="7"/>
        <v>227718.1463910538</v>
      </c>
      <c r="U16" s="432">
        <f t="shared" si="7"/>
        <v>50034.638122022618</v>
      </c>
      <c r="V16" s="432">
        <f t="shared" si="7"/>
        <v>-4661.8549939831719</v>
      </c>
      <c r="W16" s="256">
        <f t="shared" si="7"/>
        <v>137400.00000000006</v>
      </c>
      <c r="X16" s="257">
        <f>X5-X8</f>
        <v>1091396.7498143148</v>
      </c>
      <c r="Z16" s="69"/>
    </row>
    <row r="17" spans="1:26" ht="12" customHeight="1">
      <c r="A17" s="113">
        <v>2022003</v>
      </c>
      <c r="C17" s="641">
        <f>C5+1</f>
        <v>2</v>
      </c>
      <c r="D17" s="644" t="s">
        <v>94</v>
      </c>
      <c r="E17" s="644" t="s">
        <v>173</v>
      </c>
      <c r="F17" s="670"/>
      <c r="G17" s="647" t="s">
        <v>138</v>
      </c>
      <c r="H17" s="665"/>
      <c r="I17" s="647"/>
      <c r="J17" s="628" t="s">
        <v>80</v>
      </c>
      <c r="K17" s="181" t="s">
        <v>23</v>
      </c>
      <c r="L17" s="378">
        <f t="shared" ref="L17:R17" si="8">L18+L19</f>
        <v>157500</v>
      </c>
      <c r="M17" s="471">
        <f t="shared" si="8"/>
        <v>390000</v>
      </c>
      <c r="N17" s="471">
        <f t="shared" si="8"/>
        <v>202500</v>
      </c>
      <c r="O17" s="406">
        <f t="shared" si="8"/>
        <v>0</v>
      </c>
      <c r="P17" s="406">
        <f t="shared" si="8"/>
        <v>0</v>
      </c>
      <c r="Q17" s="406">
        <f t="shared" si="8"/>
        <v>0</v>
      </c>
      <c r="R17" s="406">
        <f t="shared" si="8"/>
        <v>0</v>
      </c>
      <c r="S17" s="406">
        <f>S18+S19</f>
        <v>0</v>
      </c>
      <c r="T17" s="406">
        <f t="shared" ref="T17:W17" si="9">T18+T19</f>
        <v>0</v>
      </c>
      <c r="U17" s="406">
        <f t="shared" si="9"/>
        <v>0</v>
      </c>
      <c r="V17" s="406">
        <f t="shared" si="9"/>
        <v>0</v>
      </c>
      <c r="W17" s="478">
        <f t="shared" si="9"/>
        <v>0</v>
      </c>
      <c r="X17" s="493">
        <f>SUM(L17:W17)</f>
        <v>750000</v>
      </c>
      <c r="Z17" s="69"/>
    </row>
    <row r="18" spans="1:26" ht="13.4" customHeight="1">
      <c r="A18" s="114">
        <f>+A17</f>
        <v>2022003</v>
      </c>
      <c r="B18" s="74"/>
      <c r="C18" s="642"/>
      <c r="D18" s="645"/>
      <c r="E18" s="645"/>
      <c r="F18" s="669"/>
      <c r="G18" s="648"/>
      <c r="H18" s="666"/>
      <c r="I18" s="648"/>
      <c r="J18" s="629"/>
      <c r="K18" s="168" t="s">
        <v>24</v>
      </c>
      <c r="L18" s="371">
        <v>157500</v>
      </c>
      <c r="M18" s="371">
        <v>390000</v>
      </c>
      <c r="N18" s="371">
        <v>202500</v>
      </c>
      <c r="O18" s="431"/>
      <c r="P18" s="431"/>
      <c r="Q18" s="431"/>
      <c r="R18" s="431"/>
      <c r="S18" s="431"/>
      <c r="T18" s="431"/>
      <c r="U18" s="431"/>
      <c r="V18" s="431"/>
      <c r="W18" s="371"/>
      <c r="X18" s="494">
        <f t="shared" ref="X18:X27" si="10">SUM(L18:W18)</f>
        <v>750000</v>
      </c>
      <c r="Z18" s="69"/>
    </row>
    <row r="19" spans="1:26" ht="13.4" customHeight="1">
      <c r="A19" s="114">
        <f>+A18</f>
        <v>2022003</v>
      </c>
      <c r="B19" s="74"/>
      <c r="C19" s="642"/>
      <c r="D19" s="645"/>
      <c r="E19" s="645"/>
      <c r="F19" s="669"/>
      <c r="G19" s="648"/>
      <c r="H19" s="666"/>
      <c r="I19" s="648"/>
      <c r="J19" s="629"/>
      <c r="K19" s="168" t="s">
        <v>25</v>
      </c>
      <c r="L19" s="354"/>
      <c r="M19" s="343"/>
      <c r="N19" s="343"/>
      <c r="O19" s="297"/>
      <c r="P19" s="297"/>
      <c r="Q19" s="297"/>
      <c r="R19" s="297"/>
      <c r="S19" s="297"/>
      <c r="T19" s="297"/>
      <c r="U19" s="297"/>
      <c r="V19" s="297"/>
      <c r="W19" s="481"/>
      <c r="X19" s="494">
        <f t="shared" si="10"/>
        <v>0</v>
      </c>
      <c r="Z19" s="69"/>
    </row>
    <row r="20" spans="1:26" ht="13.4" customHeight="1">
      <c r="A20" s="114">
        <f t="shared" ref="A20:A27" si="11">+A19</f>
        <v>2022003</v>
      </c>
      <c r="B20" s="74"/>
      <c r="C20" s="642"/>
      <c r="D20" s="645"/>
      <c r="E20" s="645"/>
      <c r="F20" s="669"/>
      <c r="G20" s="648"/>
      <c r="H20" s="666"/>
      <c r="I20" s="648"/>
      <c r="J20" s="629"/>
      <c r="K20" s="169" t="s">
        <v>26</v>
      </c>
      <c r="L20" s="376">
        <f>SUM(L21:L27)</f>
        <v>115621.66666666669</v>
      </c>
      <c r="M20" s="330">
        <f t="shared" ref="M20:W20" si="12">SUM(M21:M27)</f>
        <v>347630</v>
      </c>
      <c r="N20" s="330">
        <f t="shared" si="12"/>
        <v>347630</v>
      </c>
      <c r="O20" s="426">
        <f t="shared" si="12"/>
        <v>0</v>
      </c>
      <c r="P20" s="426">
        <f t="shared" si="12"/>
        <v>0</v>
      </c>
      <c r="Q20" s="426">
        <f t="shared" si="12"/>
        <v>0</v>
      </c>
      <c r="R20" s="426">
        <f t="shared" si="12"/>
        <v>0</v>
      </c>
      <c r="S20" s="426">
        <f t="shared" si="12"/>
        <v>0</v>
      </c>
      <c r="T20" s="426">
        <f t="shared" si="12"/>
        <v>0</v>
      </c>
      <c r="U20" s="426">
        <f t="shared" si="12"/>
        <v>0</v>
      </c>
      <c r="V20" s="426">
        <f t="shared" si="12"/>
        <v>0</v>
      </c>
      <c r="W20" s="495">
        <f t="shared" si="12"/>
        <v>0</v>
      </c>
      <c r="X20" s="496">
        <f t="shared" si="10"/>
        <v>810881.66666666674</v>
      </c>
      <c r="Z20" s="69"/>
    </row>
    <row r="21" spans="1:26" ht="13.4" customHeight="1">
      <c r="A21" s="114">
        <f t="shared" si="11"/>
        <v>2022003</v>
      </c>
      <c r="B21" s="74"/>
      <c r="C21" s="642"/>
      <c r="D21" s="645"/>
      <c r="E21" s="645"/>
      <c r="F21" s="669"/>
      <c r="G21" s="648"/>
      <c r="H21" s="666"/>
      <c r="I21" s="648"/>
      <c r="J21" s="629"/>
      <c r="K21" s="168" t="s">
        <v>27</v>
      </c>
      <c r="L21" s="343">
        <f>279243/21*7</f>
        <v>93081</v>
      </c>
      <c r="M21" s="343">
        <v>280000</v>
      </c>
      <c r="N21" s="343">
        <v>280000</v>
      </c>
      <c r="O21" s="297"/>
      <c r="P21" s="297"/>
      <c r="Q21" s="297"/>
      <c r="R21" s="297"/>
      <c r="S21" s="297"/>
      <c r="T21" s="297"/>
      <c r="U21" s="297"/>
      <c r="V21" s="297"/>
      <c r="W21" s="343"/>
      <c r="X21" s="494">
        <f t="shared" si="10"/>
        <v>653081</v>
      </c>
      <c r="Z21" s="69"/>
    </row>
    <row r="22" spans="1:26" ht="13.4" customHeight="1">
      <c r="A22" s="114">
        <f t="shared" si="11"/>
        <v>2022003</v>
      </c>
      <c r="B22" s="74"/>
      <c r="C22" s="642"/>
      <c r="D22" s="645"/>
      <c r="E22" s="645"/>
      <c r="F22" s="669"/>
      <c r="G22" s="648"/>
      <c r="H22" s="666"/>
      <c r="I22" s="648"/>
      <c r="J22" s="629"/>
      <c r="K22" s="168" t="s">
        <v>34</v>
      </c>
      <c r="L22" s="343"/>
      <c r="M22" s="343"/>
      <c r="N22" s="343"/>
      <c r="O22" s="297"/>
      <c r="P22" s="297"/>
      <c r="Q22" s="297"/>
      <c r="R22" s="297"/>
      <c r="S22" s="297"/>
      <c r="T22" s="297"/>
      <c r="U22" s="297"/>
      <c r="V22" s="297"/>
      <c r="W22" s="343"/>
      <c r="X22" s="494">
        <f t="shared" si="10"/>
        <v>0</v>
      </c>
      <c r="Z22" s="69"/>
    </row>
    <row r="23" spans="1:26" ht="13.4" customHeight="1">
      <c r="A23" s="114">
        <f t="shared" si="11"/>
        <v>2022003</v>
      </c>
      <c r="B23" s="74"/>
      <c r="C23" s="642"/>
      <c r="D23" s="645"/>
      <c r="E23" s="645"/>
      <c r="F23" s="669"/>
      <c r="G23" s="648"/>
      <c r="H23" s="666"/>
      <c r="I23" s="648"/>
      <c r="J23" s="629"/>
      <c r="K23" s="168" t="s">
        <v>28</v>
      </c>
      <c r="L23" s="343">
        <f>20000/21*7</f>
        <v>6666.666666666667</v>
      </c>
      <c r="M23" s="343">
        <v>20000</v>
      </c>
      <c r="N23" s="343">
        <v>20000</v>
      </c>
      <c r="O23" s="297"/>
      <c r="P23" s="297"/>
      <c r="Q23" s="297"/>
      <c r="R23" s="297"/>
      <c r="S23" s="297"/>
      <c r="T23" s="297"/>
      <c r="U23" s="297"/>
      <c r="V23" s="297"/>
      <c r="W23" s="343"/>
      <c r="X23" s="494">
        <f t="shared" si="10"/>
        <v>46666.666666666672</v>
      </c>
      <c r="Z23" s="69"/>
    </row>
    <row r="24" spans="1:26" ht="13.4" customHeight="1">
      <c r="A24" s="114">
        <f t="shared" si="11"/>
        <v>2022003</v>
      </c>
      <c r="B24" s="74"/>
      <c r="C24" s="642"/>
      <c r="D24" s="645"/>
      <c r="E24" s="645"/>
      <c r="F24" s="669"/>
      <c r="G24" s="648"/>
      <c r="H24" s="666"/>
      <c r="I24" s="648"/>
      <c r="J24" s="629"/>
      <c r="K24" s="168" t="s">
        <v>29</v>
      </c>
      <c r="L24" s="343">
        <f>15200/21*7</f>
        <v>5066.666666666667</v>
      </c>
      <c r="M24" s="343">
        <v>15200</v>
      </c>
      <c r="N24" s="343">
        <v>15200</v>
      </c>
      <c r="O24" s="297"/>
      <c r="P24" s="297"/>
      <c r="Q24" s="297"/>
      <c r="R24" s="297"/>
      <c r="S24" s="297"/>
      <c r="T24" s="297"/>
      <c r="U24" s="297"/>
      <c r="V24" s="297"/>
      <c r="W24" s="343"/>
      <c r="X24" s="494">
        <f t="shared" si="10"/>
        <v>35466.666666666672</v>
      </c>
      <c r="Z24" s="69"/>
    </row>
    <row r="25" spans="1:26" ht="13.4" customHeight="1">
      <c r="A25" s="114">
        <f t="shared" si="11"/>
        <v>2022003</v>
      </c>
      <c r="B25" s="74"/>
      <c r="C25" s="642"/>
      <c r="D25" s="645"/>
      <c r="E25" s="645"/>
      <c r="F25" s="669"/>
      <c r="G25" s="648"/>
      <c r="H25" s="666"/>
      <c r="I25" s="648"/>
      <c r="J25" s="629"/>
      <c r="K25" s="168" t="s">
        <v>30</v>
      </c>
      <c r="L25" s="343">
        <f>29280/21*7</f>
        <v>9760</v>
      </c>
      <c r="M25" s="343">
        <v>29280</v>
      </c>
      <c r="N25" s="343">
        <v>29280</v>
      </c>
      <c r="O25" s="297"/>
      <c r="P25" s="297"/>
      <c r="Q25" s="297"/>
      <c r="R25" s="297"/>
      <c r="S25" s="297"/>
      <c r="T25" s="297"/>
      <c r="U25" s="297"/>
      <c r="V25" s="297"/>
      <c r="W25" s="343"/>
      <c r="X25" s="494">
        <f t="shared" si="10"/>
        <v>68320</v>
      </c>
      <c r="Z25" s="69"/>
    </row>
    <row r="26" spans="1:26" ht="13.4" customHeight="1">
      <c r="A26" s="114">
        <f t="shared" si="11"/>
        <v>2022003</v>
      </c>
      <c r="B26" s="74"/>
      <c r="C26" s="642"/>
      <c r="D26" s="645"/>
      <c r="E26" s="645"/>
      <c r="F26" s="669"/>
      <c r="G26" s="648"/>
      <c r="H26" s="666"/>
      <c r="I26" s="648"/>
      <c r="J26" s="629"/>
      <c r="K26" s="168" t="s">
        <v>31</v>
      </c>
      <c r="L26" s="343">
        <f>1496/21*7</f>
        <v>498.66666666666669</v>
      </c>
      <c r="M26" s="343">
        <v>1500</v>
      </c>
      <c r="N26" s="343">
        <v>1500</v>
      </c>
      <c r="O26" s="297"/>
      <c r="P26" s="297"/>
      <c r="Q26" s="297"/>
      <c r="R26" s="297"/>
      <c r="S26" s="297"/>
      <c r="T26" s="297"/>
      <c r="U26" s="297"/>
      <c r="V26" s="297"/>
      <c r="W26" s="343"/>
      <c r="X26" s="494">
        <f t="shared" si="10"/>
        <v>3498.666666666667</v>
      </c>
      <c r="Z26" s="69"/>
    </row>
    <row r="27" spans="1:26" ht="13.4" customHeight="1">
      <c r="A27" s="114">
        <f t="shared" si="11"/>
        <v>2022003</v>
      </c>
      <c r="B27" s="74"/>
      <c r="C27" s="642"/>
      <c r="D27" s="645"/>
      <c r="E27" s="645"/>
      <c r="F27" s="669"/>
      <c r="G27" s="648"/>
      <c r="H27" s="666"/>
      <c r="I27" s="648"/>
      <c r="J27" s="629"/>
      <c r="K27" s="168" t="s">
        <v>32</v>
      </c>
      <c r="L27" s="343">
        <f>1646/21*7</f>
        <v>548.66666666666663</v>
      </c>
      <c r="M27" s="343">
        <v>1650</v>
      </c>
      <c r="N27" s="343">
        <v>1650</v>
      </c>
      <c r="O27" s="297"/>
      <c r="P27" s="297"/>
      <c r="Q27" s="297"/>
      <c r="R27" s="297"/>
      <c r="S27" s="297"/>
      <c r="T27" s="297"/>
      <c r="U27" s="297"/>
      <c r="V27" s="297"/>
      <c r="W27" s="343"/>
      <c r="X27" s="494">
        <f t="shared" si="10"/>
        <v>3848.6666666666665</v>
      </c>
      <c r="Z27" s="69"/>
    </row>
    <row r="28" spans="1:26" ht="14.15" customHeight="1">
      <c r="A28" s="114">
        <f>+A27</f>
        <v>2022003</v>
      </c>
      <c r="B28" s="74"/>
      <c r="C28" s="654"/>
      <c r="D28" s="655"/>
      <c r="E28" s="655"/>
      <c r="F28" s="671"/>
      <c r="G28" s="652"/>
      <c r="H28" s="667"/>
      <c r="I28" s="652"/>
      <c r="J28" s="630"/>
      <c r="K28" s="170" t="s">
        <v>33</v>
      </c>
      <c r="L28" s="379">
        <f t="shared" ref="L28:W28" si="13">L17-L20</f>
        <v>41878.333333333314</v>
      </c>
      <c r="M28" s="331">
        <f t="shared" si="13"/>
        <v>42370</v>
      </c>
      <c r="N28" s="331">
        <f t="shared" si="13"/>
        <v>-145130</v>
      </c>
      <c r="O28" s="405">
        <f t="shared" si="13"/>
        <v>0</v>
      </c>
      <c r="P28" s="405">
        <f t="shared" si="13"/>
        <v>0</v>
      </c>
      <c r="Q28" s="405">
        <f t="shared" si="13"/>
        <v>0</v>
      </c>
      <c r="R28" s="405">
        <f t="shared" si="13"/>
        <v>0</v>
      </c>
      <c r="S28" s="405">
        <f t="shared" si="13"/>
        <v>0</v>
      </c>
      <c r="T28" s="405">
        <f t="shared" si="13"/>
        <v>0</v>
      </c>
      <c r="U28" s="405">
        <f t="shared" si="13"/>
        <v>0</v>
      </c>
      <c r="V28" s="405">
        <f t="shared" si="13"/>
        <v>0</v>
      </c>
      <c r="W28" s="484">
        <f t="shared" si="13"/>
        <v>0</v>
      </c>
      <c r="X28" s="497">
        <f>X17-X20</f>
        <v>-60881.666666666744</v>
      </c>
      <c r="Z28" s="69"/>
    </row>
    <row r="29" spans="1:26" ht="12" customHeight="1">
      <c r="A29" s="113" t="s">
        <v>137</v>
      </c>
      <c r="C29" s="641">
        <f>C17+1</f>
        <v>3</v>
      </c>
      <c r="D29" s="644" t="s">
        <v>106</v>
      </c>
      <c r="E29" s="644"/>
      <c r="F29" s="670"/>
      <c r="G29" s="647" t="s">
        <v>138</v>
      </c>
      <c r="H29" s="665"/>
      <c r="I29" s="647"/>
      <c r="J29" s="628" t="s">
        <v>136</v>
      </c>
      <c r="K29" s="181" t="s">
        <v>23</v>
      </c>
      <c r="L29" s="378">
        <f t="shared" ref="L29:R29" si="14">L30+L31</f>
        <v>800000</v>
      </c>
      <c r="M29" s="406">
        <f t="shared" si="14"/>
        <v>800000</v>
      </c>
      <c r="N29" s="406">
        <f t="shared" si="14"/>
        <v>800000</v>
      </c>
      <c r="O29" s="406">
        <f t="shared" si="14"/>
        <v>800000</v>
      </c>
      <c r="P29" s="406">
        <f t="shared" si="14"/>
        <v>800000</v>
      </c>
      <c r="Q29" s="406">
        <f t="shared" si="14"/>
        <v>800000</v>
      </c>
      <c r="R29" s="406">
        <f t="shared" si="14"/>
        <v>800000</v>
      </c>
      <c r="S29" s="406">
        <f>S30+S31</f>
        <v>800000</v>
      </c>
      <c r="T29" s="406">
        <f t="shared" ref="T29:W29" si="15">T30+T31</f>
        <v>800000</v>
      </c>
      <c r="U29" s="406">
        <f t="shared" si="15"/>
        <v>800000</v>
      </c>
      <c r="V29" s="406">
        <f t="shared" si="15"/>
        <v>800000</v>
      </c>
      <c r="W29" s="94">
        <f t="shared" si="15"/>
        <v>800000</v>
      </c>
      <c r="X29" s="32">
        <f>SUM(L29:W29)</f>
        <v>9600000</v>
      </c>
      <c r="Z29" s="69"/>
    </row>
    <row r="30" spans="1:26" ht="13.4" customHeight="1">
      <c r="A30" s="114" t="str">
        <f>+A29</f>
        <v>－</v>
      </c>
      <c r="B30" s="74"/>
      <c r="C30" s="642"/>
      <c r="D30" s="645"/>
      <c r="E30" s="645"/>
      <c r="F30" s="669"/>
      <c r="G30" s="648"/>
      <c r="H30" s="666"/>
      <c r="I30" s="648"/>
      <c r="J30" s="629"/>
      <c r="K30" s="168" t="s">
        <v>24</v>
      </c>
      <c r="L30" s="371">
        <v>800000</v>
      </c>
      <c r="M30" s="431">
        <v>800000</v>
      </c>
      <c r="N30" s="431">
        <v>800000</v>
      </c>
      <c r="O30" s="431">
        <v>800000</v>
      </c>
      <c r="P30" s="431">
        <v>800000</v>
      </c>
      <c r="Q30" s="431">
        <v>800000</v>
      </c>
      <c r="R30" s="431">
        <v>800000</v>
      </c>
      <c r="S30" s="431">
        <v>800000</v>
      </c>
      <c r="T30" s="431">
        <v>800000</v>
      </c>
      <c r="U30" s="431">
        <v>800000</v>
      </c>
      <c r="V30" s="431">
        <v>800000</v>
      </c>
      <c r="W30" s="229">
        <v>800000</v>
      </c>
      <c r="X30" s="14">
        <f t="shared" ref="X30:X39" si="16">SUM(L30:W30)</f>
        <v>9600000</v>
      </c>
      <c r="Z30" s="69"/>
    </row>
    <row r="31" spans="1:26" ht="13.4" customHeight="1">
      <c r="A31" s="114" t="str">
        <f>+A30</f>
        <v>－</v>
      </c>
      <c r="B31" s="74"/>
      <c r="C31" s="642"/>
      <c r="D31" s="645"/>
      <c r="E31" s="645"/>
      <c r="F31" s="669"/>
      <c r="G31" s="648"/>
      <c r="H31" s="666"/>
      <c r="I31" s="648"/>
      <c r="J31" s="629"/>
      <c r="K31" s="168" t="s">
        <v>25</v>
      </c>
      <c r="L31" s="354"/>
      <c r="M31" s="297"/>
      <c r="N31" s="297"/>
      <c r="O31" s="297"/>
      <c r="P31" s="297"/>
      <c r="Q31" s="297"/>
      <c r="R31" s="297"/>
      <c r="S31" s="297"/>
      <c r="T31" s="297"/>
      <c r="U31" s="297"/>
      <c r="V31" s="297"/>
      <c r="W31" s="93"/>
      <c r="X31" s="14">
        <f t="shared" si="16"/>
        <v>0</v>
      </c>
      <c r="Z31" s="69"/>
    </row>
    <row r="32" spans="1:26" ht="13.4" customHeight="1">
      <c r="A32" s="114" t="str">
        <f t="shared" ref="A32:A39" si="17">+A31</f>
        <v>－</v>
      </c>
      <c r="B32" s="74"/>
      <c r="C32" s="642"/>
      <c r="D32" s="645"/>
      <c r="E32" s="645"/>
      <c r="F32" s="669"/>
      <c r="G32" s="648"/>
      <c r="H32" s="666"/>
      <c r="I32" s="648"/>
      <c r="J32" s="629"/>
      <c r="K32" s="169" t="s">
        <v>26</v>
      </c>
      <c r="L32" s="376">
        <f>SUM(L33:L39)</f>
        <v>720000</v>
      </c>
      <c r="M32" s="426">
        <f t="shared" ref="M32:W32" si="18">SUM(M33:M39)</f>
        <v>720000</v>
      </c>
      <c r="N32" s="426">
        <f t="shared" si="18"/>
        <v>720000</v>
      </c>
      <c r="O32" s="426">
        <f t="shared" si="18"/>
        <v>720000</v>
      </c>
      <c r="P32" s="426">
        <f t="shared" si="18"/>
        <v>720000</v>
      </c>
      <c r="Q32" s="426">
        <f t="shared" si="18"/>
        <v>720000</v>
      </c>
      <c r="R32" s="426">
        <f t="shared" si="18"/>
        <v>720000</v>
      </c>
      <c r="S32" s="426">
        <f t="shared" si="18"/>
        <v>720000</v>
      </c>
      <c r="T32" s="426">
        <f t="shared" si="18"/>
        <v>720000</v>
      </c>
      <c r="U32" s="426">
        <f t="shared" si="18"/>
        <v>720000</v>
      </c>
      <c r="V32" s="426">
        <f t="shared" si="18"/>
        <v>720000</v>
      </c>
      <c r="W32" s="89">
        <f t="shared" si="18"/>
        <v>720000</v>
      </c>
      <c r="X32" s="15">
        <f t="shared" si="16"/>
        <v>8640000</v>
      </c>
      <c r="Z32" s="69"/>
    </row>
    <row r="33" spans="1:26" ht="13.4" customHeight="1">
      <c r="A33" s="114" t="str">
        <f t="shared" si="17"/>
        <v>－</v>
      </c>
      <c r="B33" s="74"/>
      <c r="C33" s="642"/>
      <c r="D33" s="645"/>
      <c r="E33" s="645"/>
      <c r="F33" s="669"/>
      <c r="G33" s="648"/>
      <c r="H33" s="666"/>
      <c r="I33" s="648"/>
      <c r="J33" s="629"/>
      <c r="K33" s="168" t="s">
        <v>27</v>
      </c>
      <c r="L33" s="343">
        <v>720000</v>
      </c>
      <c r="M33" s="297">
        <v>720000</v>
      </c>
      <c r="N33" s="297">
        <v>720000</v>
      </c>
      <c r="O33" s="297">
        <v>720000</v>
      </c>
      <c r="P33" s="297">
        <v>720000</v>
      </c>
      <c r="Q33" s="297">
        <v>720000</v>
      </c>
      <c r="R33" s="297">
        <v>720000</v>
      </c>
      <c r="S33" s="297">
        <v>720000</v>
      </c>
      <c r="T33" s="297">
        <v>720000</v>
      </c>
      <c r="U33" s="297">
        <v>720000</v>
      </c>
      <c r="V33" s="297">
        <v>720000</v>
      </c>
      <c r="W33" s="91">
        <v>720000</v>
      </c>
      <c r="X33" s="14">
        <f t="shared" si="16"/>
        <v>8640000</v>
      </c>
      <c r="Z33" s="69"/>
    </row>
    <row r="34" spans="1:26" ht="13.4" customHeight="1">
      <c r="A34" s="114" t="str">
        <f t="shared" si="17"/>
        <v>－</v>
      </c>
      <c r="B34" s="74"/>
      <c r="C34" s="642"/>
      <c r="D34" s="645"/>
      <c r="E34" s="645"/>
      <c r="F34" s="669"/>
      <c r="G34" s="648"/>
      <c r="H34" s="666"/>
      <c r="I34" s="648"/>
      <c r="J34" s="629"/>
      <c r="K34" s="168" t="s">
        <v>34</v>
      </c>
      <c r="L34" s="343"/>
      <c r="M34" s="297"/>
      <c r="N34" s="297"/>
      <c r="O34" s="297"/>
      <c r="P34" s="297"/>
      <c r="Q34" s="297"/>
      <c r="R34" s="297"/>
      <c r="S34" s="297"/>
      <c r="T34" s="297"/>
      <c r="U34" s="297"/>
      <c r="V34" s="297"/>
      <c r="W34" s="91"/>
      <c r="X34" s="14">
        <f t="shared" si="16"/>
        <v>0</v>
      </c>
      <c r="Z34" s="69"/>
    </row>
    <row r="35" spans="1:26" ht="13.4" customHeight="1">
      <c r="A35" s="114" t="str">
        <f t="shared" si="17"/>
        <v>－</v>
      </c>
      <c r="B35" s="74"/>
      <c r="C35" s="642"/>
      <c r="D35" s="645"/>
      <c r="E35" s="645"/>
      <c r="F35" s="669"/>
      <c r="G35" s="648"/>
      <c r="H35" s="666"/>
      <c r="I35" s="648"/>
      <c r="J35" s="629"/>
      <c r="K35" s="168" t="s">
        <v>28</v>
      </c>
      <c r="L35" s="343"/>
      <c r="M35" s="297"/>
      <c r="N35" s="297"/>
      <c r="O35" s="297"/>
      <c r="P35" s="297"/>
      <c r="Q35" s="297"/>
      <c r="R35" s="297"/>
      <c r="S35" s="297"/>
      <c r="T35" s="297"/>
      <c r="U35" s="297"/>
      <c r="V35" s="297"/>
      <c r="W35" s="91"/>
      <c r="X35" s="14">
        <f t="shared" si="16"/>
        <v>0</v>
      </c>
      <c r="Z35" s="69"/>
    </row>
    <row r="36" spans="1:26" ht="13.4" customHeight="1">
      <c r="A36" s="114" t="str">
        <f t="shared" si="17"/>
        <v>－</v>
      </c>
      <c r="B36" s="74"/>
      <c r="C36" s="642"/>
      <c r="D36" s="645"/>
      <c r="E36" s="645"/>
      <c r="F36" s="669"/>
      <c r="G36" s="648"/>
      <c r="H36" s="666"/>
      <c r="I36" s="648"/>
      <c r="J36" s="629"/>
      <c r="K36" s="168" t="s">
        <v>29</v>
      </c>
      <c r="L36" s="343"/>
      <c r="M36" s="297"/>
      <c r="N36" s="297"/>
      <c r="O36" s="297"/>
      <c r="P36" s="297"/>
      <c r="Q36" s="297"/>
      <c r="R36" s="297"/>
      <c r="S36" s="297"/>
      <c r="T36" s="297"/>
      <c r="U36" s="297"/>
      <c r="V36" s="297"/>
      <c r="W36" s="91"/>
      <c r="X36" s="14">
        <f t="shared" si="16"/>
        <v>0</v>
      </c>
      <c r="Z36" s="69"/>
    </row>
    <row r="37" spans="1:26" ht="13.4" customHeight="1">
      <c r="A37" s="114" t="str">
        <f t="shared" si="17"/>
        <v>－</v>
      </c>
      <c r="B37" s="74"/>
      <c r="C37" s="642"/>
      <c r="D37" s="645"/>
      <c r="E37" s="645"/>
      <c r="F37" s="669"/>
      <c r="G37" s="648"/>
      <c r="H37" s="666"/>
      <c r="I37" s="648"/>
      <c r="J37" s="629"/>
      <c r="K37" s="168" t="s">
        <v>30</v>
      </c>
      <c r="L37" s="343"/>
      <c r="M37" s="297"/>
      <c r="N37" s="297"/>
      <c r="O37" s="297"/>
      <c r="P37" s="297"/>
      <c r="Q37" s="297"/>
      <c r="R37" s="297"/>
      <c r="S37" s="297"/>
      <c r="T37" s="297"/>
      <c r="U37" s="297"/>
      <c r="V37" s="297"/>
      <c r="W37" s="91"/>
      <c r="X37" s="14">
        <f t="shared" si="16"/>
        <v>0</v>
      </c>
      <c r="Z37" s="69"/>
    </row>
    <row r="38" spans="1:26" ht="13.4" customHeight="1">
      <c r="A38" s="114" t="str">
        <f t="shared" si="17"/>
        <v>－</v>
      </c>
      <c r="B38" s="74"/>
      <c r="C38" s="642"/>
      <c r="D38" s="645"/>
      <c r="E38" s="645"/>
      <c r="F38" s="669"/>
      <c r="G38" s="648"/>
      <c r="H38" s="666"/>
      <c r="I38" s="648"/>
      <c r="J38" s="629"/>
      <c r="K38" s="168" t="s">
        <v>31</v>
      </c>
      <c r="L38" s="343"/>
      <c r="M38" s="297"/>
      <c r="N38" s="297"/>
      <c r="O38" s="297"/>
      <c r="P38" s="297"/>
      <c r="Q38" s="297"/>
      <c r="R38" s="297"/>
      <c r="S38" s="297"/>
      <c r="T38" s="297"/>
      <c r="U38" s="297"/>
      <c r="V38" s="297"/>
      <c r="W38" s="91"/>
      <c r="X38" s="14">
        <f t="shared" si="16"/>
        <v>0</v>
      </c>
      <c r="Z38" s="69"/>
    </row>
    <row r="39" spans="1:26" ht="13.4" customHeight="1">
      <c r="A39" s="114" t="str">
        <f t="shared" si="17"/>
        <v>－</v>
      </c>
      <c r="B39" s="74"/>
      <c r="C39" s="642"/>
      <c r="D39" s="645"/>
      <c r="E39" s="645"/>
      <c r="F39" s="669"/>
      <c r="G39" s="648"/>
      <c r="H39" s="666"/>
      <c r="I39" s="648"/>
      <c r="J39" s="629"/>
      <c r="K39" s="168" t="s">
        <v>32</v>
      </c>
      <c r="L39" s="343"/>
      <c r="M39" s="297"/>
      <c r="N39" s="297"/>
      <c r="O39" s="297"/>
      <c r="P39" s="297"/>
      <c r="Q39" s="297"/>
      <c r="R39" s="297"/>
      <c r="S39" s="297"/>
      <c r="T39" s="297"/>
      <c r="U39" s="297"/>
      <c r="V39" s="297"/>
      <c r="W39" s="91"/>
      <c r="X39" s="14">
        <f t="shared" si="16"/>
        <v>0</v>
      </c>
      <c r="Z39" s="69"/>
    </row>
    <row r="40" spans="1:26" ht="14.15" customHeight="1">
      <c r="A40" s="114" t="str">
        <f>+A39</f>
        <v>－</v>
      </c>
      <c r="B40" s="74"/>
      <c r="C40" s="654"/>
      <c r="D40" s="655"/>
      <c r="E40" s="655"/>
      <c r="F40" s="671"/>
      <c r="G40" s="652"/>
      <c r="H40" s="667"/>
      <c r="I40" s="652"/>
      <c r="J40" s="630"/>
      <c r="K40" s="170" t="s">
        <v>33</v>
      </c>
      <c r="L40" s="379">
        <f t="shared" ref="L40:W40" si="19">L29-L32</f>
        <v>80000</v>
      </c>
      <c r="M40" s="405">
        <f t="shared" si="19"/>
        <v>80000</v>
      </c>
      <c r="N40" s="405">
        <f t="shared" si="19"/>
        <v>80000</v>
      </c>
      <c r="O40" s="405">
        <f t="shared" si="19"/>
        <v>80000</v>
      </c>
      <c r="P40" s="405">
        <f t="shared" si="19"/>
        <v>80000</v>
      </c>
      <c r="Q40" s="405">
        <f t="shared" si="19"/>
        <v>80000</v>
      </c>
      <c r="R40" s="405">
        <f t="shared" si="19"/>
        <v>80000</v>
      </c>
      <c r="S40" s="405">
        <f t="shared" si="19"/>
        <v>80000</v>
      </c>
      <c r="T40" s="405">
        <f t="shared" si="19"/>
        <v>80000</v>
      </c>
      <c r="U40" s="405">
        <f t="shared" si="19"/>
        <v>80000</v>
      </c>
      <c r="V40" s="405">
        <f t="shared" si="19"/>
        <v>80000</v>
      </c>
      <c r="W40" s="90">
        <f t="shared" si="19"/>
        <v>80000</v>
      </c>
      <c r="X40" s="16">
        <f>X29-X32</f>
        <v>960000</v>
      </c>
      <c r="Z40" s="69"/>
    </row>
    <row r="41" spans="1:26" ht="12" customHeight="1">
      <c r="A41" s="263">
        <v>2024027</v>
      </c>
      <c r="C41" s="641">
        <f>C29+1</f>
        <v>4</v>
      </c>
      <c r="D41" s="644" t="s">
        <v>94</v>
      </c>
      <c r="E41" s="644"/>
      <c r="F41" s="644"/>
      <c r="G41" s="647" t="s">
        <v>138</v>
      </c>
      <c r="H41" s="665"/>
      <c r="I41" s="647"/>
      <c r="J41" s="628" t="s">
        <v>80</v>
      </c>
      <c r="K41" s="181" t="s">
        <v>23</v>
      </c>
      <c r="L41" s="378">
        <f t="shared" ref="L41:R41" si="20">L42+L43</f>
        <v>0</v>
      </c>
      <c r="M41" s="406">
        <f t="shared" si="20"/>
        <v>0</v>
      </c>
      <c r="N41" s="406">
        <f t="shared" si="20"/>
        <v>0</v>
      </c>
      <c r="O41" s="406">
        <f t="shared" si="20"/>
        <v>464940</v>
      </c>
      <c r="P41" s="406">
        <f t="shared" si="20"/>
        <v>441980</v>
      </c>
      <c r="Q41" s="406">
        <f t="shared" si="20"/>
        <v>420455</v>
      </c>
      <c r="R41" s="406">
        <f t="shared" si="20"/>
        <v>533820</v>
      </c>
      <c r="S41" s="406">
        <f>S42+S43</f>
        <v>398930</v>
      </c>
      <c r="T41" s="406">
        <f t="shared" ref="T41:W41" si="21">T42+T43</f>
        <v>439110</v>
      </c>
      <c r="U41" s="406">
        <f t="shared" si="21"/>
        <v>340095</v>
      </c>
      <c r="V41" s="406">
        <f t="shared" si="21"/>
        <v>423325</v>
      </c>
      <c r="W41" s="94">
        <f t="shared" si="21"/>
        <v>430500</v>
      </c>
      <c r="X41" s="32">
        <f>SUM(L41:W41)</f>
        <v>3893155</v>
      </c>
      <c r="Z41" s="69"/>
    </row>
    <row r="42" spans="1:26" ht="13.4" customHeight="1">
      <c r="A42" s="114">
        <f>+A41</f>
        <v>2024027</v>
      </c>
      <c r="B42" s="74"/>
      <c r="C42" s="642"/>
      <c r="D42" s="645"/>
      <c r="E42" s="645"/>
      <c r="F42" s="645"/>
      <c r="G42" s="648"/>
      <c r="H42" s="666"/>
      <c r="I42" s="648"/>
      <c r="J42" s="629"/>
      <c r="K42" s="168" t="s">
        <v>24</v>
      </c>
      <c r="L42" s="371"/>
      <c r="M42" s="431"/>
      <c r="N42" s="431"/>
      <c r="O42" s="431">
        <v>464940</v>
      </c>
      <c r="P42" s="431">
        <v>441980</v>
      </c>
      <c r="Q42" s="431">
        <v>420455</v>
      </c>
      <c r="R42" s="431">
        <v>533820</v>
      </c>
      <c r="S42" s="431">
        <v>398930</v>
      </c>
      <c r="T42" s="431">
        <v>439110</v>
      </c>
      <c r="U42" s="431">
        <v>340095</v>
      </c>
      <c r="V42" s="431">
        <v>423325</v>
      </c>
      <c r="W42" s="229">
        <f t="shared" ref="W42" si="22">2870*150</f>
        <v>430500</v>
      </c>
      <c r="X42" s="14">
        <f t="shared" ref="X42:X51" si="23">SUM(L42:W42)</f>
        <v>3893155</v>
      </c>
      <c r="Z42" s="69"/>
    </row>
    <row r="43" spans="1:26" ht="13.4" customHeight="1">
      <c r="A43" s="114">
        <f>+A42</f>
        <v>2024027</v>
      </c>
      <c r="B43" s="74"/>
      <c r="C43" s="642"/>
      <c r="D43" s="645"/>
      <c r="E43" s="645"/>
      <c r="F43" s="645"/>
      <c r="G43" s="648"/>
      <c r="H43" s="666"/>
      <c r="I43" s="648"/>
      <c r="J43" s="629"/>
      <c r="K43" s="168" t="s">
        <v>25</v>
      </c>
      <c r="L43" s="354"/>
      <c r="M43" s="297"/>
      <c r="N43" s="297"/>
      <c r="O43" s="297"/>
      <c r="P43" s="297"/>
      <c r="Q43" s="297"/>
      <c r="R43" s="297"/>
      <c r="S43" s="297"/>
      <c r="T43" s="297"/>
      <c r="U43" s="297"/>
      <c r="V43" s="297"/>
      <c r="W43" s="93"/>
      <c r="X43" s="14">
        <f t="shared" si="23"/>
        <v>0</v>
      </c>
      <c r="Z43" s="69"/>
    </row>
    <row r="44" spans="1:26" ht="13.4" customHeight="1">
      <c r="A44" s="114">
        <f t="shared" ref="A44:A51" si="24">+A43</f>
        <v>2024027</v>
      </c>
      <c r="B44" s="74"/>
      <c r="C44" s="642"/>
      <c r="D44" s="645"/>
      <c r="E44" s="645"/>
      <c r="F44" s="645"/>
      <c r="G44" s="648"/>
      <c r="H44" s="666"/>
      <c r="I44" s="648"/>
      <c r="J44" s="629"/>
      <c r="K44" s="169" t="s">
        <v>26</v>
      </c>
      <c r="L44" s="376">
        <f>SUM(L45:L51)</f>
        <v>0</v>
      </c>
      <c r="M44" s="426">
        <f t="shared" ref="M44:W44" si="25">SUM(M45:M51)</f>
        <v>0</v>
      </c>
      <c r="N44" s="426">
        <f t="shared" si="25"/>
        <v>0</v>
      </c>
      <c r="O44" s="426">
        <f t="shared" si="25"/>
        <v>304769</v>
      </c>
      <c r="P44" s="426">
        <f t="shared" si="25"/>
        <v>320849</v>
      </c>
      <c r="Q44" s="426">
        <f t="shared" si="25"/>
        <v>303113</v>
      </c>
      <c r="R44" s="426">
        <f t="shared" si="25"/>
        <v>315164</v>
      </c>
      <c r="S44" s="426">
        <f t="shared" si="25"/>
        <v>307762</v>
      </c>
      <c r="T44" s="426">
        <f t="shared" si="25"/>
        <v>307762</v>
      </c>
      <c r="U44" s="426">
        <f t="shared" si="25"/>
        <v>303113</v>
      </c>
      <c r="V44" s="426">
        <f t="shared" si="25"/>
        <v>303296</v>
      </c>
      <c r="W44" s="89">
        <f t="shared" si="25"/>
        <v>312744</v>
      </c>
      <c r="X44" s="15">
        <f t="shared" si="23"/>
        <v>2778572</v>
      </c>
      <c r="Z44" s="69"/>
    </row>
    <row r="45" spans="1:26" ht="13.4" customHeight="1">
      <c r="A45" s="114">
        <f t="shared" si="24"/>
        <v>2024027</v>
      </c>
      <c r="B45" s="74"/>
      <c r="C45" s="642"/>
      <c r="D45" s="645"/>
      <c r="E45" s="645"/>
      <c r="F45" s="645"/>
      <c r="G45" s="648"/>
      <c r="H45" s="666"/>
      <c r="I45" s="648"/>
      <c r="J45" s="629"/>
      <c r="K45" s="168" t="s">
        <v>27</v>
      </c>
      <c r="L45" s="343"/>
      <c r="M45" s="297"/>
      <c r="N45" s="297"/>
      <c r="O45" s="297">
        <v>240000</v>
      </c>
      <c r="P45" s="297">
        <v>240000</v>
      </c>
      <c r="Q45" s="297">
        <v>240000</v>
      </c>
      <c r="R45" s="297">
        <v>251926</v>
      </c>
      <c r="S45" s="297">
        <v>240000</v>
      </c>
      <c r="T45" s="297">
        <v>240000</v>
      </c>
      <c r="U45" s="297">
        <v>240000</v>
      </c>
      <c r="V45" s="297">
        <v>240000</v>
      </c>
      <c r="W45" s="91">
        <v>248000</v>
      </c>
      <c r="X45" s="14">
        <f t="shared" si="23"/>
        <v>2179926</v>
      </c>
      <c r="Z45" s="69"/>
    </row>
    <row r="46" spans="1:26" ht="13.4" customHeight="1">
      <c r="A46" s="114">
        <f t="shared" si="24"/>
        <v>2024027</v>
      </c>
      <c r="B46" s="74"/>
      <c r="C46" s="642"/>
      <c r="D46" s="645"/>
      <c r="E46" s="645"/>
      <c r="F46" s="645"/>
      <c r="G46" s="648"/>
      <c r="H46" s="666"/>
      <c r="I46" s="648"/>
      <c r="J46" s="629"/>
      <c r="K46" s="168" t="s">
        <v>34</v>
      </c>
      <c r="L46" s="343"/>
      <c r="M46" s="297"/>
      <c r="N46" s="297"/>
      <c r="O46" s="444"/>
      <c r="P46" s="444"/>
      <c r="Q46" s="444"/>
      <c r="R46" s="444"/>
      <c r="S46" s="444"/>
      <c r="T46" s="444"/>
      <c r="U46" s="444"/>
      <c r="V46" s="444"/>
      <c r="W46" s="121"/>
      <c r="X46" s="14">
        <f t="shared" si="23"/>
        <v>0</v>
      </c>
      <c r="Z46" s="69"/>
    </row>
    <row r="47" spans="1:26" ht="13.4" customHeight="1">
      <c r="A47" s="114">
        <f t="shared" si="24"/>
        <v>2024027</v>
      </c>
      <c r="B47" s="74"/>
      <c r="C47" s="642"/>
      <c r="D47" s="645"/>
      <c r="E47" s="645"/>
      <c r="F47" s="645"/>
      <c r="G47" s="648"/>
      <c r="H47" s="666"/>
      <c r="I47" s="648"/>
      <c r="J47" s="629"/>
      <c r="K47" s="168" t="s">
        <v>28</v>
      </c>
      <c r="L47" s="343"/>
      <c r="M47" s="297"/>
      <c r="N47" s="297"/>
      <c r="O47" s="297">
        <v>26000</v>
      </c>
      <c r="P47" s="410">
        <v>41750</v>
      </c>
      <c r="Q47" s="410">
        <v>26950</v>
      </c>
      <c r="R47" s="410">
        <v>26950</v>
      </c>
      <c r="S47" s="410">
        <v>31550</v>
      </c>
      <c r="T47" s="410">
        <v>31550</v>
      </c>
      <c r="U47" s="410">
        <v>26950</v>
      </c>
      <c r="V47" s="410">
        <v>26950</v>
      </c>
      <c r="W47" s="26">
        <v>26000</v>
      </c>
      <c r="X47" s="14">
        <f t="shared" si="23"/>
        <v>264650</v>
      </c>
      <c r="Z47" s="69"/>
    </row>
    <row r="48" spans="1:26" ht="13.4" customHeight="1">
      <c r="A48" s="114">
        <f t="shared" si="24"/>
        <v>2024027</v>
      </c>
      <c r="B48" s="74"/>
      <c r="C48" s="642"/>
      <c r="D48" s="645"/>
      <c r="E48" s="645"/>
      <c r="F48" s="645"/>
      <c r="G48" s="648"/>
      <c r="H48" s="666"/>
      <c r="I48" s="648"/>
      <c r="J48" s="629"/>
      <c r="K48" s="168" t="s">
        <v>29</v>
      </c>
      <c r="L48" s="343"/>
      <c r="M48" s="297"/>
      <c r="N48" s="297"/>
      <c r="O48" s="410">
        <v>12350</v>
      </c>
      <c r="P48" s="410">
        <v>12350</v>
      </c>
      <c r="Q48" s="410">
        <v>11400</v>
      </c>
      <c r="R48" s="410">
        <v>11400</v>
      </c>
      <c r="S48" s="410">
        <v>11400</v>
      </c>
      <c r="T48" s="410">
        <v>11400</v>
      </c>
      <c r="U48" s="410">
        <v>11400</v>
      </c>
      <c r="V48" s="410">
        <v>11400</v>
      </c>
      <c r="W48" s="26">
        <v>12350</v>
      </c>
      <c r="X48" s="14">
        <f t="shared" si="23"/>
        <v>105450</v>
      </c>
      <c r="Z48" s="69"/>
    </row>
    <row r="49" spans="1:26" ht="13.4" customHeight="1">
      <c r="A49" s="114">
        <f t="shared" si="24"/>
        <v>2024027</v>
      </c>
      <c r="B49" s="74"/>
      <c r="C49" s="642"/>
      <c r="D49" s="645"/>
      <c r="E49" s="645"/>
      <c r="F49" s="645"/>
      <c r="G49" s="648"/>
      <c r="H49" s="666"/>
      <c r="I49" s="648"/>
      <c r="J49" s="629"/>
      <c r="K49" s="168" t="s">
        <v>30</v>
      </c>
      <c r="L49" s="343"/>
      <c r="M49" s="297"/>
      <c r="N49" s="297"/>
      <c r="O49" s="410">
        <v>23790</v>
      </c>
      <c r="P49" s="410">
        <v>23790</v>
      </c>
      <c r="Q49" s="410">
        <v>21960</v>
      </c>
      <c r="R49" s="410">
        <v>21960</v>
      </c>
      <c r="S49" s="410">
        <v>21960</v>
      </c>
      <c r="T49" s="410">
        <v>21960</v>
      </c>
      <c r="U49" s="410">
        <v>21960</v>
      </c>
      <c r="V49" s="410">
        <v>21960</v>
      </c>
      <c r="W49" s="26">
        <v>23790</v>
      </c>
      <c r="X49" s="14">
        <f t="shared" si="23"/>
        <v>203130</v>
      </c>
      <c r="Z49" s="69"/>
    </row>
    <row r="50" spans="1:26" ht="13.4" customHeight="1">
      <c r="A50" s="114">
        <f t="shared" si="24"/>
        <v>2024027</v>
      </c>
      <c r="B50" s="74"/>
      <c r="C50" s="642"/>
      <c r="D50" s="645"/>
      <c r="E50" s="645"/>
      <c r="F50" s="645"/>
      <c r="G50" s="648"/>
      <c r="H50" s="666"/>
      <c r="I50" s="648"/>
      <c r="J50" s="629"/>
      <c r="K50" s="168" t="s">
        <v>31</v>
      </c>
      <c r="L50" s="343"/>
      <c r="M50" s="297"/>
      <c r="N50" s="297"/>
      <c r="O50" s="410">
        <v>1252</v>
      </c>
      <c r="P50" s="410">
        <v>1409</v>
      </c>
      <c r="Q50" s="410">
        <v>1335</v>
      </c>
      <c r="R50" s="410">
        <v>1394</v>
      </c>
      <c r="S50" s="410">
        <v>1358</v>
      </c>
      <c r="T50" s="410">
        <v>1358</v>
      </c>
      <c r="U50" s="410">
        <v>1335</v>
      </c>
      <c r="V50" s="410">
        <v>1422</v>
      </c>
      <c r="W50" s="26">
        <v>1240</v>
      </c>
      <c r="X50" s="14">
        <f t="shared" si="23"/>
        <v>12103</v>
      </c>
      <c r="Z50" s="69"/>
    </row>
    <row r="51" spans="1:26" ht="13.4" customHeight="1">
      <c r="A51" s="114">
        <f t="shared" si="24"/>
        <v>2024027</v>
      </c>
      <c r="B51" s="74"/>
      <c r="C51" s="642"/>
      <c r="D51" s="645"/>
      <c r="E51" s="645"/>
      <c r="F51" s="645"/>
      <c r="G51" s="648"/>
      <c r="H51" s="666"/>
      <c r="I51" s="648"/>
      <c r="J51" s="629"/>
      <c r="K51" s="168" t="s">
        <v>32</v>
      </c>
      <c r="L51" s="343"/>
      <c r="M51" s="297"/>
      <c r="N51" s="297"/>
      <c r="O51" s="443">
        <v>1377</v>
      </c>
      <c r="P51" s="443">
        <v>1550</v>
      </c>
      <c r="Q51" s="443">
        <v>1468</v>
      </c>
      <c r="R51" s="443">
        <v>1534</v>
      </c>
      <c r="S51" s="443">
        <v>1494</v>
      </c>
      <c r="T51" s="443">
        <v>1494</v>
      </c>
      <c r="U51" s="443">
        <v>1468</v>
      </c>
      <c r="V51" s="443">
        <v>1564</v>
      </c>
      <c r="W51" s="221">
        <v>1364</v>
      </c>
      <c r="X51" s="14">
        <f t="shared" si="23"/>
        <v>13313</v>
      </c>
      <c r="Z51" s="69"/>
    </row>
    <row r="52" spans="1:26" ht="14.15" customHeight="1">
      <c r="A52" s="114">
        <f>+A51</f>
        <v>2024027</v>
      </c>
      <c r="B52" s="74"/>
      <c r="C52" s="654"/>
      <c r="D52" s="655"/>
      <c r="E52" s="655"/>
      <c r="F52" s="655"/>
      <c r="G52" s="652"/>
      <c r="H52" s="667"/>
      <c r="I52" s="652"/>
      <c r="J52" s="630"/>
      <c r="K52" s="170" t="s">
        <v>33</v>
      </c>
      <c r="L52" s="379">
        <f t="shared" ref="L52:W52" si="26">L41-L44</f>
        <v>0</v>
      </c>
      <c r="M52" s="405">
        <f t="shared" si="26"/>
        <v>0</v>
      </c>
      <c r="N52" s="405">
        <f t="shared" si="26"/>
        <v>0</v>
      </c>
      <c r="O52" s="405">
        <f t="shared" si="26"/>
        <v>160171</v>
      </c>
      <c r="P52" s="405">
        <f t="shared" si="26"/>
        <v>121131</v>
      </c>
      <c r="Q52" s="405">
        <f t="shared" si="26"/>
        <v>117342</v>
      </c>
      <c r="R52" s="405">
        <f t="shared" si="26"/>
        <v>218656</v>
      </c>
      <c r="S52" s="405">
        <f t="shared" si="26"/>
        <v>91168</v>
      </c>
      <c r="T52" s="405">
        <f t="shared" si="26"/>
        <v>131348</v>
      </c>
      <c r="U52" s="405">
        <f t="shared" si="26"/>
        <v>36982</v>
      </c>
      <c r="V52" s="405">
        <f t="shared" si="26"/>
        <v>120029</v>
      </c>
      <c r="W52" s="90">
        <f t="shared" si="26"/>
        <v>117756</v>
      </c>
      <c r="X52" s="16">
        <f>X41-X44</f>
        <v>1114583</v>
      </c>
      <c r="Z52" s="69"/>
    </row>
    <row r="53" spans="1:26" ht="12" customHeight="1">
      <c r="A53" s="113">
        <v>2025018</v>
      </c>
      <c r="C53" s="641">
        <f>C41+1</f>
        <v>5</v>
      </c>
      <c r="D53" s="644" t="s">
        <v>94</v>
      </c>
      <c r="E53" s="644"/>
      <c r="F53" s="644"/>
      <c r="G53" s="647" t="s">
        <v>138</v>
      </c>
      <c r="H53" s="665"/>
      <c r="I53" s="647"/>
      <c r="J53" s="628" t="s">
        <v>80</v>
      </c>
      <c r="K53" s="181" t="s">
        <v>23</v>
      </c>
      <c r="L53" s="378">
        <f t="shared" ref="L53:R53" si="27">L54+L55</f>
        <v>0</v>
      </c>
      <c r="M53" s="406">
        <f t="shared" si="27"/>
        <v>0</v>
      </c>
      <c r="N53" s="406">
        <f t="shared" si="27"/>
        <v>0</v>
      </c>
      <c r="O53" s="406">
        <f t="shared" si="27"/>
        <v>0</v>
      </c>
      <c r="P53" s="406">
        <f t="shared" si="27"/>
        <v>0</v>
      </c>
      <c r="Q53" s="406">
        <f t="shared" si="27"/>
        <v>0</v>
      </c>
      <c r="R53" s="406">
        <f t="shared" si="27"/>
        <v>0</v>
      </c>
      <c r="S53" s="406">
        <f>S54+S55</f>
        <v>202500</v>
      </c>
      <c r="T53" s="406">
        <f t="shared" ref="T53:W53" si="28">T54+T55</f>
        <v>407700</v>
      </c>
      <c r="U53" s="406">
        <f t="shared" si="28"/>
        <v>521100</v>
      </c>
      <c r="V53" s="406">
        <f t="shared" si="28"/>
        <v>429300</v>
      </c>
      <c r="W53" s="94">
        <f t="shared" si="28"/>
        <v>336000</v>
      </c>
      <c r="X53" s="32">
        <f>SUM(L53:W53)</f>
        <v>1896600</v>
      </c>
      <c r="Z53" s="69"/>
    </row>
    <row r="54" spans="1:26" ht="13.4" customHeight="1">
      <c r="A54" s="114">
        <f>+A53</f>
        <v>2025018</v>
      </c>
      <c r="B54" s="74">
        <f>+B53</f>
        <v>0</v>
      </c>
      <c r="C54" s="642"/>
      <c r="D54" s="645"/>
      <c r="E54" s="645"/>
      <c r="F54" s="645"/>
      <c r="G54" s="648"/>
      <c r="H54" s="666"/>
      <c r="I54" s="648"/>
      <c r="J54" s="629"/>
      <c r="K54" s="168" t="s">
        <v>24</v>
      </c>
      <c r="L54" s="371"/>
      <c r="M54" s="431"/>
      <c r="N54" s="431"/>
      <c r="O54" s="431"/>
      <c r="P54" s="431"/>
      <c r="Q54" s="431"/>
      <c r="R54" s="431"/>
      <c r="S54" s="431">
        <v>202500</v>
      </c>
      <c r="T54" s="431">
        <v>407700</v>
      </c>
      <c r="U54" s="431">
        <v>521100</v>
      </c>
      <c r="V54" s="431">
        <v>429300</v>
      </c>
      <c r="W54" s="229">
        <v>336000</v>
      </c>
      <c r="X54" s="14">
        <f t="shared" ref="X54:X63" si="29">SUM(L54:W54)</f>
        <v>1896600</v>
      </c>
      <c r="Z54" s="69"/>
    </row>
    <row r="55" spans="1:26" ht="13.4" customHeight="1">
      <c r="A55" s="114">
        <f>+A54</f>
        <v>2025018</v>
      </c>
      <c r="B55" s="74">
        <f t="shared" ref="B55:B63" si="30">+B54</f>
        <v>0</v>
      </c>
      <c r="C55" s="642"/>
      <c r="D55" s="645"/>
      <c r="E55" s="645"/>
      <c r="F55" s="645"/>
      <c r="G55" s="648"/>
      <c r="H55" s="666"/>
      <c r="I55" s="648"/>
      <c r="J55" s="629"/>
      <c r="K55" s="168" t="s">
        <v>25</v>
      </c>
      <c r="L55" s="354"/>
      <c r="M55" s="297"/>
      <c r="N55" s="297"/>
      <c r="O55" s="297"/>
      <c r="P55" s="297"/>
      <c r="Q55" s="297"/>
      <c r="R55" s="297"/>
      <c r="S55" s="297"/>
      <c r="T55" s="297"/>
      <c r="U55" s="297"/>
      <c r="V55" s="297"/>
      <c r="W55" s="93"/>
      <c r="X55" s="14">
        <f t="shared" si="29"/>
        <v>0</v>
      </c>
      <c r="Z55" s="69"/>
    </row>
    <row r="56" spans="1:26" ht="13.4" customHeight="1">
      <c r="A56" s="114">
        <f t="shared" ref="A56:A63" si="31">+A55</f>
        <v>2025018</v>
      </c>
      <c r="B56" s="74">
        <f t="shared" si="30"/>
        <v>0</v>
      </c>
      <c r="C56" s="642"/>
      <c r="D56" s="645"/>
      <c r="E56" s="645"/>
      <c r="F56" s="645"/>
      <c r="G56" s="648"/>
      <c r="H56" s="666"/>
      <c r="I56" s="648"/>
      <c r="J56" s="629"/>
      <c r="K56" s="169" t="s">
        <v>26</v>
      </c>
      <c r="L56" s="376">
        <f>SUM(L57:L63)</f>
        <v>0</v>
      </c>
      <c r="M56" s="426">
        <f t="shared" ref="M56:W56" si="32">SUM(M57:M63)</f>
        <v>0</v>
      </c>
      <c r="N56" s="426">
        <f t="shared" si="32"/>
        <v>0</v>
      </c>
      <c r="O56" s="426">
        <f t="shared" si="32"/>
        <v>0</v>
      </c>
      <c r="P56" s="426">
        <f t="shared" si="32"/>
        <v>0</v>
      </c>
      <c r="Q56" s="426">
        <f t="shared" si="32"/>
        <v>0</v>
      </c>
      <c r="R56" s="426">
        <f t="shared" si="32"/>
        <v>0</v>
      </c>
      <c r="S56" s="426">
        <f t="shared" si="32"/>
        <v>88430</v>
      </c>
      <c r="T56" s="426">
        <f t="shared" si="32"/>
        <v>177398</v>
      </c>
      <c r="U56" s="426">
        <f t="shared" si="32"/>
        <v>172593</v>
      </c>
      <c r="V56" s="426">
        <f t="shared" si="32"/>
        <v>232331</v>
      </c>
      <c r="W56" s="89">
        <f t="shared" si="32"/>
        <v>185744</v>
      </c>
      <c r="X56" s="15">
        <f t="shared" si="29"/>
        <v>856496</v>
      </c>
      <c r="Z56" s="69"/>
    </row>
    <row r="57" spans="1:26" ht="13.4" customHeight="1">
      <c r="A57" s="114">
        <f t="shared" si="31"/>
        <v>2025018</v>
      </c>
      <c r="B57" s="74">
        <f t="shared" si="30"/>
        <v>0</v>
      </c>
      <c r="C57" s="642"/>
      <c r="D57" s="645"/>
      <c r="E57" s="645"/>
      <c r="F57" s="645"/>
      <c r="G57" s="648"/>
      <c r="H57" s="666"/>
      <c r="I57" s="648"/>
      <c r="J57" s="629"/>
      <c r="K57" s="168" t="s">
        <v>27</v>
      </c>
      <c r="L57" s="343"/>
      <c r="M57" s="297"/>
      <c r="N57" s="297"/>
      <c r="O57" s="297"/>
      <c r="P57" s="297"/>
      <c r="Q57" s="297"/>
      <c r="R57" s="297"/>
      <c r="S57" s="297">
        <v>85250</v>
      </c>
      <c r="T57" s="297">
        <v>168838</v>
      </c>
      <c r="U57" s="297">
        <v>165000</v>
      </c>
      <c r="V57" s="297">
        <v>223300</v>
      </c>
      <c r="W57" s="91">
        <v>176000</v>
      </c>
      <c r="X57" s="14">
        <f t="shared" si="29"/>
        <v>818388</v>
      </c>
      <c r="Z57" s="69"/>
    </row>
    <row r="58" spans="1:26" ht="13.4" customHeight="1">
      <c r="A58" s="114">
        <f t="shared" si="31"/>
        <v>2025018</v>
      </c>
      <c r="B58" s="74">
        <f t="shared" si="30"/>
        <v>0</v>
      </c>
      <c r="C58" s="642"/>
      <c r="D58" s="645"/>
      <c r="E58" s="645"/>
      <c r="F58" s="645"/>
      <c r="G58" s="648"/>
      <c r="H58" s="666"/>
      <c r="I58" s="648"/>
      <c r="J58" s="629"/>
      <c r="K58" s="168" t="s">
        <v>34</v>
      </c>
      <c r="L58" s="343"/>
      <c r="M58" s="297"/>
      <c r="N58" s="297"/>
      <c r="O58" s="444"/>
      <c r="P58" s="444"/>
      <c r="Q58" s="444"/>
      <c r="R58" s="444"/>
      <c r="S58" s="444"/>
      <c r="T58" s="444"/>
      <c r="U58" s="444"/>
      <c r="V58" s="444"/>
      <c r="W58" s="121"/>
      <c r="X58" s="14">
        <f t="shared" si="29"/>
        <v>0</v>
      </c>
      <c r="Z58" s="69"/>
    </row>
    <row r="59" spans="1:26" ht="13.4" customHeight="1">
      <c r="A59" s="114">
        <f t="shared" si="31"/>
        <v>2025018</v>
      </c>
      <c r="B59" s="74">
        <f t="shared" si="30"/>
        <v>0</v>
      </c>
      <c r="C59" s="642"/>
      <c r="D59" s="645"/>
      <c r="E59" s="645"/>
      <c r="F59" s="645"/>
      <c r="G59" s="648"/>
      <c r="H59" s="666"/>
      <c r="I59" s="648"/>
      <c r="J59" s="629"/>
      <c r="K59" s="168" t="s">
        <v>28</v>
      </c>
      <c r="L59" s="343"/>
      <c r="M59" s="297"/>
      <c r="N59" s="297"/>
      <c r="O59" s="297"/>
      <c r="P59" s="297"/>
      <c r="Q59" s="297"/>
      <c r="R59" s="297"/>
      <c r="S59" s="297">
        <v>3180</v>
      </c>
      <c r="T59" s="297">
        <v>6716</v>
      </c>
      <c r="U59" s="297">
        <v>5800</v>
      </c>
      <c r="V59" s="297">
        <v>6436</v>
      </c>
      <c r="W59" s="91">
        <v>8000</v>
      </c>
      <c r="X59" s="14">
        <f t="shared" si="29"/>
        <v>30132</v>
      </c>
      <c r="Z59" s="69"/>
    </row>
    <row r="60" spans="1:26" ht="13.4" customHeight="1">
      <c r="A60" s="114">
        <f t="shared" si="31"/>
        <v>2025018</v>
      </c>
      <c r="B60" s="74">
        <f t="shared" si="30"/>
        <v>0</v>
      </c>
      <c r="C60" s="642"/>
      <c r="D60" s="645"/>
      <c r="E60" s="645"/>
      <c r="F60" s="645"/>
      <c r="G60" s="648"/>
      <c r="H60" s="666"/>
      <c r="I60" s="648"/>
      <c r="J60" s="629"/>
      <c r="K60" s="168" t="s">
        <v>29</v>
      </c>
      <c r="L60" s="343"/>
      <c r="M60" s="297"/>
      <c r="N60" s="297"/>
      <c r="O60" s="410"/>
      <c r="P60" s="410"/>
      <c r="Q60" s="410"/>
      <c r="R60" s="410"/>
      <c r="S60" s="410">
        <v>0</v>
      </c>
      <c r="T60" s="410">
        <v>0</v>
      </c>
      <c r="U60" s="410">
        <v>0</v>
      </c>
      <c r="V60" s="410">
        <v>0</v>
      </c>
      <c r="W60" s="26">
        <v>0</v>
      </c>
      <c r="X60" s="14">
        <f t="shared" si="29"/>
        <v>0</v>
      </c>
      <c r="Z60" s="69"/>
    </row>
    <row r="61" spans="1:26" ht="13.4" customHeight="1">
      <c r="A61" s="114">
        <f t="shared" si="31"/>
        <v>2025018</v>
      </c>
      <c r="B61" s="74">
        <f t="shared" si="30"/>
        <v>0</v>
      </c>
      <c r="C61" s="642"/>
      <c r="D61" s="645"/>
      <c r="E61" s="645"/>
      <c r="F61" s="645"/>
      <c r="G61" s="648"/>
      <c r="H61" s="666"/>
      <c r="I61" s="648"/>
      <c r="J61" s="629"/>
      <c r="K61" s="168" t="s">
        <v>30</v>
      </c>
      <c r="L61" s="343"/>
      <c r="M61" s="297"/>
      <c r="N61" s="297"/>
      <c r="O61" s="410"/>
      <c r="P61" s="410"/>
      <c r="Q61" s="410"/>
      <c r="R61" s="410"/>
      <c r="S61" s="410">
        <v>0</v>
      </c>
      <c r="T61" s="410">
        <v>0</v>
      </c>
      <c r="U61" s="410">
        <v>0</v>
      </c>
      <c r="V61" s="410">
        <v>0</v>
      </c>
      <c r="W61" s="26">
        <v>0</v>
      </c>
      <c r="X61" s="14">
        <f t="shared" si="29"/>
        <v>0</v>
      </c>
      <c r="Z61" s="69"/>
    </row>
    <row r="62" spans="1:26" ht="13.4" customHeight="1">
      <c r="A62" s="114">
        <f t="shared" si="31"/>
        <v>2025018</v>
      </c>
      <c r="B62" s="74">
        <f t="shared" si="30"/>
        <v>0</v>
      </c>
      <c r="C62" s="642"/>
      <c r="D62" s="645"/>
      <c r="E62" s="645"/>
      <c r="F62" s="645"/>
      <c r="G62" s="648"/>
      <c r="H62" s="666"/>
      <c r="I62" s="648"/>
      <c r="J62" s="629"/>
      <c r="K62" s="168" t="s">
        <v>31</v>
      </c>
      <c r="L62" s="343"/>
      <c r="M62" s="297"/>
      <c r="N62" s="297"/>
      <c r="O62" s="410"/>
      <c r="P62" s="410"/>
      <c r="Q62" s="410"/>
      <c r="R62" s="410"/>
      <c r="S62" s="410">
        <v>0</v>
      </c>
      <c r="T62" s="410">
        <v>878</v>
      </c>
      <c r="U62" s="410">
        <v>854</v>
      </c>
      <c r="V62" s="410">
        <v>1236</v>
      </c>
      <c r="W62" s="26">
        <v>552</v>
      </c>
      <c r="X62" s="14">
        <f t="shared" si="29"/>
        <v>3520</v>
      </c>
      <c r="Z62" s="69"/>
    </row>
    <row r="63" spans="1:26" ht="13.4" customHeight="1">
      <c r="A63" s="114">
        <f t="shared" si="31"/>
        <v>2025018</v>
      </c>
      <c r="B63" s="74">
        <f t="shared" si="30"/>
        <v>0</v>
      </c>
      <c r="C63" s="642"/>
      <c r="D63" s="645"/>
      <c r="E63" s="645"/>
      <c r="F63" s="645"/>
      <c r="G63" s="648"/>
      <c r="H63" s="666"/>
      <c r="I63" s="648"/>
      <c r="J63" s="629"/>
      <c r="K63" s="168" t="s">
        <v>32</v>
      </c>
      <c r="L63" s="343"/>
      <c r="M63" s="297"/>
      <c r="N63" s="297"/>
      <c r="O63" s="443"/>
      <c r="P63" s="443"/>
      <c r="Q63" s="443"/>
      <c r="R63" s="443"/>
      <c r="S63" s="443">
        <v>0</v>
      </c>
      <c r="T63" s="443">
        <v>966</v>
      </c>
      <c r="U63" s="443">
        <v>939</v>
      </c>
      <c r="V63" s="443">
        <v>1359</v>
      </c>
      <c r="W63" s="221">
        <v>1192</v>
      </c>
      <c r="X63" s="14">
        <f t="shared" si="29"/>
        <v>4456</v>
      </c>
      <c r="Z63" s="69"/>
    </row>
    <row r="64" spans="1:26" ht="14.15" customHeight="1" thickBot="1">
      <c r="A64" s="114">
        <f>+A63</f>
        <v>2025018</v>
      </c>
      <c r="B64" s="74">
        <f>+B63</f>
        <v>0</v>
      </c>
      <c r="C64" s="643"/>
      <c r="D64" s="646"/>
      <c r="E64" s="646"/>
      <c r="F64" s="646"/>
      <c r="G64" s="649"/>
      <c r="H64" s="668"/>
      <c r="I64" s="649"/>
      <c r="J64" s="631"/>
      <c r="K64" s="179" t="s">
        <v>33</v>
      </c>
      <c r="L64" s="380">
        <f t="shared" ref="L64:W64" si="33">L53-L56</f>
        <v>0</v>
      </c>
      <c r="M64" s="407">
        <f t="shared" si="33"/>
        <v>0</v>
      </c>
      <c r="N64" s="407">
        <f t="shared" si="33"/>
        <v>0</v>
      </c>
      <c r="O64" s="407">
        <f t="shared" si="33"/>
        <v>0</v>
      </c>
      <c r="P64" s="407">
        <f t="shared" si="33"/>
        <v>0</v>
      </c>
      <c r="Q64" s="407">
        <f t="shared" si="33"/>
        <v>0</v>
      </c>
      <c r="R64" s="407">
        <f t="shared" si="33"/>
        <v>0</v>
      </c>
      <c r="S64" s="407">
        <f t="shared" si="33"/>
        <v>114070</v>
      </c>
      <c r="T64" s="407">
        <f t="shared" si="33"/>
        <v>230302</v>
      </c>
      <c r="U64" s="407">
        <f t="shared" si="33"/>
        <v>348507</v>
      </c>
      <c r="V64" s="407">
        <f t="shared" si="33"/>
        <v>196969</v>
      </c>
      <c r="W64" s="253">
        <f t="shared" si="33"/>
        <v>150256</v>
      </c>
      <c r="X64" s="254">
        <f>X53-X56</f>
        <v>1040104</v>
      </c>
      <c r="Z64" s="69"/>
    </row>
    <row r="65" spans="1:26" s="1" customFormat="1" ht="11.9" customHeight="1" thickTop="1">
      <c r="A65" s="112"/>
      <c r="B65" s="72"/>
      <c r="C65" s="633" t="str">
        <f>C2</f>
        <v>マーケティングコミュニケーション本部</v>
      </c>
      <c r="D65" s="634"/>
      <c r="E65" s="634"/>
      <c r="F65" s="634"/>
      <c r="G65" s="634"/>
      <c r="H65" s="634"/>
      <c r="I65" s="634"/>
      <c r="J65" s="635"/>
      <c r="K65" s="143" t="s">
        <v>20</v>
      </c>
      <c r="L65" s="359">
        <f>L5+L17+L29+L41+L53</f>
        <v>1497500</v>
      </c>
      <c r="M65" s="462">
        <f t="shared" ref="M65:W65" si="34">M5+M17+M29+M41+M53</f>
        <v>1692200</v>
      </c>
      <c r="N65" s="462">
        <f t="shared" si="34"/>
        <v>1674800</v>
      </c>
      <c r="O65" s="462">
        <f t="shared" si="34"/>
        <v>1923740</v>
      </c>
      <c r="P65" s="462">
        <f t="shared" si="34"/>
        <v>1709080</v>
      </c>
      <c r="Q65" s="462">
        <f t="shared" si="34"/>
        <v>1741555</v>
      </c>
      <c r="R65" s="418">
        <f>R5+R17+R29+R41+R53</f>
        <v>1784720</v>
      </c>
      <c r="S65" s="418">
        <f t="shared" si="34"/>
        <v>1738930</v>
      </c>
      <c r="T65" s="418">
        <f t="shared" si="34"/>
        <v>2138210</v>
      </c>
      <c r="U65" s="418">
        <f t="shared" si="34"/>
        <v>1909595</v>
      </c>
      <c r="V65" s="418">
        <f t="shared" si="34"/>
        <v>1814625</v>
      </c>
      <c r="W65" s="260">
        <f t="shared" si="34"/>
        <v>2106500</v>
      </c>
      <c r="X65" s="258">
        <f>SUM(L65:W65)</f>
        <v>21731455</v>
      </c>
      <c r="Z65" s="69"/>
    </row>
    <row r="66" spans="1:26" s="1" customFormat="1" ht="11.9" customHeight="1">
      <c r="A66" s="112"/>
      <c r="B66" s="72"/>
      <c r="C66" s="633"/>
      <c r="D66" s="634"/>
      <c r="E66" s="634"/>
      <c r="F66" s="634"/>
      <c r="G66" s="634"/>
      <c r="H66" s="634"/>
      <c r="I66" s="634"/>
      <c r="J66" s="635"/>
      <c r="K66" s="144" t="s">
        <v>21</v>
      </c>
      <c r="L66" s="360">
        <f>L8+L20+L32+L44+L56</f>
        <v>1238221.6666666665</v>
      </c>
      <c r="M66" s="350">
        <f t="shared" ref="M66:W66" si="35">M8+M20+M32+M44+M56</f>
        <v>1460165</v>
      </c>
      <c r="N66" s="350">
        <f t="shared" si="35"/>
        <v>1671530</v>
      </c>
      <c r="O66" s="350">
        <f t="shared" si="35"/>
        <v>1628669</v>
      </c>
      <c r="P66" s="350">
        <f t="shared" si="35"/>
        <v>1428099.9668004378</v>
      </c>
      <c r="Q66" s="350">
        <f t="shared" si="35"/>
        <v>1423623.3400011663</v>
      </c>
      <c r="R66" s="419">
        <f>R8+R20+R32+R44+R56</f>
        <v>1318885.9630244921</v>
      </c>
      <c r="S66" s="419">
        <f t="shared" si="35"/>
        <v>1510767.9098786828</v>
      </c>
      <c r="T66" s="419">
        <f t="shared" si="35"/>
        <v>1468841.8536089463</v>
      </c>
      <c r="U66" s="419">
        <f t="shared" si="35"/>
        <v>1394071.3618779774</v>
      </c>
      <c r="V66" s="419">
        <f t="shared" si="35"/>
        <v>1422288.8549939832</v>
      </c>
      <c r="W66" s="261">
        <f t="shared" si="35"/>
        <v>1621088</v>
      </c>
      <c r="X66" s="259">
        <f>SUM(L66:W66)</f>
        <v>17586252.916852351</v>
      </c>
      <c r="Z66" s="69"/>
    </row>
    <row r="67" spans="1:26" s="1" customFormat="1" ht="11.9" customHeight="1">
      <c r="A67" s="112"/>
      <c r="B67" s="72"/>
      <c r="C67" s="636"/>
      <c r="D67" s="637"/>
      <c r="E67" s="637"/>
      <c r="F67" s="637"/>
      <c r="G67" s="637"/>
      <c r="H67" s="637"/>
      <c r="I67" s="637"/>
      <c r="J67" s="638"/>
      <c r="K67" s="153" t="s">
        <v>22</v>
      </c>
      <c r="L67" s="361">
        <f>L65-L66</f>
        <v>259278.33333333349</v>
      </c>
      <c r="M67" s="420">
        <f t="shared" ref="M67:W67" si="36">M65-M66</f>
        <v>232035</v>
      </c>
      <c r="N67" s="420">
        <f t="shared" si="36"/>
        <v>3270</v>
      </c>
      <c r="O67" s="420">
        <f t="shared" si="36"/>
        <v>295071</v>
      </c>
      <c r="P67" s="420">
        <f t="shared" si="36"/>
        <v>280980.03319956223</v>
      </c>
      <c r="Q67" s="420">
        <f t="shared" si="36"/>
        <v>317931.65999883367</v>
      </c>
      <c r="R67" s="420">
        <f t="shared" si="36"/>
        <v>465834.03697550786</v>
      </c>
      <c r="S67" s="420">
        <f t="shared" si="36"/>
        <v>228162.09012131719</v>
      </c>
      <c r="T67" s="420">
        <f t="shared" si="36"/>
        <v>669368.14639105368</v>
      </c>
      <c r="U67" s="420">
        <f t="shared" si="36"/>
        <v>515523.63812202262</v>
      </c>
      <c r="V67" s="420">
        <f t="shared" si="36"/>
        <v>392336.14500601683</v>
      </c>
      <c r="W67" s="82">
        <f t="shared" si="36"/>
        <v>485412</v>
      </c>
      <c r="X67" s="45">
        <f>SUM(L67:W67)</f>
        <v>4145202.0831476473</v>
      </c>
      <c r="Z67" s="69"/>
    </row>
    <row r="68" spans="1:26" ht="11.9" customHeight="1">
      <c r="F68" s="127"/>
      <c r="K68" s="128" t="s">
        <v>74</v>
      </c>
      <c r="L68" s="639">
        <f>SUM(L65:N65)</f>
        <v>4864500</v>
      </c>
      <c r="M68" s="585"/>
      <c r="N68" s="585"/>
      <c r="O68" s="585">
        <f>SUM(O65:Q65)</f>
        <v>5374375</v>
      </c>
      <c r="P68" s="585"/>
      <c r="Q68" s="585"/>
      <c r="R68" s="585">
        <f t="shared" ref="R68:R69" si="37">SUM(R65:T65)</f>
        <v>5661860</v>
      </c>
      <c r="S68" s="585"/>
      <c r="T68" s="585"/>
      <c r="U68" s="585">
        <f t="shared" ref="U68:U69" si="38">SUM(U65:W65)</f>
        <v>5830720</v>
      </c>
      <c r="V68" s="585"/>
      <c r="W68" s="586"/>
      <c r="X68" s="34">
        <f>X65</f>
        <v>21731455</v>
      </c>
      <c r="Z68" s="69"/>
    </row>
    <row r="69" spans="1:26" ht="11.9" customHeight="1">
      <c r="F69" s="127"/>
      <c r="K69" s="130" t="s">
        <v>77</v>
      </c>
      <c r="L69" s="640">
        <f>SUM(L66:N66)</f>
        <v>4369916.666666666</v>
      </c>
      <c r="M69" s="589"/>
      <c r="N69" s="589"/>
      <c r="O69" s="589">
        <f t="shared" ref="O69" si="39">SUM(O66:Q66)</f>
        <v>4480392.3068016041</v>
      </c>
      <c r="P69" s="589"/>
      <c r="Q69" s="589"/>
      <c r="R69" s="589">
        <f t="shared" si="37"/>
        <v>4298495.726512121</v>
      </c>
      <c r="S69" s="589"/>
      <c r="T69" s="589"/>
      <c r="U69" s="589">
        <f t="shared" si="38"/>
        <v>4437448.2168719601</v>
      </c>
      <c r="V69" s="589"/>
      <c r="W69" s="590"/>
      <c r="X69" s="35">
        <f t="shared" ref="X69:X70" si="40">X66</f>
        <v>17586252.916852351</v>
      </c>
      <c r="Z69" s="69"/>
    </row>
    <row r="70" spans="1:26" ht="11.9" customHeight="1">
      <c r="F70" s="127"/>
      <c r="K70" s="6" t="s">
        <v>75</v>
      </c>
      <c r="L70" s="632">
        <f>SUM(L67:N67)</f>
        <v>494583.33333333349</v>
      </c>
      <c r="M70" s="571"/>
      <c r="N70" s="571"/>
      <c r="O70" s="571">
        <f>SUM(O67:Q67)</f>
        <v>893982.69319839589</v>
      </c>
      <c r="P70" s="571"/>
      <c r="Q70" s="571"/>
      <c r="R70" s="571">
        <f>SUM(R67:T67)</f>
        <v>1363364.2734878787</v>
      </c>
      <c r="S70" s="571"/>
      <c r="T70" s="571"/>
      <c r="U70" s="571">
        <f>SUM(U67:W67)</f>
        <v>1393271.7831280394</v>
      </c>
      <c r="V70" s="571"/>
      <c r="W70" s="582"/>
      <c r="X70" s="36">
        <f t="shared" si="40"/>
        <v>4145202.0831476473</v>
      </c>
      <c r="Z70" s="69"/>
    </row>
    <row r="71" spans="1:26" ht="11.9" customHeight="1">
      <c r="Z71" s="69"/>
    </row>
    <row r="72" spans="1:26" ht="11.9" customHeight="1">
      <c r="Z72" s="69"/>
    </row>
    <row r="73" spans="1:26" ht="11.9" customHeight="1">
      <c r="Z73" s="69"/>
    </row>
    <row r="74" spans="1:26" ht="11.9" customHeight="1">
      <c r="Z74" s="69"/>
    </row>
    <row r="75" spans="1:26" ht="11.9" customHeight="1">
      <c r="Z75" s="69"/>
    </row>
    <row r="76" spans="1:26" ht="11.9" customHeight="1">
      <c r="Z76" s="69"/>
    </row>
    <row r="77" spans="1:26" ht="11.9" customHeight="1">
      <c r="Z77" s="69"/>
    </row>
    <row r="78" spans="1:26" ht="11.9" customHeight="1">
      <c r="Z78" s="69"/>
    </row>
    <row r="79" spans="1:26" ht="11.9" customHeight="1">
      <c r="Z79" s="69"/>
    </row>
    <row r="80" spans="1:26" ht="11.9" customHeight="1">
      <c r="Z80" s="69"/>
    </row>
    <row r="81" spans="26:26" ht="11.9" customHeight="1">
      <c r="Z81" s="69"/>
    </row>
    <row r="82" spans="26:26" ht="11.9" customHeight="1">
      <c r="Z82" s="69"/>
    </row>
    <row r="83" spans="26:26" ht="11.9" customHeight="1">
      <c r="Z83" s="69"/>
    </row>
    <row r="84" spans="26:26" ht="11.9" customHeight="1">
      <c r="Z84" s="69"/>
    </row>
    <row r="85" spans="26:26" ht="11.9" customHeight="1">
      <c r="Z85" s="69"/>
    </row>
    <row r="86" spans="26:26" ht="11.9" customHeight="1">
      <c r="Z86" s="69"/>
    </row>
    <row r="87" spans="26:26" ht="11.9" customHeight="1">
      <c r="Z87" s="69"/>
    </row>
    <row r="88" spans="26:26" ht="11.9" customHeight="1">
      <c r="Z88" s="69"/>
    </row>
    <row r="89" spans="26:26" ht="11.9" customHeight="1">
      <c r="Z89" s="69"/>
    </row>
    <row r="90" spans="26:26" ht="11.9" customHeight="1">
      <c r="Z90" s="69"/>
    </row>
    <row r="91" spans="26:26" ht="11.9" customHeight="1">
      <c r="Z91" s="69"/>
    </row>
    <row r="92" spans="26:26" ht="11.9" customHeight="1">
      <c r="Z92" s="69"/>
    </row>
    <row r="93" spans="26:26" ht="11.9" customHeight="1">
      <c r="Z93" s="69"/>
    </row>
    <row r="94" spans="26:26" ht="11.9" customHeight="1">
      <c r="Z94" s="69"/>
    </row>
    <row r="95" spans="26:26" ht="11.9" customHeight="1">
      <c r="Z95" s="69"/>
    </row>
    <row r="96" spans="26:26" ht="11.9" customHeight="1">
      <c r="Z96" s="69"/>
    </row>
    <row r="97" spans="26:26" ht="11.9" customHeight="1">
      <c r="Z97" s="69"/>
    </row>
    <row r="98" spans="26:26" ht="11.9" customHeight="1">
      <c r="Z98" s="69"/>
    </row>
    <row r="99" spans="26:26" ht="11.9" customHeight="1">
      <c r="Z99" s="69"/>
    </row>
    <row r="100" spans="26:26" ht="11.9" customHeight="1">
      <c r="Z100" s="69"/>
    </row>
    <row r="101" spans="26:26" ht="11.9" customHeight="1">
      <c r="Z101" s="69"/>
    </row>
    <row r="102" spans="26:26" ht="11.9" customHeight="1">
      <c r="Z102" s="69"/>
    </row>
    <row r="103" spans="26:26" ht="11.9" customHeight="1">
      <c r="Z103" s="69"/>
    </row>
    <row r="104" spans="26:26" ht="11.9" customHeight="1">
      <c r="Z104" s="69"/>
    </row>
    <row r="105" spans="26:26" ht="11.9" customHeight="1">
      <c r="Z105" s="69"/>
    </row>
    <row r="106" spans="26:26" ht="11.9" customHeight="1">
      <c r="Z106" s="69"/>
    </row>
    <row r="107" spans="26:26" ht="11.9" customHeight="1">
      <c r="Z107" s="69"/>
    </row>
    <row r="108" spans="26:26" ht="11.9" customHeight="1">
      <c r="Z108" s="69"/>
    </row>
    <row r="109" spans="26:26" ht="11.9" customHeight="1">
      <c r="Z109" s="69"/>
    </row>
    <row r="110" spans="26:26" ht="11.9" customHeight="1">
      <c r="Z110" s="69"/>
    </row>
    <row r="111" spans="26:26" ht="11.9" customHeight="1">
      <c r="Z111" s="69"/>
    </row>
    <row r="112" spans="26:26" ht="11.9" customHeight="1">
      <c r="Z112" s="69"/>
    </row>
    <row r="113" spans="26:26" ht="11.9" customHeight="1">
      <c r="Z113" s="69"/>
    </row>
    <row r="114" spans="26:26" ht="11.9" customHeight="1">
      <c r="Z114" s="69"/>
    </row>
    <row r="115" spans="26:26" ht="11.9" customHeight="1">
      <c r="Z115" s="69"/>
    </row>
    <row r="116" spans="26:26" ht="11.9" customHeight="1">
      <c r="Z116" s="69"/>
    </row>
    <row r="117" spans="26:26" ht="11.9" customHeight="1">
      <c r="Z117" s="69"/>
    </row>
    <row r="118" spans="26:26" ht="11.9" customHeight="1">
      <c r="Z118" s="69"/>
    </row>
    <row r="119" spans="26:26" ht="11.9" customHeight="1">
      <c r="Z119" s="69"/>
    </row>
    <row r="120" spans="26:26" ht="11.9" customHeight="1">
      <c r="Z120" s="69"/>
    </row>
    <row r="121" spans="26:26" ht="11.9" customHeight="1">
      <c r="Z121" s="69"/>
    </row>
    <row r="122" spans="26:26" ht="11.9" customHeight="1">
      <c r="Z122" s="69"/>
    </row>
    <row r="123" spans="26:26" ht="11.9" customHeight="1">
      <c r="Z123" s="69"/>
    </row>
    <row r="124" spans="26:26" ht="11.9" customHeight="1">
      <c r="Z124" s="69"/>
    </row>
    <row r="125" spans="26:26" ht="11.9" customHeight="1">
      <c r="Z125" s="69"/>
    </row>
    <row r="126" spans="26:26" ht="11.9" customHeight="1">
      <c r="Z126" s="69"/>
    </row>
    <row r="127" spans="26:26" ht="11.9" customHeight="1">
      <c r="Z127" s="69"/>
    </row>
    <row r="128" spans="26:26" ht="11.9" customHeight="1">
      <c r="Z128" s="69"/>
    </row>
    <row r="129" spans="26:26" ht="11.9" customHeight="1">
      <c r="Z129" s="69"/>
    </row>
    <row r="130" spans="26:26" ht="11.9" customHeight="1">
      <c r="Z130" s="69"/>
    </row>
    <row r="131" spans="26:26" ht="11.9" customHeight="1">
      <c r="Z131" s="69"/>
    </row>
    <row r="132" spans="26:26" ht="11.9" customHeight="1">
      <c r="Z132" s="69"/>
    </row>
    <row r="133" spans="26:26" ht="11.9" customHeight="1">
      <c r="Z133" s="69"/>
    </row>
    <row r="134" spans="26:26" ht="11.9" customHeight="1">
      <c r="Z134" s="69"/>
    </row>
    <row r="135" spans="26:26" ht="11.9" customHeight="1">
      <c r="Z135" s="69"/>
    </row>
    <row r="136" spans="26:26" ht="11.9" customHeight="1">
      <c r="Z136" s="69"/>
    </row>
    <row r="137" spans="26:26">
      <c r="Z137" s="69"/>
    </row>
    <row r="138" spans="26:26">
      <c r="Z138" s="69"/>
    </row>
    <row r="139" spans="26:26">
      <c r="Z139" s="69"/>
    </row>
    <row r="140" spans="26:26">
      <c r="Z140" s="69"/>
    </row>
    <row r="141" spans="26:26">
      <c r="Z141" s="69"/>
    </row>
    <row r="142" spans="26:26">
      <c r="Z142" s="69"/>
    </row>
    <row r="143" spans="26:26">
      <c r="Z143" s="69"/>
    </row>
    <row r="144" spans="26:26">
      <c r="Z144" s="69"/>
    </row>
    <row r="145" spans="26:26">
      <c r="Z145" s="69"/>
    </row>
    <row r="146" spans="26:26">
      <c r="Z146" s="69"/>
    </row>
    <row r="147" spans="26:26">
      <c r="Z147" s="69"/>
    </row>
    <row r="148" spans="26:26">
      <c r="Z148" s="69"/>
    </row>
    <row r="149" spans="26:26">
      <c r="Z149" s="69"/>
    </row>
    <row r="150" spans="26:26">
      <c r="Z150" s="69"/>
    </row>
    <row r="151" spans="26:26">
      <c r="Z151" s="69"/>
    </row>
    <row r="152" spans="26:26">
      <c r="Z152" s="69"/>
    </row>
    <row r="153" spans="26:26">
      <c r="Z153" s="69"/>
    </row>
    <row r="154" spans="26:26">
      <c r="Z154" s="69"/>
    </row>
    <row r="155" spans="26:26">
      <c r="Z155" s="69"/>
    </row>
    <row r="156" spans="26:26">
      <c r="Z156" s="69"/>
    </row>
    <row r="157" spans="26:26">
      <c r="Z157" s="69"/>
    </row>
    <row r="158" spans="26:26">
      <c r="Z158" s="69"/>
    </row>
    <row r="159" spans="26:26">
      <c r="Z159" s="69"/>
    </row>
    <row r="160" spans="26:26">
      <c r="Z160" s="69"/>
    </row>
    <row r="161" spans="26:26">
      <c r="Z161" s="69"/>
    </row>
    <row r="162" spans="26:26">
      <c r="Z162" s="69"/>
    </row>
    <row r="163" spans="26:26">
      <c r="Z163" s="69"/>
    </row>
    <row r="164" spans="26:26">
      <c r="Z164" s="69"/>
    </row>
    <row r="165" spans="26:26">
      <c r="Z165" s="69"/>
    </row>
    <row r="166" spans="26:26">
      <c r="Z166" s="69"/>
    </row>
    <row r="167" spans="26:26">
      <c r="Z167" s="69"/>
    </row>
    <row r="168" spans="26:26">
      <c r="Z168" s="69"/>
    </row>
    <row r="169" spans="26:26">
      <c r="Z169" s="69"/>
    </row>
    <row r="170" spans="26:26">
      <c r="Z170" s="69"/>
    </row>
    <row r="171" spans="26:26">
      <c r="Z171" s="69"/>
    </row>
    <row r="172" spans="26:26">
      <c r="Z172" s="69"/>
    </row>
    <row r="173" spans="26:26">
      <c r="Z173" s="69"/>
    </row>
    <row r="174" spans="26:26">
      <c r="Z174" s="69"/>
    </row>
    <row r="175" spans="26:26">
      <c r="Z175" s="69"/>
    </row>
    <row r="176" spans="26:26">
      <c r="Z176" s="69"/>
    </row>
    <row r="177" spans="26:26">
      <c r="Z177" s="69"/>
    </row>
    <row r="178" spans="26:26">
      <c r="Z178" s="69"/>
    </row>
    <row r="179" spans="26:26">
      <c r="Z179" s="69"/>
    </row>
    <row r="180" spans="26:26">
      <c r="Z180" s="69"/>
    </row>
    <row r="181" spans="26:26">
      <c r="Z181" s="69"/>
    </row>
    <row r="182" spans="26:26">
      <c r="Z182" s="69"/>
    </row>
    <row r="183" spans="26:26">
      <c r="Z183" s="69"/>
    </row>
    <row r="184" spans="26:26">
      <c r="Z184" s="69"/>
    </row>
    <row r="185" spans="26:26">
      <c r="Z185" s="69"/>
    </row>
    <row r="186" spans="26:26">
      <c r="Z186" s="69"/>
    </row>
    <row r="187" spans="26:26">
      <c r="Z187" s="69"/>
    </row>
    <row r="188" spans="26:26">
      <c r="Z188" s="69"/>
    </row>
    <row r="189" spans="26:26">
      <c r="Z189" s="69"/>
    </row>
    <row r="190" spans="26:26">
      <c r="Z190" s="69"/>
    </row>
    <row r="191" spans="26:26">
      <c r="Z191" s="69"/>
    </row>
    <row r="192" spans="26:26">
      <c r="Z192" s="69"/>
    </row>
    <row r="193" spans="26:26">
      <c r="Z193" s="69"/>
    </row>
    <row r="194" spans="26:26">
      <c r="Z194" s="69"/>
    </row>
    <row r="195" spans="26:26">
      <c r="Z195" s="69"/>
    </row>
    <row r="196" spans="26:26">
      <c r="Z196" s="69"/>
    </row>
    <row r="197" spans="26:26">
      <c r="Z197" s="69"/>
    </row>
    <row r="198" spans="26:26">
      <c r="Z198" s="69"/>
    </row>
    <row r="199" spans="26:26">
      <c r="Z199" s="69"/>
    </row>
    <row r="200" spans="26:26">
      <c r="Z200" s="69"/>
    </row>
    <row r="201" spans="26:26">
      <c r="Z201" s="69"/>
    </row>
    <row r="202" spans="26:26">
      <c r="Z202" s="69"/>
    </row>
    <row r="203" spans="26:26">
      <c r="Z203" s="69"/>
    </row>
    <row r="204" spans="26:26">
      <c r="Z204" s="69"/>
    </row>
    <row r="205" spans="26:26">
      <c r="Z205" s="69"/>
    </row>
    <row r="206" spans="26:26">
      <c r="Z206" s="69"/>
    </row>
    <row r="207" spans="26:26">
      <c r="Z207" s="69"/>
    </row>
    <row r="208" spans="26:26">
      <c r="Z208" s="69"/>
    </row>
    <row r="209" spans="26:26">
      <c r="Z209" s="69"/>
    </row>
    <row r="210" spans="26:26">
      <c r="Z210" s="69"/>
    </row>
    <row r="211" spans="26:26">
      <c r="Z211" s="69"/>
    </row>
    <row r="212" spans="26:26">
      <c r="Z212" s="69"/>
    </row>
    <row r="213" spans="26:26">
      <c r="Z213" s="69"/>
    </row>
    <row r="214" spans="26:26">
      <c r="Z214" s="69"/>
    </row>
    <row r="215" spans="26:26">
      <c r="Z215" s="69"/>
    </row>
    <row r="216" spans="26:26">
      <c r="Z216" s="69"/>
    </row>
    <row r="217" spans="26:26">
      <c r="Z217" s="69"/>
    </row>
    <row r="218" spans="26:26">
      <c r="Z218" s="69"/>
    </row>
    <row r="219" spans="26:26">
      <c r="Z219" s="69"/>
    </row>
    <row r="220" spans="26:26">
      <c r="Z220" s="69"/>
    </row>
    <row r="221" spans="26:26">
      <c r="Z221" s="69"/>
    </row>
    <row r="222" spans="26:26">
      <c r="Z222" s="69"/>
    </row>
    <row r="223" spans="26:26">
      <c r="Z223" s="69"/>
    </row>
    <row r="224" spans="26:26">
      <c r="Z224" s="69"/>
    </row>
    <row r="225" spans="26:26">
      <c r="Z225" s="69"/>
    </row>
    <row r="226" spans="26:26">
      <c r="Z226" s="69"/>
    </row>
    <row r="227" spans="26:26">
      <c r="Z227" s="69"/>
    </row>
    <row r="228" spans="26:26">
      <c r="Z228" s="69"/>
    </row>
    <row r="229" spans="26:26">
      <c r="Z229" s="69"/>
    </row>
    <row r="230" spans="26:26">
      <c r="Z230" s="69"/>
    </row>
    <row r="231" spans="26:26">
      <c r="Z231" s="69"/>
    </row>
    <row r="232" spans="26:26">
      <c r="Z232" s="69"/>
    </row>
    <row r="233" spans="26:26">
      <c r="Z233" s="69"/>
    </row>
    <row r="234" spans="26:26">
      <c r="Z234" s="69"/>
    </row>
    <row r="235" spans="26:26">
      <c r="Z235" s="69"/>
    </row>
    <row r="236" spans="26:26">
      <c r="Z236" s="69"/>
    </row>
    <row r="237" spans="26:26">
      <c r="Z237" s="69"/>
    </row>
    <row r="238" spans="26:26">
      <c r="Z238" s="69"/>
    </row>
    <row r="239" spans="26:26">
      <c r="Z239" s="69"/>
    </row>
    <row r="240" spans="26:26">
      <c r="Z240" s="69"/>
    </row>
    <row r="241" spans="26:26">
      <c r="Z241" s="69"/>
    </row>
    <row r="242" spans="26:26">
      <c r="Z242" s="69"/>
    </row>
    <row r="243" spans="26:26">
      <c r="Z243" s="69"/>
    </row>
    <row r="244" spans="26:26">
      <c r="Z244" s="69"/>
    </row>
    <row r="245" spans="26:26">
      <c r="Z245" s="69"/>
    </row>
    <row r="246" spans="26:26">
      <c r="Z246" s="69"/>
    </row>
    <row r="247" spans="26:26">
      <c r="Z247" s="69"/>
    </row>
    <row r="248" spans="26:26">
      <c r="Z248" s="69"/>
    </row>
    <row r="249" spans="26:26">
      <c r="Z249" s="69"/>
    </row>
    <row r="250" spans="26:26">
      <c r="Z250" s="69"/>
    </row>
    <row r="251" spans="26:26">
      <c r="Z251" s="69"/>
    </row>
    <row r="252" spans="26:26">
      <c r="Z252" s="69"/>
    </row>
    <row r="253" spans="26:26">
      <c r="Z253" s="69"/>
    </row>
    <row r="254" spans="26:26">
      <c r="Z254" s="69"/>
    </row>
    <row r="255" spans="26:26">
      <c r="Z255" s="69"/>
    </row>
    <row r="256" spans="26:26">
      <c r="Z256" s="69"/>
    </row>
    <row r="257" spans="26:26">
      <c r="Z257" s="69"/>
    </row>
    <row r="258" spans="26:26">
      <c r="Z258" s="69"/>
    </row>
    <row r="259" spans="26:26">
      <c r="Z259" s="69"/>
    </row>
    <row r="260" spans="26:26">
      <c r="Z260" s="69"/>
    </row>
    <row r="261" spans="26:26">
      <c r="Z261" s="69"/>
    </row>
    <row r="262" spans="26:26">
      <c r="Z262" s="69"/>
    </row>
    <row r="263" spans="26:26">
      <c r="Z263" s="69"/>
    </row>
    <row r="264" spans="26:26">
      <c r="Z264" s="69"/>
    </row>
    <row r="265" spans="26:26">
      <c r="Z265" s="69"/>
    </row>
    <row r="266" spans="26:26">
      <c r="Z266" s="69"/>
    </row>
    <row r="267" spans="26:26">
      <c r="Z267" s="69"/>
    </row>
    <row r="268" spans="26:26">
      <c r="Z268" s="69"/>
    </row>
    <row r="269" spans="26:26">
      <c r="Z269" s="69"/>
    </row>
    <row r="270" spans="26:26">
      <c r="Z270" s="69"/>
    </row>
    <row r="271" spans="26:26">
      <c r="Z271" s="69"/>
    </row>
    <row r="272" spans="26:26">
      <c r="Z272" s="69"/>
    </row>
    <row r="273" spans="26:26">
      <c r="Z273" s="69"/>
    </row>
    <row r="274" spans="26:26">
      <c r="Z274" s="69"/>
    </row>
    <row r="275" spans="26:26">
      <c r="Z275" s="69"/>
    </row>
    <row r="276" spans="26:26">
      <c r="Z276" s="69"/>
    </row>
    <row r="277" spans="26:26">
      <c r="Z277" s="69"/>
    </row>
    <row r="278" spans="26:26">
      <c r="Z278" s="69"/>
    </row>
    <row r="279" spans="26:26">
      <c r="Z279" s="69"/>
    </row>
    <row r="280" spans="26:26">
      <c r="Z280" s="69"/>
    </row>
    <row r="281" spans="26:26">
      <c r="Z281" s="69"/>
    </row>
    <row r="282" spans="26:26">
      <c r="Z282" s="69"/>
    </row>
    <row r="283" spans="26:26">
      <c r="Z283" s="69"/>
    </row>
    <row r="284" spans="26:26">
      <c r="Z284" s="69"/>
    </row>
    <row r="285" spans="26:26">
      <c r="Z285" s="69"/>
    </row>
    <row r="286" spans="26:26">
      <c r="Z286" s="69"/>
    </row>
    <row r="287" spans="26:26">
      <c r="Z287" s="69"/>
    </row>
    <row r="288" spans="26:26">
      <c r="Z288" s="69"/>
    </row>
    <row r="289" spans="26:26">
      <c r="Z289" s="69"/>
    </row>
    <row r="290" spans="26:26">
      <c r="Z290" s="69"/>
    </row>
    <row r="291" spans="26:26">
      <c r="Z291" s="69"/>
    </row>
    <row r="292" spans="26:26">
      <c r="Z292" s="69"/>
    </row>
    <row r="293" spans="26:26">
      <c r="Z293" s="69"/>
    </row>
    <row r="294" spans="26:26">
      <c r="Z294" s="69"/>
    </row>
    <row r="295" spans="26:26">
      <c r="Z295" s="69"/>
    </row>
    <row r="296" spans="26:26">
      <c r="Z296" s="69"/>
    </row>
    <row r="297" spans="26:26">
      <c r="Z297" s="69"/>
    </row>
    <row r="298" spans="26:26">
      <c r="Z298" s="69"/>
    </row>
    <row r="299" spans="26:26">
      <c r="Z299" s="69"/>
    </row>
    <row r="300" spans="26:26">
      <c r="Z300" s="69"/>
    </row>
    <row r="301" spans="26:26">
      <c r="Z301" s="69"/>
    </row>
    <row r="302" spans="26:26">
      <c r="Z302" s="69"/>
    </row>
    <row r="303" spans="26:26">
      <c r="Z303" s="69"/>
    </row>
    <row r="304" spans="26:26">
      <c r="Z304" s="69"/>
    </row>
    <row r="305" spans="26:26">
      <c r="Z305" s="69"/>
    </row>
    <row r="306" spans="26:26">
      <c r="Z306" s="69"/>
    </row>
    <row r="307" spans="26:26">
      <c r="Z307" s="69"/>
    </row>
    <row r="308" spans="26:26">
      <c r="Z308" s="69"/>
    </row>
    <row r="309" spans="26:26">
      <c r="Z309" s="69"/>
    </row>
    <row r="310" spans="26:26">
      <c r="Z310" s="69"/>
    </row>
    <row r="311" spans="26:26">
      <c r="Z311" s="69"/>
    </row>
    <row r="312" spans="26:26">
      <c r="Z312" s="69"/>
    </row>
    <row r="313" spans="26:26">
      <c r="Z313" s="69"/>
    </row>
    <row r="314" spans="26:26">
      <c r="Z314" s="69"/>
    </row>
    <row r="315" spans="26:26">
      <c r="Z315" s="69"/>
    </row>
    <row r="316" spans="26:26">
      <c r="Z316" s="69"/>
    </row>
    <row r="317" spans="26:26">
      <c r="Z317" s="69"/>
    </row>
    <row r="318" spans="26:26">
      <c r="Z318" s="69"/>
    </row>
    <row r="319" spans="26:26">
      <c r="Z319" s="69"/>
    </row>
    <row r="320" spans="26:26">
      <c r="Z320" s="69"/>
    </row>
    <row r="321" spans="26:26">
      <c r="Z321" s="69"/>
    </row>
    <row r="322" spans="26:26">
      <c r="Z322" s="69"/>
    </row>
    <row r="323" spans="26:26">
      <c r="Z323" s="69"/>
    </row>
    <row r="324" spans="26:26">
      <c r="Z324" s="69"/>
    </row>
    <row r="325" spans="26:26">
      <c r="Z325" s="69"/>
    </row>
    <row r="326" spans="26:26">
      <c r="Z326" s="69"/>
    </row>
    <row r="327" spans="26:26">
      <c r="Z327" s="69"/>
    </row>
    <row r="328" spans="26:26">
      <c r="Z328" s="69"/>
    </row>
    <row r="329" spans="26:26">
      <c r="Z329" s="69"/>
    </row>
    <row r="330" spans="26:26">
      <c r="Z330" s="69"/>
    </row>
    <row r="331" spans="26:26">
      <c r="Z331" s="69"/>
    </row>
    <row r="332" spans="26:26">
      <c r="Z332" s="69"/>
    </row>
    <row r="333" spans="26:26">
      <c r="Z333" s="69"/>
    </row>
    <row r="334" spans="26:26">
      <c r="Z334" s="69"/>
    </row>
    <row r="335" spans="26:26">
      <c r="Z335" s="69"/>
    </row>
    <row r="336" spans="26:26">
      <c r="Z336" s="69"/>
    </row>
    <row r="337" spans="26:26">
      <c r="Z337" s="69"/>
    </row>
    <row r="338" spans="26:26">
      <c r="Z338" s="69"/>
    </row>
    <row r="339" spans="26:26">
      <c r="Z339" s="69"/>
    </row>
    <row r="340" spans="26:26">
      <c r="Z340" s="69"/>
    </row>
    <row r="341" spans="26:26">
      <c r="Z341" s="69"/>
    </row>
    <row r="342" spans="26:26">
      <c r="Z342" s="69"/>
    </row>
    <row r="343" spans="26:26">
      <c r="Z343" s="69"/>
    </row>
    <row r="344" spans="26:26">
      <c r="Z344" s="69"/>
    </row>
    <row r="345" spans="26:26">
      <c r="Z345" s="69"/>
    </row>
    <row r="346" spans="26:26">
      <c r="Z346" s="69"/>
    </row>
    <row r="347" spans="26:26">
      <c r="Z347" s="69"/>
    </row>
    <row r="348" spans="26:26">
      <c r="Z348" s="69"/>
    </row>
    <row r="349" spans="26:26">
      <c r="Z349" s="69"/>
    </row>
    <row r="350" spans="26:26">
      <c r="Z350" s="69"/>
    </row>
    <row r="351" spans="26:26">
      <c r="Z351" s="69"/>
    </row>
    <row r="352" spans="26:26">
      <c r="Z352" s="69"/>
    </row>
    <row r="353" spans="26:26">
      <c r="Z353" s="69"/>
    </row>
    <row r="354" spans="26:26">
      <c r="Z354" s="69"/>
    </row>
    <row r="355" spans="26:26">
      <c r="Z355" s="69"/>
    </row>
    <row r="356" spans="26:26">
      <c r="Z356" s="69"/>
    </row>
    <row r="357" spans="26:26">
      <c r="Z357" s="69"/>
    </row>
    <row r="358" spans="26:26">
      <c r="Z358" s="69"/>
    </row>
    <row r="359" spans="26:26">
      <c r="Z359" s="69"/>
    </row>
    <row r="360" spans="26:26">
      <c r="Z360" s="69"/>
    </row>
    <row r="361" spans="26:26">
      <c r="Z361" s="69"/>
    </row>
    <row r="362" spans="26:26">
      <c r="Z362" s="69"/>
    </row>
    <row r="363" spans="26:26">
      <c r="Z363" s="69"/>
    </row>
    <row r="364" spans="26:26">
      <c r="Z364" s="69"/>
    </row>
    <row r="365" spans="26:26">
      <c r="Z365" s="69"/>
    </row>
    <row r="366" spans="26:26">
      <c r="Z366" s="69"/>
    </row>
    <row r="367" spans="26:26">
      <c r="Z367" s="69"/>
    </row>
    <row r="368" spans="26:26">
      <c r="Z368" s="69"/>
    </row>
    <row r="369" spans="26:26">
      <c r="Z369" s="69"/>
    </row>
    <row r="370" spans="26:26">
      <c r="Z370" s="69"/>
    </row>
    <row r="371" spans="26:26">
      <c r="Z371" s="69"/>
    </row>
    <row r="372" spans="26:26">
      <c r="Z372" s="69"/>
    </row>
    <row r="373" spans="26:26">
      <c r="Z373" s="69"/>
    </row>
    <row r="374" spans="26:26">
      <c r="Z374" s="69"/>
    </row>
    <row r="375" spans="26:26">
      <c r="Z375" s="69"/>
    </row>
    <row r="376" spans="26:26">
      <c r="Z376" s="69"/>
    </row>
    <row r="377" spans="26:26">
      <c r="Z377" s="69"/>
    </row>
    <row r="378" spans="26:26">
      <c r="Z378" s="69"/>
    </row>
    <row r="379" spans="26:26">
      <c r="Z379" s="69"/>
    </row>
    <row r="380" spans="26:26">
      <c r="Z380" s="69"/>
    </row>
    <row r="381" spans="26:26">
      <c r="Z381" s="69"/>
    </row>
    <row r="382" spans="26:26">
      <c r="Z382" s="69"/>
    </row>
    <row r="383" spans="26:26">
      <c r="Z383" s="69"/>
    </row>
    <row r="384" spans="26:26">
      <c r="Z384" s="69"/>
    </row>
    <row r="385" spans="26:26">
      <c r="Z385" s="69"/>
    </row>
    <row r="386" spans="26:26">
      <c r="Z386" s="69"/>
    </row>
    <row r="387" spans="26:26">
      <c r="Z387" s="69"/>
    </row>
    <row r="388" spans="26:26">
      <c r="Z388" s="69"/>
    </row>
    <row r="389" spans="26:26">
      <c r="Z389" s="69"/>
    </row>
    <row r="390" spans="26:26">
      <c r="Z390" s="69"/>
    </row>
    <row r="391" spans="26:26">
      <c r="Z391" s="69"/>
    </row>
    <row r="392" spans="26:26">
      <c r="Z392" s="69"/>
    </row>
    <row r="393" spans="26:26">
      <c r="Z393" s="69"/>
    </row>
    <row r="394" spans="26:26">
      <c r="Z394" s="69"/>
    </row>
    <row r="395" spans="26:26">
      <c r="Z395" s="69"/>
    </row>
    <row r="396" spans="26:26">
      <c r="Z396" s="69"/>
    </row>
    <row r="397" spans="26:26">
      <c r="Z397" s="69"/>
    </row>
    <row r="398" spans="26:26">
      <c r="Z398" s="69"/>
    </row>
    <row r="399" spans="26:26">
      <c r="Z399" s="69"/>
    </row>
    <row r="400" spans="26:26">
      <c r="Z400" s="69"/>
    </row>
    <row r="401" spans="26:26">
      <c r="Z401" s="69"/>
    </row>
    <row r="402" spans="26:26">
      <c r="Z402" s="69"/>
    </row>
    <row r="403" spans="26:26">
      <c r="Z403" s="69"/>
    </row>
  </sheetData>
  <mergeCells count="54">
    <mergeCell ref="H17:H28"/>
    <mergeCell ref="I17:I28"/>
    <mergeCell ref="J17:J28"/>
    <mergeCell ref="C17:C28"/>
    <mergeCell ref="D17:D28"/>
    <mergeCell ref="E17:E28"/>
    <mergeCell ref="F17:F28"/>
    <mergeCell ref="G17:G28"/>
    <mergeCell ref="H29:H40"/>
    <mergeCell ref="I29:I40"/>
    <mergeCell ref="J29:J40"/>
    <mergeCell ref="C29:C40"/>
    <mergeCell ref="D29:D40"/>
    <mergeCell ref="E29:E40"/>
    <mergeCell ref="F29:F40"/>
    <mergeCell ref="G29:G40"/>
    <mergeCell ref="L70:N70"/>
    <mergeCell ref="O70:Q70"/>
    <mergeCell ref="R70:T70"/>
    <mergeCell ref="U70:W70"/>
    <mergeCell ref="C65:J67"/>
    <mergeCell ref="L68:N68"/>
    <mergeCell ref="O68:Q68"/>
    <mergeCell ref="R68:T68"/>
    <mergeCell ref="U68:W68"/>
    <mergeCell ref="L69:N69"/>
    <mergeCell ref="O69:Q69"/>
    <mergeCell ref="R69:T69"/>
    <mergeCell ref="U69:W69"/>
    <mergeCell ref="C2:J4"/>
    <mergeCell ref="C5:C16"/>
    <mergeCell ref="D5:D16"/>
    <mergeCell ref="E5:E16"/>
    <mergeCell ref="F5:F16"/>
    <mergeCell ref="G5:G16"/>
    <mergeCell ref="H5:H16"/>
    <mergeCell ref="I5:I16"/>
    <mergeCell ref="J5:J16"/>
    <mergeCell ref="H41:H52"/>
    <mergeCell ref="I41:I52"/>
    <mergeCell ref="J41:J52"/>
    <mergeCell ref="C53:C64"/>
    <mergeCell ref="D53:D64"/>
    <mergeCell ref="E53:E64"/>
    <mergeCell ref="F53:F64"/>
    <mergeCell ref="G53:G64"/>
    <mergeCell ref="H53:H64"/>
    <mergeCell ref="I53:I64"/>
    <mergeCell ref="J53:J64"/>
    <mergeCell ref="C41:C52"/>
    <mergeCell ref="D41:D52"/>
    <mergeCell ref="E41:E52"/>
    <mergeCell ref="F41:F52"/>
    <mergeCell ref="G41:G52"/>
  </mergeCells>
  <phoneticPr fontId="10"/>
  <printOptions horizontalCentered="1"/>
  <pageMargins left="0.70866141732283472" right="0.70866141732283472" top="0.70866141732283472" bottom="0.70866141732283472" header="0.31496062992125984" footer="0.31496062992125984"/>
  <pageSetup paperSize="9" scale="52" fitToHeight="0" orientation="landscape" r:id="rId1"/>
  <ignoredErrors>
    <ignoredError sqref="M9" formula="1"/>
  </ignoredErrors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4E457-A215-459E-A61D-668F644A55AD}">
  <sheetPr>
    <pageSetUpPr fitToPage="1"/>
  </sheetPr>
  <dimension ref="A1:Z295"/>
  <sheetViews>
    <sheetView showGridLines="0" zoomScale="80" zoomScaleNormal="80" zoomScaleSheetLayoutView="70" workbookViewId="0">
      <pane xSplit="11" ySplit="4" topLeftCell="L5" activePane="bottomRight" state="frozen"/>
      <selection pane="topRight"/>
      <selection pane="bottomLeft"/>
      <selection pane="bottomRight" activeCell="L6" sqref="L6:L27"/>
    </sheetView>
  </sheetViews>
  <sheetFormatPr defaultRowHeight="12"/>
  <cols>
    <col min="1" max="1" width="9.6328125" style="115" customWidth="1"/>
    <col min="2" max="2" width="11.90625" style="73" customWidth="1"/>
    <col min="3" max="3" width="6.36328125" style="9" customWidth="1"/>
    <col min="4" max="4" width="10.36328125" style="9" customWidth="1"/>
    <col min="5" max="5" width="5.08984375" style="9" customWidth="1"/>
    <col min="6" max="6" width="9.90625" style="127" customWidth="1"/>
    <col min="7" max="9" width="9.90625" style="9" customWidth="1"/>
    <col min="10" max="10" width="8.453125" style="9" customWidth="1"/>
    <col min="11" max="11" width="10.453125" style="9" customWidth="1"/>
    <col min="12" max="23" width="13.08984375" style="9" customWidth="1"/>
    <col min="24" max="24" width="16.453125" style="9" customWidth="1"/>
    <col min="25" max="25" width="12.08984375" style="2" customWidth="1"/>
    <col min="26" max="26" width="11" style="2" bestFit="1" customWidth="1"/>
    <col min="27" max="259" width="8.90625" style="2"/>
    <col min="260" max="260" width="9.6328125" style="2" customWidth="1"/>
    <col min="261" max="262" width="5.08984375" style="2" customWidth="1"/>
    <col min="263" max="263" width="9.6328125" style="2" customWidth="1"/>
    <col min="264" max="265" width="11.6328125" style="2" customWidth="1"/>
    <col min="266" max="266" width="15.36328125" style="2" customWidth="1"/>
    <col min="267" max="267" width="10.90625" style="2" customWidth="1"/>
    <col min="268" max="278" width="13.36328125" style="2" customWidth="1"/>
    <col min="279" max="279" width="13.6328125" style="2" customWidth="1"/>
    <col min="280" max="280" width="16.453125" style="2" customWidth="1"/>
    <col min="281" max="515" width="8.90625" style="2"/>
    <col min="516" max="516" width="9.6328125" style="2" customWidth="1"/>
    <col min="517" max="518" width="5.08984375" style="2" customWidth="1"/>
    <col min="519" max="519" width="9.6328125" style="2" customWidth="1"/>
    <col min="520" max="521" width="11.6328125" style="2" customWidth="1"/>
    <col min="522" max="522" width="15.36328125" style="2" customWidth="1"/>
    <col min="523" max="523" width="10.90625" style="2" customWidth="1"/>
    <col min="524" max="534" width="13.36328125" style="2" customWidth="1"/>
    <col min="535" max="535" width="13.6328125" style="2" customWidth="1"/>
    <col min="536" max="536" width="16.453125" style="2" customWidth="1"/>
    <col min="537" max="771" width="8.90625" style="2"/>
    <col min="772" max="772" width="9.6328125" style="2" customWidth="1"/>
    <col min="773" max="774" width="5.08984375" style="2" customWidth="1"/>
    <col min="775" max="775" width="9.6328125" style="2" customWidth="1"/>
    <col min="776" max="777" width="11.6328125" style="2" customWidth="1"/>
    <col min="778" max="778" width="15.36328125" style="2" customWidth="1"/>
    <col min="779" max="779" width="10.90625" style="2" customWidth="1"/>
    <col min="780" max="790" width="13.36328125" style="2" customWidth="1"/>
    <col min="791" max="791" width="13.6328125" style="2" customWidth="1"/>
    <col min="792" max="792" width="16.453125" style="2" customWidth="1"/>
    <col min="793" max="1027" width="8.90625" style="2"/>
    <col min="1028" max="1028" width="9.6328125" style="2" customWidth="1"/>
    <col min="1029" max="1030" width="5.08984375" style="2" customWidth="1"/>
    <col min="1031" max="1031" width="9.6328125" style="2" customWidth="1"/>
    <col min="1032" max="1033" width="11.6328125" style="2" customWidth="1"/>
    <col min="1034" max="1034" width="15.36328125" style="2" customWidth="1"/>
    <col min="1035" max="1035" width="10.90625" style="2" customWidth="1"/>
    <col min="1036" max="1046" width="13.36328125" style="2" customWidth="1"/>
    <col min="1047" max="1047" width="13.6328125" style="2" customWidth="1"/>
    <col min="1048" max="1048" width="16.453125" style="2" customWidth="1"/>
    <col min="1049" max="1283" width="8.90625" style="2"/>
    <col min="1284" max="1284" width="9.6328125" style="2" customWidth="1"/>
    <col min="1285" max="1286" width="5.08984375" style="2" customWidth="1"/>
    <col min="1287" max="1287" width="9.6328125" style="2" customWidth="1"/>
    <col min="1288" max="1289" width="11.6328125" style="2" customWidth="1"/>
    <col min="1290" max="1290" width="15.36328125" style="2" customWidth="1"/>
    <col min="1291" max="1291" width="10.90625" style="2" customWidth="1"/>
    <col min="1292" max="1302" width="13.36328125" style="2" customWidth="1"/>
    <col min="1303" max="1303" width="13.6328125" style="2" customWidth="1"/>
    <col min="1304" max="1304" width="16.453125" style="2" customWidth="1"/>
    <col min="1305" max="1539" width="8.90625" style="2"/>
    <col min="1540" max="1540" width="9.6328125" style="2" customWidth="1"/>
    <col min="1541" max="1542" width="5.08984375" style="2" customWidth="1"/>
    <col min="1543" max="1543" width="9.6328125" style="2" customWidth="1"/>
    <col min="1544" max="1545" width="11.6328125" style="2" customWidth="1"/>
    <col min="1546" max="1546" width="15.36328125" style="2" customWidth="1"/>
    <col min="1547" max="1547" width="10.90625" style="2" customWidth="1"/>
    <col min="1548" max="1558" width="13.36328125" style="2" customWidth="1"/>
    <col min="1559" max="1559" width="13.6328125" style="2" customWidth="1"/>
    <col min="1560" max="1560" width="16.453125" style="2" customWidth="1"/>
    <col min="1561" max="1795" width="8.90625" style="2"/>
    <col min="1796" max="1796" width="9.6328125" style="2" customWidth="1"/>
    <col min="1797" max="1798" width="5.08984375" style="2" customWidth="1"/>
    <col min="1799" max="1799" width="9.6328125" style="2" customWidth="1"/>
    <col min="1800" max="1801" width="11.6328125" style="2" customWidth="1"/>
    <col min="1802" max="1802" width="15.36328125" style="2" customWidth="1"/>
    <col min="1803" max="1803" width="10.90625" style="2" customWidth="1"/>
    <col min="1804" max="1814" width="13.36328125" style="2" customWidth="1"/>
    <col min="1815" max="1815" width="13.6328125" style="2" customWidth="1"/>
    <col min="1816" max="1816" width="16.453125" style="2" customWidth="1"/>
    <col min="1817" max="2051" width="8.90625" style="2"/>
    <col min="2052" max="2052" width="9.6328125" style="2" customWidth="1"/>
    <col min="2053" max="2054" width="5.08984375" style="2" customWidth="1"/>
    <col min="2055" max="2055" width="9.6328125" style="2" customWidth="1"/>
    <col min="2056" max="2057" width="11.6328125" style="2" customWidth="1"/>
    <col min="2058" max="2058" width="15.36328125" style="2" customWidth="1"/>
    <col min="2059" max="2059" width="10.90625" style="2" customWidth="1"/>
    <col min="2060" max="2070" width="13.36328125" style="2" customWidth="1"/>
    <col min="2071" max="2071" width="13.6328125" style="2" customWidth="1"/>
    <col min="2072" max="2072" width="16.453125" style="2" customWidth="1"/>
    <col min="2073" max="2307" width="8.90625" style="2"/>
    <col min="2308" max="2308" width="9.6328125" style="2" customWidth="1"/>
    <col min="2309" max="2310" width="5.08984375" style="2" customWidth="1"/>
    <col min="2311" max="2311" width="9.6328125" style="2" customWidth="1"/>
    <col min="2312" max="2313" width="11.6328125" style="2" customWidth="1"/>
    <col min="2314" max="2314" width="15.36328125" style="2" customWidth="1"/>
    <col min="2315" max="2315" width="10.90625" style="2" customWidth="1"/>
    <col min="2316" max="2326" width="13.36328125" style="2" customWidth="1"/>
    <col min="2327" max="2327" width="13.6328125" style="2" customWidth="1"/>
    <col min="2328" max="2328" width="16.453125" style="2" customWidth="1"/>
    <col min="2329" max="2563" width="8.90625" style="2"/>
    <col min="2564" max="2564" width="9.6328125" style="2" customWidth="1"/>
    <col min="2565" max="2566" width="5.08984375" style="2" customWidth="1"/>
    <col min="2567" max="2567" width="9.6328125" style="2" customWidth="1"/>
    <col min="2568" max="2569" width="11.6328125" style="2" customWidth="1"/>
    <col min="2570" max="2570" width="15.36328125" style="2" customWidth="1"/>
    <col min="2571" max="2571" width="10.90625" style="2" customWidth="1"/>
    <col min="2572" max="2582" width="13.36328125" style="2" customWidth="1"/>
    <col min="2583" max="2583" width="13.6328125" style="2" customWidth="1"/>
    <col min="2584" max="2584" width="16.453125" style="2" customWidth="1"/>
    <col min="2585" max="2819" width="8.90625" style="2"/>
    <col min="2820" max="2820" width="9.6328125" style="2" customWidth="1"/>
    <col min="2821" max="2822" width="5.08984375" style="2" customWidth="1"/>
    <col min="2823" max="2823" width="9.6328125" style="2" customWidth="1"/>
    <col min="2824" max="2825" width="11.6328125" style="2" customWidth="1"/>
    <col min="2826" max="2826" width="15.36328125" style="2" customWidth="1"/>
    <col min="2827" max="2827" width="10.90625" style="2" customWidth="1"/>
    <col min="2828" max="2838" width="13.36328125" style="2" customWidth="1"/>
    <col min="2839" max="2839" width="13.6328125" style="2" customWidth="1"/>
    <col min="2840" max="2840" width="16.453125" style="2" customWidth="1"/>
    <col min="2841" max="3075" width="8.90625" style="2"/>
    <col min="3076" max="3076" width="9.6328125" style="2" customWidth="1"/>
    <col min="3077" max="3078" width="5.08984375" style="2" customWidth="1"/>
    <col min="3079" max="3079" width="9.6328125" style="2" customWidth="1"/>
    <col min="3080" max="3081" width="11.6328125" style="2" customWidth="1"/>
    <col min="3082" max="3082" width="15.36328125" style="2" customWidth="1"/>
    <col min="3083" max="3083" width="10.90625" style="2" customWidth="1"/>
    <col min="3084" max="3094" width="13.36328125" style="2" customWidth="1"/>
    <col min="3095" max="3095" width="13.6328125" style="2" customWidth="1"/>
    <col min="3096" max="3096" width="16.453125" style="2" customWidth="1"/>
    <col min="3097" max="3331" width="8.90625" style="2"/>
    <col min="3332" max="3332" width="9.6328125" style="2" customWidth="1"/>
    <col min="3333" max="3334" width="5.08984375" style="2" customWidth="1"/>
    <col min="3335" max="3335" width="9.6328125" style="2" customWidth="1"/>
    <col min="3336" max="3337" width="11.6328125" style="2" customWidth="1"/>
    <col min="3338" max="3338" width="15.36328125" style="2" customWidth="1"/>
    <col min="3339" max="3339" width="10.90625" style="2" customWidth="1"/>
    <col min="3340" max="3350" width="13.36328125" style="2" customWidth="1"/>
    <col min="3351" max="3351" width="13.6328125" style="2" customWidth="1"/>
    <col min="3352" max="3352" width="16.453125" style="2" customWidth="1"/>
    <col min="3353" max="3587" width="8.90625" style="2"/>
    <col min="3588" max="3588" width="9.6328125" style="2" customWidth="1"/>
    <col min="3589" max="3590" width="5.08984375" style="2" customWidth="1"/>
    <col min="3591" max="3591" width="9.6328125" style="2" customWidth="1"/>
    <col min="3592" max="3593" width="11.6328125" style="2" customWidth="1"/>
    <col min="3594" max="3594" width="15.36328125" style="2" customWidth="1"/>
    <col min="3595" max="3595" width="10.90625" style="2" customWidth="1"/>
    <col min="3596" max="3606" width="13.36328125" style="2" customWidth="1"/>
    <col min="3607" max="3607" width="13.6328125" style="2" customWidth="1"/>
    <col min="3608" max="3608" width="16.453125" style="2" customWidth="1"/>
    <col min="3609" max="3843" width="8.90625" style="2"/>
    <col min="3844" max="3844" width="9.6328125" style="2" customWidth="1"/>
    <col min="3845" max="3846" width="5.08984375" style="2" customWidth="1"/>
    <col min="3847" max="3847" width="9.6328125" style="2" customWidth="1"/>
    <col min="3848" max="3849" width="11.6328125" style="2" customWidth="1"/>
    <col min="3850" max="3850" width="15.36328125" style="2" customWidth="1"/>
    <col min="3851" max="3851" width="10.90625" style="2" customWidth="1"/>
    <col min="3852" max="3862" width="13.36328125" style="2" customWidth="1"/>
    <col min="3863" max="3863" width="13.6328125" style="2" customWidth="1"/>
    <col min="3864" max="3864" width="16.453125" style="2" customWidth="1"/>
    <col min="3865" max="4099" width="8.90625" style="2"/>
    <col min="4100" max="4100" width="9.6328125" style="2" customWidth="1"/>
    <col min="4101" max="4102" width="5.08984375" style="2" customWidth="1"/>
    <col min="4103" max="4103" width="9.6328125" style="2" customWidth="1"/>
    <col min="4104" max="4105" width="11.6328125" style="2" customWidth="1"/>
    <col min="4106" max="4106" width="15.36328125" style="2" customWidth="1"/>
    <col min="4107" max="4107" width="10.90625" style="2" customWidth="1"/>
    <col min="4108" max="4118" width="13.36328125" style="2" customWidth="1"/>
    <col min="4119" max="4119" width="13.6328125" style="2" customWidth="1"/>
    <col min="4120" max="4120" width="16.453125" style="2" customWidth="1"/>
    <col min="4121" max="4355" width="8.90625" style="2"/>
    <col min="4356" max="4356" width="9.6328125" style="2" customWidth="1"/>
    <col min="4357" max="4358" width="5.08984375" style="2" customWidth="1"/>
    <col min="4359" max="4359" width="9.6328125" style="2" customWidth="1"/>
    <col min="4360" max="4361" width="11.6328125" style="2" customWidth="1"/>
    <col min="4362" max="4362" width="15.36328125" style="2" customWidth="1"/>
    <col min="4363" max="4363" width="10.90625" style="2" customWidth="1"/>
    <col min="4364" max="4374" width="13.36328125" style="2" customWidth="1"/>
    <col min="4375" max="4375" width="13.6328125" style="2" customWidth="1"/>
    <col min="4376" max="4376" width="16.453125" style="2" customWidth="1"/>
    <col min="4377" max="4611" width="8.90625" style="2"/>
    <col min="4612" max="4612" width="9.6328125" style="2" customWidth="1"/>
    <col min="4613" max="4614" width="5.08984375" style="2" customWidth="1"/>
    <col min="4615" max="4615" width="9.6328125" style="2" customWidth="1"/>
    <col min="4616" max="4617" width="11.6328125" style="2" customWidth="1"/>
    <col min="4618" max="4618" width="15.36328125" style="2" customWidth="1"/>
    <col min="4619" max="4619" width="10.90625" style="2" customWidth="1"/>
    <col min="4620" max="4630" width="13.36328125" style="2" customWidth="1"/>
    <col min="4631" max="4631" width="13.6328125" style="2" customWidth="1"/>
    <col min="4632" max="4632" width="16.453125" style="2" customWidth="1"/>
    <col min="4633" max="4867" width="8.90625" style="2"/>
    <col min="4868" max="4868" width="9.6328125" style="2" customWidth="1"/>
    <col min="4869" max="4870" width="5.08984375" style="2" customWidth="1"/>
    <col min="4871" max="4871" width="9.6328125" style="2" customWidth="1"/>
    <col min="4872" max="4873" width="11.6328125" style="2" customWidth="1"/>
    <col min="4874" max="4874" width="15.36328125" style="2" customWidth="1"/>
    <col min="4875" max="4875" width="10.90625" style="2" customWidth="1"/>
    <col min="4876" max="4886" width="13.36328125" style="2" customWidth="1"/>
    <col min="4887" max="4887" width="13.6328125" style="2" customWidth="1"/>
    <col min="4888" max="4888" width="16.453125" style="2" customWidth="1"/>
    <col min="4889" max="5123" width="8.90625" style="2"/>
    <col min="5124" max="5124" width="9.6328125" style="2" customWidth="1"/>
    <col min="5125" max="5126" width="5.08984375" style="2" customWidth="1"/>
    <col min="5127" max="5127" width="9.6328125" style="2" customWidth="1"/>
    <col min="5128" max="5129" width="11.6328125" style="2" customWidth="1"/>
    <col min="5130" max="5130" width="15.36328125" style="2" customWidth="1"/>
    <col min="5131" max="5131" width="10.90625" style="2" customWidth="1"/>
    <col min="5132" max="5142" width="13.36328125" style="2" customWidth="1"/>
    <col min="5143" max="5143" width="13.6328125" style="2" customWidth="1"/>
    <col min="5144" max="5144" width="16.453125" style="2" customWidth="1"/>
    <col min="5145" max="5379" width="8.90625" style="2"/>
    <col min="5380" max="5380" width="9.6328125" style="2" customWidth="1"/>
    <col min="5381" max="5382" width="5.08984375" style="2" customWidth="1"/>
    <col min="5383" max="5383" width="9.6328125" style="2" customWidth="1"/>
    <col min="5384" max="5385" width="11.6328125" style="2" customWidth="1"/>
    <col min="5386" max="5386" width="15.36328125" style="2" customWidth="1"/>
    <col min="5387" max="5387" width="10.90625" style="2" customWidth="1"/>
    <col min="5388" max="5398" width="13.36328125" style="2" customWidth="1"/>
    <col min="5399" max="5399" width="13.6328125" style="2" customWidth="1"/>
    <col min="5400" max="5400" width="16.453125" style="2" customWidth="1"/>
    <col min="5401" max="5635" width="8.90625" style="2"/>
    <col min="5636" max="5636" width="9.6328125" style="2" customWidth="1"/>
    <col min="5637" max="5638" width="5.08984375" style="2" customWidth="1"/>
    <col min="5639" max="5639" width="9.6328125" style="2" customWidth="1"/>
    <col min="5640" max="5641" width="11.6328125" style="2" customWidth="1"/>
    <col min="5642" max="5642" width="15.36328125" style="2" customWidth="1"/>
    <col min="5643" max="5643" width="10.90625" style="2" customWidth="1"/>
    <col min="5644" max="5654" width="13.36328125" style="2" customWidth="1"/>
    <col min="5655" max="5655" width="13.6328125" style="2" customWidth="1"/>
    <col min="5656" max="5656" width="16.453125" style="2" customWidth="1"/>
    <col min="5657" max="5891" width="8.90625" style="2"/>
    <col min="5892" max="5892" width="9.6328125" style="2" customWidth="1"/>
    <col min="5893" max="5894" width="5.08984375" style="2" customWidth="1"/>
    <col min="5895" max="5895" width="9.6328125" style="2" customWidth="1"/>
    <col min="5896" max="5897" width="11.6328125" style="2" customWidth="1"/>
    <col min="5898" max="5898" width="15.36328125" style="2" customWidth="1"/>
    <col min="5899" max="5899" width="10.90625" style="2" customWidth="1"/>
    <col min="5900" max="5910" width="13.36328125" style="2" customWidth="1"/>
    <col min="5911" max="5911" width="13.6328125" style="2" customWidth="1"/>
    <col min="5912" max="5912" width="16.453125" style="2" customWidth="1"/>
    <col min="5913" max="6147" width="8.90625" style="2"/>
    <col min="6148" max="6148" width="9.6328125" style="2" customWidth="1"/>
    <col min="6149" max="6150" width="5.08984375" style="2" customWidth="1"/>
    <col min="6151" max="6151" width="9.6328125" style="2" customWidth="1"/>
    <col min="6152" max="6153" width="11.6328125" style="2" customWidth="1"/>
    <col min="6154" max="6154" width="15.36328125" style="2" customWidth="1"/>
    <col min="6155" max="6155" width="10.90625" style="2" customWidth="1"/>
    <col min="6156" max="6166" width="13.36328125" style="2" customWidth="1"/>
    <col min="6167" max="6167" width="13.6328125" style="2" customWidth="1"/>
    <col min="6168" max="6168" width="16.453125" style="2" customWidth="1"/>
    <col min="6169" max="6403" width="8.90625" style="2"/>
    <col min="6404" max="6404" width="9.6328125" style="2" customWidth="1"/>
    <col min="6405" max="6406" width="5.08984375" style="2" customWidth="1"/>
    <col min="6407" max="6407" width="9.6328125" style="2" customWidth="1"/>
    <col min="6408" max="6409" width="11.6328125" style="2" customWidth="1"/>
    <col min="6410" max="6410" width="15.36328125" style="2" customWidth="1"/>
    <col min="6411" max="6411" width="10.90625" style="2" customWidth="1"/>
    <col min="6412" max="6422" width="13.36328125" style="2" customWidth="1"/>
    <col min="6423" max="6423" width="13.6328125" style="2" customWidth="1"/>
    <col min="6424" max="6424" width="16.453125" style="2" customWidth="1"/>
    <col min="6425" max="6659" width="8.90625" style="2"/>
    <col min="6660" max="6660" width="9.6328125" style="2" customWidth="1"/>
    <col min="6661" max="6662" width="5.08984375" style="2" customWidth="1"/>
    <col min="6663" max="6663" width="9.6328125" style="2" customWidth="1"/>
    <col min="6664" max="6665" width="11.6328125" style="2" customWidth="1"/>
    <col min="6666" max="6666" width="15.36328125" style="2" customWidth="1"/>
    <col min="6667" max="6667" width="10.90625" style="2" customWidth="1"/>
    <col min="6668" max="6678" width="13.36328125" style="2" customWidth="1"/>
    <col min="6679" max="6679" width="13.6328125" style="2" customWidth="1"/>
    <col min="6680" max="6680" width="16.453125" style="2" customWidth="1"/>
    <col min="6681" max="6915" width="8.90625" style="2"/>
    <col min="6916" max="6916" width="9.6328125" style="2" customWidth="1"/>
    <col min="6917" max="6918" width="5.08984375" style="2" customWidth="1"/>
    <col min="6919" max="6919" width="9.6328125" style="2" customWidth="1"/>
    <col min="6920" max="6921" width="11.6328125" style="2" customWidth="1"/>
    <col min="6922" max="6922" width="15.36328125" style="2" customWidth="1"/>
    <col min="6923" max="6923" width="10.90625" style="2" customWidth="1"/>
    <col min="6924" max="6934" width="13.36328125" style="2" customWidth="1"/>
    <col min="6935" max="6935" width="13.6328125" style="2" customWidth="1"/>
    <col min="6936" max="6936" width="16.453125" style="2" customWidth="1"/>
    <col min="6937" max="7171" width="8.90625" style="2"/>
    <col min="7172" max="7172" width="9.6328125" style="2" customWidth="1"/>
    <col min="7173" max="7174" width="5.08984375" style="2" customWidth="1"/>
    <col min="7175" max="7175" width="9.6328125" style="2" customWidth="1"/>
    <col min="7176" max="7177" width="11.6328125" style="2" customWidth="1"/>
    <col min="7178" max="7178" width="15.36328125" style="2" customWidth="1"/>
    <col min="7179" max="7179" width="10.90625" style="2" customWidth="1"/>
    <col min="7180" max="7190" width="13.36328125" style="2" customWidth="1"/>
    <col min="7191" max="7191" width="13.6328125" style="2" customWidth="1"/>
    <col min="7192" max="7192" width="16.453125" style="2" customWidth="1"/>
    <col min="7193" max="7427" width="8.90625" style="2"/>
    <col min="7428" max="7428" width="9.6328125" style="2" customWidth="1"/>
    <col min="7429" max="7430" width="5.08984375" style="2" customWidth="1"/>
    <col min="7431" max="7431" width="9.6328125" style="2" customWidth="1"/>
    <col min="7432" max="7433" width="11.6328125" style="2" customWidth="1"/>
    <col min="7434" max="7434" width="15.36328125" style="2" customWidth="1"/>
    <col min="7435" max="7435" width="10.90625" style="2" customWidth="1"/>
    <col min="7436" max="7446" width="13.36328125" style="2" customWidth="1"/>
    <col min="7447" max="7447" width="13.6328125" style="2" customWidth="1"/>
    <col min="7448" max="7448" width="16.453125" style="2" customWidth="1"/>
    <col min="7449" max="7683" width="8.90625" style="2"/>
    <col min="7684" max="7684" width="9.6328125" style="2" customWidth="1"/>
    <col min="7685" max="7686" width="5.08984375" style="2" customWidth="1"/>
    <col min="7687" max="7687" width="9.6328125" style="2" customWidth="1"/>
    <col min="7688" max="7689" width="11.6328125" style="2" customWidth="1"/>
    <col min="7690" max="7690" width="15.36328125" style="2" customWidth="1"/>
    <col min="7691" max="7691" width="10.90625" style="2" customWidth="1"/>
    <col min="7692" max="7702" width="13.36328125" style="2" customWidth="1"/>
    <col min="7703" max="7703" width="13.6328125" style="2" customWidth="1"/>
    <col min="7704" max="7704" width="16.453125" style="2" customWidth="1"/>
    <col min="7705" max="7939" width="8.90625" style="2"/>
    <col min="7940" max="7940" width="9.6328125" style="2" customWidth="1"/>
    <col min="7941" max="7942" width="5.08984375" style="2" customWidth="1"/>
    <col min="7943" max="7943" width="9.6328125" style="2" customWidth="1"/>
    <col min="7944" max="7945" width="11.6328125" style="2" customWidth="1"/>
    <col min="7946" max="7946" width="15.36328125" style="2" customWidth="1"/>
    <col min="7947" max="7947" width="10.90625" style="2" customWidth="1"/>
    <col min="7948" max="7958" width="13.36328125" style="2" customWidth="1"/>
    <col min="7959" max="7959" width="13.6328125" style="2" customWidth="1"/>
    <col min="7960" max="7960" width="16.453125" style="2" customWidth="1"/>
    <col min="7961" max="8195" width="8.90625" style="2"/>
    <col min="8196" max="8196" width="9.6328125" style="2" customWidth="1"/>
    <col min="8197" max="8198" width="5.08984375" style="2" customWidth="1"/>
    <col min="8199" max="8199" width="9.6328125" style="2" customWidth="1"/>
    <col min="8200" max="8201" width="11.6328125" style="2" customWidth="1"/>
    <col min="8202" max="8202" width="15.36328125" style="2" customWidth="1"/>
    <col min="8203" max="8203" width="10.90625" style="2" customWidth="1"/>
    <col min="8204" max="8214" width="13.36328125" style="2" customWidth="1"/>
    <col min="8215" max="8215" width="13.6328125" style="2" customWidth="1"/>
    <col min="8216" max="8216" width="16.453125" style="2" customWidth="1"/>
    <col min="8217" max="8451" width="8.90625" style="2"/>
    <col min="8452" max="8452" width="9.6328125" style="2" customWidth="1"/>
    <col min="8453" max="8454" width="5.08984375" style="2" customWidth="1"/>
    <col min="8455" max="8455" width="9.6328125" style="2" customWidth="1"/>
    <col min="8456" max="8457" width="11.6328125" style="2" customWidth="1"/>
    <col min="8458" max="8458" width="15.36328125" style="2" customWidth="1"/>
    <col min="8459" max="8459" width="10.90625" style="2" customWidth="1"/>
    <col min="8460" max="8470" width="13.36328125" style="2" customWidth="1"/>
    <col min="8471" max="8471" width="13.6328125" style="2" customWidth="1"/>
    <col min="8472" max="8472" width="16.453125" style="2" customWidth="1"/>
    <col min="8473" max="8707" width="8.90625" style="2"/>
    <col min="8708" max="8708" width="9.6328125" style="2" customWidth="1"/>
    <col min="8709" max="8710" width="5.08984375" style="2" customWidth="1"/>
    <col min="8711" max="8711" width="9.6328125" style="2" customWidth="1"/>
    <col min="8712" max="8713" width="11.6328125" style="2" customWidth="1"/>
    <col min="8714" max="8714" width="15.36328125" style="2" customWidth="1"/>
    <col min="8715" max="8715" width="10.90625" style="2" customWidth="1"/>
    <col min="8716" max="8726" width="13.36328125" style="2" customWidth="1"/>
    <col min="8727" max="8727" width="13.6328125" style="2" customWidth="1"/>
    <col min="8728" max="8728" width="16.453125" style="2" customWidth="1"/>
    <col min="8729" max="8963" width="8.90625" style="2"/>
    <col min="8964" max="8964" width="9.6328125" style="2" customWidth="1"/>
    <col min="8965" max="8966" width="5.08984375" style="2" customWidth="1"/>
    <col min="8967" max="8967" width="9.6328125" style="2" customWidth="1"/>
    <col min="8968" max="8969" width="11.6328125" style="2" customWidth="1"/>
    <col min="8970" max="8970" width="15.36328125" style="2" customWidth="1"/>
    <col min="8971" max="8971" width="10.90625" style="2" customWidth="1"/>
    <col min="8972" max="8982" width="13.36328125" style="2" customWidth="1"/>
    <col min="8983" max="8983" width="13.6328125" style="2" customWidth="1"/>
    <col min="8984" max="8984" width="16.453125" style="2" customWidth="1"/>
    <col min="8985" max="9219" width="8.90625" style="2"/>
    <col min="9220" max="9220" width="9.6328125" style="2" customWidth="1"/>
    <col min="9221" max="9222" width="5.08984375" style="2" customWidth="1"/>
    <col min="9223" max="9223" width="9.6328125" style="2" customWidth="1"/>
    <col min="9224" max="9225" width="11.6328125" style="2" customWidth="1"/>
    <col min="9226" max="9226" width="15.36328125" style="2" customWidth="1"/>
    <col min="9227" max="9227" width="10.90625" style="2" customWidth="1"/>
    <col min="9228" max="9238" width="13.36328125" style="2" customWidth="1"/>
    <col min="9239" max="9239" width="13.6328125" style="2" customWidth="1"/>
    <col min="9240" max="9240" width="16.453125" style="2" customWidth="1"/>
    <col min="9241" max="9475" width="8.90625" style="2"/>
    <col min="9476" max="9476" width="9.6328125" style="2" customWidth="1"/>
    <col min="9477" max="9478" width="5.08984375" style="2" customWidth="1"/>
    <col min="9479" max="9479" width="9.6328125" style="2" customWidth="1"/>
    <col min="9480" max="9481" width="11.6328125" style="2" customWidth="1"/>
    <col min="9482" max="9482" width="15.36328125" style="2" customWidth="1"/>
    <col min="9483" max="9483" width="10.90625" style="2" customWidth="1"/>
    <col min="9484" max="9494" width="13.36328125" style="2" customWidth="1"/>
    <col min="9495" max="9495" width="13.6328125" style="2" customWidth="1"/>
    <col min="9496" max="9496" width="16.453125" style="2" customWidth="1"/>
    <col min="9497" max="9731" width="8.90625" style="2"/>
    <col min="9732" max="9732" width="9.6328125" style="2" customWidth="1"/>
    <col min="9733" max="9734" width="5.08984375" style="2" customWidth="1"/>
    <col min="9735" max="9735" width="9.6328125" style="2" customWidth="1"/>
    <col min="9736" max="9737" width="11.6328125" style="2" customWidth="1"/>
    <col min="9738" max="9738" width="15.36328125" style="2" customWidth="1"/>
    <col min="9739" max="9739" width="10.90625" style="2" customWidth="1"/>
    <col min="9740" max="9750" width="13.36328125" style="2" customWidth="1"/>
    <col min="9751" max="9751" width="13.6328125" style="2" customWidth="1"/>
    <col min="9752" max="9752" width="16.453125" style="2" customWidth="1"/>
    <col min="9753" max="9987" width="8.90625" style="2"/>
    <col min="9988" max="9988" width="9.6328125" style="2" customWidth="1"/>
    <col min="9989" max="9990" width="5.08984375" style="2" customWidth="1"/>
    <col min="9991" max="9991" width="9.6328125" style="2" customWidth="1"/>
    <col min="9992" max="9993" width="11.6328125" style="2" customWidth="1"/>
    <col min="9994" max="9994" width="15.36328125" style="2" customWidth="1"/>
    <col min="9995" max="9995" width="10.90625" style="2" customWidth="1"/>
    <col min="9996" max="10006" width="13.36328125" style="2" customWidth="1"/>
    <col min="10007" max="10007" width="13.6328125" style="2" customWidth="1"/>
    <col min="10008" max="10008" width="16.453125" style="2" customWidth="1"/>
    <col min="10009" max="10243" width="8.90625" style="2"/>
    <col min="10244" max="10244" width="9.6328125" style="2" customWidth="1"/>
    <col min="10245" max="10246" width="5.08984375" style="2" customWidth="1"/>
    <col min="10247" max="10247" width="9.6328125" style="2" customWidth="1"/>
    <col min="10248" max="10249" width="11.6328125" style="2" customWidth="1"/>
    <col min="10250" max="10250" width="15.36328125" style="2" customWidth="1"/>
    <col min="10251" max="10251" width="10.90625" style="2" customWidth="1"/>
    <col min="10252" max="10262" width="13.36328125" style="2" customWidth="1"/>
    <col min="10263" max="10263" width="13.6328125" style="2" customWidth="1"/>
    <col min="10264" max="10264" width="16.453125" style="2" customWidth="1"/>
    <col min="10265" max="10499" width="8.90625" style="2"/>
    <col min="10500" max="10500" width="9.6328125" style="2" customWidth="1"/>
    <col min="10501" max="10502" width="5.08984375" style="2" customWidth="1"/>
    <col min="10503" max="10503" width="9.6328125" style="2" customWidth="1"/>
    <col min="10504" max="10505" width="11.6328125" style="2" customWidth="1"/>
    <col min="10506" max="10506" width="15.36328125" style="2" customWidth="1"/>
    <col min="10507" max="10507" width="10.90625" style="2" customWidth="1"/>
    <col min="10508" max="10518" width="13.36328125" style="2" customWidth="1"/>
    <col min="10519" max="10519" width="13.6328125" style="2" customWidth="1"/>
    <col min="10520" max="10520" width="16.453125" style="2" customWidth="1"/>
    <col min="10521" max="10755" width="8.90625" style="2"/>
    <col min="10756" max="10756" width="9.6328125" style="2" customWidth="1"/>
    <col min="10757" max="10758" width="5.08984375" style="2" customWidth="1"/>
    <col min="10759" max="10759" width="9.6328125" style="2" customWidth="1"/>
    <col min="10760" max="10761" width="11.6328125" style="2" customWidth="1"/>
    <col min="10762" max="10762" width="15.36328125" style="2" customWidth="1"/>
    <col min="10763" max="10763" width="10.90625" style="2" customWidth="1"/>
    <col min="10764" max="10774" width="13.36328125" style="2" customWidth="1"/>
    <col min="10775" max="10775" width="13.6328125" style="2" customWidth="1"/>
    <col min="10776" max="10776" width="16.453125" style="2" customWidth="1"/>
    <col min="10777" max="11011" width="8.90625" style="2"/>
    <col min="11012" max="11012" width="9.6328125" style="2" customWidth="1"/>
    <col min="11013" max="11014" width="5.08984375" style="2" customWidth="1"/>
    <col min="11015" max="11015" width="9.6328125" style="2" customWidth="1"/>
    <col min="11016" max="11017" width="11.6328125" style="2" customWidth="1"/>
    <col min="11018" max="11018" width="15.36328125" style="2" customWidth="1"/>
    <col min="11019" max="11019" width="10.90625" style="2" customWidth="1"/>
    <col min="11020" max="11030" width="13.36328125" style="2" customWidth="1"/>
    <col min="11031" max="11031" width="13.6328125" style="2" customWidth="1"/>
    <col min="11032" max="11032" width="16.453125" style="2" customWidth="1"/>
    <col min="11033" max="11267" width="8.90625" style="2"/>
    <col min="11268" max="11268" width="9.6328125" style="2" customWidth="1"/>
    <col min="11269" max="11270" width="5.08984375" style="2" customWidth="1"/>
    <col min="11271" max="11271" width="9.6328125" style="2" customWidth="1"/>
    <col min="11272" max="11273" width="11.6328125" style="2" customWidth="1"/>
    <col min="11274" max="11274" width="15.36328125" style="2" customWidth="1"/>
    <col min="11275" max="11275" width="10.90625" style="2" customWidth="1"/>
    <col min="11276" max="11286" width="13.36328125" style="2" customWidth="1"/>
    <col min="11287" max="11287" width="13.6328125" style="2" customWidth="1"/>
    <col min="11288" max="11288" width="16.453125" style="2" customWidth="1"/>
    <col min="11289" max="11523" width="8.90625" style="2"/>
    <col min="11524" max="11524" width="9.6328125" style="2" customWidth="1"/>
    <col min="11525" max="11526" width="5.08984375" style="2" customWidth="1"/>
    <col min="11527" max="11527" width="9.6328125" style="2" customWidth="1"/>
    <col min="11528" max="11529" width="11.6328125" style="2" customWidth="1"/>
    <col min="11530" max="11530" width="15.36328125" style="2" customWidth="1"/>
    <col min="11531" max="11531" width="10.90625" style="2" customWidth="1"/>
    <col min="11532" max="11542" width="13.36328125" style="2" customWidth="1"/>
    <col min="11543" max="11543" width="13.6328125" style="2" customWidth="1"/>
    <col min="11544" max="11544" width="16.453125" style="2" customWidth="1"/>
    <col min="11545" max="11779" width="8.90625" style="2"/>
    <col min="11780" max="11780" width="9.6328125" style="2" customWidth="1"/>
    <col min="11781" max="11782" width="5.08984375" style="2" customWidth="1"/>
    <col min="11783" max="11783" width="9.6328125" style="2" customWidth="1"/>
    <col min="11784" max="11785" width="11.6328125" style="2" customWidth="1"/>
    <col min="11786" max="11786" width="15.36328125" style="2" customWidth="1"/>
    <col min="11787" max="11787" width="10.90625" style="2" customWidth="1"/>
    <col min="11788" max="11798" width="13.36328125" style="2" customWidth="1"/>
    <col min="11799" max="11799" width="13.6328125" style="2" customWidth="1"/>
    <col min="11800" max="11800" width="16.453125" style="2" customWidth="1"/>
    <col min="11801" max="12035" width="8.90625" style="2"/>
    <col min="12036" max="12036" width="9.6328125" style="2" customWidth="1"/>
    <col min="12037" max="12038" width="5.08984375" style="2" customWidth="1"/>
    <col min="12039" max="12039" width="9.6328125" style="2" customWidth="1"/>
    <col min="12040" max="12041" width="11.6328125" style="2" customWidth="1"/>
    <col min="12042" max="12042" width="15.36328125" style="2" customWidth="1"/>
    <col min="12043" max="12043" width="10.90625" style="2" customWidth="1"/>
    <col min="12044" max="12054" width="13.36328125" style="2" customWidth="1"/>
    <col min="12055" max="12055" width="13.6328125" style="2" customWidth="1"/>
    <col min="12056" max="12056" width="16.453125" style="2" customWidth="1"/>
    <col min="12057" max="12291" width="8.90625" style="2"/>
    <col min="12292" max="12292" width="9.6328125" style="2" customWidth="1"/>
    <col min="12293" max="12294" width="5.08984375" style="2" customWidth="1"/>
    <col min="12295" max="12295" width="9.6328125" style="2" customWidth="1"/>
    <col min="12296" max="12297" width="11.6328125" style="2" customWidth="1"/>
    <col min="12298" max="12298" width="15.36328125" style="2" customWidth="1"/>
    <col min="12299" max="12299" width="10.90625" style="2" customWidth="1"/>
    <col min="12300" max="12310" width="13.36328125" style="2" customWidth="1"/>
    <col min="12311" max="12311" width="13.6328125" style="2" customWidth="1"/>
    <col min="12312" max="12312" width="16.453125" style="2" customWidth="1"/>
    <col min="12313" max="12547" width="8.90625" style="2"/>
    <col min="12548" max="12548" width="9.6328125" style="2" customWidth="1"/>
    <col min="12549" max="12550" width="5.08984375" style="2" customWidth="1"/>
    <col min="12551" max="12551" width="9.6328125" style="2" customWidth="1"/>
    <col min="12552" max="12553" width="11.6328125" style="2" customWidth="1"/>
    <col min="12554" max="12554" width="15.36328125" style="2" customWidth="1"/>
    <col min="12555" max="12555" width="10.90625" style="2" customWidth="1"/>
    <col min="12556" max="12566" width="13.36328125" style="2" customWidth="1"/>
    <col min="12567" max="12567" width="13.6328125" style="2" customWidth="1"/>
    <col min="12568" max="12568" width="16.453125" style="2" customWidth="1"/>
    <col min="12569" max="12803" width="8.90625" style="2"/>
    <col min="12804" max="12804" width="9.6328125" style="2" customWidth="1"/>
    <col min="12805" max="12806" width="5.08984375" style="2" customWidth="1"/>
    <col min="12807" max="12807" width="9.6328125" style="2" customWidth="1"/>
    <col min="12808" max="12809" width="11.6328125" style="2" customWidth="1"/>
    <col min="12810" max="12810" width="15.36328125" style="2" customWidth="1"/>
    <col min="12811" max="12811" width="10.90625" style="2" customWidth="1"/>
    <col min="12812" max="12822" width="13.36328125" style="2" customWidth="1"/>
    <col min="12823" max="12823" width="13.6328125" style="2" customWidth="1"/>
    <col min="12824" max="12824" width="16.453125" style="2" customWidth="1"/>
    <col min="12825" max="13059" width="8.90625" style="2"/>
    <col min="13060" max="13060" width="9.6328125" style="2" customWidth="1"/>
    <col min="13061" max="13062" width="5.08984375" style="2" customWidth="1"/>
    <col min="13063" max="13063" width="9.6328125" style="2" customWidth="1"/>
    <col min="13064" max="13065" width="11.6328125" style="2" customWidth="1"/>
    <col min="13066" max="13066" width="15.36328125" style="2" customWidth="1"/>
    <col min="13067" max="13067" width="10.90625" style="2" customWidth="1"/>
    <col min="13068" max="13078" width="13.36328125" style="2" customWidth="1"/>
    <col min="13079" max="13079" width="13.6328125" style="2" customWidth="1"/>
    <col min="13080" max="13080" width="16.453125" style="2" customWidth="1"/>
    <col min="13081" max="13315" width="8.90625" style="2"/>
    <col min="13316" max="13316" width="9.6328125" style="2" customWidth="1"/>
    <col min="13317" max="13318" width="5.08984375" style="2" customWidth="1"/>
    <col min="13319" max="13319" width="9.6328125" style="2" customWidth="1"/>
    <col min="13320" max="13321" width="11.6328125" style="2" customWidth="1"/>
    <col min="13322" max="13322" width="15.36328125" style="2" customWidth="1"/>
    <col min="13323" max="13323" width="10.90625" style="2" customWidth="1"/>
    <col min="13324" max="13334" width="13.36328125" style="2" customWidth="1"/>
    <col min="13335" max="13335" width="13.6328125" style="2" customWidth="1"/>
    <col min="13336" max="13336" width="16.453125" style="2" customWidth="1"/>
    <col min="13337" max="13571" width="8.90625" style="2"/>
    <col min="13572" max="13572" width="9.6328125" style="2" customWidth="1"/>
    <col min="13573" max="13574" width="5.08984375" style="2" customWidth="1"/>
    <col min="13575" max="13575" width="9.6328125" style="2" customWidth="1"/>
    <col min="13576" max="13577" width="11.6328125" style="2" customWidth="1"/>
    <col min="13578" max="13578" width="15.36328125" style="2" customWidth="1"/>
    <col min="13579" max="13579" width="10.90625" style="2" customWidth="1"/>
    <col min="13580" max="13590" width="13.36328125" style="2" customWidth="1"/>
    <col min="13591" max="13591" width="13.6328125" style="2" customWidth="1"/>
    <col min="13592" max="13592" width="16.453125" style="2" customWidth="1"/>
    <col min="13593" max="13827" width="8.90625" style="2"/>
    <col min="13828" max="13828" width="9.6328125" style="2" customWidth="1"/>
    <col min="13829" max="13830" width="5.08984375" style="2" customWidth="1"/>
    <col min="13831" max="13831" width="9.6328125" style="2" customWidth="1"/>
    <col min="13832" max="13833" width="11.6328125" style="2" customWidth="1"/>
    <col min="13834" max="13834" width="15.36328125" style="2" customWidth="1"/>
    <col min="13835" max="13835" width="10.90625" style="2" customWidth="1"/>
    <col min="13836" max="13846" width="13.36328125" style="2" customWidth="1"/>
    <col min="13847" max="13847" width="13.6328125" style="2" customWidth="1"/>
    <col min="13848" max="13848" width="16.453125" style="2" customWidth="1"/>
    <col min="13849" max="14083" width="8.90625" style="2"/>
    <col min="14084" max="14084" width="9.6328125" style="2" customWidth="1"/>
    <col min="14085" max="14086" width="5.08984375" style="2" customWidth="1"/>
    <col min="14087" max="14087" width="9.6328125" style="2" customWidth="1"/>
    <col min="14088" max="14089" width="11.6328125" style="2" customWidth="1"/>
    <col min="14090" max="14090" width="15.36328125" style="2" customWidth="1"/>
    <col min="14091" max="14091" width="10.90625" style="2" customWidth="1"/>
    <col min="14092" max="14102" width="13.36328125" style="2" customWidth="1"/>
    <col min="14103" max="14103" width="13.6328125" style="2" customWidth="1"/>
    <col min="14104" max="14104" width="16.453125" style="2" customWidth="1"/>
    <col min="14105" max="14339" width="8.90625" style="2"/>
    <col min="14340" max="14340" width="9.6328125" style="2" customWidth="1"/>
    <col min="14341" max="14342" width="5.08984375" style="2" customWidth="1"/>
    <col min="14343" max="14343" width="9.6328125" style="2" customWidth="1"/>
    <col min="14344" max="14345" width="11.6328125" style="2" customWidth="1"/>
    <col min="14346" max="14346" width="15.36328125" style="2" customWidth="1"/>
    <col min="14347" max="14347" width="10.90625" style="2" customWidth="1"/>
    <col min="14348" max="14358" width="13.36328125" style="2" customWidth="1"/>
    <col min="14359" max="14359" width="13.6328125" style="2" customWidth="1"/>
    <col min="14360" max="14360" width="16.453125" style="2" customWidth="1"/>
    <col min="14361" max="14595" width="8.90625" style="2"/>
    <col min="14596" max="14596" width="9.6328125" style="2" customWidth="1"/>
    <col min="14597" max="14598" width="5.08984375" style="2" customWidth="1"/>
    <col min="14599" max="14599" width="9.6328125" style="2" customWidth="1"/>
    <col min="14600" max="14601" width="11.6328125" style="2" customWidth="1"/>
    <col min="14602" max="14602" width="15.36328125" style="2" customWidth="1"/>
    <col min="14603" max="14603" width="10.90625" style="2" customWidth="1"/>
    <col min="14604" max="14614" width="13.36328125" style="2" customWidth="1"/>
    <col min="14615" max="14615" width="13.6328125" style="2" customWidth="1"/>
    <col min="14616" max="14616" width="16.453125" style="2" customWidth="1"/>
    <col min="14617" max="14851" width="8.90625" style="2"/>
    <col min="14852" max="14852" width="9.6328125" style="2" customWidth="1"/>
    <col min="14853" max="14854" width="5.08984375" style="2" customWidth="1"/>
    <col min="14855" max="14855" width="9.6328125" style="2" customWidth="1"/>
    <col min="14856" max="14857" width="11.6328125" style="2" customWidth="1"/>
    <col min="14858" max="14858" width="15.36328125" style="2" customWidth="1"/>
    <col min="14859" max="14859" width="10.90625" style="2" customWidth="1"/>
    <col min="14860" max="14870" width="13.36328125" style="2" customWidth="1"/>
    <col min="14871" max="14871" width="13.6328125" style="2" customWidth="1"/>
    <col min="14872" max="14872" width="16.453125" style="2" customWidth="1"/>
    <col min="14873" max="15107" width="8.90625" style="2"/>
    <col min="15108" max="15108" width="9.6328125" style="2" customWidth="1"/>
    <col min="15109" max="15110" width="5.08984375" style="2" customWidth="1"/>
    <col min="15111" max="15111" width="9.6328125" style="2" customWidth="1"/>
    <col min="15112" max="15113" width="11.6328125" style="2" customWidth="1"/>
    <col min="15114" max="15114" width="15.36328125" style="2" customWidth="1"/>
    <col min="15115" max="15115" width="10.90625" style="2" customWidth="1"/>
    <col min="15116" max="15126" width="13.36328125" style="2" customWidth="1"/>
    <col min="15127" max="15127" width="13.6328125" style="2" customWidth="1"/>
    <col min="15128" max="15128" width="16.453125" style="2" customWidth="1"/>
    <col min="15129" max="15363" width="8.90625" style="2"/>
    <col min="15364" max="15364" width="9.6328125" style="2" customWidth="1"/>
    <col min="15365" max="15366" width="5.08984375" style="2" customWidth="1"/>
    <col min="15367" max="15367" width="9.6328125" style="2" customWidth="1"/>
    <col min="15368" max="15369" width="11.6328125" style="2" customWidth="1"/>
    <col min="15370" max="15370" width="15.36328125" style="2" customWidth="1"/>
    <col min="15371" max="15371" width="10.90625" style="2" customWidth="1"/>
    <col min="15372" max="15382" width="13.36328125" style="2" customWidth="1"/>
    <col min="15383" max="15383" width="13.6328125" style="2" customWidth="1"/>
    <col min="15384" max="15384" width="16.453125" style="2" customWidth="1"/>
    <col min="15385" max="15619" width="8.90625" style="2"/>
    <col min="15620" max="15620" width="9.6328125" style="2" customWidth="1"/>
    <col min="15621" max="15622" width="5.08984375" style="2" customWidth="1"/>
    <col min="15623" max="15623" width="9.6328125" style="2" customWidth="1"/>
    <col min="15624" max="15625" width="11.6328125" style="2" customWidth="1"/>
    <col min="15626" max="15626" width="15.36328125" style="2" customWidth="1"/>
    <col min="15627" max="15627" width="10.90625" style="2" customWidth="1"/>
    <col min="15628" max="15638" width="13.36328125" style="2" customWidth="1"/>
    <col min="15639" max="15639" width="13.6328125" style="2" customWidth="1"/>
    <col min="15640" max="15640" width="16.453125" style="2" customWidth="1"/>
    <col min="15641" max="15875" width="8.90625" style="2"/>
    <col min="15876" max="15876" width="9.6328125" style="2" customWidth="1"/>
    <col min="15877" max="15878" width="5.08984375" style="2" customWidth="1"/>
    <col min="15879" max="15879" width="9.6328125" style="2" customWidth="1"/>
    <col min="15880" max="15881" width="11.6328125" style="2" customWidth="1"/>
    <col min="15882" max="15882" width="15.36328125" style="2" customWidth="1"/>
    <col min="15883" max="15883" width="10.90625" style="2" customWidth="1"/>
    <col min="15884" max="15894" width="13.36328125" style="2" customWidth="1"/>
    <col min="15895" max="15895" width="13.6328125" style="2" customWidth="1"/>
    <col min="15896" max="15896" width="16.453125" style="2" customWidth="1"/>
    <col min="15897" max="16131" width="8.90625" style="2"/>
    <col min="16132" max="16132" width="9.6328125" style="2" customWidth="1"/>
    <col min="16133" max="16134" width="5.08984375" style="2" customWidth="1"/>
    <col min="16135" max="16135" width="9.6328125" style="2" customWidth="1"/>
    <col min="16136" max="16137" width="11.6328125" style="2" customWidth="1"/>
    <col min="16138" max="16138" width="15.36328125" style="2" customWidth="1"/>
    <col min="16139" max="16139" width="10.90625" style="2" customWidth="1"/>
    <col min="16140" max="16150" width="13.36328125" style="2" customWidth="1"/>
    <col min="16151" max="16151" width="13.6328125" style="2" customWidth="1"/>
    <col min="16152" max="16152" width="16.453125" style="2" customWidth="1"/>
    <col min="16153" max="16383" width="8.90625" style="2"/>
    <col min="16384" max="16384" width="9" style="2" customWidth="1"/>
  </cols>
  <sheetData>
    <row r="1" spans="1:26" s="127" customFormat="1" ht="36">
      <c r="A1" s="230" t="s">
        <v>83</v>
      </c>
      <c r="B1" s="230" t="s">
        <v>84</v>
      </c>
      <c r="C1" s="133" t="s">
        <v>56</v>
      </c>
      <c r="D1" s="134" t="s">
        <v>0</v>
      </c>
      <c r="E1" s="134" t="s">
        <v>1</v>
      </c>
      <c r="F1" s="135" t="s">
        <v>2</v>
      </c>
      <c r="G1" s="135" t="s">
        <v>58</v>
      </c>
      <c r="H1" s="135" t="s">
        <v>3</v>
      </c>
      <c r="I1" s="136" t="s">
        <v>4</v>
      </c>
      <c r="J1" s="137" t="s">
        <v>5</v>
      </c>
      <c r="K1" s="3" t="s">
        <v>6</v>
      </c>
      <c r="L1" s="352" t="s">
        <v>7</v>
      </c>
      <c r="M1" s="238" t="s">
        <v>8</v>
      </c>
      <c r="N1" s="238" t="s">
        <v>9</v>
      </c>
      <c r="O1" s="238" t="s">
        <v>10</v>
      </c>
      <c r="P1" s="238" t="s">
        <v>11</v>
      </c>
      <c r="Q1" s="238" t="s">
        <v>12</v>
      </c>
      <c r="R1" s="238" t="s">
        <v>13</v>
      </c>
      <c r="S1" s="238" t="s">
        <v>14</v>
      </c>
      <c r="T1" s="238" t="s">
        <v>15</v>
      </c>
      <c r="U1" s="238" t="s">
        <v>16</v>
      </c>
      <c r="V1" s="238" t="s">
        <v>17</v>
      </c>
      <c r="W1" s="231" t="s">
        <v>18</v>
      </c>
      <c r="X1" s="142" t="s">
        <v>19</v>
      </c>
    </row>
    <row r="2" spans="1:26" s="1" customFormat="1">
      <c r="A2" s="112"/>
      <c r="B2" s="72"/>
      <c r="C2" s="548" t="s">
        <v>152</v>
      </c>
      <c r="D2" s="549"/>
      <c r="E2" s="549"/>
      <c r="F2" s="549"/>
      <c r="G2" s="549"/>
      <c r="H2" s="549"/>
      <c r="I2" s="549"/>
      <c r="J2" s="550"/>
      <c r="K2" s="271" t="s">
        <v>20</v>
      </c>
      <c r="L2" s="333">
        <f>L29</f>
        <v>1150000</v>
      </c>
      <c r="M2" s="402">
        <f t="shared" ref="M2:W3" si="0">M29</f>
        <v>1127150</v>
      </c>
      <c r="N2" s="402">
        <f t="shared" si="0"/>
        <v>1150000</v>
      </c>
      <c r="O2" s="402">
        <f t="shared" si="0"/>
        <v>1150000</v>
      </c>
      <c r="P2" s="402">
        <f t="shared" si="0"/>
        <v>1150000</v>
      </c>
      <c r="Q2" s="402">
        <f t="shared" si="0"/>
        <v>1150000</v>
      </c>
      <c r="R2" s="402">
        <f t="shared" si="0"/>
        <v>1150000</v>
      </c>
      <c r="S2" s="402">
        <f t="shared" si="0"/>
        <v>1062805</v>
      </c>
      <c r="T2" s="402">
        <f t="shared" si="0"/>
        <v>1063170</v>
      </c>
      <c r="U2" s="402">
        <f t="shared" si="0"/>
        <v>1124865</v>
      </c>
      <c r="V2" s="402">
        <f t="shared" si="0"/>
        <v>1054065</v>
      </c>
      <c r="W2" s="272">
        <f t="shared" si="0"/>
        <v>1150000</v>
      </c>
      <c r="X2" s="273">
        <f t="shared" ref="X2:X4" si="1">SUM(L2:W2)</f>
        <v>13482055</v>
      </c>
      <c r="Z2" s="70"/>
    </row>
    <row r="3" spans="1:26" s="1" customFormat="1">
      <c r="A3" s="112"/>
      <c r="B3" s="72"/>
      <c r="C3" s="551"/>
      <c r="D3" s="552"/>
      <c r="E3" s="552"/>
      <c r="F3" s="552"/>
      <c r="G3" s="552"/>
      <c r="H3" s="552"/>
      <c r="I3" s="552"/>
      <c r="J3" s="553"/>
      <c r="K3" s="144" t="s">
        <v>21</v>
      </c>
      <c r="L3" s="334">
        <f>L30</f>
        <v>866552</v>
      </c>
      <c r="M3" s="403">
        <f t="shared" si="0"/>
        <v>863755</v>
      </c>
      <c r="N3" s="403">
        <f t="shared" si="0"/>
        <v>869534</v>
      </c>
      <c r="O3" s="403">
        <f t="shared" si="0"/>
        <v>867547</v>
      </c>
      <c r="P3" s="403">
        <f t="shared" si="0"/>
        <v>862003</v>
      </c>
      <c r="Q3" s="403">
        <f t="shared" si="0"/>
        <v>864804</v>
      </c>
      <c r="R3" s="403">
        <f t="shared" si="0"/>
        <v>866337</v>
      </c>
      <c r="S3" s="403">
        <f t="shared" si="0"/>
        <v>852634</v>
      </c>
      <c r="T3" s="403">
        <f t="shared" si="0"/>
        <v>862421</v>
      </c>
      <c r="U3" s="403">
        <f t="shared" si="0"/>
        <v>862562</v>
      </c>
      <c r="V3" s="403">
        <f t="shared" si="0"/>
        <v>855801</v>
      </c>
      <c r="W3" s="106">
        <f t="shared" si="0"/>
        <v>866552</v>
      </c>
      <c r="X3" s="40">
        <f t="shared" si="1"/>
        <v>10360502</v>
      </c>
      <c r="Z3" s="70"/>
    </row>
    <row r="4" spans="1:26" s="1" customFormat="1">
      <c r="A4" s="112"/>
      <c r="B4" s="72"/>
      <c r="C4" s="551"/>
      <c r="D4" s="552"/>
      <c r="E4" s="552"/>
      <c r="F4" s="552"/>
      <c r="G4" s="552"/>
      <c r="H4" s="552"/>
      <c r="I4" s="552"/>
      <c r="J4" s="553"/>
      <c r="K4" s="268" t="s">
        <v>22</v>
      </c>
      <c r="L4" s="381">
        <f t="shared" ref="L4:W4" si="2">L2-L3</f>
        <v>283448</v>
      </c>
      <c r="M4" s="433">
        <f t="shared" si="2"/>
        <v>263395</v>
      </c>
      <c r="N4" s="433">
        <f t="shared" si="2"/>
        <v>280466</v>
      </c>
      <c r="O4" s="433">
        <f t="shared" si="2"/>
        <v>282453</v>
      </c>
      <c r="P4" s="433">
        <f t="shared" si="2"/>
        <v>287997</v>
      </c>
      <c r="Q4" s="433">
        <f t="shared" si="2"/>
        <v>285196</v>
      </c>
      <c r="R4" s="433">
        <f t="shared" si="2"/>
        <v>283663</v>
      </c>
      <c r="S4" s="433">
        <f t="shared" si="2"/>
        <v>210171</v>
      </c>
      <c r="T4" s="433">
        <f t="shared" si="2"/>
        <v>200749</v>
      </c>
      <c r="U4" s="433">
        <f t="shared" si="2"/>
        <v>262303</v>
      </c>
      <c r="V4" s="433">
        <f t="shared" si="2"/>
        <v>198264</v>
      </c>
      <c r="W4" s="269">
        <f t="shared" si="2"/>
        <v>283448</v>
      </c>
      <c r="X4" s="270">
        <f t="shared" si="1"/>
        <v>3121553</v>
      </c>
      <c r="Z4" s="70"/>
    </row>
    <row r="5" spans="1:26" ht="12.75" customHeight="1">
      <c r="A5" s="115">
        <v>2019019</v>
      </c>
      <c r="C5" s="641">
        <v>1</v>
      </c>
      <c r="D5" s="644" t="s">
        <v>59</v>
      </c>
      <c r="E5" s="644"/>
      <c r="F5" s="644"/>
      <c r="G5" s="672" t="s">
        <v>151</v>
      </c>
      <c r="H5" s="647"/>
      <c r="I5" s="647"/>
      <c r="J5" s="628" t="s">
        <v>55</v>
      </c>
      <c r="K5" s="180" t="s">
        <v>23</v>
      </c>
      <c r="L5" s="378">
        <f t="shared" ref="L5:W5" si="3">L6+L7</f>
        <v>730000</v>
      </c>
      <c r="M5" s="406">
        <f t="shared" si="3"/>
        <v>707150</v>
      </c>
      <c r="N5" s="406">
        <f t="shared" si="3"/>
        <v>730000</v>
      </c>
      <c r="O5" s="406">
        <f t="shared" si="3"/>
        <v>730000</v>
      </c>
      <c r="P5" s="406">
        <f t="shared" si="3"/>
        <v>730000</v>
      </c>
      <c r="Q5" s="406">
        <f t="shared" si="3"/>
        <v>730000</v>
      </c>
      <c r="R5" s="406">
        <f t="shared" si="3"/>
        <v>730000</v>
      </c>
      <c r="S5" s="406">
        <f t="shared" si="3"/>
        <v>654595</v>
      </c>
      <c r="T5" s="406">
        <f t="shared" si="3"/>
        <v>643170</v>
      </c>
      <c r="U5" s="406">
        <f t="shared" si="3"/>
        <v>704865</v>
      </c>
      <c r="V5" s="406">
        <f t="shared" si="3"/>
        <v>723145</v>
      </c>
      <c r="W5" s="94">
        <f t="shared" si="3"/>
        <v>730000</v>
      </c>
      <c r="X5" s="122">
        <f>SUM(L5:W5)</f>
        <v>8542925</v>
      </c>
      <c r="Z5" s="69"/>
    </row>
    <row r="6" spans="1:26" ht="13.5" customHeight="1">
      <c r="A6" s="114">
        <f t="shared" ref="A6:A16" si="4">+A5</f>
        <v>2019019</v>
      </c>
      <c r="B6" s="74"/>
      <c r="C6" s="642"/>
      <c r="D6" s="645"/>
      <c r="E6" s="645"/>
      <c r="F6" s="645"/>
      <c r="G6" s="673"/>
      <c r="H6" s="648"/>
      <c r="I6" s="648"/>
      <c r="J6" s="629"/>
      <c r="K6" s="155" t="s">
        <v>24</v>
      </c>
      <c r="L6" s="354">
        <v>730000</v>
      </c>
      <c r="M6" s="297">
        <v>707150</v>
      </c>
      <c r="N6" s="297">
        <v>730000</v>
      </c>
      <c r="O6" s="297">
        <v>730000</v>
      </c>
      <c r="P6" s="297">
        <v>730000</v>
      </c>
      <c r="Q6" s="297">
        <v>730000</v>
      </c>
      <c r="R6" s="297">
        <v>730000</v>
      </c>
      <c r="S6" s="297">
        <v>654595</v>
      </c>
      <c r="T6" s="297">
        <v>643170</v>
      </c>
      <c r="U6" s="297">
        <v>704865</v>
      </c>
      <c r="V6" s="297">
        <v>723145</v>
      </c>
      <c r="W6" s="91">
        <v>730000</v>
      </c>
      <c r="X6" s="58">
        <f>SUM(L6:W6)</f>
        <v>8542925</v>
      </c>
      <c r="Y6" s="69"/>
      <c r="Z6" s="69"/>
    </row>
    <row r="7" spans="1:26" ht="13.5" customHeight="1">
      <c r="A7" s="114">
        <f t="shared" si="4"/>
        <v>2019019</v>
      </c>
      <c r="B7" s="74"/>
      <c r="C7" s="642"/>
      <c r="D7" s="645"/>
      <c r="E7" s="645"/>
      <c r="F7" s="645"/>
      <c r="G7" s="673"/>
      <c r="H7" s="648"/>
      <c r="I7" s="648"/>
      <c r="J7" s="629"/>
      <c r="K7" s="155" t="s">
        <v>25</v>
      </c>
      <c r="L7" s="354"/>
      <c r="M7" s="297"/>
      <c r="N7" s="297"/>
      <c r="O7" s="297"/>
      <c r="P7" s="297"/>
      <c r="Q7" s="297"/>
      <c r="R7" s="297"/>
      <c r="S7" s="297"/>
      <c r="T7" s="297"/>
      <c r="U7" s="297"/>
      <c r="V7" s="297"/>
      <c r="W7" s="93"/>
      <c r="X7" s="58">
        <v>0</v>
      </c>
      <c r="Z7" s="69"/>
    </row>
    <row r="8" spans="1:26" ht="13.5" customHeight="1">
      <c r="A8" s="114">
        <f t="shared" si="4"/>
        <v>2019019</v>
      </c>
      <c r="B8" s="74"/>
      <c r="C8" s="642"/>
      <c r="D8" s="645"/>
      <c r="E8" s="645"/>
      <c r="F8" s="645"/>
      <c r="G8" s="673"/>
      <c r="H8" s="648"/>
      <c r="I8" s="648"/>
      <c r="J8" s="629"/>
      <c r="K8" s="156" t="s">
        <v>26</v>
      </c>
      <c r="L8" s="355">
        <f t="shared" ref="L8:W8" si="5">SUM(L9:L15)</f>
        <v>571714</v>
      </c>
      <c r="M8" s="411">
        <f t="shared" si="5"/>
        <v>568917</v>
      </c>
      <c r="N8" s="411">
        <f t="shared" si="5"/>
        <v>574696</v>
      </c>
      <c r="O8" s="411">
        <f t="shared" si="5"/>
        <v>572709</v>
      </c>
      <c r="P8" s="411">
        <f t="shared" si="5"/>
        <v>571714</v>
      </c>
      <c r="Q8" s="411">
        <f t="shared" si="5"/>
        <v>575346</v>
      </c>
      <c r="R8" s="411">
        <f t="shared" si="5"/>
        <v>576879</v>
      </c>
      <c r="S8" s="411">
        <f t="shared" si="5"/>
        <v>570914</v>
      </c>
      <c r="T8" s="411">
        <f t="shared" si="5"/>
        <v>570560</v>
      </c>
      <c r="U8" s="411">
        <f t="shared" si="5"/>
        <v>571958</v>
      </c>
      <c r="V8" s="411">
        <f t="shared" si="5"/>
        <v>573135</v>
      </c>
      <c r="W8" s="108">
        <f t="shared" si="5"/>
        <v>571714</v>
      </c>
      <c r="X8" s="59">
        <f t="shared" ref="X8:X15" si="6">SUM(L8:W8)</f>
        <v>6870256</v>
      </c>
      <c r="Z8" s="69"/>
    </row>
    <row r="9" spans="1:26" ht="13.5" customHeight="1">
      <c r="A9" s="114">
        <f t="shared" si="4"/>
        <v>2019019</v>
      </c>
      <c r="B9" s="74"/>
      <c r="C9" s="642"/>
      <c r="D9" s="645"/>
      <c r="E9" s="645"/>
      <c r="F9" s="645"/>
      <c r="G9" s="673"/>
      <c r="H9" s="648"/>
      <c r="I9" s="648"/>
      <c r="J9" s="629"/>
      <c r="K9" s="157" t="s">
        <v>27</v>
      </c>
      <c r="L9" s="343">
        <v>491400</v>
      </c>
      <c r="M9" s="297">
        <v>491400</v>
      </c>
      <c r="N9" s="297">
        <v>490200</v>
      </c>
      <c r="O9" s="297">
        <v>492600</v>
      </c>
      <c r="P9" s="297">
        <v>491400</v>
      </c>
      <c r="Q9" s="297">
        <v>490600</v>
      </c>
      <c r="R9" s="297">
        <v>492600</v>
      </c>
      <c r="S9" s="297">
        <v>487178</v>
      </c>
      <c r="T9" s="297">
        <v>491400</v>
      </c>
      <c r="U9" s="297">
        <v>491400</v>
      </c>
      <c r="V9" s="297">
        <v>491000</v>
      </c>
      <c r="W9" s="91">
        <v>491400</v>
      </c>
      <c r="X9" s="58">
        <f t="shared" si="6"/>
        <v>5892578</v>
      </c>
      <c r="Y9" s="69"/>
      <c r="Z9" s="69"/>
    </row>
    <row r="10" spans="1:26" ht="13.5" customHeight="1">
      <c r="A10" s="114">
        <f t="shared" si="4"/>
        <v>2019019</v>
      </c>
      <c r="B10" s="74"/>
      <c r="C10" s="642"/>
      <c r="D10" s="645"/>
      <c r="E10" s="645"/>
      <c r="F10" s="645"/>
      <c r="G10" s="673"/>
      <c r="H10" s="648"/>
      <c r="I10" s="648"/>
      <c r="J10" s="629"/>
      <c r="K10" s="174" t="s">
        <v>34</v>
      </c>
      <c r="L10" s="343"/>
      <c r="M10" s="297"/>
      <c r="N10" s="297"/>
      <c r="O10" s="297"/>
      <c r="P10" s="297"/>
      <c r="Q10" s="297"/>
      <c r="R10" s="297"/>
      <c r="S10" s="297"/>
      <c r="T10" s="297"/>
      <c r="U10" s="297"/>
      <c r="V10" s="297"/>
      <c r="W10" s="91"/>
      <c r="X10" s="58">
        <f t="shared" si="6"/>
        <v>0</v>
      </c>
      <c r="Y10" s="69"/>
      <c r="Z10" s="69"/>
    </row>
    <row r="11" spans="1:26" ht="13.5" customHeight="1">
      <c r="A11" s="114">
        <f t="shared" si="4"/>
        <v>2019019</v>
      </c>
      <c r="B11" s="74"/>
      <c r="C11" s="642"/>
      <c r="D11" s="645"/>
      <c r="E11" s="645"/>
      <c r="F11" s="645"/>
      <c r="G11" s="673"/>
      <c r="H11" s="648"/>
      <c r="I11" s="648"/>
      <c r="J11" s="629"/>
      <c r="K11" s="157" t="s">
        <v>28</v>
      </c>
      <c r="L11" s="343">
        <v>5536</v>
      </c>
      <c r="M11" s="297">
        <v>2768</v>
      </c>
      <c r="N11" s="297">
        <v>9688</v>
      </c>
      <c r="O11" s="297">
        <v>5320</v>
      </c>
      <c r="P11" s="297">
        <v>5536</v>
      </c>
      <c r="Q11" s="297">
        <v>5536</v>
      </c>
      <c r="R11" s="297">
        <v>5054</v>
      </c>
      <c r="S11" s="297">
        <v>4572</v>
      </c>
      <c r="T11" s="297">
        <v>0</v>
      </c>
      <c r="U11" s="297">
        <v>1384</v>
      </c>
      <c r="V11" s="297">
        <v>2768</v>
      </c>
      <c r="W11" s="91">
        <v>5536</v>
      </c>
      <c r="X11" s="58">
        <f t="shared" si="6"/>
        <v>53698</v>
      </c>
      <c r="Y11" s="69"/>
      <c r="Z11" s="69"/>
    </row>
    <row r="12" spans="1:26" ht="13.5" customHeight="1">
      <c r="A12" s="114">
        <f t="shared" si="4"/>
        <v>2019019</v>
      </c>
      <c r="B12" s="74"/>
      <c r="C12" s="642"/>
      <c r="D12" s="645"/>
      <c r="E12" s="645"/>
      <c r="F12" s="645"/>
      <c r="G12" s="673"/>
      <c r="H12" s="648"/>
      <c r="I12" s="648"/>
      <c r="J12" s="629"/>
      <c r="K12" s="157" t="s">
        <v>29</v>
      </c>
      <c r="L12" s="343">
        <v>26555</v>
      </c>
      <c r="M12" s="297">
        <v>26555</v>
      </c>
      <c r="N12" s="297">
        <v>26555</v>
      </c>
      <c r="O12" s="297">
        <v>26555</v>
      </c>
      <c r="P12" s="297">
        <v>26555</v>
      </c>
      <c r="Q12" s="297">
        <v>28250</v>
      </c>
      <c r="R12" s="297">
        <v>28250</v>
      </c>
      <c r="S12" s="297">
        <v>28250</v>
      </c>
      <c r="T12" s="297">
        <v>28250</v>
      </c>
      <c r="U12" s="297">
        <v>28250</v>
      </c>
      <c r="V12" s="297">
        <v>28250</v>
      </c>
      <c r="W12" s="91">
        <v>26555</v>
      </c>
      <c r="X12" s="58">
        <f t="shared" si="6"/>
        <v>328830</v>
      </c>
      <c r="Y12" s="69"/>
      <c r="Z12" s="69"/>
    </row>
    <row r="13" spans="1:26" ht="13.5" customHeight="1">
      <c r="A13" s="114">
        <f t="shared" si="4"/>
        <v>2019019</v>
      </c>
      <c r="B13" s="74"/>
      <c r="C13" s="642"/>
      <c r="D13" s="645"/>
      <c r="E13" s="645"/>
      <c r="F13" s="645"/>
      <c r="G13" s="673"/>
      <c r="H13" s="648"/>
      <c r="I13" s="648"/>
      <c r="J13" s="629"/>
      <c r="K13" s="157" t="s">
        <v>30</v>
      </c>
      <c r="L13" s="343">
        <v>43005</v>
      </c>
      <c r="M13" s="297">
        <v>43005</v>
      </c>
      <c r="N13" s="297">
        <v>43005</v>
      </c>
      <c r="O13" s="297">
        <v>43005</v>
      </c>
      <c r="P13" s="297">
        <v>43005</v>
      </c>
      <c r="Q13" s="297">
        <v>45750</v>
      </c>
      <c r="R13" s="297">
        <v>45750</v>
      </c>
      <c r="S13" s="297">
        <v>45750</v>
      </c>
      <c r="T13" s="297">
        <v>45750</v>
      </c>
      <c r="U13" s="297">
        <v>45750</v>
      </c>
      <c r="V13" s="297">
        <v>45750</v>
      </c>
      <c r="W13" s="91">
        <v>43005</v>
      </c>
      <c r="X13" s="58">
        <f t="shared" si="6"/>
        <v>532530</v>
      </c>
      <c r="Y13" s="69"/>
      <c r="Z13" s="69"/>
    </row>
    <row r="14" spans="1:26" ht="13.5" customHeight="1">
      <c r="A14" s="114">
        <f t="shared" si="4"/>
        <v>2019019</v>
      </c>
      <c r="B14" s="74"/>
      <c r="C14" s="642"/>
      <c r="D14" s="645"/>
      <c r="E14" s="645"/>
      <c r="F14" s="645"/>
      <c r="G14" s="673"/>
      <c r="H14" s="648"/>
      <c r="I14" s="648"/>
      <c r="J14" s="629"/>
      <c r="K14" s="157" t="s">
        <v>31</v>
      </c>
      <c r="L14" s="343">
        <v>2485</v>
      </c>
      <c r="M14" s="297">
        <v>2471</v>
      </c>
      <c r="N14" s="297">
        <v>2499</v>
      </c>
      <c r="O14" s="297">
        <v>2490</v>
      </c>
      <c r="P14" s="297">
        <v>2485</v>
      </c>
      <c r="Q14" s="297">
        <v>2481</v>
      </c>
      <c r="R14" s="297">
        <v>2488</v>
      </c>
      <c r="S14" s="297">
        <v>2459</v>
      </c>
      <c r="T14" s="297">
        <v>2457</v>
      </c>
      <c r="U14" s="297">
        <v>2464</v>
      </c>
      <c r="V14" s="297">
        <v>2556</v>
      </c>
      <c r="W14" s="91">
        <v>2485</v>
      </c>
      <c r="X14" s="58">
        <f t="shared" si="6"/>
        <v>29820</v>
      </c>
      <c r="Y14" s="69"/>
      <c r="Z14" s="69"/>
    </row>
    <row r="15" spans="1:26" ht="13.5" customHeight="1">
      <c r="A15" s="114">
        <f t="shared" si="4"/>
        <v>2019019</v>
      </c>
      <c r="B15" s="74"/>
      <c r="C15" s="642"/>
      <c r="D15" s="645"/>
      <c r="E15" s="645"/>
      <c r="F15" s="645"/>
      <c r="G15" s="673"/>
      <c r="H15" s="648"/>
      <c r="I15" s="648"/>
      <c r="J15" s="629"/>
      <c r="K15" s="157" t="s">
        <v>32</v>
      </c>
      <c r="L15" s="343">
        <v>2733</v>
      </c>
      <c r="M15" s="297">
        <v>2718</v>
      </c>
      <c r="N15" s="297">
        <v>2749</v>
      </c>
      <c r="O15" s="297">
        <v>2739</v>
      </c>
      <c r="P15" s="297">
        <v>2733</v>
      </c>
      <c r="Q15" s="297">
        <v>2729</v>
      </c>
      <c r="R15" s="297">
        <v>2737</v>
      </c>
      <c r="S15" s="297">
        <v>2705</v>
      </c>
      <c r="T15" s="297">
        <v>2703</v>
      </c>
      <c r="U15" s="297">
        <v>2710</v>
      </c>
      <c r="V15" s="297">
        <v>2811</v>
      </c>
      <c r="W15" s="91">
        <v>2733</v>
      </c>
      <c r="X15" s="58">
        <f t="shared" si="6"/>
        <v>32800</v>
      </c>
      <c r="Y15" s="69"/>
      <c r="Z15" s="69"/>
    </row>
    <row r="16" spans="1:26" ht="14.25" customHeight="1">
      <c r="A16" s="114">
        <f t="shared" si="4"/>
        <v>2019019</v>
      </c>
      <c r="B16" s="74"/>
      <c r="C16" s="654"/>
      <c r="D16" s="655"/>
      <c r="E16" s="655"/>
      <c r="F16" s="655"/>
      <c r="G16" s="674"/>
      <c r="H16" s="652"/>
      <c r="I16" s="652"/>
      <c r="J16" s="630"/>
      <c r="K16" s="158" t="s">
        <v>33</v>
      </c>
      <c r="L16" s="379">
        <f t="shared" ref="L16:X16" si="7">L5-L8</f>
        <v>158286</v>
      </c>
      <c r="M16" s="405">
        <f t="shared" si="7"/>
        <v>138233</v>
      </c>
      <c r="N16" s="405">
        <f t="shared" si="7"/>
        <v>155304</v>
      </c>
      <c r="O16" s="405">
        <f t="shared" si="7"/>
        <v>157291</v>
      </c>
      <c r="P16" s="405">
        <f t="shared" si="7"/>
        <v>158286</v>
      </c>
      <c r="Q16" s="405">
        <f t="shared" si="7"/>
        <v>154654</v>
      </c>
      <c r="R16" s="405">
        <f t="shared" si="7"/>
        <v>153121</v>
      </c>
      <c r="S16" s="405">
        <f t="shared" si="7"/>
        <v>83681</v>
      </c>
      <c r="T16" s="405">
        <f t="shared" si="7"/>
        <v>72610</v>
      </c>
      <c r="U16" s="405">
        <f t="shared" si="7"/>
        <v>132907</v>
      </c>
      <c r="V16" s="405">
        <f t="shared" si="7"/>
        <v>150010</v>
      </c>
      <c r="W16" s="90">
        <f t="shared" si="7"/>
        <v>158286</v>
      </c>
      <c r="X16" s="43">
        <f t="shared" si="7"/>
        <v>1672669</v>
      </c>
      <c r="Z16" s="69"/>
    </row>
    <row r="17" spans="1:26" ht="12.75" customHeight="1">
      <c r="A17" s="243">
        <v>2024019</v>
      </c>
      <c r="C17" s="641">
        <f t="shared" ref="C17" si="8">C5+1</f>
        <v>2</v>
      </c>
      <c r="D17" s="644" t="s">
        <v>59</v>
      </c>
      <c r="E17" s="644"/>
      <c r="F17" s="644"/>
      <c r="G17" s="672" t="s">
        <v>151</v>
      </c>
      <c r="H17" s="647"/>
      <c r="I17" s="647"/>
      <c r="J17" s="628" t="s">
        <v>55</v>
      </c>
      <c r="K17" s="180" t="s">
        <v>23</v>
      </c>
      <c r="L17" s="378">
        <f t="shared" ref="L17:W17" si="9">L18+L19</f>
        <v>420000</v>
      </c>
      <c r="M17" s="406">
        <f t="shared" si="9"/>
        <v>420000</v>
      </c>
      <c r="N17" s="406">
        <f t="shared" si="9"/>
        <v>420000</v>
      </c>
      <c r="O17" s="406">
        <f t="shared" si="9"/>
        <v>420000</v>
      </c>
      <c r="P17" s="406">
        <f t="shared" si="9"/>
        <v>420000</v>
      </c>
      <c r="Q17" s="406">
        <f t="shared" si="9"/>
        <v>420000</v>
      </c>
      <c r="R17" s="406">
        <f t="shared" si="9"/>
        <v>420000</v>
      </c>
      <c r="S17" s="406">
        <f t="shared" si="9"/>
        <v>408210</v>
      </c>
      <c r="T17" s="406">
        <f t="shared" si="9"/>
        <v>420000</v>
      </c>
      <c r="U17" s="406">
        <f t="shared" si="9"/>
        <v>420000</v>
      </c>
      <c r="V17" s="406">
        <f t="shared" si="9"/>
        <v>330920</v>
      </c>
      <c r="W17" s="94">
        <f t="shared" si="9"/>
        <v>420000</v>
      </c>
      <c r="X17" s="122">
        <f>SUM(L17:W17)</f>
        <v>4939130</v>
      </c>
      <c r="Z17" s="69"/>
    </row>
    <row r="18" spans="1:26" ht="13.5" customHeight="1">
      <c r="A18" s="114">
        <f>+A17</f>
        <v>2024019</v>
      </c>
      <c r="B18" s="74">
        <f>+B17</f>
        <v>0</v>
      </c>
      <c r="C18" s="642"/>
      <c r="D18" s="645"/>
      <c r="E18" s="645"/>
      <c r="F18" s="645"/>
      <c r="G18" s="673"/>
      <c r="H18" s="648"/>
      <c r="I18" s="648"/>
      <c r="J18" s="629"/>
      <c r="K18" s="155" t="s">
        <v>24</v>
      </c>
      <c r="L18" s="354">
        <v>420000</v>
      </c>
      <c r="M18" s="297">
        <v>420000</v>
      </c>
      <c r="N18" s="297">
        <v>420000</v>
      </c>
      <c r="O18" s="297">
        <v>420000</v>
      </c>
      <c r="P18" s="297">
        <v>420000</v>
      </c>
      <c r="Q18" s="297">
        <v>420000</v>
      </c>
      <c r="R18" s="297">
        <v>420000</v>
      </c>
      <c r="S18" s="297">
        <v>408210</v>
      </c>
      <c r="T18" s="297">
        <v>420000</v>
      </c>
      <c r="U18" s="297">
        <v>420000</v>
      </c>
      <c r="V18" s="297">
        <v>330920</v>
      </c>
      <c r="W18" s="91">
        <v>420000</v>
      </c>
      <c r="X18" s="58">
        <f>SUM(L18:W18)</f>
        <v>4939130</v>
      </c>
      <c r="Y18" s="69"/>
      <c r="Z18" s="69"/>
    </row>
    <row r="19" spans="1:26" ht="13.5" customHeight="1">
      <c r="A19" s="114">
        <f>+A18</f>
        <v>2024019</v>
      </c>
      <c r="B19" s="74">
        <f t="shared" ref="B19:B27" si="10">+B18</f>
        <v>0</v>
      </c>
      <c r="C19" s="642"/>
      <c r="D19" s="645"/>
      <c r="E19" s="645"/>
      <c r="F19" s="645"/>
      <c r="G19" s="673"/>
      <c r="H19" s="648"/>
      <c r="I19" s="648"/>
      <c r="J19" s="629"/>
      <c r="K19" s="155" t="s">
        <v>25</v>
      </c>
      <c r="L19" s="354"/>
      <c r="M19" s="297"/>
      <c r="N19" s="297"/>
      <c r="O19" s="297"/>
      <c r="P19" s="297"/>
      <c r="Q19" s="297"/>
      <c r="R19" s="297"/>
      <c r="S19" s="297"/>
      <c r="T19" s="297"/>
      <c r="U19" s="297"/>
      <c r="V19" s="297"/>
      <c r="W19" s="93"/>
      <c r="X19" s="58">
        <v>0</v>
      </c>
      <c r="Z19" s="69"/>
    </row>
    <row r="20" spans="1:26" ht="13.5" customHeight="1">
      <c r="A20" s="114">
        <f t="shared" ref="A20:A27" si="11">+A19</f>
        <v>2024019</v>
      </c>
      <c r="B20" s="74">
        <f t="shared" si="10"/>
        <v>0</v>
      </c>
      <c r="C20" s="642"/>
      <c r="D20" s="645"/>
      <c r="E20" s="645"/>
      <c r="F20" s="645"/>
      <c r="G20" s="673"/>
      <c r="H20" s="648"/>
      <c r="I20" s="648"/>
      <c r="J20" s="629"/>
      <c r="K20" s="156" t="s">
        <v>26</v>
      </c>
      <c r="L20" s="355">
        <f t="shared" ref="L20:W20" si="12">SUM(L21:L27)</f>
        <v>294838</v>
      </c>
      <c r="M20" s="411">
        <f t="shared" si="12"/>
        <v>294838</v>
      </c>
      <c r="N20" s="411">
        <f t="shared" si="12"/>
        <v>294838</v>
      </c>
      <c r="O20" s="411">
        <f t="shared" si="12"/>
        <v>294838</v>
      </c>
      <c r="P20" s="411">
        <f t="shared" si="12"/>
        <v>290289</v>
      </c>
      <c r="Q20" s="411">
        <f t="shared" si="12"/>
        <v>289458</v>
      </c>
      <c r="R20" s="411">
        <f t="shared" si="12"/>
        <v>289458</v>
      </c>
      <c r="S20" s="411">
        <f t="shared" si="12"/>
        <v>281720</v>
      </c>
      <c r="T20" s="411">
        <f t="shared" si="12"/>
        <v>291861</v>
      </c>
      <c r="U20" s="411">
        <f t="shared" si="12"/>
        <v>290604</v>
      </c>
      <c r="V20" s="411">
        <f t="shared" si="12"/>
        <v>282666</v>
      </c>
      <c r="W20" s="108">
        <f t="shared" si="12"/>
        <v>294838</v>
      </c>
      <c r="X20" s="59">
        <f t="shared" ref="X20:X27" si="13">SUM(L20:W20)</f>
        <v>3490246</v>
      </c>
      <c r="Z20" s="69"/>
    </row>
    <row r="21" spans="1:26" ht="13.5" customHeight="1">
      <c r="A21" s="114">
        <f t="shared" si="11"/>
        <v>2024019</v>
      </c>
      <c r="B21" s="74">
        <f t="shared" si="10"/>
        <v>0</v>
      </c>
      <c r="C21" s="642"/>
      <c r="D21" s="645"/>
      <c r="E21" s="645"/>
      <c r="F21" s="645"/>
      <c r="G21" s="673"/>
      <c r="H21" s="648"/>
      <c r="I21" s="648"/>
      <c r="J21" s="629"/>
      <c r="K21" s="157" t="s">
        <v>27</v>
      </c>
      <c r="L21" s="343">
        <v>240000</v>
      </c>
      <c r="M21" s="297">
        <v>240000</v>
      </c>
      <c r="N21" s="297">
        <v>240000</v>
      </c>
      <c r="O21" s="297">
        <v>240000</v>
      </c>
      <c r="P21" s="297">
        <v>240000</v>
      </c>
      <c r="Q21" s="297">
        <v>240000</v>
      </c>
      <c r="R21" s="297">
        <v>240000</v>
      </c>
      <c r="S21" s="297">
        <v>234808</v>
      </c>
      <c r="T21" s="297">
        <v>243200</v>
      </c>
      <c r="U21" s="297">
        <v>243600</v>
      </c>
      <c r="V21" s="297">
        <v>237208</v>
      </c>
      <c r="W21" s="91">
        <v>240000</v>
      </c>
      <c r="X21" s="58">
        <f t="shared" si="13"/>
        <v>2878816</v>
      </c>
      <c r="Y21" s="69"/>
      <c r="Z21" s="69"/>
    </row>
    <row r="22" spans="1:26" ht="13.5" customHeight="1">
      <c r="A22" s="114">
        <f t="shared" si="11"/>
        <v>2024019</v>
      </c>
      <c r="B22" s="74">
        <f t="shared" si="10"/>
        <v>0</v>
      </c>
      <c r="C22" s="642"/>
      <c r="D22" s="645"/>
      <c r="E22" s="645"/>
      <c r="F22" s="645"/>
      <c r="G22" s="673"/>
      <c r="H22" s="648"/>
      <c r="I22" s="648"/>
      <c r="J22" s="629"/>
      <c r="K22" s="174" t="s">
        <v>34</v>
      </c>
      <c r="L22" s="343"/>
      <c r="M22" s="297"/>
      <c r="N22" s="297"/>
      <c r="O22" s="297"/>
      <c r="P22" s="297"/>
      <c r="Q22" s="297"/>
      <c r="R22" s="297"/>
      <c r="S22" s="297"/>
      <c r="T22" s="297"/>
      <c r="U22" s="297"/>
      <c r="V22" s="297"/>
      <c r="W22" s="91"/>
      <c r="X22" s="58">
        <f t="shared" si="13"/>
        <v>0</v>
      </c>
      <c r="Y22" s="69"/>
      <c r="Z22" s="69"/>
    </row>
    <row r="23" spans="1:26" ht="13.5" customHeight="1">
      <c r="A23" s="114">
        <f t="shared" si="11"/>
        <v>2024019</v>
      </c>
      <c r="B23" s="74">
        <f t="shared" si="10"/>
        <v>0</v>
      </c>
      <c r="C23" s="642"/>
      <c r="D23" s="645"/>
      <c r="E23" s="645"/>
      <c r="F23" s="645"/>
      <c r="G23" s="673"/>
      <c r="H23" s="648"/>
      <c r="I23" s="648"/>
      <c r="J23" s="629"/>
      <c r="K23" s="157" t="s">
        <v>28</v>
      </c>
      <c r="L23" s="343">
        <v>16010</v>
      </c>
      <c r="M23" s="297">
        <v>16010</v>
      </c>
      <c r="N23" s="297">
        <v>16010</v>
      </c>
      <c r="O23" s="297">
        <v>16010</v>
      </c>
      <c r="P23" s="297">
        <v>11508</v>
      </c>
      <c r="Q23" s="297">
        <v>10686</v>
      </c>
      <c r="R23" s="297">
        <v>10686</v>
      </c>
      <c r="S23" s="297">
        <v>8220</v>
      </c>
      <c r="T23" s="297">
        <v>9864</v>
      </c>
      <c r="U23" s="297">
        <v>8220</v>
      </c>
      <c r="V23" s="297">
        <v>6576</v>
      </c>
      <c r="W23" s="91">
        <v>16010</v>
      </c>
      <c r="X23" s="58">
        <f t="shared" si="13"/>
        <v>145810</v>
      </c>
      <c r="Y23" s="69"/>
      <c r="Z23" s="69"/>
    </row>
    <row r="24" spans="1:26" ht="13.5" customHeight="1">
      <c r="A24" s="114">
        <f t="shared" si="11"/>
        <v>2024019</v>
      </c>
      <c r="B24" s="74">
        <f t="shared" si="10"/>
        <v>0</v>
      </c>
      <c r="C24" s="642"/>
      <c r="D24" s="645"/>
      <c r="E24" s="645"/>
      <c r="F24" s="645"/>
      <c r="G24" s="673"/>
      <c r="H24" s="648"/>
      <c r="I24" s="648"/>
      <c r="J24" s="629"/>
      <c r="K24" s="157" t="s">
        <v>29</v>
      </c>
      <c r="L24" s="343">
        <v>12350</v>
      </c>
      <c r="M24" s="297">
        <v>12350</v>
      </c>
      <c r="N24" s="297">
        <v>12350</v>
      </c>
      <c r="O24" s="297">
        <v>12350</v>
      </c>
      <c r="P24" s="297">
        <v>12350</v>
      </c>
      <c r="Q24" s="297">
        <v>12350</v>
      </c>
      <c r="R24" s="297">
        <v>12350</v>
      </c>
      <c r="S24" s="297">
        <v>12350</v>
      </c>
      <c r="T24" s="297">
        <v>12350</v>
      </c>
      <c r="U24" s="297">
        <v>12350</v>
      </c>
      <c r="V24" s="297">
        <v>12350</v>
      </c>
      <c r="W24" s="91">
        <v>12350</v>
      </c>
      <c r="X24" s="58">
        <f t="shared" si="13"/>
        <v>148200</v>
      </c>
      <c r="Y24" s="69"/>
      <c r="Z24" s="69"/>
    </row>
    <row r="25" spans="1:26" ht="13.5" customHeight="1">
      <c r="A25" s="114">
        <f t="shared" si="11"/>
        <v>2024019</v>
      </c>
      <c r="B25" s="74">
        <f t="shared" si="10"/>
        <v>0</v>
      </c>
      <c r="C25" s="642"/>
      <c r="D25" s="645"/>
      <c r="E25" s="645"/>
      <c r="F25" s="645"/>
      <c r="G25" s="673"/>
      <c r="H25" s="648"/>
      <c r="I25" s="648"/>
      <c r="J25" s="629"/>
      <c r="K25" s="157" t="s">
        <v>30</v>
      </c>
      <c r="L25" s="343">
        <v>23790</v>
      </c>
      <c r="M25" s="297">
        <v>23790</v>
      </c>
      <c r="N25" s="297">
        <v>23790</v>
      </c>
      <c r="O25" s="297">
        <v>23790</v>
      </c>
      <c r="P25" s="297">
        <v>23790</v>
      </c>
      <c r="Q25" s="297">
        <v>23790</v>
      </c>
      <c r="R25" s="297">
        <v>23790</v>
      </c>
      <c r="S25" s="297">
        <v>23790</v>
      </c>
      <c r="T25" s="297">
        <v>23790</v>
      </c>
      <c r="U25" s="297">
        <v>23790</v>
      </c>
      <c r="V25" s="297">
        <v>23790</v>
      </c>
      <c r="W25" s="91">
        <v>23790</v>
      </c>
      <c r="X25" s="58">
        <f t="shared" si="13"/>
        <v>285480</v>
      </c>
      <c r="Y25" s="69"/>
      <c r="Z25" s="69"/>
    </row>
    <row r="26" spans="1:26" ht="13.5" customHeight="1">
      <c r="A26" s="114">
        <f t="shared" si="11"/>
        <v>2024019</v>
      </c>
      <c r="B26" s="74">
        <f t="shared" si="10"/>
        <v>0</v>
      </c>
      <c r="C26" s="642"/>
      <c r="D26" s="645"/>
      <c r="E26" s="645"/>
      <c r="F26" s="645"/>
      <c r="G26" s="673"/>
      <c r="H26" s="648"/>
      <c r="I26" s="648"/>
      <c r="J26" s="629"/>
      <c r="K26" s="157" t="s">
        <v>31</v>
      </c>
      <c r="L26" s="343">
        <v>1280</v>
      </c>
      <c r="M26" s="297">
        <v>1280</v>
      </c>
      <c r="N26" s="297">
        <v>1280</v>
      </c>
      <c r="O26" s="297">
        <v>1280</v>
      </c>
      <c r="P26" s="297">
        <v>1258</v>
      </c>
      <c r="Q26" s="297">
        <v>1253</v>
      </c>
      <c r="R26" s="297">
        <v>1253</v>
      </c>
      <c r="S26" s="297">
        <v>1215</v>
      </c>
      <c r="T26" s="297">
        <v>1265</v>
      </c>
      <c r="U26" s="297">
        <v>1259</v>
      </c>
      <c r="V26" s="297">
        <v>1306</v>
      </c>
      <c r="W26" s="91">
        <v>1280</v>
      </c>
      <c r="X26" s="58">
        <f t="shared" si="13"/>
        <v>15209</v>
      </c>
      <c r="Y26" s="69"/>
      <c r="Z26" s="69"/>
    </row>
    <row r="27" spans="1:26" ht="13.5" customHeight="1">
      <c r="A27" s="114">
        <f t="shared" si="11"/>
        <v>2024019</v>
      </c>
      <c r="B27" s="74">
        <f t="shared" si="10"/>
        <v>0</v>
      </c>
      <c r="C27" s="642"/>
      <c r="D27" s="645"/>
      <c r="E27" s="645"/>
      <c r="F27" s="645"/>
      <c r="G27" s="673"/>
      <c r="H27" s="648"/>
      <c r="I27" s="648"/>
      <c r="J27" s="629"/>
      <c r="K27" s="157" t="s">
        <v>32</v>
      </c>
      <c r="L27" s="343">
        <v>1408</v>
      </c>
      <c r="M27" s="297">
        <v>1408</v>
      </c>
      <c r="N27" s="297">
        <v>1408</v>
      </c>
      <c r="O27" s="297">
        <v>1408</v>
      </c>
      <c r="P27" s="297">
        <v>1383</v>
      </c>
      <c r="Q27" s="297">
        <v>1379</v>
      </c>
      <c r="R27" s="297">
        <v>1379</v>
      </c>
      <c r="S27" s="297">
        <v>1337</v>
      </c>
      <c r="T27" s="297">
        <v>1392</v>
      </c>
      <c r="U27" s="297">
        <v>1385</v>
      </c>
      <c r="V27" s="297">
        <v>1436</v>
      </c>
      <c r="W27" s="91">
        <v>1408</v>
      </c>
      <c r="X27" s="58">
        <f t="shared" si="13"/>
        <v>16731</v>
      </c>
      <c r="Y27" s="69"/>
      <c r="Z27" s="69"/>
    </row>
    <row r="28" spans="1:26" ht="14.25" customHeight="1" thickBot="1">
      <c r="A28" s="114">
        <f>+A27</f>
        <v>2024019</v>
      </c>
      <c r="B28" s="74">
        <f>+B27</f>
        <v>0</v>
      </c>
      <c r="C28" s="643"/>
      <c r="D28" s="646"/>
      <c r="E28" s="646"/>
      <c r="F28" s="646"/>
      <c r="G28" s="675"/>
      <c r="H28" s="649"/>
      <c r="I28" s="649"/>
      <c r="J28" s="631"/>
      <c r="K28" s="244" t="s">
        <v>33</v>
      </c>
      <c r="L28" s="380">
        <f t="shared" ref="L28:X28" si="14">L17-L20</f>
        <v>125162</v>
      </c>
      <c r="M28" s="407">
        <f t="shared" si="14"/>
        <v>125162</v>
      </c>
      <c r="N28" s="407">
        <f t="shared" si="14"/>
        <v>125162</v>
      </c>
      <c r="O28" s="407">
        <f t="shared" si="14"/>
        <v>125162</v>
      </c>
      <c r="P28" s="407">
        <f t="shared" si="14"/>
        <v>129711</v>
      </c>
      <c r="Q28" s="407">
        <f t="shared" si="14"/>
        <v>130542</v>
      </c>
      <c r="R28" s="407">
        <f t="shared" si="14"/>
        <v>130542</v>
      </c>
      <c r="S28" s="407">
        <f t="shared" si="14"/>
        <v>126490</v>
      </c>
      <c r="T28" s="407">
        <f t="shared" si="14"/>
        <v>128139</v>
      </c>
      <c r="U28" s="407">
        <f t="shared" si="14"/>
        <v>129396</v>
      </c>
      <c r="V28" s="407">
        <f t="shared" si="14"/>
        <v>48254</v>
      </c>
      <c r="W28" s="253">
        <f t="shared" si="14"/>
        <v>125162</v>
      </c>
      <c r="X28" s="78">
        <f t="shared" si="14"/>
        <v>1448884</v>
      </c>
      <c r="Z28" s="69"/>
    </row>
    <row r="29" spans="1:26" s="1" customFormat="1" ht="12.5" thickTop="1">
      <c r="A29" s="112"/>
      <c r="B29" s="72"/>
      <c r="C29" s="633" t="str">
        <f>C2</f>
        <v>ネットワークサービス本部</v>
      </c>
      <c r="D29" s="634"/>
      <c r="E29" s="634"/>
      <c r="F29" s="634"/>
      <c r="G29" s="634"/>
      <c r="H29" s="634"/>
      <c r="I29" s="634"/>
      <c r="J29" s="635"/>
      <c r="K29" s="164" t="s">
        <v>20</v>
      </c>
      <c r="L29" s="382">
        <f>L5+L17</f>
        <v>1150000</v>
      </c>
      <c r="M29" s="459">
        <f t="shared" ref="M29:W29" si="15">M5+M17</f>
        <v>1127150</v>
      </c>
      <c r="N29" s="459">
        <f t="shared" si="15"/>
        <v>1150000</v>
      </c>
      <c r="O29" s="459">
        <f t="shared" si="15"/>
        <v>1150000</v>
      </c>
      <c r="P29" s="459">
        <f t="shared" si="15"/>
        <v>1150000</v>
      </c>
      <c r="Q29" s="434">
        <f t="shared" si="15"/>
        <v>1150000</v>
      </c>
      <c r="R29" s="434">
        <f t="shared" si="15"/>
        <v>1150000</v>
      </c>
      <c r="S29" s="434">
        <f t="shared" si="15"/>
        <v>1062805</v>
      </c>
      <c r="T29" s="434">
        <f t="shared" si="15"/>
        <v>1063170</v>
      </c>
      <c r="U29" s="434">
        <f t="shared" si="15"/>
        <v>1124865</v>
      </c>
      <c r="V29" s="434">
        <f t="shared" si="15"/>
        <v>1054065</v>
      </c>
      <c r="W29" s="266">
        <f t="shared" si="15"/>
        <v>1150000</v>
      </c>
      <c r="X29" s="77">
        <f>SUM(L29:W29)</f>
        <v>13482055</v>
      </c>
      <c r="Y29" s="69"/>
      <c r="Z29" s="69"/>
    </row>
    <row r="30" spans="1:26" s="1" customFormat="1">
      <c r="A30" s="112"/>
      <c r="B30" s="72"/>
      <c r="C30" s="633"/>
      <c r="D30" s="634"/>
      <c r="E30" s="634"/>
      <c r="F30" s="634"/>
      <c r="G30" s="634"/>
      <c r="H30" s="634"/>
      <c r="I30" s="634"/>
      <c r="J30" s="635"/>
      <c r="K30" s="165" t="s">
        <v>21</v>
      </c>
      <c r="L30" s="383">
        <f>L8+L20</f>
        <v>866552</v>
      </c>
      <c r="M30" s="460">
        <f t="shared" ref="M30:W30" si="16">M8+M20</f>
        <v>863755</v>
      </c>
      <c r="N30" s="460">
        <f t="shared" si="16"/>
        <v>869534</v>
      </c>
      <c r="O30" s="460">
        <f t="shared" si="16"/>
        <v>867547</v>
      </c>
      <c r="P30" s="460">
        <f t="shared" si="16"/>
        <v>862003</v>
      </c>
      <c r="Q30" s="435">
        <f t="shared" si="16"/>
        <v>864804</v>
      </c>
      <c r="R30" s="435">
        <f t="shared" si="16"/>
        <v>866337</v>
      </c>
      <c r="S30" s="435">
        <f t="shared" si="16"/>
        <v>852634</v>
      </c>
      <c r="T30" s="435">
        <f t="shared" si="16"/>
        <v>862421</v>
      </c>
      <c r="U30" s="435">
        <f t="shared" si="16"/>
        <v>862562</v>
      </c>
      <c r="V30" s="435">
        <f t="shared" si="16"/>
        <v>855801</v>
      </c>
      <c r="W30" s="276">
        <f t="shared" si="16"/>
        <v>866552</v>
      </c>
      <c r="X30" s="44">
        <f>SUM(L30:W30)</f>
        <v>10360502</v>
      </c>
      <c r="Y30" s="69"/>
      <c r="Z30" s="69"/>
    </row>
    <row r="31" spans="1:26" s="1" customFormat="1">
      <c r="A31" s="112"/>
      <c r="B31" s="72"/>
      <c r="C31" s="636"/>
      <c r="D31" s="637"/>
      <c r="E31" s="637"/>
      <c r="F31" s="637"/>
      <c r="G31" s="637"/>
      <c r="H31" s="637"/>
      <c r="I31" s="637"/>
      <c r="J31" s="638"/>
      <c r="K31" s="182" t="s">
        <v>22</v>
      </c>
      <c r="L31" s="341">
        <f>L29-L30</f>
        <v>283448</v>
      </c>
      <c r="M31" s="408">
        <f t="shared" ref="M31:W31" si="17">M29-M30</f>
        <v>263395</v>
      </c>
      <c r="N31" s="408">
        <f t="shared" si="17"/>
        <v>280466</v>
      </c>
      <c r="O31" s="492">
        <f t="shared" si="17"/>
        <v>282453</v>
      </c>
      <c r="P31" s="441">
        <f t="shared" si="17"/>
        <v>287997</v>
      </c>
      <c r="Q31" s="408">
        <f t="shared" si="17"/>
        <v>285196</v>
      </c>
      <c r="R31" s="408">
        <f t="shared" si="17"/>
        <v>283663</v>
      </c>
      <c r="S31" s="408">
        <f t="shared" si="17"/>
        <v>210171</v>
      </c>
      <c r="T31" s="408">
        <f t="shared" si="17"/>
        <v>200749</v>
      </c>
      <c r="U31" s="408">
        <f t="shared" si="17"/>
        <v>262303</v>
      </c>
      <c r="V31" s="408">
        <f t="shared" si="17"/>
        <v>198264</v>
      </c>
      <c r="W31" s="80">
        <f t="shared" si="17"/>
        <v>283448</v>
      </c>
      <c r="X31" s="45">
        <f>SUM(L31:W31)</f>
        <v>3121553</v>
      </c>
      <c r="Y31" s="69"/>
      <c r="Z31" s="69"/>
    </row>
    <row r="32" spans="1:26">
      <c r="K32" s="128" t="s">
        <v>74</v>
      </c>
      <c r="L32" s="639">
        <f>SUM(L29:N29)</f>
        <v>3427150</v>
      </c>
      <c r="M32" s="585"/>
      <c r="N32" s="585"/>
      <c r="O32" s="585">
        <f t="shared" ref="O32:O33" si="18">SUM(O29:Q29)</f>
        <v>3450000</v>
      </c>
      <c r="P32" s="585"/>
      <c r="Q32" s="585"/>
      <c r="R32" s="585">
        <f t="shared" ref="R32:R33" si="19">SUM(R29:T29)</f>
        <v>3275975</v>
      </c>
      <c r="S32" s="585"/>
      <c r="T32" s="585"/>
      <c r="U32" s="585">
        <f t="shared" ref="U32:U33" si="20">SUM(U29:W29)</f>
        <v>3328930</v>
      </c>
      <c r="V32" s="585"/>
      <c r="W32" s="586"/>
      <c r="X32" s="34">
        <f>X29</f>
        <v>13482055</v>
      </c>
      <c r="Y32" s="69"/>
      <c r="Z32" s="69"/>
    </row>
    <row r="33" spans="11:26">
      <c r="K33" s="130" t="s">
        <v>77</v>
      </c>
      <c r="L33" s="640">
        <f>SUM(L30:N30)</f>
        <v>2599841</v>
      </c>
      <c r="M33" s="589"/>
      <c r="N33" s="589"/>
      <c r="O33" s="589">
        <f t="shared" si="18"/>
        <v>2594354</v>
      </c>
      <c r="P33" s="589"/>
      <c r="Q33" s="589"/>
      <c r="R33" s="589">
        <f t="shared" si="19"/>
        <v>2581392</v>
      </c>
      <c r="S33" s="589"/>
      <c r="T33" s="589"/>
      <c r="U33" s="589">
        <f t="shared" si="20"/>
        <v>2584915</v>
      </c>
      <c r="V33" s="589"/>
      <c r="W33" s="590"/>
      <c r="X33" s="35">
        <f t="shared" ref="X33:X34" si="21">X30</f>
        <v>10360502</v>
      </c>
      <c r="Y33" s="69"/>
      <c r="Z33" s="69"/>
    </row>
    <row r="34" spans="11:26">
      <c r="K34" s="6" t="s">
        <v>75</v>
      </c>
      <c r="L34" s="632">
        <f>SUM(L31:N31)</f>
        <v>827309</v>
      </c>
      <c r="M34" s="571"/>
      <c r="N34" s="571"/>
      <c r="O34" s="571">
        <f>SUM(O31:Q31)</f>
        <v>855646</v>
      </c>
      <c r="P34" s="571"/>
      <c r="Q34" s="571"/>
      <c r="R34" s="571">
        <f>SUM(R31:T31)</f>
        <v>694583</v>
      </c>
      <c r="S34" s="571"/>
      <c r="T34" s="571"/>
      <c r="U34" s="571">
        <f>SUM(U31:W31)</f>
        <v>744015</v>
      </c>
      <c r="V34" s="571"/>
      <c r="W34" s="582"/>
      <c r="X34" s="36">
        <f t="shared" si="21"/>
        <v>3121553</v>
      </c>
      <c r="Z34" s="69"/>
    </row>
    <row r="35" spans="11:26">
      <c r="Z35" s="69"/>
    </row>
    <row r="36" spans="11:26">
      <c r="Z36" s="69"/>
    </row>
    <row r="37" spans="11:26">
      <c r="Z37" s="69"/>
    </row>
    <row r="38" spans="11:26">
      <c r="Z38" s="69"/>
    </row>
    <row r="39" spans="11:26">
      <c r="Z39" s="69"/>
    </row>
    <row r="40" spans="11:26">
      <c r="Z40" s="69"/>
    </row>
    <row r="41" spans="11:26">
      <c r="Z41" s="69"/>
    </row>
    <row r="42" spans="11:26">
      <c r="Z42" s="69"/>
    </row>
    <row r="43" spans="11:26">
      <c r="Z43" s="69"/>
    </row>
    <row r="44" spans="11:26">
      <c r="Z44" s="69"/>
    </row>
    <row r="45" spans="11:26">
      <c r="Z45" s="69"/>
    </row>
    <row r="46" spans="11:26">
      <c r="Z46" s="69"/>
    </row>
    <row r="47" spans="11:26">
      <c r="Z47" s="69"/>
    </row>
    <row r="48" spans="11:26">
      <c r="Z48" s="69"/>
    </row>
    <row r="49" spans="26:26">
      <c r="Z49" s="69"/>
    </row>
    <row r="50" spans="26:26">
      <c r="Z50" s="69"/>
    </row>
    <row r="51" spans="26:26">
      <c r="Z51" s="69"/>
    </row>
    <row r="52" spans="26:26">
      <c r="Z52" s="69"/>
    </row>
    <row r="53" spans="26:26">
      <c r="Z53" s="69"/>
    </row>
    <row r="54" spans="26:26">
      <c r="Z54" s="69"/>
    </row>
    <row r="55" spans="26:26">
      <c r="Z55" s="69"/>
    </row>
    <row r="56" spans="26:26">
      <c r="Z56" s="69"/>
    </row>
    <row r="57" spans="26:26">
      <c r="Z57" s="69"/>
    </row>
    <row r="58" spans="26:26">
      <c r="Z58" s="69"/>
    </row>
    <row r="59" spans="26:26">
      <c r="Z59" s="69"/>
    </row>
    <row r="60" spans="26:26">
      <c r="Z60" s="69"/>
    </row>
    <row r="61" spans="26:26">
      <c r="Z61" s="69"/>
    </row>
    <row r="62" spans="26:26">
      <c r="Z62" s="69"/>
    </row>
    <row r="63" spans="26:26">
      <c r="Z63" s="69"/>
    </row>
    <row r="64" spans="26:26">
      <c r="Z64" s="69"/>
    </row>
    <row r="65" spans="26:26">
      <c r="Z65" s="69"/>
    </row>
    <row r="66" spans="26:26">
      <c r="Z66" s="69"/>
    </row>
    <row r="67" spans="26:26">
      <c r="Z67" s="69"/>
    </row>
    <row r="68" spans="26:26">
      <c r="Z68" s="69"/>
    </row>
    <row r="69" spans="26:26">
      <c r="Z69" s="69"/>
    </row>
    <row r="70" spans="26:26">
      <c r="Z70" s="69"/>
    </row>
    <row r="71" spans="26:26">
      <c r="Z71" s="69"/>
    </row>
    <row r="72" spans="26:26">
      <c r="Z72" s="69"/>
    </row>
    <row r="73" spans="26:26">
      <c r="Z73" s="69"/>
    </row>
    <row r="74" spans="26:26">
      <c r="Z74" s="69"/>
    </row>
    <row r="75" spans="26:26">
      <c r="Z75" s="69"/>
    </row>
    <row r="76" spans="26:26">
      <c r="Z76" s="69"/>
    </row>
    <row r="77" spans="26:26">
      <c r="Z77" s="69"/>
    </row>
    <row r="78" spans="26:26">
      <c r="Z78" s="69"/>
    </row>
    <row r="79" spans="26:26">
      <c r="Z79" s="69"/>
    </row>
    <row r="80" spans="26:26">
      <c r="Z80" s="69"/>
    </row>
    <row r="81" spans="26:26">
      <c r="Z81" s="69"/>
    </row>
    <row r="82" spans="26:26">
      <c r="Z82" s="69"/>
    </row>
    <row r="83" spans="26:26">
      <c r="Z83" s="69"/>
    </row>
    <row r="84" spans="26:26">
      <c r="Z84" s="69"/>
    </row>
    <row r="85" spans="26:26">
      <c r="Z85" s="69"/>
    </row>
    <row r="86" spans="26:26">
      <c r="Z86" s="69"/>
    </row>
    <row r="87" spans="26:26">
      <c r="Z87" s="69"/>
    </row>
    <row r="88" spans="26:26">
      <c r="Z88" s="69"/>
    </row>
    <row r="89" spans="26:26">
      <c r="Z89" s="69"/>
    </row>
    <row r="90" spans="26:26">
      <c r="Z90" s="69"/>
    </row>
    <row r="91" spans="26:26">
      <c r="Z91" s="69"/>
    </row>
    <row r="92" spans="26:26">
      <c r="Z92" s="69"/>
    </row>
    <row r="93" spans="26:26">
      <c r="Z93" s="69"/>
    </row>
    <row r="94" spans="26:26">
      <c r="Z94" s="69"/>
    </row>
    <row r="95" spans="26:26">
      <c r="Z95" s="69"/>
    </row>
    <row r="96" spans="26:26">
      <c r="Z96" s="69"/>
    </row>
    <row r="97" spans="26:26">
      <c r="Z97" s="69"/>
    </row>
    <row r="98" spans="26:26">
      <c r="Z98" s="69"/>
    </row>
    <row r="99" spans="26:26">
      <c r="Z99" s="69"/>
    </row>
    <row r="100" spans="26:26">
      <c r="Z100" s="69"/>
    </row>
    <row r="101" spans="26:26">
      <c r="Z101" s="69"/>
    </row>
    <row r="102" spans="26:26">
      <c r="Z102" s="69"/>
    </row>
    <row r="103" spans="26:26">
      <c r="Z103" s="69"/>
    </row>
    <row r="104" spans="26:26">
      <c r="Z104" s="69"/>
    </row>
    <row r="105" spans="26:26">
      <c r="Z105" s="69"/>
    </row>
    <row r="106" spans="26:26">
      <c r="Z106" s="69"/>
    </row>
    <row r="107" spans="26:26">
      <c r="Z107" s="69"/>
    </row>
    <row r="108" spans="26:26">
      <c r="Z108" s="69"/>
    </row>
    <row r="109" spans="26:26">
      <c r="Z109" s="69"/>
    </row>
    <row r="110" spans="26:26">
      <c r="Z110" s="69"/>
    </row>
    <row r="111" spans="26:26">
      <c r="Z111" s="69"/>
    </row>
    <row r="112" spans="26:26">
      <c r="Z112" s="69"/>
    </row>
    <row r="113" spans="26:26">
      <c r="Z113" s="69"/>
    </row>
    <row r="114" spans="26:26">
      <c r="Z114" s="69"/>
    </row>
    <row r="115" spans="26:26">
      <c r="Z115" s="69"/>
    </row>
    <row r="116" spans="26:26">
      <c r="Z116" s="69"/>
    </row>
    <row r="117" spans="26:26">
      <c r="Z117" s="69"/>
    </row>
    <row r="118" spans="26:26">
      <c r="Z118" s="69"/>
    </row>
    <row r="119" spans="26:26">
      <c r="Z119" s="69"/>
    </row>
    <row r="120" spans="26:26">
      <c r="Z120" s="69"/>
    </row>
    <row r="121" spans="26:26">
      <c r="Z121" s="69"/>
    </row>
    <row r="122" spans="26:26">
      <c r="Z122" s="69"/>
    </row>
    <row r="123" spans="26:26">
      <c r="Z123" s="69"/>
    </row>
    <row r="124" spans="26:26">
      <c r="Z124" s="69"/>
    </row>
    <row r="125" spans="26:26">
      <c r="Z125" s="69"/>
    </row>
    <row r="126" spans="26:26">
      <c r="Z126" s="69"/>
    </row>
    <row r="127" spans="26:26">
      <c r="Z127" s="69"/>
    </row>
    <row r="128" spans="26:26">
      <c r="Z128" s="69"/>
    </row>
    <row r="129" spans="26:26">
      <c r="Z129" s="69"/>
    </row>
    <row r="130" spans="26:26">
      <c r="Z130" s="69"/>
    </row>
    <row r="131" spans="26:26">
      <c r="Z131" s="69"/>
    </row>
    <row r="132" spans="26:26">
      <c r="Z132" s="69"/>
    </row>
    <row r="133" spans="26:26">
      <c r="Z133" s="69"/>
    </row>
    <row r="134" spans="26:26">
      <c r="Z134" s="69"/>
    </row>
    <row r="135" spans="26:26">
      <c r="Z135" s="69"/>
    </row>
    <row r="136" spans="26:26">
      <c r="Z136" s="69"/>
    </row>
    <row r="137" spans="26:26">
      <c r="Z137" s="69"/>
    </row>
    <row r="138" spans="26:26">
      <c r="Z138" s="69"/>
    </row>
    <row r="139" spans="26:26">
      <c r="Z139" s="69"/>
    </row>
    <row r="140" spans="26:26">
      <c r="Z140" s="69"/>
    </row>
    <row r="141" spans="26:26">
      <c r="Z141" s="69"/>
    </row>
    <row r="142" spans="26:26">
      <c r="Z142" s="69"/>
    </row>
    <row r="143" spans="26:26">
      <c r="Z143" s="69"/>
    </row>
    <row r="144" spans="26:26">
      <c r="Z144" s="69"/>
    </row>
    <row r="145" spans="26:26">
      <c r="Z145" s="69"/>
    </row>
    <row r="146" spans="26:26">
      <c r="Z146" s="69"/>
    </row>
    <row r="147" spans="26:26">
      <c r="Z147" s="69"/>
    </row>
    <row r="148" spans="26:26">
      <c r="Z148" s="69"/>
    </row>
    <row r="149" spans="26:26">
      <c r="Z149" s="69"/>
    </row>
    <row r="150" spans="26:26">
      <c r="Z150" s="69"/>
    </row>
    <row r="151" spans="26:26">
      <c r="Z151" s="69"/>
    </row>
    <row r="152" spans="26:26">
      <c r="Z152" s="69"/>
    </row>
    <row r="153" spans="26:26">
      <c r="Z153" s="69"/>
    </row>
    <row r="154" spans="26:26">
      <c r="Z154" s="69"/>
    </row>
    <row r="155" spans="26:26">
      <c r="Z155" s="69"/>
    </row>
    <row r="156" spans="26:26">
      <c r="Z156" s="69"/>
    </row>
    <row r="157" spans="26:26">
      <c r="Z157" s="69"/>
    </row>
    <row r="158" spans="26:26">
      <c r="Z158" s="69"/>
    </row>
    <row r="159" spans="26:26">
      <c r="Z159" s="69"/>
    </row>
    <row r="160" spans="26:26">
      <c r="Z160" s="69"/>
    </row>
    <row r="161" spans="26:26">
      <c r="Z161" s="69"/>
    </row>
    <row r="162" spans="26:26">
      <c r="Z162" s="69"/>
    </row>
    <row r="163" spans="26:26">
      <c r="Z163" s="69"/>
    </row>
    <row r="164" spans="26:26">
      <c r="Z164" s="69"/>
    </row>
    <row r="165" spans="26:26">
      <c r="Z165" s="69"/>
    </row>
    <row r="166" spans="26:26">
      <c r="Z166" s="69"/>
    </row>
    <row r="167" spans="26:26">
      <c r="Z167" s="69"/>
    </row>
    <row r="168" spans="26:26">
      <c r="Z168" s="69"/>
    </row>
    <row r="169" spans="26:26">
      <c r="Z169" s="69"/>
    </row>
    <row r="170" spans="26:26">
      <c r="Z170" s="69"/>
    </row>
    <row r="171" spans="26:26">
      <c r="Z171" s="69"/>
    </row>
    <row r="172" spans="26:26">
      <c r="Z172" s="69"/>
    </row>
    <row r="173" spans="26:26">
      <c r="Z173" s="69"/>
    </row>
    <row r="174" spans="26:26">
      <c r="Z174" s="69"/>
    </row>
    <row r="175" spans="26:26">
      <c r="Z175" s="69"/>
    </row>
    <row r="176" spans="26:26">
      <c r="Z176" s="69"/>
    </row>
    <row r="177" spans="26:26">
      <c r="Z177" s="69"/>
    </row>
    <row r="178" spans="26:26">
      <c r="Z178" s="69"/>
    </row>
    <row r="179" spans="26:26">
      <c r="Z179" s="69"/>
    </row>
    <row r="180" spans="26:26">
      <c r="Z180" s="69"/>
    </row>
    <row r="181" spans="26:26">
      <c r="Z181" s="69"/>
    </row>
    <row r="182" spans="26:26">
      <c r="Z182" s="69"/>
    </row>
    <row r="183" spans="26:26">
      <c r="Z183" s="69"/>
    </row>
    <row r="184" spans="26:26">
      <c r="Z184" s="69"/>
    </row>
    <row r="185" spans="26:26">
      <c r="Z185" s="69"/>
    </row>
    <row r="186" spans="26:26">
      <c r="Z186" s="69"/>
    </row>
    <row r="187" spans="26:26">
      <c r="Z187" s="69"/>
    </row>
    <row r="188" spans="26:26">
      <c r="Z188" s="69"/>
    </row>
    <row r="189" spans="26:26">
      <c r="Z189" s="69"/>
    </row>
    <row r="190" spans="26:26">
      <c r="Z190" s="69"/>
    </row>
    <row r="191" spans="26:26">
      <c r="Z191" s="69"/>
    </row>
    <row r="192" spans="26:26">
      <c r="Z192" s="69"/>
    </row>
    <row r="193" spans="26:26">
      <c r="Z193" s="69"/>
    </row>
    <row r="194" spans="26:26">
      <c r="Z194" s="69"/>
    </row>
    <row r="195" spans="26:26">
      <c r="Z195" s="69"/>
    </row>
    <row r="196" spans="26:26">
      <c r="Z196" s="69"/>
    </row>
    <row r="197" spans="26:26">
      <c r="Z197" s="69"/>
    </row>
    <row r="198" spans="26:26">
      <c r="Z198" s="69"/>
    </row>
    <row r="199" spans="26:26">
      <c r="Z199" s="69"/>
    </row>
    <row r="200" spans="26:26">
      <c r="Z200" s="69"/>
    </row>
    <row r="201" spans="26:26">
      <c r="Z201" s="69"/>
    </row>
    <row r="202" spans="26:26">
      <c r="Z202" s="69"/>
    </row>
    <row r="203" spans="26:26">
      <c r="Z203" s="69"/>
    </row>
    <row r="204" spans="26:26">
      <c r="Z204" s="69"/>
    </row>
    <row r="205" spans="26:26">
      <c r="Z205" s="69"/>
    </row>
    <row r="206" spans="26:26">
      <c r="Z206" s="69"/>
    </row>
    <row r="207" spans="26:26">
      <c r="Z207" s="69"/>
    </row>
    <row r="208" spans="26:26">
      <c r="Z208" s="69"/>
    </row>
    <row r="209" spans="26:26">
      <c r="Z209" s="69"/>
    </row>
    <row r="210" spans="26:26">
      <c r="Z210" s="69"/>
    </row>
    <row r="211" spans="26:26">
      <c r="Z211" s="69"/>
    </row>
    <row r="212" spans="26:26">
      <c r="Z212" s="69"/>
    </row>
    <row r="213" spans="26:26">
      <c r="Z213" s="69"/>
    </row>
    <row r="214" spans="26:26">
      <c r="Z214" s="69"/>
    </row>
    <row r="215" spans="26:26">
      <c r="Z215" s="69"/>
    </row>
    <row r="216" spans="26:26">
      <c r="Z216" s="69"/>
    </row>
    <row r="217" spans="26:26">
      <c r="Z217" s="69"/>
    </row>
    <row r="218" spans="26:26">
      <c r="Z218" s="69"/>
    </row>
    <row r="219" spans="26:26">
      <c r="Z219" s="69"/>
    </row>
    <row r="220" spans="26:26">
      <c r="Z220" s="69"/>
    </row>
    <row r="221" spans="26:26">
      <c r="Z221" s="69"/>
    </row>
    <row r="222" spans="26:26">
      <c r="Z222" s="69"/>
    </row>
    <row r="223" spans="26:26">
      <c r="Z223" s="69"/>
    </row>
    <row r="224" spans="26:26">
      <c r="Z224" s="69"/>
    </row>
    <row r="225" spans="26:26">
      <c r="Z225" s="69"/>
    </row>
    <row r="226" spans="26:26">
      <c r="Z226" s="69"/>
    </row>
    <row r="227" spans="26:26">
      <c r="Z227" s="69"/>
    </row>
    <row r="228" spans="26:26">
      <c r="Z228" s="69"/>
    </row>
    <row r="229" spans="26:26">
      <c r="Z229" s="69"/>
    </row>
    <row r="230" spans="26:26">
      <c r="Z230" s="69"/>
    </row>
    <row r="231" spans="26:26">
      <c r="Z231" s="69"/>
    </row>
    <row r="232" spans="26:26">
      <c r="Z232" s="69"/>
    </row>
    <row r="233" spans="26:26">
      <c r="Z233" s="69"/>
    </row>
    <row r="234" spans="26:26">
      <c r="Z234" s="69"/>
    </row>
    <row r="235" spans="26:26">
      <c r="Z235" s="69"/>
    </row>
    <row r="236" spans="26:26">
      <c r="Z236" s="69"/>
    </row>
    <row r="237" spans="26:26">
      <c r="Z237" s="69"/>
    </row>
    <row r="238" spans="26:26">
      <c r="Z238" s="69"/>
    </row>
    <row r="239" spans="26:26">
      <c r="Z239" s="69"/>
    </row>
    <row r="240" spans="26:26">
      <c r="Z240" s="69"/>
    </row>
    <row r="241" spans="26:26">
      <c r="Z241" s="69"/>
    </row>
    <row r="242" spans="26:26">
      <c r="Z242" s="69"/>
    </row>
    <row r="243" spans="26:26">
      <c r="Z243" s="69"/>
    </row>
    <row r="244" spans="26:26">
      <c r="Z244" s="69"/>
    </row>
    <row r="245" spans="26:26">
      <c r="Z245" s="69"/>
    </row>
    <row r="246" spans="26:26">
      <c r="Z246" s="69"/>
    </row>
    <row r="247" spans="26:26">
      <c r="Z247" s="69"/>
    </row>
    <row r="248" spans="26:26">
      <c r="Z248" s="69"/>
    </row>
    <row r="249" spans="26:26">
      <c r="Z249" s="69"/>
    </row>
    <row r="250" spans="26:26">
      <c r="Z250" s="69"/>
    </row>
    <row r="251" spans="26:26">
      <c r="Z251" s="69"/>
    </row>
    <row r="252" spans="26:26">
      <c r="Z252" s="69"/>
    </row>
    <row r="253" spans="26:26">
      <c r="Z253" s="69"/>
    </row>
    <row r="254" spans="26:26">
      <c r="Z254" s="69"/>
    </row>
    <row r="255" spans="26:26">
      <c r="Z255" s="69"/>
    </row>
    <row r="256" spans="26:26">
      <c r="Z256" s="69"/>
    </row>
    <row r="257" spans="26:26">
      <c r="Z257" s="69"/>
    </row>
    <row r="258" spans="26:26">
      <c r="Z258" s="69"/>
    </row>
    <row r="259" spans="26:26">
      <c r="Z259" s="69"/>
    </row>
    <row r="260" spans="26:26">
      <c r="Z260" s="69"/>
    </row>
    <row r="261" spans="26:26">
      <c r="Z261" s="69"/>
    </row>
    <row r="262" spans="26:26">
      <c r="Z262" s="69"/>
    </row>
    <row r="263" spans="26:26">
      <c r="Z263" s="69"/>
    </row>
    <row r="264" spans="26:26">
      <c r="Z264" s="69"/>
    </row>
    <row r="265" spans="26:26">
      <c r="Z265" s="69"/>
    </row>
    <row r="266" spans="26:26">
      <c r="Z266" s="69"/>
    </row>
    <row r="267" spans="26:26">
      <c r="Z267" s="69"/>
    </row>
    <row r="268" spans="26:26">
      <c r="Z268" s="69"/>
    </row>
    <row r="269" spans="26:26">
      <c r="Z269" s="69"/>
    </row>
    <row r="270" spans="26:26">
      <c r="Z270" s="69"/>
    </row>
    <row r="271" spans="26:26">
      <c r="Z271" s="69"/>
    </row>
    <row r="272" spans="26:26">
      <c r="Z272" s="69"/>
    </row>
    <row r="273" spans="26:26">
      <c r="Z273" s="69"/>
    </row>
    <row r="274" spans="26:26">
      <c r="Z274" s="69"/>
    </row>
    <row r="275" spans="26:26">
      <c r="Z275" s="69"/>
    </row>
    <row r="276" spans="26:26">
      <c r="Z276" s="69"/>
    </row>
    <row r="277" spans="26:26">
      <c r="Z277" s="69"/>
    </row>
    <row r="278" spans="26:26">
      <c r="Z278" s="69"/>
    </row>
    <row r="279" spans="26:26">
      <c r="Z279" s="69"/>
    </row>
    <row r="280" spans="26:26">
      <c r="Z280" s="69"/>
    </row>
    <row r="281" spans="26:26">
      <c r="Z281" s="69"/>
    </row>
    <row r="282" spans="26:26">
      <c r="Z282" s="69"/>
    </row>
    <row r="283" spans="26:26">
      <c r="Z283" s="69"/>
    </row>
    <row r="284" spans="26:26">
      <c r="Z284" s="69"/>
    </row>
    <row r="285" spans="26:26">
      <c r="Z285" s="69"/>
    </row>
    <row r="286" spans="26:26">
      <c r="Z286" s="69"/>
    </row>
    <row r="287" spans="26:26">
      <c r="Z287" s="69"/>
    </row>
    <row r="288" spans="26:26">
      <c r="Z288" s="69"/>
    </row>
    <row r="289" spans="26:26">
      <c r="Z289" s="69"/>
    </row>
    <row r="290" spans="26:26">
      <c r="Z290" s="69"/>
    </row>
    <row r="291" spans="26:26">
      <c r="Z291" s="69"/>
    </row>
    <row r="292" spans="26:26">
      <c r="Z292" s="69"/>
    </row>
    <row r="293" spans="26:26">
      <c r="Z293" s="69"/>
    </row>
    <row r="294" spans="26:26">
      <c r="Z294" s="69"/>
    </row>
    <row r="295" spans="26:26">
      <c r="Z295" s="69"/>
    </row>
  </sheetData>
  <mergeCells count="30">
    <mergeCell ref="L34:N34"/>
    <mergeCell ref="O34:Q34"/>
    <mergeCell ref="R34:T34"/>
    <mergeCell ref="U34:W34"/>
    <mergeCell ref="C29:J31"/>
    <mergeCell ref="L32:N32"/>
    <mergeCell ref="O32:Q32"/>
    <mergeCell ref="R32:T32"/>
    <mergeCell ref="U32:W32"/>
    <mergeCell ref="L33:N33"/>
    <mergeCell ref="O33:Q33"/>
    <mergeCell ref="R33:T33"/>
    <mergeCell ref="U33:W33"/>
    <mergeCell ref="I17:I28"/>
    <mergeCell ref="J17:J28"/>
    <mergeCell ref="C17:C28"/>
    <mergeCell ref="D17:D28"/>
    <mergeCell ref="E17:E28"/>
    <mergeCell ref="F17:F28"/>
    <mergeCell ref="G17:G28"/>
    <mergeCell ref="H17:H28"/>
    <mergeCell ref="H5:H16"/>
    <mergeCell ref="I5:I16"/>
    <mergeCell ref="J5:J16"/>
    <mergeCell ref="C2:J4"/>
    <mergeCell ref="C5:C16"/>
    <mergeCell ref="D5:D16"/>
    <mergeCell ref="E5:E16"/>
    <mergeCell ref="F5:F16"/>
    <mergeCell ref="G5:G16"/>
  </mergeCells>
  <phoneticPr fontId="10"/>
  <printOptions horizontalCentered="1"/>
  <pageMargins left="0.70866141732283472" right="0.70866141732283472" top="0.70866141732283472" bottom="0.70866141732283472" header="0.31496062992125984" footer="0.31496062992125984"/>
  <pageSetup paperSize="9" scale="52" fitToHeight="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pageSetUpPr fitToPage="1"/>
  </sheetPr>
  <dimension ref="A1:Z391"/>
  <sheetViews>
    <sheetView showGridLines="0" zoomScale="80" zoomScaleNormal="80" zoomScaleSheetLayoutView="70" workbookViewId="0">
      <pane xSplit="11" ySplit="4" topLeftCell="L83" activePane="bottomRight" state="frozen"/>
      <selection pane="topRight"/>
      <selection pane="bottomLeft"/>
      <selection pane="bottomRight" activeCell="L6" sqref="L6:L123"/>
    </sheetView>
  </sheetViews>
  <sheetFormatPr defaultRowHeight="12"/>
  <cols>
    <col min="1" max="1" width="9.6328125" style="115" customWidth="1"/>
    <col min="2" max="2" width="11.90625" style="73" customWidth="1"/>
    <col min="3" max="3" width="6.36328125" style="9" customWidth="1"/>
    <col min="4" max="4" width="10.36328125" style="9" customWidth="1"/>
    <col min="5" max="5" width="5.08984375" style="9" customWidth="1"/>
    <col min="6" max="6" width="9.90625" style="127" customWidth="1"/>
    <col min="7" max="9" width="9.90625" style="9" customWidth="1"/>
    <col min="10" max="10" width="8.453125" style="9" customWidth="1"/>
    <col min="11" max="11" width="10.453125" style="9" customWidth="1"/>
    <col min="12" max="23" width="13.08984375" style="9" customWidth="1"/>
    <col min="24" max="24" width="16.453125" style="9" customWidth="1"/>
    <col min="25" max="25" width="12.08984375" style="2" customWidth="1"/>
    <col min="26" max="26" width="11" style="2" bestFit="1" customWidth="1"/>
    <col min="27" max="259" width="9" style="2"/>
    <col min="260" max="260" width="9.6328125" style="2" customWidth="1"/>
    <col min="261" max="262" width="5.08984375" style="2" customWidth="1"/>
    <col min="263" max="263" width="9.6328125" style="2" customWidth="1"/>
    <col min="264" max="265" width="11.6328125" style="2" customWidth="1"/>
    <col min="266" max="266" width="15.36328125" style="2" customWidth="1"/>
    <col min="267" max="267" width="10.90625" style="2" customWidth="1"/>
    <col min="268" max="278" width="13.36328125" style="2" customWidth="1"/>
    <col min="279" max="279" width="13.6328125" style="2" customWidth="1"/>
    <col min="280" max="280" width="16.453125" style="2" customWidth="1"/>
    <col min="281" max="515" width="9" style="2"/>
    <col min="516" max="516" width="9.6328125" style="2" customWidth="1"/>
    <col min="517" max="518" width="5.08984375" style="2" customWidth="1"/>
    <col min="519" max="519" width="9.6328125" style="2" customWidth="1"/>
    <col min="520" max="521" width="11.6328125" style="2" customWidth="1"/>
    <col min="522" max="522" width="15.36328125" style="2" customWidth="1"/>
    <col min="523" max="523" width="10.90625" style="2" customWidth="1"/>
    <col min="524" max="534" width="13.36328125" style="2" customWidth="1"/>
    <col min="535" max="535" width="13.6328125" style="2" customWidth="1"/>
    <col min="536" max="536" width="16.453125" style="2" customWidth="1"/>
    <col min="537" max="771" width="9" style="2"/>
    <col min="772" max="772" width="9.6328125" style="2" customWidth="1"/>
    <col min="773" max="774" width="5.08984375" style="2" customWidth="1"/>
    <col min="775" max="775" width="9.6328125" style="2" customWidth="1"/>
    <col min="776" max="777" width="11.6328125" style="2" customWidth="1"/>
    <col min="778" max="778" width="15.36328125" style="2" customWidth="1"/>
    <col min="779" max="779" width="10.90625" style="2" customWidth="1"/>
    <col min="780" max="790" width="13.36328125" style="2" customWidth="1"/>
    <col min="791" max="791" width="13.6328125" style="2" customWidth="1"/>
    <col min="792" max="792" width="16.453125" style="2" customWidth="1"/>
    <col min="793" max="1027" width="9" style="2"/>
    <col min="1028" max="1028" width="9.6328125" style="2" customWidth="1"/>
    <col min="1029" max="1030" width="5.08984375" style="2" customWidth="1"/>
    <col min="1031" max="1031" width="9.6328125" style="2" customWidth="1"/>
    <col min="1032" max="1033" width="11.6328125" style="2" customWidth="1"/>
    <col min="1034" max="1034" width="15.36328125" style="2" customWidth="1"/>
    <col min="1035" max="1035" width="10.90625" style="2" customWidth="1"/>
    <col min="1036" max="1046" width="13.36328125" style="2" customWidth="1"/>
    <col min="1047" max="1047" width="13.6328125" style="2" customWidth="1"/>
    <col min="1048" max="1048" width="16.453125" style="2" customWidth="1"/>
    <col min="1049" max="1283" width="9" style="2"/>
    <col min="1284" max="1284" width="9.6328125" style="2" customWidth="1"/>
    <col min="1285" max="1286" width="5.08984375" style="2" customWidth="1"/>
    <col min="1287" max="1287" width="9.6328125" style="2" customWidth="1"/>
    <col min="1288" max="1289" width="11.6328125" style="2" customWidth="1"/>
    <col min="1290" max="1290" width="15.36328125" style="2" customWidth="1"/>
    <col min="1291" max="1291" width="10.90625" style="2" customWidth="1"/>
    <col min="1292" max="1302" width="13.36328125" style="2" customWidth="1"/>
    <col min="1303" max="1303" width="13.6328125" style="2" customWidth="1"/>
    <col min="1304" max="1304" width="16.453125" style="2" customWidth="1"/>
    <col min="1305" max="1539" width="9" style="2"/>
    <col min="1540" max="1540" width="9.6328125" style="2" customWidth="1"/>
    <col min="1541" max="1542" width="5.08984375" style="2" customWidth="1"/>
    <col min="1543" max="1543" width="9.6328125" style="2" customWidth="1"/>
    <col min="1544" max="1545" width="11.6328125" style="2" customWidth="1"/>
    <col min="1546" max="1546" width="15.36328125" style="2" customWidth="1"/>
    <col min="1547" max="1547" width="10.90625" style="2" customWidth="1"/>
    <col min="1548" max="1558" width="13.36328125" style="2" customWidth="1"/>
    <col min="1559" max="1559" width="13.6328125" style="2" customWidth="1"/>
    <col min="1560" max="1560" width="16.453125" style="2" customWidth="1"/>
    <col min="1561" max="1795" width="9" style="2"/>
    <col min="1796" max="1796" width="9.6328125" style="2" customWidth="1"/>
    <col min="1797" max="1798" width="5.08984375" style="2" customWidth="1"/>
    <col min="1799" max="1799" width="9.6328125" style="2" customWidth="1"/>
    <col min="1800" max="1801" width="11.6328125" style="2" customWidth="1"/>
    <col min="1802" max="1802" width="15.36328125" style="2" customWidth="1"/>
    <col min="1803" max="1803" width="10.90625" style="2" customWidth="1"/>
    <col min="1804" max="1814" width="13.36328125" style="2" customWidth="1"/>
    <col min="1815" max="1815" width="13.6328125" style="2" customWidth="1"/>
    <col min="1816" max="1816" width="16.453125" style="2" customWidth="1"/>
    <col min="1817" max="2051" width="9" style="2"/>
    <col min="2052" max="2052" width="9.6328125" style="2" customWidth="1"/>
    <col min="2053" max="2054" width="5.08984375" style="2" customWidth="1"/>
    <col min="2055" max="2055" width="9.6328125" style="2" customWidth="1"/>
    <col min="2056" max="2057" width="11.6328125" style="2" customWidth="1"/>
    <col min="2058" max="2058" width="15.36328125" style="2" customWidth="1"/>
    <col min="2059" max="2059" width="10.90625" style="2" customWidth="1"/>
    <col min="2060" max="2070" width="13.36328125" style="2" customWidth="1"/>
    <col min="2071" max="2071" width="13.6328125" style="2" customWidth="1"/>
    <col min="2072" max="2072" width="16.453125" style="2" customWidth="1"/>
    <col min="2073" max="2307" width="9" style="2"/>
    <col min="2308" max="2308" width="9.6328125" style="2" customWidth="1"/>
    <col min="2309" max="2310" width="5.08984375" style="2" customWidth="1"/>
    <col min="2311" max="2311" width="9.6328125" style="2" customWidth="1"/>
    <col min="2312" max="2313" width="11.6328125" style="2" customWidth="1"/>
    <col min="2314" max="2314" width="15.36328125" style="2" customWidth="1"/>
    <col min="2315" max="2315" width="10.90625" style="2" customWidth="1"/>
    <col min="2316" max="2326" width="13.36328125" style="2" customWidth="1"/>
    <col min="2327" max="2327" width="13.6328125" style="2" customWidth="1"/>
    <col min="2328" max="2328" width="16.453125" style="2" customWidth="1"/>
    <col min="2329" max="2563" width="9" style="2"/>
    <col min="2564" max="2564" width="9.6328125" style="2" customWidth="1"/>
    <col min="2565" max="2566" width="5.08984375" style="2" customWidth="1"/>
    <col min="2567" max="2567" width="9.6328125" style="2" customWidth="1"/>
    <col min="2568" max="2569" width="11.6328125" style="2" customWidth="1"/>
    <col min="2570" max="2570" width="15.36328125" style="2" customWidth="1"/>
    <col min="2571" max="2571" width="10.90625" style="2" customWidth="1"/>
    <col min="2572" max="2582" width="13.36328125" style="2" customWidth="1"/>
    <col min="2583" max="2583" width="13.6328125" style="2" customWidth="1"/>
    <col min="2584" max="2584" width="16.453125" style="2" customWidth="1"/>
    <col min="2585" max="2819" width="9" style="2"/>
    <col min="2820" max="2820" width="9.6328125" style="2" customWidth="1"/>
    <col min="2821" max="2822" width="5.08984375" style="2" customWidth="1"/>
    <col min="2823" max="2823" width="9.6328125" style="2" customWidth="1"/>
    <col min="2824" max="2825" width="11.6328125" style="2" customWidth="1"/>
    <col min="2826" max="2826" width="15.36328125" style="2" customWidth="1"/>
    <col min="2827" max="2827" width="10.90625" style="2" customWidth="1"/>
    <col min="2828" max="2838" width="13.36328125" style="2" customWidth="1"/>
    <col min="2839" max="2839" width="13.6328125" style="2" customWidth="1"/>
    <col min="2840" max="2840" width="16.453125" style="2" customWidth="1"/>
    <col min="2841" max="3075" width="9" style="2"/>
    <col min="3076" max="3076" width="9.6328125" style="2" customWidth="1"/>
    <col min="3077" max="3078" width="5.08984375" style="2" customWidth="1"/>
    <col min="3079" max="3079" width="9.6328125" style="2" customWidth="1"/>
    <col min="3080" max="3081" width="11.6328125" style="2" customWidth="1"/>
    <col min="3082" max="3082" width="15.36328125" style="2" customWidth="1"/>
    <col min="3083" max="3083" width="10.90625" style="2" customWidth="1"/>
    <col min="3084" max="3094" width="13.36328125" style="2" customWidth="1"/>
    <col min="3095" max="3095" width="13.6328125" style="2" customWidth="1"/>
    <col min="3096" max="3096" width="16.453125" style="2" customWidth="1"/>
    <col min="3097" max="3331" width="9" style="2"/>
    <col min="3332" max="3332" width="9.6328125" style="2" customWidth="1"/>
    <col min="3333" max="3334" width="5.08984375" style="2" customWidth="1"/>
    <col min="3335" max="3335" width="9.6328125" style="2" customWidth="1"/>
    <col min="3336" max="3337" width="11.6328125" style="2" customWidth="1"/>
    <col min="3338" max="3338" width="15.36328125" style="2" customWidth="1"/>
    <col min="3339" max="3339" width="10.90625" style="2" customWidth="1"/>
    <col min="3340" max="3350" width="13.36328125" style="2" customWidth="1"/>
    <col min="3351" max="3351" width="13.6328125" style="2" customWidth="1"/>
    <col min="3352" max="3352" width="16.453125" style="2" customWidth="1"/>
    <col min="3353" max="3587" width="9" style="2"/>
    <col min="3588" max="3588" width="9.6328125" style="2" customWidth="1"/>
    <col min="3589" max="3590" width="5.08984375" style="2" customWidth="1"/>
    <col min="3591" max="3591" width="9.6328125" style="2" customWidth="1"/>
    <col min="3592" max="3593" width="11.6328125" style="2" customWidth="1"/>
    <col min="3594" max="3594" width="15.36328125" style="2" customWidth="1"/>
    <col min="3595" max="3595" width="10.90625" style="2" customWidth="1"/>
    <col min="3596" max="3606" width="13.36328125" style="2" customWidth="1"/>
    <col min="3607" max="3607" width="13.6328125" style="2" customWidth="1"/>
    <col min="3608" max="3608" width="16.453125" style="2" customWidth="1"/>
    <col min="3609" max="3843" width="9" style="2"/>
    <col min="3844" max="3844" width="9.6328125" style="2" customWidth="1"/>
    <col min="3845" max="3846" width="5.08984375" style="2" customWidth="1"/>
    <col min="3847" max="3847" width="9.6328125" style="2" customWidth="1"/>
    <col min="3848" max="3849" width="11.6328125" style="2" customWidth="1"/>
    <col min="3850" max="3850" width="15.36328125" style="2" customWidth="1"/>
    <col min="3851" max="3851" width="10.90625" style="2" customWidth="1"/>
    <col min="3852" max="3862" width="13.36328125" style="2" customWidth="1"/>
    <col min="3863" max="3863" width="13.6328125" style="2" customWidth="1"/>
    <col min="3864" max="3864" width="16.453125" style="2" customWidth="1"/>
    <col min="3865" max="4099" width="9" style="2"/>
    <col min="4100" max="4100" width="9.6328125" style="2" customWidth="1"/>
    <col min="4101" max="4102" width="5.08984375" style="2" customWidth="1"/>
    <col min="4103" max="4103" width="9.6328125" style="2" customWidth="1"/>
    <col min="4104" max="4105" width="11.6328125" style="2" customWidth="1"/>
    <col min="4106" max="4106" width="15.36328125" style="2" customWidth="1"/>
    <col min="4107" max="4107" width="10.90625" style="2" customWidth="1"/>
    <col min="4108" max="4118" width="13.36328125" style="2" customWidth="1"/>
    <col min="4119" max="4119" width="13.6328125" style="2" customWidth="1"/>
    <col min="4120" max="4120" width="16.453125" style="2" customWidth="1"/>
    <col min="4121" max="4355" width="9" style="2"/>
    <col min="4356" max="4356" width="9.6328125" style="2" customWidth="1"/>
    <col min="4357" max="4358" width="5.08984375" style="2" customWidth="1"/>
    <col min="4359" max="4359" width="9.6328125" style="2" customWidth="1"/>
    <col min="4360" max="4361" width="11.6328125" style="2" customWidth="1"/>
    <col min="4362" max="4362" width="15.36328125" style="2" customWidth="1"/>
    <col min="4363" max="4363" width="10.90625" style="2" customWidth="1"/>
    <col min="4364" max="4374" width="13.36328125" style="2" customWidth="1"/>
    <col min="4375" max="4375" width="13.6328125" style="2" customWidth="1"/>
    <col min="4376" max="4376" width="16.453125" style="2" customWidth="1"/>
    <col min="4377" max="4611" width="9" style="2"/>
    <col min="4612" max="4612" width="9.6328125" style="2" customWidth="1"/>
    <col min="4613" max="4614" width="5.08984375" style="2" customWidth="1"/>
    <col min="4615" max="4615" width="9.6328125" style="2" customWidth="1"/>
    <col min="4616" max="4617" width="11.6328125" style="2" customWidth="1"/>
    <col min="4618" max="4618" width="15.36328125" style="2" customWidth="1"/>
    <col min="4619" max="4619" width="10.90625" style="2" customWidth="1"/>
    <col min="4620" max="4630" width="13.36328125" style="2" customWidth="1"/>
    <col min="4631" max="4631" width="13.6328125" style="2" customWidth="1"/>
    <col min="4632" max="4632" width="16.453125" style="2" customWidth="1"/>
    <col min="4633" max="4867" width="9" style="2"/>
    <col min="4868" max="4868" width="9.6328125" style="2" customWidth="1"/>
    <col min="4869" max="4870" width="5.08984375" style="2" customWidth="1"/>
    <col min="4871" max="4871" width="9.6328125" style="2" customWidth="1"/>
    <col min="4872" max="4873" width="11.6328125" style="2" customWidth="1"/>
    <col min="4874" max="4874" width="15.36328125" style="2" customWidth="1"/>
    <col min="4875" max="4875" width="10.90625" style="2" customWidth="1"/>
    <col min="4876" max="4886" width="13.36328125" style="2" customWidth="1"/>
    <col min="4887" max="4887" width="13.6328125" style="2" customWidth="1"/>
    <col min="4888" max="4888" width="16.453125" style="2" customWidth="1"/>
    <col min="4889" max="5123" width="9" style="2"/>
    <col min="5124" max="5124" width="9.6328125" style="2" customWidth="1"/>
    <col min="5125" max="5126" width="5.08984375" style="2" customWidth="1"/>
    <col min="5127" max="5127" width="9.6328125" style="2" customWidth="1"/>
    <col min="5128" max="5129" width="11.6328125" style="2" customWidth="1"/>
    <col min="5130" max="5130" width="15.36328125" style="2" customWidth="1"/>
    <col min="5131" max="5131" width="10.90625" style="2" customWidth="1"/>
    <col min="5132" max="5142" width="13.36328125" style="2" customWidth="1"/>
    <col min="5143" max="5143" width="13.6328125" style="2" customWidth="1"/>
    <col min="5144" max="5144" width="16.453125" style="2" customWidth="1"/>
    <col min="5145" max="5379" width="9" style="2"/>
    <col min="5380" max="5380" width="9.6328125" style="2" customWidth="1"/>
    <col min="5381" max="5382" width="5.08984375" style="2" customWidth="1"/>
    <col min="5383" max="5383" width="9.6328125" style="2" customWidth="1"/>
    <col min="5384" max="5385" width="11.6328125" style="2" customWidth="1"/>
    <col min="5386" max="5386" width="15.36328125" style="2" customWidth="1"/>
    <col min="5387" max="5387" width="10.90625" style="2" customWidth="1"/>
    <col min="5388" max="5398" width="13.36328125" style="2" customWidth="1"/>
    <col min="5399" max="5399" width="13.6328125" style="2" customWidth="1"/>
    <col min="5400" max="5400" width="16.453125" style="2" customWidth="1"/>
    <col min="5401" max="5635" width="9" style="2"/>
    <col min="5636" max="5636" width="9.6328125" style="2" customWidth="1"/>
    <col min="5637" max="5638" width="5.08984375" style="2" customWidth="1"/>
    <col min="5639" max="5639" width="9.6328125" style="2" customWidth="1"/>
    <col min="5640" max="5641" width="11.6328125" style="2" customWidth="1"/>
    <col min="5642" max="5642" width="15.36328125" style="2" customWidth="1"/>
    <col min="5643" max="5643" width="10.90625" style="2" customWidth="1"/>
    <col min="5644" max="5654" width="13.36328125" style="2" customWidth="1"/>
    <col min="5655" max="5655" width="13.6328125" style="2" customWidth="1"/>
    <col min="5656" max="5656" width="16.453125" style="2" customWidth="1"/>
    <col min="5657" max="5891" width="9" style="2"/>
    <col min="5892" max="5892" width="9.6328125" style="2" customWidth="1"/>
    <col min="5893" max="5894" width="5.08984375" style="2" customWidth="1"/>
    <col min="5895" max="5895" width="9.6328125" style="2" customWidth="1"/>
    <col min="5896" max="5897" width="11.6328125" style="2" customWidth="1"/>
    <col min="5898" max="5898" width="15.36328125" style="2" customWidth="1"/>
    <col min="5899" max="5899" width="10.90625" style="2" customWidth="1"/>
    <col min="5900" max="5910" width="13.36328125" style="2" customWidth="1"/>
    <col min="5911" max="5911" width="13.6328125" style="2" customWidth="1"/>
    <col min="5912" max="5912" width="16.453125" style="2" customWidth="1"/>
    <col min="5913" max="6147" width="9" style="2"/>
    <col min="6148" max="6148" width="9.6328125" style="2" customWidth="1"/>
    <col min="6149" max="6150" width="5.08984375" style="2" customWidth="1"/>
    <col min="6151" max="6151" width="9.6328125" style="2" customWidth="1"/>
    <col min="6152" max="6153" width="11.6328125" style="2" customWidth="1"/>
    <col min="6154" max="6154" width="15.36328125" style="2" customWidth="1"/>
    <col min="6155" max="6155" width="10.90625" style="2" customWidth="1"/>
    <col min="6156" max="6166" width="13.36328125" style="2" customWidth="1"/>
    <col min="6167" max="6167" width="13.6328125" style="2" customWidth="1"/>
    <col min="6168" max="6168" width="16.453125" style="2" customWidth="1"/>
    <col min="6169" max="6403" width="9" style="2"/>
    <col min="6404" max="6404" width="9.6328125" style="2" customWidth="1"/>
    <col min="6405" max="6406" width="5.08984375" style="2" customWidth="1"/>
    <col min="6407" max="6407" width="9.6328125" style="2" customWidth="1"/>
    <col min="6408" max="6409" width="11.6328125" style="2" customWidth="1"/>
    <col min="6410" max="6410" width="15.36328125" style="2" customWidth="1"/>
    <col min="6411" max="6411" width="10.90625" style="2" customWidth="1"/>
    <col min="6412" max="6422" width="13.36328125" style="2" customWidth="1"/>
    <col min="6423" max="6423" width="13.6328125" style="2" customWidth="1"/>
    <col min="6424" max="6424" width="16.453125" style="2" customWidth="1"/>
    <col min="6425" max="6659" width="9" style="2"/>
    <col min="6660" max="6660" width="9.6328125" style="2" customWidth="1"/>
    <col min="6661" max="6662" width="5.08984375" style="2" customWidth="1"/>
    <col min="6663" max="6663" width="9.6328125" style="2" customWidth="1"/>
    <col min="6664" max="6665" width="11.6328125" style="2" customWidth="1"/>
    <col min="6666" max="6666" width="15.36328125" style="2" customWidth="1"/>
    <col min="6667" max="6667" width="10.90625" style="2" customWidth="1"/>
    <col min="6668" max="6678" width="13.36328125" style="2" customWidth="1"/>
    <col min="6679" max="6679" width="13.6328125" style="2" customWidth="1"/>
    <col min="6680" max="6680" width="16.453125" style="2" customWidth="1"/>
    <col min="6681" max="6915" width="9" style="2"/>
    <col min="6916" max="6916" width="9.6328125" style="2" customWidth="1"/>
    <col min="6917" max="6918" width="5.08984375" style="2" customWidth="1"/>
    <col min="6919" max="6919" width="9.6328125" style="2" customWidth="1"/>
    <col min="6920" max="6921" width="11.6328125" style="2" customWidth="1"/>
    <col min="6922" max="6922" width="15.36328125" style="2" customWidth="1"/>
    <col min="6923" max="6923" width="10.90625" style="2" customWidth="1"/>
    <col min="6924" max="6934" width="13.36328125" style="2" customWidth="1"/>
    <col min="6935" max="6935" width="13.6328125" style="2" customWidth="1"/>
    <col min="6936" max="6936" width="16.453125" style="2" customWidth="1"/>
    <col min="6937" max="7171" width="9" style="2"/>
    <col min="7172" max="7172" width="9.6328125" style="2" customWidth="1"/>
    <col min="7173" max="7174" width="5.08984375" style="2" customWidth="1"/>
    <col min="7175" max="7175" width="9.6328125" style="2" customWidth="1"/>
    <col min="7176" max="7177" width="11.6328125" style="2" customWidth="1"/>
    <col min="7178" max="7178" width="15.36328125" style="2" customWidth="1"/>
    <col min="7179" max="7179" width="10.90625" style="2" customWidth="1"/>
    <col min="7180" max="7190" width="13.36328125" style="2" customWidth="1"/>
    <col min="7191" max="7191" width="13.6328125" style="2" customWidth="1"/>
    <col min="7192" max="7192" width="16.453125" style="2" customWidth="1"/>
    <col min="7193" max="7427" width="9" style="2"/>
    <col min="7428" max="7428" width="9.6328125" style="2" customWidth="1"/>
    <col min="7429" max="7430" width="5.08984375" style="2" customWidth="1"/>
    <col min="7431" max="7431" width="9.6328125" style="2" customWidth="1"/>
    <col min="7432" max="7433" width="11.6328125" style="2" customWidth="1"/>
    <col min="7434" max="7434" width="15.36328125" style="2" customWidth="1"/>
    <col min="7435" max="7435" width="10.90625" style="2" customWidth="1"/>
    <col min="7436" max="7446" width="13.36328125" style="2" customWidth="1"/>
    <col min="7447" max="7447" width="13.6328125" style="2" customWidth="1"/>
    <col min="7448" max="7448" width="16.453125" style="2" customWidth="1"/>
    <col min="7449" max="7683" width="9" style="2"/>
    <col min="7684" max="7684" width="9.6328125" style="2" customWidth="1"/>
    <col min="7685" max="7686" width="5.08984375" style="2" customWidth="1"/>
    <col min="7687" max="7687" width="9.6328125" style="2" customWidth="1"/>
    <col min="7688" max="7689" width="11.6328125" style="2" customWidth="1"/>
    <col min="7690" max="7690" width="15.36328125" style="2" customWidth="1"/>
    <col min="7691" max="7691" width="10.90625" style="2" customWidth="1"/>
    <col min="7692" max="7702" width="13.36328125" style="2" customWidth="1"/>
    <col min="7703" max="7703" width="13.6328125" style="2" customWidth="1"/>
    <col min="7704" max="7704" width="16.453125" style="2" customWidth="1"/>
    <col min="7705" max="7939" width="9" style="2"/>
    <col min="7940" max="7940" width="9.6328125" style="2" customWidth="1"/>
    <col min="7941" max="7942" width="5.08984375" style="2" customWidth="1"/>
    <col min="7943" max="7943" width="9.6328125" style="2" customWidth="1"/>
    <col min="7944" max="7945" width="11.6328125" style="2" customWidth="1"/>
    <col min="7946" max="7946" width="15.36328125" style="2" customWidth="1"/>
    <col min="7947" max="7947" width="10.90625" style="2" customWidth="1"/>
    <col min="7948" max="7958" width="13.36328125" style="2" customWidth="1"/>
    <col min="7959" max="7959" width="13.6328125" style="2" customWidth="1"/>
    <col min="7960" max="7960" width="16.453125" style="2" customWidth="1"/>
    <col min="7961" max="8195" width="9" style="2"/>
    <col min="8196" max="8196" width="9.6328125" style="2" customWidth="1"/>
    <col min="8197" max="8198" width="5.08984375" style="2" customWidth="1"/>
    <col min="8199" max="8199" width="9.6328125" style="2" customWidth="1"/>
    <col min="8200" max="8201" width="11.6328125" style="2" customWidth="1"/>
    <col min="8202" max="8202" width="15.36328125" style="2" customWidth="1"/>
    <col min="8203" max="8203" width="10.90625" style="2" customWidth="1"/>
    <col min="8204" max="8214" width="13.36328125" style="2" customWidth="1"/>
    <col min="8215" max="8215" width="13.6328125" style="2" customWidth="1"/>
    <col min="8216" max="8216" width="16.453125" style="2" customWidth="1"/>
    <col min="8217" max="8451" width="9" style="2"/>
    <col min="8452" max="8452" width="9.6328125" style="2" customWidth="1"/>
    <col min="8453" max="8454" width="5.08984375" style="2" customWidth="1"/>
    <col min="8455" max="8455" width="9.6328125" style="2" customWidth="1"/>
    <col min="8456" max="8457" width="11.6328125" style="2" customWidth="1"/>
    <col min="8458" max="8458" width="15.36328125" style="2" customWidth="1"/>
    <col min="8459" max="8459" width="10.90625" style="2" customWidth="1"/>
    <col min="8460" max="8470" width="13.36328125" style="2" customWidth="1"/>
    <col min="8471" max="8471" width="13.6328125" style="2" customWidth="1"/>
    <col min="8472" max="8472" width="16.453125" style="2" customWidth="1"/>
    <col min="8473" max="8707" width="9" style="2"/>
    <col min="8708" max="8708" width="9.6328125" style="2" customWidth="1"/>
    <col min="8709" max="8710" width="5.08984375" style="2" customWidth="1"/>
    <col min="8711" max="8711" width="9.6328125" style="2" customWidth="1"/>
    <col min="8712" max="8713" width="11.6328125" style="2" customWidth="1"/>
    <col min="8714" max="8714" width="15.36328125" style="2" customWidth="1"/>
    <col min="8715" max="8715" width="10.90625" style="2" customWidth="1"/>
    <col min="8716" max="8726" width="13.36328125" style="2" customWidth="1"/>
    <col min="8727" max="8727" width="13.6328125" style="2" customWidth="1"/>
    <col min="8728" max="8728" width="16.453125" style="2" customWidth="1"/>
    <col min="8729" max="8963" width="9" style="2"/>
    <col min="8964" max="8964" width="9.6328125" style="2" customWidth="1"/>
    <col min="8965" max="8966" width="5.08984375" style="2" customWidth="1"/>
    <col min="8967" max="8967" width="9.6328125" style="2" customWidth="1"/>
    <col min="8968" max="8969" width="11.6328125" style="2" customWidth="1"/>
    <col min="8970" max="8970" width="15.36328125" style="2" customWidth="1"/>
    <col min="8971" max="8971" width="10.90625" style="2" customWidth="1"/>
    <col min="8972" max="8982" width="13.36328125" style="2" customWidth="1"/>
    <col min="8983" max="8983" width="13.6328125" style="2" customWidth="1"/>
    <col min="8984" max="8984" width="16.453125" style="2" customWidth="1"/>
    <col min="8985" max="9219" width="9" style="2"/>
    <col min="9220" max="9220" width="9.6328125" style="2" customWidth="1"/>
    <col min="9221" max="9222" width="5.08984375" style="2" customWidth="1"/>
    <col min="9223" max="9223" width="9.6328125" style="2" customWidth="1"/>
    <col min="9224" max="9225" width="11.6328125" style="2" customWidth="1"/>
    <col min="9226" max="9226" width="15.36328125" style="2" customWidth="1"/>
    <col min="9227" max="9227" width="10.90625" style="2" customWidth="1"/>
    <col min="9228" max="9238" width="13.36328125" style="2" customWidth="1"/>
    <col min="9239" max="9239" width="13.6328125" style="2" customWidth="1"/>
    <col min="9240" max="9240" width="16.453125" style="2" customWidth="1"/>
    <col min="9241" max="9475" width="9" style="2"/>
    <col min="9476" max="9476" width="9.6328125" style="2" customWidth="1"/>
    <col min="9477" max="9478" width="5.08984375" style="2" customWidth="1"/>
    <col min="9479" max="9479" width="9.6328125" style="2" customWidth="1"/>
    <col min="9480" max="9481" width="11.6328125" style="2" customWidth="1"/>
    <col min="9482" max="9482" width="15.36328125" style="2" customWidth="1"/>
    <col min="9483" max="9483" width="10.90625" style="2" customWidth="1"/>
    <col min="9484" max="9494" width="13.36328125" style="2" customWidth="1"/>
    <col min="9495" max="9495" width="13.6328125" style="2" customWidth="1"/>
    <col min="9496" max="9496" width="16.453125" style="2" customWidth="1"/>
    <col min="9497" max="9731" width="9" style="2"/>
    <col min="9732" max="9732" width="9.6328125" style="2" customWidth="1"/>
    <col min="9733" max="9734" width="5.08984375" style="2" customWidth="1"/>
    <col min="9735" max="9735" width="9.6328125" style="2" customWidth="1"/>
    <col min="9736" max="9737" width="11.6328125" style="2" customWidth="1"/>
    <col min="9738" max="9738" width="15.36328125" style="2" customWidth="1"/>
    <col min="9739" max="9739" width="10.90625" style="2" customWidth="1"/>
    <col min="9740" max="9750" width="13.36328125" style="2" customWidth="1"/>
    <col min="9751" max="9751" width="13.6328125" style="2" customWidth="1"/>
    <col min="9752" max="9752" width="16.453125" style="2" customWidth="1"/>
    <col min="9753" max="9987" width="9" style="2"/>
    <col min="9988" max="9988" width="9.6328125" style="2" customWidth="1"/>
    <col min="9989" max="9990" width="5.08984375" style="2" customWidth="1"/>
    <col min="9991" max="9991" width="9.6328125" style="2" customWidth="1"/>
    <col min="9992" max="9993" width="11.6328125" style="2" customWidth="1"/>
    <col min="9994" max="9994" width="15.36328125" style="2" customWidth="1"/>
    <col min="9995" max="9995" width="10.90625" style="2" customWidth="1"/>
    <col min="9996" max="10006" width="13.36328125" style="2" customWidth="1"/>
    <col min="10007" max="10007" width="13.6328125" style="2" customWidth="1"/>
    <col min="10008" max="10008" width="16.453125" style="2" customWidth="1"/>
    <col min="10009" max="10243" width="9" style="2"/>
    <col min="10244" max="10244" width="9.6328125" style="2" customWidth="1"/>
    <col min="10245" max="10246" width="5.08984375" style="2" customWidth="1"/>
    <col min="10247" max="10247" width="9.6328125" style="2" customWidth="1"/>
    <col min="10248" max="10249" width="11.6328125" style="2" customWidth="1"/>
    <col min="10250" max="10250" width="15.36328125" style="2" customWidth="1"/>
    <col min="10251" max="10251" width="10.90625" style="2" customWidth="1"/>
    <col min="10252" max="10262" width="13.36328125" style="2" customWidth="1"/>
    <col min="10263" max="10263" width="13.6328125" style="2" customWidth="1"/>
    <col min="10264" max="10264" width="16.453125" style="2" customWidth="1"/>
    <col min="10265" max="10499" width="9" style="2"/>
    <col min="10500" max="10500" width="9.6328125" style="2" customWidth="1"/>
    <col min="10501" max="10502" width="5.08984375" style="2" customWidth="1"/>
    <col min="10503" max="10503" width="9.6328125" style="2" customWidth="1"/>
    <col min="10504" max="10505" width="11.6328125" style="2" customWidth="1"/>
    <col min="10506" max="10506" width="15.36328125" style="2" customWidth="1"/>
    <col min="10507" max="10507" width="10.90625" style="2" customWidth="1"/>
    <col min="10508" max="10518" width="13.36328125" style="2" customWidth="1"/>
    <col min="10519" max="10519" width="13.6328125" style="2" customWidth="1"/>
    <col min="10520" max="10520" width="16.453125" style="2" customWidth="1"/>
    <col min="10521" max="10755" width="9" style="2"/>
    <col min="10756" max="10756" width="9.6328125" style="2" customWidth="1"/>
    <col min="10757" max="10758" width="5.08984375" style="2" customWidth="1"/>
    <col min="10759" max="10759" width="9.6328125" style="2" customWidth="1"/>
    <col min="10760" max="10761" width="11.6328125" style="2" customWidth="1"/>
    <col min="10762" max="10762" width="15.36328125" style="2" customWidth="1"/>
    <col min="10763" max="10763" width="10.90625" style="2" customWidth="1"/>
    <col min="10764" max="10774" width="13.36328125" style="2" customWidth="1"/>
    <col min="10775" max="10775" width="13.6328125" style="2" customWidth="1"/>
    <col min="10776" max="10776" width="16.453125" style="2" customWidth="1"/>
    <col min="10777" max="11011" width="9" style="2"/>
    <col min="11012" max="11012" width="9.6328125" style="2" customWidth="1"/>
    <col min="11013" max="11014" width="5.08984375" style="2" customWidth="1"/>
    <col min="11015" max="11015" width="9.6328125" style="2" customWidth="1"/>
    <col min="11016" max="11017" width="11.6328125" style="2" customWidth="1"/>
    <col min="11018" max="11018" width="15.36328125" style="2" customWidth="1"/>
    <col min="11019" max="11019" width="10.90625" style="2" customWidth="1"/>
    <col min="11020" max="11030" width="13.36328125" style="2" customWidth="1"/>
    <col min="11031" max="11031" width="13.6328125" style="2" customWidth="1"/>
    <col min="11032" max="11032" width="16.453125" style="2" customWidth="1"/>
    <col min="11033" max="11267" width="9" style="2"/>
    <col min="11268" max="11268" width="9.6328125" style="2" customWidth="1"/>
    <col min="11269" max="11270" width="5.08984375" style="2" customWidth="1"/>
    <col min="11271" max="11271" width="9.6328125" style="2" customWidth="1"/>
    <col min="11272" max="11273" width="11.6328125" style="2" customWidth="1"/>
    <col min="11274" max="11274" width="15.36328125" style="2" customWidth="1"/>
    <col min="11275" max="11275" width="10.90625" style="2" customWidth="1"/>
    <col min="11276" max="11286" width="13.36328125" style="2" customWidth="1"/>
    <col min="11287" max="11287" width="13.6328125" style="2" customWidth="1"/>
    <col min="11288" max="11288" width="16.453125" style="2" customWidth="1"/>
    <col min="11289" max="11523" width="9" style="2"/>
    <col min="11524" max="11524" width="9.6328125" style="2" customWidth="1"/>
    <col min="11525" max="11526" width="5.08984375" style="2" customWidth="1"/>
    <col min="11527" max="11527" width="9.6328125" style="2" customWidth="1"/>
    <col min="11528" max="11529" width="11.6328125" style="2" customWidth="1"/>
    <col min="11530" max="11530" width="15.36328125" style="2" customWidth="1"/>
    <col min="11531" max="11531" width="10.90625" style="2" customWidth="1"/>
    <col min="11532" max="11542" width="13.36328125" style="2" customWidth="1"/>
    <col min="11543" max="11543" width="13.6328125" style="2" customWidth="1"/>
    <col min="11544" max="11544" width="16.453125" style="2" customWidth="1"/>
    <col min="11545" max="11779" width="9" style="2"/>
    <col min="11780" max="11780" width="9.6328125" style="2" customWidth="1"/>
    <col min="11781" max="11782" width="5.08984375" style="2" customWidth="1"/>
    <col min="11783" max="11783" width="9.6328125" style="2" customWidth="1"/>
    <col min="11784" max="11785" width="11.6328125" style="2" customWidth="1"/>
    <col min="11786" max="11786" width="15.36328125" style="2" customWidth="1"/>
    <col min="11787" max="11787" width="10.90625" style="2" customWidth="1"/>
    <col min="11788" max="11798" width="13.36328125" style="2" customWidth="1"/>
    <col min="11799" max="11799" width="13.6328125" style="2" customWidth="1"/>
    <col min="11800" max="11800" width="16.453125" style="2" customWidth="1"/>
    <col min="11801" max="12035" width="9" style="2"/>
    <col min="12036" max="12036" width="9.6328125" style="2" customWidth="1"/>
    <col min="12037" max="12038" width="5.08984375" style="2" customWidth="1"/>
    <col min="12039" max="12039" width="9.6328125" style="2" customWidth="1"/>
    <col min="12040" max="12041" width="11.6328125" style="2" customWidth="1"/>
    <col min="12042" max="12042" width="15.36328125" style="2" customWidth="1"/>
    <col min="12043" max="12043" width="10.90625" style="2" customWidth="1"/>
    <col min="12044" max="12054" width="13.36328125" style="2" customWidth="1"/>
    <col min="12055" max="12055" width="13.6328125" style="2" customWidth="1"/>
    <col min="12056" max="12056" width="16.453125" style="2" customWidth="1"/>
    <col min="12057" max="12291" width="9" style="2"/>
    <col min="12292" max="12292" width="9.6328125" style="2" customWidth="1"/>
    <col min="12293" max="12294" width="5.08984375" style="2" customWidth="1"/>
    <col min="12295" max="12295" width="9.6328125" style="2" customWidth="1"/>
    <col min="12296" max="12297" width="11.6328125" style="2" customWidth="1"/>
    <col min="12298" max="12298" width="15.36328125" style="2" customWidth="1"/>
    <col min="12299" max="12299" width="10.90625" style="2" customWidth="1"/>
    <col min="12300" max="12310" width="13.36328125" style="2" customWidth="1"/>
    <col min="12311" max="12311" width="13.6328125" style="2" customWidth="1"/>
    <col min="12312" max="12312" width="16.453125" style="2" customWidth="1"/>
    <col min="12313" max="12547" width="9" style="2"/>
    <col min="12548" max="12548" width="9.6328125" style="2" customWidth="1"/>
    <col min="12549" max="12550" width="5.08984375" style="2" customWidth="1"/>
    <col min="12551" max="12551" width="9.6328125" style="2" customWidth="1"/>
    <col min="12552" max="12553" width="11.6328125" style="2" customWidth="1"/>
    <col min="12554" max="12554" width="15.36328125" style="2" customWidth="1"/>
    <col min="12555" max="12555" width="10.90625" style="2" customWidth="1"/>
    <col min="12556" max="12566" width="13.36328125" style="2" customWidth="1"/>
    <col min="12567" max="12567" width="13.6328125" style="2" customWidth="1"/>
    <col min="12568" max="12568" width="16.453125" style="2" customWidth="1"/>
    <col min="12569" max="12803" width="9" style="2"/>
    <col min="12804" max="12804" width="9.6328125" style="2" customWidth="1"/>
    <col min="12805" max="12806" width="5.08984375" style="2" customWidth="1"/>
    <col min="12807" max="12807" width="9.6328125" style="2" customWidth="1"/>
    <col min="12808" max="12809" width="11.6328125" style="2" customWidth="1"/>
    <col min="12810" max="12810" width="15.36328125" style="2" customWidth="1"/>
    <col min="12811" max="12811" width="10.90625" style="2" customWidth="1"/>
    <col min="12812" max="12822" width="13.36328125" style="2" customWidth="1"/>
    <col min="12823" max="12823" width="13.6328125" style="2" customWidth="1"/>
    <col min="12824" max="12824" width="16.453125" style="2" customWidth="1"/>
    <col min="12825" max="13059" width="9" style="2"/>
    <col min="13060" max="13060" width="9.6328125" style="2" customWidth="1"/>
    <col min="13061" max="13062" width="5.08984375" style="2" customWidth="1"/>
    <col min="13063" max="13063" width="9.6328125" style="2" customWidth="1"/>
    <col min="13064" max="13065" width="11.6328125" style="2" customWidth="1"/>
    <col min="13066" max="13066" width="15.36328125" style="2" customWidth="1"/>
    <col min="13067" max="13067" width="10.90625" style="2" customWidth="1"/>
    <col min="13068" max="13078" width="13.36328125" style="2" customWidth="1"/>
    <col min="13079" max="13079" width="13.6328125" style="2" customWidth="1"/>
    <col min="13080" max="13080" width="16.453125" style="2" customWidth="1"/>
    <col min="13081" max="13315" width="9" style="2"/>
    <col min="13316" max="13316" width="9.6328125" style="2" customWidth="1"/>
    <col min="13317" max="13318" width="5.08984375" style="2" customWidth="1"/>
    <col min="13319" max="13319" width="9.6328125" style="2" customWidth="1"/>
    <col min="13320" max="13321" width="11.6328125" style="2" customWidth="1"/>
    <col min="13322" max="13322" width="15.36328125" style="2" customWidth="1"/>
    <col min="13323" max="13323" width="10.90625" style="2" customWidth="1"/>
    <col min="13324" max="13334" width="13.36328125" style="2" customWidth="1"/>
    <col min="13335" max="13335" width="13.6328125" style="2" customWidth="1"/>
    <col min="13336" max="13336" width="16.453125" style="2" customWidth="1"/>
    <col min="13337" max="13571" width="9" style="2"/>
    <col min="13572" max="13572" width="9.6328125" style="2" customWidth="1"/>
    <col min="13573" max="13574" width="5.08984375" style="2" customWidth="1"/>
    <col min="13575" max="13575" width="9.6328125" style="2" customWidth="1"/>
    <col min="13576" max="13577" width="11.6328125" style="2" customWidth="1"/>
    <col min="13578" max="13578" width="15.36328125" style="2" customWidth="1"/>
    <col min="13579" max="13579" width="10.90625" style="2" customWidth="1"/>
    <col min="13580" max="13590" width="13.36328125" style="2" customWidth="1"/>
    <col min="13591" max="13591" width="13.6328125" style="2" customWidth="1"/>
    <col min="13592" max="13592" width="16.453125" style="2" customWidth="1"/>
    <col min="13593" max="13827" width="9" style="2"/>
    <col min="13828" max="13828" width="9.6328125" style="2" customWidth="1"/>
    <col min="13829" max="13830" width="5.08984375" style="2" customWidth="1"/>
    <col min="13831" max="13831" width="9.6328125" style="2" customWidth="1"/>
    <col min="13832" max="13833" width="11.6328125" style="2" customWidth="1"/>
    <col min="13834" max="13834" width="15.36328125" style="2" customWidth="1"/>
    <col min="13835" max="13835" width="10.90625" style="2" customWidth="1"/>
    <col min="13836" max="13846" width="13.36328125" style="2" customWidth="1"/>
    <col min="13847" max="13847" width="13.6328125" style="2" customWidth="1"/>
    <col min="13848" max="13848" width="16.453125" style="2" customWidth="1"/>
    <col min="13849" max="14083" width="9" style="2"/>
    <col min="14084" max="14084" width="9.6328125" style="2" customWidth="1"/>
    <col min="14085" max="14086" width="5.08984375" style="2" customWidth="1"/>
    <col min="14087" max="14087" width="9.6328125" style="2" customWidth="1"/>
    <col min="14088" max="14089" width="11.6328125" style="2" customWidth="1"/>
    <col min="14090" max="14090" width="15.36328125" style="2" customWidth="1"/>
    <col min="14091" max="14091" width="10.90625" style="2" customWidth="1"/>
    <col min="14092" max="14102" width="13.36328125" style="2" customWidth="1"/>
    <col min="14103" max="14103" width="13.6328125" style="2" customWidth="1"/>
    <col min="14104" max="14104" width="16.453125" style="2" customWidth="1"/>
    <col min="14105" max="14339" width="9" style="2"/>
    <col min="14340" max="14340" width="9.6328125" style="2" customWidth="1"/>
    <col min="14341" max="14342" width="5.08984375" style="2" customWidth="1"/>
    <col min="14343" max="14343" width="9.6328125" style="2" customWidth="1"/>
    <col min="14344" max="14345" width="11.6328125" style="2" customWidth="1"/>
    <col min="14346" max="14346" width="15.36328125" style="2" customWidth="1"/>
    <col min="14347" max="14347" width="10.90625" style="2" customWidth="1"/>
    <col min="14348" max="14358" width="13.36328125" style="2" customWidth="1"/>
    <col min="14359" max="14359" width="13.6328125" style="2" customWidth="1"/>
    <col min="14360" max="14360" width="16.453125" style="2" customWidth="1"/>
    <col min="14361" max="14595" width="9" style="2"/>
    <col min="14596" max="14596" width="9.6328125" style="2" customWidth="1"/>
    <col min="14597" max="14598" width="5.08984375" style="2" customWidth="1"/>
    <col min="14599" max="14599" width="9.6328125" style="2" customWidth="1"/>
    <col min="14600" max="14601" width="11.6328125" style="2" customWidth="1"/>
    <col min="14602" max="14602" width="15.36328125" style="2" customWidth="1"/>
    <col min="14603" max="14603" width="10.90625" style="2" customWidth="1"/>
    <col min="14604" max="14614" width="13.36328125" style="2" customWidth="1"/>
    <col min="14615" max="14615" width="13.6328125" style="2" customWidth="1"/>
    <col min="14616" max="14616" width="16.453125" style="2" customWidth="1"/>
    <col min="14617" max="14851" width="9" style="2"/>
    <col min="14852" max="14852" width="9.6328125" style="2" customWidth="1"/>
    <col min="14853" max="14854" width="5.08984375" style="2" customWidth="1"/>
    <col min="14855" max="14855" width="9.6328125" style="2" customWidth="1"/>
    <col min="14856" max="14857" width="11.6328125" style="2" customWidth="1"/>
    <col min="14858" max="14858" width="15.36328125" style="2" customWidth="1"/>
    <col min="14859" max="14859" width="10.90625" style="2" customWidth="1"/>
    <col min="14860" max="14870" width="13.36328125" style="2" customWidth="1"/>
    <col min="14871" max="14871" width="13.6328125" style="2" customWidth="1"/>
    <col min="14872" max="14872" width="16.453125" style="2" customWidth="1"/>
    <col min="14873" max="15107" width="9" style="2"/>
    <col min="15108" max="15108" width="9.6328125" style="2" customWidth="1"/>
    <col min="15109" max="15110" width="5.08984375" style="2" customWidth="1"/>
    <col min="15111" max="15111" width="9.6328125" style="2" customWidth="1"/>
    <col min="15112" max="15113" width="11.6328125" style="2" customWidth="1"/>
    <col min="15114" max="15114" width="15.36328125" style="2" customWidth="1"/>
    <col min="15115" max="15115" width="10.90625" style="2" customWidth="1"/>
    <col min="15116" max="15126" width="13.36328125" style="2" customWidth="1"/>
    <col min="15127" max="15127" width="13.6328125" style="2" customWidth="1"/>
    <col min="15128" max="15128" width="16.453125" style="2" customWidth="1"/>
    <col min="15129" max="15363" width="9" style="2"/>
    <col min="15364" max="15364" width="9.6328125" style="2" customWidth="1"/>
    <col min="15365" max="15366" width="5.08984375" style="2" customWidth="1"/>
    <col min="15367" max="15367" width="9.6328125" style="2" customWidth="1"/>
    <col min="15368" max="15369" width="11.6328125" style="2" customWidth="1"/>
    <col min="15370" max="15370" width="15.36328125" style="2" customWidth="1"/>
    <col min="15371" max="15371" width="10.90625" style="2" customWidth="1"/>
    <col min="15372" max="15382" width="13.36328125" style="2" customWidth="1"/>
    <col min="15383" max="15383" width="13.6328125" style="2" customWidth="1"/>
    <col min="15384" max="15384" width="16.453125" style="2" customWidth="1"/>
    <col min="15385" max="15619" width="9" style="2"/>
    <col min="15620" max="15620" width="9.6328125" style="2" customWidth="1"/>
    <col min="15621" max="15622" width="5.08984375" style="2" customWidth="1"/>
    <col min="15623" max="15623" width="9.6328125" style="2" customWidth="1"/>
    <col min="15624" max="15625" width="11.6328125" style="2" customWidth="1"/>
    <col min="15626" max="15626" width="15.36328125" style="2" customWidth="1"/>
    <col min="15627" max="15627" width="10.90625" style="2" customWidth="1"/>
    <col min="15628" max="15638" width="13.36328125" style="2" customWidth="1"/>
    <col min="15639" max="15639" width="13.6328125" style="2" customWidth="1"/>
    <col min="15640" max="15640" width="16.453125" style="2" customWidth="1"/>
    <col min="15641" max="15875" width="9" style="2"/>
    <col min="15876" max="15876" width="9.6328125" style="2" customWidth="1"/>
    <col min="15877" max="15878" width="5.08984375" style="2" customWidth="1"/>
    <col min="15879" max="15879" width="9.6328125" style="2" customWidth="1"/>
    <col min="15880" max="15881" width="11.6328125" style="2" customWidth="1"/>
    <col min="15882" max="15882" width="15.36328125" style="2" customWidth="1"/>
    <col min="15883" max="15883" width="10.90625" style="2" customWidth="1"/>
    <col min="15884" max="15894" width="13.36328125" style="2" customWidth="1"/>
    <col min="15895" max="15895" width="13.6328125" style="2" customWidth="1"/>
    <col min="15896" max="15896" width="16.453125" style="2" customWidth="1"/>
    <col min="15897" max="16131" width="9" style="2"/>
    <col min="16132" max="16132" width="9.6328125" style="2" customWidth="1"/>
    <col min="16133" max="16134" width="5.08984375" style="2" customWidth="1"/>
    <col min="16135" max="16135" width="9.6328125" style="2" customWidth="1"/>
    <col min="16136" max="16137" width="11.6328125" style="2" customWidth="1"/>
    <col min="16138" max="16138" width="15.36328125" style="2" customWidth="1"/>
    <col min="16139" max="16139" width="10.90625" style="2" customWidth="1"/>
    <col min="16140" max="16150" width="13.36328125" style="2" customWidth="1"/>
    <col min="16151" max="16151" width="13.6328125" style="2" customWidth="1"/>
    <col min="16152" max="16152" width="16.453125" style="2" customWidth="1"/>
    <col min="16153" max="16383" width="9" style="2"/>
    <col min="16384" max="16384" width="9" style="2" customWidth="1"/>
  </cols>
  <sheetData>
    <row r="1" spans="1:26" s="127" customFormat="1" ht="36">
      <c r="A1" s="230" t="s">
        <v>153</v>
      </c>
      <c r="B1" s="230" t="s">
        <v>84</v>
      </c>
      <c r="C1" s="133" t="s">
        <v>56</v>
      </c>
      <c r="D1" s="134" t="s">
        <v>0</v>
      </c>
      <c r="E1" s="134" t="s">
        <v>1</v>
      </c>
      <c r="F1" s="135" t="s">
        <v>2</v>
      </c>
      <c r="G1" s="135" t="s">
        <v>58</v>
      </c>
      <c r="H1" s="135" t="s">
        <v>3</v>
      </c>
      <c r="I1" s="136" t="s">
        <v>4</v>
      </c>
      <c r="J1" s="137" t="s">
        <v>5</v>
      </c>
      <c r="K1" s="3" t="s">
        <v>6</v>
      </c>
      <c r="L1" s="237" t="s">
        <v>7</v>
      </c>
      <c r="M1" s="238" t="s">
        <v>8</v>
      </c>
      <c r="N1" s="238" t="s">
        <v>9</v>
      </c>
      <c r="O1" s="238" t="s">
        <v>10</v>
      </c>
      <c r="P1" s="238" t="s">
        <v>11</v>
      </c>
      <c r="Q1" s="238" t="s">
        <v>12</v>
      </c>
      <c r="R1" s="238" t="s">
        <v>13</v>
      </c>
      <c r="S1" s="238" t="s">
        <v>14</v>
      </c>
      <c r="T1" s="238" t="s">
        <v>15</v>
      </c>
      <c r="U1" s="238" t="s">
        <v>16</v>
      </c>
      <c r="V1" s="238" t="s">
        <v>17</v>
      </c>
      <c r="W1" s="231" t="s">
        <v>18</v>
      </c>
      <c r="X1" s="142" t="s">
        <v>19</v>
      </c>
    </row>
    <row r="2" spans="1:26" s="1" customFormat="1">
      <c r="A2" s="112"/>
      <c r="B2" s="72"/>
      <c r="C2" s="548" t="s">
        <v>123</v>
      </c>
      <c r="D2" s="549"/>
      <c r="E2" s="549"/>
      <c r="F2" s="549"/>
      <c r="G2" s="549"/>
      <c r="H2" s="549"/>
      <c r="I2" s="549"/>
      <c r="J2" s="550"/>
      <c r="K2" s="271" t="s">
        <v>20</v>
      </c>
      <c r="L2" s="290">
        <f>L125</f>
        <v>7233400</v>
      </c>
      <c r="M2" s="402">
        <f t="shared" ref="M2:W3" si="0">M125</f>
        <v>7381230</v>
      </c>
      <c r="N2" s="402">
        <f t="shared" si="0"/>
        <v>7754925</v>
      </c>
      <c r="O2" s="402">
        <f t="shared" si="0"/>
        <v>7945385</v>
      </c>
      <c r="P2" s="402">
        <f t="shared" si="0"/>
        <v>7255870</v>
      </c>
      <c r="Q2" s="402">
        <f t="shared" si="0"/>
        <v>7501850</v>
      </c>
      <c r="R2" s="402">
        <f t="shared" si="0"/>
        <v>7944685</v>
      </c>
      <c r="S2" s="402">
        <f t="shared" si="0"/>
        <v>7497605</v>
      </c>
      <c r="T2" s="402">
        <f t="shared" si="0"/>
        <v>7517185</v>
      </c>
      <c r="U2" s="402">
        <f t="shared" si="0"/>
        <v>7830420</v>
      </c>
      <c r="V2" s="402">
        <f t="shared" si="0"/>
        <v>6900465</v>
      </c>
      <c r="W2" s="272">
        <f t="shared" si="0"/>
        <v>7247882.777777778</v>
      </c>
      <c r="X2" s="273">
        <f t="shared" ref="X2:X15" si="1">SUM(L2:W2)</f>
        <v>90010902.777777776</v>
      </c>
      <c r="Z2" s="70"/>
    </row>
    <row r="3" spans="1:26" s="1" customFormat="1">
      <c r="A3" s="112"/>
      <c r="B3" s="72"/>
      <c r="C3" s="551"/>
      <c r="D3" s="552"/>
      <c r="E3" s="552"/>
      <c r="F3" s="552"/>
      <c r="G3" s="552"/>
      <c r="H3" s="552"/>
      <c r="I3" s="552"/>
      <c r="J3" s="553"/>
      <c r="K3" s="144" t="s">
        <v>21</v>
      </c>
      <c r="L3" s="291">
        <f>L126</f>
        <v>5961660</v>
      </c>
      <c r="M3" s="403">
        <f t="shared" si="0"/>
        <v>5817622</v>
      </c>
      <c r="N3" s="403">
        <f t="shared" si="0"/>
        <v>6261808</v>
      </c>
      <c r="O3" s="403">
        <f t="shared" si="0"/>
        <v>6454475</v>
      </c>
      <c r="P3" s="403">
        <f t="shared" si="0"/>
        <v>5955003</v>
      </c>
      <c r="Q3" s="403">
        <f t="shared" si="0"/>
        <v>5994003</v>
      </c>
      <c r="R3" s="403">
        <f t="shared" si="0"/>
        <v>6284881</v>
      </c>
      <c r="S3" s="403">
        <f t="shared" si="0"/>
        <v>6005666</v>
      </c>
      <c r="T3" s="403">
        <f t="shared" si="0"/>
        <v>6199941</v>
      </c>
      <c r="U3" s="403">
        <f t="shared" si="0"/>
        <v>6367285</v>
      </c>
      <c r="V3" s="403">
        <f t="shared" si="0"/>
        <v>5711900</v>
      </c>
      <c r="W3" s="106">
        <f t="shared" si="0"/>
        <v>5939386.1111111101</v>
      </c>
      <c r="X3" s="40">
        <f t="shared" si="1"/>
        <v>72953630.111111104</v>
      </c>
      <c r="Z3" s="70"/>
    </row>
    <row r="4" spans="1:26" s="1" customFormat="1" ht="12.5" thickBot="1">
      <c r="A4" s="112"/>
      <c r="B4" s="72"/>
      <c r="C4" s="554"/>
      <c r="D4" s="555"/>
      <c r="E4" s="555"/>
      <c r="F4" s="555"/>
      <c r="G4" s="555"/>
      <c r="H4" s="555"/>
      <c r="I4" s="555"/>
      <c r="J4" s="556"/>
      <c r="K4" s="150" t="s">
        <v>22</v>
      </c>
      <c r="L4" s="292">
        <f t="shared" ref="L4:W4" si="2">L2-L3</f>
        <v>1271740</v>
      </c>
      <c r="M4" s="404">
        <f t="shared" si="2"/>
        <v>1563608</v>
      </c>
      <c r="N4" s="404">
        <f t="shared" si="2"/>
        <v>1493117</v>
      </c>
      <c r="O4" s="404">
        <f t="shared" si="2"/>
        <v>1490910</v>
      </c>
      <c r="P4" s="404">
        <f t="shared" si="2"/>
        <v>1300867</v>
      </c>
      <c r="Q4" s="404">
        <f t="shared" si="2"/>
        <v>1507847</v>
      </c>
      <c r="R4" s="404">
        <f t="shared" si="2"/>
        <v>1659804</v>
      </c>
      <c r="S4" s="404">
        <f t="shared" si="2"/>
        <v>1491939</v>
      </c>
      <c r="T4" s="404">
        <f t="shared" si="2"/>
        <v>1317244</v>
      </c>
      <c r="U4" s="404">
        <f t="shared" si="2"/>
        <v>1463135</v>
      </c>
      <c r="V4" s="404">
        <f t="shared" si="2"/>
        <v>1188565</v>
      </c>
      <c r="W4" s="107">
        <f t="shared" si="2"/>
        <v>1308496.6666666679</v>
      </c>
      <c r="X4" s="41">
        <f t="shared" si="1"/>
        <v>17057272.666666668</v>
      </c>
      <c r="Z4" s="70"/>
    </row>
    <row r="5" spans="1:26" ht="12.75" customHeight="1" thickTop="1">
      <c r="A5" s="115">
        <v>2017038</v>
      </c>
      <c r="C5" s="642">
        <v>1</v>
      </c>
      <c r="D5" s="645" t="s">
        <v>79</v>
      </c>
      <c r="E5" s="645"/>
      <c r="F5" s="645"/>
      <c r="G5" s="645" t="s">
        <v>148</v>
      </c>
      <c r="H5" s="648"/>
      <c r="I5" s="648"/>
      <c r="J5" s="629" t="s">
        <v>55</v>
      </c>
      <c r="K5" s="275" t="s">
        <v>23</v>
      </c>
      <c r="L5" s="306">
        <f t="shared" ref="L5:W5" si="3">L6+L7</f>
        <v>728500</v>
      </c>
      <c r="M5" s="424">
        <f t="shared" si="3"/>
        <v>700300</v>
      </c>
      <c r="N5" s="424">
        <f t="shared" si="3"/>
        <v>834250</v>
      </c>
      <c r="O5" s="424">
        <f t="shared" si="3"/>
        <v>749650</v>
      </c>
      <c r="P5" s="424">
        <f t="shared" si="3"/>
        <v>688550</v>
      </c>
      <c r="Q5" s="424">
        <f t="shared" si="3"/>
        <v>747300</v>
      </c>
      <c r="R5" s="424">
        <f t="shared" si="3"/>
        <v>801350</v>
      </c>
      <c r="S5" s="424">
        <f t="shared" si="3"/>
        <v>768450</v>
      </c>
      <c r="T5" s="424">
        <f t="shared" si="3"/>
        <v>749650</v>
      </c>
      <c r="U5" s="424">
        <f t="shared" si="3"/>
        <v>662700</v>
      </c>
      <c r="V5" s="424">
        <f t="shared" si="3"/>
        <v>484100</v>
      </c>
      <c r="W5" s="87">
        <f t="shared" si="3"/>
        <v>717088.88888888888</v>
      </c>
      <c r="X5" s="42">
        <f t="shared" si="1"/>
        <v>8631888.8888888881</v>
      </c>
      <c r="Z5" s="69"/>
    </row>
    <row r="6" spans="1:26" ht="13.5" customHeight="1">
      <c r="A6" s="114">
        <f t="shared" ref="A6:A16" si="4">+A5</f>
        <v>2017038</v>
      </c>
      <c r="B6" s="74"/>
      <c r="C6" s="642"/>
      <c r="D6" s="645"/>
      <c r="E6" s="645"/>
      <c r="F6" s="645"/>
      <c r="G6" s="645"/>
      <c r="H6" s="648"/>
      <c r="I6" s="648"/>
      <c r="J6" s="629"/>
      <c r="K6" s="155" t="s">
        <v>24</v>
      </c>
      <c r="L6" s="297">
        <v>728500</v>
      </c>
      <c r="M6" s="297">
        <v>700300</v>
      </c>
      <c r="N6" s="297">
        <v>834250</v>
      </c>
      <c r="O6" s="297">
        <v>749650</v>
      </c>
      <c r="P6" s="297">
        <v>688550</v>
      </c>
      <c r="Q6" s="297">
        <v>747300</v>
      </c>
      <c r="R6" s="297">
        <v>801350</v>
      </c>
      <c r="S6" s="297">
        <v>768450</v>
      </c>
      <c r="T6" s="297">
        <v>749650</v>
      </c>
      <c r="U6" s="297">
        <v>662700</v>
      </c>
      <c r="V6" s="297">
        <v>484100</v>
      </c>
      <c r="W6" s="91">
        <v>717088.88888888888</v>
      </c>
      <c r="X6" s="58">
        <f t="shared" si="1"/>
        <v>8631888.8888888881</v>
      </c>
      <c r="Y6" s="69"/>
      <c r="Z6" s="69"/>
    </row>
    <row r="7" spans="1:26" ht="13.5" customHeight="1">
      <c r="A7" s="114">
        <f t="shared" si="4"/>
        <v>2017038</v>
      </c>
      <c r="B7" s="74"/>
      <c r="C7" s="642"/>
      <c r="D7" s="645"/>
      <c r="E7" s="645"/>
      <c r="F7" s="645"/>
      <c r="G7" s="645"/>
      <c r="H7" s="648"/>
      <c r="I7" s="648"/>
      <c r="J7" s="629"/>
      <c r="K7" s="155" t="s">
        <v>25</v>
      </c>
      <c r="L7" s="295"/>
      <c r="M7" s="297"/>
      <c r="N7" s="297"/>
      <c r="O7" s="297"/>
      <c r="P7" s="297"/>
      <c r="Q7" s="297"/>
      <c r="R7" s="297"/>
      <c r="S7" s="297"/>
      <c r="T7" s="297"/>
      <c r="U7" s="297"/>
      <c r="V7" s="297"/>
      <c r="W7" s="93"/>
      <c r="X7" s="58">
        <f t="shared" si="1"/>
        <v>0</v>
      </c>
      <c r="Z7" s="69"/>
    </row>
    <row r="8" spans="1:26" ht="13.5" customHeight="1">
      <c r="A8" s="114">
        <f t="shared" si="4"/>
        <v>2017038</v>
      </c>
      <c r="B8" s="74"/>
      <c r="C8" s="642"/>
      <c r="D8" s="645"/>
      <c r="E8" s="645"/>
      <c r="F8" s="645"/>
      <c r="G8" s="645"/>
      <c r="H8" s="648"/>
      <c r="I8" s="648"/>
      <c r="J8" s="629"/>
      <c r="K8" s="156" t="s">
        <v>26</v>
      </c>
      <c r="L8" s="296">
        <f t="shared" ref="L8:W8" si="5">SUM(L9:L15)</f>
        <v>601640</v>
      </c>
      <c r="M8" s="411">
        <f t="shared" si="5"/>
        <v>555940</v>
      </c>
      <c r="N8" s="411">
        <f t="shared" si="5"/>
        <v>692574</v>
      </c>
      <c r="O8" s="411">
        <f t="shared" si="5"/>
        <v>620335</v>
      </c>
      <c r="P8" s="411">
        <f t="shared" si="5"/>
        <v>638247</v>
      </c>
      <c r="Q8" s="411">
        <f t="shared" si="5"/>
        <v>591132</v>
      </c>
      <c r="R8" s="411">
        <f t="shared" si="5"/>
        <v>624847</v>
      </c>
      <c r="S8" s="411">
        <f t="shared" si="5"/>
        <v>621564</v>
      </c>
      <c r="T8" s="411">
        <f t="shared" si="5"/>
        <v>636313</v>
      </c>
      <c r="U8" s="411">
        <f t="shared" si="5"/>
        <v>557907</v>
      </c>
      <c r="V8" s="411">
        <f t="shared" si="5"/>
        <v>525828</v>
      </c>
      <c r="W8" s="108">
        <f t="shared" si="5"/>
        <v>594380.88888888888</v>
      </c>
      <c r="X8" s="59">
        <f t="shared" si="1"/>
        <v>7260707.888888889</v>
      </c>
      <c r="Z8" s="69"/>
    </row>
    <row r="9" spans="1:26" ht="13.5" customHeight="1">
      <c r="A9" s="114">
        <f t="shared" si="4"/>
        <v>2017038</v>
      </c>
      <c r="B9" s="74"/>
      <c r="C9" s="642"/>
      <c r="D9" s="645"/>
      <c r="E9" s="645"/>
      <c r="F9" s="645"/>
      <c r="G9" s="645"/>
      <c r="H9" s="648"/>
      <c r="I9" s="648"/>
      <c r="J9" s="629"/>
      <c r="K9" s="157" t="s">
        <v>27</v>
      </c>
      <c r="L9" s="297">
        <v>520669</v>
      </c>
      <c r="M9" s="297">
        <v>476932</v>
      </c>
      <c r="N9" s="297">
        <v>611154</v>
      </c>
      <c r="O9" s="297">
        <v>540658</v>
      </c>
      <c r="P9" s="297">
        <v>558384</v>
      </c>
      <c r="Q9" s="297">
        <v>510766</v>
      </c>
      <c r="R9" s="297">
        <v>543851</v>
      </c>
      <c r="S9" s="297">
        <v>541875</v>
      </c>
      <c r="T9" s="297">
        <v>556470</v>
      </c>
      <c r="U9" s="297">
        <v>478879</v>
      </c>
      <c r="V9" s="297">
        <v>446952</v>
      </c>
      <c r="W9" s="91">
        <v>513409.88888888888</v>
      </c>
      <c r="X9" s="58">
        <f t="shared" si="1"/>
        <v>6299999.888888889</v>
      </c>
      <c r="Y9" s="69"/>
      <c r="Z9" s="69"/>
    </row>
    <row r="10" spans="1:26" ht="13.5" customHeight="1">
      <c r="A10" s="114">
        <f t="shared" si="4"/>
        <v>2017038</v>
      </c>
      <c r="B10" s="74"/>
      <c r="C10" s="642"/>
      <c r="D10" s="645"/>
      <c r="E10" s="645"/>
      <c r="F10" s="645"/>
      <c r="G10" s="645"/>
      <c r="H10" s="648"/>
      <c r="I10" s="648"/>
      <c r="J10" s="629"/>
      <c r="K10" s="174" t="s">
        <v>34</v>
      </c>
      <c r="L10" s="297"/>
      <c r="M10" s="297"/>
      <c r="N10" s="297"/>
      <c r="O10" s="297"/>
      <c r="P10" s="297"/>
      <c r="Q10" s="297"/>
      <c r="R10" s="297"/>
      <c r="S10" s="297"/>
      <c r="T10" s="297"/>
      <c r="U10" s="297"/>
      <c r="V10" s="297"/>
      <c r="W10" s="91"/>
      <c r="X10" s="58">
        <f t="shared" si="1"/>
        <v>0</v>
      </c>
      <c r="Y10" s="69"/>
      <c r="Z10" s="69"/>
    </row>
    <row r="11" spans="1:26" ht="13.5" customHeight="1">
      <c r="A11" s="114">
        <f t="shared" si="4"/>
        <v>2017038</v>
      </c>
      <c r="B11" s="74"/>
      <c r="C11" s="642"/>
      <c r="D11" s="645"/>
      <c r="E11" s="645"/>
      <c r="F11" s="645"/>
      <c r="G11" s="645"/>
      <c r="H11" s="648"/>
      <c r="I11" s="648"/>
      <c r="J11" s="629"/>
      <c r="K11" s="157" t="s">
        <v>28</v>
      </c>
      <c r="L11" s="297">
        <v>1488</v>
      </c>
      <c r="M11" s="297">
        <v>0</v>
      </c>
      <c r="N11" s="297">
        <v>992</v>
      </c>
      <c r="O11" s="297">
        <v>0</v>
      </c>
      <c r="P11" s="297">
        <v>0</v>
      </c>
      <c r="Q11" s="297">
        <v>992</v>
      </c>
      <c r="R11" s="297">
        <v>1272</v>
      </c>
      <c r="S11" s="297">
        <v>0</v>
      </c>
      <c r="T11" s="297">
        <v>0</v>
      </c>
      <c r="U11" s="297">
        <v>0</v>
      </c>
      <c r="V11" s="297">
        <v>0</v>
      </c>
      <c r="W11" s="91">
        <v>1488</v>
      </c>
      <c r="X11" s="58">
        <f t="shared" si="1"/>
        <v>6232</v>
      </c>
      <c r="Y11" s="69"/>
      <c r="Z11" s="69"/>
    </row>
    <row r="12" spans="1:26" ht="13.5" customHeight="1">
      <c r="A12" s="114">
        <f t="shared" si="4"/>
        <v>2017038</v>
      </c>
      <c r="B12" s="74"/>
      <c r="C12" s="642"/>
      <c r="D12" s="645"/>
      <c r="E12" s="645"/>
      <c r="F12" s="645"/>
      <c r="G12" s="645"/>
      <c r="H12" s="648"/>
      <c r="I12" s="648"/>
      <c r="J12" s="629"/>
      <c r="K12" s="157" t="s">
        <v>29</v>
      </c>
      <c r="L12" s="297">
        <v>28250</v>
      </c>
      <c r="M12" s="297">
        <v>28250</v>
      </c>
      <c r="N12" s="297">
        <v>28250</v>
      </c>
      <c r="O12" s="297">
        <v>28250</v>
      </c>
      <c r="P12" s="297">
        <v>28250</v>
      </c>
      <c r="Q12" s="297">
        <v>28250</v>
      </c>
      <c r="R12" s="297">
        <v>28250</v>
      </c>
      <c r="S12" s="297">
        <v>28250</v>
      </c>
      <c r="T12" s="297">
        <v>28250</v>
      </c>
      <c r="U12" s="297">
        <v>28250</v>
      </c>
      <c r="V12" s="297">
        <v>28250</v>
      </c>
      <c r="W12" s="91">
        <v>28250</v>
      </c>
      <c r="X12" s="58">
        <f t="shared" si="1"/>
        <v>339000</v>
      </c>
      <c r="Y12" s="69"/>
      <c r="Z12" s="69"/>
    </row>
    <row r="13" spans="1:26" ht="13.5" customHeight="1">
      <c r="A13" s="114">
        <f t="shared" si="4"/>
        <v>2017038</v>
      </c>
      <c r="B13" s="74"/>
      <c r="C13" s="642"/>
      <c r="D13" s="645"/>
      <c r="E13" s="645"/>
      <c r="F13" s="645"/>
      <c r="G13" s="645"/>
      <c r="H13" s="648"/>
      <c r="I13" s="648"/>
      <c r="J13" s="629"/>
      <c r="K13" s="157" t="s">
        <v>30</v>
      </c>
      <c r="L13" s="297">
        <v>45750</v>
      </c>
      <c r="M13" s="297">
        <v>45750</v>
      </c>
      <c r="N13" s="297">
        <v>45750</v>
      </c>
      <c r="O13" s="297">
        <v>45750</v>
      </c>
      <c r="P13" s="297">
        <v>45750</v>
      </c>
      <c r="Q13" s="297">
        <v>45750</v>
      </c>
      <c r="R13" s="297">
        <v>45750</v>
      </c>
      <c r="S13" s="297">
        <v>45750</v>
      </c>
      <c r="T13" s="297">
        <v>45750</v>
      </c>
      <c r="U13" s="297">
        <v>45750</v>
      </c>
      <c r="V13" s="297">
        <v>45750</v>
      </c>
      <c r="W13" s="91">
        <v>45750</v>
      </c>
      <c r="X13" s="58">
        <f t="shared" si="1"/>
        <v>549000</v>
      </c>
      <c r="Y13" s="69"/>
      <c r="Z13" s="69"/>
    </row>
    <row r="14" spans="1:26" ht="13.5" customHeight="1">
      <c r="A14" s="114">
        <f t="shared" si="4"/>
        <v>2017038</v>
      </c>
      <c r="B14" s="74"/>
      <c r="C14" s="642"/>
      <c r="D14" s="645"/>
      <c r="E14" s="645"/>
      <c r="F14" s="645"/>
      <c r="G14" s="645"/>
      <c r="H14" s="648"/>
      <c r="I14" s="648"/>
      <c r="J14" s="629"/>
      <c r="K14" s="157" t="s">
        <v>31</v>
      </c>
      <c r="L14" s="297">
        <v>2611</v>
      </c>
      <c r="M14" s="297">
        <v>2385</v>
      </c>
      <c r="N14" s="297">
        <v>3061</v>
      </c>
      <c r="O14" s="297">
        <v>2703</v>
      </c>
      <c r="P14" s="297">
        <v>2792</v>
      </c>
      <c r="Q14" s="297">
        <v>2559</v>
      </c>
      <c r="R14" s="297">
        <v>2726</v>
      </c>
      <c r="S14" s="297">
        <v>2709</v>
      </c>
      <c r="T14" s="297">
        <v>2782</v>
      </c>
      <c r="U14" s="297">
        <v>2394</v>
      </c>
      <c r="V14" s="297">
        <v>2322</v>
      </c>
      <c r="W14" s="91">
        <v>2611</v>
      </c>
      <c r="X14" s="58">
        <f t="shared" si="1"/>
        <v>31655</v>
      </c>
      <c r="Y14" s="69"/>
      <c r="Z14" s="69"/>
    </row>
    <row r="15" spans="1:26" ht="13.5" customHeight="1">
      <c r="A15" s="114">
        <f t="shared" si="4"/>
        <v>2017038</v>
      </c>
      <c r="B15" s="74"/>
      <c r="C15" s="642"/>
      <c r="D15" s="645"/>
      <c r="E15" s="645"/>
      <c r="F15" s="645"/>
      <c r="G15" s="645"/>
      <c r="H15" s="648"/>
      <c r="I15" s="648"/>
      <c r="J15" s="629"/>
      <c r="K15" s="157" t="s">
        <v>32</v>
      </c>
      <c r="L15" s="297">
        <v>2872</v>
      </c>
      <c r="M15" s="297">
        <v>2623</v>
      </c>
      <c r="N15" s="297">
        <v>3367</v>
      </c>
      <c r="O15" s="297">
        <v>2974</v>
      </c>
      <c r="P15" s="297">
        <v>3071</v>
      </c>
      <c r="Q15" s="297">
        <v>2815</v>
      </c>
      <c r="R15" s="297">
        <v>2998</v>
      </c>
      <c r="S15" s="297">
        <v>2980</v>
      </c>
      <c r="T15" s="297">
        <v>3061</v>
      </c>
      <c r="U15" s="297">
        <v>2634</v>
      </c>
      <c r="V15" s="297">
        <v>2554</v>
      </c>
      <c r="W15" s="91">
        <v>2872</v>
      </c>
      <c r="X15" s="58">
        <f t="shared" si="1"/>
        <v>34821</v>
      </c>
      <c r="Y15" s="69"/>
      <c r="Z15" s="69"/>
    </row>
    <row r="16" spans="1:26" ht="14.25" customHeight="1">
      <c r="A16" s="114">
        <f t="shared" si="4"/>
        <v>2017038</v>
      </c>
      <c r="B16" s="74"/>
      <c r="C16" s="654"/>
      <c r="D16" s="655"/>
      <c r="E16" s="655"/>
      <c r="F16" s="655"/>
      <c r="G16" s="655"/>
      <c r="H16" s="652"/>
      <c r="I16" s="652"/>
      <c r="J16" s="630"/>
      <c r="K16" s="158" t="s">
        <v>33</v>
      </c>
      <c r="L16" s="308">
        <f t="shared" ref="L16:X16" si="6">L5-L8</f>
        <v>126860</v>
      </c>
      <c r="M16" s="405">
        <f t="shared" si="6"/>
        <v>144360</v>
      </c>
      <c r="N16" s="405">
        <f t="shared" si="6"/>
        <v>141676</v>
      </c>
      <c r="O16" s="405">
        <f t="shared" si="6"/>
        <v>129315</v>
      </c>
      <c r="P16" s="405">
        <f t="shared" si="6"/>
        <v>50303</v>
      </c>
      <c r="Q16" s="405">
        <f t="shared" si="6"/>
        <v>156168</v>
      </c>
      <c r="R16" s="405">
        <f t="shared" si="6"/>
        <v>176503</v>
      </c>
      <c r="S16" s="405">
        <f t="shared" si="6"/>
        <v>146886</v>
      </c>
      <c r="T16" s="405">
        <f t="shared" si="6"/>
        <v>113337</v>
      </c>
      <c r="U16" s="405">
        <f t="shared" si="6"/>
        <v>104793</v>
      </c>
      <c r="V16" s="405">
        <f t="shared" si="6"/>
        <v>-41728</v>
      </c>
      <c r="W16" s="90">
        <f t="shared" si="6"/>
        <v>122708</v>
      </c>
      <c r="X16" s="43">
        <f t="shared" si="6"/>
        <v>1371180.9999999991</v>
      </c>
      <c r="Z16" s="69"/>
    </row>
    <row r="17" spans="1:26" ht="12.75" customHeight="1">
      <c r="A17" s="243">
        <v>2024041</v>
      </c>
      <c r="C17" s="641">
        <f>C5+1</f>
        <v>2</v>
      </c>
      <c r="D17" s="644" t="s">
        <v>59</v>
      </c>
      <c r="E17" s="644"/>
      <c r="F17" s="644"/>
      <c r="G17" s="672" t="s">
        <v>149</v>
      </c>
      <c r="H17" s="647"/>
      <c r="I17" s="647"/>
      <c r="J17" s="628" t="s">
        <v>55</v>
      </c>
      <c r="K17" s="180" t="s">
        <v>23</v>
      </c>
      <c r="L17" s="307">
        <f t="shared" ref="L17:W17" si="7">L18+L19</f>
        <v>801150</v>
      </c>
      <c r="M17" s="406">
        <f t="shared" si="7"/>
        <v>899250</v>
      </c>
      <c r="N17" s="406">
        <f t="shared" si="7"/>
        <v>926500</v>
      </c>
      <c r="O17" s="406">
        <f t="shared" si="7"/>
        <v>1046400</v>
      </c>
      <c r="P17" s="406">
        <f t="shared" si="7"/>
        <v>869275</v>
      </c>
      <c r="Q17" s="406">
        <f t="shared" si="7"/>
        <v>839300</v>
      </c>
      <c r="R17" s="406">
        <f t="shared" si="7"/>
        <v>1008250</v>
      </c>
      <c r="S17" s="406">
        <f t="shared" si="7"/>
        <v>923775</v>
      </c>
      <c r="T17" s="406">
        <f t="shared" si="7"/>
        <v>967375</v>
      </c>
      <c r="U17" s="406">
        <f t="shared" si="7"/>
        <v>880175</v>
      </c>
      <c r="V17" s="406">
        <f t="shared" si="7"/>
        <v>820225</v>
      </c>
      <c r="W17" s="94">
        <f t="shared" si="7"/>
        <v>907425</v>
      </c>
      <c r="X17" s="122">
        <f>SUM(L17:W17)</f>
        <v>10889100</v>
      </c>
      <c r="Z17" s="69"/>
    </row>
    <row r="18" spans="1:26" ht="13.5" customHeight="1">
      <c r="A18" s="114">
        <f t="shared" ref="A18:A28" si="8">+A17</f>
        <v>2024041</v>
      </c>
      <c r="B18" s="74"/>
      <c r="C18" s="642"/>
      <c r="D18" s="645"/>
      <c r="E18" s="645"/>
      <c r="F18" s="645"/>
      <c r="G18" s="673"/>
      <c r="H18" s="648"/>
      <c r="I18" s="648"/>
      <c r="J18" s="629"/>
      <c r="K18" s="155" t="s">
        <v>24</v>
      </c>
      <c r="L18" s="295">
        <v>801150</v>
      </c>
      <c r="M18" s="297">
        <v>899250</v>
      </c>
      <c r="N18" s="297">
        <v>926500</v>
      </c>
      <c r="O18" s="297">
        <v>1046400</v>
      </c>
      <c r="P18" s="297">
        <v>869275</v>
      </c>
      <c r="Q18" s="297">
        <v>839300</v>
      </c>
      <c r="R18" s="297">
        <v>1008250</v>
      </c>
      <c r="S18" s="297">
        <v>923775</v>
      </c>
      <c r="T18" s="297">
        <v>967375</v>
      </c>
      <c r="U18" s="297">
        <v>880175</v>
      </c>
      <c r="V18" s="297">
        <v>820225</v>
      </c>
      <c r="W18" s="91">
        <v>907425</v>
      </c>
      <c r="X18" s="58">
        <f>SUM(L18:W18)</f>
        <v>10889100</v>
      </c>
      <c r="Y18" s="69"/>
      <c r="Z18" s="69"/>
    </row>
    <row r="19" spans="1:26" ht="13.5" customHeight="1">
      <c r="A19" s="114">
        <f t="shared" si="8"/>
        <v>2024041</v>
      </c>
      <c r="B19" s="74"/>
      <c r="C19" s="642"/>
      <c r="D19" s="645"/>
      <c r="E19" s="645"/>
      <c r="F19" s="645"/>
      <c r="G19" s="673"/>
      <c r="H19" s="648"/>
      <c r="I19" s="648"/>
      <c r="J19" s="629"/>
      <c r="K19" s="155" t="s">
        <v>25</v>
      </c>
      <c r="L19" s="295"/>
      <c r="M19" s="297"/>
      <c r="N19" s="297"/>
      <c r="O19" s="297"/>
      <c r="P19" s="297"/>
      <c r="Q19" s="297"/>
      <c r="R19" s="297"/>
      <c r="S19" s="297"/>
      <c r="T19" s="297"/>
      <c r="U19" s="297"/>
      <c r="V19" s="297"/>
      <c r="W19" s="93"/>
      <c r="X19" s="58">
        <v>0</v>
      </c>
      <c r="Z19" s="69"/>
    </row>
    <row r="20" spans="1:26" ht="13.5" customHeight="1">
      <c r="A20" s="114">
        <f t="shared" si="8"/>
        <v>2024041</v>
      </c>
      <c r="B20" s="74"/>
      <c r="C20" s="642"/>
      <c r="D20" s="645"/>
      <c r="E20" s="645"/>
      <c r="F20" s="645"/>
      <c r="G20" s="673"/>
      <c r="H20" s="648"/>
      <c r="I20" s="648"/>
      <c r="J20" s="629"/>
      <c r="K20" s="156" t="s">
        <v>26</v>
      </c>
      <c r="L20" s="296">
        <f t="shared" ref="L20:W20" si="9">SUM(L21:L27)</f>
        <v>644124</v>
      </c>
      <c r="M20" s="411">
        <f t="shared" si="9"/>
        <v>645337</v>
      </c>
      <c r="N20" s="411">
        <f t="shared" si="9"/>
        <v>654555</v>
      </c>
      <c r="O20" s="411">
        <f t="shared" si="9"/>
        <v>685607</v>
      </c>
      <c r="P20" s="411">
        <f t="shared" si="9"/>
        <v>672741</v>
      </c>
      <c r="Q20" s="411">
        <f t="shared" si="9"/>
        <v>641813</v>
      </c>
      <c r="R20" s="411">
        <f t="shared" si="9"/>
        <v>661970</v>
      </c>
      <c r="S20" s="411">
        <f t="shared" si="9"/>
        <v>639657</v>
      </c>
      <c r="T20" s="411">
        <f t="shared" si="9"/>
        <v>683569</v>
      </c>
      <c r="U20" s="411">
        <f t="shared" si="9"/>
        <v>640062</v>
      </c>
      <c r="V20" s="411">
        <f t="shared" si="9"/>
        <v>641392</v>
      </c>
      <c r="W20" s="108">
        <f t="shared" si="9"/>
        <v>645124</v>
      </c>
      <c r="X20" s="59">
        <f t="shared" ref="X20:X27" si="10">SUM(L20:W20)</f>
        <v>7855951</v>
      </c>
      <c r="Z20" s="69"/>
    </row>
    <row r="21" spans="1:26" ht="13.5" customHeight="1">
      <c r="A21" s="114">
        <f t="shared" si="8"/>
        <v>2024041</v>
      </c>
      <c r="B21" s="74"/>
      <c r="C21" s="642"/>
      <c r="D21" s="645"/>
      <c r="E21" s="645"/>
      <c r="F21" s="645"/>
      <c r="G21" s="673"/>
      <c r="H21" s="648"/>
      <c r="I21" s="648"/>
      <c r="J21" s="629"/>
      <c r="K21" s="157" t="s">
        <v>27</v>
      </c>
      <c r="L21" s="297">
        <v>540400</v>
      </c>
      <c r="M21" s="297">
        <v>541600</v>
      </c>
      <c r="N21" s="297">
        <v>550722</v>
      </c>
      <c r="O21" s="297">
        <v>582972</v>
      </c>
      <c r="P21" s="297">
        <v>568931</v>
      </c>
      <c r="Q21" s="297">
        <v>541200</v>
      </c>
      <c r="R21" s="297">
        <v>570917</v>
      </c>
      <c r="S21" s="297">
        <v>545600</v>
      </c>
      <c r="T21" s="297">
        <v>589056</v>
      </c>
      <c r="U21" s="297">
        <v>546000</v>
      </c>
      <c r="V21" s="297">
        <v>545200</v>
      </c>
      <c r="W21" s="91">
        <v>541400</v>
      </c>
      <c r="X21" s="58">
        <f t="shared" si="10"/>
        <v>6663998</v>
      </c>
      <c r="Y21" s="69"/>
      <c r="Z21" s="69"/>
    </row>
    <row r="22" spans="1:26" ht="13.5" customHeight="1">
      <c r="A22" s="114">
        <f t="shared" si="8"/>
        <v>2024041</v>
      </c>
      <c r="B22" s="74"/>
      <c r="C22" s="642"/>
      <c r="D22" s="645"/>
      <c r="E22" s="645"/>
      <c r="F22" s="645"/>
      <c r="G22" s="673"/>
      <c r="H22" s="648"/>
      <c r="I22" s="648"/>
      <c r="J22" s="629"/>
      <c r="K22" s="174" t="s">
        <v>34</v>
      </c>
      <c r="L22" s="297"/>
      <c r="M22" s="297"/>
      <c r="N22" s="297"/>
      <c r="O22" s="297"/>
      <c r="P22" s="297"/>
      <c r="Q22" s="297"/>
      <c r="R22" s="297"/>
      <c r="S22" s="297"/>
      <c r="T22" s="297"/>
      <c r="U22" s="297"/>
      <c r="V22" s="297"/>
      <c r="W22" s="91"/>
      <c r="X22" s="58">
        <f t="shared" si="10"/>
        <v>0</v>
      </c>
      <c r="Y22" s="69"/>
      <c r="Z22" s="69"/>
    </row>
    <row r="23" spans="1:26" ht="13.5" customHeight="1">
      <c r="A23" s="114">
        <f t="shared" si="8"/>
        <v>2024041</v>
      </c>
      <c r="B23" s="74"/>
      <c r="C23" s="642"/>
      <c r="D23" s="645"/>
      <c r="E23" s="645"/>
      <c r="F23" s="645"/>
      <c r="G23" s="673"/>
      <c r="H23" s="648"/>
      <c r="I23" s="648"/>
      <c r="J23" s="629"/>
      <c r="K23" s="157" t="s">
        <v>28</v>
      </c>
      <c r="L23" s="297">
        <v>20000</v>
      </c>
      <c r="M23" s="297">
        <v>20000</v>
      </c>
      <c r="N23" s="297">
        <v>20000</v>
      </c>
      <c r="O23" s="297">
        <v>18480</v>
      </c>
      <c r="P23" s="297">
        <v>19788</v>
      </c>
      <c r="Q23" s="297">
        <v>16912</v>
      </c>
      <c r="R23" s="297">
        <v>7144</v>
      </c>
      <c r="S23" s="297">
        <v>5392</v>
      </c>
      <c r="T23" s="297">
        <v>5392</v>
      </c>
      <c r="U23" s="297">
        <v>5392</v>
      </c>
      <c r="V23" s="297">
        <v>7328</v>
      </c>
      <c r="W23" s="91">
        <v>20000</v>
      </c>
      <c r="X23" s="58">
        <f t="shared" si="10"/>
        <v>165828</v>
      </c>
      <c r="Y23" s="69"/>
      <c r="Z23" s="69"/>
    </row>
    <row r="24" spans="1:26" ht="13.5" customHeight="1">
      <c r="A24" s="114">
        <f t="shared" si="8"/>
        <v>2024041</v>
      </c>
      <c r="B24" s="74"/>
      <c r="C24" s="642"/>
      <c r="D24" s="645"/>
      <c r="E24" s="645"/>
      <c r="F24" s="645"/>
      <c r="G24" s="673"/>
      <c r="H24" s="648"/>
      <c r="I24" s="648"/>
      <c r="J24" s="629"/>
      <c r="K24" s="157" t="s">
        <v>29</v>
      </c>
      <c r="L24" s="297">
        <v>26600</v>
      </c>
      <c r="M24" s="297">
        <v>26600</v>
      </c>
      <c r="N24" s="297">
        <v>26600</v>
      </c>
      <c r="O24" s="297">
        <v>26600</v>
      </c>
      <c r="P24" s="297">
        <v>26600</v>
      </c>
      <c r="Q24" s="297">
        <v>26600</v>
      </c>
      <c r="R24" s="297">
        <v>26600</v>
      </c>
      <c r="S24" s="297">
        <v>31640</v>
      </c>
      <c r="T24" s="297">
        <v>31640</v>
      </c>
      <c r="U24" s="297">
        <v>31640</v>
      </c>
      <c r="V24" s="297">
        <v>31640</v>
      </c>
      <c r="W24" s="91">
        <v>26600</v>
      </c>
      <c r="X24" s="58">
        <f t="shared" si="10"/>
        <v>339360</v>
      </c>
      <c r="Y24" s="69"/>
      <c r="Z24" s="69"/>
    </row>
    <row r="25" spans="1:26" ht="13.5" customHeight="1">
      <c r="A25" s="114">
        <f t="shared" si="8"/>
        <v>2024041</v>
      </c>
      <c r="B25" s="74"/>
      <c r="C25" s="642"/>
      <c r="D25" s="645"/>
      <c r="E25" s="645"/>
      <c r="F25" s="645"/>
      <c r="G25" s="673"/>
      <c r="H25" s="648"/>
      <c r="I25" s="648"/>
      <c r="J25" s="629"/>
      <c r="K25" s="157" t="s">
        <v>30</v>
      </c>
      <c r="L25" s="297">
        <v>51240</v>
      </c>
      <c r="M25" s="297">
        <v>51240</v>
      </c>
      <c r="N25" s="297">
        <v>51240</v>
      </c>
      <c r="O25" s="297">
        <v>51240</v>
      </c>
      <c r="P25" s="297">
        <v>51240</v>
      </c>
      <c r="Q25" s="297">
        <v>51240</v>
      </c>
      <c r="R25" s="297">
        <v>51240</v>
      </c>
      <c r="S25" s="297">
        <v>51240</v>
      </c>
      <c r="T25" s="297">
        <v>51240</v>
      </c>
      <c r="U25" s="297">
        <v>51240</v>
      </c>
      <c r="V25" s="297">
        <v>51240</v>
      </c>
      <c r="W25" s="91">
        <v>51240</v>
      </c>
      <c r="X25" s="58">
        <f t="shared" si="10"/>
        <v>614880</v>
      </c>
      <c r="Y25" s="69"/>
      <c r="Z25" s="69"/>
    </row>
    <row r="26" spans="1:26" ht="13.5" customHeight="1">
      <c r="A26" s="114">
        <f t="shared" si="8"/>
        <v>2024041</v>
      </c>
      <c r="B26" s="74"/>
      <c r="C26" s="642"/>
      <c r="D26" s="645"/>
      <c r="E26" s="645"/>
      <c r="F26" s="645"/>
      <c r="G26" s="673"/>
      <c r="H26" s="648"/>
      <c r="I26" s="648"/>
      <c r="J26" s="629"/>
      <c r="K26" s="157" t="s">
        <v>31</v>
      </c>
      <c r="L26" s="297">
        <v>2802</v>
      </c>
      <c r="M26" s="297">
        <v>2808</v>
      </c>
      <c r="N26" s="297">
        <v>2854</v>
      </c>
      <c r="O26" s="297">
        <v>3007</v>
      </c>
      <c r="P26" s="297">
        <v>2944</v>
      </c>
      <c r="Q26" s="297">
        <v>2791</v>
      </c>
      <c r="R26" s="297">
        <v>2890</v>
      </c>
      <c r="S26" s="297">
        <v>2755</v>
      </c>
      <c r="T26" s="297">
        <v>2972</v>
      </c>
      <c r="U26" s="297">
        <v>2757</v>
      </c>
      <c r="V26" s="297">
        <v>2850</v>
      </c>
      <c r="W26" s="91">
        <v>2802</v>
      </c>
      <c r="X26" s="58">
        <f t="shared" si="10"/>
        <v>34232</v>
      </c>
      <c r="Y26" s="69"/>
      <c r="Z26" s="69"/>
    </row>
    <row r="27" spans="1:26" ht="13.5" customHeight="1">
      <c r="A27" s="114">
        <f t="shared" si="8"/>
        <v>2024041</v>
      </c>
      <c r="B27" s="74"/>
      <c r="C27" s="642"/>
      <c r="D27" s="645"/>
      <c r="E27" s="645"/>
      <c r="F27" s="645"/>
      <c r="G27" s="673"/>
      <c r="H27" s="648"/>
      <c r="I27" s="648"/>
      <c r="J27" s="629"/>
      <c r="K27" s="157" t="s">
        <v>32</v>
      </c>
      <c r="L27" s="297">
        <v>3082</v>
      </c>
      <c r="M27" s="297">
        <v>3089</v>
      </c>
      <c r="N27" s="297">
        <v>3139</v>
      </c>
      <c r="O27" s="297">
        <v>3308</v>
      </c>
      <c r="P27" s="297">
        <v>3238</v>
      </c>
      <c r="Q27" s="297">
        <v>3070</v>
      </c>
      <c r="R27" s="297">
        <v>3179</v>
      </c>
      <c r="S27" s="297">
        <v>3030</v>
      </c>
      <c r="T27" s="297">
        <v>3269</v>
      </c>
      <c r="U27" s="297">
        <v>3033</v>
      </c>
      <c r="V27" s="297">
        <v>3134</v>
      </c>
      <c r="W27" s="91">
        <v>3082</v>
      </c>
      <c r="X27" s="58">
        <f t="shared" si="10"/>
        <v>37653</v>
      </c>
      <c r="Y27" s="69"/>
      <c r="Z27" s="69"/>
    </row>
    <row r="28" spans="1:26" ht="14.25" customHeight="1">
      <c r="A28" s="114">
        <f t="shared" si="8"/>
        <v>2024041</v>
      </c>
      <c r="B28" s="74"/>
      <c r="C28" s="654"/>
      <c r="D28" s="655"/>
      <c r="E28" s="655"/>
      <c r="F28" s="655"/>
      <c r="G28" s="674"/>
      <c r="H28" s="652"/>
      <c r="I28" s="652"/>
      <c r="J28" s="630"/>
      <c r="K28" s="158" t="s">
        <v>33</v>
      </c>
      <c r="L28" s="308">
        <f t="shared" ref="L28:X28" si="11">L17-L20</f>
        <v>157026</v>
      </c>
      <c r="M28" s="405">
        <f t="shared" si="11"/>
        <v>253913</v>
      </c>
      <c r="N28" s="405">
        <f t="shared" si="11"/>
        <v>271945</v>
      </c>
      <c r="O28" s="405">
        <f t="shared" si="11"/>
        <v>360793</v>
      </c>
      <c r="P28" s="405">
        <f t="shared" si="11"/>
        <v>196534</v>
      </c>
      <c r="Q28" s="405">
        <f t="shared" si="11"/>
        <v>197487</v>
      </c>
      <c r="R28" s="405">
        <f t="shared" si="11"/>
        <v>346280</v>
      </c>
      <c r="S28" s="405">
        <f t="shared" si="11"/>
        <v>284118</v>
      </c>
      <c r="T28" s="405">
        <f t="shared" si="11"/>
        <v>283806</v>
      </c>
      <c r="U28" s="405">
        <f t="shared" si="11"/>
        <v>240113</v>
      </c>
      <c r="V28" s="405">
        <f t="shared" si="11"/>
        <v>178833</v>
      </c>
      <c r="W28" s="90">
        <f t="shared" si="11"/>
        <v>262301</v>
      </c>
      <c r="X28" s="43">
        <f t="shared" si="11"/>
        <v>3033149</v>
      </c>
      <c r="Z28" s="69"/>
    </row>
    <row r="29" spans="1:26" ht="12.75" customHeight="1">
      <c r="A29" s="115">
        <v>2019029</v>
      </c>
      <c r="C29" s="641">
        <f t="shared" ref="C29" si="12">C17+1</f>
        <v>3</v>
      </c>
      <c r="D29" s="644" t="s">
        <v>59</v>
      </c>
      <c r="E29" s="644"/>
      <c r="F29" s="644"/>
      <c r="G29" s="672" t="s">
        <v>149</v>
      </c>
      <c r="H29" s="647"/>
      <c r="I29" s="647"/>
      <c r="J29" s="628" t="s">
        <v>55</v>
      </c>
      <c r="K29" s="180" t="s">
        <v>23</v>
      </c>
      <c r="L29" s="307">
        <f t="shared" ref="L29:W29" si="13">L30+L31</f>
        <v>730000</v>
      </c>
      <c r="M29" s="406">
        <f t="shared" si="13"/>
        <v>730000</v>
      </c>
      <c r="N29" s="406">
        <f t="shared" si="13"/>
        <v>730000</v>
      </c>
      <c r="O29" s="406">
        <f t="shared" si="13"/>
        <v>730000</v>
      </c>
      <c r="P29" s="406">
        <f t="shared" si="13"/>
        <v>730000</v>
      </c>
      <c r="Q29" s="406">
        <f t="shared" si="13"/>
        <v>730000</v>
      </c>
      <c r="R29" s="406">
        <f t="shared" si="13"/>
        <v>730000</v>
      </c>
      <c r="S29" s="406">
        <f t="shared" si="13"/>
        <v>730000</v>
      </c>
      <c r="T29" s="406">
        <f t="shared" si="13"/>
        <v>730000</v>
      </c>
      <c r="U29" s="406">
        <f t="shared" si="13"/>
        <v>730000</v>
      </c>
      <c r="V29" s="406">
        <f t="shared" si="13"/>
        <v>730000</v>
      </c>
      <c r="W29" s="94">
        <f t="shared" si="13"/>
        <v>700000</v>
      </c>
      <c r="X29" s="122">
        <f>SUM(L29:W29)</f>
        <v>8730000</v>
      </c>
      <c r="Z29" s="69"/>
    </row>
    <row r="30" spans="1:26" ht="13.5" customHeight="1">
      <c r="A30" s="114">
        <f t="shared" ref="A30:A40" si="14">+A29</f>
        <v>2019029</v>
      </c>
      <c r="B30" s="74"/>
      <c r="C30" s="642"/>
      <c r="D30" s="645"/>
      <c r="E30" s="645"/>
      <c r="F30" s="645"/>
      <c r="G30" s="673"/>
      <c r="H30" s="648"/>
      <c r="I30" s="648"/>
      <c r="J30" s="629"/>
      <c r="K30" s="155" t="s">
        <v>24</v>
      </c>
      <c r="L30" s="295">
        <v>730000</v>
      </c>
      <c r="M30" s="297">
        <v>730000</v>
      </c>
      <c r="N30" s="297">
        <v>730000</v>
      </c>
      <c r="O30" s="297">
        <v>730000</v>
      </c>
      <c r="P30" s="297">
        <v>730000</v>
      </c>
      <c r="Q30" s="297">
        <v>730000</v>
      </c>
      <c r="R30" s="297">
        <v>730000</v>
      </c>
      <c r="S30" s="297">
        <v>730000</v>
      </c>
      <c r="T30" s="297">
        <v>730000</v>
      </c>
      <c r="U30" s="297">
        <v>730000</v>
      </c>
      <c r="V30" s="297">
        <v>730000</v>
      </c>
      <c r="W30" s="91">
        <v>700000</v>
      </c>
      <c r="X30" s="58">
        <f>SUM(L30:W30)</f>
        <v>8730000</v>
      </c>
      <c r="Y30" s="69"/>
      <c r="Z30" s="69"/>
    </row>
    <row r="31" spans="1:26" ht="13.5" customHeight="1">
      <c r="A31" s="114">
        <f t="shared" si="14"/>
        <v>2019029</v>
      </c>
      <c r="B31" s="74"/>
      <c r="C31" s="642"/>
      <c r="D31" s="645"/>
      <c r="E31" s="645"/>
      <c r="F31" s="645"/>
      <c r="G31" s="673"/>
      <c r="H31" s="648"/>
      <c r="I31" s="648"/>
      <c r="J31" s="629"/>
      <c r="K31" s="155" t="s">
        <v>25</v>
      </c>
      <c r="L31" s="295"/>
      <c r="M31" s="297"/>
      <c r="N31" s="297"/>
      <c r="O31" s="297"/>
      <c r="P31" s="297"/>
      <c r="Q31" s="297"/>
      <c r="R31" s="297"/>
      <c r="S31" s="297"/>
      <c r="T31" s="297"/>
      <c r="U31" s="297"/>
      <c r="V31" s="297"/>
      <c r="W31" s="93"/>
      <c r="X31" s="58">
        <v>0</v>
      </c>
      <c r="Z31" s="69"/>
    </row>
    <row r="32" spans="1:26" ht="13.5" customHeight="1">
      <c r="A32" s="114">
        <f t="shared" si="14"/>
        <v>2019029</v>
      </c>
      <c r="B32" s="74"/>
      <c r="C32" s="642"/>
      <c r="D32" s="645"/>
      <c r="E32" s="645"/>
      <c r="F32" s="645"/>
      <c r="G32" s="673"/>
      <c r="H32" s="648"/>
      <c r="I32" s="648"/>
      <c r="J32" s="629"/>
      <c r="K32" s="156" t="s">
        <v>26</v>
      </c>
      <c r="L32" s="296">
        <f t="shared" ref="L32:W32" si="15">SUM(L33:L39)</f>
        <v>541348</v>
      </c>
      <c r="M32" s="411">
        <f t="shared" si="15"/>
        <v>546004</v>
      </c>
      <c r="N32" s="411">
        <f t="shared" si="15"/>
        <v>549885</v>
      </c>
      <c r="O32" s="411">
        <f t="shared" si="15"/>
        <v>546037</v>
      </c>
      <c r="P32" s="411">
        <f t="shared" si="15"/>
        <v>544825</v>
      </c>
      <c r="Q32" s="411">
        <f t="shared" si="15"/>
        <v>548333</v>
      </c>
      <c r="R32" s="411">
        <f t="shared" si="15"/>
        <v>548737</v>
      </c>
      <c r="S32" s="411">
        <f t="shared" si="15"/>
        <v>550136</v>
      </c>
      <c r="T32" s="411">
        <f t="shared" si="15"/>
        <v>547088</v>
      </c>
      <c r="U32" s="411">
        <f t="shared" si="15"/>
        <v>552641</v>
      </c>
      <c r="V32" s="411">
        <f t="shared" si="15"/>
        <v>554611</v>
      </c>
      <c r="W32" s="108">
        <f t="shared" si="15"/>
        <v>529481.33333333326</v>
      </c>
      <c r="X32" s="59">
        <f t="shared" ref="X32:X39" si="16">SUM(L32:W32)</f>
        <v>6559126.333333333</v>
      </c>
      <c r="Z32" s="69"/>
    </row>
    <row r="33" spans="1:26" ht="13.5" customHeight="1">
      <c r="A33" s="114">
        <f t="shared" si="14"/>
        <v>2019029</v>
      </c>
      <c r="B33" s="74"/>
      <c r="C33" s="642"/>
      <c r="D33" s="645"/>
      <c r="E33" s="645"/>
      <c r="F33" s="645"/>
      <c r="G33" s="673"/>
      <c r="H33" s="648"/>
      <c r="I33" s="648"/>
      <c r="J33" s="629"/>
      <c r="K33" s="157" t="s">
        <v>27</v>
      </c>
      <c r="L33" s="297">
        <v>466400</v>
      </c>
      <c r="M33" s="297">
        <v>464000</v>
      </c>
      <c r="N33" s="297">
        <v>462000</v>
      </c>
      <c r="O33" s="297">
        <v>465200</v>
      </c>
      <c r="P33" s="297">
        <v>464000</v>
      </c>
      <c r="Q33" s="297">
        <v>462800</v>
      </c>
      <c r="R33" s="297">
        <v>463200</v>
      </c>
      <c r="S33" s="297">
        <v>460800</v>
      </c>
      <c r="T33" s="297">
        <v>462800</v>
      </c>
      <c r="U33" s="297">
        <v>461200</v>
      </c>
      <c r="V33" s="297">
        <v>460400</v>
      </c>
      <c r="W33" s="91">
        <v>454533.33333333331</v>
      </c>
      <c r="X33" s="58">
        <f t="shared" si="16"/>
        <v>5547333.333333333</v>
      </c>
      <c r="Y33" s="69"/>
      <c r="Z33" s="69"/>
    </row>
    <row r="34" spans="1:26" ht="13.5" customHeight="1">
      <c r="A34" s="114">
        <f t="shared" si="14"/>
        <v>2019029</v>
      </c>
      <c r="B34" s="74"/>
      <c r="C34" s="642"/>
      <c r="D34" s="645"/>
      <c r="E34" s="645"/>
      <c r="F34" s="645"/>
      <c r="G34" s="673"/>
      <c r="H34" s="648"/>
      <c r="I34" s="648"/>
      <c r="J34" s="629"/>
      <c r="K34" s="174" t="s">
        <v>34</v>
      </c>
      <c r="L34" s="297"/>
      <c r="M34" s="297"/>
      <c r="N34" s="297"/>
      <c r="O34" s="297"/>
      <c r="P34" s="297"/>
      <c r="Q34" s="297"/>
      <c r="R34" s="297"/>
      <c r="S34" s="297"/>
      <c r="T34" s="297"/>
      <c r="U34" s="297"/>
      <c r="V34" s="297"/>
      <c r="W34" s="91"/>
      <c r="X34" s="58">
        <f t="shared" si="16"/>
        <v>0</v>
      </c>
      <c r="Y34" s="69"/>
      <c r="Z34" s="69"/>
    </row>
    <row r="35" spans="1:26" ht="13.5" customHeight="1">
      <c r="A35" s="114">
        <f t="shared" si="14"/>
        <v>2019029</v>
      </c>
      <c r="B35" s="74"/>
      <c r="C35" s="642"/>
      <c r="D35" s="645"/>
      <c r="E35" s="645"/>
      <c r="F35" s="645"/>
      <c r="G35" s="673"/>
      <c r="H35" s="648"/>
      <c r="I35" s="648"/>
      <c r="J35" s="629"/>
      <c r="K35" s="157" t="s">
        <v>28</v>
      </c>
      <c r="L35" s="297">
        <v>4672</v>
      </c>
      <c r="M35" s="297">
        <v>11680</v>
      </c>
      <c r="N35" s="297">
        <v>17520</v>
      </c>
      <c r="O35" s="297">
        <v>10512</v>
      </c>
      <c r="P35" s="297">
        <v>10512</v>
      </c>
      <c r="Q35" s="297">
        <v>15184</v>
      </c>
      <c r="R35" s="297">
        <v>15184</v>
      </c>
      <c r="S35" s="297">
        <v>18968</v>
      </c>
      <c r="T35" s="297">
        <v>9766</v>
      </c>
      <c r="U35" s="297">
        <v>16862</v>
      </c>
      <c r="V35" s="297">
        <v>19430</v>
      </c>
      <c r="W35" s="91">
        <v>4672</v>
      </c>
      <c r="X35" s="58">
        <f t="shared" si="16"/>
        <v>154962</v>
      </c>
      <c r="Y35" s="69"/>
      <c r="Z35" s="69"/>
    </row>
    <row r="36" spans="1:26" ht="13.5" customHeight="1">
      <c r="A36" s="114">
        <f t="shared" si="14"/>
        <v>2019029</v>
      </c>
      <c r="B36" s="74"/>
      <c r="C36" s="642"/>
      <c r="D36" s="645"/>
      <c r="E36" s="645"/>
      <c r="F36" s="645"/>
      <c r="G36" s="673"/>
      <c r="H36" s="648"/>
      <c r="I36" s="648"/>
      <c r="J36" s="629"/>
      <c r="K36" s="157" t="s">
        <v>29</v>
      </c>
      <c r="L36" s="297">
        <v>22325</v>
      </c>
      <c r="M36" s="297">
        <v>22325</v>
      </c>
      <c r="N36" s="297">
        <v>22325</v>
      </c>
      <c r="O36" s="297">
        <v>22325</v>
      </c>
      <c r="P36" s="297">
        <v>22325</v>
      </c>
      <c r="Q36" s="297">
        <v>22325</v>
      </c>
      <c r="R36" s="297">
        <v>22325</v>
      </c>
      <c r="S36" s="297">
        <v>22325</v>
      </c>
      <c r="T36" s="297">
        <v>26555</v>
      </c>
      <c r="U36" s="297">
        <v>26555</v>
      </c>
      <c r="V36" s="297">
        <v>26555</v>
      </c>
      <c r="W36" s="91">
        <v>22325</v>
      </c>
      <c r="X36" s="58">
        <f t="shared" si="16"/>
        <v>280590</v>
      </c>
      <c r="Y36" s="69"/>
      <c r="Z36" s="69"/>
    </row>
    <row r="37" spans="1:26" ht="13.5" customHeight="1">
      <c r="A37" s="114">
        <f t="shared" si="14"/>
        <v>2019029</v>
      </c>
      <c r="B37" s="74"/>
      <c r="C37" s="642"/>
      <c r="D37" s="645"/>
      <c r="E37" s="645"/>
      <c r="F37" s="645"/>
      <c r="G37" s="673"/>
      <c r="H37" s="648"/>
      <c r="I37" s="648"/>
      <c r="J37" s="629"/>
      <c r="K37" s="157" t="s">
        <v>30</v>
      </c>
      <c r="L37" s="297">
        <v>43005</v>
      </c>
      <c r="M37" s="297">
        <v>43005</v>
      </c>
      <c r="N37" s="297">
        <v>43005</v>
      </c>
      <c r="O37" s="297">
        <v>43005</v>
      </c>
      <c r="P37" s="297">
        <v>43005</v>
      </c>
      <c r="Q37" s="297">
        <v>43005</v>
      </c>
      <c r="R37" s="297">
        <v>43005</v>
      </c>
      <c r="S37" s="297">
        <v>43005</v>
      </c>
      <c r="T37" s="297">
        <v>43005</v>
      </c>
      <c r="U37" s="297">
        <v>43005</v>
      </c>
      <c r="V37" s="297">
        <v>43005</v>
      </c>
      <c r="W37" s="91">
        <v>43005</v>
      </c>
      <c r="X37" s="58">
        <f t="shared" si="16"/>
        <v>516060</v>
      </c>
      <c r="Y37" s="69"/>
      <c r="Z37" s="69"/>
    </row>
    <row r="38" spans="1:26" ht="13.5" customHeight="1">
      <c r="A38" s="114">
        <f t="shared" si="14"/>
        <v>2019029</v>
      </c>
      <c r="B38" s="74"/>
      <c r="C38" s="642"/>
      <c r="D38" s="645"/>
      <c r="E38" s="645"/>
      <c r="F38" s="645"/>
      <c r="G38" s="673"/>
      <c r="H38" s="648"/>
      <c r="I38" s="648"/>
      <c r="J38" s="629"/>
      <c r="K38" s="157" t="s">
        <v>31</v>
      </c>
      <c r="L38" s="297">
        <v>2355</v>
      </c>
      <c r="M38" s="297">
        <v>2378</v>
      </c>
      <c r="N38" s="297">
        <v>2398</v>
      </c>
      <c r="O38" s="297">
        <v>2379</v>
      </c>
      <c r="P38" s="297">
        <v>2373</v>
      </c>
      <c r="Q38" s="297">
        <v>2390</v>
      </c>
      <c r="R38" s="297">
        <v>2392</v>
      </c>
      <c r="S38" s="297">
        <v>2399</v>
      </c>
      <c r="T38" s="297">
        <v>2363</v>
      </c>
      <c r="U38" s="297">
        <v>2390</v>
      </c>
      <c r="V38" s="297">
        <v>2486</v>
      </c>
      <c r="W38" s="91">
        <v>2355</v>
      </c>
      <c r="X38" s="58">
        <f t="shared" si="16"/>
        <v>28658</v>
      </c>
      <c r="Y38" s="69"/>
      <c r="Z38" s="69"/>
    </row>
    <row r="39" spans="1:26" ht="13.5" customHeight="1">
      <c r="A39" s="114">
        <f t="shared" si="14"/>
        <v>2019029</v>
      </c>
      <c r="B39" s="74"/>
      <c r="C39" s="642"/>
      <c r="D39" s="645"/>
      <c r="E39" s="645"/>
      <c r="F39" s="645"/>
      <c r="G39" s="673"/>
      <c r="H39" s="648"/>
      <c r="I39" s="648"/>
      <c r="J39" s="629"/>
      <c r="K39" s="157" t="s">
        <v>32</v>
      </c>
      <c r="L39" s="297">
        <v>2591</v>
      </c>
      <c r="M39" s="297">
        <v>2616</v>
      </c>
      <c r="N39" s="297">
        <v>2637</v>
      </c>
      <c r="O39" s="297">
        <v>2616</v>
      </c>
      <c r="P39" s="297">
        <v>2610</v>
      </c>
      <c r="Q39" s="297">
        <v>2629</v>
      </c>
      <c r="R39" s="297">
        <v>2631</v>
      </c>
      <c r="S39" s="297">
        <v>2639</v>
      </c>
      <c r="T39" s="297">
        <v>2599</v>
      </c>
      <c r="U39" s="297">
        <v>2629</v>
      </c>
      <c r="V39" s="297">
        <v>2735</v>
      </c>
      <c r="W39" s="91">
        <v>2591</v>
      </c>
      <c r="X39" s="58">
        <f t="shared" si="16"/>
        <v>31523</v>
      </c>
      <c r="Y39" s="69"/>
      <c r="Z39" s="69"/>
    </row>
    <row r="40" spans="1:26" ht="14.25" customHeight="1">
      <c r="A40" s="114">
        <f t="shared" si="14"/>
        <v>2019029</v>
      </c>
      <c r="B40" s="74"/>
      <c r="C40" s="654"/>
      <c r="D40" s="655"/>
      <c r="E40" s="655"/>
      <c r="F40" s="655"/>
      <c r="G40" s="674"/>
      <c r="H40" s="652"/>
      <c r="I40" s="652"/>
      <c r="J40" s="630"/>
      <c r="K40" s="158" t="s">
        <v>33</v>
      </c>
      <c r="L40" s="308">
        <f t="shared" ref="L40:X40" si="17">L29-L32</f>
        <v>188652</v>
      </c>
      <c r="M40" s="405">
        <f t="shared" si="17"/>
        <v>183996</v>
      </c>
      <c r="N40" s="405">
        <f t="shared" si="17"/>
        <v>180115</v>
      </c>
      <c r="O40" s="405">
        <f t="shared" si="17"/>
        <v>183963</v>
      </c>
      <c r="P40" s="405">
        <f t="shared" si="17"/>
        <v>185175</v>
      </c>
      <c r="Q40" s="405">
        <f t="shared" si="17"/>
        <v>181667</v>
      </c>
      <c r="R40" s="405">
        <f t="shared" si="17"/>
        <v>181263</v>
      </c>
      <c r="S40" s="405">
        <f t="shared" si="17"/>
        <v>179864</v>
      </c>
      <c r="T40" s="405">
        <f t="shared" si="17"/>
        <v>182912</v>
      </c>
      <c r="U40" s="405">
        <f t="shared" si="17"/>
        <v>177359</v>
      </c>
      <c r="V40" s="405">
        <f t="shared" si="17"/>
        <v>175389</v>
      </c>
      <c r="W40" s="90">
        <f t="shared" si="17"/>
        <v>170518.66666666674</v>
      </c>
      <c r="X40" s="43">
        <f t="shared" si="17"/>
        <v>2170873.666666667</v>
      </c>
      <c r="Z40" s="69"/>
    </row>
    <row r="41" spans="1:26" ht="12.75" customHeight="1">
      <c r="A41" s="115">
        <v>2009009</v>
      </c>
      <c r="C41" s="641">
        <f t="shared" ref="C41" si="18">C29+1</f>
        <v>4</v>
      </c>
      <c r="D41" s="644" t="s">
        <v>59</v>
      </c>
      <c r="E41" s="644"/>
      <c r="F41" s="644"/>
      <c r="G41" s="672" t="s">
        <v>149</v>
      </c>
      <c r="H41" s="647"/>
      <c r="I41" s="647"/>
      <c r="J41" s="628" t="s">
        <v>55</v>
      </c>
      <c r="K41" s="180" t="s">
        <v>23</v>
      </c>
      <c r="L41" s="307">
        <f t="shared" ref="L41:W41" si="19">L42+L43</f>
        <v>520000</v>
      </c>
      <c r="M41" s="406">
        <f t="shared" si="19"/>
        <v>497250</v>
      </c>
      <c r="N41" s="406">
        <f t="shared" si="19"/>
        <v>497250</v>
      </c>
      <c r="O41" s="406">
        <f t="shared" si="19"/>
        <v>520000</v>
      </c>
      <c r="P41" s="406">
        <f t="shared" si="19"/>
        <v>497250</v>
      </c>
      <c r="Q41" s="406">
        <f t="shared" si="19"/>
        <v>497250</v>
      </c>
      <c r="R41" s="406">
        <f t="shared" si="19"/>
        <v>520000</v>
      </c>
      <c r="S41" s="406">
        <f t="shared" si="19"/>
        <v>455000</v>
      </c>
      <c r="T41" s="406">
        <f t="shared" si="19"/>
        <v>474500</v>
      </c>
      <c r="U41" s="406">
        <f t="shared" si="19"/>
        <v>474500</v>
      </c>
      <c r="V41" s="406">
        <f t="shared" si="19"/>
        <v>455000</v>
      </c>
      <c r="W41" s="94">
        <f t="shared" si="19"/>
        <v>483013.33333333331</v>
      </c>
      <c r="X41" s="122">
        <f>SUM(L41:W41)</f>
        <v>5891013.333333333</v>
      </c>
      <c r="Z41" s="69"/>
    </row>
    <row r="42" spans="1:26" ht="13.5" customHeight="1">
      <c r="A42" s="114">
        <f t="shared" ref="A42:A52" si="20">+A41</f>
        <v>2009009</v>
      </c>
      <c r="B42" s="74"/>
      <c r="C42" s="642"/>
      <c r="D42" s="645"/>
      <c r="E42" s="645"/>
      <c r="F42" s="645"/>
      <c r="G42" s="673"/>
      <c r="H42" s="648"/>
      <c r="I42" s="648"/>
      <c r="J42" s="629"/>
      <c r="K42" s="155" t="s">
        <v>24</v>
      </c>
      <c r="L42" s="295">
        <v>520000</v>
      </c>
      <c r="M42" s="297">
        <v>497250</v>
      </c>
      <c r="N42" s="297">
        <v>497250</v>
      </c>
      <c r="O42" s="297">
        <v>520000</v>
      </c>
      <c r="P42" s="297">
        <v>497250</v>
      </c>
      <c r="Q42" s="297">
        <v>497250</v>
      </c>
      <c r="R42" s="297">
        <v>520000</v>
      </c>
      <c r="S42" s="297">
        <v>455000</v>
      </c>
      <c r="T42" s="297">
        <v>474500</v>
      </c>
      <c r="U42" s="297">
        <v>474500</v>
      </c>
      <c r="V42" s="297">
        <v>455000</v>
      </c>
      <c r="W42" s="91">
        <v>483013.33333333331</v>
      </c>
      <c r="X42" s="58">
        <f>SUM(L42:W42)</f>
        <v>5891013.333333333</v>
      </c>
      <c r="Y42" s="69"/>
      <c r="Z42" s="69"/>
    </row>
    <row r="43" spans="1:26" ht="13.5" customHeight="1">
      <c r="A43" s="114">
        <f t="shared" si="20"/>
        <v>2009009</v>
      </c>
      <c r="B43" s="74"/>
      <c r="C43" s="642"/>
      <c r="D43" s="645"/>
      <c r="E43" s="645"/>
      <c r="F43" s="645"/>
      <c r="G43" s="673"/>
      <c r="H43" s="648"/>
      <c r="I43" s="648"/>
      <c r="J43" s="629"/>
      <c r="K43" s="155" t="s">
        <v>25</v>
      </c>
      <c r="L43" s="295"/>
      <c r="M43" s="297"/>
      <c r="N43" s="297"/>
      <c r="O43" s="297"/>
      <c r="P43" s="297"/>
      <c r="Q43" s="297"/>
      <c r="R43" s="297"/>
      <c r="S43" s="297"/>
      <c r="T43" s="297"/>
      <c r="U43" s="297"/>
      <c r="V43" s="297"/>
      <c r="W43" s="93"/>
      <c r="X43" s="58">
        <v>0</v>
      </c>
      <c r="Z43" s="69"/>
    </row>
    <row r="44" spans="1:26" ht="13.5" customHeight="1">
      <c r="A44" s="114">
        <f t="shared" si="20"/>
        <v>2009009</v>
      </c>
      <c r="B44" s="74"/>
      <c r="C44" s="642"/>
      <c r="D44" s="645"/>
      <c r="E44" s="645"/>
      <c r="F44" s="645"/>
      <c r="G44" s="673"/>
      <c r="H44" s="648"/>
      <c r="I44" s="648"/>
      <c r="J44" s="629"/>
      <c r="K44" s="156" t="s">
        <v>26</v>
      </c>
      <c r="L44" s="296">
        <f t="shared" ref="L44:W44" si="21">SUM(L45:L51)</f>
        <v>417386</v>
      </c>
      <c r="M44" s="411">
        <f t="shared" si="21"/>
        <v>397648</v>
      </c>
      <c r="N44" s="411">
        <f t="shared" si="21"/>
        <v>418153</v>
      </c>
      <c r="O44" s="411">
        <f t="shared" si="21"/>
        <v>437890</v>
      </c>
      <c r="P44" s="411">
        <f t="shared" si="21"/>
        <v>400570</v>
      </c>
      <c r="Q44" s="411">
        <f t="shared" si="21"/>
        <v>391765</v>
      </c>
      <c r="R44" s="411">
        <f t="shared" si="21"/>
        <v>427146</v>
      </c>
      <c r="S44" s="411">
        <f t="shared" si="21"/>
        <v>363693</v>
      </c>
      <c r="T44" s="411">
        <f t="shared" si="21"/>
        <v>410984</v>
      </c>
      <c r="U44" s="411">
        <f t="shared" si="21"/>
        <v>398086</v>
      </c>
      <c r="V44" s="411">
        <f t="shared" si="21"/>
        <v>383057</v>
      </c>
      <c r="W44" s="108">
        <f t="shared" si="21"/>
        <v>404152.11111111112</v>
      </c>
      <c r="X44" s="59">
        <f t="shared" ref="X44:X51" si="22">SUM(L44:W44)</f>
        <v>4850530.111111111</v>
      </c>
      <c r="Z44" s="69"/>
    </row>
    <row r="45" spans="1:26" ht="13.5" customHeight="1">
      <c r="A45" s="114">
        <f t="shared" si="20"/>
        <v>2009009</v>
      </c>
      <c r="B45" s="74"/>
      <c r="C45" s="642"/>
      <c r="D45" s="645"/>
      <c r="E45" s="645"/>
      <c r="F45" s="645"/>
      <c r="G45" s="673"/>
      <c r="H45" s="648"/>
      <c r="I45" s="648"/>
      <c r="J45" s="629"/>
      <c r="K45" s="157" t="s">
        <v>27</v>
      </c>
      <c r="L45" s="297">
        <v>347400</v>
      </c>
      <c r="M45" s="297">
        <v>331560</v>
      </c>
      <c r="N45" s="297">
        <v>348160</v>
      </c>
      <c r="O45" s="297">
        <v>364000</v>
      </c>
      <c r="P45" s="297">
        <v>330760</v>
      </c>
      <c r="Q45" s="297">
        <v>332360</v>
      </c>
      <c r="R45" s="297">
        <v>363680</v>
      </c>
      <c r="S45" s="297">
        <v>299040</v>
      </c>
      <c r="T45" s="297">
        <v>345840</v>
      </c>
      <c r="U45" s="297">
        <v>331230</v>
      </c>
      <c r="V45" s="297">
        <v>312485</v>
      </c>
      <c r="W45" s="91">
        <v>334166.11111111112</v>
      </c>
      <c r="X45" s="58">
        <f t="shared" si="22"/>
        <v>4040681.111111111</v>
      </c>
      <c r="Y45" s="69"/>
      <c r="Z45" s="69"/>
    </row>
    <row r="46" spans="1:26" ht="13.5" customHeight="1">
      <c r="A46" s="114">
        <f t="shared" si="20"/>
        <v>2009009</v>
      </c>
      <c r="B46" s="74"/>
      <c r="C46" s="642"/>
      <c r="D46" s="645"/>
      <c r="E46" s="645"/>
      <c r="F46" s="645"/>
      <c r="G46" s="673"/>
      <c r="H46" s="648"/>
      <c r="I46" s="648"/>
      <c r="J46" s="629"/>
      <c r="K46" s="174" t="s">
        <v>34</v>
      </c>
      <c r="L46" s="297"/>
      <c r="M46" s="297"/>
      <c r="N46" s="297"/>
      <c r="O46" s="297"/>
      <c r="P46" s="297"/>
      <c r="Q46" s="297"/>
      <c r="R46" s="297"/>
      <c r="S46" s="297"/>
      <c r="T46" s="297"/>
      <c r="U46" s="297"/>
      <c r="V46" s="297"/>
      <c r="W46" s="91"/>
      <c r="X46" s="58">
        <f t="shared" si="22"/>
        <v>0</v>
      </c>
      <c r="Y46" s="69"/>
      <c r="Z46" s="69"/>
    </row>
    <row r="47" spans="1:26" ht="13.5" customHeight="1">
      <c r="A47" s="114">
        <f t="shared" si="20"/>
        <v>2009009</v>
      </c>
      <c r="B47" s="74"/>
      <c r="C47" s="642"/>
      <c r="D47" s="645"/>
      <c r="E47" s="645"/>
      <c r="F47" s="645"/>
      <c r="G47" s="673"/>
      <c r="H47" s="648"/>
      <c r="I47" s="648"/>
      <c r="J47" s="629"/>
      <c r="K47" s="157" t="s">
        <v>28</v>
      </c>
      <c r="L47" s="297">
        <v>12922</v>
      </c>
      <c r="M47" s="297">
        <v>9230</v>
      </c>
      <c r="N47" s="297">
        <v>12922</v>
      </c>
      <c r="O47" s="297">
        <v>16614</v>
      </c>
      <c r="P47" s="297">
        <v>12922</v>
      </c>
      <c r="Q47" s="297">
        <v>5538</v>
      </c>
      <c r="R47" s="297">
        <v>9230</v>
      </c>
      <c r="S47" s="297">
        <v>11076</v>
      </c>
      <c r="T47" s="297">
        <v>11076</v>
      </c>
      <c r="U47" s="297">
        <v>12922</v>
      </c>
      <c r="V47" s="297">
        <v>16614</v>
      </c>
      <c r="W47" s="91">
        <v>12922</v>
      </c>
      <c r="X47" s="58">
        <f t="shared" si="22"/>
        <v>143988</v>
      </c>
      <c r="Y47" s="69"/>
      <c r="Z47" s="69"/>
    </row>
    <row r="48" spans="1:26" ht="13.5" customHeight="1">
      <c r="A48" s="114">
        <f t="shared" si="20"/>
        <v>2009009</v>
      </c>
      <c r="B48" s="74"/>
      <c r="C48" s="642"/>
      <c r="D48" s="645"/>
      <c r="E48" s="645"/>
      <c r="F48" s="645"/>
      <c r="G48" s="673"/>
      <c r="H48" s="648"/>
      <c r="I48" s="648"/>
      <c r="J48" s="629"/>
      <c r="K48" s="157" t="s">
        <v>29</v>
      </c>
      <c r="L48" s="297">
        <v>20340</v>
      </c>
      <c r="M48" s="297">
        <v>20340</v>
      </c>
      <c r="N48" s="297">
        <v>20340</v>
      </c>
      <c r="O48" s="297">
        <v>20340</v>
      </c>
      <c r="P48" s="297">
        <v>20340</v>
      </c>
      <c r="Q48" s="297">
        <v>19210</v>
      </c>
      <c r="R48" s="297">
        <v>19210</v>
      </c>
      <c r="S48" s="297">
        <v>19210</v>
      </c>
      <c r="T48" s="297">
        <v>19210</v>
      </c>
      <c r="U48" s="297">
        <v>19210</v>
      </c>
      <c r="V48" s="297">
        <v>19210</v>
      </c>
      <c r="W48" s="91">
        <v>20340</v>
      </c>
      <c r="X48" s="58">
        <f t="shared" si="22"/>
        <v>237300</v>
      </c>
      <c r="Y48" s="69"/>
      <c r="Z48" s="69"/>
    </row>
    <row r="49" spans="1:26" ht="13.5" customHeight="1">
      <c r="A49" s="114">
        <f t="shared" si="20"/>
        <v>2009009</v>
      </c>
      <c r="B49" s="74"/>
      <c r="C49" s="642"/>
      <c r="D49" s="645"/>
      <c r="E49" s="645"/>
      <c r="F49" s="645"/>
      <c r="G49" s="673"/>
      <c r="H49" s="648"/>
      <c r="I49" s="648"/>
      <c r="J49" s="629"/>
      <c r="K49" s="157" t="s">
        <v>30</v>
      </c>
      <c r="L49" s="297">
        <v>32940</v>
      </c>
      <c r="M49" s="297">
        <v>32940</v>
      </c>
      <c r="N49" s="297">
        <v>32940</v>
      </c>
      <c r="O49" s="297">
        <v>32940</v>
      </c>
      <c r="P49" s="297">
        <v>32940</v>
      </c>
      <c r="Q49" s="297">
        <v>31110</v>
      </c>
      <c r="R49" s="297">
        <v>31110</v>
      </c>
      <c r="S49" s="297">
        <v>31110</v>
      </c>
      <c r="T49" s="297">
        <v>31110</v>
      </c>
      <c r="U49" s="297">
        <v>31110</v>
      </c>
      <c r="V49" s="297">
        <v>31110</v>
      </c>
      <c r="W49" s="91">
        <v>32940</v>
      </c>
      <c r="X49" s="58">
        <f t="shared" si="22"/>
        <v>384300</v>
      </c>
      <c r="Y49" s="69"/>
      <c r="Z49" s="69"/>
    </row>
    <row r="50" spans="1:26" ht="13.5" customHeight="1">
      <c r="A50" s="114">
        <f t="shared" si="20"/>
        <v>2009009</v>
      </c>
      <c r="B50" s="74"/>
      <c r="C50" s="642"/>
      <c r="D50" s="645"/>
      <c r="E50" s="645"/>
      <c r="F50" s="645"/>
      <c r="G50" s="673"/>
      <c r="H50" s="648"/>
      <c r="I50" s="648"/>
      <c r="J50" s="629"/>
      <c r="K50" s="157" t="s">
        <v>31</v>
      </c>
      <c r="L50" s="297">
        <v>1802</v>
      </c>
      <c r="M50" s="297">
        <v>1704</v>
      </c>
      <c r="N50" s="297">
        <v>1805</v>
      </c>
      <c r="O50" s="297">
        <v>1903</v>
      </c>
      <c r="P50" s="297">
        <v>1718</v>
      </c>
      <c r="Q50" s="297">
        <v>1689</v>
      </c>
      <c r="R50" s="297">
        <v>1865</v>
      </c>
      <c r="S50" s="297">
        <v>1551</v>
      </c>
      <c r="T50" s="297">
        <v>1785</v>
      </c>
      <c r="U50" s="297">
        <v>1721</v>
      </c>
      <c r="V50" s="297">
        <v>1732</v>
      </c>
      <c r="W50" s="91">
        <v>1802</v>
      </c>
      <c r="X50" s="58">
        <f t="shared" si="22"/>
        <v>21077</v>
      </c>
      <c r="Y50" s="69"/>
      <c r="Z50" s="69"/>
    </row>
    <row r="51" spans="1:26" ht="13.5" customHeight="1">
      <c r="A51" s="114">
        <f t="shared" si="20"/>
        <v>2009009</v>
      </c>
      <c r="B51" s="74"/>
      <c r="C51" s="642"/>
      <c r="D51" s="645"/>
      <c r="E51" s="645"/>
      <c r="F51" s="645"/>
      <c r="G51" s="673"/>
      <c r="H51" s="648"/>
      <c r="I51" s="648"/>
      <c r="J51" s="629"/>
      <c r="K51" s="157" t="s">
        <v>32</v>
      </c>
      <c r="L51" s="297">
        <v>1982</v>
      </c>
      <c r="M51" s="297">
        <v>1874</v>
      </c>
      <c r="N51" s="297">
        <v>1986</v>
      </c>
      <c r="O51" s="297">
        <v>2093</v>
      </c>
      <c r="P51" s="297">
        <v>1890</v>
      </c>
      <c r="Q51" s="297">
        <v>1858</v>
      </c>
      <c r="R51" s="297">
        <v>2051</v>
      </c>
      <c r="S51" s="297">
        <v>1706</v>
      </c>
      <c r="T51" s="297">
        <v>1963</v>
      </c>
      <c r="U51" s="297">
        <v>1893</v>
      </c>
      <c r="V51" s="297">
        <v>1906</v>
      </c>
      <c r="W51" s="91">
        <v>1982</v>
      </c>
      <c r="X51" s="58">
        <f t="shared" si="22"/>
        <v>23184</v>
      </c>
      <c r="Y51" s="69"/>
      <c r="Z51" s="69"/>
    </row>
    <row r="52" spans="1:26" ht="14.25" customHeight="1">
      <c r="A52" s="114">
        <f t="shared" si="20"/>
        <v>2009009</v>
      </c>
      <c r="B52" s="74"/>
      <c r="C52" s="654"/>
      <c r="D52" s="655"/>
      <c r="E52" s="655"/>
      <c r="F52" s="655"/>
      <c r="G52" s="674"/>
      <c r="H52" s="652"/>
      <c r="I52" s="652"/>
      <c r="J52" s="630"/>
      <c r="K52" s="158" t="s">
        <v>33</v>
      </c>
      <c r="L52" s="308">
        <f t="shared" ref="L52:X52" si="23">L41-L44</f>
        <v>102614</v>
      </c>
      <c r="M52" s="405">
        <f t="shared" si="23"/>
        <v>99602</v>
      </c>
      <c r="N52" s="405">
        <f t="shared" si="23"/>
        <v>79097</v>
      </c>
      <c r="O52" s="405">
        <f t="shared" si="23"/>
        <v>82110</v>
      </c>
      <c r="P52" s="405">
        <f t="shared" si="23"/>
        <v>96680</v>
      </c>
      <c r="Q52" s="405">
        <f t="shared" si="23"/>
        <v>105485</v>
      </c>
      <c r="R52" s="405">
        <f t="shared" si="23"/>
        <v>92854</v>
      </c>
      <c r="S52" s="405">
        <f t="shared" si="23"/>
        <v>91307</v>
      </c>
      <c r="T52" s="405">
        <f t="shared" si="23"/>
        <v>63516</v>
      </c>
      <c r="U52" s="405">
        <f t="shared" si="23"/>
        <v>76414</v>
      </c>
      <c r="V52" s="405">
        <f t="shared" si="23"/>
        <v>71943</v>
      </c>
      <c r="W52" s="90">
        <f t="shared" si="23"/>
        <v>78861.22222222219</v>
      </c>
      <c r="X52" s="43">
        <f t="shared" si="23"/>
        <v>1040483.222222222</v>
      </c>
      <c r="Z52" s="69"/>
    </row>
    <row r="53" spans="1:26" ht="12.75" customHeight="1">
      <c r="A53" s="115">
        <v>2017031</v>
      </c>
      <c r="C53" s="641">
        <f t="shared" ref="C53" si="24">C41+1</f>
        <v>5</v>
      </c>
      <c r="D53" s="644" t="s">
        <v>59</v>
      </c>
      <c r="E53" s="644"/>
      <c r="F53" s="644"/>
      <c r="G53" s="672" t="s">
        <v>149</v>
      </c>
      <c r="H53" s="647"/>
      <c r="I53" s="647"/>
      <c r="J53" s="628" t="s">
        <v>55</v>
      </c>
      <c r="K53" s="180" t="s">
        <v>23</v>
      </c>
      <c r="L53" s="307">
        <f t="shared" ref="L53:W53" si="25">L54+L55</f>
        <v>570000</v>
      </c>
      <c r="M53" s="406">
        <f t="shared" si="25"/>
        <v>570000</v>
      </c>
      <c r="N53" s="406">
        <f t="shared" si="25"/>
        <v>570000</v>
      </c>
      <c r="O53" s="406">
        <f t="shared" si="25"/>
        <v>673530</v>
      </c>
      <c r="P53" s="406">
        <f t="shared" si="25"/>
        <v>570000</v>
      </c>
      <c r="Q53" s="406">
        <f t="shared" si="25"/>
        <v>570000</v>
      </c>
      <c r="R53" s="406">
        <f t="shared" si="25"/>
        <v>669960</v>
      </c>
      <c r="S53" s="406">
        <f t="shared" si="25"/>
        <v>570000</v>
      </c>
      <c r="T53" s="406">
        <f t="shared" si="25"/>
        <v>682455</v>
      </c>
      <c r="U53" s="406">
        <f t="shared" si="25"/>
        <v>798480</v>
      </c>
      <c r="V53" s="406">
        <f t="shared" si="25"/>
        <v>570000</v>
      </c>
      <c r="W53" s="94">
        <f t="shared" si="25"/>
        <v>530735.5555555555</v>
      </c>
      <c r="X53" s="122">
        <f>SUM(L53:W53)</f>
        <v>7345160.555555556</v>
      </c>
      <c r="Z53" s="69"/>
    </row>
    <row r="54" spans="1:26" ht="13.5" customHeight="1">
      <c r="A54" s="114">
        <f t="shared" ref="A54:A64" si="26">+A53</f>
        <v>2017031</v>
      </c>
      <c r="B54" s="74"/>
      <c r="C54" s="642"/>
      <c r="D54" s="645"/>
      <c r="E54" s="645"/>
      <c r="F54" s="645"/>
      <c r="G54" s="673"/>
      <c r="H54" s="648"/>
      <c r="I54" s="648"/>
      <c r="J54" s="629"/>
      <c r="K54" s="155" t="s">
        <v>24</v>
      </c>
      <c r="L54" s="295">
        <v>570000</v>
      </c>
      <c r="M54" s="297">
        <v>570000</v>
      </c>
      <c r="N54" s="297">
        <v>570000</v>
      </c>
      <c r="O54" s="297">
        <v>673530</v>
      </c>
      <c r="P54" s="297">
        <v>570000</v>
      </c>
      <c r="Q54" s="297">
        <v>570000</v>
      </c>
      <c r="R54" s="297">
        <v>669960</v>
      </c>
      <c r="S54" s="297">
        <v>570000</v>
      </c>
      <c r="T54" s="297">
        <v>682455</v>
      </c>
      <c r="U54" s="297">
        <v>798480</v>
      </c>
      <c r="V54" s="297">
        <v>570000</v>
      </c>
      <c r="W54" s="91">
        <v>530735.5555555555</v>
      </c>
      <c r="X54" s="58">
        <f>SUM(L54:W54)</f>
        <v>7345160.555555556</v>
      </c>
      <c r="Y54" s="69"/>
      <c r="Z54" s="69"/>
    </row>
    <row r="55" spans="1:26" ht="13.5" customHeight="1">
      <c r="A55" s="114">
        <f t="shared" si="26"/>
        <v>2017031</v>
      </c>
      <c r="B55" s="74"/>
      <c r="C55" s="642"/>
      <c r="D55" s="645"/>
      <c r="E55" s="645"/>
      <c r="F55" s="645"/>
      <c r="G55" s="673"/>
      <c r="H55" s="648"/>
      <c r="I55" s="648"/>
      <c r="J55" s="629"/>
      <c r="K55" s="155" t="s">
        <v>25</v>
      </c>
      <c r="L55" s="295"/>
      <c r="M55" s="297"/>
      <c r="N55" s="297"/>
      <c r="O55" s="297"/>
      <c r="P55" s="297"/>
      <c r="Q55" s="297"/>
      <c r="R55" s="297"/>
      <c r="S55" s="297"/>
      <c r="T55" s="297"/>
      <c r="U55" s="297"/>
      <c r="V55" s="297"/>
      <c r="W55" s="93"/>
      <c r="X55" s="58">
        <v>0</v>
      </c>
      <c r="Z55" s="69"/>
    </row>
    <row r="56" spans="1:26" ht="13.5" customHeight="1">
      <c r="A56" s="114">
        <f t="shared" si="26"/>
        <v>2017031</v>
      </c>
      <c r="B56" s="74"/>
      <c r="C56" s="642"/>
      <c r="D56" s="645"/>
      <c r="E56" s="645"/>
      <c r="F56" s="645"/>
      <c r="G56" s="673"/>
      <c r="H56" s="648"/>
      <c r="I56" s="648"/>
      <c r="J56" s="629"/>
      <c r="K56" s="156" t="s">
        <v>26</v>
      </c>
      <c r="L56" s="296">
        <f t="shared" ref="L56:W56" si="27">SUM(L57:L63)</f>
        <v>425176</v>
      </c>
      <c r="M56" s="411">
        <f t="shared" si="27"/>
        <v>425694</v>
      </c>
      <c r="N56" s="411">
        <f t="shared" si="27"/>
        <v>469730</v>
      </c>
      <c r="O56" s="411">
        <f t="shared" si="27"/>
        <v>490504</v>
      </c>
      <c r="P56" s="411">
        <f t="shared" si="27"/>
        <v>421410</v>
      </c>
      <c r="Q56" s="411">
        <f t="shared" si="27"/>
        <v>422381</v>
      </c>
      <c r="R56" s="411">
        <f t="shared" si="27"/>
        <v>489366</v>
      </c>
      <c r="S56" s="411">
        <f t="shared" si="27"/>
        <v>425647</v>
      </c>
      <c r="T56" s="411">
        <f t="shared" si="27"/>
        <v>515624</v>
      </c>
      <c r="U56" s="411">
        <f t="shared" si="27"/>
        <v>605033</v>
      </c>
      <c r="V56" s="411">
        <f t="shared" si="27"/>
        <v>447101</v>
      </c>
      <c r="W56" s="108">
        <f t="shared" si="27"/>
        <v>413415.77777777775</v>
      </c>
      <c r="X56" s="59">
        <f t="shared" ref="X56:X63" si="28">SUM(L56:W56)</f>
        <v>5551081.777777778</v>
      </c>
      <c r="Z56" s="69"/>
    </row>
    <row r="57" spans="1:26" ht="13.5" customHeight="1">
      <c r="A57" s="114">
        <f t="shared" si="26"/>
        <v>2017031</v>
      </c>
      <c r="B57" s="74"/>
      <c r="C57" s="642"/>
      <c r="D57" s="645"/>
      <c r="E57" s="645"/>
      <c r="F57" s="645"/>
      <c r="G57" s="673"/>
      <c r="H57" s="648"/>
      <c r="I57" s="648"/>
      <c r="J57" s="629"/>
      <c r="K57" s="157" t="s">
        <v>27</v>
      </c>
      <c r="L57" s="297">
        <v>360967</v>
      </c>
      <c r="M57" s="297">
        <v>358200</v>
      </c>
      <c r="N57" s="297">
        <v>398658</v>
      </c>
      <c r="O57" s="297">
        <v>419608</v>
      </c>
      <c r="P57" s="297">
        <v>361000</v>
      </c>
      <c r="Q57" s="297">
        <v>357800</v>
      </c>
      <c r="R57" s="297">
        <v>417129</v>
      </c>
      <c r="S57" s="297">
        <v>355000</v>
      </c>
      <c r="T57" s="297">
        <v>447754</v>
      </c>
      <c r="U57" s="297">
        <v>536234</v>
      </c>
      <c r="V57" s="297">
        <v>384866</v>
      </c>
      <c r="W57" s="91">
        <v>349206.77777777775</v>
      </c>
      <c r="X57" s="58">
        <f t="shared" si="28"/>
        <v>4746422.777777778</v>
      </c>
      <c r="Y57" s="69"/>
      <c r="Z57" s="69"/>
    </row>
    <row r="58" spans="1:26" ht="13.5" customHeight="1">
      <c r="A58" s="114">
        <f t="shared" si="26"/>
        <v>2017031</v>
      </c>
      <c r="B58" s="74"/>
      <c r="C58" s="642"/>
      <c r="D58" s="645"/>
      <c r="E58" s="645"/>
      <c r="F58" s="645"/>
      <c r="G58" s="673"/>
      <c r="H58" s="648"/>
      <c r="I58" s="648"/>
      <c r="J58" s="629"/>
      <c r="K58" s="174" t="s">
        <v>34</v>
      </c>
      <c r="L58" s="297"/>
      <c r="M58" s="297"/>
      <c r="N58" s="297"/>
      <c r="O58" s="297"/>
      <c r="P58" s="297"/>
      <c r="Q58" s="297"/>
      <c r="R58" s="297"/>
      <c r="S58" s="297"/>
      <c r="T58" s="297"/>
      <c r="U58" s="297"/>
      <c r="V58" s="297"/>
      <c r="W58" s="91"/>
      <c r="X58" s="58">
        <f t="shared" si="28"/>
        <v>0</v>
      </c>
      <c r="Y58" s="69"/>
      <c r="Z58" s="69"/>
    </row>
    <row r="59" spans="1:26" ht="13.5" customHeight="1">
      <c r="A59" s="114">
        <f t="shared" si="26"/>
        <v>2017031</v>
      </c>
      <c r="B59" s="74"/>
      <c r="C59" s="642"/>
      <c r="D59" s="645"/>
      <c r="E59" s="645"/>
      <c r="F59" s="645"/>
      <c r="G59" s="673"/>
      <c r="H59" s="648"/>
      <c r="I59" s="648"/>
      <c r="J59" s="629"/>
      <c r="K59" s="157" t="s">
        <v>28</v>
      </c>
      <c r="L59" s="297">
        <v>7520</v>
      </c>
      <c r="M59" s="297">
        <v>10800</v>
      </c>
      <c r="N59" s="297">
        <v>13920</v>
      </c>
      <c r="O59" s="297">
        <v>13528</v>
      </c>
      <c r="P59" s="297">
        <v>3760</v>
      </c>
      <c r="Q59" s="297">
        <v>10672</v>
      </c>
      <c r="R59" s="297">
        <v>17632</v>
      </c>
      <c r="S59" s="297">
        <v>16704</v>
      </c>
      <c r="T59" s="297">
        <v>12992</v>
      </c>
      <c r="U59" s="297">
        <v>12992</v>
      </c>
      <c r="V59" s="297">
        <v>7888</v>
      </c>
      <c r="W59" s="91">
        <v>7520</v>
      </c>
      <c r="X59" s="58">
        <f t="shared" si="28"/>
        <v>135928</v>
      </c>
      <c r="Y59" s="69"/>
      <c r="Z59" s="69"/>
    </row>
    <row r="60" spans="1:26" ht="13.5" customHeight="1">
      <c r="A60" s="114">
        <f t="shared" si="26"/>
        <v>2017031</v>
      </c>
      <c r="B60" s="74"/>
      <c r="C60" s="642"/>
      <c r="D60" s="645"/>
      <c r="E60" s="645"/>
      <c r="F60" s="645"/>
      <c r="G60" s="673"/>
      <c r="H60" s="648"/>
      <c r="I60" s="648"/>
      <c r="J60" s="629"/>
      <c r="K60" s="157" t="s">
        <v>29</v>
      </c>
      <c r="L60" s="297">
        <v>18050</v>
      </c>
      <c r="M60" s="297">
        <v>18050</v>
      </c>
      <c r="N60" s="297">
        <v>18050</v>
      </c>
      <c r="O60" s="297">
        <v>18050</v>
      </c>
      <c r="P60" s="297">
        <v>18050</v>
      </c>
      <c r="Q60" s="297">
        <v>17100</v>
      </c>
      <c r="R60" s="297">
        <v>17100</v>
      </c>
      <c r="S60" s="297">
        <v>17100</v>
      </c>
      <c r="T60" s="297">
        <v>17100</v>
      </c>
      <c r="U60" s="297">
        <v>17100</v>
      </c>
      <c r="V60" s="297">
        <v>17100</v>
      </c>
      <c r="W60" s="91">
        <v>18050</v>
      </c>
      <c r="X60" s="58">
        <f t="shared" si="28"/>
        <v>210900</v>
      </c>
      <c r="Y60" s="69"/>
      <c r="Z60" s="69"/>
    </row>
    <row r="61" spans="1:26" ht="13.5" customHeight="1">
      <c r="A61" s="114">
        <f t="shared" si="26"/>
        <v>2017031</v>
      </c>
      <c r="B61" s="74"/>
      <c r="C61" s="642"/>
      <c r="D61" s="645"/>
      <c r="E61" s="645"/>
      <c r="F61" s="645"/>
      <c r="G61" s="673"/>
      <c r="H61" s="648"/>
      <c r="I61" s="648"/>
      <c r="J61" s="629"/>
      <c r="K61" s="157" t="s">
        <v>30</v>
      </c>
      <c r="L61" s="297">
        <v>34770</v>
      </c>
      <c r="M61" s="297">
        <v>34770</v>
      </c>
      <c r="N61" s="297">
        <v>34770</v>
      </c>
      <c r="O61" s="297">
        <v>34770</v>
      </c>
      <c r="P61" s="297">
        <v>34770</v>
      </c>
      <c r="Q61" s="297">
        <v>32940</v>
      </c>
      <c r="R61" s="297">
        <v>32940</v>
      </c>
      <c r="S61" s="297">
        <v>32940</v>
      </c>
      <c r="T61" s="297">
        <v>32940</v>
      </c>
      <c r="U61" s="297">
        <v>32940</v>
      </c>
      <c r="V61" s="297">
        <v>32940</v>
      </c>
      <c r="W61" s="91">
        <v>34770</v>
      </c>
      <c r="X61" s="58">
        <f t="shared" si="28"/>
        <v>406260</v>
      </c>
      <c r="Y61" s="69"/>
      <c r="Z61" s="69"/>
    </row>
    <row r="62" spans="1:26" ht="13.5" customHeight="1">
      <c r="A62" s="114">
        <f t="shared" si="26"/>
        <v>2017031</v>
      </c>
      <c r="B62" s="74"/>
      <c r="C62" s="642"/>
      <c r="D62" s="645"/>
      <c r="E62" s="645"/>
      <c r="F62" s="645"/>
      <c r="G62" s="673"/>
      <c r="H62" s="648"/>
      <c r="I62" s="648"/>
      <c r="J62" s="629"/>
      <c r="K62" s="157" t="s">
        <v>31</v>
      </c>
      <c r="L62" s="297">
        <v>1842</v>
      </c>
      <c r="M62" s="297">
        <v>1845</v>
      </c>
      <c r="N62" s="297">
        <v>2063</v>
      </c>
      <c r="O62" s="297">
        <v>2166</v>
      </c>
      <c r="P62" s="297">
        <v>1824</v>
      </c>
      <c r="Q62" s="297">
        <v>1842</v>
      </c>
      <c r="R62" s="297">
        <v>2174</v>
      </c>
      <c r="S62" s="297">
        <v>1859</v>
      </c>
      <c r="T62" s="297">
        <v>2304</v>
      </c>
      <c r="U62" s="297">
        <v>2746</v>
      </c>
      <c r="V62" s="297">
        <v>2051</v>
      </c>
      <c r="W62" s="91">
        <v>1842</v>
      </c>
      <c r="X62" s="58">
        <f t="shared" si="28"/>
        <v>24558</v>
      </c>
      <c r="Y62" s="69"/>
      <c r="Z62" s="69"/>
    </row>
    <row r="63" spans="1:26" ht="13.5" customHeight="1">
      <c r="A63" s="114">
        <f t="shared" si="26"/>
        <v>2017031</v>
      </c>
      <c r="B63" s="74"/>
      <c r="C63" s="642"/>
      <c r="D63" s="645"/>
      <c r="E63" s="645"/>
      <c r="F63" s="645"/>
      <c r="G63" s="673"/>
      <c r="H63" s="648"/>
      <c r="I63" s="648"/>
      <c r="J63" s="629"/>
      <c r="K63" s="157" t="s">
        <v>32</v>
      </c>
      <c r="L63" s="297">
        <v>2027</v>
      </c>
      <c r="M63" s="297">
        <v>2029</v>
      </c>
      <c r="N63" s="297">
        <v>2269</v>
      </c>
      <c r="O63" s="297">
        <v>2382</v>
      </c>
      <c r="P63" s="297">
        <v>2006</v>
      </c>
      <c r="Q63" s="297">
        <v>2027</v>
      </c>
      <c r="R63" s="297">
        <v>2391</v>
      </c>
      <c r="S63" s="297">
        <v>2044</v>
      </c>
      <c r="T63" s="297">
        <v>2534</v>
      </c>
      <c r="U63" s="297">
        <v>3021</v>
      </c>
      <c r="V63" s="297">
        <v>2256</v>
      </c>
      <c r="W63" s="91">
        <v>2027</v>
      </c>
      <c r="X63" s="58">
        <f t="shared" si="28"/>
        <v>27013</v>
      </c>
      <c r="Y63" s="69"/>
      <c r="Z63" s="69"/>
    </row>
    <row r="64" spans="1:26" ht="14.25" customHeight="1">
      <c r="A64" s="114">
        <f t="shared" si="26"/>
        <v>2017031</v>
      </c>
      <c r="B64" s="74"/>
      <c r="C64" s="654"/>
      <c r="D64" s="655"/>
      <c r="E64" s="655"/>
      <c r="F64" s="655"/>
      <c r="G64" s="674"/>
      <c r="H64" s="652"/>
      <c r="I64" s="652"/>
      <c r="J64" s="630"/>
      <c r="K64" s="158" t="s">
        <v>33</v>
      </c>
      <c r="L64" s="308">
        <f t="shared" ref="L64:X64" si="29">L53-L56</f>
        <v>144824</v>
      </c>
      <c r="M64" s="405">
        <f t="shared" si="29"/>
        <v>144306</v>
      </c>
      <c r="N64" s="405">
        <f t="shared" si="29"/>
        <v>100270</v>
      </c>
      <c r="O64" s="405">
        <f t="shared" si="29"/>
        <v>183026</v>
      </c>
      <c r="P64" s="405">
        <f t="shared" si="29"/>
        <v>148590</v>
      </c>
      <c r="Q64" s="405">
        <f t="shared" si="29"/>
        <v>147619</v>
      </c>
      <c r="R64" s="405">
        <f t="shared" si="29"/>
        <v>180594</v>
      </c>
      <c r="S64" s="405">
        <f t="shared" si="29"/>
        <v>144353</v>
      </c>
      <c r="T64" s="405">
        <f t="shared" si="29"/>
        <v>166831</v>
      </c>
      <c r="U64" s="405">
        <f t="shared" si="29"/>
        <v>193447</v>
      </c>
      <c r="V64" s="405">
        <f t="shared" si="29"/>
        <v>122899</v>
      </c>
      <c r="W64" s="90">
        <f t="shared" si="29"/>
        <v>117319.77777777775</v>
      </c>
      <c r="X64" s="43">
        <f t="shared" si="29"/>
        <v>1794078.777777778</v>
      </c>
      <c r="Z64" s="69"/>
    </row>
    <row r="65" spans="1:26" ht="12.75" customHeight="1">
      <c r="A65" s="115">
        <v>2013024</v>
      </c>
      <c r="C65" s="641">
        <f t="shared" ref="C65" si="30">C53+1</f>
        <v>6</v>
      </c>
      <c r="D65" s="644" t="s">
        <v>59</v>
      </c>
      <c r="E65" s="644"/>
      <c r="F65" s="644"/>
      <c r="G65" s="672" t="s">
        <v>149</v>
      </c>
      <c r="H65" s="647" t="s">
        <v>57</v>
      </c>
      <c r="I65" s="647"/>
      <c r="J65" s="628" t="s">
        <v>55</v>
      </c>
      <c r="K65" s="180" t="s">
        <v>23</v>
      </c>
      <c r="L65" s="307">
        <f t="shared" ref="L65:W65" si="31">L66+L67</f>
        <v>770000</v>
      </c>
      <c r="M65" s="406">
        <f t="shared" si="31"/>
        <v>844555</v>
      </c>
      <c r="N65" s="406">
        <f t="shared" si="31"/>
        <v>854175</v>
      </c>
      <c r="O65" s="406">
        <f t="shared" si="31"/>
        <v>943160</v>
      </c>
      <c r="P65" s="406">
        <f t="shared" si="31"/>
        <v>770000</v>
      </c>
      <c r="Q65" s="406">
        <f t="shared" si="31"/>
        <v>770000</v>
      </c>
      <c r="R65" s="406">
        <f t="shared" si="31"/>
        <v>770000</v>
      </c>
      <c r="S65" s="406">
        <f t="shared" si="31"/>
        <v>770000</v>
      </c>
      <c r="T65" s="406">
        <f t="shared" si="31"/>
        <v>770000</v>
      </c>
      <c r="U65" s="406">
        <f t="shared" si="31"/>
        <v>770000</v>
      </c>
      <c r="V65" s="406">
        <f t="shared" si="31"/>
        <v>637725</v>
      </c>
      <c r="W65" s="94">
        <f t="shared" si="31"/>
        <v>813022.77777777775</v>
      </c>
      <c r="X65" s="122">
        <f>SUM(L65:W65)</f>
        <v>9482637.777777778</v>
      </c>
      <c r="Z65" s="69"/>
    </row>
    <row r="66" spans="1:26" ht="13.5" customHeight="1">
      <c r="A66" s="114">
        <f t="shared" ref="A66:A76" si="32">+A65</f>
        <v>2013024</v>
      </c>
      <c r="B66" s="74"/>
      <c r="C66" s="642"/>
      <c r="D66" s="645"/>
      <c r="E66" s="645"/>
      <c r="F66" s="645"/>
      <c r="G66" s="673"/>
      <c r="H66" s="648"/>
      <c r="I66" s="648"/>
      <c r="J66" s="629"/>
      <c r="K66" s="155" t="s">
        <v>24</v>
      </c>
      <c r="L66" s="295">
        <v>770000</v>
      </c>
      <c r="M66" s="297">
        <v>844555</v>
      </c>
      <c r="N66" s="297">
        <v>854175</v>
      </c>
      <c r="O66" s="297">
        <v>943160</v>
      </c>
      <c r="P66" s="297">
        <v>770000</v>
      </c>
      <c r="Q66" s="297">
        <v>770000</v>
      </c>
      <c r="R66" s="297">
        <v>770000</v>
      </c>
      <c r="S66" s="297">
        <v>770000</v>
      </c>
      <c r="T66" s="297">
        <v>770000</v>
      </c>
      <c r="U66" s="297">
        <v>770000</v>
      </c>
      <c r="V66" s="297">
        <v>637725</v>
      </c>
      <c r="W66" s="91">
        <v>813022.77777777775</v>
      </c>
      <c r="X66" s="58">
        <f>SUM(L66:W66)</f>
        <v>9482637.777777778</v>
      </c>
      <c r="Y66" s="69"/>
      <c r="Z66" s="69"/>
    </row>
    <row r="67" spans="1:26" ht="13.5" customHeight="1">
      <c r="A67" s="114">
        <f t="shared" si="32"/>
        <v>2013024</v>
      </c>
      <c r="B67" s="74"/>
      <c r="C67" s="642"/>
      <c r="D67" s="645"/>
      <c r="E67" s="645"/>
      <c r="F67" s="645"/>
      <c r="G67" s="673"/>
      <c r="H67" s="648"/>
      <c r="I67" s="648"/>
      <c r="J67" s="629"/>
      <c r="K67" s="155" t="s">
        <v>25</v>
      </c>
      <c r="L67" s="295"/>
      <c r="M67" s="297"/>
      <c r="N67" s="297"/>
      <c r="O67" s="297"/>
      <c r="P67" s="297"/>
      <c r="Q67" s="297"/>
      <c r="R67" s="297"/>
      <c r="S67" s="297"/>
      <c r="T67" s="297"/>
      <c r="U67" s="297"/>
      <c r="V67" s="297"/>
      <c r="W67" s="93"/>
      <c r="X67" s="58">
        <v>0</v>
      </c>
      <c r="Z67" s="69"/>
    </row>
    <row r="68" spans="1:26" ht="13.5" customHeight="1">
      <c r="A68" s="114">
        <f t="shared" si="32"/>
        <v>2013024</v>
      </c>
      <c r="B68" s="74"/>
      <c r="C68" s="642"/>
      <c r="D68" s="645"/>
      <c r="E68" s="645"/>
      <c r="F68" s="645"/>
      <c r="G68" s="673"/>
      <c r="H68" s="648"/>
      <c r="I68" s="648"/>
      <c r="J68" s="629"/>
      <c r="K68" s="156" t="s">
        <v>26</v>
      </c>
      <c r="L68" s="296">
        <f t="shared" ref="L68:W68" si="33">SUM(L69:L75)</f>
        <v>644719</v>
      </c>
      <c r="M68" s="411">
        <f t="shared" si="33"/>
        <v>700748</v>
      </c>
      <c r="N68" s="411">
        <f t="shared" si="33"/>
        <v>711214</v>
      </c>
      <c r="O68" s="411">
        <f t="shared" si="33"/>
        <v>787144</v>
      </c>
      <c r="P68" s="411">
        <f t="shared" si="33"/>
        <v>638841</v>
      </c>
      <c r="Q68" s="411">
        <f t="shared" si="33"/>
        <v>630365</v>
      </c>
      <c r="R68" s="411">
        <f t="shared" si="33"/>
        <v>631161</v>
      </c>
      <c r="S68" s="411">
        <f t="shared" si="33"/>
        <v>630963</v>
      </c>
      <c r="T68" s="411">
        <f t="shared" si="33"/>
        <v>629937</v>
      </c>
      <c r="U68" s="411">
        <f t="shared" si="33"/>
        <v>628374</v>
      </c>
      <c r="V68" s="411">
        <f t="shared" si="33"/>
        <v>612847</v>
      </c>
      <c r="W68" s="108">
        <f t="shared" si="33"/>
        <v>673672.33333333337</v>
      </c>
      <c r="X68" s="59">
        <f t="shared" ref="X68:X75" si="34">SUM(L68:W68)</f>
        <v>7919985.333333333</v>
      </c>
      <c r="Z68" s="69"/>
    </row>
    <row r="69" spans="1:26" ht="13.5" customHeight="1">
      <c r="A69" s="114">
        <f t="shared" si="32"/>
        <v>2013024</v>
      </c>
      <c r="B69" s="74"/>
      <c r="C69" s="642"/>
      <c r="D69" s="645"/>
      <c r="E69" s="645"/>
      <c r="F69" s="645"/>
      <c r="G69" s="673"/>
      <c r="H69" s="648"/>
      <c r="I69" s="648"/>
      <c r="J69" s="629"/>
      <c r="K69" s="157" t="s">
        <v>27</v>
      </c>
      <c r="L69" s="297">
        <v>543033</v>
      </c>
      <c r="M69" s="297">
        <v>595120</v>
      </c>
      <c r="N69" s="297">
        <v>597313</v>
      </c>
      <c r="O69" s="297">
        <v>676524</v>
      </c>
      <c r="P69" s="297">
        <v>537200</v>
      </c>
      <c r="Q69" s="297">
        <v>537600</v>
      </c>
      <c r="R69" s="297">
        <v>539200</v>
      </c>
      <c r="S69" s="297">
        <v>536400</v>
      </c>
      <c r="T69" s="297">
        <v>536000</v>
      </c>
      <c r="U69" s="297">
        <v>537600</v>
      </c>
      <c r="V69" s="297">
        <v>522020</v>
      </c>
      <c r="W69" s="91">
        <v>571986.33333333337</v>
      </c>
      <c r="X69" s="58">
        <f t="shared" si="34"/>
        <v>6729996.333333333</v>
      </c>
      <c r="Y69" s="69"/>
      <c r="Z69" s="69"/>
    </row>
    <row r="70" spans="1:26" ht="13.5" customHeight="1">
      <c r="A70" s="114">
        <f t="shared" si="32"/>
        <v>2013024</v>
      </c>
      <c r="B70" s="74"/>
      <c r="C70" s="642"/>
      <c r="D70" s="645"/>
      <c r="E70" s="645"/>
      <c r="F70" s="645"/>
      <c r="G70" s="673"/>
      <c r="H70" s="648"/>
      <c r="I70" s="648"/>
      <c r="J70" s="629"/>
      <c r="K70" s="174" t="s">
        <v>34</v>
      </c>
      <c r="L70" s="297"/>
      <c r="M70" s="297"/>
      <c r="N70" s="297"/>
      <c r="O70" s="297"/>
      <c r="P70" s="297"/>
      <c r="Q70" s="297"/>
      <c r="R70" s="297"/>
      <c r="S70" s="297"/>
      <c r="T70" s="297"/>
      <c r="U70" s="297"/>
      <c r="V70" s="297"/>
      <c r="W70" s="91"/>
      <c r="X70" s="58">
        <f t="shared" si="34"/>
        <v>0</v>
      </c>
      <c r="Y70" s="69"/>
      <c r="Z70" s="69"/>
    </row>
    <row r="71" spans="1:26" ht="13.5" customHeight="1">
      <c r="A71" s="114">
        <f t="shared" si="32"/>
        <v>2013024</v>
      </c>
      <c r="B71" s="74"/>
      <c r="C71" s="642"/>
      <c r="D71" s="645"/>
      <c r="E71" s="645"/>
      <c r="F71" s="645"/>
      <c r="G71" s="673"/>
      <c r="H71" s="648"/>
      <c r="I71" s="648"/>
      <c r="J71" s="629"/>
      <c r="K71" s="157" t="s">
        <v>28</v>
      </c>
      <c r="L71" s="297">
        <v>4180</v>
      </c>
      <c r="M71" s="297">
        <v>7540</v>
      </c>
      <c r="N71" s="297">
        <v>15704</v>
      </c>
      <c r="O71" s="297">
        <v>11634</v>
      </c>
      <c r="P71" s="297">
        <v>4196</v>
      </c>
      <c r="Q71" s="297">
        <v>4196</v>
      </c>
      <c r="R71" s="297">
        <v>3384</v>
      </c>
      <c r="S71" s="297">
        <v>5988</v>
      </c>
      <c r="T71" s="297">
        <v>5372</v>
      </c>
      <c r="U71" s="297">
        <v>2226</v>
      </c>
      <c r="V71" s="297">
        <v>2260</v>
      </c>
      <c r="W71" s="91">
        <v>4180</v>
      </c>
      <c r="X71" s="58">
        <f t="shared" si="34"/>
        <v>70860</v>
      </c>
      <c r="Y71" s="69"/>
      <c r="Z71" s="69"/>
    </row>
    <row r="72" spans="1:26" ht="13.5" customHeight="1">
      <c r="A72" s="114">
        <f t="shared" si="32"/>
        <v>2013024</v>
      </c>
      <c r="B72" s="74"/>
      <c r="C72" s="642"/>
      <c r="D72" s="645"/>
      <c r="E72" s="645"/>
      <c r="F72" s="645"/>
      <c r="G72" s="673"/>
      <c r="H72" s="648"/>
      <c r="I72" s="648"/>
      <c r="J72" s="629"/>
      <c r="K72" s="157" t="s">
        <v>29</v>
      </c>
      <c r="L72" s="297">
        <v>35030</v>
      </c>
      <c r="M72" s="297">
        <v>35030</v>
      </c>
      <c r="N72" s="297">
        <v>35030</v>
      </c>
      <c r="O72" s="297">
        <v>35030</v>
      </c>
      <c r="P72" s="297">
        <v>35030</v>
      </c>
      <c r="Q72" s="297">
        <v>31640</v>
      </c>
      <c r="R72" s="297">
        <v>31640</v>
      </c>
      <c r="S72" s="297">
        <v>31640</v>
      </c>
      <c r="T72" s="297">
        <v>31640</v>
      </c>
      <c r="U72" s="297">
        <v>31640</v>
      </c>
      <c r="V72" s="297">
        <v>31640</v>
      </c>
      <c r="W72" s="91">
        <v>35030</v>
      </c>
      <c r="X72" s="58">
        <f t="shared" si="34"/>
        <v>400020</v>
      </c>
      <c r="Y72" s="69"/>
      <c r="Z72" s="69"/>
    </row>
    <row r="73" spans="1:26" ht="13.5" customHeight="1">
      <c r="A73" s="114">
        <f t="shared" si="32"/>
        <v>2013024</v>
      </c>
      <c r="B73" s="74"/>
      <c r="C73" s="642"/>
      <c r="D73" s="645"/>
      <c r="E73" s="645"/>
      <c r="F73" s="645"/>
      <c r="G73" s="673"/>
      <c r="H73" s="648"/>
      <c r="I73" s="648"/>
      <c r="J73" s="629"/>
      <c r="K73" s="157" t="s">
        <v>30</v>
      </c>
      <c r="L73" s="297">
        <v>56730</v>
      </c>
      <c r="M73" s="297">
        <v>56730</v>
      </c>
      <c r="N73" s="297">
        <v>56730</v>
      </c>
      <c r="O73" s="297">
        <v>56730</v>
      </c>
      <c r="P73" s="297">
        <v>56730</v>
      </c>
      <c r="Q73" s="297">
        <v>51240</v>
      </c>
      <c r="R73" s="297">
        <v>51240</v>
      </c>
      <c r="S73" s="297">
        <v>51240</v>
      </c>
      <c r="T73" s="297">
        <v>51240</v>
      </c>
      <c r="U73" s="297">
        <v>51240</v>
      </c>
      <c r="V73" s="297">
        <v>51240</v>
      </c>
      <c r="W73" s="91">
        <v>56730</v>
      </c>
      <c r="X73" s="58">
        <f t="shared" si="34"/>
        <v>647820</v>
      </c>
      <c r="Y73" s="69"/>
      <c r="Z73" s="69"/>
    </row>
    <row r="74" spans="1:26" ht="13.5" customHeight="1">
      <c r="A74" s="114">
        <f t="shared" si="32"/>
        <v>2013024</v>
      </c>
      <c r="B74" s="74"/>
      <c r="C74" s="642"/>
      <c r="D74" s="645"/>
      <c r="E74" s="645"/>
      <c r="F74" s="645"/>
      <c r="G74" s="673"/>
      <c r="H74" s="648"/>
      <c r="I74" s="648"/>
      <c r="J74" s="629"/>
      <c r="K74" s="157" t="s">
        <v>31</v>
      </c>
      <c r="L74" s="297">
        <v>2736</v>
      </c>
      <c r="M74" s="297">
        <v>3013</v>
      </c>
      <c r="N74" s="297">
        <v>3065</v>
      </c>
      <c r="O74" s="297">
        <v>3441</v>
      </c>
      <c r="P74" s="297">
        <v>2707</v>
      </c>
      <c r="Q74" s="297">
        <v>2709</v>
      </c>
      <c r="R74" s="297">
        <v>2713</v>
      </c>
      <c r="S74" s="297">
        <v>2712</v>
      </c>
      <c r="T74" s="297">
        <v>2707</v>
      </c>
      <c r="U74" s="297">
        <v>2699</v>
      </c>
      <c r="V74" s="297">
        <v>2708</v>
      </c>
      <c r="W74" s="91">
        <v>2736</v>
      </c>
      <c r="X74" s="58">
        <f t="shared" si="34"/>
        <v>33946</v>
      </c>
      <c r="Y74" s="69"/>
      <c r="Z74" s="69"/>
    </row>
    <row r="75" spans="1:26" ht="13.5" customHeight="1">
      <c r="A75" s="114">
        <f t="shared" si="32"/>
        <v>2013024</v>
      </c>
      <c r="B75" s="74"/>
      <c r="C75" s="642"/>
      <c r="D75" s="645"/>
      <c r="E75" s="645"/>
      <c r="F75" s="645"/>
      <c r="G75" s="673"/>
      <c r="H75" s="648"/>
      <c r="I75" s="648"/>
      <c r="J75" s="629"/>
      <c r="K75" s="157" t="s">
        <v>32</v>
      </c>
      <c r="L75" s="297">
        <v>3010</v>
      </c>
      <c r="M75" s="297">
        <v>3315</v>
      </c>
      <c r="N75" s="297">
        <v>3372</v>
      </c>
      <c r="O75" s="297">
        <v>3785</v>
      </c>
      <c r="P75" s="297">
        <v>2978</v>
      </c>
      <c r="Q75" s="297">
        <v>2980</v>
      </c>
      <c r="R75" s="297">
        <v>2984</v>
      </c>
      <c r="S75" s="297">
        <v>2983</v>
      </c>
      <c r="T75" s="297">
        <v>2978</v>
      </c>
      <c r="U75" s="297">
        <v>2969</v>
      </c>
      <c r="V75" s="297">
        <v>2979</v>
      </c>
      <c r="W75" s="91">
        <v>3010</v>
      </c>
      <c r="X75" s="58">
        <f t="shared" si="34"/>
        <v>37343</v>
      </c>
      <c r="Y75" s="69"/>
      <c r="Z75" s="69"/>
    </row>
    <row r="76" spans="1:26" ht="14.25" customHeight="1">
      <c r="A76" s="114">
        <f t="shared" si="32"/>
        <v>2013024</v>
      </c>
      <c r="B76" s="74"/>
      <c r="C76" s="654"/>
      <c r="D76" s="655"/>
      <c r="E76" s="655"/>
      <c r="F76" s="655"/>
      <c r="G76" s="674"/>
      <c r="H76" s="652"/>
      <c r="I76" s="652"/>
      <c r="J76" s="630"/>
      <c r="K76" s="158" t="s">
        <v>33</v>
      </c>
      <c r="L76" s="308">
        <f t="shared" ref="L76:X76" si="35">L65-L68</f>
        <v>125281</v>
      </c>
      <c r="M76" s="405">
        <f t="shared" si="35"/>
        <v>143807</v>
      </c>
      <c r="N76" s="405">
        <f t="shared" si="35"/>
        <v>142961</v>
      </c>
      <c r="O76" s="405">
        <f t="shared" si="35"/>
        <v>156016</v>
      </c>
      <c r="P76" s="405">
        <f t="shared" si="35"/>
        <v>131159</v>
      </c>
      <c r="Q76" s="405">
        <f t="shared" si="35"/>
        <v>139635</v>
      </c>
      <c r="R76" s="405">
        <f t="shared" si="35"/>
        <v>138839</v>
      </c>
      <c r="S76" s="405">
        <f t="shared" si="35"/>
        <v>139037</v>
      </c>
      <c r="T76" s="405">
        <f t="shared" si="35"/>
        <v>140063</v>
      </c>
      <c r="U76" s="405">
        <f t="shared" si="35"/>
        <v>141626</v>
      </c>
      <c r="V76" s="405">
        <f t="shared" si="35"/>
        <v>24878</v>
      </c>
      <c r="W76" s="90">
        <f t="shared" si="35"/>
        <v>139350.44444444438</v>
      </c>
      <c r="X76" s="43">
        <f t="shared" si="35"/>
        <v>1562652.444444445</v>
      </c>
      <c r="Z76" s="69"/>
    </row>
    <row r="77" spans="1:26" ht="12.75" customHeight="1">
      <c r="A77" s="115">
        <v>2014012</v>
      </c>
      <c r="C77" s="641">
        <f t="shared" ref="C77" si="36">C65+1</f>
        <v>7</v>
      </c>
      <c r="D77" s="644" t="s">
        <v>59</v>
      </c>
      <c r="E77" s="644"/>
      <c r="F77" s="644"/>
      <c r="G77" s="672" t="s">
        <v>149</v>
      </c>
      <c r="H77" s="647"/>
      <c r="I77" s="647"/>
      <c r="J77" s="628" t="s">
        <v>55</v>
      </c>
      <c r="K77" s="180" t="s">
        <v>23</v>
      </c>
      <c r="L77" s="307">
        <f t="shared" ref="L77:W77" si="37">L78+L79</f>
        <v>691375</v>
      </c>
      <c r="M77" s="406">
        <f t="shared" si="37"/>
        <v>693720</v>
      </c>
      <c r="N77" s="406">
        <f t="shared" si="37"/>
        <v>750000</v>
      </c>
      <c r="O77" s="406">
        <f t="shared" si="37"/>
        <v>750000</v>
      </c>
      <c r="P77" s="406">
        <f t="shared" si="37"/>
        <v>747655</v>
      </c>
      <c r="Q77" s="406">
        <f t="shared" si="37"/>
        <v>750000</v>
      </c>
      <c r="R77" s="406">
        <f t="shared" si="37"/>
        <v>750000</v>
      </c>
      <c r="S77" s="406">
        <f t="shared" si="37"/>
        <v>750000</v>
      </c>
      <c r="T77" s="406">
        <f t="shared" si="37"/>
        <v>693720</v>
      </c>
      <c r="U77" s="406">
        <f t="shared" si="37"/>
        <v>696065</v>
      </c>
      <c r="V77" s="406">
        <f t="shared" si="37"/>
        <v>750000</v>
      </c>
      <c r="W77" s="94">
        <f t="shared" si="37"/>
        <v>701750</v>
      </c>
      <c r="X77" s="122">
        <f>SUM(L77:W77)</f>
        <v>8724285</v>
      </c>
      <c r="Z77" s="69"/>
    </row>
    <row r="78" spans="1:26" ht="13.5" customHeight="1">
      <c r="A78" s="114">
        <f t="shared" ref="A78:A88" si="38">+A77</f>
        <v>2014012</v>
      </c>
      <c r="B78" s="74"/>
      <c r="C78" s="642"/>
      <c r="D78" s="645"/>
      <c r="E78" s="645"/>
      <c r="F78" s="645"/>
      <c r="G78" s="673"/>
      <c r="H78" s="648"/>
      <c r="I78" s="648"/>
      <c r="J78" s="629"/>
      <c r="K78" s="155" t="s">
        <v>24</v>
      </c>
      <c r="L78" s="295">
        <v>691375</v>
      </c>
      <c r="M78" s="297">
        <v>693720</v>
      </c>
      <c r="N78" s="297">
        <v>750000</v>
      </c>
      <c r="O78" s="297">
        <v>750000</v>
      </c>
      <c r="P78" s="297">
        <v>747655</v>
      </c>
      <c r="Q78" s="297">
        <v>750000</v>
      </c>
      <c r="R78" s="297">
        <v>750000</v>
      </c>
      <c r="S78" s="297">
        <v>750000</v>
      </c>
      <c r="T78" s="297">
        <v>693720</v>
      </c>
      <c r="U78" s="297">
        <v>696065</v>
      </c>
      <c r="V78" s="297">
        <v>750000</v>
      </c>
      <c r="W78" s="91">
        <v>701750</v>
      </c>
      <c r="X78" s="58">
        <f>SUM(L78:W78)</f>
        <v>8724285</v>
      </c>
      <c r="Y78" s="69"/>
      <c r="Z78" s="69"/>
    </row>
    <row r="79" spans="1:26" ht="13.5" customHeight="1">
      <c r="A79" s="114">
        <f t="shared" si="38"/>
        <v>2014012</v>
      </c>
      <c r="B79" s="74"/>
      <c r="C79" s="642"/>
      <c r="D79" s="645"/>
      <c r="E79" s="645"/>
      <c r="F79" s="645"/>
      <c r="G79" s="673"/>
      <c r="H79" s="648"/>
      <c r="I79" s="648"/>
      <c r="J79" s="629"/>
      <c r="K79" s="155" t="s">
        <v>25</v>
      </c>
      <c r="L79" s="295"/>
      <c r="M79" s="297"/>
      <c r="N79" s="297"/>
      <c r="O79" s="297"/>
      <c r="P79" s="297"/>
      <c r="Q79" s="297"/>
      <c r="R79" s="297"/>
      <c r="S79" s="297"/>
      <c r="T79" s="297"/>
      <c r="U79" s="297"/>
      <c r="V79" s="297"/>
      <c r="W79" s="93"/>
      <c r="X79" s="58">
        <v>0</v>
      </c>
      <c r="Z79" s="69"/>
    </row>
    <row r="80" spans="1:26" ht="13.5" customHeight="1">
      <c r="A80" s="114">
        <f t="shared" si="38"/>
        <v>2014012</v>
      </c>
      <c r="B80" s="74"/>
      <c r="C80" s="642"/>
      <c r="D80" s="645"/>
      <c r="E80" s="645"/>
      <c r="F80" s="645"/>
      <c r="G80" s="673"/>
      <c r="H80" s="648"/>
      <c r="I80" s="648"/>
      <c r="J80" s="629"/>
      <c r="K80" s="156" t="s">
        <v>26</v>
      </c>
      <c r="L80" s="296">
        <f t="shared" ref="L80:W80" si="39">SUM(L81:L87)</f>
        <v>639267</v>
      </c>
      <c r="M80" s="411">
        <f t="shared" si="39"/>
        <v>633669</v>
      </c>
      <c r="N80" s="411">
        <f t="shared" si="39"/>
        <v>640076</v>
      </c>
      <c r="O80" s="411">
        <f t="shared" si="39"/>
        <v>637873</v>
      </c>
      <c r="P80" s="411">
        <f t="shared" si="39"/>
        <v>635932</v>
      </c>
      <c r="Q80" s="411">
        <f t="shared" si="39"/>
        <v>641192</v>
      </c>
      <c r="R80" s="411">
        <f t="shared" si="39"/>
        <v>639281</v>
      </c>
      <c r="S80" s="411">
        <f t="shared" si="39"/>
        <v>643344</v>
      </c>
      <c r="T80" s="411">
        <f t="shared" si="39"/>
        <v>638777</v>
      </c>
      <c r="U80" s="411">
        <f t="shared" si="39"/>
        <v>638705</v>
      </c>
      <c r="V80" s="411">
        <f t="shared" si="39"/>
        <v>638150</v>
      </c>
      <c r="W80" s="108">
        <f t="shared" si="39"/>
        <v>632778.11111111112</v>
      </c>
      <c r="X80" s="59">
        <f t="shared" ref="X80:X87" si="40">SUM(L80:W80)</f>
        <v>7659044.111111111</v>
      </c>
      <c r="Z80" s="69"/>
    </row>
    <row r="81" spans="1:26" ht="13.5" customHeight="1">
      <c r="A81" s="114">
        <f t="shared" si="38"/>
        <v>2014012</v>
      </c>
      <c r="B81" s="74"/>
      <c r="C81" s="642"/>
      <c r="D81" s="645"/>
      <c r="E81" s="645"/>
      <c r="F81" s="645"/>
      <c r="G81" s="673"/>
      <c r="H81" s="648"/>
      <c r="I81" s="648"/>
      <c r="J81" s="629"/>
      <c r="K81" s="157" t="s">
        <v>27</v>
      </c>
      <c r="L81" s="297">
        <v>535000</v>
      </c>
      <c r="M81" s="297">
        <v>535400</v>
      </c>
      <c r="N81" s="297">
        <v>535800</v>
      </c>
      <c r="O81" s="297">
        <v>537000</v>
      </c>
      <c r="P81" s="297">
        <v>537000</v>
      </c>
      <c r="Q81" s="297">
        <v>537800</v>
      </c>
      <c r="R81" s="297">
        <v>540200</v>
      </c>
      <c r="S81" s="297">
        <v>538200</v>
      </c>
      <c r="T81" s="297">
        <v>537800</v>
      </c>
      <c r="U81" s="297">
        <v>537800</v>
      </c>
      <c r="V81" s="297">
        <v>540200</v>
      </c>
      <c r="W81" s="91">
        <v>528511.11111111112</v>
      </c>
      <c r="X81" s="58">
        <f t="shared" si="40"/>
        <v>6440711.111111111</v>
      </c>
      <c r="Y81" s="69"/>
      <c r="Z81" s="69"/>
    </row>
    <row r="82" spans="1:26" ht="13.5" customHeight="1">
      <c r="A82" s="114">
        <f t="shared" si="38"/>
        <v>2014012</v>
      </c>
      <c r="B82" s="74"/>
      <c r="C82" s="642"/>
      <c r="D82" s="645"/>
      <c r="E82" s="645"/>
      <c r="F82" s="645"/>
      <c r="G82" s="673"/>
      <c r="H82" s="648"/>
      <c r="I82" s="648"/>
      <c r="J82" s="629"/>
      <c r="K82" s="174" t="s">
        <v>34</v>
      </c>
      <c r="L82" s="297"/>
      <c r="M82" s="297"/>
      <c r="N82" s="297"/>
      <c r="O82" s="297"/>
      <c r="P82" s="297"/>
      <c r="Q82" s="297"/>
      <c r="R82" s="297"/>
      <c r="S82" s="297"/>
      <c r="T82" s="297"/>
      <c r="U82" s="297"/>
      <c r="V82" s="297"/>
      <c r="W82" s="91"/>
      <c r="X82" s="58">
        <f t="shared" si="40"/>
        <v>0</v>
      </c>
      <c r="Y82" s="69"/>
      <c r="Z82" s="69"/>
    </row>
    <row r="83" spans="1:26" ht="13.5" customHeight="1">
      <c r="A83" s="114">
        <f t="shared" si="38"/>
        <v>2014012</v>
      </c>
      <c r="B83" s="74"/>
      <c r="C83" s="642"/>
      <c r="D83" s="645"/>
      <c r="E83" s="645"/>
      <c r="F83" s="645"/>
      <c r="G83" s="673"/>
      <c r="H83" s="648"/>
      <c r="I83" s="648"/>
      <c r="J83" s="629"/>
      <c r="K83" s="157" t="s">
        <v>28</v>
      </c>
      <c r="L83" s="297">
        <v>20000</v>
      </c>
      <c r="M83" s="297">
        <v>14060</v>
      </c>
      <c r="N83" s="297">
        <v>20000</v>
      </c>
      <c r="O83" s="297">
        <v>16620</v>
      </c>
      <c r="P83" s="297">
        <v>14700</v>
      </c>
      <c r="Q83" s="297">
        <v>14710</v>
      </c>
      <c r="R83" s="297">
        <v>10420</v>
      </c>
      <c r="S83" s="297">
        <v>16440</v>
      </c>
      <c r="T83" s="297">
        <v>12320</v>
      </c>
      <c r="U83" s="297">
        <v>12250</v>
      </c>
      <c r="V83" s="297">
        <v>9120</v>
      </c>
      <c r="W83" s="91">
        <v>20000</v>
      </c>
      <c r="X83" s="58">
        <f t="shared" si="40"/>
        <v>180640</v>
      </c>
      <c r="Y83" s="69"/>
      <c r="Z83" s="69"/>
    </row>
    <row r="84" spans="1:26" ht="13.5" customHeight="1">
      <c r="A84" s="114">
        <f t="shared" si="38"/>
        <v>2014012</v>
      </c>
      <c r="B84" s="74"/>
      <c r="C84" s="642"/>
      <c r="D84" s="645"/>
      <c r="E84" s="645"/>
      <c r="F84" s="645"/>
      <c r="G84" s="673"/>
      <c r="H84" s="648"/>
      <c r="I84" s="648"/>
      <c r="J84" s="629"/>
      <c r="K84" s="157" t="s">
        <v>29</v>
      </c>
      <c r="L84" s="297">
        <v>29945</v>
      </c>
      <c r="M84" s="297">
        <v>29945</v>
      </c>
      <c r="N84" s="297">
        <v>29945</v>
      </c>
      <c r="O84" s="297">
        <v>29945</v>
      </c>
      <c r="P84" s="297">
        <v>29945</v>
      </c>
      <c r="Q84" s="297">
        <v>31640</v>
      </c>
      <c r="R84" s="297">
        <v>31640</v>
      </c>
      <c r="S84" s="297">
        <v>31640</v>
      </c>
      <c r="T84" s="297">
        <v>31640</v>
      </c>
      <c r="U84" s="297">
        <v>31640</v>
      </c>
      <c r="V84" s="297">
        <v>31640</v>
      </c>
      <c r="W84" s="91">
        <v>29945</v>
      </c>
      <c r="X84" s="58">
        <f t="shared" si="40"/>
        <v>369510</v>
      </c>
      <c r="Y84" s="69"/>
      <c r="Z84" s="69"/>
    </row>
    <row r="85" spans="1:26" ht="13.5" customHeight="1">
      <c r="A85" s="114">
        <f t="shared" si="38"/>
        <v>2014012</v>
      </c>
      <c r="B85" s="74"/>
      <c r="C85" s="642"/>
      <c r="D85" s="645"/>
      <c r="E85" s="645"/>
      <c r="F85" s="645"/>
      <c r="G85" s="673"/>
      <c r="H85" s="648"/>
      <c r="I85" s="648"/>
      <c r="J85" s="629"/>
      <c r="K85" s="157" t="s">
        <v>30</v>
      </c>
      <c r="L85" s="297">
        <v>48495</v>
      </c>
      <c r="M85" s="297">
        <v>48495</v>
      </c>
      <c r="N85" s="297">
        <v>48495</v>
      </c>
      <c r="O85" s="297">
        <v>48495</v>
      </c>
      <c r="P85" s="297">
        <v>48495</v>
      </c>
      <c r="Q85" s="297">
        <v>51240</v>
      </c>
      <c r="R85" s="297">
        <v>51240</v>
      </c>
      <c r="S85" s="297">
        <v>51240</v>
      </c>
      <c r="T85" s="297">
        <v>51240</v>
      </c>
      <c r="U85" s="297">
        <v>51240</v>
      </c>
      <c r="V85" s="297">
        <v>51240</v>
      </c>
      <c r="W85" s="91">
        <v>48495</v>
      </c>
      <c r="X85" s="58">
        <f t="shared" si="40"/>
        <v>598410</v>
      </c>
      <c r="Y85" s="69"/>
      <c r="Z85" s="69"/>
    </row>
    <row r="86" spans="1:26" ht="13.5" customHeight="1">
      <c r="A86" s="114">
        <f t="shared" si="38"/>
        <v>2014012</v>
      </c>
      <c r="B86" s="74"/>
      <c r="C86" s="642"/>
      <c r="D86" s="645"/>
      <c r="E86" s="645"/>
      <c r="F86" s="645"/>
      <c r="G86" s="673"/>
      <c r="H86" s="648"/>
      <c r="I86" s="648"/>
      <c r="J86" s="629"/>
      <c r="K86" s="157" t="s">
        <v>31</v>
      </c>
      <c r="L86" s="297">
        <v>2775</v>
      </c>
      <c r="M86" s="297">
        <v>2747</v>
      </c>
      <c r="N86" s="297">
        <v>2779</v>
      </c>
      <c r="O86" s="297">
        <v>2768</v>
      </c>
      <c r="P86" s="297">
        <v>2758</v>
      </c>
      <c r="Q86" s="297">
        <v>2763</v>
      </c>
      <c r="R86" s="297">
        <v>2753</v>
      </c>
      <c r="S86" s="297">
        <v>2773</v>
      </c>
      <c r="T86" s="297">
        <v>2751</v>
      </c>
      <c r="U86" s="297">
        <v>2750</v>
      </c>
      <c r="V86" s="297">
        <v>2833</v>
      </c>
      <c r="W86" s="91">
        <v>2775</v>
      </c>
      <c r="X86" s="58">
        <f t="shared" si="40"/>
        <v>33225</v>
      </c>
      <c r="Y86" s="69"/>
      <c r="Z86" s="69"/>
    </row>
    <row r="87" spans="1:26" ht="13.5" customHeight="1">
      <c r="A87" s="114">
        <f t="shared" si="38"/>
        <v>2014012</v>
      </c>
      <c r="B87" s="74"/>
      <c r="C87" s="642"/>
      <c r="D87" s="645"/>
      <c r="E87" s="645"/>
      <c r="F87" s="645"/>
      <c r="G87" s="673"/>
      <c r="H87" s="648"/>
      <c r="I87" s="648"/>
      <c r="J87" s="629"/>
      <c r="K87" s="157" t="s">
        <v>32</v>
      </c>
      <c r="L87" s="297">
        <v>3052</v>
      </c>
      <c r="M87" s="297">
        <v>3022</v>
      </c>
      <c r="N87" s="297">
        <v>3057</v>
      </c>
      <c r="O87" s="297">
        <v>3045</v>
      </c>
      <c r="P87" s="297">
        <v>3034</v>
      </c>
      <c r="Q87" s="297">
        <v>3039</v>
      </c>
      <c r="R87" s="297">
        <v>3028</v>
      </c>
      <c r="S87" s="297">
        <v>3051</v>
      </c>
      <c r="T87" s="297">
        <v>3026</v>
      </c>
      <c r="U87" s="297">
        <v>3025</v>
      </c>
      <c r="V87" s="297">
        <v>3117</v>
      </c>
      <c r="W87" s="91">
        <v>3052</v>
      </c>
      <c r="X87" s="58">
        <f t="shared" si="40"/>
        <v>36548</v>
      </c>
      <c r="Y87" s="69"/>
      <c r="Z87" s="69"/>
    </row>
    <row r="88" spans="1:26" ht="14.25" customHeight="1">
      <c r="A88" s="114">
        <f t="shared" si="38"/>
        <v>2014012</v>
      </c>
      <c r="B88" s="74"/>
      <c r="C88" s="654"/>
      <c r="D88" s="655"/>
      <c r="E88" s="655"/>
      <c r="F88" s="655"/>
      <c r="G88" s="674"/>
      <c r="H88" s="652"/>
      <c r="I88" s="652"/>
      <c r="J88" s="630"/>
      <c r="K88" s="158" t="s">
        <v>33</v>
      </c>
      <c r="L88" s="308">
        <f t="shared" ref="L88:X88" si="41">L77-L80</f>
        <v>52108</v>
      </c>
      <c r="M88" s="405">
        <f t="shared" si="41"/>
        <v>60051</v>
      </c>
      <c r="N88" s="405">
        <f t="shared" si="41"/>
        <v>109924</v>
      </c>
      <c r="O88" s="405">
        <f t="shared" si="41"/>
        <v>112127</v>
      </c>
      <c r="P88" s="405">
        <f t="shared" si="41"/>
        <v>111723</v>
      </c>
      <c r="Q88" s="405">
        <f t="shared" si="41"/>
        <v>108808</v>
      </c>
      <c r="R88" s="405">
        <f t="shared" si="41"/>
        <v>110719</v>
      </c>
      <c r="S88" s="405">
        <f t="shared" si="41"/>
        <v>106656</v>
      </c>
      <c r="T88" s="405">
        <f t="shared" si="41"/>
        <v>54943</v>
      </c>
      <c r="U88" s="405">
        <f t="shared" si="41"/>
        <v>57360</v>
      </c>
      <c r="V88" s="405">
        <f t="shared" si="41"/>
        <v>111850</v>
      </c>
      <c r="W88" s="90">
        <f t="shared" si="41"/>
        <v>68971.888888888876</v>
      </c>
      <c r="X88" s="43">
        <f t="shared" si="41"/>
        <v>1065240.888888889</v>
      </c>
      <c r="Z88" s="69"/>
    </row>
    <row r="89" spans="1:26" ht="12.75" customHeight="1">
      <c r="A89" s="115">
        <v>2011001</v>
      </c>
      <c r="C89" s="641">
        <f t="shared" ref="C89" si="42">C77+1</f>
        <v>8</v>
      </c>
      <c r="D89" s="644" t="s">
        <v>59</v>
      </c>
      <c r="E89" s="644"/>
      <c r="F89" s="644"/>
      <c r="G89" s="672" t="s">
        <v>149</v>
      </c>
      <c r="H89" s="647" t="s">
        <v>37</v>
      </c>
      <c r="I89" s="647" t="s">
        <v>36</v>
      </c>
      <c r="J89" s="628" t="s">
        <v>55</v>
      </c>
      <c r="K89" s="180" t="s">
        <v>23</v>
      </c>
      <c r="L89" s="307">
        <f t="shared" ref="L89:W89" si="43">L90+L91</f>
        <v>850000</v>
      </c>
      <c r="M89" s="406">
        <f t="shared" si="43"/>
        <v>836725</v>
      </c>
      <c r="N89" s="406">
        <f t="shared" si="43"/>
        <v>850000</v>
      </c>
      <c r="O89" s="406">
        <f t="shared" si="43"/>
        <v>873895</v>
      </c>
      <c r="P89" s="406">
        <f t="shared" si="43"/>
        <v>786280</v>
      </c>
      <c r="Q89" s="406">
        <f t="shared" si="43"/>
        <v>850000</v>
      </c>
      <c r="R89" s="406">
        <f t="shared" si="43"/>
        <v>850000</v>
      </c>
      <c r="S89" s="406">
        <f t="shared" si="43"/>
        <v>905755</v>
      </c>
      <c r="T89" s="406">
        <f t="shared" si="43"/>
        <v>850000</v>
      </c>
      <c r="U89" s="406">
        <f t="shared" si="43"/>
        <v>850000</v>
      </c>
      <c r="V89" s="406">
        <f t="shared" si="43"/>
        <v>831415</v>
      </c>
      <c r="W89" s="94">
        <f t="shared" si="43"/>
        <v>803722.22222222225</v>
      </c>
      <c r="X89" s="122">
        <f t="shared" ref="X89:X99" si="44">SUM(L89:W89)</f>
        <v>10137792.222222222</v>
      </c>
      <c r="Z89" s="69"/>
    </row>
    <row r="90" spans="1:26" ht="13.5" customHeight="1">
      <c r="A90" s="114">
        <f t="shared" ref="A90:A100" si="45">+A89</f>
        <v>2011001</v>
      </c>
      <c r="B90" s="74"/>
      <c r="C90" s="642"/>
      <c r="D90" s="645"/>
      <c r="E90" s="645"/>
      <c r="F90" s="645"/>
      <c r="G90" s="673"/>
      <c r="H90" s="648"/>
      <c r="I90" s="648"/>
      <c r="J90" s="629"/>
      <c r="K90" s="155" t="s">
        <v>24</v>
      </c>
      <c r="L90" s="295">
        <v>850000</v>
      </c>
      <c r="M90" s="297">
        <v>836725</v>
      </c>
      <c r="N90" s="297">
        <v>850000</v>
      </c>
      <c r="O90" s="297">
        <v>873895</v>
      </c>
      <c r="P90" s="297">
        <v>786280</v>
      </c>
      <c r="Q90" s="297">
        <v>850000</v>
      </c>
      <c r="R90" s="297">
        <v>850000</v>
      </c>
      <c r="S90" s="297">
        <v>905755</v>
      </c>
      <c r="T90" s="297">
        <v>850000</v>
      </c>
      <c r="U90" s="297">
        <v>850000</v>
      </c>
      <c r="V90" s="297">
        <v>831415</v>
      </c>
      <c r="W90" s="91">
        <v>803722.22222222225</v>
      </c>
      <c r="X90" s="58">
        <f t="shared" si="44"/>
        <v>10137792.222222222</v>
      </c>
      <c r="Y90" s="69"/>
      <c r="Z90" s="69"/>
    </row>
    <row r="91" spans="1:26" ht="13.5" customHeight="1">
      <c r="A91" s="114">
        <f t="shared" si="45"/>
        <v>2011001</v>
      </c>
      <c r="B91" s="74"/>
      <c r="C91" s="642"/>
      <c r="D91" s="645"/>
      <c r="E91" s="645"/>
      <c r="F91" s="645"/>
      <c r="G91" s="673"/>
      <c r="H91" s="648"/>
      <c r="I91" s="648"/>
      <c r="J91" s="629"/>
      <c r="K91" s="155" t="s">
        <v>25</v>
      </c>
      <c r="L91" s="295"/>
      <c r="M91" s="297"/>
      <c r="N91" s="297"/>
      <c r="O91" s="297"/>
      <c r="P91" s="297"/>
      <c r="Q91" s="297"/>
      <c r="R91" s="297"/>
      <c r="S91" s="297"/>
      <c r="T91" s="297"/>
      <c r="U91" s="297"/>
      <c r="V91" s="297"/>
      <c r="W91" s="93"/>
      <c r="X91" s="58">
        <f t="shared" si="44"/>
        <v>0</v>
      </c>
      <c r="Z91" s="69"/>
    </row>
    <row r="92" spans="1:26" ht="13.5" customHeight="1">
      <c r="A92" s="114">
        <f t="shared" si="45"/>
        <v>2011001</v>
      </c>
      <c r="B92" s="74"/>
      <c r="C92" s="642"/>
      <c r="D92" s="645"/>
      <c r="E92" s="645"/>
      <c r="F92" s="645"/>
      <c r="G92" s="673"/>
      <c r="H92" s="648"/>
      <c r="I92" s="648"/>
      <c r="J92" s="629"/>
      <c r="K92" s="156" t="s">
        <v>26</v>
      </c>
      <c r="L92" s="296">
        <f t="shared" ref="L92:W92" si="46">SUM(L93:L99)</f>
        <v>654493</v>
      </c>
      <c r="M92" s="411">
        <f t="shared" si="46"/>
        <v>657504</v>
      </c>
      <c r="N92" s="411">
        <f t="shared" si="46"/>
        <v>721652</v>
      </c>
      <c r="O92" s="411">
        <f t="shared" si="46"/>
        <v>758150</v>
      </c>
      <c r="P92" s="411">
        <f t="shared" si="46"/>
        <v>649845</v>
      </c>
      <c r="Q92" s="411">
        <f t="shared" si="46"/>
        <v>720142</v>
      </c>
      <c r="R92" s="411">
        <f t="shared" si="46"/>
        <v>706136</v>
      </c>
      <c r="S92" s="411">
        <f t="shared" si="46"/>
        <v>791887</v>
      </c>
      <c r="T92" s="411">
        <f t="shared" si="46"/>
        <v>771325</v>
      </c>
      <c r="U92" s="411">
        <f t="shared" si="46"/>
        <v>651387</v>
      </c>
      <c r="V92" s="411">
        <f t="shared" si="46"/>
        <v>606178</v>
      </c>
      <c r="W92" s="108">
        <f t="shared" si="46"/>
        <v>729905.88888888888</v>
      </c>
      <c r="X92" s="59">
        <f t="shared" si="44"/>
        <v>8418604.8888888881</v>
      </c>
      <c r="Z92" s="69"/>
    </row>
    <row r="93" spans="1:26" ht="13.5" customHeight="1">
      <c r="A93" s="114">
        <f t="shared" si="45"/>
        <v>2011001</v>
      </c>
      <c r="B93" s="74"/>
      <c r="C93" s="642"/>
      <c r="D93" s="645"/>
      <c r="E93" s="645"/>
      <c r="F93" s="645"/>
      <c r="G93" s="673"/>
      <c r="H93" s="648"/>
      <c r="I93" s="648"/>
      <c r="J93" s="629"/>
      <c r="K93" s="157" t="s">
        <v>27</v>
      </c>
      <c r="L93" s="297">
        <v>541280</v>
      </c>
      <c r="M93" s="297">
        <v>544260</v>
      </c>
      <c r="N93" s="297">
        <v>607740</v>
      </c>
      <c r="O93" s="297">
        <v>643860</v>
      </c>
      <c r="P93" s="297">
        <v>536680</v>
      </c>
      <c r="Q93" s="297">
        <v>610640</v>
      </c>
      <c r="R93" s="297">
        <v>596780</v>
      </c>
      <c r="S93" s="297">
        <v>681640</v>
      </c>
      <c r="T93" s="297">
        <v>661292</v>
      </c>
      <c r="U93" s="297">
        <v>542600</v>
      </c>
      <c r="V93" s="297">
        <v>497680</v>
      </c>
      <c r="W93" s="91">
        <v>616692.88888888888</v>
      </c>
      <c r="X93" s="58">
        <f t="shared" si="44"/>
        <v>7081144.888888889</v>
      </c>
      <c r="Y93" s="69"/>
      <c r="Z93" s="69"/>
    </row>
    <row r="94" spans="1:26" ht="13.5" customHeight="1">
      <c r="A94" s="114">
        <f t="shared" si="45"/>
        <v>2011001</v>
      </c>
      <c r="B94" s="74"/>
      <c r="C94" s="642"/>
      <c r="D94" s="645"/>
      <c r="E94" s="645"/>
      <c r="F94" s="645"/>
      <c r="G94" s="673"/>
      <c r="H94" s="648"/>
      <c r="I94" s="648"/>
      <c r="J94" s="629"/>
      <c r="K94" s="174" t="s">
        <v>34</v>
      </c>
      <c r="L94" s="297"/>
      <c r="M94" s="297"/>
      <c r="N94" s="297"/>
      <c r="O94" s="297"/>
      <c r="P94" s="297"/>
      <c r="Q94" s="297"/>
      <c r="R94" s="297"/>
      <c r="S94" s="297"/>
      <c r="T94" s="297"/>
      <c r="U94" s="297"/>
      <c r="V94" s="297"/>
      <c r="W94" s="91"/>
      <c r="X94" s="58">
        <f t="shared" si="44"/>
        <v>0</v>
      </c>
      <c r="Y94" s="69"/>
      <c r="Z94" s="69"/>
    </row>
    <row r="95" spans="1:26" ht="13.5" customHeight="1">
      <c r="A95" s="114">
        <f t="shared" si="45"/>
        <v>2011001</v>
      </c>
      <c r="B95" s="74"/>
      <c r="C95" s="642"/>
      <c r="D95" s="645"/>
      <c r="E95" s="645"/>
      <c r="F95" s="645"/>
      <c r="G95" s="673"/>
      <c r="H95" s="648"/>
      <c r="I95" s="648"/>
      <c r="J95" s="629"/>
      <c r="K95" s="157" t="s">
        <v>28</v>
      </c>
      <c r="L95" s="297">
        <v>20000</v>
      </c>
      <c r="M95" s="297">
        <v>20000</v>
      </c>
      <c r="N95" s="297">
        <v>20000</v>
      </c>
      <c r="O95" s="297">
        <v>20000</v>
      </c>
      <c r="P95" s="297">
        <v>20000</v>
      </c>
      <c r="Q95" s="297">
        <v>20000</v>
      </c>
      <c r="R95" s="297">
        <v>20000</v>
      </c>
      <c r="S95" s="297">
        <v>20000</v>
      </c>
      <c r="T95" s="297">
        <v>20000</v>
      </c>
      <c r="U95" s="297">
        <v>20000</v>
      </c>
      <c r="V95" s="297">
        <v>20000</v>
      </c>
      <c r="W95" s="91">
        <v>20000</v>
      </c>
      <c r="X95" s="58">
        <f t="shared" si="44"/>
        <v>240000</v>
      </c>
      <c r="Y95" s="69"/>
      <c r="Z95" s="69"/>
    </row>
    <row r="96" spans="1:26" ht="13.5" customHeight="1">
      <c r="A96" s="114">
        <f t="shared" si="45"/>
        <v>2011001</v>
      </c>
      <c r="B96" s="74"/>
      <c r="C96" s="642"/>
      <c r="D96" s="645"/>
      <c r="E96" s="645"/>
      <c r="F96" s="645"/>
      <c r="G96" s="673"/>
      <c r="H96" s="648"/>
      <c r="I96" s="648"/>
      <c r="J96" s="629"/>
      <c r="K96" s="157" t="s">
        <v>29</v>
      </c>
      <c r="L96" s="297">
        <v>33335</v>
      </c>
      <c r="M96" s="297">
        <v>33335</v>
      </c>
      <c r="N96" s="297">
        <v>33335</v>
      </c>
      <c r="O96" s="297">
        <v>33335</v>
      </c>
      <c r="P96" s="297">
        <v>33335</v>
      </c>
      <c r="Q96" s="297">
        <v>31640</v>
      </c>
      <c r="R96" s="297">
        <v>31640</v>
      </c>
      <c r="S96" s="297">
        <v>31640</v>
      </c>
      <c r="T96" s="297">
        <v>31640</v>
      </c>
      <c r="U96" s="297">
        <v>31640</v>
      </c>
      <c r="V96" s="297">
        <v>31640</v>
      </c>
      <c r="W96" s="91">
        <v>33335</v>
      </c>
      <c r="X96" s="58">
        <f t="shared" si="44"/>
        <v>389850</v>
      </c>
      <c r="Y96" s="69"/>
      <c r="Z96" s="69"/>
    </row>
    <row r="97" spans="1:26" ht="13.5" customHeight="1">
      <c r="A97" s="114">
        <f t="shared" si="45"/>
        <v>2011001</v>
      </c>
      <c r="B97" s="74"/>
      <c r="C97" s="642"/>
      <c r="D97" s="645"/>
      <c r="E97" s="645"/>
      <c r="F97" s="645"/>
      <c r="G97" s="673"/>
      <c r="H97" s="648"/>
      <c r="I97" s="648"/>
      <c r="J97" s="629"/>
      <c r="K97" s="157" t="s">
        <v>30</v>
      </c>
      <c r="L97" s="297">
        <v>53985</v>
      </c>
      <c r="M97" s="297">
        <v>53985</v>
      </c>
      <c r="N97" s="297">
        <v>53985</v>
      </c>
      <c r="O97" s="297">
        <v>53985</v>
      </c>
      <c r="P97" s="297">
        <v>53985</v>
      </c>
      <c r="Q97" s="297">
        <v>51240</v>
      </c>
      <c r="R97" s="297">
        <v>51240</v>
      </c>
      <c r="S97" s="297">
        <v>51240</v>
      </c>
      <c r="T97" s="297">
        <v>51240</v>
      </c>
      <c r="U97" s="297">
        <v>51240</v>
      </c>
      <c r="V97" s="297">
        <v>51240</v>
      </c>
      <c r="W97" s="91">
        <v>53985</v>
      </c>
      <c r="X97" s="58">
        <f t="shared" si="44"/>
        <v>631350</v>
      </c>
      <c r="Y97" s="69"/>
      <c r="Z97" s="69"/>
    </row>
    <row r="98" spans="1:26" ht="13.5" customHeight="1">
      <c r="A98" s="114">
        <f t="shared" si="45"/>
        <v>2011001</v>
      </c>
      <c r="B98" s="74"/>
      <c r="C98" s="642"/>
      <c r="D98" s="645"/>
      <c r="E98" s="645"/>
      <c r="F98" s="645"/>
      <c r="G98" s="673"/>
      <c r="H98" s="648"/>
      <c r="I98" s="648"/>
      <c r="J98" s="629"/>
      <c r="K98" s="157" t="s">
        <v>31</v>
      </c>
      <c r="L98" s="297">
        <v>2806</v>
      </c>
      <c r="M98" s="297">
        <v>2821</v>
      </c>
      <c r="N98" s="297">
        <v>3139</v>
      </c>
      <c r="O98" s="297">
        <v>3319</v>
      </c>
      <c r="P98" s="297">
        <v>2783</v>
      </c>
      <c r="Q98" s="297">
        <v>3153</v>
      </c>
      <c r="R98" s="297">
        <v>3084</v>
      </c>
      <c r="S98" s="297">
        <v>3508</v>
      </c>
      <c r="T98" s="297">
        <v>3406</v>
      </c>
      <c r="U98" s="297">
        <v>2813</v>
      </c>
      <c r="V98" s="297">
        <v>2675</v>
      </c>
      <c r="W98" s="91">
        <v>2806</v>
      </c>
      <c r="X98" s="58">
        <f t="shared" si="44"/>
        <v>36313</v>
      </c>
      <c r="Y98" s="69"/>
      <c r="Z98" s="69"/>
    </row>
    <row r="99" spans="1:26" ht="13.5" customHeight="1">
      <c r="A99" s="114">
        <f t="shared" si="45"/>
        <v>2011001</v>
      </c>
      <c r="B99" s="74"/>
      <c r="C99" s="642"/>
      <c r="D99" s="645"/>
      <c r="E99" s="645"/>
      <c r="F99" s="645"/>
      <c r="G99" s="673"/>
      <c r="H99" s="648"/>
      <c r="I99" s="648"/>
      <c r="J99" s="629"/>
      <c r="K99" s="157" t="s">
        <v>32</v>
      </c>
      <c r="L99" s="297">
        <v>3087</v>
      </c>
      <c r="M99" s="297">
        <v>3103</v>
      </c>
      <c r="N99" s="297">
        <v>3453</v>
      </c>
      <c r="O99" s="297">
        <v>3651</v>
      </c>
      <c r="P99" s="297">
        <v>3062</v>
      </c>
      <c r="Q99" s="297">
        <v>3469</v>
      </c>
      <c r="R99" s="297">
        <v>3392</v>
      </c>
      <c r="S99" s="297">
        <v>3859</v>
      </c>
      <c r="T99" s="297">
        <v>3747</v>
      </c>
      <c r="U99" s="297">
        <v>3094</v>
      </c>
      <c r="V99" s="297">
        <v>2943</v>
      </c>
      <c r="W99" s="91">
        <v>3087</v>
      </c>
      <c r="X99" s="58">
        <f t="shared" si="44"/>
        <v>39947</v>
      </c>
      <c r="Y99" s="69"/>
      <c r="Z99" s="69"/>
    </row>
    <row r="100" spans="1:26" ht="14.25" customHeight="1">
      <c r="A100" s="114">
        <f t="shared" si="45"/>
        <v>2011001</v>
      </c>
      <c r="B100" s="74"/>
      <c r="C100" s="654"/>
      <c r="D100" s="655"/>
      <c r="E100" s="655"/>
      <c r="F100" s="655"/>
      <c r="G100" s="674"/>
      <c r="H100" s="652"/>
      <c r="I100" s="652"/>
      <c r="J100" s="630"/>
      <c r="K100" s="158" t="s">
        <v>33</v>
      </c>
      <c r="L100" s="308">
        <f t="shared" ref="L100:X100" si="47">L89-L92</f>
        <v>195507</v>
      </c>
      <c r="M100" s="405">
        <f t="shared" si="47"/>
        <v>179221</v>
      </c>
      <c r="N100" s="405">
        <f t="shared" si="47"/>
        <v>128348</v>
      </c>
      <c r="O100" s="405">
        <f t="shared" si="47"/>
        <v>115745</v>
      </c>
      <c r="P100" s="405">
        <f t="shared" si="47"/>
        <v>136435</v>
      </c>
      <c r="Q100" s="405">
        <f t="shared" si="47"/>
        <v>129858</v>
      </c>
      <c r="R100" s="405">
        <f t="shared" si="47"/>
        <v>143864</v>
      </c>
      <c r="S100" s="405">
        <f t="shared" si="47"/>
        <v>113868</v>
      </c>
      <c r="T100" s="405">
        <f t="shared" si="47"/>
        <v>78675</v>
      </c>
      <c r="U100" s="405">
        <f t="shared" si="47"/>
        <v>198613</v>
      </c>
      <c r="V100" s="405">
        <f t="shared" si="47"/>
        <v>225237</v>
      </c>
      <c r="W100" s="90">
        <f t="shared" si="47"/>
        <v>73816.333333333372</v>
      </c>
      <c r="X100" s="43">
        <f t="shared" si="47"/>
        <v>1719187.333333334</v>
      </c>
      <c r="Z100" s="69"/>
    </row>
    <row r="101" spans="1:26" ht="12.75" customHeight="1">
      <c r="A101" s="115">
        <v>2011005</v>
      </c>
      <c r="C101" s="641">
        <f t="shared" ref="C101" si="48">C89+1</f>
        <v>9</v>
      </c>
      <c r="D101" s="644" t="s">
        <v>59</v>
      </c>
      <c r="E101" s="644"/>
      <c r="F101" s="644"/>
      <c r="G101" s="672" t="s">
        <v>149</v>
      </c>
      <c r="H101" s="647"/>
      <c r="I101" s="647" t="s">
        <v>36</v>
      </c>
      <c r="J101" s="628" t="s">
        <v>55</v>
      </c>
      <c r="K101" s="180" t="s">
        <v>23</v>
      </c>
      <c r="L101" s="307">
        <f t="shared" ref="L101:W101" si="49">L102+L103</f>
        <v>565250</v>
      </c>
      <c r="M101" s="406">
        <f t="shared" si="49"/>
        <v>657430</v>
      </c>
      <c r="N101" s="406">
        <f t="shared" si="49"/>
        <v>670000</v>
      </c>
      <c r="O101" s="406">
        <f t="shared" si="49"/>
        <v>670000</v>
      </c>
      <c r="P101" s="406">
        <f t="shared" si="49"/>
        <v>644860</v>
      </c>
      <c r="Q101" s="406">
        <f t="shared" si="49"/>
        <v>670000</v>
      </c>
      <c r="R101" s="406">
        <f t="shared" si="49"/>
        <v>670000</v>
      </c>
      <c r="S101" s="406">
        <f t="shared" si="49"/>
        <v>670000</v>
      </c>
      <c r="T101" s="406">
        <f t="shared" si="49"/>
        <v>644860</v>
      </c>
      <c r="U101" s="406">
        <f t="shared" si="49"/>
        <v>670000</v>
      </c>
      <c r="V101" s="406">
        <f t="shared" si="49"/>
        <v>670000</v>
      </c>
      <c r="W101" s="94">
        <f t="shared" si="49"/>
        <v>578750</v>
      </c>
      <c r="X101" s="122">
        <f t="shared" ref="X101:X111" si="50">SUM(L101:W101)</f>
        <v>7781150</v>
      </c>
      <c r="Z101" s="69"/>
    </row>
    <row r="102" spans="1:26" ht="13.5" customHeight="1">
      <c r="A102" s="114">
        <f t="shared" ref="A102:A112" si="51">+A101</f>
        <v>2011005</v>
      </c>
      <c r="B102" s="74"/>
      <c r="C102" s="642"/>
      <c r="D102" s="645"/>
      <c r="E102" s="645"/>
      <c r="F102" s="645"/>
      <c r="G102" s="673"/>
      <c r="H102" s="648"/>
      <c r="I102" s="648"/>
      <c r="J102" s="629"/>
      <c r="K102" s="155" t="s">
        <v>24</v>
      </c>
      <c r="L102" s="295">
        <v>565250</v>
      </c>
      <c r="M102" s="297">
        <v>657430</v>
      </c>
      <c r="N102" s="297">
        <v>670000</v>
      </c>
      <c r="O102" s="297">
        <v>670000</v>
      </c>
      <c r="P102" s="297">
        <v>644860</v>
      </c>
      <c r="Q102" s="297">
        <v>670000</v>
      </c>
      <c r="R102" s="297">
        <v>670000</v>
      </c>
      <c r="S102" s="297">
        <v>670000</v>
      </c>
      <c r="T102" s="297">
        <v>644860</v>
      </c>
      <c r="U102" s="297">
        <v>670000</v>
      </c>
      <c r="V102" s="297">
        <v>670000</v>
      </c>
      <c r="W102" s="91">
        <v>578750</v>
      </c>
      <c r="X102" s="58">
        <f t="shared" si="50"/>
        <v>7781150</v>
      </c>
      <c r="Y102" s="69"/>
      <c r="Z102" s="69"/>
    </row>
    <row r="103" spans="1:26" ht="13.5" customHeight="1">
      <c r="A103" s="114">
        <f t="shared" si="51"/>
        <v>2011005</v>
      </c>
      <c r="B103" s="74"/>
      <c r="C103" s="642"/>
      <c r="D103" s="645"/>
      <c r="E103" s="645"/>
      <c r="F103" s="645"/>
      <c r="G103" s="673"/>
      <c r="H103" s="648"/>
      <c r="I103" s="648"/>
      <c r="J103" s="629"/>
      <c r="K103" s="155" t="s">
        <v>25</v>
      </c>
      <c r="L103" s="295"/>
      <c r="M103" s="297"/>
      <c r="N103" s="297"/>
      <c r="O103" s="297"/>
      <c r="P103" s="297"/>
      <c r="Q103" s="297"/>
      <c r="R103" s="297"/>
      <c r="S103" s="297"/>
      <c r="T103" s="297"/>
      <c r="U103" s="297"/>
      <c r="V103" s="297"/>
      <c r="W103" s="93"/>
      <c r="X103" s="58">
        <f t="shared" si="50"/>
        <v>0</v>
      </c>
      <c r="Z103" s="69"/>
    </row>
    <row r="104" spans="1:26" ht="13.5" customHeight="1">
      <c r="A104" s="114">
        <f t="shared" si="51"/>
        <v>2011005</v>
      </c>
      <c r="B104" s="74"/>
      <c r="C104" s="642"/>
      <c r="D104" s="645"/>
      <c r="E104" s="645"/>
      <c r="F104" s="645"/>
      <c r="G104" s="673"/>
      <c r="H104" s="648"/>
      <c r="I104" s="648"/>
      <c r="J104" s="629"/>
      <c r="K104" s="156" t="s">
        <v>26</v>
      </c>
      <c r="L104" s="296">
        <f t="shared" ref="L104:W104" si="52">SUM(L105:L111)</f>
        <v>468915</v>
      </c>
      <c r="M104" s="411">
        <f t="shared" si="52"/>
        <v>466140</v>
      </c>
      <c r="N104" s="411">
        <f t="shared" si="52"/>
        <v>474192</v>
      </c>
      <c r="O104" s="411">
        <f t="shared" si="52"/>
        <v>519888</v>
      </c>
      <c r="P104" s="411">
        <f t="shared" si="52"/>
        <v>491181</v>
      </c>
      <c r="Q104" s="411">
        <f t="shared" si="52"/>
        <v>452969</v>
      </c>
      <c r="R104" s="411">
        <f t="shared" si="52"/>
        <v>509072</v>
      </c>
      <c r="S104" s="411">
        <f t="shared" si="52"/>
        <v>485484</v>
      </c>
      <c r="T104" s="411">
        <f t="shared" si="52"/>
        <v>443649</v>
      </c>
      <c r="U104" s="411">
        <f t="shared" si="52"/>
        <v>477768</v>
      </c>
      <c r="V104" s="411">
        <f t="shared" si="52"/>
        <v>471128</v>
      </c>
      <c r="W104" s="108">
        <f t="shared" si="52"/>
        <v>437175.44444444444</v>
      </c>
      <c r="X104" s="59">
        <f t="shared" si="50"/>
        <v>5697561.444444444</v>
      </c>
      <c r="Z104" s="69"/>
    </row>
    <row r="105" spans="1:26" ht="13.5" customHeight="1">
      <c r="A105" s="114">
        <f t="shared" si="51"/>
        <v>2011005</v>
      </c>
      <c r="B105" s="74"/>
      <c r="C105" s="642"/>
      <c r="D105" s="645"/>
      <c r="E105" s="645"/>
      <c r="F105" s="645"/>
      <c r="G105" s="673"/>
      <c r="H105" s="648"/>
      <c r="I105" s="648"/>
      <c r="J105" s="629"/>
      <c r="K105" s="157" t="s">
        <v>27</v>
      </c>
      <c r="L105" s="297">
        <v>403275</v>
      </c>
      <c r="M105" s="297">
        <v>392021</v>
      </c>
      <c r="N105" s="297">
        <v>400075</v>
      </c>
      <c r="O105" s="297">
        <v>440244</v>
      </c>
      <c r="P105" s="297">
        <v>412013</v>
      </c>
      <c r="Q105" s="297">
        <v>366785</v>
      </c>
      <c r="R105" s="297">
        <v>420315</v>
      </c>
      <c r="S105" s="297">
        <v>405790</v>
      </c>
      <c r="T105" s="297">
        <v>362044</v>
      </c>
      <c r="U105" s="297">
        <v>401130</v>
      </c>
      <c r="V105" s="297">
        <v>391636</v>
      </c>
      <c r="W105" s="91">
        <v>371535.44444444444</v>
      </c>
      <c r="X105" s="58">
        <f t="shared" si="50"/>
        <v>4766863.444444444</v>
      </c>
      <c r="Y105" s="69"/>
      <c r="Z105" s="69"/>
    </row>
    <row r="106" spans="1:26" ht="13.5" customHeight="1">
      <c r="A106" s="114">
        <f t="shared" si="51"/>
        <v>2011005</v>
      </c>
      <c r="B106" s="74"/>
      <c r="C106" s="642"/>
      <c r="D106" s="645"/>
      <c r="E106" s="645"/>
      <c r="F106" s="645"/>
      <c r="G106" s="673"/>
      <c r="H106" s="648"/>
      <c r="I106" s="648"/>
      <c r="J106" s="629"/>
      <c r="K106" s="174" t="s">
        <v>34</v>
      </c>
      <c r="L106" s="297"/>
      <c r="M106" s="297"/>
      <c r="N106" s="297"/>
      <c r="O106" s="297"/>
      <c r="P106" s="297"/>
      <c r="Q106" s="297"/>
      <c r="R106" s="297"/>
      <c r="S106" s="297"/>
      <c r="T106" s="297"/>
      <c r="U106" s="297"/>
      <c r="V106" s="297"/>
      <c r="W106" s="91"/>
      <c r="X106" s="58">
        <f t="shared" si="50"/>
        <v>0</v>
      </c>
      <c r="Y106" s="69"/>
      <c r="Z106" s="69"/>
    </row>
    <row r="107" spans="1:26" ht="13.5" customHeight="1">
      <c r="A107" s="114">
        <f t="shared" si="51"/>
        <v>2011005</v>
      </c>
      <c r="B107" s="74"/>
      <c r="C107" s="642"/>
      <c r="D107" s="645"/>
      <c r="E107" s="645"/>
      <c r="F107" s="645"/>
      <c r="G107" s="673"/>
      <c r="H107" s="648"/>
      <c r="I107" s="648"/>
      <c r="J107" s="629"/>
      <c r="K107" s="157" t="s">
        <v>28</v>
      </c>
      <c r="L107" s="297">
        <v>5112</v>
      </c>
      <c r="M107" s="297">
        <v>13620</v>
      </c>
      <c r="N107" s="297">
        <v>13534</v>
      </c>
      <c r="O107" s="297">
        <v>18586</v>
      </c>
      <c r="P107" s="297">
        <v>18409</v>
      </c>
      <c r="Q107" s="297">
        <v>17034</v>
      </c>
      <c r="R107" s="297">
        <v>19024</v>
      </c>
      <c r="S107" s="297">
        <v>10206</v>
      </c>
      <c r="T107" s="297">
        <v>12552</v>
      </c>
      <c r="U107" s="297">
        <v>7230</v>
      </c>
      <c r="V107" s="297">
        <v>9973</v>
      </c>
      <c r="W107" s="91">
        <v>5112</v>
      </c>
      <c r="X107" s="58">
        <f t="shared" si="50"/>
        <v>150392</v>
      </c>
      <c r="Y107" s="69"/>
      <c r="Z107" s="69"/>
    </row>
    <row r="108" spans="1:26" ht="13.5" customHeight="1">
      <c r="A108" s="114">
        <f t="shared" si="51"/>
        <v>2011005</v>
      </c>
      <c r="B108" s="74"/>
      <c r="C108" s="642"/>
      <c r="D108" s="645"/>
      <c r="E108" s="645"/>
      <c r="F108" s="645"/>
      <c r="G108" s="673"/>
      <c r="H108" s="648"/>
      <c r="I108" s="648"/>
      <c r="J108" s="629"/>
      <c r="K108" s="157" t="s">
        <v>29</v>
      </c>
      <c r="L108" s="297">
        <v>21470</v>
      </c>
      <c r="M108" s="297">
        <v>21470</v>
      </c>
      <c r="N108" s="297">
        <v>21470</v>
      </c>
      <c r="O108" s="297">
        <v>21470</v>
      </c>
      <c r="P108" s="297">
        <v>21470</v>
      </c>
      <c r="Q108" s="297">
        <v>24860</v>
      </c>
      <c r="R108" s="297">
        <v>24860</v>
      </c>
      <c r="S108" s="297">
        <v>24860</v>
      </c>
      <c r="T108" s="297">
        <v>24860</v>
      </c>
      <c r="U108" s="297">
        <v>24860</v>
      </c>
      <c r="V108" s="297">
        <v>24860</v>
      </c>
      <c r="W108" s="91">
        <v>21470</v>
      </c>
      <c r="X108" s="58">
        <f t="shared" si="50"/>
        <v>277980</v>
      </c>
      <c r="Y108" s="69"/>
      <c r="Z108" s="69"/>
    </row>
    <row r="109" spans="1:26" ht="13.5" customHeight="1">
      <c r="A109" s="114">
        <f t="shared" si="51"/>
        <v>2011005</v>
      </c>
      <c r="B109" s="74"/>
      <c r="C109" s="642"/>
      <c r="D109" s="645"/>
      <c r="E109" s="645"/>
      <c r="F109" s="645"/>
      <c r="G109" s="673"/>
      <c r="H109" s="648"/>
      <c r="I109" s="648"/>
      <c r="J109" s="629"/>
      <c r="K109" s="157" t="s">
        <v>30</v>
      </c>
      <c r="L109" s="297">
        <v>34770</v>
      </c>
      <c r="M109" s="297">
        <v>34770</v>
      </c>
      <c r="N109" s="297">
        <v>34770</v>
      </c>
      <c r="O109" s="297">
        <v>34770</v>
      </c>
      <c r="P109" s="297">
        <v>34770</v>
      </c>
      <c r="Q109" s="297">
        <v>40260</v>
      </c>
      <c r="R109" s="297">
        <v>40260</v>
      </c>
      <c r="S109" s="297">
        <v>40260</v>
      </c>
      <c r="T109" s="297">
        <v>40260</v>
      </c>
      <c r="U109" s="297">
        <v>40260</v>
      </c>
      <c r="V109" s="297">
        <v>40260</v>
      </c>
      <c r="W109" s="91">
        <v>34770</v>
      </c>
      <c r="X109" s="58">
        <f t="shared" si="50"/>
        <v>450180</v>
      </c>
      <c r="Y109" s="69"/>
      <c r="Z109" s="69"/>
    </row>
    <row r="110" spans="1:26" ht="13.5" customHeight="1">
      <c r="A110" s="114">
        <f t="shared" si="51"/>
        <v>2011005</v>
      </c>
      <c r="B110" s="74"/>
      <c r="C110" s="642"/>
      <c r="D110" s="645"/>
      <c r="E110" s="645"/>
      <c r="F110" s="645"/>
      <c r="G110" s="673"/>
      <c r="H110" s="648"/>
      <c r="I110" s="648"/>
      <c r="J110" s="629"/>
      <c r="K110" s="157" t="s">
        <v>31</v>
      </c>
      <c r="L110" s="297">
        <v>2042</v>
      </c>
      <c r="M110" s="297">
        <v>2028</v>
      </c>
      <c r="N110" s="297">
        <v>2068</v>
      </c>
      <c r="O110" s="297">
        <v>2294</v>
      </c>
      <c r="P110" s="297">
        <v>2152</v>
      </c>
      <c r="Q110" s="297">
        <v>1919</v>
      </c>
      <c r="R110" s="297">
        <v>2197</v>
      </c>
      <c r="S110" s="297">
        <v>2080</v>
      </c>
      <c r="T110" s="297">
        <v>1873</v>
      </c>
      <c r="U110" s="297">
        <v>2042</v>
      </c>
      <c r="V110" s="297">
        <v>2095</v>
      </c>
      <c r="W110" s="91">
        <v>2042</v>
      </c>
      <c r="X110" s="58">
        <f t="shared" si="50"/>
        <v>24832</v>
      </c>
      <c r="Y110" s="69"/>
      <c r="Z110" s="69"/>
    </row>
    <row r="111" spans="1:26" ht="13.5" customHeight="1">
      <c r="A111" s="114">
        <f t="shared" si="51"/>
        <v>2011005</v>
      </c>
      <c r="B111" s="74"/>
      <c r="C111" s="642"/>
      <c r="D111" s="645"/>
      <c r="E111" s="645"/>
      <c r="F111" s="645"/>
      <c r="G111" s="673"/>
      <c r="H111" s="648"/>
      <c r="I111" s="648"/>
      <c r="J111" s="629"/>
      <c r="K111" s="157" t="s">
        <v>32</v>
      </c>
      <c r="L111" s="297">
        <v>2246</v>
      </c>
      <c r="M111" s="297">
        <v>2231</v>
      </c>
      <c r="N111" s="297">
        <v>2275</v>
      </c>
      <c r="O111" s="297">
        <v>2524</v>
      </c>
      <c r="P111" s="297">
        <v>2367</v>
      </c>
      <c r="Q111" s="297">
        <v>2111</v>
      </c>
      <c r="R111" s="297">
        <v>2416</v>
      </c>
      <c r="S111" s="297">
        <v>2288</v>
      </c>
      <c r="T111" s="297">
        <v>2060</v>
      </c>
      <c r="U111" s="297">
        <v>2246</v>
      </c>
      <c r="V111" s="297">
        <v>2304</v>
      </c>
      <c r="W111" s="91">
        <v>2246</v>
      </c>
      <c r="X111" s="58">
        <f t="shared" si="50"/>
        <v>27314</v>
      </c>
      <c r="Y111" s="69"/>
      <c r="Z111" s="69"/>
    </row>
    <row r="112" spans="1:26" ht="14.25" customHeight="1">
      <c r="A112" s="114">
        <f t="shared" si="51"/>
        <v>2011005</v>
      </c>
      <c r="B112" s="74"/>
      <c r="C112" s="654"/>
      <c r="D112" s="655"/>
      <c r="E112" s="655"/>
      <c r="F112" s="655"/>
      <c r="G112" s="674"/>
      <c r="H112" s="652"/>
      <c r="I112" s="652"/>
      <c r="J112" s="630"/>
      <c r="K112" s="158" t="s">
        <v>33</v>
      </c>
      <c r="L112" s="308">
        <f t="shared" ref="L112:X112" si="53">L101-L104</f>
        <v>96335</v>
      </c>
      <c r="M112" s="405">
        <f t="shared" si="53"/>
        <v>191290</v>
      </c>
      <c r="N112" s="405">
        <f t="shared" si="53"/>
        <v>195808</v>
      </c>
      <c r="O112" s="405">
        <f t="shared" si="53"/>
        <v>150112</v>
      </c>
      <c r="P112" s="405">
        <f t="shared" si="53"/>
        <v>153679</v>
      </c>
      <c r="Q112" s="405">
        <f t="shared" si="53"/>
        <v>217031</v>
      </c>
      <c r="R112" s="405">
        <f t="shared" si="53"/>
        <v>160928</v>
      </c>
      <c r="S112" s="405">
        <f t="shared" si="53"/>
        <v>184516</v>
      </c>
      <c r="T112" s="405">
        <f t="shared" si="53"/>
        <v>201211</v>
      </c>
      <c r="U112" s="405">
        <f t="shared" si="53"/>
        <v>192232</v>
      </c>
      <c r="V112" s="405">
        <f t="shared" si="53"/>
        <v>198872</v>
      </c>
      <c r="W112" s="90">
        <f t="shared" si="53"/>
        <v>141574.55555555556</v>
      </c>
      <c r="X112" s="43">
        <f t="shared" si="53"/>
        <v>2083588.555555556</v>
      </c>
      <c r="Z112" s="69"/>
    </row>
    <row r="113" spans="1:26" ht="12.75" customHeight="1">
      <c r="A113" s="115">
        <v>2011004</v>
      </c>
      <c r="C113" s="641">
        <f t="shared" ref="C113" si="54">C101+1</f>
        <v>10</v>
      </c>
      <c r="D113" s="644" t="s">
        <v>59</v>
      </c>
      <c r="E113" s="644"/>
      <c r="F113" s="644"/>
      <c r="G113" s="672" t="s">
        <v>149</v>
      </c>
      <c r="H113" s="647"/>
      <c r="I113" s="647"/>
      <c r="J113" s="628" t="s">
        <v>55</v>
      </c>
      <c r="K113" s="180" t="s">
        <v>23</v>
      </c>
      <c r="L113" s="307">
        <f t="shared" ref="L113:W113" si="55">L114+L115</f>
        <v>1007125</v>
      </c>
      <c r="M113" s="406">
        <f t="shared" si="55"/>
        <v>952000</v>
      </c>
      <c r="N113" s="406">
        <f t="shared" si="55"/>
        <v>1072750</v>
      </c>
      <c r="O113" s="406">
        <f t="shared" si="55"/>
        <v>988750</v>
      </c>
      <c r="P113" s="406">
        <f t="shared" si="55"/>
        <v>952000</v>
      </c>
      <c r="Q113" s="406">
        <f t="shared" si="55"/>
        <v>1078000</v>
      </c>
      <c r="R113" s="406">
        <f t="shared" si="55"/>
        <v>1175125</v>
      </c>
      <c r="S113" s="406">
        <f t="shared" si="55"/>
        <v>954625</v>
      </c>
      <c r="T113" s="406">
        <f t="shared" si="55"/>
        <v>954625</v>
      </c>
      <c r="U113" s="406">
        <f t="shared" si="55"/>
        <v>1298500</v>
      </c>
      <c r="V113" s="406">
        <f t="shared" si="55"/>
        <v>952000</v>
      </c>
      <c r="W113" s="94">
        <f t="shared" si="55"/>
        <v>1012375</v>
      </c>
      <c r="X113" s="122">
        <f>SUM(L113:W113)</f>
        <v>12397875</v>
      </c>
      <c r="Z113" s="69"/>
    </row>
    <row r="114" spans="1:26" ht="13.5" customHeight="1">
      <c r="A114" s="114">
        <f t="shared" ref="A114:A124" si="56">+A113</f>
        <v>2011004</v>
      </c>
      <c r="B114" s="74"/>
      <c r="C114" s="642"/>
      <c r="D114" s="645"/>
      <c r="E114" s="645"/>
      <c r="F114" s="645"/>
      <c r="G114" s="673"/>
      <c r="H114" s="648"/>
      <c r="I114" s="648"/>
      <c r="J114" s="629"/>
      <c r="K114" s="155" t="s">
        <v>24</v>
      </c>
      <c r="L114" s="295">
        <v>1007125</v>
      </c>
      <c r="M114" s="297">
        <v>952000</v>
      </c>
      <c r="N114" s="297">
        <v>1072750</v>
      </c>
      <c r="O114" s="297">
        <v>988750</v>
      </c>
      <c r="P114" s="297">
        <v>952000</v>
      </c>
      <c r="Q114" s="297">
        <v>1078000</v>
      </c>
      <c r="R114" s="297">
        <v>1175125</v>
      </c>
      <c r="S114" s="297">
        <v>954625</v>
      </c>
      <c r="T114" s="297">
        <v>954625</v>
      </c>
      <c r="U114" s="297">
        <v>1298500</v>
      </c>
      <c r="V114" s="297">
        <v>952000</v>
      </c>
      <c r="W114" s="91">
        <v>1012375</v>
      </c>
      <c r="X114" s="58">
        <f>SUM(L114:W114)</f>
        <v>12397875</v>
      </c>
      <c r="Y114" s="69"/>
      <c r="Z114" s="69"/>
    </row>
    <row r="115" spans="1:26" ht="13.5" customHeight="1">
      <c r="A115" s="114">
        <f t="shared" si="56"/>
        <v>2011004</v>
      </c>
      <c r="B115" s="74">
        <f t="shared" ref="B115:B124" si="57">+B114</f>
        <v>0</v>
      </c>
      <c r="C115" s="642"/>
      <c r="D115" s="645"/>
      <c r="E115" s="645"/>
      <c r="F115" s="645"/>
      <c r="G115" s="673"/>
      <c r="H115" s="648"/>
      <c r="I115" s="648"/>
      <c r="J115" s="629"/>
      <c r="K115" s="155" t="s">
        <v>25</v>
      </c>
      <c r="L115" s="295"/>
      <c r="M115" s="297"/>
      <c r="N115" s="297"/>
      <c r="O115" s="297"/>
      <c r="P115" s="297"/>
      <c r="Q115" s="297"/>
      <c r="R115" s="297"/>
      <c r="S115" s="297"/>
      <c r="T115" s="297"/>
      <c r="U115" s="297"/>
      <c r="V115" s="297"/>
      <c r="W115" s="93"/>
      <c r="X115" s="58">
        <v>0</v>
      </c>
      <c r="Z115" s="69"/>
    </row>
    <row r="116" spans="1:26" ht="13.5" customHeight="1">
      <c r="A116" s="114">
        <f t="shared" si="56"/>
        <v>2011004</v>
      </c>
      <c r="B116" s="74">
        <f t="shared" si="57"/>
        <v>0</v>
      </c>
      <c r="C116" s="642"/>
      <c r="D116" s="645"/>
      <c r="E116" s="645"/>
      <c r="F116" s="645"/>
      <c r="G116" s="673"/>
      <c r="H116" s="648"/>
      <c r="I116" s="648"/>
      <c r="J116" s="629"/>
      <c r="K116" s="156" t="s">
        <v>26</v>
      </c>
      <c r="L116" s="296">
        <f t="shared" ref="L116:W116" si="58">SUM(L117:L123)</f>
        <v>924592</v>
      </c>
      <c r="M116" s="411">
        <f t="shared" si="58"/>
        <v>788938</v>
      </c>
      <c r="N116" s="411">
        <f t="shared" si="58"/>
        <v>929777</v>
      </c>
      <c r="O116" s="411">
        <f t="shared" si="58"/>
        <v>971047</v>
      </c>
      <c r="P116" s="411">
        <f t="shared" si="58"/>
        <v>861411</v>
      </c>
      <c r="Q116" s="411">
        <f t="shared" si="58"/>
        <v>953911</v>
      </c>
      <c r="R116" s="411">
        <f t="shared" si="58"/>
        <v>1047165</v>
      </c>
      <c r="S116" s="411">
        <f t="shared" si="58"/>
        <v>853291</v>
      </c>
      <c r="T116" s="411">
        <f t="shared" si="58"/>
        <v>922675</v>
      </c>
      <c r="U116" s="411">
        <f t="shared" si="58"/>
        <v>1217322</v>
      </c>
      <c r="V116" s="411">
        <f t="shared" si="58"/>
        <v>831608</v>
      </c>
      <c r="W116" s="108">
        <f t="shared" si="58"/>
        <v>879300.22222222225</v>
      </c>
      <c r="X116" s="59">
        <f t="shared" ref="X116:X123" si="59">SUM(L116:W116)</f>
        <v>11181037.222222222</v>
      </c>
      <c r="Z116" s="69"/>
    </row>
    <row r="117" spans="1:26" ht="13.5" customHeight="1">
      <c r="A117" s="114">
        <f t="shared" si="56"/>
        <v>2011004</v>
      </c>
      <c r="B117" s="74">
        <f t="shared" si="57"/>
        <v>0</v>
      </c>
      <c r="C117" s="642"/>
      <c r="D117" s="645"/>
      <c r="E117" s="645"/>
      <c r="F117" s="645"/>
      <c r="G117" s="673"/>
      <c r="H117" s="648"/>
      <c r="I117" s="648"/>
      <c r="J117" s="629"/>
      <c r="K117" s="157" t="s">
        <v>27</v>
      </c>
      <c r="L117" s="297">
        <v>809264</v>
      </c>
      <c r="M117" s="297">
        <v>675760</v>
      </c>
      <c r="N117" s="297">
        <v>812320</v>
      </c>
      <c r="O117" s="297">
        <v>851920</v>
      </c>
      <c r="P117" s="297">
        <v>745760</v>
      </c>
      <c r="Q117" s="297">
        <v>832000</v>
      </c>
      <c r="R117" s="297">
        <v>922240</v>
      </c>
      <c r="S117" s="297">
        <v>731360</v>
      </c>
      <c r="T117" s="297">
        <v>800880</v>
      </c>
      <c r="U117" s="297">
        <v>1095240</v>
      </c>
      <c r="V117" s="297">
        <v>712240</v>
      </c>
      <c r="W117" s="91">
        <v>763972.22222222225</v>
      </c>
      <c r="X117" s="58">
        <f t="shared" si="59"/>
        <v>9752956.222222222</v>
      </c>
      <c r="Y117" s="69"/>
      <c r="Z117" s="69"/>
    </row>
    <row r="118" spans="1:26" ht="13.5" customHeight="1">
      <c r="A118" s="114">
        <f t="shared" si="56"/>
        <v>2011004</v>
      </c>
      <c r="B118" s="74">
        <f t="shared" si="57"/>
        <v>0</v>
      </c>
      <c r="C118" s="642"/>
      <c r="D118" s="645"/>
      <c r="E118" s="645"/>
      <c r="F118" s="645"/>
      <c r="G118" s="673"/>
      <c r="H118" s="648"/>
      <c r="I118" s="648"/>
      <c r="J118" s="629"/>
      <c r="K118" s="174" t="s">
        <v>34</v>
      </c>
      <c r="L118" s="297"/>
      <c r="M118" s="297"/>
      <c r="N118" s="297"/>
      <c r="O118" s="297"/>
      <c r="P118" s="297"/>
      <c r="Q118" s="297"/>
      <c r="R118" s="297"/>
      <c r="S118" s="297"/>
      <c r="T118" s="297"/>
      <c r="U118" s="297"/>
      <c r="V118" s="297"/>
      <c r="W118" s="91"/>
      <c r="X118" s="58">
        <f t="shared" si="59"/>
        <v>0</v>
      </c>
      <c r="Y118" s="69"/>
      <c r="Z118" s="69"/>
    </row>
    <row r="119" spans="1:26" ht="13.5" customHeight="1">
      <c r="A119" s="114">
        <f t="shared" si="56"/>
        <v>2011004</v>
      </c>
      <c r="B119" s="74">
        <f t="shared" si="57"/>
        <v>0</v>
      </c>
      <c r="C119" s="642"/>
      <c r="D119" s="645"/>
      <c r="E119" s="645"/>
      <c r="F119" s="645"/>
      <c r="G119" s="673"/>
      <c r="H119" s="648"/>
      <c r="I119" s="648"/>
      <c r="J119" s="629"/>
      <c r="K119" s="157" t="s">
        <v>28</v>
      </c>
      <c r="L119" s="297">
        <v>2692</v>
      </c>
      <c r="M119" s="297">
        <v>1952</v>
      </c>
      <c r="N119" s="297">
        <v>4768</v>
      </c>
      <c r="O119" s="297">
        <v>6008</v>
      </c>
      <c r="P119" s="297">
        <v>3672</v>
      </c>
      <c r="Q119" s="297">
        <v>8971</v>
      </c>
      <c r="R119" s="297">
        <v>11016</v>
      </c>
      <c r="S119" s="297">
        <v>10036</v>
      </c>
      <c r="T119" s="297">
        <v>9180</v>
      </c>
      <c r="U119" s="297">
        <v>6405</v>
      </c>
      <c r="V119" s="297">
        <v>7518</v>
      </c>
      <c r="W119" s="91">
        <v>2692</v>
      </c>
      <c r="X119" s="58">
        <f t="shared" si="59"/>
        <v>74910</v>
      </c>
      <c r="Y119" s="69"/>
      <c r="Z119" s="69"/>
    </row>
    <row r="120" spans="1:26" ht="13.5" customHeight="1">
      <c r="A120" s="114">
        <f t="shared" si="56"/>
        <v>2011004</v>
      </c>
      <c r="B120" s="74">
        <f t="shared" si="57"/>
        <v>0</v>
      </c>
      <c r="C120" s="642"/>
      <c r="D120" s="645"/>
      <c r="E120" s="645"/>
      <c r="F120" s="645"/>
      <c r="G120" s="673"/>
      <c r="H120" s="648"/>
      <c r="I120" s="648"/>
      <c r="J120" s="629"/>
      <c r="K120" s="157" t="s">
        <v>29</v>
      </c>
      <c r="L120" s="297">
        <v>44635</v>
      </c>
      <c r="M120" s="297">
        <v>44635</v>
      </c>
      <c r="N120" s="297">
        <v>44635</v>
      </c>
      <c r="O120" s="297">
        <v>44635</v>
      </c>
      <c r="P120" s="297">
        <v>44635</v>
      </c>
      <c r="Q120" s="297">
        <v>44635</v>
      </c>
      <c r="R120" s="297">
        <v>44635</v>
      </c>
      <c r="S120" s="297">
        <v>44635</v>
      </c>
      <c r="T120" s="297">
        <v>44635</v>
      </c>
      <c r="U120" s="297">
        <v>44635</v>
      </c>
      <c r="V120" s="297">
        <v>44635</v>
      </c>
      <c r="W120" s="91">
        <v>44635</v>
      </c>
      <c r="X120" s="58">
        <f t="shared" si="59"/>
        <v>535620</v>
      </c>
      <c r="Y120" s="69"/>
      <c r="Z120" s="69"/>
    </row>
    <row r="121" spans="1:26" ht="13.5" customHeight="1">
      <c r="A121" s="114">
        <f t="shared" si="56"/>
        <v>2011004</v>
      </c>
      <c r="B121" s="74">
        <f t="shared" si="57"/>
        <v>0</v>
      </c>
      <c r="C121" s="642"/>
      <c r="D121" s="645"/>
      <c r="E121" s="645"/>
      <c r="F121" s="645"/>
      <c r="G121" s="673"/>
      <c r="H121" s="648"/>
      <c r="I121" s="648"/>
      <c r="J121" s="629"/>
      <c r="K121" s="157" t="s">
        <v>30</v>
      </c>
      <c r="L121" s="297">
        <v>59475</v>
      </c>
      <c r="M121" s="297">
        <v>59475</v>
      </c>
      <c r="N121" s="297">
        <v>59475</v>
      </c>
      <c r="O121" s="297">
        <v>59475</v>
      </c>
      <c r="P121" s="297">
        <v>59475</v>
      </c>
      <c r="Q121" s="297">
        <v>59475</v>
      </c>
      <c r="R121" s="297">
        <v>59475</v>
      </c>
      <c r="S121" s="297">
        <v>59475</v>
      </c>
      <c r="T121" s="297">
        <v>59475</v>
      </c>
      <c r="U121" s="297">
        <v>59475</v>
      </c>
      <c r="V121" s="297">
        <v>59475</v>
      </c>
      <c r="W121" s="91">
        <v>59475</v>
      </c>
      <c r="X121" s="58">
        <f t="shared" si="59"/>
        <v>713700</v>
      </c>
      <c r="Y121" s="69"/>
      <c r="Z121" s="69"/>
    </row>
    <row r="122" spans="1:26" ht="13.5" customHeight="1">
      <c r="A122" s="114">
        <f t="shared" si="56"/>
        <v>2011004</v>
      </c>
      <c r="B122" s="74">
        <f t="shared" si="57"/>
        <v>0</v>
      </c>
      <c r="C122" s="642"/>
      <c r="D122" s="645"/>
      <c r="E122" s="645"/>
      <c r="F122" s="645"/>
      <c r="G122" s="673"/>
      <c r="H122" s="648"/>
      <c r="I122" s="648"/>
      <c r="J122" s="629"/>
      <c r="K122" s="157" t="s">
        <v>31</v>
      </c>
      <c r="L122" s="297">
        <v>4060</v>
      </c>
      <c r="M122" s="297">
        <v>3389</v>
      </c>
      <c r="N122" s="297">
        <v>4085</v>
      </c>
      <c r="O122" s="297">
        <v>4290</v>
      </c>
      <c r="P122" s="297">
        <v>3747</v>
      </c>
      <c r="Q122" s="297">
        <v>4205</v>
      </c>
      <c r="R122" s="297">
        <v>4666</v>
      </c>
      <c r="S122" s="297">
        <v>3707</v>
      </c>
      <c r="T122" s="297">
        <v>4050</v>
      </c>
      <c r="U122" s="297">
        <v>5508</v>
      </c>
      <c r="V122" s="297">
        <v>3686</v>
      </c>
      <c r="W122" s="91">
        <v>4060</v>
      </c>
      <c r="X122" s="58">
        <f t="shared" si="59"/>
        <v>49453</v>
      </c>
      <c r="Y122" s="69"/>
      <c r="Z122" s="69"/>
    </row>
    <row r="123" spans="1:26" ht="13.5" customHeight="1">
      <c r="A123" s="114">
        <f t="shared" si="56"/>
        <v>2011004</v>
      </c>
      <c r="B123" s="74">
        <f t="shared" si="57"/>
        <v>0</v>
      </c>
      <c r="C123" s="642"/>
      <c r="D123" s="645"/>
      <c r="E123" s="645"/>
      <c r="F123" s="645"/>
      <c r="G123" s="673"/>
      <c r="H123" s="648"/>
      <c r="I123" s="648"/>
      <c r="J123" s="629"/>
      <c r="K123" s="157" t="s">
        <v>32</v>
      </c>
      <c r="L123" s="297">
        <v>4466</v>
      </c>
      <c r="M123" s="297">
        <v>3727</v>
      </c>
      <c r="N123" s="297">
        <v>4494</v>
      </c>
      <c r="O123" s="297">
        <v>4719</v>
      </c>
      <c r="P123" s="297">
        <v>4122</v>
      </c>
      <c r="Q123" s="297">
        <v>4625</v>
      </c>
      <c r="R123" s="297">
        <v>5133</v>
      </c>
      <c r="S123" s="297">
        <v>4078</v>
      </c>
      <c r="T123" s="297">
        <v>4455</v>
      </c>
      <c r="U123" s="297">
        <v>6059</v>
      </c>
      <c r="V123" s="297">
        <v>4054</v>
      </c>
      <c r="W123" s="91">
        <v>4466</v>
      </c>
      <c r="X123" s="58">
        <f t="shared" si="59"/>
        <v>54398</v>
      </c>
      <c r="Y123" s="69"/>
      <c r="Z123" s="69"/>
    </row>
    <row r="124" spans="1:26" ht="14.25" customHeight="1" thickBot="1">
      <c r="A124" s="114">
        <f t="shared" si="56"/>
        <v>2011004</v>
      </c>
      <c r="B124" s="74">
        <f t="shared" si="57"/>
        <v>0</v>
      </c>
      <c r="C124" s="643"/>
      <c r="D124" s="646"/>
      <c r="E124" s="646"/>
      <c r="F124" s="646"/>
      <c r="G124" s="675"/>
      <c r="H124" s="649"/>
      <c r="I124" s="649"/>
      <c r="J124" s="631"/>
      <c r="K124" s="244" t="s">
        <v>33</v>
      </c>
      <c r="L124" s="309">
        <f t="shared" ref="L124:X124" si="60">L113-L116</f>
        <v>82533</v>
      </c>
      <c r="M124" s="407">
        <f t="shared" si="60"/>
        <v>163062</v>
      </c>
      <c r="N124" s="407">
        <f t="shared" si="60"/>
        <v>142973</v>
      </c>
      <c r="O124" s="407">
        <f t="shared" si="60"/>
        <v>17703</v>
      </c>
      <c r="P124" s="407">
        <f t="shared" si="60"/>
        <v>90589</v>
      </c>
      <c r="Q124" s="407">
        <f t="shared" si="60"/>
        <v>124089</v>
      </c>
      <c r="R124" s="407">
        <f t="shared" si="60"/>
        <v>127960</v>
      </c>
      <c r="S124" s="407">
        <f t="shared" si="60"/>
        <v>101334</v>
      </c>
      <c r="T124" s="407">
        <f t="shared" si="60"/>
        <v>31950</v>
      </c>
      <c r="U124" s="407">
        <f t="shared" si="60"/>
        <v>81178</v>
      </c>
      <c r="V124" s="407">
        <f t="shared" si="60"/>
        <v>120392</v>
      </c>
      <c r="W124" s="253">
        <f t="shared" si="60"/>
        <v>133074.77777777775</v>
      </c>
      <c r="X124" s="78">
        <f t="shared" si="60"/>
        <v>1216837.777777778</v>
      </c>
      <c r="Z124" s="69"/>
    </row>
    <row r="125" spans="1:26" s="1" customFormat="1" ht="12.5" thickTop="1">
      <c r="A125" s="112"/>
      <c r="B125" s="72"/>
      <c r="C125" s="633" t="str">
        <f>C2</f>
        <v>アカウントサービス第一本部</v>
      </c>
      <c r="D125" s="634"/>
      <c r="E125" s="634"/>
      <c r="F125" s="634"/>
      <c r="G125" s="634"/>
      <c r="H125" s="634"/>
      <c r="I125" s="634"/>
      <c r="J125" s="635"/>
      <c r="K125" s="164" t="s">
        <v>20</v>
      </c>
      <c r="L125" s="302">
        <f>L5+L17+L29+L41+L53+L65+L77+L89+L101+L113</f>
        <v>7233400</v>
      </c>
      <c r="M125" s="434">
        <f t="shared" ref="M125:W125" si="61">M5+M17+M29+M41+M53+M65+M77+M89+M101+M113</f>
        <v>7381230</v>
      </c>
      <c r="N125" s="434">
        <f t="shared" si="61"/>
        <v>7754925</v>
      </c>
      <c r="O125" s="434">
        <f t="shared" si="61"/>
        <v>7945385</v>
      </c>
      <c r="P125" s="434">
        <f t="shared" si="61"/>
        <v>7255870</v>
      </c>
      <c r="Q125" s="434">
        <f t="shared" si="61"/>
        <v>7501850</v>
      </c>
      <c r="R125" s="434">
        <f t="shared" si="61"/>
        <v>7944685</v>
      </c>
      <c r="S125" s="434">
        <f t="shared" si="61"/>
        <v>7497605</v>
      </c>
      <c r="T125" s="434">
        <f t="shared" si="61"/>
        <v>7517185</v>
      </c>
      <c r="U125" s="434">
        <f t="shared" si="61"/>
        <v>7830420</v>
      </c>
      <c r="V125" s="434">
        <f t="shared" si="61"/>
        <v>6900465</v>
      </c>
      <c r="W125" s="266">
        <f t="shared" si="61"/>
        <v>7247882.777777778</v>
      </c>
      <c r="X125" s="77">
        <f>SUM(L125:W125)</f>
        <v>90010902.777777776</v>
      </c>
      <c r="Y125" s="69"/>
      <c r="Z125" s="69"/>
    </row>
    <row r="126" spans="1:26" s="1" customFormat="1">
      <c r="A126" s="112"/>
      <c r="B126" s="72"/>
      <c r="C126" s="633"/>
      <c r="D126" s="634"/>
      <c r="E126" s="634"/>
      <c r="F126" s="634"/>
      <c r="G126" s="634"/>
      <c r="H126" s="634"/>
      <c r="I126" s="634"/>
      <c r="J126" s="635"/>
      <c r="K126" s="165" t="s">
        <v>21</v>
      </c>
      <c r="L126" s="311">
        <f>L8+L20+L32+L44+L56+L68+L80+L92+L104+L116</f>
        <v>5961660</v>
      </c>
      <c r="M126" s="435">
        <f t="shared" ref="M126:W126" si="62">M8+M20+M32+M44+M56+M68+M80+M92+M104+M116</f>
        <v>5817622</v>
      </c>
      <c r="N126" s="435">
        <f t="shared" si="62"/>
        <v>6261808</v>
      </c>
      <c r="O126" s="435">
        <f t="shared" si="62"/>
        <v>6454475</v>
      </c>
      <c r="P126" s="435">
        <f t="shared" si="62"/>
        <v>5955003</v>
      </c>
      <c r="Q126" s="435">
        <f t="shared" si="62"/>
        <v>5994003</v>
      </c>
      <c r="R126" s="435">
        <f t="shared" si="62"/>
        <v>6284881</v>
      </c>
      <c r="S126" s="435">
        <f t="shared" si="62"/>
        <v>6005666</v>
      </c>
      <c r="T126" s="435">
        <f t="shared" si="62"/>
        <v>6199941</v>
      </c>
      <c r="U126" s="435">
        <f t="shared" si="62"/>
        <v>6367285</v>
      </c>
      <c r="V126" s="435">
        <f t="shared" si="62"/>
        <v>5711900</v>
      </c>
      <c r="W126" s="276">
        <f t="shared" si="62"/>
        <v>5939386.1111111101</v>
      </c>
      <c r="X126" s="44">
        <f>SUM(L126:W126)</f>
        <v>72953630.111111104</v>
      </c>
      <c r="Y126" s="69"/>
      <c r="Z126" s="69"/>
    </row>
    <row r="127" spans="1:26" s="1" customFormat="1">
      <c r="A127" s="112"/>
      <c r="B127" s="72"/>
      <c r="C127" s="636"/>
      <c r="D127" s="637"/>
      <c r="E127" s="637"/>
      <c r="F127" s="637"/>
      <c r="G127" s="637"/>
      <c r="H127" s="637"/>
      <c r="I127" s="637"/>
      <c r="J127" s="638"/>
      <c r="K127" s="182" t="s">
        <v>22</v>
      </c>
      <c r="L127" s="293">
        <f>L125-L126</f>
        <v>1271740</v>
      </c>
      <c r="M127" s="408">
        <f t="shared" ref="M127:W127" si="63">M125-M126</f>
        <v>1563608</v>
      </c>
      <c r="N127" s="408">
        <f t="shared" si="63"/>
        <v>1493117</v>
      </c>
      <c r="O127" s="492">
        <f t="shared" si="63"/>
        <v>1490910</v>
      </c>
      <c r="P127" s="441">
        <f t="shared" si="63"/>
        <v>1300867</v>
      </c>
      <c r="Q127" s="408">
        <f t="shared" si="63"/>
        <v>1507847</v>
      </c>
      <c r="R127" s="408">
        <f t="shared" si="63"/>
        <v>1659804</v>
      </c>
      <c r="S127" s="408">
        <f t="shared" si="63"/>
        <v>1491939</v>
      </c>
      <c r="T127" s="408">
        <f t="shared" si="63"/>
        <v>1317244</v>
      </c>
      <c r="U127" s="408">
        <f t="shared" si="63"/>
        <v>1463135</v>
      </c>
      <c r="V127" s="408">
        <f t="shared" si="63"/>
        <v>1188565</v>
      </c>
      <c r="W127" s="80">
        <f t="shared" si="63"/>
        <v>1308496.6666666679</v>
      </c>
      <c r="X127" s="45">
        <f>SUM(L127:W127)</f>
        <v>17057272.666666668</v>
      </c>
      <c r="Y127" s="69"/>
      <c r="Z127" s="69"/>
    </row>
    <row r="128" spans="1:26">
      <c r="K128" s="128" t="s">
        <v>74</v>
      </c>
      <c r="L128" s="639">
        <f>SUM(L125:N125)</f>
        <v>22369555</v>
      </c>
      <c r="M128" s="585"/>
      <c r="N128" s="585"/>
      <c r="O128" s="585">
        <f t="shared" ref="O128:O129" si="64">SUM(O125:Q125)</f>
        <v>22703105</v>
      </c>
      <c r="P128" s="585"/>
      <c r="Q128" s="585"/>
      <c r="R128" s="585">
        <f t="shared" ref="R128:R129" si="65">SUM(R125:T125)</f>
        <v>22959475</v>
      </c>
      <c r="S128" s="585"/>
      <c r="T128" s="585"/>
      <c r="U128" s="585">
        <f t="shared" ref="U128:U129" si="66">SUM(U125:W125)</f>
        <v>21978767.777777776</v>
      </c>
      <c r="V128" s="585"/>
      <c r="W128" s="586"/>
      <c r="X128" s="34">
        <f>X125</f>
        <v>90010902.777777776</v>
      </c>
      <c r="Y128" s="69"/>
      <c r="Z128" s="69"/>
    </row>
    <row r="129" spans="11:26">
      <c r="K129" s="130" t="s">
        <v>77</v>
      </c>
      <c r="L129" s="640">
        <f>SUM(L126:N126)</f>
        <v>18041090</v>
      </c>
      <c r="M129" s="589"/>
      <c r="N129" s="589"/>
      <c r="O129" s="589">
        <f t="shared" si="64"/>
        <v>18403481</v>
      </c>
      <c r="P129" s="589"/>
      <c r="Q129" s="589"/>
      <c r="R129" s="589">
        <f t="shared" si="65"/>
        <v>18490488</v>
      </c>
      <c r="S129" s="589"/>
      <c r="T129" s="589"/>
      <c r="U129" s="589">
        <f t="shared" si="66"/>
        <v>18018571.111111112</v>
      </c>
      <c r="V129" s="589"/>
      <c r="W129" s="590"/>
      <c r="X129" s="35">
        <f t="shared" ref="X129:X130" si="67">X126</f>
        <v>72953630.111111104</v>
      </c>
      <c r="Y129" s="69"/>
      <c r="Z129" s="69"/>
    </row>
    <row r="130" spans="11:26">
      <c r="K130" s="6" t="s">
        <v>75</v>
      </c>
      <c r="L130" s="632">
        <f>SUM(L127:N127)</f>
        <v>4328465</v>
      </c>
      <c r="M130" s="571"/>
      <c r="N130" s="571"/>
      <c r="O130" s="571">
        <f>SUM(O127:Q127)</f>
        <v>4299624</v>
      </c>
      <c r="P130" s="571"/>
      <c r="Q130" s="571"/>
      <c r="R130" s="571">
        <f>SUM(R127:T127)</f>
        <v>4468987</v>
      </c>
      <c r="S130" s="571"/>
      <c r="T130" s="571"/>
      <c r="U130" s="571">
        <f>SUM(U127:W127)</f>
        <v>3960196.6666666679</v>
      </c>
      <c r="V130" s="571"/>
      <c r="W130" s="582"/>
      <c r="X130" s="36">
        <f t="shared" si="67"/>
        <v>17057272.666666668</v>
      </c>
      <c r="Z130" s="69"/>
    </row>
    <row r="131" spans="11:26">
      <c r="Z131" s="69"/>
    </row>
    <row r="132" spans="11:26">
      <c r="Z132" s="69"/>
    </row>
    <row r="133" spans="11:26">
      <c r="Z133" s="69"/>
    </row>
    <row r="134" spans="11:26">
      <c r="Z134" s="69"/>
    </row>
    <row r="135" spans="11:26">
      <c r="Z135" s="69"/>
    </row>
    <row r="136" spans="11:26">
      <c r="Z136" s="69"/>
    </row>
    <row r="137" spans="11:26">
      <c r="Z137" s="69"/>
    </row>
    <row r="138" spans="11:26">
      <c r="Z138" s="69"/>
    </row>
    <row r="139" spans="11:26">
      <c r="Z139" s="69"/>
    </row>
    <row r="140" spans="11:26">
      <c r="Z140" s="69"/>
    </row>
    <row r="141" spans="11:26">
      <c r="Z141" s="69"/>
    </row>
    <row r="142" spans="11:26">
      <c r="Z142" s="69"/>
    </row>
    <row r="143" spans="11:26">
      <c r="Z143" s="69"/>
    </row>
    <row r="144" spans="11:26">
      <c r="Z144" s="69"/>
    </row>
    <row r="145" spans="26:26">
      <c r="Z145" s="69"/>
    </row>
    <row r="146" spans="26:26">
      <c r="Z146" s="69"/>
    </row>
    <row r="147" spans="26:26">
      <c r="Z147" s="69"/>
    </row>
    <row r="148" spans="26:26">
      <c r="Z148" s="69"/>
    </row>
    <row r="149" spans="26:26">
      <c r="Z149" s="69"/>
    </row>
    <row r="150" spans="26:26">
      <c r="Z150" s="69"/>
    </row>
    <row r="151" spans="26:26">
      <c r="Z151" s="69"/>
    </row>
    <row r="152" spans="26:26">
      <c r="Z152" s="69"/>
    </row>
    <row r="153" spans="26:26">
      <c r="Z153" s="69"/>
    </row>
    <row r="154" spans="26:26">
      <c r="Z154" s="69"/>
    </row>
    <row r="155" spans="26:26">
      <c r="Z155" s="69"/>
    </row>
    <row r="156" spans="26:26">
      <c r="Z156" s="69"/>
    </row>
    <row r="157" spans="26:26">
      <c r="Z157" s="69"/>
    </row>
    <row r="158" spans="26:26">
      <c r="Z158" s="69"/>
    </row>
    <row r="159" spans="26:26">
      <c r="Z159" s="69"/>
    </row>
    <row r="160" spans="26:26">
      <c r="Z160" s="69"/>
    </row>
    <row r="161" spans="26:26">
      <c r="Z161" s="69"/>
    </row>
    <row r="162" spans="26:26">
      <c r="Z162" s="69"/>
    </row>
    <row r="163" spans="26:26">
      <c r="Z163" s="69"/>
    </row>
    <row r="164" spans="26:26">
      <c r="Z164" s="69"/>
    </row>
    <row r="165" spans="26:26">
      <c r="Z165" s="69"/>
    </row>
    <row r="166" spans="26:26">
      <c r="Z166" s="69"/>
    </row>
    <row r="167" spans="26:26">
      <c r="Z167" s="69"/>
    </row>
    <row r="168" spans="26:26">
      <c r="Z168" s="69"/>
    </row>
    <row r="169" spans="26:26">
      <c r="Z169" s="69"/>
    </row>
    <row r="170" spans="26:26">
      <c r="Z170" s="69"/>
    </row>
    <row r="171" spans="26:26">
      <c r="Z171" s="69"/>
    </row>
    <row r="172" spans="26:26">
      <c r="Z172" s="69"/>
    </row>
    <row r="173" spans="26:26">
      <c r="Z173" s="69"/>
    </row>
    <row r="174" spans="26:26">
      <c r="Z174" s="69"/>
    </row>
    <row r="175" spans="26:26">
      <c r="Z175" s="69"/>
    </row>
    <row r="176" spans="26:26">
      <c r="Z176" s="69"/>
    </row>
    <row r="177" spans="26:26">
      <c r="Z177" s="69"/>
    </row>
    <row r="178" spans="26:26">
      <c r="Z178" s="69"/>
    </row>
    <row r="179" spans="26:26">
      <c r="Z179" s="69"/>
    </row>
    <row r="180" spans="26:26">
      <c r="Z180" s="69"/>
    </row>
    <row r="181" spans="26:26">
      <c r="Z181" s="69"/>
    </row>
    <row r="182" spans="26:26">
      <c r="Z182" s="69"/>
    </row>
    <row r="183" spans="26:26">
      <c r="Z183" s="69"/>
    </row>
    <row r="184" spans="26:26">
      <c r="Z184" s="69"/>
    </row>
    <row r="185" spans="26:26">
      <c r="Z185" s="69"/>
    </row>
    <row r="186" spans="26:26">
      <c r="Z186" s="69"/>
    </row>
    <row r="187" spans="26:26">
      <c r="Z187" s="69"/>
    </row>
    <row r="188" spans="26:26">
      <c r="Z188" s="69"/>
    </row>
    <row r="189" spans="26:26">
      <c r="Z189" s="69"/>
    </row>
    <row r="190" spans="26:26">
      <c r="Z190" s="69"/>
    </row>
    <row r="191" spans="26:26">
      <c r="Z191" s="69"/>
    </row>
    <row r="192" spans="26:26">
      <c r="Z192" s="69"/>
    </row>
    <row r="193" spans="26:26">
      <c r="Z193" s="69"/>
    </row>
    <row r="194" spans="26:26">
      <c r="Z194" s="69"/>
    </row>
    <row r="195" spans="26:26">
      <c r="Z195" s="69"/>
    </row>
    <row r="196" spans="26:26">
      <c r="Z196" s="69"/>
    </row>
    <row r="197" spans="26:26">
      <c r="Z197" s="69"/>
    </row>
    <row r="198" spans="26:26">
      <c r="Z198" s="69"/>
    </row>
    <row r="199" spans="26:26">
      <c r="Z199" s="69"/>
    </row>
    <row r="200" spans="26:26">
      <c r="Z200" s="69"/>
    </row>
    <row r="201" spans="26:26">
      <c r="Z201" s="69"/>
    </row>
    <row r="202" spans="26:26">
      <c r="Z202" s="69"/>
    </row>
    <row r="203" spans="26:26">
      <c r="Z203" s="69"/>
    </row>
    <row r="204" spans="26:26">
      <c r="Z204" s="69"/>
    </row>
    <row r="205" spans="26:26">
      <c r="Z205" s="69"/>
    </row>
    <row r="206" spans="26:26">
      <c r="Z206" s="69"/>
    </row>
    <row r="207" spans="26:26">
      <c r="Z207" s="69"/>
    </row>
    <row r="208" spans="26:26">
      <c r="Z208" s="69"/>
    </row>
    <row r="209" spans="26:26">
      <c r="Z209" s="69"/>
    </row>
    <row r="210" spans="26:26">
      <c r="Z210" s="69"/>
    </row>
    <row r="211" spans="26:26">
      <c r="Z211" s="69"/>
    </row>
    <row r="212" spans="26:26">
      <c r="Z212" s="69"/>
    </row>
    <row r="213" spans="26:26">
      <c r="Z213" s="69"/>
    </row>
    <row r="214" spans="26:26">
      <c r="Z214" s="69"/>
    </row>
    <row r="215" spans="26:26">
      <c r="Z215" s="69"/>
    </row>
    <row r="216" spans="26:26">
      <c r="Z216" s="69"/>
    </row>
    <row r="217" spans="26:26">
      <c r="Z217" s="69"/>
    </row>
    <row r="218" spans="26:26">
      <c r="Z218" s="69"/>
    </row>
    <row r="219" spans="26:26">
      <c r="Z219" s="69"/>
    </row>
    <row r="220" spans="26:26">
      <c r="Z220" s="69"/>
    </row>
    <row r="221" spans="26:26">
      <c r="Z221" s="69"/>
    </row>
    <row r="222" spans="26:26">
      <c r="Z222" s="69"/>
    </row>
    <row r="223" spans="26:26">
      <c r="Z223" s="69"/>
    </row>
    <row r="224" spans="26:26">
      <c r="Z224" s="69"/>
    </row>
    <row r="225" spans="26:26">
      <c r="Z225" s="69"/>
    </row>
    <row r="226" spans="26:26">
      <c r="Z226" s="69"/>
    </row>
    <row r="227" spans="26:26">
      <c r="Z227" s="69"/>
    </row>
    <row r="228" spans="26:26">
      <c r="Z228" s="69"/>
    </row>
    <row r="229" spans="26:26">
      <c r="Z229" s="69"/>
    </row>
    <row r="230" spans="26:26">
      <c r="Z230" s="69"/>
    </row>
    <row r="231" spans="26:26">
      <c r="Z231" s="69"/>
    </row>
    <row r="232" spans="26:26">
      <c r="Z232" s="69"/>
    </row>
    <row r="233" spans="26:26">
      <c r="Z233" s="69"/>
    </row>
    <row r="234" spans="26:26">
      <c r="Z234" s="69"/>
    </row>
    <row r="235" spans="26:26">
      <c r="Z235" s="69"/>
    </row>
    <row r="236" spans="26:26">
      <c r="Z236" s="69"/>
    </row>
    <row r="237" spans="26:26">
      <c r="Z237" s="69"/>
    </row>
    <row r="238" spans="26:26">
      <c r="Z238" s="69"/>
    </row>
    <row r="239" spans="26:26">
      <c r="Z239" s="69"/>
    </row>
    <row r="240" spans="26:26">
      <c r="Z240" s="69"/>
    </row>
    <row r="241" spans="26:26">
      <c r="Z241" s="69"/>
    </row>
    <row r="242" spans="26:26">
      <c r="Z242" s="69"/>
    </row>
    <row r="243" spans="26:26">
      <c r="Z243" s="69"/>
    </row>
    <row r="244" spans="26:26">
      <c r="Z244" s="69"/>
    </row>
    <row r="245" spans="26:26">
      <c r="Z245" s="69"/>
    </row>
    <row r="246" spans="26:26">
      <c r="Z246" s="69"/>
    </row>
    <row r="247" spans="26:26">
      <c r="Z247" s="69"/>
    </row>
    <row r="248" spans="26:26">
      <c r="Z248" s="69"/>
    </row>
    <row r="249" spans="26:26">
      <c r="Z249" s="69"/>
    </row>
    <row r="250" spans="26:26">
      <c r="Z250" s="69"/>
    </row>
    <row r="251" spans="26:26">
      <c r="Z251" s="69"/>
    </row>
    <row r="252" spans="26:26">
      <c r="Z252" s="69"/>
    </row>
    <row r="253" spans="26:26">
      <c r="Z253" s="69"/>
    </row>
    <row r="254" spans="26:26">
      <c r="Z254" s="69"/>
    </row>
    <row r="255" spans="26:26">
      <c r="Z255" s="69"/>
    </row>
    <row r="256" spans="26:26">
      <c r="Z256" s="69"/>
    </row>
    <row r="257" spans="26:26">
      <c r="Z257" s="69"/>
    </row>
    <row r="258" spans="26:26">
      <c r="Z258" s="69"/>
    </row>
    <row r="259" spans="26:26">
      <c r="Z259" s="69"/>
    </row>
    <row r="260" spans="26:26">
      <c r="Z260" s="69"/>
    </row>
    <row r="261" spans="26:26">
      <c r="Z261" s="69"/>
    </row>
    <row r="262" spans="26:26">
      <c r="Z262" s="69"/>
    </row>
    <row r="263" spans="26:26">
      <c r="Z263" s="69"/>
    </row>
    <row r="264" spans="26:26">
      <c r="Z264" s="69"/>
    </row>
    <row r="265" spans="26:26">
      <c r="Z265" s="69"/>
    </row>
    <row r="266" spans="26:26">
      <c r="Z266" s="69"/>
    </row>
    <row r="267" spans="26:26">
      <c r="Z267" s="69"/>
    </row>
    <row r="268" spans="26:26">
      <c r="Z268" s="69"/>
    </row>
    <row r="269" spans="26:26">
      <c r="Z269" s="69"/>
    </row>
    <row r="270" spans="26:26">
      <c r="Z270" s="69"/>
    </row>
    <row r="271" spans="26:26">
      <c r="Z271" s="69"/>
    </row>
    <row r="272" spans="26:26">
      <c r="Z272" s="69"/>
    </row>
    <row r="273" spans="26:26">
      <c r="Z273" s="69"/>
    </row>
    <row r="274" spans="26:26">
      <c r="Z274" s="69"/>
    </row>
    <row r="275" spans="26:26">
      <c r="Z275" s="69"/>
    </row>
    <row r="276" spans="26:26">
      <c r="Z276" s="69"/>
    </row>
    <row r="277" spans="26:26">
      <c r="Z277" s="69"/>
    </row>
    <row r="278" spans="26:26">
      <c r="Z278" s="69"/>
    </row>
    <row r="279" spans="26:26">
      <c r="Z279" s="69"/>
    </row>
    <row r="280" spans="26:26">
      <c r="Z280" s="69"/>
    </row>
    <row r="281" spans="26:26">
      <c r="Z281" s="69"/>
    </row>
    <row r="282" spans="26:26">
      <c r="Z282" s="69"/>
    </row>
    <row r="283" spans="26:26">
      <c r="Z283" s="69"/>
    </row>
    <row r="284" spans="26:26">
      <c r="Z284" s="69"/>
    </row>
    <row r="285" spans="26:26">
      <c r="Z285" s="69"/>
    </row>
    <row r="286" spans="26:26">
      <c r="Z286" s="69"/>
    </row>
    <row r="287" spans="26:26">
      <c r="Z287" s="69"/>
    </row>
    <row r="288" spans="26:26">
      <c r="Z288" s="69"/>
    </row>
    <row r="289" spans="26:26">
      <c r="Z289" s="69"/>
    </row>
    <row r="290" spans="26:26">
      <c r="Z290" s="69"/>
    </row>
    <row r="291" spans="26:26">
      <c r="Z291" s="69"/>
    </row>
    <row r="292" spans="26:26">
      <c r="Z292" s="69"/>
    </row>
    <row r="293" spans="26:26">
      <c r="Z293" s="69"/>
    </row>
    <row r="294" spans="26:26">
      <c r="Z294" s="69"/>
    </row>
    <row r="295" spans="26:26">
      <c r="Z295" s="69"/>
    </row>
    <row r="296" spans="26:26">
      <c r="Z296" s="69"/>
    </row>
    <row r="297" spans="26:26">
      <c r="Z297" s="69"/>
    </row>
    <row r="298" spans="26:26">
      <c r="Z298" s="69"/>
    </row>
    <row r="299" spans="26:26">
      <c r="Z299" s="69"/>
    </row>
    <row r="300" spans="26:26">
      <c r="Z300" s="69"/>
    </row>
    <row r="301" spans="26:26">
      <c r="Z301" s="69"/>
    </row>
    <row r="302" spans="26:26">
      <c r="Z302" s="69"/>
    </row>
    <row r="303" spans="26:26">
      <c r="Z303" s="69"/>
    </row>
    <row r="304" spans="26:26">
      <c r="Z304" s="69"/>
    </row>
    <row r="305" spans="26:26">
      <c r="Z305" s="69"/>
    </row>
    <row r="306" spans="26:26">
      <c r="Z306" s="69"/>
    </row>
    <row r="307" spans="26:26">
      <c r="Z307" s="69"/>
    </row>
    <row r="308" spans="26:26">
      <c r="Z308" s="69"/>
    </row>
    <row r="309" spans="26:26">
      <c r="Z309" s="69"/>
    </row>
    <row r="310" spans="26:26">
      <c r="Z310" s="69"/>
    </row>
    <row r="311" spans="26:26">
      <c r="Z311" s="69"/>
    </row>
    <row r="312" spans="26:26">
      <c r="Z312" s="69"/>
    </row>
    <row r="313" spans="26:26">
      <c r="Z313" s="69"/>
    </row>
    <row r="314" spans="26:26">
      <c r="Z314" s="69"/>
    </row>
    <row r="315" spans="26:26">
      <c r="Z315" s="69"/>
    </row>
    <row r="316" spans="26:26">
      <c r="Z316" s="69"/>
    </row>
    <row r="317" spans="26:26">
      <c r="Z317" s="69"/>
    </row>
    <row r="318" spans="26:26">
      <c r="Z318" s="69"/>
    </row>
    <row r="319" spans="26:26">
      <c r="Z319" s="69"/>
    </row>
    <row r="320" spans="26:26">
      <c r="Z320" s="69"/>
    </row>
    <row r="321" spans="26:26">
      <c r="Z321" s="69"/>
    </row>
    <row r="322" spans="26:26">
      <c r="Z322" s="69"/>
    </row>
    <row r="323" spans="26:26">
      <c r="Z323" s="69"/>
    </row>
    <row r="324" spans="26:26">
      <c r="Z324" s="69"/>
    </row>
    <row r="325" spans="26:26">
      <c r="Z325" s="69"/>
    </row>
    <row r="326" spans="26:26">
      <c r="Z326" s="69"/>
    </row>
    <row r="327" spans="26:26">
      <c r="Z327" s="69"/>
    </row>
    <row r="328" spans="26:26">
      <c r="Z328" s="69"/>
    </row>
    <row r="329" spans="26:26">
      <c r="Z329" s="69"/>
    </row>
    <row r="330" spans="26:26">
      <c r="Z330" s="69"/>
    </row>
    <row r="331" spans="26:26">
      <c r="Z331" s="69"/>
    </row>
    <row r="332" spans="26:26">
      <c r="Z332" s="69"/>
    </row>
    <row r="333" spans="26:26">
      <c r="Z333" s="69"/>
    </row>
    <row r="334" spans="26:26">
      <c r="Z334" s="69"/>
    </row>
    <row r="335" spans="26:26">
      <c r="Z335" s="69"/>
    </row>
    <row r="336" spans="26:26">
      <c r="Z336" s="69"/>
    </row>
    <row r="337" spans="26:26">
      <c r="Z337" s="69"/>
    </row>
    <row r="338" spans="26:26">
      <c r="Z338" s="69"/>
    </row>
    <row r="339" spans="26:26">
      <c r="Z339" s="69"/>
    </row>
    <row r="340" spans="26:26">
      <c r="Z340" s="69"/>
    </row>
    <row r="341" spans="26:26">
      <c r="Z341" s="69"/>
    </row>
    <row r="342" spans="26:26">
      <c r="Z342" s="69"/>
    </row>
    <row r="343" spans="26:26">
      <c r="Z343" s="69"/>
    </row>
    <row r="344" spans="26:26">
      <c r="Z344" s="69"/>
    </row>
    <row r="345" spans="26:26">
      <c r="Z345" s="69"/>
    </row>
    <row r="346" spans="26:26">
      <c r="Z346" s="69"/>
    </row>
    <row r="347" spans="26:26">
      <c r="Z347" s="69"/>
    </row>
    <row r="348" spans="26:26">
      <c r="Z348" s="69"/>
    </row>
    <row r="349" spans="26:26">
      <c r="Z349" s="69"/>
    </row>
    <row r="350" spans="26:26">
      <c r="Z350" s="69"/>
    </row>
    <row r="351" spans="26:26">
      <c r="Z351" s="69"/>
    </row>
    <row r="352" spans="26:26">
      <c r="Z352" s="69"/>
    </row>
    <row r="353" spans="26:26">
      <c r="Z353" s="69"/>
    </row>
    <row r="354" spans="26:26">
      <c r="Z354" s="69"/>
    </row>
    <row r="355" spans="26:26">
      <c r="Z355" s="69"/>
    </row>
    <row r="356" spans="26:26">
      <c r="Z356" s="69"/>
    </row>
    <row r="357" spans="26:26">
      <c r="Z357" s="69"/>
    </row>
    <row r="358" spans="26:26">
      <c r="Z358" s="69"/>
    </row>
    <row r="359" spans="26:26">
      <c r="Z359" s="69"/>
    </row>
    <row r="360" spans="26:26">
      <c r="Z360" s="69"/>
    </row>
    <row r="361" spans="26:26">
      <c r="Z361" s="69"/>
    </row>
    <row r="362" spans="26:26">
      <c r="Z362" s="69"/>
    </row>
    <row r="363" spans="26:26">
      <c r="Z363" s="69"/>
    </row>
    <row r="364" spans="26:26">
      <c r="Z364" s="69"/>
    </row>
    <row r="365" spans="26:26">
      <c r="Z365" s="69"/>
    </row>
    <row r="366" spans="26:26">
      <c r="Z366" s="69"/>
    </row>
    <row r="367" spans="26:26">
      <c r="Z367" s="69"/>
    </row>
    <row r="368" spans="26:26">
      <c r="Z368" s="69"/>
    </row>
    <row r="369" spans="26:26">
      <c r="Z369" s="69"/>
    </row>
    <row r="370" spans="26:26">
      <c r="Z370" s="69"/>
    </row>
    <row r="371" spans="26:26">
      <c r="Z371" s="69"/>
    </row>
    <row r="372" spans="26:26">
      <c r="Z372" s="69"/>
    </row>
    <row r="373" spans="26:26">
      <c r="Z373" s="69"/>
    </row>
    <row r="374" spans="26:26">
      <c r="Z374" s="69"/>
    </row>
    <row r="375" spans="26:26">
      <c r="Z375" s="69"/>
    </row>
    <row r="376" spans="26:26">
      <c r="Z376" s="69"/>
    </row>
    <row r="377" spans="26:26">
      <c r="Z377" s="69"/>
    </row>
    <row r="378" spans="26:26">
      <c r="Z378" s="69"/>
    </row>
    <row r="379" spans="26:26">
      <c r="Z379" s="69"/>
    </row>
    <row r="380" spans="26:26">
      <c r="Z380" s="69"/>
    </row>
    <row r="381" spans="26:26">
      <c r="Z381" s="69"/>
    </row>
    <row r="382" spans="26:26">
      <c r="Z382" s="69"/>
    </row>
    <row r="383" spans="26:26">
      <c r="Z383" s="69"/>
    </row>
    <row r="384" spans="26:26">
      <c r="Z384" s="69"/>
    </row>
    <row r="385" spans="26:26">
      <c r="Z385" s="69"/>
    </row>
    <row r="386" spans="26:26">
      <c r="Z386" s="69"/>
    </row>
    <row r="387" spans="26:26">
      <c r="Z387" s="69"/>
    </row>
    <row r="388" spans="26:26">
      <c r="Z388" s="69"/>
    </row>
    <row r="389" spans="26:26">
      <c r="Z389" s="69"/>
    </row>
    <row r="390" spans="26:26">
      <c r="Z390" s="69"/>
    </row>
    <row r="391" spans="26:26">
      <c r="Z391" s="69"/>
    </row>
  </sheetData>
  <mergeCells count="94">
    <mergeCell ref="C125:J127"/>
    <mergeCell ref="L130:N130"/>
    <mergeCell ref="O130:Q130"/>
    <mergeCell ref="R130:T130"/>
    <mergeCell ref="D101:D112"/>
    <mergeCell ref="F113:F124"/>
    <mergeCell ref="C113:C124"/>
    <mergeCell ref="J113:J124"/>
    <mergeCell ref="H113:H124"/>
    <mergeCell ref="D113:D124"/>
    <mergeCell ref="E113:E124"/>
    <mergeCell ref="G113:G124"/>
    <mergeCell ref="H101:H112"/>
    <mergeCell ref="C101:C112"/>
    <mergeCell ref="F101:F112"/>
    <mergeCell ref="E101:E112"/>
    <mergeCell ref="D53:D64"/>
    <mergeCell ref="E53:E64"/>
    <mergeCell ref="D41:D52"/>
    <mergeCell ref="E41:E52"/>
    <mergeCell ref="I41:I52"/>
    <mergeCell ref="H41:H52"/>
    <mergeCell ref="G41:G52"/>
    <mergeCell ref="U130:W130"/>
    <mergeCell ref="L128:N128"/>
    <mergeCell ref="O128:Q128"/>
    <mergeCell ref="R128:T128"/>
    <mergeCell ref="U128:W128"/>
    <mergeCell ref="L129:N129"/>
    <mergeCell ref="O129:Q129"/>
    <mergeCell ref="R129:T129"/>
    <mergeCell ref="U129:W129"/>
    <mergeCell ref="I113:I124"/>
    <mergeCell ref="I101:I112"/>
    <mergeCell ref="I77:I88"/>
    <mergeCell ref="C89:C100"/>
    <mergeCell ref="D89:D100"/>
    <mergeCell ref="E89:E100"/>
    <mergeCell ref="F89:F100"/>
    <mergeCell ref="G89:G100"/>
    <mergeCell ref="H89:H100"/>
    <mergeCell ref="I89:I100"/>
    <mergeCell ref="C77:C88"/>
    <mergeCell ref="D77:D88"/>
    <mergeCell ref="E77:E88"/>
    <mergeCell ref="F77:F88"/>
    <mergeCell ref="C65:C76"/>
    <mergeCell ref="F65:F76"/>
    <mergeCell ref="C53:C64"/>
    <mergeCell ref="C41:C52"/>
    <mergeCell ref="C2:J4"/>
    <mergeCell ref="H29:H40"/>
    <mergeCell ref="I29:I40"/>
    <mergeCell ref="F53:F64"/>
    <mergeCell ref="G53:G64"/>
    <mergeCell ref="D65:D76"/>
    <mergeCell ref="E65:E76"/>
    <mergeCell ref="C29:C40"/>
    <mergeCell ref="D29:D40"/>
    <mergeCell ref="E29:E40"/>
    <mergeCell ref="F29:F40"/>
    <mergeCell ref="G29:G40"/>
    <mergeCell ref="C5:C16"/>
    <mergeCell ref="D5:D16"/>
    <mergeCell ref="E5:E16"/>
    <mergeCell ref="F5:F16"/>
    <mergeCell ref="F41:F52"/>
    <mergeCell ref="C17:C28"/>
    <mergeCell ref="D17:D28"/>
    <mergeCell ref="E17:E28"/>
    <mergeCell ref="F17:F28"/>
    <mergeCell ref="G65:G76"/>
    <mergeCell ref="H53:H64"/>
    <mergeCell ref="I53:I64"/>
    <mergeCell ref="J65:J76"/>
    <mergeCell ref="J53:J64"/>
    <mergeCell ref="I65:I76"/>
    <mergeCell ref="H65:H76"/>
    <mergeCell ref="J101:J112"/>
    <mergeCell ref="G5:G16"/>
    <mergeCell ref="J89:J100"/>
    <mergeCell ref="J77:J88"/>
    <mergeCell ref="G101:G112"/>
    <mergeCell ref="G77:G88"/>
    <mergeCell ref="H77:H88"/>
    <mergeCell ref="J5:J16"/>
    <mergeCell ref="H5:H16"/>
    <mergeCell ref="I5:I16"/>
    <mergeCell ref="H17:H28"/>
    <mergeCell ref="I17:I28"/>
    <mergeCell ref="J17:J28"/>
    <mergeCell ref="J41:J52"/>
    <mergeCell ref="J29:J40"/>
    <mergeCell ref="G17:G28"/>
  </mergeCells>
  <phoneticPr fontId="10"/>
  <printOptions horizontalCentered="1"/>
  <pageMargins left="0.70866141732283472" right="0.70866141732283472" top="0.70866141732283472" bottom="0.70866141732283472" header="0.31496062992125984" footer="0.31496062992125984"/>
  <pageSetup paperSize="9" scale="52" fitToHeight="0" orientation="landscape" r:id="rId1"/>
  <rowBreaks count="1" manualBreakCount="1">
    <brk id="64" min="2" max="23" man="1"/>
  </rowBreaks>
  <ignoredErrors>
    <ignoredError sqref="X29:X31 X113:X124 X1:X4 X33:X40" formula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7A2F7-910A-47A3-8BA1-D7377A8CCC4F}">
  <sheetPr>
    <pageSetUpPr fitToPage="1"/>
  </sheetPr>
  <dimension ref="A1:Z379"/>
  <sheetViews>
    <sheetView showGridLines="0" zoomScale="80" zoomScaleNormal="80" zoomScaleSheetLayoutView="70" workbookViewId="0">
      <pane xSplit="11" ySplit="4" topLeftCell="L5" activePane="bottomRight" state="frozen"/>
      <selection pane="topRight"/>
      <selection pane="bottomLeft"/>
      <selection pane="bottomRight" activeCell="L6" sqref="L6:L39"/>
    </sheetView>
  </sheetViews>
  <sheetFormatPr defaultRowHeight="12"/>
  <cols>
    <col min="1" max="1" width="9.6328125" style="115" customWidth="1"/>
    <col min="2" max="2" width="11.90625" style="73" customWidth="1"/>
    <col min="3" max="3" width="6.36328125" style="9" customWidth="1"/>
    <col min="4" max="4" width="10.36328125" style="9" customWidth="1"/>
    <col min="5" max="5" width="5.08984375" style="9" customWidth="1"/>
    <col min="6" max="6" width="9.90625" style="171" customWidth="1"/>
    <col min="7" max="9" width="9.90625" style="9" customWidth="1"/>
    <col min="10" max="10" width="8.453125" style="9" customWidth="1"/>
    <col min="11" max="11" width="10.453125" style="9" customWidth="1"/>
    <col min="12" max="23" width="13.08984375" style="9" customWidth="1"/>
    <col min="24" max="24" width="16.453125" style="9" customWidth="1"/>
    <col min="25" max="25" width="8.90625" style="2"/>
    <col min="26" max="26" width="11" style="2" bestFit="1" customWidth="1"/>
    <col min="27" max="259" width="8.90625" style="2"/>
    <col min="260" max="260" width="9.6328125" style="2" customWidth="1"/>
    <col min="261" max="262" width="5.08984375" style="2" customWidth="1"/>
    <col min="263" max="263" width="9.6328125" style="2" customWidth="1"/>
    <col min="264" max="265" width="11.6328125" style="2" customWidth="1"/>
    <col min="266" max="266" width="15.36328125" style="2" customWidth="1"/>
    <col min="267" max="267" width="10.90625" style="2" customWidth="1"/>
    <col min="268" max="278" width="13.36328125" style="2" customWidth="1"/>
    <col min="279" max="279" width="13.6328125" style="2" customWidth="1"/>
    <col min="280" max="280" width="16.453125" style="2" customWidth="1"/>
    <col min="281" max="515" width="8.90625" style="2"/>
    <col min="516" max="516" width="9.6328125" style="2" customWidth="1"/>
    <col min="517" max="518" width="5.08984375" style="2" customWidth="1"/>
    <col min="519" max="519" width="9.6328125" style="2" customWidth="1"/>
    <col min="520" max="521" width="11.6328125" style="2" customWidth="1"/>
    <col min="522" max="522" width="15.36328125" style="2" customWidth="1"/>
    <col min="523" max="523" width="10.90625" style="2" customWidth="1"/>
    <col min="524" max="534" width="13.36328125" style="2" customWidth="1"/>
    <col min="535" max="535" width="13.6328125" style="2" customWidth="1"/>
    <col min="536" max="536" width="16.453125" style="2" customWidth="1"/>
    <col min="537" max="771" width="8.90625" style="2"/>
    <col min="772" max="772" width="9.6328125" style="2" customWidth="1"/>
    <col min="773" max="774" width="5.08984375" style="2" customWidth="1"/>
    <col min="775" max="775" width="9.6328125" style="2" customWidth="1"/>
    <col min="776" max="777" width="11.6328125" style="2" customWidth="1"/>
    <col min="778" max="778" width="15.36328125" style="2" customWidth="1"/>
    <col min="779" max="779" width="10.90625" style="2" customWidth="1"/>
    <col min="780" max="790" width="13.36328125" style="2" customWidth="1"/>
    <col min="791" max="791" width="13.6328125" style="2" customWidth="1"/>
    <col min="792" max="792" width="16.453125" style="2" customWidth="1"/>
    <col min="793" max="1027" width="8.90625" style="2"/>
    <col min="1028" max="1028" width="9.6328125" style="2" customWidth="1"/>
    <col min="1029" max="1030" width="5.08984375" style="2" customWidth="1"/>
    <col min="1031" max="1031" width="9.6328125" style="2" customWidth="1"/>
    <col min="1032" max="1033" width="11.6328125" style="2" customWidth="1"/>
    <col min="1034" max="1034" width="15.36328125" style="2" customWidth="1"/>
    <col min="1035" max="1035" width="10.90625" style="2" customWidth="1"/>
    <col min="1036" max="1046" width="13.36328125" style="2" customWidth="1"/>
    <col min="1047" max="1047" width="13.6328125" style="2" customWidth="1"/>
    <col min="1048" max="1048" width="16.453125" style="2" customWidth="1"/>
    <col min="1049" max="1283" width="8.90625" style="2"/>
    <col min="1284" max="1284" width="9.6328125" style="2" customWidth="1"/>
    <col min="1285" max="1286" width="5.08984375" style="2" customWidth="1"/>
    <col min="1287" max="1287" width="9.6328125" style="2" customWidth="1"/>
    <col min="1288" max="1289" width="11.6328125" style="2" customWidth="1"/>
    <col min="1290" max="1290" width="15.36328125" style="2" customWidth="1"/>
    <col min="1291" max="1291" width="10.90625" style="2" customWidth="1"/>
    <col min="1292" max="1302" width="13.36328125" style="2" customWidth="1"/>
    <col min="1303" max="1303" width="13.6328125" style="2" customWidth="1"/>
    <col min="1304" max="1304" width="16.453125" style="2" customWidth="1"/>
    <col min="1305" max="1539" width="8.90625" style="2"/>
    <col min="1540" max="1540" width="9.6328125" style="2" customWidth="1"/>
    <col min="1541" max="1542" width="5.08984375" style="2" customWidth="1"/>
    <col min="1543" max="1543" width="9.6328125" style="2" customWidth="1"/>
    <col min="1544" max="1545" width="11.6328125" style="2" customWidth="1"/>
    <col min="1546" max="1546" width="15.36328125" style="2" customWidth="1"/>
    <col min="1547" max="1547" width="10.90625" style="2" customWidth="1"/>
    <col min="1548" max="1558" width="13.36328125" style="2" customWidth="1"/>
    <col min="1559" max="1559" width="13.6328125" style="2" customWidth="1"/>
    <col min="1560" max="1560" width="16.453125" style="2" customWidth="1"/>
    <col min="1561" max="1795" width="8.90625" style="2"/>
    <col min="1796" max="1796" width="9.6328125" style="2" customWidth="1"/>
    <col min="1797" max="1798" width="5.08984375" style="2" customWidth="1"/>
    <col min="1799" max="1799" width="9.6328125" style="2" customWidth="1"/>
    <col min="1800" max="1801" width="11.6328125" style="2" customWidth="1"/>
    <col min="1802" max="1802" width="15.36328125" style="2" customWidth="1"/>
    <col min="1803" max="1803" width="10.90625" style="2" customWidth="1"/>
    <col min="1804" max="1814" width="13.36328125" style="2" customWidth="1"/>
    <col min="1815" max="1815" width="13.6328125" style="2" customWidth="1"/>
    <col min="1816" max="1816" width="16.453125" style="2" customWidth="1"/>
    <col min="1817" max="2051" width="8.90625" style="2"/>
    <col min="2052" max="2052" width="9.6328125" style="2" customWidth="1"/>
    <col min="2053" max="2054" width="5.08984375" style="2" customWidth="1"/>
    <col min="2055" max="2055" width="9.6328125" style="2" customWidth="1"/>
    <col min="2056" max="2057" width="11.6328125" style="2" customWidth="1"/>
    <col min="2058" max="2058" width="15.36328125" style="2" customWidth="1"/>
    <col min="2059" max="2059" width="10.90625" style="2" customWidth="1"/>
    <col min="2060" max="2070" width="13.36328125" style="2" customWidth="1"/>
    <col min="2071" max="2071" width="13.6328125" style="2" customWidth="1"/>
    <col min="2072" max="2072" width="16.453125" style="2" customWidth="1"/>
    <col min="2073" max="2307" width="8.90625" style="2"/>
    <col min="2308" max="2308" width="9.6328125" style="2" customWidth="1"/>
    <col min="2309" max="2310" width="5.08984375" style="2" customWidth="1"/>
    <col min="2311" max="2311" width="9.6328125" style="2" customWidth="1"/>
    <col min="2312" max="2313" width="11.6328125" style="2" customWidth="1"/>
    <col min="2314" max="2314" width="15.36328125" style="2" customWidth="1"/>
    <col min="2315" max="2315" width="10.90625" style="2" customWidth="1"/>
    <col min="2316" max="2326" width="13.36328125" style="2" customWidth="1"/>
    <col min="2327" max="2327" width="13.6328125" style="2" customWidth="1"/>
    <col min="2328" max="2328" width="16.453125" style="2" customWidth="1"/>
    <col min="2329" max="2563" width="8.90625" style="2"/>
    <col min="2564" max="2564" width="9.6328125" style="2" customWidth="1"/>
    <col min="2565" max="2566" width="5.08984375" style="2" customWidth="1"/>
    <col min="2567" max="2567" width="9.6328125" style="2" customWidth="1"/>
    <col min="2568" max="2569" width="11.6328125" style="2" customWidth="1"/>
    <col min="2570" max="2570" width="15.36328125" style="2" customWidth="1"/>
    <col min="2571" max="2571" width="10.90625" style="2" customWidth="1"/>
    <col min="2572" max="2582" width="13.36328125" style="2" customWidth="1"/>
    <col min="2583" max="2583" width="13.6328125" style="2" customWidth="1"/>
    <col min="2584" max="2584" width="16.453125" style="2" customWidth="1"/>
    <col min="2585" max="2819" width="8.90625" style="2"/>
    <col min="2820" max="2820" width="9.6328125" style="2" customWidth="1"/>
    <col min="2821" max="2822" width="5.08984375" style="2" customWidth="1"/>
    <col min="2823" max="2823" width="9.6328125" style="2" customWidth="1"/>
    <col min="2824" max="2825" width="11.6328125" style="2" customWidth="1"/>
    <col min="2826" max="2826" width="15.36328125" style="2" customWidth="1"/>
    <col min="2827" max="2827" width="10.90625" style="2" customWidth="1"/>
    <col min="2828" max="2838" width="13.36328125" style="2" customWidth="1"/>
    <col min="2839" max="2839" width="13.6328125" style="2" customWidth="1"/>
    <col min="2840" max="2840" width="16.453125" style="2" customWidth="1"/>
    <col min="2841" max="3075" width="8.90625" style="2"/>
    <col min="3076" max="3076" width="9.6328125" style="2" customWidth="1"/>
    <col min="3077" max="3078" width="5.08984375" style="2" customWidth="1"/>
    <col min="3079" max="3079" width="9.6328125" style="2" customWidth="1"/>
    <col min="3080" max="3081" width="11.6328125" style="2" customWidth="1"/>
    <col min="3082" max="3082" width="15.36328125" style="2" customWidth="1"/>
    <col min="3083" max="3083" width="10.90625" style="2" customWidth="1"/>
    <col min="3084" max="3094" width="13.36328125" style="2" customWidth="1"/>
    <col min="3095" max="3095" width="13.6328125" style="2" customWidth="1"/>
    <col min="3096" max="3096" width="16.453125" style="2" customWidth="1"/>
    <col min="3097" max="3331" width="8.90625" style="2"/>
    <col min="3332" max="3332" width="9.6328125" style="2" customWidth="1"/>
    <col min="3333" max="3334" width="5.08984375" style="2" customWidth="1"/>
    <col min="3335" max="3335" width="9.6328125" style="2" customWidth="1"/>
    <col min="3336" max="3337" width="11.6328125" style="2" customWidth="1"/>
    <col min="3338" max="3338" width="15.36328125" style="2" customWidth="1"/>
    <col min="3339" max="3339" width="10.90625" style="2" customWidth="1"/>
    <col min="3340" max="3350" width="13.36328125" style="2" customWidth="1"/>
    <col min="3351" max="3351" width="13.6328125" style="2" customWidth="1"/>
    <col min="3352" max="3352" width="16.453125" style="2" customWidth="1"/>
    <col min="3353" max="3587" width="8.90625" style="2"/>
    <col min="3588" max="3588" width="9.6328125" style="2" customWidth="1"/>
    <col min="3589" max="3590" width="5.08984375" style="2" customWidth="1"/>
    <col min="3591" max="3591" width="9.6328125" style="2" customWidth="1"/>
    <col min="3592" max="3593" width="11.6328125" style="2" customWidth="1"/>
    <col min="3594" max="3594" width="15.36328125" style="2" customWidth="1"/>
    <col min="3595" max="3595" width="10.90625" style="2" customWidth="1"/>
    <col min="3596" max="3606" width="13.36328125" style="2" customWidth="1"/>
    <col min="3607" max="3607" width="13.6328125" style="2" customWidth="1"/>
    <col min="3608" max="3608" width="16.453125" style="2" customWidth="1"/>
    <col min="3609" max="3843" width="8.90625" style="2"/>
    <col min="3844" max="3844" width="9.6328125" style="2" customWidth="1"/>
    <col min="3845" max="3846" width="5.08984375" style="2" customWidth="1"/>
    <col min="3847" max="3847" width="9.6328125" style="2" customWidth="1"/>
    <col min="3848" max="3849" width="11.6328125" style="2" customWidth="1"/>
    <col min="3850" max="3850" width="15.36328125" style="2" customWidth="1"/>
    <col min="3851" max="3851" width="10.90625" style="2" customWidth="1"/>
    <col min="3852" max="3862" width="13.36328125" style="2" customWidth="1"/>
    <col min="3863" max="3863" width="13.6328125" style="2" customWidth="1"/>
    <col min="3864" max="3864" width="16.453125" style="2" customWidth="1"/>
    <col min="3865" max="4099" width="8.90625" style="2"/>
    <col min="4100" max="4100" width="9.6328125" style="2" customWidth="1"/>
    <col min="4101" max="4102" width="5.08984375" style="2" customWidth="1"/>
    <col min="4103" max="4103" width="9.6328125" style="2" customWidth="1"/>
    <col min="4104" max="4105" width="11.6328125" style="2" customWidth="1"/>
    <col min="4106" max="4106" width="15.36328125" style="2" customWidth="1"/>
    <col min="4107" max="4107" width="10.90625" style="2" customWidth="1"/>
    <col min="4108" max="4118" width="13.36328125" style="2" customWidth="1"/>
    <col min="4119" max="4119" width="13.6328125" style="2" customWidth="1"/>
    <col min="4120" max="4120" width="16.453125" style="2" customWidth="1"/>
    <col min="4121" max="4355" width="8.90625" style="2"/>
    <col min="4356" max="4356" width="9.6328125" style="2" customWidth="1"/>
    <col min="4357" max="4358" width="5.08984375" style="2" customWidth="1"/>
    <col min="4359" max="4359" width="9.6328125" style="2" customWidth="1"/>
    <col min="4360" max="4361" width="11.6328125" style="2" customWidth="1"/>
    <col min="4362" max="4362" width="15.36328125" style="2" customWidth="1"/>
    <col min="4363" max="4363" width="10.90625" style="2" customWidth="1"/>
    <col min="4364" max="4374" width="13.36328125" style="2" customWidth="1"/>
    <col min="4375" max="4375" width="13.6328125" style="2" customWidth="1"/>
    <col min="4376" max="4376" width="16.453125" style="2" customWidth="1"/>
    <col min="4377" max="4611" width="8.90625" style="2"/>
    <col min="4612" max="4612" width="9.6328125" style="2" customWidth="1"/>
    <col min="4613" max="4614" width="5.08984375" style="2" customWidth="1"/>
    <col min="4615" max="4615" width="9.6328125" style="2" customWidth="1"/>
    <col min="4616" max="4617" width="11.6328125" style="2" customWidth="1"/>
    <col min="4618" max="4618" width="15.36328125" style="2" customWidth="1"/>
    <col min="4619" max="4619" width="10.90625" style="2" customWidth="1"/>
    <col min="4620" max="4630" width="13.36328125" style="2" customWidth="1"/>
    <col min="4631" max="4631" width="13.6328125" style="2" customWidth="1"/>
    <col min="4632" max="4632" width="16.453125" style="2" customWidth="1"/>
    <col min="4633" max="4867" width="8.90625" style="2"/>
    <col min="4868" max="4868" width="9.6328125" style="2" customWidth="1"/>
    <col min="4869" max="4870" width="5.08984375" style="2" customWidth="1"/>
    <col min="4871" max="4871" width="9.6328125" style="2" customWidth="1"/>
    <col min="4872" max="4873" width="11.6328125" style="2" customWidth="1"/>
    <col min="4874" max="4874" width="15.36328125" style="2" customWidth="1"/>
    <col min="4875" max="4875" width="10.90625" style="2" customWidth="1"/>
    <col min="4876" max="4886" width="13.36328125" style="2" customWidth="1"/>
    <col min="4887" max="4887" width="13.6328125" style="2" customWidth="1"/>
    <col min="4888" max="4888" width="16.453125" style="2" customWidth="1"/>
    <col min="4889" max="5123" width="8.90625" style="2"/>
    <col min="5124" max="5124" width="9.6328125" style="2" customWidth="1"/>
    <col min="5125" max="5126" width="5.08984375" style="2" customWidth="1"/>
    <col min="5127" max="5127" width="9.6328125" style="2" customWidth="1"/>
    <col min="5128" max="5129" width="11.6328125" style="2" customWidth="1"/>
    <col min="5130" max="5130" width="15.36328125" style="2" customWidth="1"/>
    <col min="5131" max="5131" width="10.90625" style="2" customWidth="1"/>
    <col min="5132" max="5142" width="13.36328125" style="2" customWidth="1"/>
    <col min="5143" max="5143" width="13.6328125" style="2" customWidth="1"/>
    <col min="5144" max="5144" width="16.453125" style="2" customWidth="1"/>
    <col min="5145" max="5379" width="8.90625" style="2"/>
    <col min="5380" max="5380" width="9.6328125" style="2" customWidth="1"/>
    <col min="5381" max="5382" width="5.08984375" style="2" customWidth="1"/>
    <col min="5383" max="5383" width="9.6328125" style="2" customWidth="1"/>
    <col min="5384" max="5385" width="11.6328125" style="2" customWidth="1"/>
    <col min="5386" max="5386" width="15.36328125" style="2" customWidth="1"/>
    <col min="5387" max="5387" width="10.90625" style="2" customWidth="1"/>
    <col min="5388" max="5398" width="13.36328125" style="2" customWidth="1"/>
    <col min="5399" max="5399" width="13.6328125" style="2" customWidth="1"/>
    <col min="5400" max="5400" width="16.453125" style="2" customWidth="1"/>
    <col min="5401" max="5635" width="8.90625" style="2"/>
    <col min="5636" max="5636" width="9.6328125" style="2" customWidth="1"/>
    <col min="5637" max="5638" width="5.08984375" style="2" customWidth="1"/>
    <col min="5639" max="5639" width="9.6328125" style="2" customWidth="1"/>
    <col min="5640" max="5641" width="11.6328125" style="2" customWidth="1"/>
    <col min="5642" max="5642" width="15.36328125" style="2" customWidth="1"/>
    <col min="5643" max="5643" width="10.90625" style="2" customWidth="1"/>
    <col min="5644" max="5654" width="13.36328125" style="2" customWidth="1"/>
    <col min="5655" max="5655" width="13.6328125" style="2" customWidth="1"/>
    <col min="5656" max="5656" width="16.453125" style="2" customWidth="1"/>
    <col min="5657" max="5891" width="8.90625" style="2"/>
    <col min="5892" max="5892" width="9.6328125" style="2" customWidth="1"/>
    <col min="5893" max="5894" width="5.08984375" style="2" customWidth="1"/>
    <col min="5895" max="5895" width="9.6328125" style="2" customWidth="1"/>
    <col min="5896" max="5897" width="11.6328125" style="2" customWidth="1"/>
    <col min="5898" max="5898" width="15.36328125" style="2" customWidth="1"/>
    <col min="5899" max="5899" width="10.90625" style="2" customWidth="1"/>
    <col min="5900" max="5910" width="13.36328125" style="2" customWidth="1"/>
    <col min="5911" max="5911" width="13.6328125" style="2" customWidth="1"/>
    <col min="5912" max="5912" width="16.453125" style="2" customWidth="1"/>
    <col min="5913" max="6147" width="8.90625" style="2"/>
    <col min="6148" max="6148" width="9.6328125" style="2" customWidth="1"/>
    <col min="6149" max="6150" width="5.08984375" style="2" customWidth="1"/>
    <col min="6151" max="6151" width="9.6328125" style="2" customWidth="1"/>
    <col min="6152" max="6153" width="11.6328125" style="2" customWidth="1"/>
    <col min="6154" max="6154" width="15.36328125" style="2" customWidth="1"/>
    <col min="6155" max="6155" width="10.90625" style="2" customWidth="1"/>
    <col min="6156" max="6166" width="13.36328125" style="2" customWidth="1"/>
    <col min="6167" max="6167" width="13.6328125" style="2" customWidth="1"/>
    <col min="6168" max="6168" width="16.453125" style="2" customWidth="1"/>
    <col min="6169" max="6403" width="8.90625" style="2"/>
    <col min="6404" max="6404" width="9.6328125" style="2" customWidth="1"/>
    <col min="6405" max="6406" width="5.08984375" style="2" customWidth="1"/>
    <col min="6407" max="6407" width="9.6328125" style="2" customWidth="1"/>
    <col min="6408" max="6409" width="11.6328125" style="2" customWidth="1"/>
    <col min="6410" max="6410" width="15.36328125" style="2" customWidth="1"/>
    <col min="6411" max="6411" width="10.90625" style="2" customWidth="1"/>
    <col min="6412" max="6422" width="13.36328125" style="2" customWidth="1"/>
    <col min="6423" max="6423" width="13.6328125" style="2" customWidth="1"/>
    <col min="6424" max="6424" width="16.453125" style="2" customWidth="1"/>
    <col min="6425" max="6659" width="8.90625" style="2"/>
    <col min="6660" max="6660" width="9.6328125" style="2" customWidth="1"/>
    <col min="6661" max="6662" width="5.08984375" style="2" customWidth="1"/>
    <col min="6663" max="6663" width="9.6328125" style="2" customWidth="1"/>
    <col min="6664" max="6665" width="11.6328125" style="2" customWidth="1"/>
    <col min="6666" max="6666" width="15.36328125" style="2" customWidth="1"/>
    <col min="6667" max="6667" width="10.90625" style="2" customWidth="1"/>
    <col min="6668" max="6678" width="13.36328125" style="2" customWidth="1"/>
    <col min="6679" max="6679" width="13.6328125" style="2" customWidth="1"/>
    <col min="6680" max="6680" width="16.453125" style="2" customWidth="1"/>
    <col min="6681" max="6915" width="8.90625" style="2"/>
    <col min="6916" max="6916" width="9.6328125" style="2" customWidth="1"/>
    <col min="6917" max="6918" width="5.08984375" style="2" customWidth="1"/>
    <col min="6919" max="6919" width="9.6328125" style="2" customWidth="1"/>
    <col min="6920" max="6921" width="11.6328125" style="2" customWidth="1"/>
    <col min="6922" max="6922" width="15.36328125" style="2" customWidth="1"/>
    <col min="6923" max="6923" width="10.90625" style="2" customWidth="1"/>
    <col min="6924" max="6934" width="13.36328125" style="2" customWidth="1"/>
    <col min="6935" max="6935" width="13.6328125" style="2" customWidth="1"/>
    <col min="6936" max="6936" width="16.453125" style="2" customWidth="1"/>
    <col min="6937" max="7171" width="8.90625" style="2"/>
    <col min="7172" max="7172" width="9.6328125" style="2" customWidth="1"/>
    <col min="7173" max="7174" width="5.08984375" style="2" customWidth="1"/>
    <col min="7175" max="7175" width="9.6328125" style="2" customWidth="1"/>
    <col min="7176" max="7177" width="11.6328125" style="2" customWidth="1"/>
    <col min="7178" max="7178" width="15.36328125" style="2" customWidth="1"/>
    <col min="7179" max="7179" width="10.90625" style="2" customWidth="1"/>
    <col min="7180" max="7190" width="13.36328125" style="2" customWidth="1"/>
    <col min="7191" max="7191" width="13.6328125" style="2" customWidth="1"/>
    <col min="7192" max="7192" width="16.453125" style="2" customWidth="1"/>
    <col min="7193" max="7427" width="8.90625" style="2"/>
    <col min="7428" max="7428" width="9.6328125" style="2" customWidth="1"/>
    <col min="7429" max="7430" width="5.08984375" style="2" customWidth="1"/>
    <col min="7431" max="7431" width="9.6328125" style="2" customWidth="1"/>
    <col min="7432" max="7433" width="11.6328125" style="2" customWidth="1"/>
    <col min="7434" max="7434" width="15.36328125" style="2" customWidth="1"/>
    <col min="7435" max="7435" width="10.90625" style="2" customWidth="1"/>
    <col min="7436" max="7446" width="13.36328125" style="2" customWidth="1"/>
    <col min="7447" max="7447" width="13.6328125" style="2" customWidth="1"/>
    <col min="7448" max="7448" width="16.453125" style="2" customWidth="1"/>
    <col min="7449" max="7683" width="8.90625" style="2"/>
    <col min="7684" max="7684" width="9.6328125" style="2" customWidth="1"/>
    <col min="7685" max="7686" width="5.08984375" style="2" customWidth="1"/>
    <col min="7687" max="7687" width="9.6328125" style="2" customWidth="1"/>
    <col min="7688" max="7689" width="11.6328125" style="2" customWidth="1"/>
    <col min="7690" max="7690" width="15.36328125" style="2" customWidth="1"/>
    <col min="7691" max="7691" width="10.90625" style="2" customWidth="1"/>
    <col min="7692" max="7702" width="13.36328125" style="2" customWidth="1"/>
    <col min="7703" max="7703" width="13.6328125" style="2" customWidth="1"/>
    <col min="7704" max="7704" width="16.453125" style="2" customWidth="1"/>
    <col min="7705" max="7939" width="8.90625" style="2"/>
    <col min="7940" max="7940" width="9.6328125" style="2" customWidth="1"/>
    <col min="7941" max="7942" width="5.08984375" style="2" customWidth="1"/>
    <col min="7943" max="7943" width="9.6328125" style="2" customWidth="1"/>
    <col min="7944" max="7945" width="11.6328125" style="2" customWidth="1"/>
    <col min="7946" max="7946" width="15.36328125" style="2" customWidth="1"/>
    <col min="7947" max="7947" width="10.90625" style="2" customWidth="1"/>
    <col min="7948" max="7958" width="13.36328125" style="2" customWidth="1"/>
    <col min="7959" max="7959" width="13.6328125" style="2" customWidth="1"/>
    <col min="7960" max="7960" width="16.453125" style="2" customWidth="1"/>
    <col min="7961" max="8195" width="8.90625" style="2"/>
    <col min="8196" max="8196" width="9.6328125" style="2" customWidth="1"/>
    <col min="8197" max="8198" width="5.08984375" style="2" customWidth="1"/>
    <col min="8199" max="8199" width="9.6328125" style="2" customWidth="1"/>
    <col min="8200" max="8201" width="11.6328125" style="2" customWidth="1"/>
    <col min="8202" max="8202" width="15.36328125" style="2" customWidth="1"/>
    <col min="8203" max="8203" width="10.90625" style="2" customWidth="1"/>
    <col min="8204" max="8214" width="13.36328125" style="2" customWidth="1"/>
    <col min="8215" max="8215" width="13.6328125" style="2" customWidth="1"/>
    <col min="8216" max="8216" width="16.453125" style="2" customWidth="1"/>
    <col min="8217" max="8451" width="8.90625" style="2"/>
    <col min="8452" max="8452" width="9.6328125" style="2" customWidth="1"/>
    <col min="8453" max="8454" width="5.08984375" style="2" customWidth="1"/>
    <col min="8455" max="8455" width="9.6328125" style="2" customWidth="1"/>
    <col min="8456" max="8457" width="11.6328125" style="2" customWidth="1"/>
    <col min="8458" max="8458" width="15.36328125" style="2" customWidth="1"/>
    <col min="8459" max="8459" width="10.90625" style="2" customWidth="1"/>
    <col min="8460" max="8470" width="13.36328125" style="2" customWidth="1"/>
    <col min="8471" max="8471" width="13.6328125" style="2" customWidth="1"/>
    <col min="8472" max="8472" width="16.453125" style="2" customWidth="1"/>
    <col min="8473" max="8707" width="8.90625" style="2"/>
    <col min="8708" max="8708" width="9.6328125" style="2" customWidth="1"/>
    <col min="8709" max="8710" width="5.08984375" style="2" customWidth="1"/>
    <col min="8711" max="8711" width="9.6328125" style="2" customWidth="1"/>
    <col min="8712" max="8713" width="11.6328125" style="2" customWidth="1"/>
    <col min="8714" max="8714" width="15.36328125" style="2" customWidth="1"/>
    <col min="8715" max="8715" width="10.90625" style="2" customWidth="1"/>
    <col min="8716" max="8726" width="13.36328125" style="2" customWidth="1"/>
    <col min="8727" max="8727" width="13.6328125" style="2" customWidth="1"/>
    <col min="8728" max="8728" width="16.453125" style="2" customWidth="1"/>
    <col min="8729" max="8963" width="8.90625" style="2"/>
    <col min="8964" max="8964" width="9.6328125" style="2" customWidth="1"/>
    <col min="8965" max="8966" width="5.08984375" style="2" customWidth="1"/>
    <col min="8967" max="8967" width="9.6328125" style="2" customWidth="1"/>
    <col min="8968" max="8969" width="11.6328125" style="2" customWidth="1"/>
    <col min="8970" max="8970" width="15.36328125" style="2" customWidth="1"/>
    <col min="8971" max="8971" width="10.90625" style="2" customWidth="1"/>
    <col min="8972" max="8982" width="13.36328125" style="2" customWidth="1"/>
    <col min="8983" max="8983" width="13.6328125" style="2" customWidth="1"/>
    <col min="8984" max="8984" width="16.453125" style="2" customWidth="1"/>
    <col min="8985" max="9219" width="8.90625" style="2"/>
    <col min="9220" max="9220" width="9.6328125" style="2" customWidth="1"/>
    <col min="9221" max="9222" width="5.08984375" style="2" customWidth="1"/>
    <col min="9223" max="9223" width="9.6328125" style="2" customWidth="1"/>
    <col min="9224" max="9225" width="11.6328125" style="2" customWidth="1"/>
    <col min="9226" max="9226" width="15.36328125" style="2" customWidth="1"/>
    <col min="9227" max="9227" width="10.90625" style="2" customWidth="1"/>
    <col min="9228" max="9238" width="13.36328125" style="2" customWidth="1"/>
    <col min="9239" max="9239" width="13.6328125" style="2" customWidth="1"/>
    <col min="9240" max="9240" width="16.453125" style="2" customWidth="1"/>
    <col min="9241" max="9475" width="8.90625" style="2"/>
    <col min="9476" max="9476" width="9.6328125" style="2" customWidth="1"/>
    <col min="9477" max="9478" width="5.08984375" style="2" customWidth="1"/>
    <col min="9479" max="9479" width="9.6328125" style="2" customWidth="1"/>
    <col min="9480" max="9481" width="11.6328125" style="2" customWidth="1"/>
    <col min="9482" max="9482" width="15.36328125" style="2" customWidth="1"/>
    <col min="9483" max="9483" width="10.90625" style="2" customWidth="1"/>
    <col min="9484" max="9494" width="13.36328125" style="2" customWidth="1"/>
    <col min="9495" max="9495" width="13.6328125" style="2" customWidth="1"/>
    <col min="9496" max="9496" width="16.453125" style="2" customWidth="1"/>
    <col min="9497" max="9731" width="8.90625" style="2"/>
    <col min="9732" max="9732" width="9.6328125" style="2" customWidth="1"/>
    <col min="9733" max="9734" width="5.08984375" style="2" customWidth="1"/>
    <col min="9735" max="9735" width="9.6328125" style="2" customWidth="1"/>
    <col min="9736" max="9737" width="11.6328125" style="2" customWidth="1"/>
    <col min="9738" max="9738" width="15.36328125" style="2" customWidth="1"/>
    <col min="9739" max="9739" width="10.90625" style="2" customWidth="1"/>
    <col min="9740" max="9750" width="13.36328125" style="2" customWidth="1"/>
    <col min="9751" max="9751" width="13.6328125" style="2" customWidth="1"/>
    <col min="9752" max="9752" width="16.453125" style="2" customWidth="1"/>
    <col min="9753" max="9987" width="8.90625" style="2"/>
    <col min="9988" max="9988" width="9.6328125" style="2" customWidth="1"/>
    <col min="9989" max="9990" width="5.08984375" style="2" customWidth="1"/>
    <col min="9991" max="9991" width="9.6328125" style="2" customWidth="1"/>
    <col min="9992" max="9993" width="11.6328125" style="2" customWidth="1"/>
    <col min="9994" max="9994" width="15.36328125" style="2" customWidth="1"/>
    <col min="9995" max="9995" width="10.90625" style="2" customWidth="1"/>
    <col min="9996" max="10006" width="13.36328125" style="2" customWidth="1"/>
    <col min="10007" max="10007" width="13.6328125" style="2" customWidth="1"/>
    <col min="10008" max="10008" width="16.453125" style="2" customWidth="1"/>
    <col min="10009" max="10243" width="8.90625" style="2"/>
    <col min="10244" max="10244" width="9.6328125" style="2" customWidth="1"/>
    <col min="10245" max="10246" width="5.08984375" style="2" customWidth="1"/>
    <col min="10247" max="10247" width="9.6328125" style="2" customWidth="1"/>
    <col min="10248" max="10249" width="11.6328125" style="2" customWidth="1"/>
    <col min="10250" max="10250" width="15.36328125" style="2" customWidth="1"/>
    <col min="10251" max="10251" width="10.90625" style="2" customWidth="1"/>
    <col min="10252" max="10262" width="13.36328125" style="2" customWidth="1"/>
    <col min="10263" max="10263" width="13.6328125" style="2" customWidth="1"/>
    <col min="10264" max="10264" width="16.453125" style="2" customWidth="1"/>
    <col min="10265" max="10499" width="8.90625" style="2"/>
    <col min="10500" max="10500" width="9.6328125" style="2" customWidth="1"/>
    <col min="10501" max="10502" width="5.08984375" style="2" customWidth="1"/>
    <col min="10503" max="10503" width="9.6328125" style="2" customWidth="1"/>
    <col min="10504" max="10505" width="11.6328125" style="2" customWidth="1"/>
    <col min="10506" max="10506" width="15.36328125" style="2" customWidth="1"/>
    <col min="10507" max="10507" width="10.90625" style="2" customWidth="1"/>
    <col min="10508" max="10518" width="13.36328125" style="2" customWidth="1"/>
    <col min="10519" max="10519" width="13.6328125" style="2" customWidth="1"/>
    <col min="10520" max="10520" width="16.453125" style="2" customWidth="1"/>
    <col min="10521" max="10755" width="8.90625" style="2"/>
    <col min="10756" max="10756" width="9.6328125" style="2" customWidth="1"/>
    <col min="10757" max="10758" width="5.08984375" style="2" customWidth="1"/>
    <col min="10759" max="10759" width="9.6328125" style="2" customWidth="1"/>
    <col min="10760" max="10761" width="11.6328125" style="2" customWidth="1"/>
    <col min="10762" max="10762" width="15.36328125" style="2" customWidth="1"/>
    <col min="10763" max="10763" width="10.90625" style="2" customWidth="1"/>
    <col min="10764" max="10774" width="13.36328125" style="2" customWidth="1"/>
    <col min="10775" max="10775" width="13.6328125" style="2" customWidth="1"/>
    <col min="10776" max="10776" width="16.453125" style="2" customWidth="1"/>
    <col min="10777" max="11011" width="8.90625" style="2"/>
    <col min="11012" max="11012" width="9.6328125" style="2" customWidth="1"/>
    <col min="11013" max="11014" width="5.08984375" style="2" customWidth="1"/>
    <col min="11015" max="11015" width="9.6328125" style="2" customWidth="1"/>
    <col min="11016" max="11017" width="11.6328125" style="2" customWidth="1"/>
    <col min="11018" max="11018" width="15.36328125" style="2" customWidth="1"/>
    <col min="11019" max="11019" width="10.90625" style="2" customWidth="1"/>
    <col min="11020" max="11030" width="13.36328125" style="2" customWidth="1"/>
    <col min="11031" max="11031" width="13.6328125" style="2" customWidth="1"/>
    <col min="11032" max="11032" width="16.453125" style="2" customWidth="1"/>
    <col min="11033" max="11267" width="8.90625" style="2"/>
    <col min="11268" max="11268" width="9.6328125" style="2" customWidth="1"/>
    <col min="11269" max="11270" width="5.08984375" style="2" customWidth="1"/>
    <col min="11271" max="11271" width="9.6328125" style="2" customWidth="1"/>
    <col min="11272" max="11273" width="11.6328125" style="2" customWidth="1"/>
    <col min="11274" max="11274" width="15.36328125" style="2" customWidth="1"/>
    <col min="11275" max="11275" width="10.90625" style="2" customWidth="1"/>
    <col min="11276" max="11286" width="13.36328125" style="2" customWidth="1"/>
    <col min="11287" max="11287" width="13.6328125" style="2" customWidth="1"/>
    <col min="11288" max="11288" width="16.453125" style="2" customWidth="1"/>
    <col min="11289" max="11523" width="8.90625" style="2"/>
    <col min="11524" max="11524" width="9.6328125" style="2" customWidth="1"/>
    <col min="11525" max="11526" width="5.08984375" style="2" customWidth="1"/>
    <col min="11527" max="11527" width="9.6328125" style="2" customWidth="1"/>
    <col min="11528" max="11529" width="11.6328125" style="2" customWidth="1"/>
    <col min="11530" max="11530" width="15.36328125" style="2" customWidth="1"/>
    <col min="11531" max="11531" width="10.90625" style="2" customWidth="1"/>
    <col min="11532" max="11542" width="13.36328125" style="2" customWidth="1"/>
    <col min="11543" max="11543" width="13.6328125" style="2" customWidth="1"/>
    <col min="11544" max="11544" width="16.453125" style="2" customWidth="1"/>
    <col min="11545" max="11779" width="8.90625" style="2"/>
    <col min="11780" max="11780" width="9.6328125" style="2" customWidth="1"/>
    <col min="11781" max="11782" width="5.08984375" style="2" customWidth="1"/>
    <col min="11783" max="11783" width="9.6328125" style="2" customWidth="1"/>
    <col min="11784" max="11785" width="11.6328125" style="2" customWidth="1"/>
    <col min="11786" max="11786" width="15.36328125" style="2" customWidth="1"/>
    <col min="11787" max="11787" width="10.90625" style="2" customWidth="1"/>
    <col min="11788" max="11798" width="13.36328125" style="2" customWidth="1"/>
    <col min="11799" max="11799" width="13.6328125" style="2" customWidth="1"/>
    <col min="11800" max="11800" width="16.453125" style="2" customWidth="1"/>
    <col min="11801" max="12035" width="8.90625" style="2"/>
    <col min="12036" max="12036" width="9.6328125" style="2" customWidth="1"/>
    <col min="12037" max="12038" width="5.08984375" style="2" customWidth="1"/>
    <col min="12039" max="12039" width="9.6328125" style="2" customWidth="1"/>
    <col min="12040" max="12041" width="11.6328125" style="2" customWidth="1"/>
    <col min="12042" max="12042" width="15.36328125" style="2" customWidth="1"/>
    <col min="12043" max="12043" width="10.90625" style="2" customWidth="1"/>
    <col min="12044" max="12054" width="13.36328125" style="2" customWidth="1"/>
    <col min="12055" max="12055" width="13.6328125" style="2" customWidth="1"/>
    <col min="12056" max="12056" width="16.453125" style="2" customWidth="1"/>
    <col min="12057" max="12291" width="8.90625" style="2"/>
    <col min="12292" max="12292" width="9.6328125" style="2" customWidth="1"/>
    <col min="12293" max="12294" width="5.08984375" style="2" customWidth="1"/>
    <col min="12295" max="12295" width="9.6328125" style="2" customWidth="1"/>
    <col min="12296" max="12297" width="11.6328125" style="2" customWidth="1"/>
    <col min="12298" max="12298" width="15.36328125" style="2" customWidth="1"/>
    <col min="12299" max="12299" width="10.90625" style="2" customWidth="1"/>
    <col min="12300" max="12310" width="13.36328125" style="2" customWidth="1"/>
    <col min="12311" max="12311" width="13.6328125" style="2" customWidth="1"/>
    <col min="12312" max="12312" width="16.453125" style="2" customWidth="1"/>
    <col min="12313" max="12547" width="8.90625" style="2"/>
    <col min="12548" max="12548" width="9.6328125" style="2" customWidth="1"/>
    <col min="12549" max="12550" width="5.08984375" style="2" customWidth="1"/>
    <col min="12551" max="12551" width="9.6328125" style="2" customWidth="1"/>
    <col min="12552" max="12553" width="11.6328125" style="2" customWidth="1"/>
    <col min="12554" max="12554" width="15.36328125" style="2" customWidth="1"/>
    <col min="12555" max="12555" width="10.90625" style="2" customWidth="1"/>
    <col min="12556" max="12566" width="13.36328125" style="2" customWidth="1"/>
    <col min="12567" max="12567" width="13.6328125" style="2" customWidth="1"/>
    <col min="12568" max="12568" width="16.453125" style="2" customWidth="1"/>
    <col min="12569" max="12803" width="8.90625" style="2"/>
    <col min="12804" max="12804" width="9.6328125" style="2" customWidth="1"/>
    <col min="12805" max="12806" width="5.08984375" style="2" customWidth="1"/>
    <col min="12807" max="12807" width="9.6328125" style="2" customWidth="1"/>
    <col min="12808" max="12809" width="11.6328125" style="2" customWidth="1"/>
    <col min="12810" max="12810" width="15.36328125" style="2" customWidth="1"/>
    <col min="12811" max="12811" width="10.90625" style="2" customWidth="1"/>
    <col min="12812" max="12822" width="13.36328125" style="2" customWidth="1"/>
    <col min="12823" max="12823" width="13.6328125" style="2" customWidth="1"/>
    <col min="12824" max="12824" width="16.453125" style="2" customWidth="1"/>
    <col min="12825" max="13059" width="8.90625" style="2"/>
    <col min="13060" max="13060" width="9.6328125" style="2" customWidth="1"/>
    <col min="13061" max="13062" width="5.08984375" style="2" customWidth="1"/>
    <col min="13063" max="13063" width="9.6328125" style="2" customWidth="1"/>
    <col min="13064" max="13065" width="11.6328125" style="2" customWidth="1"/>
    <col min="13066" max="13066" width="15.36328125" style="2" customWidth="1"/>
    <col min="13067" max="13067" width="10.90625" style="2" customWidth="1"/>
    <col min="13068" max="13078" width="13.36328125" style="2" customWidth="1"/>
    <col min="13079" max="13079" width="13.6328125" style="2" customWidth="1"/>
    <col min="13080" max="13080" width="16.453125" style="2" customWidth="1"/>
    <col min="13081" max="13315" width="8.90625" style="2"/>
    <col min="13316" max="13316" width="9.6328125" style="2" customWidth="1"/>
    <col min="13317" max="13318" width="5.08984375" style="2" customWidth="1"/>
    <col min="13319" max="13319" width="9.6328125" style="2" customWidth="1"/>
    <col min="13320" max="13321" width="11.6328125" style="2" customWidth="1"/>
    <col min="13322" max="13322" width="15.36328125" style="2" customWidth="1"/>
    <col min="13323" max="13323" width="10.90625" style="2" customWidth="1"/>
    <col min="13324" max="13334" width="13.36328125" style="2" customWidth="1"/>
    <col min="13335" max="13335" width="13.6328125" style="2" customWidth="1"/>
    <col min="13336" max="13336" width="16.453125" style="2" customWidth="1"/>
    <col min="13337" max="13571" width="8.90625" style="2"/>
    <col min="13572" max="13572" width="9.6328125" style="2" customWidth="1"/>
    <col min="13573" max="13574" width="5.08984375" style="2" customWidth="1"/>
    <col min="13575" max="13575" width="9.6328125" style="2" customWidth="1"/>
    <col min="13576" max="13577" width="11.6328125" style="2" customWidth="1"/>
    <col min="13578" max="13578" width="15.36328125" style="2" customWidth="1"/>
    <col min="13579" max="13579" width="10.90625" style="2" customWidth="1"/>
    <col min="13580" max="13590" width="13.36328125" style="2" customWidth="1"/>
    <col min="13591" max="13591" width="13.6328125" style="2" customWidth="1"/>
    <col min="13592" max="13592" width="16.453125" style="2" customWidth="1"/>
    <col min="13593" max="13827" width="8.90625" style="2"/>
    <col min="13828" max="13828" width="9.6328125" style="2" customWidth="1"/>
    <col min="13829" max="13830" width="5.08984375" style="2" customWidth="1"/>
    <col min="13831" max="13831" width="9.6328125" style="2" customWidth="1"/>
    <col min="13832" max="13833" width="11.6328125" style="2" customWidth="1"/>
    <col min="13834" max="13834" width="15.36328125" style="2" customWidth="1"/>
    <col min="13835" max="13835" width="10.90625" style="2" customWidth="1"/>
    <col min="13836" max="13846" width="13.36328125" style="2" customWidth="1"/>
    <col min="13847" max="13847" width="13.6328125" style="2" customWidth="1"/>
    <col min="13848" max="13848" width="16.453125" style="2" customWidth="1"/>
    <col min="13849" max="14083" width="8.90625" style="2"/>
    <col min="14084" max="14084" width="9.6328125" style="2" customWidth="1"/>
    <col min="14085" max="14086" width="5.08984375" style="2" customWidth="1"/>
    <col min="14087" max="14087" width="9.6328125" style="2" customWidth="1"/>
    <col min="14088" max="14089" width="11.6328125" style="2" customWidth="1"/>
    <col min="14090" max="14090" width="15.36328125" style="2" customWidth="1"/>
    <col min="14091" max="14091" width="10.90625" style="2" customWidth="1"/>
    <col min="14092" max="14102" width="13.36328125" style="2" customWidth="1"/>
    <col min="14103" max="14103" width="13.6328125" style="2" customWidth="1"/>
    <col min="14104" max="14104" width="16.453125" style="2" customWidth="1"/>
    <col min="14105" max="14339" width="8.90625" style="2"/>
    <col min="14340" max="14340" width="9.6328125" style="2" customWidth="1"/>
    <col min="14341" max="14342" width="5.08984375" style="2" customWidth="1"/>
    <col min="14343" max="14343" width="9.6328125" style="2" customWidth="1"/>
    <col min="14344" max="14345" width="11.6328125" style="2" customWidth="1"/>
    <col min="14346" max="14346" width="15.36328125" style="2" customWidth="1"/>
    <col min="14347" max="14347" width="10.90625" style="2" customWidth="1"/>
    <col min="14348" max="14358" width="13.36328125" style="2" customWidth="1"/>
    <col min="14359" max="14359" width="13.6328125" style="2" customWidth="1"/>
    <col min="14360" max="14360" width="16.453125" style="2" customWidth="1"/>
    <col min="14361" max="14595" width="8.90625" style="2"/>
    <col min="14596" max="14596" width="9.6328125" style="2" customWidth="1"/>
    <col min="14597" max="14598" width="5.08984375" style="2" customWidth="1"/>
    <col min="14599" max="14599" width="9.6328125" style="2" customWidth="1"/>
    <col min="14600" max="14601" width="11.6328125" style="2" customWidth="1"/>
    <col min="14602" max="14602" width="15.36328125" style="2" customWidth="1"/>
    <col min="14603" max="14603" width="10.90625" style="2" customWidth="1"/>
    <col min="14604" max="14614" width="13.36328125" style="2" customWidth="1"/>
    <col min="14615" max="14615" width="13.6328125" style="2" customWidth="1"/>
    <col min="14616" max="14616" width="16.453125" style="2" customWidth="1"/>
    <col min="14617" max="14851" width="8.90625" style="2"/>
    <col min="14852" max="14852" width="9.6328125" style="2" customWidth="1"/>
    <col min="14853" max="14854" width="5.08984375" style="2" customWidth="1"/>
    <col min="14855" max="14855" width="9.6328125" style="2" customWidth="1"/>
    <col min="14856" max="14857" width="11.6328125" style="2" customWidth="1"/>
    <col min="14858" max="14858" width="15.36328125" style="2" customWidth="1"/>
    <col min="14859" max="14859" width="10.90625" style="2" customWidth="1"/>
    <col min="14860" max="14870" width="13.36328125" style="2" customWidth="1"/>
    <col min="14871" max="14871" width="13.6328125" style="2" customWidth="1"/>
    <col min="14872" max="14872" width="16.453125" style="2" customWidth="1"/>
    <col min="14873" max="15107" width="8.90625" style="2"/>
    <col min="15108" max="15108" width="9.6328125" style="2" customWidth="1"/>
    <col min="15109" max="15110" width="5.08984375" style="2" customWidth="1"/>
    <col min="15111" max="15111" width="9.6328125" style="2" customWidth="1"/>
    <col min="15112" max="15113" width="11.6328125" style="2" customWidth="1"/>
    <col min="15114" max="15114" width="15.36328125" style="2" customWidth="1"/>
    <col min="15115" max="15115" width="10.90625" style="2" customWidth="1"/>
    <col min="15116" max="15126" width="13.36328125" style="2" customWidth="1"/>
    <col min="15127" max="15127" width="13.6328125" style="2" customWidth="1"/>
    <col min="15128" max="15128" width="16.453125" style="2" customWidth="1"/>
    <col min="15129" max="15363" width="8.90625" style="2"/>
    <col min="15364" max="15364" width="9.6328125" style="2" customWidth="1"/>
    <col min="15365" max="15366" width="5.08984375" style="2" customWidth="1"/>
    <col min="15367" max="15367" width="9.6328125" style="2" customWidth="1"/>
    <col min="15368" max="15369" width="11.6328125" style="2" customWidth="1"/>
    <col min="15370" max="15370" width="15.36328125" style="2" customWidth="1"/>
    <col min="15371" max="15371" width="10.90625" style="2" customWidth="1"/>
    <col min="15372" max="15382" width="13.36328125" style="2" customWidth="1"/>
    <col min="15383" max="15383" width="13.6328125" style="2" customWidth="1"/>
    <col min="15384" max="15384" width="16.453125" style="2" customWidth="1"/>
    <col min="15385" max="15619" width="8.90625" style="2"/>
    <col min="15620" max="15620" width="9.6328125" style="2" customWidth="1"/>
    <col min="15621" max="15622" width="5.08984375" style="2" customWidth="1"/>
    <col min="15623" max="15623" width="9.6328125" style="2" customWidth="1"/>
    <col min="15624" max="15625" width="11.6328125" style="2" customWidth="1"/>
    <col min="15626" max="15626" width="15.36328125" style="2" customWidth="1"/>
    <col min="15627" max="15627" width="10.90625" style="2" customWidth="1"/>
    <col min="15628" max="15638" width="13.36328125" style="2" customWidth="1"/>
    <col min="15639" max="15639" width="13.6328125" style="2" customWidth="1"/>
    <col min="15640" max="15640" width="16.453125" style="2" customWidth="1"/>
    <col min="15641" max="15875" width="8.90625" style="2"/>
    <col min="15876" max="15876" width="9.6328125" style="2" customWidth="1"/>
    <col min="15877" max="15878" width="5.08984375" style="2" customWidth="1"/>
    <col min="15879" max="15879" width="9.6328125" style="2" customWidth="1"/>
    <col min="15880" max="15881" width="11.6328125" style="2" customWidth="1"/>
    <col min="15882" max="15882" width="15.36328125" style="2" customWidth="1"/>
    <col min="15883" max="15883" width="10.90625" style="2" customWidth="1"/>
    <col min="15884" max="15894" width="13.36328125" style="2" customWidth="1"/>
    <col min="15895" max="15895" width="13.6328125" style="2" customWidth="1"/>
    <col min="15896" max="15896" width="16.453125" style="2" customWidth="1"/>
    <col min="15897" max="16131" width="8.90625" style="2"/>
    <col min="16132" max="16132" width="9.6328125" style="2" customWidth="1"/>
    <col min="16133" max="16134" width="5.08984375" style="2" customWidth="1"/>
    <col min="16135" max="16135" width="9.6328125" style="2" customWidth="1"/>
    <col min="16136" max="16137" width="11.6328125" style="2" customWidth="1"/>
    <col min="16138" max="16138" width="15.36328125" style="2" customWidth="1"/>
    <col min="16139" max="16139" width="10.90625" style="2" customWidth="1"/>
    <col min="16140" max="16150" width="13.36328125" style="2" customWidth="1"/>
    <col min="16151" max="16151" width="13.6328125" style="2" customWidth="1"/>
    <col min="16152" max="16152" width="16.453125" style="2" customWidth="1"/>
    <col min="16153" max="16383" width="8.90625" style="2"/>
    <col min="16384" max="16384" width="9" style="2" customWidth="1"/>
  </cols>
  <sheetData>
    <row r="1" spans="1:26" s="127" customFormat="1" ht="36">
      <c r="A1" s="230" t="s">
        <v>83</v>
      </c>
      <c r="B1" s="230" t="s">
        <v>84</v>
      </c>
      <c r="C1" s="133" t="s">
        <v>56</v>
      </c>
      <c r="D1" s="134" t="s">
        <v>0</v>
      </c>
      <c r="E1" s="134" t="s">
        <v>1</v>
      </c>
      <c r="F1" s="135" t="s">
        <v>2</v>
      </c>
      <c r="G1" s="135" t="s">
        <v>58</v>
      </c>
      <c r="H1" s="135" t="s">
        <v>3</v>
      </c>
      <c r="I1" s="136" t="s">
        <v>4</v>
      </c>
      <c r="J1" s="137" t="s">
        <v>5</v>
      </c>
      <c r="K1" s="3" t="s">
        <v>6</v>
      </c>
      <c r="L1" s="332" t="s">
        <v>7</v>
      </c>
      <c r="M1" s="238" t="s">
        <v>8</v>
      </c>
      <c r="N1" s="238" t="s">
        <v>9</v>
      </c>
      <c r="O1" s="238" t="s">
        <v>10</v>
      </c>
      <c r="P1" s="238" t="s">
        <v>11</v>
      </c>
      <c r="Q1" s="238" t="s">
        <v>12</v>
      </c>
      <c r="R1" s="238" t="s">
        <v>13</v>
      </c>
      <c r="S1" s="238" t="s">
        <v>14</v>
      </c>
      <c r="T1" s="238" t="s">
        <v>15</v>
      </c>
      <c r="U1" s="238" t="s">
        <v>16</v>
      </c>
      <c r="V1" s="238" t="s">
        <v>17</v>
      </c>
      <c r="W1" s="231" t="s">
        <v>18</v>
      </c>
      <c r="X1" s="235" t="s">
        <v>19</v>
      </c>
    </row>
    <row r="2" spans="1:26" s="1" customFormat="1">
      <c r="A2" s="112"/>
      <c r="B2" s="72"/>
      <c r="C2" s="548" t="s">
        <v>155</v>
      </c>
      <c r="D2" s="549"/>
      <c r="E2" s="549"/>
      <c r="F2" s="549"/>
      <c r="G2" s="549"/>
      <c r="H2" s="549"/>
      <c r="I2" s="549"/>
      <c r="J2" s="550"/>
      <c r="K2" s="164" t="s">
        <v>20</v>
      </c>
      <c r="L2" s="385">
        <f>L41</f>
        <v>760000</v>
      </c>
      <c r="M2" s="436">
        <f t="shared" ref="M2:W3" si="0">M41</f>
        <v>1051235</v>
      </c>
      <c r="N2" s="436">
        <f t="shared" si="0"/>
        <v>1070905</v>
      </c>
      <c r="O2" s="436">
        <f t="shared" si="0"/>
        <v>1450000</v>
      </c>
      <c r="P2" s="436">
        <f t="shared" si="0"/>
        <v>1454060</v>
      </c>
      <c r="Q2" s="436">
        <f t="shared" si="0"/>
        <v>1450000</v>
      </c>
      <c r="R2" s="436">
        <f t="shared" si="0"/>
        <v>1614020</v>
      </c>
      <c r="S2" s="436">
        <f t="shared" si="0"/>
        <v>1450000</v>
      </c>
      <c r="T2" s="436">
        <f t="shared" si="0"/>
        <v>1450000</v>
      </c>
      <c r="U2" s="436">
        <f t="shared" si="0"/>
        <v>1450000</v>
      </c>
      <c r="V2" s="436">
        <f t="shared" si="0"/>
        <v>1375000</v>
      </c>
      <c r="W2" s="118">
        <f t="shared" si="0"/>
        <v>1410000</v>
      </c>
      <c r="X2" s="38">
        <f>SUM(L2:W2)</f>
        <v>15985220</v>
      </c>
      <c r="Z2" s="70"/>
    </row>
    <row r="3" spans="1:26" s="1" customFormat="1">
      <c r="A3" s="112"/>
      <c r="B3" s="72"/>
      <c r="C3" s="551"/>
      <c r="D3" s="552"/>
      <c r="E3" s="552"/>
      <c r="F3" s="552"/>
      <c r="G3" s="552"/>
      <c r="H3" s="552"/>
      <c r="I3" s="552"/>
      <c r="J3" s="553"/>
      <c r="K3" s="165" t="s">
        <v>21</v>
      </c>
      <c r="L3" s="386">
        <f>L42</f>
        <v>612134</v>
      </c>
      <c r="M3" s="429">
        <f t="shared" si="0"/>
        <v>910091</v>
      </c>
      <c r="N3" s="429">
        <f t="shared" si="0"/>
        <v>865244</v>
      </c>
      <c r="O3" s="429">
        <f t="shared" si="0"/>
        <v>1017483</v>
      </c>
      <c r="P3" s="429">
        <f t="shared" si="0"/>
        <v>1013218</v>
      </c>
      <c r="Q3" s="429">
        <f t="shared" si="0"/>
        <v>999652</v>
      </c>
      <c r="R3" s="429">
        <f t="shared" si="0"/>
        <v>1142236</v>
      </c>
      <c r="S3" s="429">
        <f t="shared" si="0"/>
        <v>1020062</v>
      </c>
      <c r="T3" s="429">
        <f t="shared" si="0"/>
        <v>1024420</v>
      </c>
      <c r="U3" s="429">
        <f t="shared" si="0"/>
        <v>1025826</v>
      </c>
      <c r="V3" s="429">
        <f t="shared" si="0"/>
        <v>1035417</v>
      </c>
      <c r="W3" s="85">
        <f t="shared" si="0"/>
        <v>976783</v>
      </c>
      <c r="X3" s="11">
        <f>SUM(L3:W3)</f>
        <v>11642566</v>
      </c>
      <c r="Z3" s="70"/>
    </row>
    <row r="4" spans="1:26" s="1" customFormat="1" ht="12.5" thickBot="1">
      <c r="A4" s="112"/>
      <c r="B4" s="72"/>
      <c r="C4" s="676"/>
      <c r="D4" s="677"/>
      <c r="E4" s="677"/>
      <c r="F4" s="677"/>
      <c r="G4" s="677"/>
      <c r="H4" s="677"/>
      <c r="I4" s="677"/>
      <c r="J4" s="678"/>
      <c r="K4" s="166" t="s">
        <v>22</v>
      </c>
      <c r="L4" s="387">
        <f>L2-L3</f>
        <v>147866</v>
      </c>
      <c r="M4" s="430">
        <f>M2-M3</f>
        <v>141144</v>
      </c>
      <c r="N4" s="430">
        <f t="shared" ref="N4:W4" si="1">N2-N3</f>
        <v>205661</v>
      </c>
      <c r="O4" s="430">
        <f t="shared" si="1"/>
        <v>432517</v>
      </c>
      <c r="P4" s="430">
        <f t="shared" si="1"/>
        <v>440842</v>
      </c>
      <c r="Q4" s="430">
        <f t="shared" si="1"/>
        <v>450348</v>
      </c>
      <c r="R4" s="430">
        <f t="shared" si="1"/>
        <v>471784</v>
      </c>
      <c r="S4" s="430">
        <f t="shared" si="1"/>
        <v>429938</v>
      </c>
      <c r="T4" s="430">
        <f t="shared" si="1"/>
        <v>425580</v>
      </c>
      <c r="U4" s="430">
        <f>U2-U3</f>
        <v>424174</v>
      </c>
      <c r="V4" s="430">
        <f>V2-V3</f>
        <v>339583</v>
      </c>
      <c r="W4" s="86">
        <f t="shared" si="1"/>
        <v>433217</v>
      </c>
      <c r="X4" s="12">
        <f>SUM(L4:W4)</f>
        <v>4342654</v>
      </c>
      <c r="Z4" s="70"/>
    </row>
    <row r="5" spans="1:26" ht="12" customHeight="1" thickTop="1">
      <c r="A5" s="116">
        <v>2024011</v>
      </c>
      <c r="C5" s="641">
        <v>1</v>
      </c>
      <c r="D5" s="644" t="s">
        <v>59</v>
      </c>
      <c r="E5" s="644"/>
      <c r="F5" s="644"/>
      <c r="G5" s="644" t="s">
        <v>154</v>
      </c>
      <c r="H5" s="647"/>
      <c r="I5" s="647"/>
      <c r="J5" s="628" t="s">
        <v>54</v>
      </c>
      <c r="K5" s="181" t="s">
        <v>23</v>
      </c>
      <c r="L5" s="339">
        <f t="shared" ref="L5:Q5" si="2">L6+L7</f>
        <v>760000</v>
      </c>
      <c r="M5" s="406">
        <f t="shared" si="2"/>
        <v>760000</v>
      </c>
      <c r="N5" s="406">
        <f t="shared" si="2"/>
        <v>760000</v>
      </c>
      <c r="O5" s="406">
        <f t="shared" si="2"/>
        <v>800000</v>
      </c>
      <c r="P5" s="406">
        <f t="shared" si="2"/>
        <v>800000</v>
      </c>
      <c r="Q5" s="406">
        <f t="shared" si="2"/>
        <v>800000</v>
      </c>
      <c r="R5" s="406">
        <f>R6+R7</f>
        <v>895000</v>
      </c>
      <c r="S5" s="406">
        <f t="shared" ref="S5:V5" si="3">S6+S7</f>
        <v>800000</v>
      </c>
      <c r="T5" s="406">
        <f t="shared" si="3"/>
        <v>800000</v>
      </c>
      <c r="U5" s="406">
        <f t="shared" si="3"/>
        <v>800000</v>
      </c>
      <c r="V5" s="406">
        <f t="shared" si="3"/>
        <v>725000</v>
      </c>
      <c r="W5" s="94">
        <f>W6+W7</f>
        <v>760000</v>
      </c>
      <c r="X5" s="32">
        <f>SUM(L5:W5)</f>
        <v>9460000</v>
      </c>
      <c r="Z5" s="69"/>
    </row>
    <row r="6" spans="1:26">
      <c r="A6" s="114">
        <f>+A5</f>
        <v>2024011</v>
      </c>
      <c r="B6" s="74"/>
      <c r="C6" s="642"/>
      <c r="D6" s="645"/>
      <c r="E6" s="645"/>
      <c r="F6" s="645"/>
      <c r="G6" s="645"/>
      <c r="H6" s="648"/>
      <c r="I6" s="648"/>
      <c r="J6" s="629"/>
      <c r="K6" s="168" t="s">
        <v>24</v>
      </c>
      <c r="L6" s="388">
        <v>760000</v>
      </c>
      <c r="M6" s="437">
        <v>760000</v>
      </c>
      <c r="N6" s="437">
        <v>760000</v>
      </c>
      <c r="O6" s="437">
        <v>800000</v>
      </c>
      <c r="P6" s="437">
        <v>800000</v>
      </c>
      <c r="Q6" s="437">
        <v>800000</v>
      </c>
      <c r="R6" s="437">
        <v>895000</v>
      </c>
      <c r="S6" s="437">
        <v>800000</v>
      </c>
      <c r="T6" s="437">
        <v>800000</v>
      </c>
      <c r="U6" s="437">
        <v>800000</v>
      </c>
      <c r="V6" s="437">
        <v>725000</v>
      </c>
      <c r="W6" s="320">
        <v>760000</v>
      </c>
      <c r="X6" s="14">
        <f>SUM(L6:W6)</f>
        <v>9460000</v>
      </c>
      <c r="Y6" s="69"/>
      <c r="Z6" s="69"/>
    </row>
    <row r="7" spans="1:26">
      <c r="A7" s="114">
        <f>+A6</f>
        <v>2024011</v>
      </c>
      <c r="B7" s="74"/>
      <c r="C7" s="642"/>
      <c r="D7" s="645"/>
      <c r="E7" s="645"/>
      <c r="F7" s="645"/>
      <c r="G7" s="645"/>
      <c r="H7" s="648"/>
      <c r="I7" s="648"/>
      <c r="J7" s="629"/>
      <c r="K7" s="168" t="s">
        <v>25</v>
      </c>
      <c r="L7" s="389"/>
      <c r="M7" s="410"/>
      <c r="N7" s="410"/>
      <c r="O7" s="410"/>
      <c r="P7" s="410"/>
      <c r="Q7" s="410"/>
      <c r="R7" s="410"/>
      <c r="S7" s="410"/>
      <c r="T7" s="410"/>
      <c r="U7" s="410"/>
      <c r="V7" s="410"/>
      <c r="W7" s="88"/>
      <c r="X7" s="14">
        <v>0</v>
      </c>
      <c r="Z7" s="69"/>
    </row>
    <row r="8" spans="1:26">
      <c r="A8" s="114">
        <f t="shared" ref="A8:A15" si="4">+A7</f>
        <v>2024011</v>
      </c>
      <c r="B8" s="74"/>
      <c r="C8" s="642"/>
      <c r="D8" s="645"/>
      <c r="E8" s="645"/>
      <c r="F8" s="645"/>
      <c r="G8" s="645"/>
      <c r="H8" s="648"/>
      <c r="I8" s="648"/>
      <c r="J8" s="629"/>
      <c r="K8" s="169" t="s">
        <v>26</v>
      </c>
      <c r="L8" s="390">
        <f t="shared" ref="L8:Q8" si="5">SUM(L9:L15)</f>
        <v>612134</v>
      </c>
      <c r="M8" s="426">
        <f t="shared" si="5"/>
        <v>610817</v>
      </c>
      <c r="N8" s="426">
        <f t="shared" si="5"/>
        <v>610817</v>
      </c>
      <c r="O8" s="426">
        <f t="shared" si="5"/>
        <v>652434</v>
      </c>
      <c r="P8" s="426">
        <f t="shared" si="5"/>
        <v>637891</v>
      </c>
      <c r="Q8" s="426">
        <f t="shared" si="5"/>
        <v>628639</v>
      </c>
      <c r="R8" s="426">
        <f>SUM(R9:R15)</f>
        <v>726380</v>
      </c>
      <c r="S8" s="426">
        <f t="shared" ref="S8:V8" si="6">SUM(S9:S15)</f>
        <v>634700</v>
      </c>
      <c r="T8" s="426">
        <f t="shared" si="6"/>
        <v>638249</v>
      </c>
      <c r="U8" s="426">
        <f t="shared" si="6"/>
        <v>640464</v>
      </c>
      <c r="V8" s="426">
        <f t="shared" si="6"/>
        <v>649109</v>
      </c>
      <c r="W8" s="89">
        <f>SUM(W9:W15)</f>
        <v>612134</v>
      </c>
      <c r="X8" s="15">
        <f>SUM(L8:W8)</f>
        <v>7653768</v>
      </c>
      <c r="Z8" s="69"/>
    </row>
    <row r="9" spans="1:26">
      <c r="A9" s="114">
        <f t="shared" si="4"/>
        <v>2024011</v>
      </c>
      <c r="B9" s="74"/>
      <c r="C9" s="642"/>
      <c r="D9" s="645"/>
      <c r="E9" s="645"/>
      <c r="F9" s="645"/>
      <c r="G9" s="645"/>
      <c r="H9" s="648"/>
      <c r="I9" s="648"/>
      <c r="J9" s="629"/>
      <c r="K9" s="168" t="s">
        <v>27</v>
      </c>
      <c r="L9" s="389">
        <v>519400</v>
      </c>
      <c r="M9" s="438">
        <v>519400</v>
      </c>
      <c r="N9" s="438">
        <v>519400</v>
      </c>
      <c r="O9" s="438">
        <v>558125</v>
      </c>
      <c r="P9" s="438">
        <v>548800</v>
      </c>
      <c r="Q9" s="438">
        <v>546800</v>
      </c>
      <c r="R9" s="438">
        <v>630723</v>
      </c>
      <c r="S9" s="438">
        <v>555200</v>
      </c>
      <c r="T9" s="438">
        <v>556400</v>
      </c>
      <c r="U9" s="438">
        <v>559600</v>
      </c>
      <c r="V9" s="438">
        <v>557200</v>
      </c>
      <c r="W9" s="321">
        <v>519400</v>
      </c>
      <c r="X9" s="14">
        <f t="shared" ref="X9:X15" si="7">SUM(L9:W9)</f>
        <v>6590448</v>
      </c>
      <c r="Y9" s="69"/>
      <c r="Z9" s="69"/>
    </row>
    <row r="10" spans="1:26">
      <c r="A10" s="114">
        <f t="shared" si="4"/>
        <v>2024011</v>
      </c>
      <c r="B10" s="74"/>
      <c r="C10" s="642"/>
      <c r="D10" s="645"/>
      <c r="E10" s="645"/>
      <c r="F10" s="645"/>
      <c r="G10" s="645"/>
      <c r="H10" s="648"/>
      <c r="I10" s="648"/>
      <c r="J10" s="629"/>
      <c r="K10" s="168" t="s">
        <v>34</v>
      </c>
      <c r="L10" s="391"/>
      <c r="M10" s="439"/>
      <c r="N10" s="439"/>
      <c r="O10" s="439"/>
      <c r="P10" s="439"/>
      <c r="Q10" s="439"/>
      <c r="R10" s="439"/>
      <c r="S10" s="439"/>
      <c r="T10" s="439"/>
      <c r="U10" s="439"/>
      <c r="V10" s="439"/>
      <c r="W10" s="323"/>
      <c r="X10" s="14">
        <f t="shared" si="7"/>
        <v>0</v>
      </c>
      <c r="Y10" s="69"/>
      <c r="Z10" s="69"/>
    </row>
    <row r="11" spans="1:26">
      <c r="A11" s="114">
        <f t="shared" si="4"/>
        <v>2024011</v>
      </c>
      <c r="B11" s="74"/>
      <c r="C11" s="642"/>
      <c r="D11" s="645"/>
      <c r="E11" s="645"/>
      <c r="F11" s="645"/>
      <c r="G11" s="645"/>
      <c r="H11" s="648"/>
      <c r="I11" s="648"/>
      <c r="J11" s="629"/>
      <c r="K11" s="168" t="s">
        <v>28</v>
      </c>
      <c r="L11" s="329">
        <v>5216</v>
      </c>
      <c r="M11" s="410">
        <v>3912</v>
      </c>
      <c r="N11" s="410">
        <v>3912</v>
      </c>
      <c r="O11" s="410">
        <v>6372</v>
      </c>
      <c r="P11" s="410">
        <v>1304</v>
      </c>
      <c r="Q11" s="410">
        <v>2402</v>
      </c>
      <c r="R11" s="410">
        <v>15204</v>
      </c>
      <c r="S11" s="410">
        <v>0</v>
      </c>
      <c r="T11" s="410">
        <v>2312</v>
      </c>
      <c r="U11" s="410">
        <v>1304</v>
      </c>
      <c r="V11" s="410">
        <v>3826</v>
      </c>
      <c r="W11" s="26">
        <v>5216</v>
      </c>
      <c r="X11" s="14">
        <f t="shared" si="7"/>
        <v>50980</v>
      </c>
      <c r="Y11" s="69"/>
      <c r="Z11" s="69"/>
    </row>
    <row r="12" spans="1:26">
      <c r="A12" s="114">
        <f t="shared" si="4"/>
        <v>2024011</v>
      </c>
      <c r="B12" s="74"/>
      <c r="C12" s="642"/>
      <c r="D12" s="645"/>
      <c r="E12" s="645"/>
      <c r="F12" s="645"/>
      <c r="G12" s="645"/>
      <c r="H12" s="648"/>
      <c r="I12" s="648"/>
      <c r="J12" s="629"/>
      <c r="K12" s="168" t="s">
        <v>29</v>
      </c>
      <c r="L12" s="329">
        <v>28025</v>
      </c>
      <c r="M12" s="410">
        <v>28025</v>
      </c>
      <c r="N12" s="410">
        <v>28025</v>
      </c>
      <c r="O12" s="410">
        <v>28025</v>
      </c>
      <c r="P12" s="410">
        <v>28025</v>
      </c>
      <c r="Q12" s="410">
        <v>25175</v>
      </c>
      <c r="R12" s="410">
        <v>25175</v>
      </c>
      <c r="S12" s="410">
        <v>25175</v>
      </c>
      <c r="T12" s="410">
        <v>25175</v>
      </c>
      <c r="U12" s="410">
        <v>25175</v>
      </c>
      <c r="V12" s="410">
        <v>28025</v>
      </c>
      <c r="W12" s="26">
        <v>28025</v>
      </c>
      <c r="X12" s="14">
        <f t="shared" si="7"/>
        <v>322050</v>
      </c>
      <c r="Y12" s="69"/>
      <c r="Z12" s="69"/>
    </row>
    <row r="13" spans="1:26">
      <c r="A13" s="114">
        <f t="shared" si="4"/>
        <v>2024011</v>
      </c>
      <c r="B13" s="74"/>
      <c r="C13" s="642"/>
      <c r="D13" s="645"/>
      <c r="E13" s="645"/>
      <c r="F13" s="645"/>
      <c r="G13" s="645"/>
      <c r="H13" s="648"/>
      <c r="I13" s="648"/>
      <c r="J13" s="629"/>
      <c r="K13" s="168" t="s">
        <v>30</v>
      </c>
      <c r="L13" s="329">
        <v>53985</v>
      </c>
      <c r="M13" s="410">
        <v>53985</v>
      </c>
      <c r="N13" s="410">
        <v>53985</v>
      </c>
      <c r="O13" s="410">
        <v>53985</v>
      </c>
      <c r="P13" s="410">
        <v>53985</v>
      </c>
      <c r="Q13" s="410">
        <v>48495</v>
      </c>
      <c r="R13" s="410">
        <v>48495</v>
      </c>
      <c r="S13" s="410">
        <v>48495</v>
      </c>
      <c r="T13" s="410">
        <v>48495</v>
      </c>
      <c r="U13" s="410">
        <v>48495</v>
      </c>
      <c r="V13" s="410">
        <v>53985</v>
      </c>
      <c r="W13" s="26">
        <v>53985</v>
      </c>
      <c r="X13" s="14">
        <f t="shared" si="7"/>
        <v>620370</v>
      </c>
      <c r="Y13" s="69"/>
      <c r="Z13" s="69"/>
    </row>
    <row r="14" spans="1:26">
      <c r="A14" s="114">
        <f t="shared" si="4"/>
        <v>2024011</v>
      </c>
      <c r="B14" s="74"/>
      <c r="C14" s="642"/>
      <c r="D14" s="645"/>
      <c r="E14" s="645"/>
      <c r="F14" s="645"/>
      <c r="G14" s="645"/>
      <c r="H14" s="648"/>
      <c r="I14" s="648"/>
      <c r="J14" s="629"/>
      <c r="K14" s="168" t="s">
        <v>31</v>
      </c>
      <c r="L14" s="329">
        <v>2623</v>
      </c>
      <c r="M14" s="410">
        <v>2617</v>
      </c>
      <c r="N14" s="410">
        <v>2617</v>
      </c>
      <c r="O14" s="410">
        <v>2822</v>
      </c>
      <c r="P14" s="410">
        <v>2751</v>
      </c>
      <c r="Q14" s="410">
        <v>2746</v>
      </c>
      <c r="R14" s="410">
        <v>3230</v>
      </c>
      <c r="S14" s="410">
        <v>2776</v>
      </c>
      <c r="T14" s="410">
        <v>2794</v>
      </c>
      <c r="U14" s="410">
        <v>2805</v>
      </c>
      <c r="V14" s="410">
        <v>2892</v>
      </c>
      <c r="W14" s="26">
        <v>2623</v>
      </c>
      <c r="X14" s="14">
        <f t="shared" si="7"/>
        <v>33296</v>
      </c>
      <c r="Y14" s="69"/>
      <c r="Z14" s="69"/>
    </row>
    <row r="15" spans="1:26">
      <c r="A15" s="114">
        <f t="shared" si="4"/>
        <v>2024011</v>
      </c>
      <c r="B15" s="74"/>
      <c r="C15" s="642"/>
      <c r="D15" s="645"/>
      <c r="E15" s="645"/>
      <c r="F15" s="645"/>
      <c r="G15" s="645"/>
      <c r="H15" s="648"/>
      <c r="I15" s="648"/>
      <c r="J15" s="629"/>
      <c r="K15" s="168" t="s">
        <v>32</v>
      </c>
      <c r="L15" s="329">
        <v>2885</v>
      </c>
      <c r="M15" s="410">
        <v>2878</v>
      </c>
      <c r="N15" s="410">
        <v>2878</v>
      </c>
      <c r="O15" s="410">
        <v>3105</v>
      </c>
      <c r="P15" s="410">
        <v>3026</v>
      </c>
      <c r="Q15" s="410">
        <v>3021</v>
      </c>
      <c r="R15" s="410">
        <v>3553</v>
      </c>
      <c r="S15" s="410">
        <v>3054</v>
      </c>
      <c r="T15" s="410">
        <v>3073</v>
      </c>
      <c r="U15" s="410">
        <v>3085</v>
      </c>
      <c r="V15" s="410">
        <v>3181</v>
      </c>
      <c r="W15" s="26">
        <v>2885</v>
      </c>
      <c r="X15" s="14">
        <f t="shared" si="7"/>
        <v>36624</v>
      </c>
      <c r="Y15" s="69"/>
      <c r="Z15" s="69"/>
    </row>
    <row r="16" spans="1:26">
      <c r="A16" s="114">
        <f>+A15</f>
        <v>2024011</v>
      </c>
      <c r="B16" s="74"/>
      <c r="C16" s="654"/>
      <c r="D16" s="655"/>
      <c r="E16" s="655"/>
      <c r="F16" s="655"/>
      <c r="G16" s="655"/>
      <c r="H16" s="652"/>
      <c r="I16" s="652"/>
      <c r="J16" s="630"/>
      <c r="K16" s="170" t="s">
        <v>33</v>
      </c>
      <c r="L16" s="338">
        <f t="shared" ref="L16:X16" si="8">L5-L8</f>
        <v>147866</v>
      </c>
      <c r="M16" s="405">
        <f t="shared" si="8"/>
        <v>149183</v>
      </c>
      <c r="N16" s="405">
        <f t="shared" si="8"/>
        <v>149183</v>
      </c>
      <c r="O16" s="405">
        <f t="shared" si="8"/>
        <v>147566</v>
      </c>
      <c r="P16" s="405">
        <f t="shared" si="8"/>
        <v>162109</v>
      </c>
      <c r="Q16" s="405">
        <f t="shared" si="8"/>
        <v>171361</v>
      </c>
      <c r="R16" s="405">
        <f t="shared" si="8"/>
        <v>168620</v>
      </c>
      <c r="S16" s="405">
        <f t="shared" si="8"/>
        <v>165300</v>
      </c>
      <c r="T16" s="405">
        <f t="shared" si="8"/>
        <v>161751</v>
      </c>
      <c r="U16" s="405">
        <f t="shared" si="8"/>
        <v>159536</v>
      </c>
      <c r="V16" s="405">
        <f t="shared" si="8"/>
        <v>75891</v>
      </c>
      <c r="W16" s="90">
        <f t="shared" si="8"/>
        <v>147866</v>
      </c>
      <c r="X16" s="16">
        <f t="shared" si="8"/>
        <v>1806232</v>
      </c>
      <c r="Z16" s="69"/>
    </row>
    <row r="17" spans="1:26" ht="12.75" customHeight="1">
      <c r="A17" s="243">
        <v>2024049</v>
      </c>
      <c r="C17" s="641">
        <f>C5+1</f>
        <v>2</v>
      </c>
      <c r="D17" s="644" t="s">
        <v>59</v>
      </c>
      <c r="E17" s="644" t="s">
        <v>173</v>
      </c>
      <c r="F17" s="644"/>
      <c r="G17" s="672" t="s">
        <v>150</v>
      </c>
      <c r="H17" s="647"/>
      <c r="I17" s="647"/>
      <c r="J17" s="628" t="s">
        <v>55</v>
      </c>
      <c r="K17" s="180" t="s">
        <v>23</v>
      </c>
      <c r="L17" s="378">
        <f t="shared" ref="L17:W17" si="9">L18+L19</f>
        <v>0</v>
      </c>
      <c r="M17" s="471">
        <f t="shared" si="9"/>
        <v>291235</v>
      </c>
      <c r="N17" s="471">
        <f t="shared" si="9"/>
        <v>310905</v>
      </c>
      <c r="O17" s="406">
        <f t="shared" si="9"/>
        <v>0</v>
      </c>
      <c r="P17" s="406">
        <f t="shared" si="9"/>
        <v>0</v>
      </c>
      <c r="Q17" s="406">
        <f t="shared" si="9"/>
        <v>0</v>
      </c>
      <c r="R17" s="406">
        <f t="shared" si="9"/>
        <v>0</v>
      </c>
      <c r="S17" s="406">
        <f t="shared" si="9"/>
        <v>0</v>
      </c>
      <c r="T17" s="406">
        <f t="shared" si="9"/>
        <v>0</v>
      </c>
      <c r="U17" s="406">
        <f t="shared" si="9"/>
        <v>0</v>
      </c>
      <c r="V17" s="406">
        <f t="shared" si="9"/>
        <v>0</v>
      </c>
      <c r="W17" s="478">
        <f t="shared" si="9"/>
        <v>0</v>
      </c>
      <c r="X17" s="479">
        <f>SUM(L17:W17)</f>
        <v>602140</v>
      </c>
      <c r="Z17" s="69"/>
    </row>
    <row r="18" spans="1:26" ht="13.5" customHeight="1">
      <c r="A18" s="114">
        <f t="shared" ref="A18:A40" si="10">+A17</f>
        <v>2024049</v>
      </c>
      <c r="B18" s="74"/>
      <c r="C18" s="642"/>
      <c r="D18" s="645"/>
      <c r="E18" s="645"/>
      <c r="F18" s="645"/>
      <c r="G18" s="673"/>
      <c r="H18" s="648"/>
      <c r="I18" s="648"/>
      <c r="J18" s="629"/>
      <c r="K18" s="155" t="s">
        <v>24</v>
      </c>
      <c r="L18" s="354"/>
      <c r="M18" s="343">
        <v>291235</v>
      </c>
      <c r="N18" s="343">
        <v>310905</v>
      </c>
      <c r="O18" s="297"/>
      <c r="P18" s="297"/>
      <c r="Q18" s="297"/>
      <c r="R18" s="297"/>
      <c r="S18" s="297"/>
      <c r="T18" s="297"/>
      <c r="U18" s="297"/>
      <c r="V18" s="297"/>
      <c r="W18" s="343"/>
      <c r="X18" s="480">
        <f>SUM(L18:W18)</f>
        <v>602140</v>
      </c>
      <c r="Y18" s="69"/>
      <c r="Z18" s="69"/>
    </row>
    <row r="19" spans="1:26" ht="13.5" customHeight="1">
      <c r="A19" s="114">
        <f t="shared" si="10"/>
        <v>2024049</v>
      </c>
      <c r="B19" s="74"/>
      <c r="C19" s="642"/>
      <c r="D19" s="645"/>
      <c r="E19" s="645"/>
      <c r="F19" s="645"/>
      <c r="G19" s="673"/>
      <c r="H19" s="648"/>
      <c r="I19" s="648"/>
      <c r="J19" s="629"/>
      <c r="K19" s="155" t="s">
        <v>25</v>
      </c>
      <c r="L19" s="354"/>
      <c r="M19" s="343"/>
      <c r="N19" s="343"/>
      <c r="O19" s="297"/>
      <c r="P19" s="297"/>
      <c r="Q19" s="297"/>
      <c r="R19" s="297"/>
      <c r="S19" s="297"/>
      <c r="T19" s="297"/>
      <c r="U19" s="297"/>
      <c r="V19" s="297"/>
      <c r="W19" s="481"/>
      <c r="X19" s="480">
        <v>0</v>
      </c>
      <c r="Z19" s="69"/>
    </row>
    <row r="20" spans="1:26" ht="13.5" customHeight="1">
      <c r="A20" s="114">
        <f t="shared" si="10"/>
        <v>2024049</v>
      </c>
      <c r="B20" s="74"/>
      <c r="C20" s="642"/>
      <c r="D20" s="645"/>
      <c r="E20" s="645"/>
      <c r="F20" s="645"/>
      <c r="G20" s="673"/>
      <c r="H20" s="648"/>
      <c r="I20" s="648"/>
      <c r="J20" s="629"/>
      <c r="K20" s="156" t="s">
        <v>26</v>
      </c>
      <c r="L20" s="355">
        <f t="shared" ref="L20:W20" si="11">SUM(L21:L27)</f>
        <v>0</v>
      </c>
      <c r="M20" s="344">
        <f t="shared" si="11"/>
        <v>299274</v>
      </c>
      <c r="N20" s="344">
        <f t="shared" si="11"/>
        <v>254427</v>
      </c>
      <c r="O20" s="411">
        <f t="shared" si="11"/>
        <v>0</v>
      </c>
      <c r="P20" s="411">
        <f t="shared" si="11"/>
        <v>0</v>
      </c>
      <c r="Q20" s="411">
        <f t="shared" si="11"/>
        <v>0</v>
      </c>
      <c r="R20" s="411">
        <f t="shared" si="11"/>
        <v>0</v>
      </c>
      <c r="S20" s="411">
        <f t="shared" si="11"/>
        <v>0</v>
      </c>
      <c r="T20" s="411">
        <f t="shared" si="11"/>
        <v>0</v>
      </c>
      <c r="U20" s="411">
        <f t="shared" si="11"/>
        <v>0</v>
      </c>
      <c r="V20" s="411">
        <f t="shared" si="11"/>
        <v>0</v>
      </c>
      <c r="W20" s="482">
        <f t="shared" si="11"/>
        <v>0</v>
      </c>
      <c r="X20" s="483">
        <f t="shared" ref="X20:X27" si="12">SUM(L20:W20)</f>
        <v>553701</v>
      </c>
      <c r="Z20" s="69"/>
    </row>
    <row r="21" spans="1:26" ht="13.5" customHeight="1">
      <c r="A21" s="114">
        <f t="shared" si="10"/>
        <v>2024049</v>
      </c>
      <c r="B21" s="74"/>
      <c r="C21" s="642"/>
      <c r="D21" s="645"/>
      <c r="E21" s="645"/>
      <c r="F21" s="645"/>
      <c r="G21" s="673"/>
      <c r="H21" s="648"/>
      <c r="I21" s="648"/>
      <c r="J21" s="629"/>
      <c r="K21" s="157" t="s">
        <v>27</v>
      </c>
      <c r="L21" s="343"/>
      <c r="M21" s="343">
        <v>240400</v>
      </c>
      <c r="N21" s="343">
        <v>196019</v>
      </c>
      <c r="O21" s="297"/>
      <c r="P21" s="297"/>
      <c r="Q21" s="297"/>
      <c r="R21" s="297"/>
      <c r="S21" s="297"/>
      <c r="T21" s="297"/>
      <c r="U21" s="297"/>
      <c r="V21" s="297"/>
      <c r="W21" s="343"/>
      <c r="X21" s="480">
        <f t="shared" si="12"/>
        <v>436419</v>
      </c>
      <c r="Y21" s="69"/>
      <c r="Z21" s="69"/>
    </row>
    <row r="22" spans="1:26" ht="13.5" customHeight="1">
      <c r="A22" s="114">
        <f t="shared" si="10"/>
        <v>2024049</v>
      </c>
      <c r="B22" s="74"/>
      <c r="C22" s="642"/>
      <c r="D22" s="645"/>
      <c r="E22" s="645"/>
      <c r="F22" s="645"/>
      <c r="G22" s="673"/>
      <c r="H22" s="648"/>
      <c r="I22" s="648"/>
      <c r="J22" s="629"/>
      <c r="K22" s="174" t="s">
        <v>34</v>
      </c>
      <c r="L22" s="343"/>
      <c r="M22" s="343"/>
      <c r="N22" s="343"/>
      <c r="O22" s="297"/>
      <c r="P22" s="297"/>
      <c r="Q22" s="297"/>
      <c r="R22" s="297"/>
      <c r="S22" s="297"/>
      <c r="T22" s="297"/>
      <c r="U22" s="297"/>
      <c r="V22" s="297"/>
      <c r="W22" s="343"/>
      <c r="X22" s="480">
        <f t="shared" si="12"/>
        <v>0</v>
      </c>
      <c r="Y22" s="69"/>
      <c r="Z22" s="69"/>
    </row>
    <row r="23" spans="1:26" ht="13.5" customHeight="1">
      <c r="A23" s="114">
        <f t="shared" si="10"/>
        <v>2024049</v>
      </c>
      <c r="B23" s="74"/>
      <c r="C23" s="642"/>
      <c r="D23" s="645"/>
      <c r="E23" s="645"/>
      <c r="F23" s="645"/>
      <c r="G23" s="673"/>
      <c r="H23" s="648"/>
      <c r="I23" s="648"/>
      <c r="J23" s="629"/>
      <c r="K23" s="157" t="s">
        <v>28</v>
      </c>
      <c r="L23" s="343"/>
      <c r="M23" s="343">
        <v>20000</v>
      </c>
      <c r="N23" s="343">
        <v>20000</v>
      </c>
      <c r="O23" s="297"/>
      <c r="P23" s="297"/>
      <c r="Q23" s="297"/>
      <c r="R23" s="297"/>
      <c r="S23" s="297"/>
      <c r="T23" s="297"/>
      <c r="U23" s="297"/>
      <c r="V23" s="297"/>
      <c r="W23" s="343"/>
      <c r="X23" s="480">
        <f t="shared" si="12"/>
        <v>40000</v>
      </c>
      <c r="Y23" s="69"/>
      <c r="Z23" s="69"/>
    </row>
    <row r="24" spans="1:26" ht="13.5" customHeight="1">
      <c r="A24" s="114">
        <f t="shared" si="10"/>
        <v>2024049</v>
      </c>
      <c r="B24" s="74"/>
      <c r="C24" s="642"/>
      <c r="D24" s="645"/>
      <c r="E24" s="645"/>
      <c r="F24" s="645"/>
      <c r="G24" s="673"/>
      <c r="H24" s="648"/>
      <c r="I24" s="648"/>
      <c r="J24" s="629"/>
      <c r="K24" s="157" t="s">
        <v>29</v>
      </c>
      <c r="L24" s="343"/>
      <c r="M24" s="343">
        <v>12350</v>
      </c>
      <c r="N24" s="343">
        <v>12350</v>
      </c>
      <c r="O24" s="297"/>
      <c r="P24" s="297"/>
      <c r="Q24" s="297"/>
      <c r="R24" s="297"/>
      <c r="S24" s="297"/>
      <c r="T24" s="297"/>
      <c r="U24" s="297"/>
      <c r="V24" s="297"/>
      <c r="W24" s="343"/>
      <c r="X24" s="480">
        <f t="shared" si="12"/>
        <v>24700</v>
      </c>
      <c r="Y24" s="69"/>
      <c r="Z24" s="69"/>
    </row>
    <row r="25" spans="1:26" ht="13.5" customHeight="1">
      <c r="A25" s="114">
        <f t="shared" si="10"/>
        <v>2024049</v>
      </c>
      <c r="B25" s="74"/>
      <c r="C25" s="642"/>
      <c r="D25" s="645"/>
      <c r="E25" s="645"/>
      <c r="F25" s="645"/>
      <c r="G25" s="673"/>
      <c r="H25" s="648"/>
      <c r="I25" s="648"/>
      <c r="J25" s="629"/>
      <c r="K25" s="157" t="s">
        <v>30</v>
      </c>
      <c r="L25" s="343"/>
      <c r="M25" s="343">
        <v>23790</v>
      </c>
      <c r="N25" s="343">
        <v>23790</v>
      </c>
      <c r="O25" s="297"/>
      <c r="P25" s="297"/>
      <c r="Q25" s="297"/>
      <c r="R25" s="297"/>
      <c r="S25" s="297"/>
      <c r="T25" s="297"/>
      <c r="U25" s="297"/>
      <c r="V25" s="297"/>
      <c r="W25" s="343"/>
      <c r="X25" s="480">
        <f t="shared" si="12"/>
        <v>47580</v>
      </c>
      <c r="Y25" s="69"/>
      <c r="Z25" s="69"/>
    </row>
    <row r="26" spans="1:26" ht="13.5" customHeight="1">
      <c r="A26" s="114">
        <f t="shared" si="10"/>
        <v>2024049</v>
      </c>
      <c r="B26" s="74"/>
      <c r="C26" s="642"/>
      <c r="D26" s="645"/>
      <c r="E26" s="645"/>
      <c r="F26" s="645"/>
      <c r="G26" s="673"/>
      <c r="H26" s="648"/>
      <c r="I26" s="648"/>
      <c r="J26" s="629"/>
      <c r="K26" s="157" t="s">
        <v>31</v>
      </c>
      <c r="L26" s="343"/>
      <c r="M26" s="343">
        <v>1302</v>
      </c>
      <c r="N26" s="343">
        <v>1080</v>
      </c>
      <c r="O26" s="297"/>
      <c r="P26" s="297"/>
      <c r="Q26" s="297"/>
      <c r="R26" s="297"/>
      <c r="S26" s="297"/>
      <c r="T26" s="297"/>
      <c r="U26" s="297"/>
      <c r="V26" s="297"/>
      <c r="W26" s="343"/>
      <c r="X26" s="480">
        <f t="shared" si="12"/>
        <v>2382</v>
      </c>
      <c r="Y26" s="69"/>
      <c r="Z26" s="69"/>
    </row>
    <row r="27" spans="1:26" ht="13.5" customHeight="1">
      <c r="A27" s="114">
        <f t="shared" si="10"/>
        <v>2024049</v>
      </c>
      <c r="B27" s="74"/>
      <c r="C27" s="642"/>
      <c r="D27" s="645"/>
      <c r="E27" s="645"/>
      <c r="F27" s="645"/>
      <c r="G27" s="673"/>
      <c r="H27" s="648"/>
      <c r="I27" s="648"/>
      <c r="J27" s="629"/>
      <c r="K27" s="157" t="s">
        <v>32</v>
      </c>
      <c r="L27" s="343"/>
      <c r="M27" s="343">
        <v>1432</v>
      </c>
      <c r="N27" s="343">
        <v>1188</v>
      </c>
      <c r="O27" s="297"/>
      <c r="P27" s="297"/>
      <c r="Q27" s="297"/>
      <c r="R27" s="297"/>
      <c r="S27" s="297"/>
      <c r="T27" s="297"/>
      <c r="U27" s="297"/>
      <c r="V27" s="297"/>
      <c r="W27" s="343"/>
      <c r="X27" s="480">
        <f t="shared" si="12"/>
        <v>2620</v>
      </c>
      <c r="Y27" s="69"/>
      <c r="Z27" s="69"/>
    </row>
    <row r="28" spans="1:26" ht="14.25" customHeight="1">
      <c r="A28" s="114">
        <f t="shared" si="10"/>
        <v>2024049</v>
      </c>
      <c r="B28" s="74"/>
      <c r="C28" s="654"/>
      <c r="D28" s="655"/>
      <c r="E28" s="655"/>
      <c r="F28" s="655"/>
      <c r="G28" s="674"/>
      <c r="H28" s="652"/>
      <c r="I28" s="652"/>
      <c r="J28" s="630"/>
      <c r="K28" s="158" t="s">
        <v>33</v>
      </c>
      <c r="L28" s="379">
        <f t="shared" ref="L28:X28" si="13">L17-L20</f>
        <v>0</v>
      </c>
      <c r="M28" s="331">
        <f t="shared" si="13"/>
        <v>-8039</v>
      </c>
      <c r="N28" s="331">
        <f t="shared" si="13"/>
        <v>56478</v>
      </c>
      <c r="O28" s="405">
        <f t="shared" si="13"/>
        <v>0</v>
      </c>
      <c r="P28" s="405">
        <f t="shared" si="13"/>
        <v>0</v>
      </c>
      <c r="Q28" s="405">
        <f t="shared" si="13"/>
        <v>0</v>
      </c>
      <c r="R28" s="405">
        <f t="shared" si="13"/>
        <v>0</v>
      </c>
      <c r="S28" s="405">
        <f t="shared" si="13"/>
        <v>0</v>
      </c>
      <c r="T28" s="405">
        <f t="shared" si="13"/>
        <v>0</v>
      </c>
      <c r="U28" s="405">
        <f t="shared" si="13"/>
        <v>0</v>
      </c>
      <c r="V28" s="405">
        <f t="shared" si="13"/>
        <v>0</v>
      </c>
      <c r="W28" s="484">
        <f t="shared" si="13"/>
        <v>0</v>
      </c>
      <c r="X28" s="485">
        <f t="shared" si="13"/>
        <v>48439</v>
      </c>
      <c r="Z28" s="69"/>
    </row>
    <row r="29" spans="1:26" ht="12.75" customHeight="1">
      <c r="A29" s="243">
        <v>2023013</v>
      </c>
      <c r="C29" s="641">
        <f>C17+1</f>
        <v>3</v>
      </c>
      <c r="D29" s="644" t="s">
        <v>59</v>
      </c>
      <c r="E29" s="644"/>
      <c r="F29" s="644"/>
      <c r="G29" s="672" t="s">
        <v>150</v>
      </c>
      <c r="H29" s="647"/>
      <c r="I29" s="647"/>
      <c r="J29" s="628" t="s">
        <v>55</v>
      </c>
      <c r="K29" s="180" t="s">
        <v>23</v>
      </c>
      <c r="L29" s="378">
        <f t="shared" ref="L29:W29" si="14">L30+L31</f>
        <v>0</v>
      </c>
      <c r="M29" s="406">
        <f t="shared" si="14"/>
        <v>0</v>
      </c>
      <c r="N29" s="406">
        <f t="shared" si="14"/>
        <v>0</v>
      </c>
      <c r="O29" s="406">
        <f t="shared" si="14"/>
        <v>650000</v>
      </c>
      <c r="P29" s="406">
        <f t="shared" si="14"/>
        <v>654060</v>
      </c>
      <c r="Q29" s="406">
        <f t="shared" si="14"/>
        <v>650000</v>
      </c>
      <c r="R29" s="406">
        <f t="shared" si="14"/>
        <v>719020</v>
      </c>
      <c r="S29" s="406">
        <f t="shared" si="14"/>
        <v>650000</v>
      </c>
      <c r="T29" s="406">
        <f t="shared" si="14"/>
        <v>650000</v>
      </c>
      <c r="U29" s="406">
        <f t="shared" si="14"/>
        <v>650000</v>
      </c>
      <c r="V29" s="406">
        <f t="shared" si="14"/>
        <v>650000</v>
      </c>
      <c r="W29" s="94">
        <f t="shared" si="14"/>
        <v>650000</v>
      </c>
      <c r="X29" s="122">
        <f>SUM(L29:W29)</f>
        <v>5923080</v>
      </c>
      <c r="Z29" s="69"/>
    </row>
    <row r="30" spans="1:26" ht="13.5" customHeight="1">
      <c r="A30" s="114">
        <f t="shared" si="10"/>
        <v>2023013</v>
      </c>
      <c r="B30" s="74">
        <f t="shared" ref="B30:B40" si="15">+B29</f>
        <v>0</v>
      </c>
      <c r="C30" s="642"/>
      <c r="D30" s="645"/>
      <c r="E30" s="645"/>
      <c r="F30" s="645"/>
      <c r="G30" s="673"/>
      <c r="H30" s="648"/>
      <c r="I30" s="648"/>
      <c r="J30" s="629"/>
      <c r="K30" s="155" t="s">
        <v>24</v>
      </c>
      <c r="L30" s="354"/>
      <c r="M30" s="297"/>
      <c r="N30" s="297"/>
      <c r="O30" s="297">
        <v>650000</v>
      </c>
      <c r="P30" s="297">
        <v>654060</v>
      </c>
      <c r="Q30" s="297">
        <v>650000</v>
      </c>
      <c r="R30" s="297">
        <v>719020</v>
      </c>
      <c r="S30" s="297">
        <v>650000</v>
      </c>
      <c r="T30" s="297">
        <v>650000</v>
      </c>
      <c r="U30" s="297">
        <v>650000</v>
      </c>
      <c r="V30" s="297">
        <v>650000</v>
      </c>
      <c r="W30" s="91">
        <v>650000</v>
      </c>
      <c r="X30" s="58">
        <f>SUM(L30:W30)</f>
        <v>5923080</v>
      </c>
      <c r="Y30" s="69"/>
      <c r="Z30" s="69"/>
    </row>
    <row r="31" spans="1:26" ht="13.5" customHeight="1">
      <c r="A31" s="114">
        <f t="shared" si="10"/>
        <v>2023013</v>
      </c>
      <c r="B31" s="74">
        <f t="shared" si="15"/>
        <v>0</v>
      </c>
      <c r="C31" s="642"/>
      <c r="D31" s="645"/>
      <c r="E31" s="645"/>
      <c r="F31" s="645"/>
      <c r="G31" s="673"/>
      <c r="H31" s="648"/>
      <c r="I31" s="648"/>
      <c r="J31" s="629"/>
      <c r="K31" s="155" t="s">
        <v>25</v>
      </c>
      <c r="L31" s="354"/>
      <c r="M31" s="297"/>
      <c r="N31" s="297"/>
      <c r="O31" s="297"/>
      <c r="P31" s="297"/>
      <c r="Q31" s="297"/>
      <c r="R31" s="297"/>
      <c r="S31" s="297"/>
      <c r="T31" s="297"/>
      <c r="U31" s="297"/>
      <c r="V31" s="297"/>
      <c r="W31" s="93"/>
      <c r="X31" s="58">
        <v>0</v>
      </c>
      <c r="Z31" s="69"/>
    </row>
    <row r="32" spans="1:26" ht="13.5" customHeight="1">
      <c r="A32" s="114">
        <f t="shared" si="10"/>
        <v>2023013</v>
      </c>
      <c r="B32" s="74">
        <f t="shared" si="15"/>
        <v>0</v>
      </c>
      <c r="C32" s="642"/>
      <c r="D32" s="645"/>
      <c r="E32" s="645"/>
      <c r="F32" s="645"/>
      <c r="G32" s="673"/>
      <c r="H32" s="648"/>
      <c r="I32" s="648"/>
      <c r="J32" s="629"/>
      <c r="K32" s="156" t="s">
        <v>26</v>
      </c>
      <c r="L32" s="355">
        <f t="shared" ref="L32:W32" si="16">SUM(L33:L39)</f>
        <v>0</v>
      </c>
      <c r="M32" s="411">
        <f t="shared" si="16"/>
        <v>0</v>
      </c>
      <c r="N32" s="411">
        <f t="shared" si="16"/>
        <v>0</v>
      </c>
      <c r="O32" s="411">
        <f t="shared" si="16"/>
        <v>365049</v>
      </c>
      <c r="P32" s="411">
        <f t="shared" si="16"/>
        <v>375327</v>
      </c>
      <c r="Q32" s="411">
        <f t="shared" si="16"/>
        <v>371013</v>
      </c>
      <c r="R32" s="411">
        <f t="shared" si="16"/>
        <v>415856</v>
      </c>
      <c r="S32" s="411">
        <f t="shared" si="16"/>
        <v>385362</v>
      </c>
      <c r="T32" s="411">
        <f t="shared" si="16"/>
        <v>386171</v>
      </c>
      <c r="U32" s="411">
        <f t="shared" si="16"/>
        <v>385362</v>
      </c>
      <c r="V32" s="411">
        <f t="shared" si="16"/>
        <v>386308</v>
      </c>
      <c r="W32" s="108">
        <f t="shared" si="16"/>
        <v>364649</v>
      </c>
      <c r="X32" s="59">
        <f t="shared" ref="X32:X39" si="17">SUM(L32:W32)</f>
        <v>3435097</v>
      </c>
      <c r="Z32" s="69"/>
    </row>
    <row r="33" spans="1:26" ht="13.5" customHeight="1">
      <c r="A33" s="114">
        <f t="shared" si="10"/>
        <v>2023013</v>
      </c>
      <c r="B33" s="74">
        <f t="shared" si="15"/>
        <v>0</v>
      </c>
      <c r="C33" s="642"/>
      <c r="D33" s="645"/>
      <c r="E33" s="645"/>
      <c r="F33" s="645"/>
      <c r="G33" s="673"/>
      <c r="H33" s="648"/>
      <c r="I33" s="648"/>
      <c r="J33" s="629"/>
      <c r="K33" s="157" t="s">
        <v>27</v>
      </c>
      <c r="L33" s="343"/>
      <c r="M33" s="297"/>
      <c r="N33" s="297"/>
      <c r="O33" s="297">
        <v>300400</v>
      </c>
      <c r="P33" s="297">
        <v>305069</v>
      </c>
      <c r="Q33" s="297">
        <v>300800</v>
      </c>
      <c r="R33" s="297">
        <v>345177</v>
      </c>
      <c r="S33" s="297">
        <v>315000</v>
      </c>
      <c r="T33" s="297">
        <v>315800</v>
      </c>
      <c r="U33" s="297">
        <v>315000</v>
      </c>
      <c r="V33" s="297">
        <v>315400</v>
      </c>
      <c r="W33" s="91">
        <v>300000</v>
      </c>
      <c r="X33" s="58">
        <f t="shared" si="17"/>
        <v>2812646</v>
      </c>
      <c r="Y33" s="69"/>
      <c r="Z33" s="69"/>
    </row>
    <row r="34" spans="1:26" ht="13.5" customHeight="1">
      <c r="A34" s="114">
        <f t="shared" si="10"/>
        <v>2023013</v>
      </c>
      <c r="B34" s="74">
        <f t="shared" si="15"/>
        <v>0</v>
      </c>
      <c r="C34" s="642"/>
      <c r="D34" s="645"/>
      <c r="E34" s="645"/>
      <c r="F34" s="645"/>
      <c r="G34" s="673"/>
      <c r="H34" s="648"/>
      <c r="I34" s="648"/>
      <c r="J34" s="629"/>
      <c r="K34" s="174" t="s">
        <v>34</v>
      </c>
      <c r="L34" s="343"/>
      <c r="M34" s="297"/>
      <c r="N34" s="297"/>
      <c r="O34" s="297"/>
      <c r="P34" s="297"/>
      <c r="Q34" s="297"/>
      <c r="R34" s="297"/>
      <c r="S34" s="297"/>
      <c r="T34" s="297"/>
      <c r="U34" s="297"/>
      <c r="V34" s="297"/>
      <c r="W34" s="91"/>
      <c r="X34" s="58">
        <f t="shared" si="17"/>
        <v>0</v>
      </c>
      <c r="Y34" s="69"/>
      <c r="Z34" s="69"/>
    </row>
    <row r="35" spans="1:26" ht="13.5" customHeight="1">
      <c r="A35" s="114">
        <f t="shared" si="10"/>
        <v>2023013</v>
      </c>
      <c r="B35" s="74">
        <f t="shared" si="15"/>
        <v>0</v>
      </c>
      <c r="C35" s="642"/>
      <c r="D35" s="645"/>
      <c r="E35" s="645"/>
      <c r="F35" s="645"/>
      <c r="G35" s="673"/>
      <c r="H35" s="648"/>
      <c r="I35" s="648"/>
      <c r="J35" s="629"/>
      <c r="K35" s="157" t="s">
        <v>28</v>
      </c>
      <c r="L35" s="343"/>
      <c r="M35" s="297"/>
      <c r="N35" s="297"/>
      <c r="O35" s="297">
        <v>22340</v>
      </c>
      <c r="P35" s="297">
        <v>22340</v>
      </c>
      <c r="Q35" s="297">
        <v>22340</v>
      </c>
      <c r="R35" s="297">
        <v>22340</v>
      </c>
      <c r="S35" s="297">
        <v>22340</v>
      </c>
      <c r="T35" s="297">
        <v>22340</v>
      </c>
      <c r="U35" s="297">
        <v>22340</v>
      </c>
      <c r="V35" s="297">
        <v>22696</v>
      </c>
      <c r="W35" s="91">
        <v>22340</v>
      </c>
      <c r="X35" s="58">
        <f t="shared" si="17"/>
        <v>201416</v>
      </c>
      <c r="Y35" s="69"/>
      <c r="Z35" s="69"/>
    </row>
    <row r="36" spans="1:26" ht="13.5" customHeight="1">
      <c r="A36" s="114">
        <f t="shared" si="10"/>
        <v>2023013</v>
      </c>
      <c r="B36" s="74">
        <f t="shared" si="15"/>
        <v>0</v>
      </c>
      <c r="C36" s="642"/>
      <c r="D36" s="645"/>
      <c r="E36" s="645"/>
      <c r="F36" s="645"/>
      <c r="G36" s="673"/>
      <c r="H36" s="648"/>
      <c r="I36" s="648"/>
      <c r="J36" s="629"/>
      <c r="K36" s="157" t="s">
        <v>29</v>
      </c>
      <c r="L36" s="343"/>
      <c r="M36" s="297"/>
      <c r="N36" s="297"/>
      <c r="O36" s="297">
        <v>13300</v>
      </c>
      <c r="P36" s="297">
        <v>15200</v>
      </c>
      <c r="Q36" s="297">
        <v>15200</v>
      </c>
      <c r="R36" s="297">
        <v>15200</v>
      </c>
      <c r="S36" s="297">
        <v>15200</v>
      </c>
      <c r="T36" s="297">
        <v>15200</v>
      </c>
      <c r="U36" s="297">
        <v>15200</v>
      </c>
      <c r="V36" s="297">
        <v>15200</v>
      </c>
      <c r="W36" s="91">
        <v>13300</v>
      </c>
      <c r="X36" s="58">
        <f t="shared" si="17"/>
        <v>133000</v>
      </c>
      <c r="Y36" s="69"/>
      <c r="Z36" s="69"/>
    </row>
    <row r="37" spans="1:26" ht="13.5" customHeight="1">
      <c r="A37" s="114">
        <f t="shared" si="10"/>
        <v>2023013</v>
      </c>
      <c r="B37" s="74">
        <f t="shared" si="15"/>
        <v>0</v>
      </c>
      <c r="C37" s="642"/>
      <c r="D37" s="645"/>
      <c r="E37" s="645"/>
      <c r="F37" s="645"/>
      <c r="G37" s="673"/>
      <c r="H37" s="648"/>
      <c r="I37" s="648"/>
      <c r="J37" s="629"/>
      <c r="K37" s="157" t="s">
        <v>30</v>
      </c>
      <c r="L37" s="343"/>
      <c r="M37" s="297"/>
      <c r="N37" s="297"/>
      <c r="O37" s="297">
        <v>25620</v>
      </c>
      <c r="P37" s="297">
        <v>29280</v>
      </c>
      <c r="Q37" s="297">
        <v>29280</v>
      </c>
      <c r="R37" s="297">
        <v>29280</v>
      </c>
      <c r="S37" s="297">
        <v>29280</v>
      </c>
      <c r="T37" s="297">
        <v>29280</v>
      </c>
      <c r="U37" s="297">
        <v>29280</v>
      </c>
      <c r="V37" s="297">
        <v>29280</v>
      </c>
      <c r="W37" s="91">
        <v>25620</v>
      </c>
      <c r="X37" s="58">
        <f t="shared" si="17"/>
        <v>256200</v>
      </c>
      <c r="Y37" s="69"/>
      <c r="Z37" s="69"/>
    </row>
    <row r="38" spans="1:26" ht="13.5" customHeight="1">
      <c r="A38" s="114">
        <f t="shared" si="10"/>
        <v>2023013</v>
      </c>
      <c r="B38" s="74">
        <f t="shared" si="15"/>
        <v>0</v>
      </c>
      <c r="C38" s="642"/>
      <c r="D38" s="645"/>
      <c r="E38" s="645"/>
      <c r="F38" s="645"/>
      <c r="G38" s="673"/>
      <c r="H38" s="648"/>
      <c r="I38" s="648"/>
      <c r="J38" s="629"/>
      <c r="K38" s="157" t="s">
        <v>31</v>
      </c>
      <c r="L38" s="343"/>
      <c r="M38" s="297"/>
      <c r="N38" s="297"/>
      <c r="O38" s="297">
        <v>1614</v>
      </c>
      <c r="P38" s="297">
        <v>1637</v>
      </c>
      <c r="Q38" s="297">
        <v>1616</v>
      </c>
      <c r="R38" s="297">
        <v>1838</v>
      </c>
      <c r="S38" s="297">
        <v>1687</v>
      </c>
      <c r="T38" s="297">
        <v>1691</v>
      </c>
      <c r="U38" s="297">
        <v>1687</v>
      </c>
      <c r="V38" s="297">
        <v>1777</v>
      </c>
      <c r="W38" s="91">
        <v>1614</v>
      </c>
      <c r="X38" s="58">
        <f t="shared" si="17"/>
        <v>15161</v>
      </c>
      <c r="Y38" s="69"/>
      <c r="Z38" s="69"/>
    </row>
    <row r="39" spans="1:26" ht="13.5" customHeight="1">
      <c r="A39" s="114">
        <f t="shared" si="10"/>
        <v>2023013</v>
      </c>
      <c r="B39" s="74">
        <f t="shared" si="15"/>
        <v>0</v>
      </c>
      <c r="C39" s="642"/>
      <c r="D39" s="645"/>
      <c r="E39" s="645"/>
      <c r="F39" s="645"/>
      <c r="G39" s="673"/>
      <c r="H39" s="648"/>
      <c r="I39" s="648"/>
      <c r="J39" s="629"/>
      <c r="K39" s="157" t="s">
        <v>32</v>
      </c>
      <c r="L39" s="343"/>
      <c r="M39" s="297"/>
      <c r="N39" s="297"/>
      <c r="O39" s="297">
        <v>1775</v>
      </c>
      <c r="P39" s="297">
        <v>1801</v>
      </c>
      <c r="Q39" s="297">
        <v>1777</v>
      </c>
      <c r="R39" s="297">
        <v>2021</v>
      </c>
      <c r="S39" s="297">
        <v>1855</v>
      </c>
      <c r="T39" s="297">
        <v>1860</v>
      </c>
      <c r="U39" s="297">
        <v>1855</v>
      </c>
      <c r="V39" s="297">
        <v>1955</v>
      </c>
      <c r="W39" s="91">
        <v>1775</v>
      </c>
      <c r="X39" s="58">
        <f t="shared" si="17"/>
        <v>16674</v>
      </c>
      <c r="Y39" s="69"/>
      <c r="Z39" s="69"/>
    </row>
    <row r="40" spans="1:26" ht="14.25" customHeight="1" thickBot="1">
      <c r="A40" s="114">
        <f t="shared" si="10"/>
        <v>2023013</v>
      </c>
      <c r="B40" s="74">
        <f t="shared" si="15"/>
        <v>0</v>
      </c>
      <c r="C40" s="643"/>
      <c r="D40" s="646"/>
      <c r="E40" s="646"/>
      <c r="F40" s="646"/>
      <c r="G40" s="675"/>
      <c r="H40" s="649"/>
      <c r="I40" s="649"/>
      <c r="J40" s="631"/>
      <c r="K40" s="244" t="s">
        <v>33</v>
      </c>
      <c r="L40" s="380">
        <f t="shared" ref="L40:X40" si="18">L29-L32</f>
        <v>0</v>
      </c>
      <c r="M40" s="407">
        <f t="shared" si="18"/>
        <v>0</v>
      </c>
      <c r="N40" s="407">
        <f t="shared" si="18"/>
        <v>0</v>
      </c>
      <c r="O40" s="407">
        <f t="shared" si="18"/>
        <v>284951</v>
      </c>
      <c r="P40" s="407">
        <f t="shared" si="18"/>
        <v>278733</v>
      </c>
      <c r="Q40" s="407">
        <f t="shared" si="18"/>
        <v>278987</v>
      </c>
      <c r="R40" s="407">
        <f t="shared" si="18"/>
        <v>303164</v>
      </c>
      <c r="S40" s="407">
        <f t="shared" si="18"/>
        <v>264638</v>
      </c>
      <c r="T40" s="407">
        <f t="shared" si="18"/>
        <v>263829</v>
      </c>
      <c r="U40" s="407">
        <f t="shared" si="18"/>
        <v>264638</v>
      </c>
      <c r="V40" s="407">
        <f t="shared" si="18"/>
        <v>263692</v>
      </c>
      <c r="W40" s="253">
        <f t="shared" si="18"/>
        <v>285351</v>
      </c>
      <c r="X40" s="78">
        <f t="shared" si="18"/>
        <v>2487983</v>
      </c>
      <c r="Z40" s="69"/>
    </row>
    <row r="41" spans="1:26" s="1" customFormat="1" ht="11.9" customHeight="1" thickTop="1">
      <c r="A41" s="112"/>
      <c r="B41" s="72"/>
      <c r="C41" s="683" t="str">
        <f>C2</f>
        <v>アカウントサービス第二本部</v>
      </c>
      <c r="D41" s="684"/>
      <c r="E41" s="684"/>
      <c r="F41" s="684"/>
      <c r="G41" s="684"/>
      <c r="H41" s="684"/>
      <c r="I41" s="684"/>
      <c r="J41" s="685"/>
      <c r="K41" s="143" t="s">
        <v>20</v>
      </c>
      <c r="L41" s="382">
        <f>L5+L17+L29</f>
        <v>760000</v>
      </c>
      <c r="M41" s="459">
        <f t="shared" ref="M41:W41" si="19">M5+M17+M29</f>
        <v>1051235</v>
      </c>
      <c r="N41" s="459">
        <f t="shared" si="19"/>
        <v>1070905</v>
      </c>
      <c r="O41" s="459">
        <f t="shared" si="19"/>
        <v>1450000</v>
      </c>
      <c r="P41" s="459">
        <f t="shared" si="19"/>
        <v>1454060</v>
      </c>
      <c r="Q41" s="434">
        <f t="shared" si="19"/>
        <v>1450000</v>
      </c>
      <c r="R41" s="434">
        <f t="shared" si="19"/>
        <v>1614020</v>
      </c>
      <c r="S41" s="434">
        <f t="shared" si="19"/>
        <v>1450000</v>
      </c>
      <c r="T41" s="434">
        <f t="shared" si="19"/>
        <v>1450000</v>
      </c>
      <c r="U41" s="434">
        <f t="shared" si="19"/>
        <v>1450000</v>
      </c>
      <c r="V41" s="434">
        <f t="shared" si="19"/>
        <v>1375000</v>
      </c>
      <c r="W41" s="266">
        <f t="shared" si="19"/>
        <v>1410000</v>
      </c>
      <c r="X41" s="77">
        <f>SUM(L41:W41)</f>
        <v>15985220</v>
      </c>
      <c r="Y41" s="2"/>
      <c r="Z41" s="69"/>
    </row>
    <row r="42" spans="1:26" s="1" customFormat="1" ht="11.9" customHeight="1">
      <c r="A42" s="112"/>
      <c r="B42" s="72"/>
      <c r="C42" s="683"/>
      <c r="D42" s="684"/>
      <c r="E42" s="684"/>
      <c r="F42" s="684"/>
      <c r="G42" s="684"/>
      <c r="H42" s="684"/>
      <c r="I42" s="684"/>
      <c r="J42" s="685"/>
      <c r="K42" s="144" t="s">
        <v>21</v>
      </c>
      <c r="L42" s="383">
        <f>L8+L20+L32</f>
        <v>612134</v>
      </c>
      <c r="M42" s="460">
        <f t="shared" ref="M42:W42" si="20">M8+M20+M32</f>
        <v>910091</v>
      </c>
      <c r="N42" s="460">
        <f t="shared" si="20"/>
        <v>865244</v>
      </c>
      <c r="O42" s="460">
        <f t="shared" si="20"/>
        <v>1017483</v>
      </c>
      <c r="P42" s="460">
        <f t="shared" si="20"/>
        <v>1013218</v>
      </c>
      <c r="Q42" s="435">
        <f t="shared" si="20"/>
        <v>999652</v>
      </c>
      <c r="R42" s="435">
        <f t="shared" si="20"/>
        <v>1142236</v>
      </c>
      <c r="S42" s="435">
        <f t="shared" si="20"/>
        <v>1020062</v>
      </c>
      <c r="T42" s="435">
        <f t="shared" si="20"/>
        <v>1024420</v>
      </c>
      <c r="U42" s="435">
        <f t="shared" si="20"/>
        <v>1025826</v>
      </c>
      <c r="V42" s="435">
        <f t="shared" si="20"/>
        <v>1035417</v>
      </c>
      <c r="W42" s="276">
        <f t="shared" si="20"/>
        <v>976783</v>
      </c>
      <c r="X42" s="44">
        <f>SUM(L42:W42)</f>
        <v>11642566</v>
      </c>
      <c r="Y42" s="2"/>
      <c r="Z42" s="69"/>
    </row>
    <row r="43" spans="1:26" s="1" customFormat="1" ht="11.9" customHeight="1">
      <c r="A43" s="112"/>
      <c r="B43" s="72"/>
      <c r="C43" s="686"/>
      <c r="D43" s="687"/>
      <c r="E43" s="687"/>
      <c r="F43" s="687"/>
      <c r="G43" s="687"/>
      <c r="H43" s="687"/>
      <c r="I43" s="687"/>
      <c r="J43" s="688"/>
      <c r="K43" s="153" t="s">
        <v>22</v>
      </c>
      <c r="L43" s="341">
        <f>L41-L42</f>
        <v>147866</v>
      </c>
      <c r="M43" s="408">
        <f t="shared" ref="M43:W43" si="21">M41-M42</f>
        <v>141144</v>
      </c>
      <c r="N43" s="408">
        <f t="shared" si="21"/>
        <v>205661</v>
      </c>
      <c r="O43" s="408">
        <f t="shared" si="21"/>
        <v>432517</v>
      </c>
      <c r="P43" s="408">
        <f t="shared" si="21"/>
        <v>440842</v>
      </c>
      <c r="Q43" s="408">
        <f t="shared" si="21"/>
        <v>450348</v>
      </c>
      <c r="R43" s="408">
        <f t="shared" si="21"/>
        <v>471784</v>
      </c>
      <c r="S43" s="408">
        <f t="shared" si="21"/>
        <v>429938</v>
      </c>
      <c r="T43" s="408">
        <f t="shared" si="21"/>
        <v>425580</v>
      </c>
      <c r="U43" s="408">
        <f t="shared" si="21"/>
        <v>424174</v>
      </c>
      <c r="V43" s="408">
        <f t="shared" si="21"/>
        <v>339583</v>
      </c>
      <c r="W43" s="80">
        <f t="shared" si="21"/>
        <v>433217</v>
      </c>
      <c r="X43" s="45">
        <f>SUM(L43:W43)</f>
        <v>4342654</v>
      </c>
      <c r="Z43" s="69"/>
    </row>
    <row r="44" spans="1:26" ht="11.9" customHeight="1">
      <c r="F44" s="127"/>
      <c r="K44" s="128" t="s">
        <v>74</v>
      </c>
      <c r="L44" s="689">
        <f>SUM(L41:N41)</f>
        <v>2882140</v>
      </c>
      <c r="M44" s="690"/>
      <c r="N44" s="691"/>
      <c r="O44" s="662">
        <f>SUM(O41:Q41)</f>
        <v>4354060</v>
      </c>
      <c r="P44" s="690"/>
      <c r="Q44" s="691"/>
      <c r="R44" s="662">
        <f>SUM(R41:T41)</f>
        <v>4514020</v>
      </c>
      <c r="S44" s="690"/>
      <c r="T44" s="691"/>
      <c r="U44" s="662">
        <f t="shared" ref="U44:U45" si="22">SUM(U41:W41)</f>
        <v>4235000</v>
      </c>
      <c r="V44" s="690"/>
      <c r="W44" s="692"/>
      <c r="X44" s="34">
        <f>X41</f>
        <v>15985220</v>
      </c>
      <c r="Z44" s="69"/>
    </row>
    <row r="45" spans="1:26" ht="11.9" customHeight="1">
      <c r="F45" s="127"/>
      <c r="K45" s="130" t="s">
        <v>77</v>
      </c>
      <c r="L45" s="693">
        <f>SUM(L42:N42)</f>
        <v>2387469</v>
      </c>
      <c r="M45" s="694"/>
      <c r="N45" s="695"/>
      <c r="O45" s="664">
        <f t="shared" ref="O45" si="23">SUM(O42:Q42)</f>
        <v>3030353</v>
      </c>
      <c r="P45" s="694"/>
      <c r="Q45" s="695"/>
      <c r="R45" s="664">
        <f t="shared" ref="R45" si="24">SUM(R42:T42)</f>
        <v>3186718</v>
      </c>
      <c r="S45" s="694"/>
      <c r="T45" s="695"/>
      <c r="U45" s="664">
        <f t="shared" si="22"/>
        <v>3038026</v>
      </c>
      <c r="V45" s="694"/>
      <c r="W45" s="696"/>
      <c r="X45" s="35">
        <f t="shared" ref="X45" si="25">X42</f>
        <v>11642566</v>
      </c>
      <c r="Z45" s="69"/>
    </row>
    <row r="46" spans="1:26" ht="11.9" customHeight="1">
      <c r="F46" s="127"/>
      <c r="K46" s="6" t="s">
        <v>75</v>
      </c>
      <c r="L46" s="679">
        <f>SUM(L43:N43)</f>
        <v>494671</v>
      </c>
      <c r="M46" s="680"/>
      <c r="N46" s="681"/>
      <c r="O46" s="663">
        <f>SUM(O43:Q43)</f>
        <v>1323707</v>
      </c>
      <c r="P46" s="680"/>
      <c r="Q46" s="681"/>
      <c r="R46" s="663">
        <f>SUM(R43:T43)</f>
        <v>1327302</v>
      </c>
      <c r="S46" s="680"/>
      <c r="T46" s="681"/>
      <c r="U46" s="663">
        <f>SUM(U43:W43)</f>
        <v>1196974</v>
      </c>
      <c r="V46" s="680"/>
      <c r="W46" s="682"/>
      <c r="X46" s="36">
        <f>X43</f>
        <v>4342654</v>
      </c>
      <c r="Z46" s="69"/>
    </row>
    <row r="47" spans="1:26" ht="11.9" customHeight="1">
      <c r="Z47" s="69"/>
    </row>
    <row r="48" spans="1:26" ht="11.9" customHeight="1">
      <c r="Z48" s="69"/>
    </row>
    <row r="49" spans="26:26" ht="11.9" customHeight="1">
      <c r="Z49" s="69"/>
    </row>
    <row r="50" spans="26:26" ht="11.9" customHeight="1">
      <c r="Z50" s="69"/>
    </row>
    <row r="51" spans="26:26" ht="11.9" customHeight="1">
      <c r="Z51" s="69"/>
    </row>
    <row r="52" spans="26:26" ht="11.9" customHeight="1">
      <c r="Z52" s="69"/>
    </row>
    <row r="53" spans="26:26" ht="11.9" customHeight="1">
      <c r="Z53" s="69"/>
    </row>
    <row r="54" spans="26:26" ht="11.9" customHeight="1">
      <c r="Z54" s="69"/>
    </row>
    <row r="55" spans="26:26" ht="11.9" customHeight="1">
      <c r="Z55" s="69"/>
    </row>
    <row r="56" spans="26:26" ht="11.9" customHeight="1">
      <c r="Z56" s="69"/>
    </row>
    <row r="57" spans="26:26" ht="11.9" customHeight="1">
      <c r="Z57" s="69"/>
    </row>
    <row r="58" spans="26:26" ht="11.9" customHeight="1">
      <c r="Z58" s="69"/>
    </row>
    <row r="59" spans="26:26" ht="11.9" customHeight="1">
      <c r="Z59" s="69"/>
    </row>
    <row r="60" spans="26:26" ht="11.9" customHeight="1">
      <c r="Z60" s="69"/>
    </row>
    <row r="61" spans="26:26" ht="11.9" customHeight="1">
      <c r="Z61" s="69"/>
    </row>
    <row r="62" spans="26:26" ht="11.9" customHeight="1">
      <c r="Z62" s="69"/>
    </row>
    <row r="63" spans="26:26" ht="11.9" customHeight="1">
      <c r="Z63" s="69"/>
    </row>
    <row r="64" spans="26:26" ht="11.9" customHeight="1">
      <c r="Z64" s="69"/>
    </row>
    <row r="65" spans="26:26" ht="11.9" customHeight="1">
      <c r="Z65" s="69"/>
    </row>
    <row r="66" spans="26:26" ht="11.9" customHeight="1">
      <c r="Z66" s="69"/>
    </row>
    <row r="67" spans="26:26" ht="11.9" customHeight="1">
      <c r="Z67" s="69"/>
    </row>
    <row r="68" spans="26:26" ht="11.9" customHeight="1">
      <c r="Z68" s="69"/>
    </row>
    <row r="69" spans="26:26" ht="11.9" customHeight="1">
      <c r="Z69" s="69"/>
    </row>
    <row r="70" spans="26:26" ht="11.9" customHeight="1">
      <c r="Z70" s="69"/>
    </row>
    <row r="71" spans="26:26" ht="11.9" customHeight="1">
      <c r="Z71" s="69"/>
    </row>
    <row r="72" spans="26:26" ht="11.9" customHeight="1">
      <c r="Z72" s="69"/>
    </row>
    <row r="73" spans="26:26" ht="11.9" customHeight="1">
      <c r="Z73" s="69"/>
    </row>
    <row r="74" spans="26:26" ht="11.9" customHeight="1">
      <c r="Z74" s="69"/>
    </row>
    <row r="75" spans="26:26" ht="11.9" customHeight="1">
      <c r="Z75" s="69"/>
    </row>
    <row r="76" spans="26:26" ht="11.9" customHeight="1">
      <c r="Z76" s="69"/>
    </row>
    <row r="77" spans="26:26" ht="11.9" customHeight="1">
      <c r="Z77" s="69"/>
    </row>
    <row r="78" spans="26:26" ht="11.9" customHeight="1">
      <c r="Z78" s="69"/>
    </row>
    <row r="79" spans="26:26" ht="11.9" customHeight="1">
      <c r="Z79" s="69"/>
    </row>
    <row r="80" spans="26:26" ht="11.9" customHeight="1">
      <c r="Z80" s="69"/>
    </row>
    <row r="81" spans="26:26" ht="11.9" customHeight="1">
      <c r="Z81" s="69"/>
    </row>
    <row r="82" spans="26:26" ht="11.9" customHeight="1">
      <c r="Z82" s="69"/>
    </row>
    <row r="83" spans="26:26" ht="11.9" customHeight="1">
      <c r="Z83" s="69"/>
    </row>
    <row r="84" spans="26:26" ht="11.9" customHeight="1">
      <c r="Z84" s="69"/>
    </row>
    <row r="85" spans="26:26" ht="11.9" customHeight="1">
      <c r="Z85" s="69"/>
    </row>
    <row r="86" spans="26:26" ht="11.9" customHeight="1">
      <c r="Z86" s="69"/>
    </row>
    <row r="87" spans="26:26" ht="11.9" customHeight="1">
      <c r="Z87" s="69"/>
    </row>
    <row r="88" spans="26:26" ht="11.9" customHeight="1">
      <c r="Z88" s="69"/>
    </row>
    <row r="89" spans="26:26" ht="11.9" customHeight="1">
      <c r="Z89" s="69"/>
    </row>
    <row r="90" spans="26:26" ht="11.9" customHeight="1">
      <c r="Z90" s="69"/>
    </row>
    <row r="91" spans="26:26" ht="11.9" customHeight="1">
      <c r="Z91" s="69"/>
    </row>
    <row r="92" spans="26:26" ht="11.9" customHeight="1">
      <c r="Z92" s="69"/>
    </row>
    <row r="93" spans="26:26" ht="11.9" customHeight="1">
      <c r="Z93" s="69"/>
    </row>
    <row r="94" spans="26:26" ht="11.9" customHeight="1">
      <c r="Z94" s="69"/>
    </row>
    <row r="95" spans="26:26" ht="11.9" customHeight="1">
      <c r="Z95" s="69"/>
    </row>
    <row r="96" spans="26:26" ht="11.9" customHeight="1">
      <c r="Z96" s="69"/>
    </row>
    <row r="97" spans="26:26" ht="11.9" customHeight="1">
      <c r="Z97" s="69"/>
    </row>
    <row r="98" spans="26:26" ht="11.9" customHeight="1">
      <c r="Z98" s="69"/>
    </row>
    <row r="99" spans="26:26" ht="11.9" customHeight="1">
      <c r="Z99" s="69"/>
    </row>
    <row r="100" spans="26:26" ht="11.9" customHeight="1">
      <c r="Z100" s="69"/>
    </row>
    <row r="101" spans="26:26" ht="11.9" customHeight="1">
      <c r="Z101" s="69"/>
    </row>
    <row r="102" spans="26:26" ht="11.9" customHeight="1">
      <c r="Z102" s="69"/>
    </row>
    <row r="103" spans="26:26" ht="11.9" customHeight="1">
      <c r="Z103" s="69"/>
    </row>
    <row r="104" spans="26:26" ht="11.9" customHeight="1">
      <c r="Z104" s="69"/>
    </row>
    <row r="105" spans="26:26" ht="11.9" customHeight="1">
      <c r="Z105" s="69"/>
    </row>
    <row r="106" spans="26:26" ht="11.9" customHeight="1">
      <c r="Z106" s="69"/>
    </row>
    <row r="107" spans="26:26" ht="11.9" customHeight="1">
      <c r="Z107" s="69"/>
    </row>
    <row r="108" spans="26:26" ht="11.9" customHeight="1">
      <c r="Z108" s="69"/>
    </row>
    <row r="109" spans="26:26" ht="11.9" customHeight="1">
      <c r="Z109" s="69"/>
    </row>
    <row r="110" spans="26:26" ht="11.9" customHeight="1">
      <c r="Z110" s="69"/>
    </row>
    <row r="111" spans="26:26" ht="11.9" customHeight="1">
      <c r="Z111" s="69"/>
    </row>
    <row r="112" spans="26:26" ht="11.9" customHeight="1">
      <c r="Z112" s="69"/>
    </row>
    <row r="113" spans="26:26">
      <c r="Z113" s="69"/>
    </row>
    <row r="114" spans="26:26">
      <c r="Z114" s="69"/>
    </row>
    <row r="115" spans="26:26">
      <c r="Z115" s="69"/>
    </row>
    <row r="116" spans="26:26">
      <c r="Z116" s="69"/>
    </row>
    <row r="117" spans="26:26">
      <c r="Z117" s="69"/>
    </row>
    <row r="118" spans="26:26">
      <c r="Z118" s="69"/>
    </row>
    <row r="119" spans="26:26">
      <c r="Z119" s="69"/>
    </row>
    <row r="120" spans="26:26">
      <c r="Z120" s="69"/>
    </row>
    <row r="121" spans="26:26">
      <c r="Z121" s="69"/>
    </row>
    <row r="122" spans="26:26">
      <c r="Z122" s="69"/>
    </row>
    <row r="123" spans="26:26">
      <c r="Z123" s="69"/>
    </row>
    <row r="124" spans="26:26">
      <c r="Z124" s="69"/>
    </row>
    <row r="125" spans="26:26">
      <c r="Z125" s="69"/>
    </row>
    <row r="126" spans="26:26">
      <c r="Z126" s="69"/>
    </row>
    <row r="127" spans="26:26">
      <c r="Z127" s="69"/>
    </row>
    <row r="128" spans="26:26">
      <c r="Z128" s="69"/>
    </row>
    <row r="129" spans="26:26">
      <c r="Z129" s="69"/>
    </row>
    <row r="130" spans="26:26">
      <c r="Z130" s="69"/>
    </row>
    <row r="131" spans="26:26">
      <c r="Z131" s="69"/>
    </row>
    <row r="132" spans="26:26">
      <c r="Z132" s="69"/>
    </row>
    <row r="133" spans="26:26">
      <c r="Z133" s="69"/>
    </row>
    <row r="134" spans="26:26">
      <c r="Z134" s="69"/>
    </row>
    <row r="135" spans="26:26">
      <c r="Z135" s="69"/>
    </row>
    <row r="136" spans="26:26">
      <c r="Z136" s="69"/>
    </row>
    <row r="137" spans="26:26">
      <c r="Z137" s="69"/>
    </row>
    <row r="138" spans="26:26">
      <c r="Z138" s="69"/>
    </row>
    <row r="139" spans="26:26">
      <c r="Z139" s="69"/>
    </row>
    <row r="140" spans="26:26">
      <c r="Z140" s="69"/>
    </row>
    <row r="141" spans="26:26">
      <c r="Z141" s="69"/>
    </row>
    <row r="142" spans="26:26">
      <c r="Z142" s="69"/>
    </row>
    <row r="143" spans="26:26">
      <c r="Z143" s="69"/>
    </row>
    <row r="144" spans="26:26">
      <c r="Z144" s="69"/>
    </row>
    <row r="145" spans="26:26">
      <c r="Z145" s="69"/>
    </row>
    <row r="146" spans="26:26">
      <c r="Z146" s="69"/>
    </row>
    <row r="147" spans="26:26">
      <c r="Z147" s="69"/>
    </row>
    <row r="148" spans="26:26">
      <c r="Z148" s="69"/>
    </row>
    <row r="149" spans="26:26">
      <c r="Z149" s="69"/>
    </row>
    <row r="150" spans="26:26">
      <c r="Z150" s="69"/>
    </row>
    <row r="151" spans="26:26">
      <c r="Z151" s="69"/>
    </row>
    <row r="152" spans="26:26">
      <c r="Z152" s="69"/>
    </row>
    <row r="153" spans="26:26">
      <c r="Z153" s="69"/>
    </row>
    <row r="154" spans="26:26">
      <c r="Z154" s="69"/>
    </row>
    <row r="155" spans="26:26">
      <c r="Z155" s="69"/>
    </row>
    <row r="156" spans="26:26">
      <c r="Z156" s="69"/>
    </row>
    <row r="157" spans="26:26">
      <c r="Z157" s="69"/>
    </row>
    <row r="158" spans="26:26">
      <c r="Z158" s="69"/>
    </row>
    <row r="159" spans="26:26">
      <c r="Z159" s="69"/>
    </row>
    <row r="160" spans="26:26">
      <c r="Z160" s="69"/>
    </row>
    <row r="161" spans="26:26">
      <c r="Z161" s="69"/>
    </row>
    <row r="162" spans="26:26">
      <c r="Z162" s="69"/>
    </row>
    <row r="163" spans="26:26">
      <c r="Z163" s="69"/>
    </row>
    <row r="164" spans="26:26">
      <c r="Z164" s="69"/>
    </row>
    <row r="165" spans="26:26">
      <c r="Z165" s="69"/>
    </row>
    <row r="166" spans="26:26">
      <c r="Z166" s="69"/>
    </row>
    <row r="167" spans="26:26">
      <c r="Z167" s="69"/>
    </row>
    <row r="168" spans="26:26">
      <c r="Z168" s="69"/>
    </row>
    <row r="169" spans="26:26">
      <c r="Z169" s="69"/>
    </row>
    <row r="170" spans="26:26">
      <c r="Z170" s="69"/>
    </row>
    <row r="171" spans="26:26">
      <c r="Z171" s="69"/>
    </row>
    <row r="172" spans="26:26">
      <c r="Z172" s="69"/>
    </row>
    <row r="173" spans="26:26">
      <c r="Z173" s="69"/>
    </row>
    <row r="174" spans="26:26">
      <c r="Z174" s="69"/>
    </row>
    <row r="175" spans="26:26">
      <c r="Z175" s="69"/>
    </row>
    <row r="176" spans="26:26">
      <c r="Z176" s="69"/>
    </row>
    <row r="177" spans="26:26">
      <c r="Z177" s="69"/>
    </row>
    <row r="178" spans="26:26">
      <c r="Z178" s="69"/>
    </row>
    <row r="179" spans="26:26">
      <c r="Z179" s="69"/>
    </row>
    <row r="180" spans="26:26">
      <c r="Z180" s="69"/>
    </row>
    <row r="181" spans="26:26">
      <c r="Z181" s="69"/>
    </row>
    <row r="182" spans="26:26">
      <c r="Z182" s="69"/>
    </row>
    <row r="183" spans="26:26">
      <c r="Z183" s="69"/>
    </row>
    <row r="184" spans="26:26">
      <c r="Z184" s="69"/>
    </row>
    <row r="185" spans="26:26">
      <c r="Z185" s="69"/>
    </row>
    <row r="186" spans="26:26">
      <c r="Z186" s="69"/>
    </row>
    <row r="187" spans="26:26">
      <c r="Z187" s="69"/>
    </row>
    <row r="188" spans="26:26">
      <c r="Z188" s="69"/>
    </row>
    <row r="189" spans="26:26">
      <c r="Z189" s="69"/>
    </row>
    <row r="190" spans="26:26">
      <c r="Z190" s="69"/>
    </row>
    <row r="191" spans="26:26">
      <c r="Z191" s="69"/>
    </row>
    <row r="192" spans="26:26">
      <c r="Z192" s="69"/>
    </row>
    <row r="193" spans="26:26">
      <c r="Z193" s="69"/>
    </row>
    <row r="194" spans="26:26">
      <c r="Z194" s="69"/>
    </row>
    <row r="195" spans="26:26">
      <c r="Z195" s="69"/>
    </row>
    <row r="196" spans="26:26">
      <c r="Z196" s="69"/>
    </row>
    <row r="197" spans="26:26">
      <c r="Z197" s="69"/>
    </row>
    <row r="198" spans="26:26">
      <c r="Z198" s="69"/>
    </row>
    <row r="199" spans="26:26">
      <c r="Z199" s="69"/>
    </row>
    <row r="200" spans="26:26">
      <c r="Z200" s="69"/>
    </row>
    <row r="201" spans="26:26">
      <c r="Z201" s="69"/>
    </row>
    <row r="202" spans="26:26">
      <c r="Z202" s="69"/>
    </row>
    <row r="203" spans="26:26">
      <c r="Z203" s="69"/>
    </row>
    <row r="204" spans="26:26">
      <c r="Z204" s="69"/>
    </row>
    <row r="205" spans="26:26">
      <c r="Z205" s="69"/>
    </row>
    <row r="206" spans="26:26">
      <c r="Z206" s="69"/>
    </row>
    <row r="207" spans="26:26">
      <c r="Z207" s="69"/>
    </row>
    <row r="208" spans="26:26">
      <c r="Z208" s="69"/>
    </row>
    <row r="209" spans="26:26">
      <c r="Z209" s="69"/>
    </row>
    <row r="210" spans="26:26">
      <c r="Z210" s="69"/>
    </row>
    <row r="211" spans="26:26">
      <c r="Z211" s="69"/>
    </row>
    <row r="212" spans="26:26">
      <c r="Z212" s="69"/>
    </row>
    <row r="213" spans="26:26">
      <c r="Z213" s="69"/>
    </row>
    <row r="214" spans="26:26">
      <c r="Z214" s="69"/>
    </row>
    <row r="215" spans="26:26">
      <c r="Z215" s="69"/>
    </row>
    <row r="216" spans="26:26">
      <c r="Z216" s="69"/>
    </row>
    <row r="217" spans="26:26">
      <c r="Z217" s="69"/>
    </row>
    <row r="218" spans="26:26">
      <c r="Z218" s="69"/>
    </row>
    <row r="219" spans="26:26">
      <c r="Z219" s="69"/>
    </row>
    <row r="220" spans="26:26">
      <c r="Z220" s="69"/>
    </row>
    <row r="221" spans="26:26">
      <c r="Z221" s="69"/>
    </row>
    <row r="222" spans="26:26">
      <c r="Z222" s="69"/>
    </row>
    <row r="223" spans="26:26">
      <c r="Z223" s="69"/>
    </row>
    <row r="224" spans="26:26">
      <c r="Z224" s="69"/>
    </row>
    <row r="225" spans="26:26">
      <c r="Z225" s="69"/>
    </row>
    <row r="226" spans="26:26">
      <c r="Z226" s="69"/>
    </row>
    <row r="227" spans="26:26">
      <c r="Z227" s="69"/>
    </row>
    <row r="228" spans="26:26">
      <c r="Z228" s="69"/>
    </row>
    <row r="229" spans="26:26">
      <c r="Z229" s="69"/>
    </row>
    <row r="230" spans="26:26">
      <c r="Z230" s="69"/>
    </row>
    <row r="231" spans="26:26">
      <c r="Z231" s="69"/>
    </row>
    <row r="232" spans="26:26">
      <c r="Z232" s="69"/>
    </row>
    <row r="233" spans="26:26">
      <c r="Z233" s="69"/>
    </row>
    <row r="234" spans="26:26">
      <c r="Z234" s="69"/>
    </row>
    <row r="235" spans="26:26">
      <c r="Z235" s="69"/>
    </row>
    <row r="236" spans="26:26">
      <c r="Z236" s="69"/>
    </row>
    <row r="237" spans="26:26">
      <c r="Z237" s="69"/>
    </row>
    <row r="238" spans="26:26">
      <c r="Z238" s="69"/>
    </row>
    <row r="239" spans="26:26">
      <c r="Z239" s="69"/>
    </row>
    <row r="240" spans="26:26">
      <c r="Z240" s="69"/>
    </row>
    <row r="241" spans="26:26">
      <c r="Z241" s="69"/>
    </row>
    <row r="242" spans="26:26">
      <c r="Z242" s="69"/>
    </row>
    <row r="243" spans="26:26">
      <c r="Z243" s="69"/>
    </row>
    <row r="244" spans="26:26">
      <c r="Z244" s="69"/>
    </row>
    <row r="245" spans="26:26">
      <c r="Z245" s="69"/>
    </row>
    <row r="246" spans="26:26">
      <c r="Z246" s="69"/>
    </row>
    <row r="247" spans="26:26">
      <c r="Z247" s="69"/>
    </row>
    <row r="248" spans="26:26">
      <c r="Z248" s="69"/>
    </row>
    <row r="249" spans="26:26">
      <c r="Z249" s="69"/>
    </row>
    <row r="250" spans="26:26">
      <c r="Z250" s="69"/>
    </row>
    <row r="251" spans="26:26">
      <c r="Z251" s="69"/>
    </row>
    <row r="252" spans="26:26">
      <c r="Z252" s="69"/>
    </row>
    <row r="253" spans="26:26">
      <c r="Z253" s="69"/>
    </row>
    <row r="254" spans="26:26">
      <c r="Z254" s="69"/>
    </row>
    <row r="255" spans="26:26">
      <c r="Z255" s="69"/>
    </row>
    <row r="256" spans="26:26">
      <c r="Z256" s="69"/>
    </row>
    <row r="257" spans="26:26">
      <c r="Z257" s="69"/>
    </row>
    <row r="258" spans="26:26">
      <c r="Z258" s="69"/>
    </row>
    <row r="259" spans="26:26">
      <c r="Z259" s="69"/>
    </row>
    <row r="260" spans="26:26">
      <c r="Z260" s="69"/>
    </row>
    <row r="261" spans="26:26">
      <c r="Z261" s="69"/>
    </row>
    <row r="262" spans="26:26">
      <c r="Z262" s="69"/>
    </row>
    <row r="263" spans="26:26">
      <c r="Z263" s="69"/>
    </row>
    <row r="264" spans="26:26">
      <c r="Z264" s="69"/>
    </row>
    <row r="265" spans="26:26">
      <c r="Z265" s="69"/>
    </row>
    <row r="266" spans="26:26">
      <c r="Z266" s="69"/>
    </row>
    <row r="267" spans="26:26">
      <c r="Z267" s="69"/>
    </row>
    <row r="268" spans="26:26">
      <c r="Z268" s="69"/>
    </row>
    <row r="269" spans="26:26">
      <c r="Z269" s="69"/>
    </row>
    <row r="270" spans="26:26">
      <c r="Z270" s="69"/>
    </row>
    <row r="271" spans="26:26">
      <c r="Z271" s="69"/>
    </row>
    <row r="272" spans="26:26">
      <c r="Z272" s="69"/>
    </row>
    <row r="273" spans="26:26">
      <c r="Z273" s="69"/>
    </row>
    <row r="274" spans="26:26">
      <c r="Z274" s="69"/>
    </row>
    <row r="275" spans="26:26">
      <c r="Z275" s="69"/>
    </row>
    <row r="276" spans="26:26">
      <c r="Z276" s="69"/>
    </row>
    <row r="277" spans="26:26">
      <c r="Z277" s="69"/>
    </row>
    <row r="278" spans="26:26">
      <c r="Z278" s="69"/>
    </row>
    <row r="279" spans="26:26">
      <c r="Z279" s="69"/>
    </row>
    <row r="280" spans="26:26">
      <c r="Z280" s="69"/>
    </row>
    <row r="281" spans="26:26">
      <c r="Z281" s="69"/>
    </row>
    <row r="282" spans="26:26">
      <c r="Z282" s="69"/>
    </row>
    <row r="283" spans="26:26">
      <c r="Z283" s="69"/>
    </row>
    <row r="284" spans="26:26">
      <c r="Z284" s="69"/>
    </row>
    <row r="285" spans="26:26">
      <c r="Z285" s="69"/>
    </row>
    <row r="286" spans="26:26">
      <c r="Z286" s="69"/>
    </row>
    <row r="287" spans="26:26">
      <c r="Z287" s="69"/>
    </row>
    <row r="288" spans="26:26">
      <c r="Z288" s="69"/>
    </row>
    <row r="289" spans="26:26">
      <c r="Z289" s="69"/>
    </row>
    <row r="290" spans="26:26">
      <c r="Z290" s="69"/>
    </row>
    <row r="291" spans="26:26">
      <c r="Z291" s="69"/>
    </row>
    <row r="292" spans="26:26">
      <c r="Z292" s="69"/>
    </row>
    <row r="293" spans="26:26">
      <c r="Z293" s="69"/>
    </row>
    <row r="294" spans="26:26">
      <c r="Z294" s="69"/>
    </row>
    <row r="295" spans="26:26">
      <c r="Z295" s="69"/>
    </row>
    <row r="296" spans="26:26">
      <c r="Z296" s="69"/>
    </row>
    <row r="297" spans="26:26">
      <c r="Z297" s="69"/>
    </row>
    <row r="298" spans="26:26">
      <c r="Z298" s="69"/>
    </row>
    <row r="299" spans="26:26">
      <c r="Z299" s="69"/>
    </row>
    <row r="300" spans="26:26">
      <c r="Z300" s="69"/>
    </row>
    <row r="301" spans="26:26">
      <c r="Z301" s="69"/>
    </row>
    <row r="302" spans="26:26">
      <c r="Z302" s="69"/>
    </row>
    <row r="303" spans="26:26">
      <c r="Z303" s="69"/>
    </row>
    <row r="304" spans="26:26">
      <c r="Z304" s="69"/>
    </row>
    <row r="305" spans="26:26">
      <c r="Z305" s="69"/>
    </row>
    <row r="306" spans="26:26">
      <c r="Z306" s="69"/>
    </row>
    <row r="307" spans="26:26">
      <c r="Z307" s="69"/>
    </row>
    <row r="308" spans="26:26">
      <c r="Z308" s="69"/>
    </row>
    <row r="309" spans="26:26">
      <c r="Z309" s="69"/>
    </row>
    <row r="310" spans="26:26">
      <c r="Z310" s="69"/>
    </row>
    <row r="311" spans="26:26">
      <c r="Z311" s="69"/>
    </row>
    <row r="312" spans="26:26">
      <c r="Z312" s="69"/>
    </row>
    <row r="313" spans="26:26">
      <c r="Z313" s="69"/>
    </row>
    <row r="314" spans="26:26">
      <c r="Z314" s="69"/>
    </row>
    <row r="315" spans="26:26">
      <c r="Z315" s="69"/>
    </row>
    <row r="316" spans="26:26">
      <c r="Z316" s="69"/>
    </row>
    <row r="317" spans="26:26">
      <c r="Z317" s="69"/>
    </row>
    <row r="318" spans="26:26">
      <c r="Z318" s="69"/>
    </row>
    <row r="319" spans="26:26">
      <c r="Z319" s="69"/>
    </row>
    <row r="320" spans="26:26">
      <c r="Z320" s="69"/>
    </row>
    <row r="321" spans="26:26">
      <c r="Z321" s="69"/>
    </row>
    <row r="322" spans="26:26">
      <c r="Z322" s="69"/>
    </row>
    <row r="323" spans="26:26">
      <c r="Z323" s="69"/>
    </row>
    <row r="324" spans="26:26">
      <c r="Z324" s="69"/>
    </row>
    <row r="325" spans="26:26">
      <c r="Z325" s="69"/>
    </row>
    <row r="326" spans="26:26">
      <c r="Z326" s="69"/>
    </row>
    <row r="327" spans="26:26">
      <c r="Z327" s="69"/>
    </row>
    <row r="328" spans="26:26">
      <c r="Z328" s="69"/>
    </row>
    <row r="329" spans="26:26">
      <c r="Z329" s="69"/>
    </row>
    <row r="330" spans="26:26">
      <c r="Z330" s="69"/>
    </row>
    <row r="331" spans="26:26">
      <c r="Z331" s="69"/>
    </row>
    <row r="332" spans="26:26">
      <c r="Z332" s="69"/>
    </row>
    <row r="333" spans="26:26">
      <c r="Z333" s="69"/>
    </row>
    <row r="334" spans="26:26">
      <c r="Z334" s="69"/>
    </row>
    <row r="335" spans="26:26">
      <c r="Z335" s="69"/>
    </row>
    <row r="336" spans="26:26">
      <c r="Z336" s="69"/>
    </row>
    <row r="337" spans="26:26">
      <c r="Z337" s="69"/>
    </row>
    <row r="338" spans="26:26">
      <c r="Z338" s="69"/>
    </row>
    <row r="339" spans="26:26">
      <c r="Z339" s="69"/>
    </row>
    <row r="340" spans="26:26">
      <c r="Z340" s="69"/>
    </row>
    <row r="341" spans="26:26">
      <c r="Z341" s="69"/>
    </row>
    <row r="342" spans="26:26">
      <c r="Z342" s="69"/>
    </row>
    <row r="343" spans="26:26">
      <c r="Z343" s="69"/>
    </row>
    <row r="344" spans="26:26">
      <c r="Z344" s="69"/>
    </row>
    <row r="345" spans="26:26">
      <c r="Z345" s="69"/>
    </row>
    <row r="346" spans="26:26">
      <c r="Z346" s="69"/>
    </row>
    <row r="347" spans="26:26">
      <c r="Z347" s="69"/>
    </row>
    <row r="348" spans="26:26">
      <c r="Z348" s="69"/>
    </row>
    <row r="349" spans="26:26">
      <c r="Z349" s="69"/>
    </row>
    <row r="350" spans="26:26">
      <c r="Z350" s="69"/>
    </row>
    <row r="351" spans="26:26">
      <c r="Z351" s="69"/>
    </row>
    <row r="352" spans="26:26">
      <c r="Z352" s="69"/>
    </row>
    <row r="353" spans="26:26">
      <c r="Z353" s="69"/>
    </row>
    <row r="354" spans="26:26">
      <c r="Z354" s="69"/>
    </row>
    <row r="355" spans="26:26">
      <c r="Z355" s="69"/>
    </row>
    <row r="356" spans="26:26">
      <c r="Z356" s="69"/>
    </row>
    <row r="357" spans="26:26">
      <c r="Z357" s="69"/>
    </row>
    <row r="358" spans="26:26">
      <c r="Z358" s="69"/>
    </row>
    <row r="359" spans="26:26">
      <c r="Z359" s="69"/>
    </row>
    <row r="360" spans="26:26">
      <c r="Z360" s="69"/>
    </row>
    <row r="361" spans="26:26">
      <c r="Z361" s="69"/>
    </row>
    <row r="362" spans="26:26">
      <c r="Z362" s="69"/>
    </row>
    <row r="363" spans="26:26">
      <c r="Z363" s="69"/>
    </row>
    <row r="364" spans="26:26">
      <c r="Z364" s="69"/>
    </row>
    <row r="365" spans="26:26">
      <c r="Z365" s="69"/>
    </row>
    <row r="366" spans="26:26">
      <c r="Z366" s="69"/>
    </row>
    <row r="367" spans="26:26">
      <c r="Z367" s="69"/>
    </row>
    <row r="368" spans="26:26">
      <c r="Z368" s="69"/>
    </row>
    <row r="369" spans="26:26">
      <c r="Z369" s="69"/>
    </row>
    <row r="370" spans="26:26">
      <c r="Z370" s="69"/>
    </row>
    <row r="371" spans="26:26">
      <c r="Z371" s="69"/>
    </row>
    <row r="372" spans="26:26">
      <c r="Z372" s="69"/>
    </row>
    <row r="373" spans="26:26">
      <c r="Z373" s="69"/>
    </row>
    <row r="374" spans="26:26">
      <c r="Z374" s="69"/>
    </row>
    <row r="375" spans="26:26">
      <c r="Z375" s="69"/>
    </row>
    <row r="376" spans="26:26">
      <c r="Z376" s="69"/>
    </row>
    <row r="377" spans="26:26">
      <c r="Z377" s="69"/>
    </row>
    <row r="378" spans="26:26">
      <c r="Z378" s="69"/>
    </row>
    <row r="379" spans="26:26">
      <c r="Z379" s="69"/>
    </row>
  </sheetData>
  <mergeCells count="38">
    <mergeCell ref="U44:W44"/>
    <mergeCell ref="L45:N45"/>
    <mergeCell ref="O45:Q45"/>
    <mergeCell ref="R45:T45"/>
    <mergeCell ref="U45:W45"/>
    <mergeCell ref="L46:N46"/>
    <mergeCell ref="O46:Q46"/>
    <mergeCell ref="R46:T46"/>
    <mergeCell ref="U46:W46"/>
    <mergeCell ref="I17:I28"/>
    <mergeCell ref="J17:J28"/>
    <mergeCell ref="C41:J43"/>
    <mergeCell ref="L44:N44"/>
    <mergeCell ref="O44:Q44"/>
    <mergeCell ref="R44:T44"/>
    <mergeCell ref="C17:C28"/>
    <mergeCell ref="D17:D28"/>
    <mergeCell ref="E17:E28"/>
    <mergeCell ref="F17:F28"/>
    <mergeCell ref="G17:G28"/>
    <mergeCell ref="H17:H28"/>
    <mergeCell ref="H5:H16"/>
    <mergeCell ref="I5:I16"/>
    <mergeCell ref="J5:J16"/>
    <mergeCell ref="C2:J4"/>
    <mergeCell ref="C5:C16"/>
    <mergeCell ref="D5:D16"/>
    <mergeCell ref="E5:E16"/>
    <mergeCell ref="F5:F16"/>
    <mergeCell ref="G5:G16"/>
    <mergeCell ref="H29:H40"/>
    <mergeCell ref="I29:I40"/>
    <mergeCell ref="J29:J40"/>
    <mergeCell ref="C29:C40"/>
    <mergeCell ref="D29:D40"/>
    <mergeCell ref="E29:E40"/>
    <mergeCell ref="F29:F40"/>
    <mergeCell ref="G29:G40"/>
  </mergeCells>
  <phoneticPr fontId="10"/>
  <printOptions horizontalCentered="1"/>
  <pageMargins left="0.70866141732283472" right="0.70866141732283472" top="0.70866141732283472" bottom="0.70866141732283472" header="0.31496062992125984" footer="0.31496062992125984"/>
  <pageSetup paperSize="9" scale="52" fitToHeight="0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pageSetUpPr fitToPage="1"/>
  </sheetPr>
  <dimension ref="A1:Z475"/>
  <sheetViews>
    <sheetView showGridLines="0" zoomScale="80" zoomScaleNormal="80" zoomScaleSheetLayoutView="70" workbookViewId="0">
      <pane xSplit="11" ySplit="4" topLeftCell="L91" activePane="bottomRight" state="frozen"/>
      <selection pane="topRight"/>
      <selection pane="bottomLeft"/>
      <selection pane="bottomRight" activeCell="L6" sqref="L6:L135"/>
    </sheetView>
  </sheetViews>
  <sheetFormatPr defaultRowHeight="12"/>
  <cols>
    <col min="1" max="1" width="9.6328125" style="115" customWidth="1"/>
    <col min="2" max="2" width="11.90625" style="73" customWidth="1"/>
    <col min="3" max="3" width="6.36328125" style="9" customWidth="1"/>
    <col min="4" max="4" width="10.36328125" style="9" customWidth="1"/>
    <col min="5" max="5" width="5.08984375" style="9" customWidth="1"/>
    <col min="6" max="6" width="9.90625" style="171" customWidth="1"/>
    <col min="7" max="9" width="9.90625" style="9" customWidth="1"/>
    <col min="10" max="10" width="8.453125" style="9" customWidth="1"/>
    <col min="11" max="11" width="10.453125" style="9" customWidth="1"/>
    <col min="12" max="23" width="13.08984375" style="9" customWidth="1"/>
    <col min="24" max="24" width="16.453125" style="9" customWidth="1"/>
    <col min="25" max="25" width="8.90625" style="2"/>
    <col min="26" max="26" width="11" style="2" bestFit="1" customWidth="1"/>
    <col min="27" max="259" width="8.90625" style="2"/>
    <col min="260" max="260" width="9.6328125" style="2" customWidth="1"/>
    <col min="261" max="262" width="5.08984375" style="2" customWidth="1"/>
    <col min="263" max="263" width="9.6328125" style="2" customWidth="1"/>
    <col min="264" max="265" width="11.6328125" style="2" customWidth="1"/>
    <col min="266" max="266" width="15.36328125" style="2" customWidth="1"/>
    <col min="267" max="267" width="10.90625" style="2" customWidth="1"/>
    <col min="268" max="278" width="13.36328125" style="2" customWidth="1"/>
    <col min="279" max="279" width="13.6328125" style="2" customWidth="1"/>
    <col min="280" max="280" width="16.453125" style="2" customWidth="1"/>
    <col min="281" max="515" width="8.90625" style="2"/>
    <col min="516" max="516" width="9.6328125" style="2" customWidth="1"/>
    <col min="517" max="518" width="5.08984375" style="2" customWidth="1"/>
    <col min="519" max="519" width="9.6328125" style="2" customWidth="1"/>
    <col min="520" max="521" width="11.6328125" style="2" customWidth="1"/>
    <col min="522" max="522" width="15.36328125" style="2" customWidth="1"/>
    <col min="523" max="523" width="10.90625" style="2" customWidth="1"/>
    <col min="524" max="534" width="13.36328125" style="2" customWidth="1"/>
    <col min="535" max="535" width="13.6328125" style="2" customWidth="1"/>
    <col min="536" max="536" width="16.453125" style="2" customWidth="1"/>
    <col min="537" max="771" width="8.90625" style="2"/>
    <col min="772" max="772" width="9.6328125" style="2" customWidth="1"/>
    <col min="773" max="774" width="5.08984375" style="2" customWidth="1"/>
    <col min="775" max="775" width="9.6328125" style="2" customWidth="1"/>
    <col min="776" max="777" width="11.6328125" style="2" customWidth="1"/>
    <col min="778" max="778" width="15.36328125" style="2" customWidth="1"/>
    <col min="779" max="779" width="10.90625" style="2" customWidth="1"/>
    <col min="780" max="790" width="13.36328125" style="2" customWidth="1"/>
    <col min="791" max="791" width="13.6328125" style="2" customWidth="1"/>
    <col min="792" max="792" width="16.453125" style="2" customWidth="1"/>
    <col min="793" max="1027" width="8.90625" style="2"/>
    <col min="1028" max="1028" width="9.6328125" style="2" customWidth="1"/>
    <col min="1029" max="1030" width="5.08984375" style="2" customWidth="1"/>
    <col min="1031" max="1031" width="9.6328125" style="2" customWidth="1"/>
    <col min="1032" max="1033" width="11.6328125" style="2" customWidth="1"/>
    <col min="1034" max="1034" width="15.36328125" style="2" customWidth="1"/>
    <col min="1035" max="1035" width="10.90625" style="2" customWidth="1"/>
    <col min="1036" max="1046" width="13.36328125" style="2" customWidth="1"/>
    <col min="1047" max="1047" width="13.6328125" style="2" customWidth="1"/>
    <col min="1048" max="1048" width="16.453125" style="2" customWidth="1"/>
    <col min="1049" max="1283" width="8.90625" style="2"/>
    <col min="1284" max="1284" width="9.6328125" style="2" customWidth="1"/>
    <col min="1285" max="1286" width="5.08984375" style="2" customWidth="1"/>
    <col min="1287" max="1287" width="9.6328125" style="2" customWidth="1"/>
    <col min="1288" max="1289" width="11.6328125" style="2" customWidth="1"/>
    <col min="1290" max="1290" width="15.36328125" style="2" customWidth="1"/>
    <col min="1291" max="1291" width="10.90625" style="2" customWidth="1"/>
    <col min="1292" max="1302" width="13.36328125" style="2" customWidth="1"/>
    <col min="1303" max="1303" width="13.6328125" style="2" customWidth="1"/>
    <col min="1304" max="1304" width="16.453125" style="2" customWidth="1"/>
    <col min="1305" max="1539" width="8.90625" style="2"/>
    <col min="1540" max="1540" width="9.6328125" style="2" customWidth="1"/>
    <col min="1541" max="1542" width="5.08984375" style="2" customWidth="1"/>
    <col min="1543" max="1543" width="9.6328125" style="2" customWidth="1"/>
    <col min="1544" max="1545" width="11.6328125" style="2" customWidth="1"/>
    <col min="1546" max="1546" width="15.36328125" style="2" customWidth="1"/>
    <col min="1547" max="1547" width="10.90625" style="2" customWidth="1"/>
    <col min="1548" max="1558" width="13.36328125" style="2" customWidth="1"/>
    <col min="1559" max="1559" width="13.6328125" style="2" customWidth="1"/>
    <col min="1560" max="1560" width="16.453125" style="2" customWidth="1"/>
    <col min="1561" max="1795" width="8.90625" style="2"/>
    <col min="1796" max="1796" width="9.6328125" style="2" customWidth="1"/>
    <col min="1797" max="1798" width="5.08984375" style="2" customWidth="1"/>
    <col min="1799" max="1799" width="9.6328125" style="2" customWidth="1"/>
    <col min="1800" max="1801" width="11.6328125" style="2" customWidth="1"/>
    <col min="1802" max="1802" width="15.36328125" style="2" customWidth="1"/>
    <col min="1803" max="1803" width="10.90625" style="2" customWidth="1"/>
    <col min="1804" max="1814" width="13.36328125" style="2" customWidth="1"/>
    <col min="1815" max="1815" width="13.6328125" style="2" customWidth="1"/>
    <col min="1816" max="1816" width="16.453125" style="2" customWidth="1"/>
    <col min="1817" max="2051" width="8.90625" style="2"/>
    <col min="2052" max="2052" width="9.6328125" style="2" customWidth="1"/>
    <col min="2053" max="2054" width="5.08984375" style="2" customWidth="1"/>
    <col min="2055" max="2055" width="9.6328125" style="2" customWidth="1"/>
    <col min="2056" max="2057" width="11.6328125" style="2" customWidth="1"/>
    <col min="2058" max="2058" width="15.36328125" style="2" customWidth="1"/>
    <col min="2059" max="2059" width="10.90625" style="2" customWidth="1"/>
    <col min="2060" max="2070" width="13.36328125" style="2" customWidth="1"/>
    <col min="2071" max="2071" width="13.6328125" style="2" customWidth="1"/>
    <col min="2072" max="2072" width="16.453125" style="2" customWidth="1"/>
    <col min="2073" max="2307" width="8.90625" style="2"/>
    <col min="2308" max="2308" width="9.6328125" style="2" customWidth="1"/>
    <col min="2309" max="2310" width="5.08984375" style="2" customWidth="1"/>
    <col min="2311" max="2311" width="9.6328125" style="2" customWidth="1"/>
    <col min="2312" max="2313" width="11.6328125" style="2" customWidth="1"/>
    <col min="2314" max="2314" width="15.36328125" style="2" customWidth="1"/>
    <col min="2315" max="2315" width="10.90625" style="2" customWidth="1"/>
    <col min="2316" max="2326" width="13.36328125" style="2" customWidth="1"/>
    <col min="2327" max="2327" width="13.6328125" style="2" customWidth="1"/>
    <col min="2328" max="2328" width="16.453125" style="2" customWidth="1"/>
    <col min="2329" max="2563" width="8.90625" style="2"/>
    <col min="2564" max="2564" width="9.6328125" style="2" customWidth="1"/>
    <col min="2565" max="2566" width="5.08984375" style="2" customWidth="1"/>
    <col min="2567" max="2567" width="9.6328125" style="2" customWidth="1"/>
    <col min="2568" max="2569" width="11.6328125" style="2" customWidth="1"/>
    <col min="2570" max="2570" width="15.36328125" style="2" customWidth="1"/>
    <col min="2571" max="2571" width="10.90625" style="2" customWidth="1"/>
    <col min="2572" max="2582" width="13.36328125" style="2" customWidth="1"/>
    <col min="2583" max="2583" width="13.6328125" style="2" customWidth="1"/>
    <col min="2584" max="2584" width="16.453125" style="2" customWidth="1"/>
    <col min="2585" max="2819" width="8.90625" style="2"/>
    <col min="2820" max="2820" width="9.6328125" style="2" customWidth="1"/>
    <col min="2821" max="2822" width="5.08984375" style="2" customWidth="1"/>
    <col min="2823" max="2823" width="9.6328125" style="2" customWidth="1"/>
    <col min="2824" max="2825" width="11.6328125" style="2" customWidth="1"/>
    <col min="2826" max="2826" width="15.36328125" style="2" customWidth="1"/>
    <col min="2827" max="2827" width="10.90625" style="2" customWidth="1"/>
    <col min="2828" max="2838" width="13.36328125" style="2" customWidth="1"/>
    <col min="2839" max="2839" width="13.6328125" style="2" customWidth="1"/>
    <col min="2840" max="2840" width="16.453125" style="2" customWidth="1"/>
    <col min="2841" max="3075" width="8.90625" style="2"/>
    <col min="3076" max="3076" width="9.6328125" style="2" customWidth="1"/>
    <col min="3077" max="3078" width="5.08984375" style="2" customWidth="1"/>
    <col min="3079" max="3079" width="9.6328125" style="2" customWidth="1"/>
    <col min="3080" max="3081" width="11.6328125" style="2" customWidth="1"/>
    <col min="3082" max="3082" width="15.36328125" style="2" customWidth="1"/>
    <col min="3083" max="3083" width="10.90625" style="2" customWidth="1"/>
    <col min="3084" max="3094" width="13.36328125" style="2" customWidth="1"/>
    <col min="3095" max="3095" width="13.6328125" style="2" customWidth="1"/>
    <col min="3096" max="3096" width="16.453125" style="2" customWidth="1"/>
    <col min="3097" max="3331" width="8.90625" style="2"/>
    <col min="3332" max="3332" width="9.6328125" style="2" customWidth="1"/>
    <col min="3333" max="3334" width="5.08984375" style="2" customWidth="1"/>
    <col min="3335" max="3335" width="9.6328125" style="2" customWidth="1"/>
    <col min="3336" max="3337" width="11.6328125" style="2" customWidth="1"/>
    <col min="3338" max="3338" width="15.36328125" style="2" customWidth="1"/>
    <col min="3339" max="3339" width="10.90625" style="2" customWidth="1"/>
    <col min="3340" max="3350" width="13.36328125" style="2" customWidth="1"/>
    <col min="3351" max="3351" width="13.6328125" style="2" customWidth="1"/>
    <col min="3352" max="3352" width="16.453125" style="2" customWidth="1"/>
    <col min="3353" max="3587" width="8.90625" style="2"/>
    <col min="3588" max="3588" width="9.6328125" style="2" customWidth="1"/>
    <col min="3589" max="3590" width="5.08984375" style="2" customWidth="1"/>
    <col min="3591" max="3591" width="9.6328125" style="2" customWidth="1"/>
    <col min="3592" max="3593" width="11.6328125" style="2" customWidth="1"/>
    <col min="3594" max="3594" width="15.36328125" style="2" customWidth="1"/>
    <col min="3595" max="3595" width="10.90625" style="2" customWidth="1"/>
    <col min="3596" max="3606" width="13.36328125" style="2" customWidth="1"/>
    <col min="3607" max="3607" width="13.6328125" style="2" customWidth="1"/>
    <col min="3608" max="3608" width="16.453125" style="2" customWidth="1"/>
    <col min="3609" max="3843" width="8.90625" style="2"/>
    <col min="3844" max="3844" width="9.6328125" style="2" customWidth="1"/>
    <col min="3845" max="3846" width="5.08984375" style="2" customWidth="1"/>
    <col min="3847" max="3847" width="9.6328125" style="2" customWidth="1"/>
    <col min="3848" max="3849" width="11.6328125" style="2" customWidth="1"/>
    <col min="3850" max="3850" width="15.36328125" style="2" customWidth="1"/>
    <col min="3851" max="3851" width="10.90625" style="2" customWidth="1"/>
    <col min="3852" max="3862" width="13.36328125" style="2" customWidth="1"/>
    <col min="3863" max="3863" width="13.6328125" style="2" customWidth="1"/>
    <col min="3864" max="3864" width="16.453125" style="2" customWidth="1"/>
    <col min="3865" max="4099" width="8.90625" style="2"/>
    <col min="4100" max="4100" width="9.6328125" style="2" customWidth="1"/>
    <col min="4101" max="4102" width="5.08984375" style="2" customWidth="1"/>
    <col min="4103" max="4103" width="9.6328125" style="2" customWidth="1"/>
    <col min="4104" max="4105" width="11.6328125" style="2" customWidth="1"/>
    <col min="4106" max="4106" width="15.36328125" style="2" customWidth="1"/>
    <col min="4107" max="4107" width="10.90625" style="2" customWidth="1"/>
    <col min="4108" max="4118" width="13.36328125" style="2" customWidth="1"/>
    <col min="4119" max="4119" width="13.6328125" style="2" customWidth="1"/>
    <col min="4120" max="4120" width="16.453125" style="2" customWidth="1"/>
    <col min="4121" max="4355" width="8.90625" style="2"/>
    <col min="4356" max="4356" width="9.6328125" style="2" customWidth="1"/>
    <col min="4357" max="4358" width="5.08984375" style="2" customWidth="1"/>
    <col min="4359" max="4359" width="9.6328125" style="2" customWidth="1"/>
    <col min="4360" max="4361" width="11.6328125" style="2" customWidth="1"/>
    <col min="4362" max="4362" width="15.36328125" style="2" customWidth="1"/>
    <col min="4363" max="4363" width="10.90625" style="2" customWidth="1"/>
    <col min="4364" max="4374" width="13.36328125" style="2" customWidth="1"/>
    <col min="4375" max="4375" width="13.6328125" style="2" customWidth="1"/>
    <col min="4376" max="4376" width="16.453125" style="2" customWidth="1"/>
    <col min="4377" max="4611" width="8.90625" style="2"/>
    <col min="4612" max="4612" width="9.6328125" style="2" customWidth="1"/>
    <col min="4613" max="4614" width="5.08984375" style="2" customWidth="1"/>
    <col min="4615" max="4615" width="9.6328125" style="2" customWidth="1"/>
    <col min="4616" max="4617" width="11.6328125" style="2" customWidth="1"/>
    <col min="4618" max="4618" width="15.36328125" style="2" customWidth="1"/>
    <col min="4619" max="4619" width="10.90625" style="2" customWidth="1"/>
    <col min="4620" max="4630" width="13.36328125" style="2" customWidth="1"/>
    <col min="4631" max="4631" width="13.6328125" style="2" customWidth="1"/>
    <col min="4632" max="4632" width="16.453125" style="2" customWidth="1"/>
    <col min="4633" max="4867" width="8.90625" style="2"/>
    <col min="4868" max="4868" width="9.6328125" style="2" customWidth="1"/>
    <col min="4869" max="4870" width="5.08984375" style="2" customWidth="1"/>
    <col min="4871" max="4871" width="9.6328125" style="2" customWidth="1"/>
    <col min="4872" max="4873" width="11.6328125" style="2" customWidth="1"/>
    <col min="4874" max="4874" width="15.36328125" style="2" customWidth="1"/>
    <col min="4875" max="4875" width="10.90625" style="2" customWidth="1"/>
    <col min="4876" max="4886" width="13.36328125" style="2" customWidth="1"/>
    <col min="4887" max="4887" width="13.6328125" style="2" customWidth="1"/>
    <col min="4888" max="4888" width="16.453125" style="2" customWidth="1"/>
    <col min="4889" max="5123" width="8.90625" style="2"/>
    <col min="5124" max="5124" width="9.6328125" style="2" customWidth="1"/>
    <col min="5125" max="5126" width="5.08984375" style="2" customWidth="1"/>
    <col min="5127" max="5127" width="9.6328125" style="2" customWidth="1"/>
    <col min="5128" max="5129" width="11.6328125" style="2" customWidth="1"/>
    <col min="5130" max="5130" width="15.36328125" style="2" customWidth="1"/>
    <col min="5131" max="5131" width="10.90625" style="2" customWidth="1"/>
    <col min="5132" max="5142" width="13.36328125" style="2" customWidth="1"/>
    <col min="5143" max="5143" width="13.6328125" style="2" customWidth="1"/>
    <col min="5144" max="5144" width="16.453125" style="2" customWidth="1"/>
    <col min="5145" max="5379" width="8.90625" style="2"/>
    <col min="5380" max="5380" width="9.6328125" style="2" customWidth="1"/>
    <col min="5381" max="5382" width="5.08984375" style="2" customWidth="1"/>
    <col min="5383" max="5383" width="9.6328125" style="2" customWidth="1"/>
    <col min="5384" max="5385" width="11.6328125" style="2" customWidth="1"/>
    <col min="5386" max="5386" width="15.36328125" style="2" customWidth="1"/>
    <col min="5387" max="5387" width="10.90625" style="2" customWidth="1"/>
    <col min="5388" max="5398" width="13.36328125" style="2" customWidth="1"/>
    <col min="5399" max="5399" width="13.6328125" style="2" customWidth="1"/>
    <col min="5400" max="5400" width="16.453125" style="2" customWidth="1"/>
    <col min="5401" max="5635" width="8.90625" style="2"/>
    <col min="5636" max="5636" width="9.6328125" style="2" customWidth="1"/>
    <col min="5637" max="5638" width="5.08984375" style="2" customWidth="1"/>
    <col min="5639" max="5639" width="9.6328125" style="2" customWidth="1"/>
    <col min="5640" max="5641" width="11.6328125" style="2" customWidth="1"/>
    <col min="5642" max="5642" width="15.36328125" style="2" customWidth="1"/>
    <col min="5643" max="5643" width="10.90625" style="2" customWidth="1"/>
    <col min="5644" max="5654" width="13.36328125" style="2" customWidth="1"/>
    <col min="5655" max="5655" width="13.6328125" style="2" customWidth="1"/>
    <col min="5656" max="5656" width="16.453125" style="2" customWidth="1"/>
    <col min="5657" max="5891" width="8.90625" style="2"/>
    <col min="5892" max="5892" width="9.6328125" style="2" customWidth="1"/>
    <col min="5893" max="5894" width="5.08984375" style="2" customWidth="1"/>
    <col min="5895" max="5895" width="9.6328125" style="2" customWidth="1"/>
    <col min="5896" max="5897" width="11.6328125" style="2" customWidth="1"/>
    <col min="5898" max="5898" width="15.36328125" style="2" customWidth="1"/>
    <col min="5899" max="5899" width="10.90625" style="2" customWidth="1"/>
    <col min="5900" max="5910" width="13.36328125" style="2" customWidth="1"/>
    <col min="5911" max="5911" width="13.6328125" style="2" customWidth="1"/>
    <col min="5912" max="5912" width="16.453125" style="2" customWidth="1"/>
    <col min="5913" max="6147" width="8.90625" style="2"/>
    <col min="6148" max="6148" width="9.6328125" style="2" customWidth="1"/>
    <col min="6149" max="6150" width="5.08984375" style="2" customWidth="1"/>
    <col min="6151" max="6151" width="9.6328125" style="2" customWidth="1"/>
    <col min="6152" max="6153" width="11.6328125" style="2" customWidth="1"/>
    <col min="6154" max="6154" width="15.36328125" style="2" customWidth="1"/>
    <col min="6155" max="6155" width="10.90625" style="2" customWidth="1"/>
    <col min="6156" max="6166" width="13.36328125" style="2" customWidth="1"/>
    <col min="6167" max="6167" width="13.6328125" style="2" customWidth="1"/>
    <col min="6168" max="6168" width="16.453125" style="2" customWidth="1"/>
    <col min="6169" max="6403" width="8.90625" style="2"/>
    <col min="6404" max="6404" width="9.6328125" style="2" customWidth="1"/>
    <col min="6405" max="6406" width="5.08984375" style="2" customWidth="1"/>
    <col min="6407" max="6407" width="9.6328125" style="2" customWidth="1"/>
    <col min="6408" max="6409" width="11.6328125" style="2" customWidth="1"/>
    <col min="6410" max="6410" width="15.36328125" style="2" customWidth="1"/>
    <col min="6411" max="6411" width="10.90625" style="2" customWidth="1"/>
    <col min="6412" max="6422" width="13.36328125" style="2" customWidth="1"/>
    <col min="6423" max="6423" width="13.6328125" style="2" customWidth="1"/>
    <col min="6424" max="6424" width="16.453125" style="2" customWidth="1"/>
    <col min="6425" max="6659" width="8.90625" style="2"/>
    <col min="6660" max="6660" width="9.6328125" style="2" customWidth="1"/>
    <col min="6661" max="6662" width="5.08984375" style="2" customWidth="1"/>
    <col min="6663" max="6663" width="9.6328125" style="2" customWidth="1"/>
    <col min="6664" max="6665" width="11.6328125" style="2" customWidth="1"/>
    <col min="6666" max="6666" width="15.36328125" style="2" customWidth="1"/>
    <col min="6667" max="6667" width="10.90625" style="2" customWidth="1"/>
    <col min="6668" max="6678" width="13.36328125" style="2" customWidth="1"/>
    <col min="6679" max="6679" width="13.6328125" style="2" customWidth="1"/>
    <col min="6680" max="6680" width="16.453125" style="2" customWidth="1"/>
    <col min="6681" max="6915" width="8.90625" style="2"/>
    <col min="6916" max="6916" width="9.6328125" style="2" customWidth="1"/>
    <col min="6917" max="6918" width="5.08984375" style="2" customWidth="1"/>
    <col min="6919" max="6919" width="9.6328125" style="2" customWidth="1"/>
    <col min="6920" max="6921" width="11.6328125" style="2" customWidth="1"/>
    <col min="6922" max="6922" width="15.36328125" style="2" customWidth="1"/>
    <col min="6923" max="6923" width="10.90625" style="2" customWidth="1"/>
    <col min="6924" max="6934" width="13.36328125" style="2" customWidth="1"/>
    <col min="6935" max="6935" width="13.6328125" style="2" customWidth="1"/>
    <col min="6936" max="6936" width="16.453125" style="2" customWidth="1"/>
    <col min="6937" max="7171" width="8.90625" style="2"/>
    <col min="7172" max="7172" width="9.6328125" style="2" customWidth="1"/>
    <col min="7173" max="7174" width="5.08984375" style="2" customWidth="1"/>
    <col min="7175" max="7175" width="9.6328125" style="2" customWidth="1"/>
    <col min="7176" max="7177" width="11.6328125" style="2" customWidth="1"/>
    <col min="7178" max="7178" width="15.36328125" style="2" customWidth="1"/>
    <col min="7179" max="7179" width="10.90625" style="2" customWidth="1"/>
    <col min="7180" max="7190" width="13.36328125" style="2" customWidth="1"/>
    <col min="7191" max="7191" width="13.6328125" style="2" customWidth="1"/>
    <col min="7192" max="7192" width="16.453125" style="2" customWidth="1"/>
    <col min="7193" max="7427" width="8.90625" style="2"/>
    <col min="7428" max="7428" width="9.6328125" style="2" customWidth="1"/>
    <col min="7429" max="7430" width="5.08984375" style="2" customWidth="1"/>
    <col min="7431" max="7431" width="9.6328125" style="2" customWidth="1"/>
    <col min="7432" max="7433" width="11.6328125" style="2" customWidth="1"/>
    <col min="7434" max="7434" width="15.36328125" style="2" customWidth="1"/>
    <col min="7435" max="7435" width="10.90625" style="2" customWidth="1"/>
    <col min="7436" max="7446" width="13.36328125" style="2" customWidth="1"/>
    <col min="7447" max="7447" width="13.6328125" style="2" customWidth="1"/>
    <col min="7448" max="7448" width="16.453125" style="2" customWidth="1"/>
    <col min="7449" max="7683" width="8.90625" style="2"/>
    <col min="7684" max="7684" width="9.6328125" style="2" customWidth="1"/>
    <col min="7685" max="7686" width="5.08984375" style="2" customWidth="1"/>
    <col min="7687" max="7687" width="9.6328125" style="2" customWidth="1"/>
    <col min="7688" max="7689" width="11.6328125" style="2" customWidth="1"/>
    <col min="7690" max="7690" width="15.36328125" style="2" customWidth="1"/>
    <col min="7691" max="7691" width="10.90625" style="2" customWidth="1"/>
    <col min="7692" max="7702" width="13.36328125" style="2" customWidth="1"/>
    <col min="7703" max="7703" width="13.6328125" style="2" customWidth="1"/>
    <col min="7704" max="7704" width="16.453125" style="2" customWidth="1"/>
    <col min="7705" max="7939" width="8.90625" style="2"/>
    <col min="7940" max="7940" width="9.6328125" style="2" customWidth="1"/>
    <col min="7941" max="7942" width="5.08984375" style="2" customWidth="1"/>
    <col min="7943" max="7943" width="9.6328125" style="2" customWidth="1"/>
    <col min="7944" max="7945" width="11.6328125" style="2" customWidth="1"/>
    <col min="7946" max="7946" width="15.36328125" style="2" customWidth="1"/>
    <col min="7947" max="7947" width="10.90625" style="2" customWidth="1"/>
    <col min="7948" max="7958" width="13.36328125" style="2" customWidth="1"/>
    <col min="7959" max="7959" width="13.6328125" style="2" customWidth="1"/>
    <col min="7960" max="7960" width="16.453125" style="2" customWidth="1"/>
    <col min="7961" max="8195" width="8.90625" style="2"/>
    <col min="8196" max="8196" width="9.6328125" style="2" customWidth="1"/>
    <col min="8197" max="8198" width="5.08984375" style="2" customWidth="1"/>
    <col min="8199" max="8199" width="9.6328125" style="2" customWidth="1"/>
    <col min="8200" max="8201" width="11.6328125" style="2" customWidth="1"/>
    <col min="8202" max="8202" width="15.36328125" style="2" customWidth="1"/>
    <col min="8203" max="8203" width="10.90625" style="2" customWidth="1"/>
    <col min="8204" max="8214" width="13.36328125" style="2" customWidth="1"/>
    <col min="8215" max="8215" width="13.6328125" style="2" customWidth="1"/>
    <col min="8216" max="8216" width="16.453125" style="2" customWidth="1"/>
    <col min="8217" max="8451" width="8.90625" style="2"/>
    <col min="8452" max="8452" width="9.6328125" style="2" customWidth="1"/>
    <col min="8453" max="8454" width="5.08984375" style="2" customWidth="1"/>
    <col min="8455" max="8455" width="9.6328125" style="2" customWidth="1"/>
    <col min="8456" max="8457" width="11.6328125" style="2" customWidth="1"/>
    <col min="8458" max="8458" width="15.36328125" style="2" customWidth="1"/>
    <col min="8459" max="8459" width="10.90625" style="2" customWidth="1"/>
    <col min="8460" max="8470" width="13.36328125" style="2" customWidth="1"/>
    <col min="8471" max="8471" width="13.6328125" style="2" customWidth="1"/>
    <col min="8472" max="8472" width="16.453125" style="2" customWidth="1"/>
    <col min="8473" max="8707" width="8.90625" style="2"/>
    <col min="8708" max="8708" width="9.6328125" style="2" customWidth="1"/>
    <col min="8709" max="8710" width="5.08984375" style="2" customWidth="1"/>
    <col min="8711" max="8711" width="9.6328125" style="2" customWidth="1"/>
    <col min="8712" max="8713" width="11.6328125" style="2" customWidth="1"/>
    <col min="8714" max="8714" width="15.36328125" style="2" customWidth="1"/>
    <col min="8715" max="8715" width="10.90625" style="2" customWidth="1"/>
    <col min="8716" max="8726" width="13.36328125" style="2" customWidth="1"/>
    <col min="8727" max="8727" width="13.6328125" style="2" customWidth="1"/>
    <col min="8728" max="8728" width="16.453125" style="2" customWidth="1"/>
    <col min="8729" max="8963" width="8.90625" style="2"/>
    <col min="8964" max="8964" width="9.6328125" style="2" customWidth="1"/>
    <col min="8965" max="8966" width="5.08984375" style="2" customWidth="1"/>
    <col min="8967" max="8967" width="9.6328125" style="2" customWidth="1"/>
    <col min="8968" max="8969" width="11.6328125" style="2" customWidth="1"/>
    <col min="8970" max="8970" width="15.36328125" style="2" customWidth="1"/>
    <col min="8971" max="8971" width="10.90625" style="2" customWidth="1"/>
    <col min="8972" max="8982" width="13.36328125" style="2" customWidth="1"/>
    <col min="8983" max="8983" width="13.6328125" style="2" customWidth="1"/>
    <col min="8984" max="8984" width="16.453125" style="2" customWidth="1"/>
    <col min="8985" max="9219" width="8.90625" style="2"/>
    <col min="9220" max="9220" width="9.6328125" style="2" customWidth="1"/>
    <col min="9221" max="9222" width="5.08984375" style="2" customWidth="1"/>
    <col min="9223" max="9223" width="9.6328125" style="2" customWidth="1"/>
    <col min="9224" max="9225" width="11.6328125" style="2" customWidth="1"/>
    <col min="9226" max="9226" width="15.36328125" style="2" customWidth="1"/>
    <col min="9227" max="9227" width="10.90625" style="2" customWidth="1"/>
    <col min="9228" max="9238" width="13.36328125" style="2" customWidth="1"/>
    <col min="9239" max="9239" width="13.6328125" style="2" customWidth="1"/>
    <col min="9240" max="9240" width="16.453125" style="2" customWidth="1"/>
    <col min="9241" max="9475" width="8.90625" style="2"/>
    <col min="9476" max="9476" width="9.6328125" style="2" customWidth="1"/>
    <col min="9477" max="9478" width="5.08984375" style="2" customWidth="1"/>
    <col min="9479" max="9479" width="9.6328125" style="2" customWidth="1"/>
    <col min="9480" max="9481" width="11.6328125" style="2" customWidth="1"/>
    <col min="9482" max="9482" width="15.36328125" style="2" customWidth="1"/>
    <col min="9483" max="9483" width="10.90625" style="2" customWidth="1"/>
    <col min="9484" max="9494" width="13.36328125" style="2" customWidth="1"/>
    <col min="9495" max="9495" width="13.6328125" style="2" customWidth="1"/>
    <col min="9496" max="9496" width="16.453125" style="2" customWidth="1"/>
    <col min="9497" max="9731" width="8.90625" style="2"/>
    <col min="9732" max="9732" width="9.6328125" style="2" customWidth="1"/>
    <col min="9733" max="9734" width="5.08984375" style="2" customWidth="1"/>
    <col min="9735" max="9735" width="9.6328125" style="2" customWidth="1"/>
    <col min="9736" max="9737" width="11.6328125" style="2" customWidth="1"/>
    <col min="9738" max="9738" width="15.36328125" style="2" customWidth="1"/>
    <col min="9739" max="9739" width="10.90625" style="2" customWidth="1"/>
    <col min="9740" max="9750" width="13.36328125" style="2" customWidth="1"/>
    <col min="9751" max="9751" width="13.6328125" style="2" customWidth="1"/>
    <col min="9752" max="9752" width="16.453125" style="2" customWidth="1"/>
    <col min="9753" max="9987" width="8.90625" style="2"/>
    <col min="9988" max="9988" width="9.6328125" style="2" customWidth="1"/>
    <col min="9989" max="9990" width="5.08984375" style="2" customWidth="1"/>
    <col min="9991" max="9991" width="9.6328125" style="2" customWidth="1"/>
    <col min="9992" max="9993" width="11.6328125" style="2" customWidth="1"/>
    <col min="9994" max="9994" width="15.36328125" style="2" customWidth="1"/>
    <col min="9995" max="9995" width="10.90625" style="2" customWidth="1"/>
    <col min="9996" max="10006" width="13.36328125" style="2" customWidth="1"/>
    <col min="10007" max="10007" width="13.6328125" style="2" customWidth="1"/>
    <col min="10008" max="10008" width="16.453125" style="2" customWidth="1"/>
    <col min="10009" max="10243" width="8.90625" style="2"/>
    <col min="10244" max="10244" width="9.6328125" style="2" customWidth="1"/>
    <col min="10245" max="10246" width="5.08984375" style="2" customWidth="1"/>
    <col min="10247" max="10247" width="9.6328125" style="2" customWidth="1"/>
    <col min="10248" max="10249" width="11.6328125" style="2" customWidth="1"/>
    <col min="10250" max="10250" width="15.36328125" style="2" customWidth="1"/>
    <col min="10251" max="10251" width="10.90625" style="2" customWidth="1"/>
    <col min="10252" max="10262" width="13.36328125" style="2" customWidth="1"/>
    <col min="10263" max="10263" width="13.6328125" style="2" customWidth="1"/>
    <col min="10264" max="10264" width="16.453125" style="2" customWidth="1"/>
    <col min="10265" max="10499" width="8.90625" style="2"/>
    <col min="10500" max="10500" width="9.6328125" style="2" customWidth="1"/>
    <col min="10501" max="10502" width="5.08984375" style="2" customWidth="1"/>
    <col min="10503" max="10503" width="9.6328125" style="2" customWidth="1"/>
    <col min="10504" max="10505" width="11.6328125" style="2" customWidth="1"/>
    <col min="10506" max="10506" width="15.36328125" style="2" customWidth="1"/>
    <col min="10507" max="10507" width="10.90625" style="2" customWidth="1"/>
    <col min="10508" max="10518" width="13.36328125" style="2" customWidth="1"/>
    <col min="10519" max="10519" width="13.6328125" style="2" customWidth="1"/>
    <col min="10520" max="10520" width="16.453125" style="2" customWidth="1"/>
    <col min="10521" max="10755" width="8.90625" style="2"/>
    <col min="10756" max="10756" width="9.6328125" style="2" customWidth="1"/>
    <col min="10757" max="10758" width="5.08984375" style="2" customWidth="1"/>
    <col min="10759" max="10759" width="9.6328125" style="2" customWidth="1"/>
    <col min="10760" max="10761" width="11.6328125" style="2" customWidth="1"/>
    <col min="10762" max="10762" width="15.36328125" style="2" customWidth="1"/>
    <col min="10763" max="10763" width="10.90625" style="2" customWidth="1"/>
    <col min="10764" max="10774" width="13.36328125" style="2" customWidth="1"/>
    <col min="10775" max="10775" width="13.6328125" style="2" customWidth="1"/>
    <col min="10776" max="10776" width="16.453125" style="2" customWidth="1"/>
    <col min="10777" max="11011" width="8.90625" style="2"/>
    <col min="11012" max="11012" width="9.6328125" style="2" customWidth="1"/>
    <col min="11013" max="11014" width="5.08984375" style="2" customWidth="1"/>
    <col min="11015" max="11015" width="9.6328125" style="2" customWidth="1"/>
    <col min="11016" max="11017" width="11.6328125" style="2" customWidth="1"/>
    <col min="11018" max="11018" width="15.36328125" style="2" customWidth="1"/>
    <col min="11019" max="11019" width="10.90625" style="2" customWidth="1"/>
    <col min="11020" max="11030" width="13.36328125" style="2" customWidth="1"/>
    <col min="11031" max="11031" width="13.6328125" style="2" customWidth="1"/>
    <col min="11032" max="11032" width="16.453125" style="2" customWidth="1"/>
    <col min="11033" max="11267" width="8.90625" style="2"/>
    <col min="11268" max="11268" width="9.6328125" style="2" customWidth="1"/>
    <col min="11269" max="11270" width="5.08984375" style="2" customWidth="1"/>
    <col min="11271" max="11271" width="9.6328125" style="2" customWidth="1"/>
    <col min="11272" max="11273" width="11.6328125" style="2" customWidth="1"/>
    <col min="11274" max="11274" width="15.36328125" style="2" customWidth="1"/>
    <col min="11275" max="11275" width="10.90625" style="2" customWidth="1"/>
    <col min="11276" max="11286" width="13.36328125" style="2" customWidth="1"/>
    <col min="11287" max="11287" width="13.6328125" style="2" customWidth="1"/>
    <col min="11288" max="11288" width="16.453125" style="2" customWidth="1"/>
    <col min="11289" max="11523" width="8.90625" style="2"/>
    <col min="11524" max="11524" width="9.6328125" style="2" customWidth="1"/>
    <col min="11525" max="11526" width="5.08984375" style="2" customWidth="1"/>
    <col min="11527" max="11527" width="9.6328125" style="2" customWidth="1"/>
    <col min="11528" max="11529" width="11.6328125" style="2" customWidth="1"/>
    <col min="11530" max="11530" width="15.36328125" style="2" customWidth="1"/>
    <col min="11531" max="11531" width="10.90625" style="2" customWidth="1"/>
    <col min="11532" max="11542" width="13.36328125" style="2" customWidth="1"/>
    <col min="11543" max="11543" width="13.6328125" style="2" customWidth="1"/>
    <col min="11544" max="11544" width="16.453125" style="2" customWidth="1"/>
    <col min="11545" max="11779" width="8.90625" style="2"/>
    <col min="11780" max="11780" width="9.6328125" style="2" customWidth="1"/>
    <col min="11781" max="11782" width="5.08984375" style="2" customWidth="1"/>
    <col min="11783" max="11783" width="9.6328125" style="2" customWidth="1"/>
    <col min="11784" max="11785" width="11.6328125" style="2" customWidth="1"/>
    <col min="11786" max="11786" width="15.36328125" style="2" customWidth="1"/>
    <col min="11787" max="11787" width="10.90625" style="2" customWidth="1"/>
    <col min="11788" max="11798" width="13.36328125" style="2" customWidth="1"/>
    <col min="11799" max="11799" width="13.6328125" style="2" customWidth="1"/>
    <col min="11800" max="11800" width="16.453125" style="2" customWidth="1"/>
    <col min="11801" max="12035" width="8.90625" style="2"/>
    <col min="12036" max="12036" width="9.6328125" style="2" customWidth="1"/>
    <col min="12037" max="12038" width="5.08984375" style="2" customWidth="1"/>
    <col min="12039" max="12039" width="9.6328125" style="2" customWidth="1"/>
    <col min="12040" max="12041" width="11.6328125" style="2" customWidth="1"/>
    <col min="12042" max="12042" width="15.36328125" style="2" customWidth="1"/>
    <col min="12043" max="12043" width="10.90625" style="2" customWidth="1"/>
    <col min="12044" max="12054" width="13.36328125" style="2" customWidth="1"/>
    <col min="12055" max="12055" width="13.6328125" style="2" customWidth="1"/>
    <col min="12056" max="12056" width="16.453125" style="2" customWidth="1"/>
    <col min="12057" max="12291" width="8.90625" style="2"/>
    <col min="12292" max="12292" width="9.6328125" style="2" customWidth="1"/>
    <col min="12293" max="12294" width="5.08984375" style="2" customWidth="1"/>
    <col min="12295" max="12295" width="9.6328125" style="2" customWidth="1"/>
    <col min="12296" max="12297" width="11.6328125" style="2" customWidth="1"/>
    <col min="12298" max="12298" width="15.36328125" style="2" customWidth="1"/>
    <col min="12299" max="12299" width="10.90625" style="2" customWidth="1"/>
    <col min="12300" max="12310" width="13.36328125" style="2" customWidth="1"/>
    <col min="12311" max="12311" width="13.6328125" style="2" customWidth="1"/>
    <col min="12312" max="12312" width="16.453125" style="2" customWidth="1"/>
    <col min="12313" max="12547" width="8.90625" style="2"/>
    <col min="12548" max="12548" width="9.6328125" style="2" customWidth="1"/>
    <col min="12549" max="12550" width="5.08984375" style="2" customWidth="1"/>
    <col min="12551" max="12551" width="9.6328125" style="2" customWidth="1"/>
    <col min="12552" max="12553" width="11.6328125" style="2" customWidth="1"/>
    <col min="12554" max="12554" width="15.36328125" style="2" customWidth="1"/>
    <col min="12555" max="12555" width="10.90625" style="2" customWidth="1"/>
    <col min="12556" max="12566" width="13.36328125" style="2" customWidth="1"/>
    <col min="12567" max="12567" width="13.6328125" style="2" customWidth="1"/>
    <col min="12568" max="12568" width="16.453125" style="2" customWidth="1"/>
    <col min="12569" max="12803" width="8.90625" style="2"/>
    <col min="12804" max="12804" width="9.6328125" style="2" customWidth="1"/>
    <col min="12805" max="12806" width="5.08984375" style="2" customWidth="1"/>
    <col min="12807" max="12807" width="9.6328125" style="2" customWidth="1"/>
    <col min="12808" max="12809" width="11.6328125" style="2" customWidth="1"/>
    <col min="12810" max="12810" width="15.36328125" style="2" customWidth="1"/>
    <col min="12811" max="12811" width="10.90625" style="2" customWidth="1"/>
    <col min="12812" max="12822" width="13.36328125" style="2" customWidth="1"/>
    <col min="12823" max="12823" width="13.6328125" style="2" customWidth="1"/>
    <col min="12824" max="12824" width="16.453125" style="2" customWidth="1"/>
    <col min="12825" max="13059" width="8.90625" style="2"/>
    <col min="13060" max="13060" width="9.6328125" style="2" customWidth="1"/>
    <col min="13061" max="13062" width="5.08984375" style="2" customWidth="1"/>
    <col min="13063" max="13063" width="9.6328125" style="2" customWidth="1"/>
    <col min="13064" max="13065" width="11.6328125" style="2" customWidth="1"/>
    <col min="13066" max="13066" width="15.36328125" style="2" customWidth="1"/>
    <col min="13067" max="13067" width="10.90625" style="2" customWidth="1"/>
    <col min="13068" max="13078" width="13.36328125" style="2" customWidth="1"/>
    <col min="13079" max="13079" width="13.6328125" style="2" customWidth="1"/>
    <col min="13080" max="13080" width="16.453125" style="2" customWidth="1"/>
    <col min="13081" max="13315" width="8.90625" style="2"/>
    <col min="13316" max="13316" width="9.6328125" style="2" customWidth="1"/>
    <col min="13317" max="13318" width="5.08984375" style="2" customWidth="1"/>
    <col min="13319" max="13319" width="9.6328125" style="2" customWidth="1"/>
    <col min="13320" max="13321" width="11.6328125" style="2" customWidth="1"/>
    <col min="13322" max="13322" width="15.36328125" style="2" customWidth="1"/>
    <col min="13323" max="13323" width="10.90625" style="2" customWidth="1"/>
    <col min="13324" max="13334" width="13.36328125" style="2" customWidth="1"/>
    <col min="13335" max="13335" width="13.6328125" style="2" customWidth="1"/>
    <col min="13336" max="13336" width="16.453125" style="2" customWidth="1"/>
    <col min="13337" max="13571" width="8.90625" style="2"/>
    <col min="13572" max="13572" width="9.6328125" style="2" customWidth="1"/>
    <col min="13573" max="13574" width="5.08984375" style="2" customWidth="1"/>
    <col min="13575" max="13575" width="9.6328125" style="2" customWidth="1"/>
    <col min="13576" max="13577" width="11.6328125" style="2" customWidth="1"/>
    <col min="13578" max="13578" width="15.36328125" style="2" customWidth="1"/>
    <col min="13579" max="13579" width="10.90625" style="2" customWidth="1"/>
    <col min="13580" max="13590" width="13.36328125" style="2" customWidth="1"/>
    <col min="13591" max="13591" width="13.6328125" style="2" customWidth="1"/>
    <col min="13592" max="13592" width="16.453125" style="2" customWidth="1"/>
    <col min="13593" max="13827" width="8.90625" style="2"/>
    <col min="13828" max="13828" width="9.6328125" style="2" customWidth="1"/>
    <col min="13829" max="13830" width="5.08984375" style="2" customWidth="1"/>
    <col min="13831" max="13831" width="9.6328125" style="2" customWidth="1"/>
    <col min="13832" max="13833" width="11.6328125" style="2" customWidth="1"/>
    <col min="13834" max="13834" width="15.36328125" style="2" customWidth="1"/>
    <col min="13835" max="13835" width="10.90625" style="2" customWidth="1"/>
    <col min="13836" max="13846" width="13.36328125" style="2" customWidth="1"/>
    <col min="13847" max="13847" width="13.6328125" style="2" customWidth="1"/>
    <col min="13848" max="13848" width="16.453125" style="2" customWidth="1"/>
    <col min="13849" max="14083" width="8.90625" style="2"/>
    <col min="14084" max="14084" width="9.6328125" style="2" customWidth="1"/>
    <col min="14085" max="14086" width="5.08984375" style="2" customWidth="1"/>
    <col min="14087" max="14087" width="9.6328125" style="2" customWidth="1"/>
    <col min="14088" max="14089" width="11.6328125" style="2" customWidth="1"/>
    <col min="14090" max="14090" width="15.36328125" style="2" customWidth="1"/>
    <col min="14091" max="14091" width="10.90625" style="2" customWidth="1"/>
    <col min="14092" max="14102" width="13.36328125" style="2" customWidth="1"/>
    <col min="14103" max="14103" width="13.6328125" style="2" customWidth="1"/>
    <col min="14104" max="14104" width="16.453125" style="2" customWidth="1"/>
    <col min="14105" max="14339" width="8.90625" style="2"/>
    <col min="14340" max="14340" width="9.6328125" style="2" customWidth="1"/>
    <col min="14341" max="14342" width="5.08984375" style="2" customWidth="1"/>
    <col min="14343" max="14343" width="9.6328125" style="2" customWidth="1"/>
    <col min="14344" max="14345" width="11.6328125" style="2" customWidth="1"/>
    <col min="14346" max="14346" width="15.36328125" style="2" customWidth="1"/>
    <col min="14347" max="14347" width="10.90625" style="2" customWidth="1"/>
    <col min="14348" max="14358" width="13.36328125" style="2" customWidth="1"/>
    <col min="14359" max="14359" width="13.6328125" style="2" customWidth="1"/>
    <col min="14360" max="14360" width="16.453125" style="2" customWidth="1"/>
    <col min="14361" max="14595" width="8.90625" style="2"/>
    <col min="14596" max="14596" width="9.6328125" style="2" customWidth="1"/>
    <col min="14597" max="14598" width="5.08984375" style="2" customWidth="1"/>
    <col min="14599" max="14599" width="9.6328125" style="2" customWidth="1"/>
    <col min="14600" max="14601" width="11.6328125" style="2" customWidth="1"/>
    <col min="14602" max="14602" width="15.36328125" style="2" customWidth="1"/>
    <col min="14603" max="14603" width="10.90625" style="2" customWidth="1"/>
    <col min="14604" max="14614" width="13.36328125" style="2" customWidth="1"/>
    <col min="14615" max="14615" width="13.6328125" style="2" customWidth="1"/>
    <col min="14616" max="14616" width="16.453125" style="2" customWidth="1"/>
    <col min="14617" max="14851" width="8.90625" style="2"/>
    <col min="14852" max="14852" width="9.6328125" style="2" customWidth="1"/>
    <col min="14853" max="14854" width="5.08984375" style="2" customWidth="1"/>
    <col min="14855" max="14855" width="9.6328125" style="2" customWidth="1"/>
    <col min="14856" max="14857" width="11.6328125" style="2" customWidth="1"/>
    <col min="14858" max="14858" width="15.36328125" style="2" customWidth="1"/>
    <col min="14859" max="14859" width="10.90625" style="2" customWidth="1"/>
    <col min="14860" max="14870" width="13.36328125" style="2" customWidth="1"/>
    <col min="14871" max="14871" width="13.6328125" style="2" customWidth="1"/>
    <col min="14872" max="14872" width="16.453125" style="2" customWidth="1"/>
    <col min="14873" max="15107" width="8.90625" style="2"/>
    <col min="15108" max="15108" width="9.6328125" style="2" customWidth="1"/>
    <col min="15109" max="15110" width="5.08984375" style="2" customWidth="1"/>
    <col min="15111" max="15111" width="9.6328125" style="2" customWidth="1"/>
    <col min="15112" max="15113" width="11.6328125" style="2" customWidth="1"/>
    <col min="15114" max="15114" width="15.36328125" style="2" customWidth="1"/>
    <col min="15115" max="15115" width="10.90625" style="2" customWidth="1"/>
    <col min="15116" max="15126" width="13.36328125" style="2" customWidth="1"/>
    <col min="15127" max="15127" width="13.6328125" style="2" customWidth="1"/>
    <col min="15128" max="15128" width="16.453125" style="2" customWidth="1"/>
    <col min="15129" max="15363" width="8.90625" style="2"/>
    <col min="15364" max="15364" width="9.6328125" style="2" customWidth="1"/>
    <col min="15365" max="15366" width="5.08984375" style="2" customWidth="1"/>
    <col min="15367" max="15367" width="9.6328125" style="2" customWidth="1"/>
    <col min="15368" max="15369" width="11.6328125" style="2" customWidth="1"/>
    <col min="15370" max="15370" width="15.36328125" style="2" customWidth="1"/>
    <col min="15371" max="15371" width="10.90625" style="2" customWidth="1"/>
    <col min="15372" max="15382" width="13.36328125" style="2" customWidth="1"/>
    <col min="15383" max="15383" width="13.6328125" style="2" customWidth="1"/>
    <col min="15384" max="15384" width="16.453125" style="2" customWidth="1"/>
    <col min="15385" max="15619" width="8.90625" style="2"/>
    <col min="15620" max="15620" width="9.6328125" style="2" customWidth="1"/>
    <col min="15621" max="15622" width="5.08984375" style="2" customWidth="1"/>
    <col min="15623" max="15623" width="9.6328125" style="2" customWidth="1"/>
    <col min="15624" max="15625" width="11.6328125" style="2" customWidth="1"/>
    <col min="15626" max="15626" width="15.36328125" style="2" customWidth="1"/>
    <col min="15627" max="15627" width="10.90625" style="2" customWidth="1"/>
    <col min="15628" max="15638" width="13.36328125" style="2" customWidth="1"/>
    <col min="15639" max="15639" width="13.6328125" style="2" customWidth="1"/>
    <col min="15640" max="15640" width="16.453125" style="2" customWidth="1"/>
    <col min="15641" max="15875" width="8.90625" style="2"/>
    <col min="15876" max="15876" width="9.6328125" style="2" customWidth="1"/>
    <col min="15877" max="15878" width="5.08984375" style="2" customWidth="1"/>
    <col min="15879" max="15879" width="9.6328125" style="2" customWidth="1"/>
    <col min="15880" max="15881" width="11.6328125" style="2" customWidth="1"/>
    <col min="15882" max="15882" width="15.36328125" style="2" customWidth="1"/>
    <col min="15883" max="15883" width="10.90625" style="2" customWidth="1"/>
    <col min="15884" max="15894" width="13.36328125" style="2" customWidth="1"/>
    <col min="15895" max="15895" width="13.6328125" style="2" customWidth="1"/>
    <col min="15896" max="15896" width="16.453125" style="2" customWidth="1"/>
    <col min="15897" max="16131" width="8.90625" style="2"/>
    <col min="16132" max="16132" width="9.6328125" style="2" customWidth="1"/>
    <col min="16133" max="16134" width="5.08984375" style="2" customWidth="1"/>
    <col min="16135" max="16135" width="9.6328125" style="2" customWidth="1"/>
    <col min="16136" max="16137" width="11.6328125" style="2" customWidth="1"/>
    <col min="16138" max="16138" width="15.36328125" style="2" customWidth="1"/>
    <col min="16139" max="16139" width="10.90625" style="2" customWidth="1"/>
    <col min="16140" max="16150" width="13.36328125" style="2" customWidth="1"/>
    <col min="16151" max="16151" width="13.6328125" style="2" customWidth="1"/>
    <col min="16152" max="16152" width="16.453125" style="2" customWidth="1"/>
    <col min="16153" max="16383" width="8.90625" style="2"/>
    <col min="16384" max="16384" width="9" style="2" customWidth="1"/>
  </cols>
  <sheetData>
    <row r="1" spans="1:26" s="127" customFormat="1" ht="36">
      <c r="A1" s="230" t="s">
        <v>83</v>
      </c>
      <c r="B1" s="230" t="s">
        <v>84</v>
      </c>
      <c r="C1" s="133" t="s">
        <v>56</v>
      </c>
      <c r="D1" s="134" t="s">
        <v>0</v>
      </c>
      <c r="E1" s="134" t="s">
        <v>1</v>
      </c>
      <c r="F1" s="135" t="s">
        <v>2</v>
      </c>
      <c r="G1" s="135" t="s">
        <v>58</v>
      </c>
      <c r="H1" s="135" t="s">
        <v>3</v>
      </c>
      <c r="I1" s="136" t="s">
        <v>4</v>
      </c>
      <c r="J1" s="137" t="s">
        <v>5</v>
      </c>
      <c r="K1" s="3" t="s">
        <v>6</v>
      </c>
      <c r="L1" s="332" t="s">
        <v>7</v>
      </c>
      <c r="M1" s="238" t="s">
        <v>8</v>
      </c>
      <c r="N1" s="238" t="s">
        <v>9</v>
      </c>
      <c r="O1" s="238" t="s">
        <v>10</v>
      </c>
      <c r="P1" s="238" t="s">
        <v>11</v>
      </c>
      <c r="Q1" s="238" t="s">
        <v>12</v>
      </c>
      <c r="R1" s="238" t="s">
        <v>13</v>
      </c>
      <c r="S1" s="238" t="s">
        <v>14</v>
      </c>
      <c r="T1" s="238" t="s">
        <v>15</v>
      </c>
      <c r="U1" s="238" t="s">
        <v>16</v>
      </c>
      <c r="V1" s="238" t="s">
        <v>17</v>
      </c>
      <c r="W1" s="231" t="s">
        <v>18</v>
      </c>
      <c r="X1" s="235" t="s">
        <v>19</v>
      </c>
    </row>
    <row r="2" spans="1:26" s="1" customFormat="1">
      <c r="A2" s="112"/>
      <c r="B2" s="72"/>
      <c r="C2" s="548" t="s">
        <v>156</v>
      </c>
      <c r="D2" s="549"/>
      <c r="E2" s="549"/>
      <c r="F2" s="549"/>
      <c r="G2" s="549"/>
      <c r="H2" s="549"/>
      <c r="I2" s="549"/>
      <c r="J2" s="550"/>
      <c r="K2" s="164" t="s">
        <v>20</v>
      </c>
      <c r="L2" s="385">
        <f>L137</f>
        <v>5097600</v>
      </c>
      <c r="M2" s="436">
        <f t="shared" ref="M2:W3" si="0">M137</f>
        <v>4924750</v>
      </c>
      <c r="N2" s="436">
        <f t="shared" si="0"/>
        <v>4957050</v>
      </c>
      <c r="O2" s="436">
        <f t="shared" si="0"/>
        <v>5049400</v>
      </c>
      <c r="P2" s="436">
        <f t="shared" si="0"/>
        <v>4693700</v>
      </c>
      <c r="Q2" s="436">
        <f t="shared" si="0"/>
        <v>4794295</v>
      </c>
      <c r="R2" s="436">
        <f t="shared" si="0"/>
        <v>4373550</v>
      </c>
      <c r="S2" s="436">
        <f t="shared" si="0"/>
        <v>4130180</v>
      </c>
      <c r="T2" s="436">
        <f t="shared" si="0"/>
        <v>4824760</v>
      </c>
      <c r="U2" s="436">
        <f t="shared" si="0"/>
        <v>6110710</v>
      </c>
      <c r="V2" s="436">
        <f t="shared" si="0"/>
        <v>6033925</v>
      </c>
      <c r="W2" s="118">
        <f t="shared" si="0"/>
        <v>6412600</v>
      </c>
      <c r="X2" s="38">
        <f>SUM(L2:W2)</f>
        <v>61402520</v>
      </c>
      <c r="Z2" s="70"/>
    </row>
    <row r="3" spans="1:26" s="1" customFormat="1">
      <c r="A3" s="112"/>
      <c r="B3" s="72"/>
      <c r="C3" s="551"/>
      <c r="D3" s="552"/>
      <c r="E3" s="552"/>
      <c r="F3" s="552"/>
      <c r="G3" s="552"/>
      <c r="H3" s="552"/>
      <c r="I3" s="552"/>
      <c r="J3" s="553"/>
      <c r="K3" s="165" t="s">
        <v>21</v>
      </c>
      <c r="L3" s="386">
        <f>L138</f>
        <v>3846091</v>
      </c>
      <c r="M3" s="429">
        <f t="shared" si="0"/>
        <v>3740385</v>
      </c>
      <c r="N3" s="429">
        <f t="shared" si="0"/>
        <v>3815448</v>
      </c>
      <c r="O3" s="429">
        <f t="shared" si="0"/>
        <v>3977832</v>
      </c>
      <c r="P3" s="429">
        <f t="shared" si="0"/>
        <v>3788701</v>
      </c>
      <c r="Q3" s="429">
        <f t="shared" si="0"/>
        <v>3631814</v>
      </c>
      <c r="R3" s="429">
        <f t="shared" si="0"/>
        <v>3207288</v>
      </c>
      <c r="S3" s="429">
        <f t="shared" si="0"/>
        <v>3338455</v>
      </c>
      <c r="T3" s="429">
        <f t="shared" si="0"/>
        <v>3616998</v>
      </c>
      <c r="U3" s="429">
        <f t="shared" si="0"/>
        <v>4609267</v>
      </c>
      <c r="V3" s="429">
        <f t="shared" si="0"/>
        <v>4553072</v>
      </c>
      <c r="W3" s="85">
        <f t="shared" si="0"/>
        <v>4605472</v>
      </c>
      <c r="X3" s="11">
        <f t="shared" ref="X3:X15" si="1">SUM(L3:W3)</f>
        <v>46730823</v>
      </c>
      <c r="Z3" s="70"/>
    </row>
    <row r="4" spans="1:26" s="1" customFormat="1" ht="12.5" thickBot="1">
      <c r="A4" s="112"/>
      <c r="B4" s="72"/>
      <c r="C4" s="676"/>
      <c r="D4" s="677"/>
      <c r="E4" s="677"/>
      <c r="F4" s="677"/>
      <c r="G4" s="677"/>
      <c r="H4" s="677"/>
      <c r="I4" s="677"/>
      <c r="J4" s="678"/>
      <c r="K4" s="166" t="s">
        <v>22</v>
      </c>
      <c r="L4" s="387">
        <f>L2-L3</f>
        <v>1251509</v>
      </c>
      <c r="M4" s="430">
        <f>M2-M3</f>
        <v>1184365</v>
      </c>
      <c r="N4" s="430">
        <f t="shared" ref="N4:W4" si="2">N2-N3</f>
        <v>1141602</v>
      </c>
      <c r="O4" s="430">
        <f t="shared" si="2"/>
        <v>1071568</v>
      </c>
      <c r="P4" s="430">
        <f t="shared" si="2"/>
        <v>904999</v>
      </c>
      <c r="Q4" s="430">
        <f t="shared" si="2"/>
        <v>1162481</v>
      </c>
      <c r="R4" s="430">
        <f t="shared" si="2"/>
        <v>1166262</v>
      </c>
      <c r="S4" s="430">
        <f t="shared" si="2"/>
        <v>791725</v>
      </c>
      <c r="T4" s="430">
        <f t="shared" si="2"/>
        <v>1207762</v>
      </c>
      <c r="U4" s="430">
        <f>U2-U3</f>
        <v>1501443</v>
      </c>
      <c r="V4" s="430">
        <f>V2-V3</f>
        <v>1480853</v>
      </c>
      <c r="W4" s="86">
        <f t="shared" si="2"/>
        <v>1807128</v>
      </c>
      <c r="X4" s="12">
        <f t="shared" si="1"/>
        <v>14671697</v>
      </c>
      <c r="Z4" s="70"/>
    </row>
    <row r="5" spans="1:26" ht="12.75" customHeight="1" thickTop="1">
      <c r="A5" s="113">
        <v>2012006</v>
      </c>
      <c r="C5" s="641">
        <v>1</v>
      </c>
      <c r="D5" s="644" t="s">
        <v>59</v>
      </c>
      <c r="E5" s="644"/>
      <c r="F5" s="644"/>
      <c r="G5" s="644" t="s">
        <v>157</v>
      </c>
      <c r="H5" s="644" t="s">
        <v>38</v>
      </c>
      <c r="I5" s="647" t="s">
        <v>41</v>
      </c>
      <c r="J5" s="628" t="s">
        <v>65</v>
      </c>
      <c r="K5" s="176" t="s">
        <v>23</v>
      </c>
      <c r="L5" s="353">
        <f t="shared" ref="L5:W5" si="3">L6+L7</f>
        <v>769000</v>
      </c>
      <c r="M5" s="409">
        <f t="shared" si="3"/>
        <v>769000</v>
      </c>
      <c r="N5" s="409">
        <f t="shared" si="3"/>
        <v>769000</v>
      </c>
      <c r="O5" s="409">
        <f t="shared" si="3"/>
        <v>805075</v>
      </c>
      <c r="P5" s="409">
        <f t="shared" si="3"/>
        <v>769000</v>
      </c>
      <c r="Q5" s="409">
        <f t="shared" si="3"/>
        <v>769000</v>
      </c>
      <c r="R5" s="409">
        <f t="shared" si="3"/>
        <v>769000</v>
      </c>
      <c r="S5" s="409">
        <f t="shared" si="3"/>
        <v>769000</v>
      </c>
      <c r="T5" s="409">
        <f t="shared" si="3"/>
        <v>769000</v>
      </c>
      <c r="U5" s="409">
        <f t="shared" si="3"/>
        <v>769000</v>
      </c>
      <c r="V5" s="409">
        <f t="shared" si="3"/>
        <v>769000</v>
      </c>
      <c r="W5" s="97">
        <f t="shared" si="3"/>
        <v>769000</v>
      </c>
      <c r="X5" s="117">
        <f t="shared" si="1"/>
        <v>9264075</v>
      </c>
      <c r="Z5" s="69"/>
    </row>
    <row r="6" spans="1:26">
      <c r="A6" s="114">
        <f t="shared" ref="A6:A16" si="4">+A5</f>
        <v>2012006</v>
      </c>
      <c r="B6" s="74"/>
      <c r="C6" s="642"/>
      <c r="D6" s="645"/>
      <c r="E6" s="645"/>
      <c r="F6" s="645"/>
      <c r="G6" s="645"/>
      <c r="H6" s="645"/>
      <c r="I6" s="648"/>
      <c r="J6" s="629"/>
      <c r="K6" s="172" t="s">
        <v>24</v>
      </c>
      <c r="L6" s="362">
        <v>769000</v>
      </c>
      <c r="M6" s="301">
        <v>769000</v>
      </c>
      <c r="N6" s="301">
        <v>769000</v>
      </c>
      <c r="O6" s="301">
        <v>805075</v>
      </c>
      <c r="P6" s="301">
        <v>769000</v>
      </c>
      <c r="Q6" s="301">
        <v>769000</v>
      </c>
      <c r="R6" s="301">
        <v>769000</v>
      </c>
      <c r="S6" s="301">
        <v>769000</v>
      </c>
      <c r="T6" s="301">
        <v>769000</v>
      </c>
      <c r="U6" s="301">
        <v>769000</v>
      </c>
      <c r="V6" s="301">
        <v>769000</v>
      </c>
      <c r="W6" s="102">
        <v>769000</v>
      </c>
      <c r="X6" s="49">
        <f t="shared" si="1"/>
        <v>9264075</v>
      </c>
      <c r="Y6" s="69"/>
      <c r="Z6" s="69"/>
    </row>
    <row r="7" spans="1:26">
      <c r="A7" s="114">
        <f t="shared" si="4"/>
        <v>2012006</v>
      </c>
      <c r="B7" s="74"/>
      <c r="C7" s="642"/>
      <c r="D7" s="645"/>
      <c r="E7" s="645"/>
      <c r="F7" s="645"/>
      <c r="G7" s="645"/>
      <c r="H7" s="645"/>
      <c r="I7" s="648"/>
      <c r="J7" s="629"/>
      <c r="K7" s="172" t="s">
        <v>25</v>
      </c>
      <c r="L7" s="392"/>
      <c r="M7" s="297"/>
      <c r="N7" s="297"/>
      <c r="O7" s="297"/>
      <c r="P7" s="297"/>
      <c r="Q7" s="297"/>
      <c r="R7" s="297"/>
      <c r="S7" s="297"/>
      <c r="T7" s="297"/>
      <c r="U7" s="297"/>
      <c r="V7" s="297"/>
      <c r="W7" s="91"/>
      <c r="X7" s="49">
        <f t="shared" si="1"/>
        <v>0</v>
      </c>
      <c r="Z7" s="69"/>
    </row>
    <row r="8" spans="1:26">
      <c r="A8" s="114">
        <f t="shared" si="4"/>
        <v>2012006</v>
      </c>
      <c r="B8" s="74"/>
      <c r="C8" s="642"/>
      <c r="D8" s="645"/>
      <c r="E8" s="645"/>
      <c r="F8" s="645"/>
      <c r="G8" s="645"/>
      <c r="H8" s="645"/>
      <c r="I8" s="648"/>
      <c r="J8" s="629"/>
      <c r="K8" s="173" t="s">
        <v>26</v>
      </c>
      <c r="L8" s="355">
        <f t="shared" ref="L8:W8" si="5">SUM(L9:L15)</f>
        <v>596376</v>
      </c>
      <c r="M8" s="411">
        <f t="shared" si="5"/>
        <v>595972</v>
      </c>
      <c r="N8" s="411">
        <f t="shared" si="5"/>
        <v>594945</v>
      </c>
      <c r="O8" s="411">
        <f t="shared" si="5"/>
        <v>613409</v>
      </c>
      <c r="P8" s="411">
        <f t="shared" si="5"/>
        <v>593329</v>
      </c>
      <c r="Q8" s="411">
        <f t="shared" si="5"/>
        <v>595618</v>
      </c>
      <c r="R8" s="411">
        <f t="shared" si="5"/>
        <v>584302</v>
      </c>
      <c r="S8" s="411">
        <f t="shared" si="5"/>
        <v>596560</v>
      </c>
      <c r="T8" s="411">
        <f t="shared" si="5"/>
        <v>596695</v>
      </c>
      <c r="U8" s="411">
        <f t="shared" si="5"/>
        <v>594810</v>
      </c>
      <c r="V8" s="411">
        <f t="shared" si="5"/>
        <v>593915</v>
      </c>
      <c r="W8" s="99">
        <f t="shared" si="5"/>
        <v>596376</v>
      </c>
      <c r="X8" s="50">
        <f t="shared" si="1"/>
        <v>7152307</v>
      </c>
      <c r="Z8" s="69"/>
    </row>
    <row r="9" spans="1:26">
      <c r="A9" s="114">
        <f t="shared" si="4"/>
        <v>2012006</v>
      </c>
      <c r="B9" s="74"/>
      <c r="C9" s="642"/>
      <c r="D9" s="645"/>
      <c r="E9" s="645"/>
      <c r="F9" s="645"/>
      <c r="G9" s="645"/>
      <c r="H9" s="645"/>
      <c r="I9" s="648"/>
      <c r="J9" s="629"/>
      <c r="K9" s="174" t="s">
        <v>27</v>
      </c>
      <c r="L9" s="343">
        <v>511800</v>
      </c>
      <c r="M9" s="297">
        <v>511400</v>
      </c>
      <c r="N9" s="297">
        <v>512600</v>
      </c>
      <c r="O9" s="297">
        <v>526474</v>
      </c>
      <c r="P9" s="297">
        <v>511000</v>
      </c>
      <c r="Q9" s="297">
        <v>511800</v>
      </c>
      <c r="R9" s="297">
        <v>505000</v>
      </c>
      <c r="S9" s="297">
        <v>509800</v>
      </c>
      <c r="T9" s="297">
        <v>511400</v>
      </c>
      <c r="U9" s="297">
        <v>511000</v>
      </c>
      <c r="V9" s="297">
        <v>511400</v>
      </c>
      <c r="W9" s="91">
        <v>511800</v>
      </c>
      <c r="X9" s="49">
        <f t="shared" si="1"/>
        <v>6145474</v>
      </c>
      <c r="Y9" s="69"/>
      <c r="Z9" s="69"/>
    </row>
    <row r="10" spans="1:26">
      <c r="A10" s="114">
        <f t="shared" si="4"/>
        <v>2012006</v>
      </c>
      <c r="B10" s="74"/>
      <c r="C10" s="642"/>
      <c r="D10" s="645"/>
      <c r="E10" s="645"/>
      <c r="F10" s="645"/>
      <c r="G10" s="645"/>
      <c r="H10" s="645"/>
      <c r="I10" s="648"/>
      <c r="J10" s="629"/>
      <c r="K10" s="174" t="s">
        <v>34</v>
      </c>
      <c r="L10" s="343"/>
      <c r="M10" s="297"/>
      <c r="N10" s="297"/>
      <c r="O10" s="297"/>
      <c r="P10" s="297"/>
      <c r="Q10" s="297"/>
      <c r="R10" s="297"/>
      <c r="S10" s="297"/>
      <c r="T10" s="297"/>
      <c r="U10" s="297"/>
      <c r="V10" s="297"/>
      <c r="W10" s="91"/>
      <c r="X10" s="49">
        <f t="shared" si="1"/>
        <v>0</v>
      </c>
      <c r="Y10" s="69"/>
      <c r="Z10" s="69"/>
    </row>
    <row r="11" spans="1:26">
      <c r="A11" s="114">
        <f t="shared" si="4"/>
        <v>2012006</v>
      </c>
      <c r="B11" s="74"/>
      <c r="C11" s="642"/>
      <c r="D11" s="645"/>
      <c r="E11" s="645"/>
      <c r="F11" s="645"/>
      <c r="G11" s="645"/>
      <c r="H11" s="645"/>
      <c r="I11" s="648"/>
      <c r="J11" s="629"/>
      <c r="K11" s="174" t="s">
        <v>28</v>
      </c>
      <c r="L11" s="343">
        <v>5148</v>
      </c>
      <c r="M11" s="297">
        <v>5148</v>
      </c>
      <c r="N11" s="297">
        <v>2932</v>
      </c>
      <c r="O11" s="297">
        <v>7330</v>
      </c>
      <c r="P11" s="297">
        <v>2932</v>
      </c>
      <c r="Q11" s="297">
        <v>4398</v>
      </c>
      <c r="R11" s="297">
        <v>0</v>
      </c>
      <c r="S11" s="297">
        <v>7330</v>
      </c>
      <c r="T11" s="297">
        <v>5864</v>
      </c>
      <c r="U11" s="297">
        <v>4398</v>
      </c>
      <c r="V11" s="297">
        <v>2932</v>
      </c>
      <c r="W11" s="91">
        <v>5148</v>
      </c>
      <c r="X11" s="49">
        <f t="shared" si="1"/>
        <v>53560</v>
      </c>
      <c r="Y11" s="69"/>
      <c r="Z11" s="69"/>
    </row>
    <row r="12" spans="1:26">
      <c r="A12" s="114">
        <f t="shared" si="4"/>
        <v>2012006</v>
      </c>
      <c r="B12" s="74"/>
      <c r="C12" s="642"/>
      <c r="D12" s="645"/>
      <c r="E12" s="645"/>
      <c r="F12" s="645"/>
      <c r="G12" s="645"/>
      <c r="H12" s="645"/>
      <c r="I12" s="648"/>
      <c r="J12" s="629"/>
      <c r="K12" s="174" t="s">
        <v>29</v>
      </c>
      <c r="L12" s="343">
        <v>28250</v>
      </c>
      <c r="M12" s="297">
        <v>28250</v>
      </c>
      <c r="N12" s="297">
        <v>28250</v>
      </c>
      <c r="O12" s="297">
        <v>28250</v>
      </c>
      <c r="P12" s="297">
        <v>28250</v>
      </c>
      <c r="Q12" s="297">
        <v>28250</v>
      </c>
      <c r="R12" s="297">
        <v>28250</v>
      </c>
      <c r="S12" s="297">
        <v>28250</v>
      </c>
      <c r="T12" s="297">
        <v>28250</v>
      </c>
      <c r="U12" s="297">
        <v>28250</v>
      </c>
      <c r="V12" s="297">
        <v>28250</v>
      </c>
      <c r="W12" s="91">
        <v>28250</v>
      </c>
      <c r="X12" s="49">
        <f t="shared" si="1"/>
        <v>339000</v>
      </c>
      <c r="Y12" s="69"/>
      <c r="Z12" s="69"/>
    </row>
    <row r="13" spans="1:26">
      <c r="A13" s="114">
        <f t="shared" si="4"/>
        <v>2012006</v>
      </c>
      <c r="B13" s="74"/>
      <c r="C13" s="642"/>
      <c r="D13" s="645"/>
      <c r="E13" s="645"/>
      <c r="F13" s="645"/>
      <c r="G13" s="645"/>
      <c r="H13" s="645"/>
      <c r="I13" s="648"/>
      <c r="J13" s="629"/>
      <c r="K13" s="174" t="s">
        <v>30</v>
      </c>
      <c r="L13" s="343">
        <v>45750</v>
      </c>
      <c r="M13" s="297">
        <v>45750</v>
      </c>
      <c r="N13" s="297">
        <v>45750</v>
      </c>
      <c r="O13" s="297">
        <v>45750</v>
      </c>
      <c r="P13" s="297">
        <v>45750</v>
      </c>
      <c r="Q13" s="297">
        <v>45750</v>
      </c>
      <c r="R13" s="297">
        <v>45750</v>
      </c>
      <c r="S13" s="297">
        <v>45750</v>
      </c>
      <c r="T13" s="297">
        <v>45750</v>
      </c>
      <c r="U13" s="297">
        <v>45750</v>
      </c>
      <c r="V13" s="297">
        <v>45750</v>
      </c>
      <c r="W13" s="91">
        <v>45750</v>
      </c>
      <c r="X13" s="49">
        <f t="shared" si="1"/>
        <v>549000</v>
      </c>
      <c r="Y13" s="69"/>
      <c r="Z13" s="69"/>
    </row>
    <row r="14" spans="1:26">
      <c r="A14" s="114">
        <f t="shared" si="4"/>
        <v>2012006</v>
      </c>
      <c r="B14" s="74"/>
      <c r="C14" s="642"/>
      <c r="D14" s="645"/>
      <c r="E14" s="645"/>
      <c r="F14" s="645"/>
      <c r="G14" s="645"/>
      <c r="H14" s="645"/>
      <c r="I14" s="648"/>
      <c r="J14" s="629"/>
      <c r="K14" s="174" t="s">
        <v>31</v>
      </c>
      <c r="L14" s="343">
        <v>2585</v>
      </c>
      <c r="M14" s="297">
        <v>2583</v>
      </c>
      <c r="N14" s="297">
        <v>2578</v>
      </c>
      <c r="O14" s="297">
        <v>2669</v>
      </c>
      <c r="P14" s="297">
        <v>2570</v>
      </c>
      <c r="Q14" s="297">
        <v>2581</v>
      </c>
      <c r="R14" s="297">
        <v>2525</v>
      </c>
      <c r="S14" s="297">
        <v>2586</v>
      </c>
      <c r="T14" s="297">
        <v>2586</v>
      </c>
      <c r="U14" s="297">
        <v>2577</v>
      </c>
      <c r="V14" s="297">
        <v>2659</v>
      </c>
      <c r="W14" s="91">
        <v>2585</v>
      </c>
      <c r="X14" s="49">
        <f t="shared" si="1"/>
        <v>31084</v>
      </c>
      <c r="Y14" s="69"/>
      <c r="Z14" s="69"/>
    </row>
    <row r="15" spans="1:26">
      <c r="A15" s="114">
        <f t="shared" si="4"/>
        <v>2012006</v>
      </c>
      <c r="B15" s="74"/>
      <c r="C15" s="642"/>
      <c r="D15" s="645"/>
      <c r="E15" s="645"/>
      <c r="F15" s="645"/>
      <c r="G15" s="645"/>
      <c r="H15" s="645"/>
      <c r="I15" s="648"/>
      <c r="J15" s="629"/>
      <c r="K15" s="210" t="s">
        <v>32</v>
      </c>
      <c r="L15" s="343">
        <v>2843</v>
      </c>
      <c r="M15" s="297">
        <v>2841</v>
      </c>
      <c r="N15" s="297">
        <v>2835</v>
      </c>
      <c r="O15" s="297">
        <v>2936</v>
      </c>
      <c r="P15" s="297">
        <v>2827</v>
      </c>
      <c r="Q15" s="297">
        <v>2839</v>
      </c>
      <c r="R15" s="297">
        <v>2777</v>
      </c>
      <c r="S15" s="297">
        <v>2844</v>
      </c>
      <c r="T15" s="297">
        <v>2845</v>
      </c>
      <c r="U15" s="297">
        <v>2835</v>
      </c>
      <c r="V15" s="297">
        <v>2924</v>
      </c>
      <c r="W15" s="91">
        <v>2843</v>
      </c>
      <c r="X15" s="49">
        <f t="shared" si="1"/>
        <v>34189</v>
      </c>
      <c r="Y15" s="69"/>
      <c r="Z15" s="69"/>
    </row>
    <row r="16" spans="1:26">
      <c r="A16" s="114">
        <f t="shared" si="4"/>
        <v>2012006</v>
      </c>
      <c r="B16" s="74"/>
      <c r="C16" s="654"/>
      <c r="D16" s="655"/>
      <c r="E16" s="655"/>
      <c r="F16" s="655"/>
      <c r="G16" s="655"/>
      <c r="H16" s="655"/>
      <c r="I16" s="652"/>
      <c r="J16" s="630"/>
      <c r="K16" s="170" t="s">
        <v>33</v>
      </c>
      <c r="L16" s="379">
        <f t="shared" ref="L16:X16" si="6">L5-L8</f>
        <v>172624</v>
      </c>
      <c r="M16" s="405">
        <f t="shared" si="6"/>
        <v>173028</v>
      </c>
      <c r="N16" s="405">
        <f t="shared" si="6"/>
        <v>174055</v>
      </c>
      <c r="O16" s="405">
        <f t="shared" si="6"/>
        <v>191666</v>
      </c>
      <c r="P16" s="405">
        <f t="shared" si="6"/>
        <v>175671</v>
      </c>
      <c r="Q16" s="405">
        <f t="shared" si="6"/>
        <v>173382</v>
      </c>
      <c r="R16" s="405">
        <f t="shared" si="6"/>
        <v>184698</v>
      </c>
      <c r="S16" s="405">
        <f t="shared" si="6"/>
        <v>172440</v>
      </c>
      <c r="T16" s="405">
        <f t="shared" si="6"/>
        <v>172305</v>
      </c>
      <c r="U16" s="405">
        <f t="shared" si="6"/>
        <v>174190</v>
      </c>
      <c r="V16" s="405">
        <f t="shared" si="6"/>
        <v>175085</v>
      </c>
      <c r="W16" s="212">
        <f t="shared" si="6"/>
        <v>172624</v>
      </c>
      <c r="X16" s="51">
        <f t="shared" si="6"/>
        <v>2111768</v>
      </c>
      <c r="Z16" s="69"/>
    </row>
    <row r="17" spans="1:26" ht="12" customHeight="1">
      <c r="A17" s="116">
        <v>2023017</v>
      </c>
      <c r="C17" s="641">
        <f>C5+1</f>
        <v>2</v>
      </c>
      <c r="D17" s="644" t="s">
        <v>59</v>
      </c>
      <c r="E17" s="644"/>
      <c r="F17" s="644"/>
      <c r="G17" s="645" t="s">
        <v>158</v>
      </c>
      <c r="H17" s="647"/>
      <c r="I17" s="647"/>
      <c r="J17" s="628" t="s">
        <v>54</v>
      </c>
      <c r="K17" s="181" t="s">
        <v>23</v>
      </c>
      <c r="L17" s="339">
        <f t="shared" ref="L17:W17" si="7">L18+L19</f>
        <v>430000</v>
      </c>
      <c r="M17" s="406">
        <f t="shared" si="7"/>
        <v>430000</v>
      </c>
      <c r="N17" s="406">
        <f t="shared" si="7"/>
        <v>430000</v>
      </c>
      <c r="O17" s="406">
        <f t="shared" si="7"/>
        <v>430000</v>
      </c>
      <c r="P17" s="406">
        <f t="shared" si="7"/>
        <v>425965</v>
      </c>
      <c r="Q17" s="406">
        <f t="shared" si="7"/>
        <v>430000</v>
      </c>
      <c r="R17" s="406">
        <f t="shared" si="7"/>
        <v>430000</v>
      </c>
      <c r="S17" s="406">
        <f t="shared" si="7"/>
        <v>384270</v>
      </c>
      <c r="T17" s="406">
        <f t="shared" si="7"/>
        <v>430000</v>
      </c>
      <c r="U17" s="406">
        <f t="shared" si="7"/>
        <v>405790</v>
      </c>
      <c r="V17" s="406">
        <f t="shared" si="7"/>
        <v>382925</v>
      </c>
      <c r="W17" s="94">
        <f t="shared" si="7"/>
        <v>430000</v>
      </c>
      <c r="X17" s="32">
        <f t="shared" ref="X17:X27" si="8">SUM(L17:W17)</f>
        <v>5038950</v>
      </c>
      <c r="Z17" s="69"/>
    </row>
    <row r="18" spans="1:26">
      <c r="A18" s="114">
        <f>+A17</f>
        <v>2023017</v>
      </c>
      <c r="B18" s="74"/>
      <c r="C18" s="642"/>
      <c r="D18" s="645"/>
      <c r="E18" s="645"/>
      <c r="F18" s="645"/>
      <c r="G18" s="645"/>
      <c r="H18" s="648"/>
      <c r="I18" s="648"/>
      <c r="J18" s="629"/>
      <c r="K18" s="168" t="s">
        <v>24</v>
      </c>
      <c r="L18" s="388">
        <v>430000</v>
      </c>
      <c r="M18" s="437">
        <v>430000</v>
      </c>
      <c r="N18" s="437">
        <v>430000</v>
      </c>
      <c r="O18" s="437">
        <v>430000</v>
      </c>
      <c r="P18" s="437">
        <v>425965</v>
      </c>
      <c r="Q18" s="437">
        <v>430000</v>
      </c>
      <c r="R18" s="437">
        <v>430000</v>
      </c>
      <c r="S18" s="437">
        <v>384270</v>
      </c>
      <c r="T18" s="437">
        <v>430000</v>
      </c>
      <c r="U18" s="437">
        <v>405790</v>
      </c>
      <c r="V18" s="437">
        <v>382925</v>
      </c>
      <c r="W18" s="320">
        <v>430000</v>
      </c>
      <c r="X18" s="14">
        <f t="shared" si="8"/>
        <v>5038950</v>
      </c>
      <c r="Y18" s="69"/>
      <c r="Z18" s="69"/>
    </row>
    <row r="19" spans="1:26">
      <c r="A19" s="114">
        <f>+A18</f>
        <v>2023017</v>
      </c>
      <c r="B19" s="74"/>
      <c r="C19" s="642"/>
      <c r="D19" s="645"/>
      <c r="E19" s="645"/>
      <c r="F19" s="645"/>
      <c r="G19" s="645"/>
      <c r="H19" s="648"/>
      <c r="I19" s="648"/>
      <c r="J19" s="629"/>
      <c r="K19" s="168" t="s">
        <v>25</v>
      </c>
      <c r="L19" s="389"/>
      <c r="M19" s="410"/>
      <c r="N19" s="410"/>
      <c r="O19" s="410"/>
      <c r="P19" s="410"/>
      <c r="Q19" s="410"/>
      <c r="R19" s="410"/>
      <c r="S19" s="410"/>
      <c r="T19" s="410"/>
      <c r="U19" s="410"/>
      <c r="V19" s="410"/>
      <c r="W19" s="88"/>
      <c r="X19" s="14">
        <f t="shared" si="8"/>
        <v>0</v>
      </c>
      <c r="Z19" s="69"/>
    </row>
    <row r="20" spans="1:26">
      <c r="A20" s="114">
        <f t="shared" ref="A20:A27" si="9">+A19</f>
        <v>2023017</v>
      </c>
      <c r="B20" s="74"/>
      <c r="C20" s="642"/>
      <c r="D20" s="645"/>
      <c r="E20" s="645"/>
      <c r="F20" s="645"/>
      <c r="G20" s="645"/>
      <c r="H20" s="648"/>
      <c r="I20" s="648"/>
      <c r="J20" s="629"/>
      <c r="K20" s="169" t="s">
        <v>26</v>
      </c>
      <c r="L20" s="390">
        <f t="shared" ref="L20:W20" si="10">SUM(L21:L27)</f>
        <v>302376</v>
      </c>
      <c r="M20" s="426">
        <f t="shared" si="10"/>
        <v>302376</v>
      </c>
      <c r="N20" s="426">
        <f t="shared" si="10"/>
        <v>302376</v>
      </c>
      <c r="O20" s="426">
        <f t="shared" si="10"/>
        <v>302376</v>
      </c>
      <c r="P20" s="426">
        <f t="shared" si="10"/>
        <v>331252</v>
      </c>
      <c r="Q20" s="426">
        <f t="shared" si="10"/>
        <v>302376</v>
      </c>
      <c r="R20" s="426">
        <f t="shared" si="10"/>
        <v>301942</v>
      </c>
      <c r="S20" s="426">
        <f t="shared" si="10"/>
        <v>301942</v>
      </c>
      <c r="T20" s="426">
        <f t="shared" si="10"/>
        <v>301994</v>
      </c>
      <c r="U20" s="426">
        <f t="shared" si="10"/>
        <v>307429</v>
      </c>
      <c r="V20" s="426">
        <f t="shared" si="10"/>
        <v>307611</v>
      </c>
      <c r="W20" s="89">
        <f t="shared" si="10"/>
        <v>302376</v>
      </c>
      <c r="X20" s="15">
        <f t="shared" si="8"/>
        <v>3666426</v>
      </c>
      <c r="Z20" s="69"/>
    </row>
    <row r="21" spans="1:26">
      <c r="A21" s="114">
        <f t="shared" si="9"/>
        <v>2023017</v>
      </c>
      <c r="B21" s="74"/>
      <c r="C21" s="642"/>
      <c r="D21" s="645"/>
      <c r="E21" s="645"/>
      <c r="F21" s="645"/>
      <c r="G21" s="645"/>
      <c r="H21" s="648"/>
      <c r="I21" s="648"/>
      <c r="J21" s="629"/>
      <c r="K21" s="168" t="s">
        <v>27</v>
      </c>
      <c r="L21" s="389">
        <v>250000</v>
      </c>
      <c r="M21" s="438">
        <v>250000</v>
      </c>
      <c r="N21" s="438">
        <v>250000</v>
      </c>
      <c r="O21" s="438">
        <v>250000</v>
      </c>
      <c r="P21" s="438">
        <v>280000</v>
      </c>
      <c r="Q21" s="438">
        <v>250000</v>
      </c>
      <c r="R21" s="438">
        <v>250000</v>
      </c>
      <c r="S21" s="438">
        <v>250000</v>
      </c>
      <c r="T21" s="438">
        <v>250000</v>
      </c>
      <c r="U21" s="438">
        <v>255000</v>
      </c>
      <c r="V21" s="438">
        <v>255000</v>
      </c>
      <c r="W21" s="321">
        <v>250000</v>
      </c>
      <c r="X21" s="14">
        <f t="shared" si="8"/>
        <v>3040000</v>
      </c>
      <c r="Y21" s="69"/>
      <c r="Z21" s="69"/>
    </row>
    <row r="22" spans="1:26">
      <c r="A22" s="114">
        <f t="shared" si="9"/>
        <v>2023017</v>
      </c>
      <c r="B22" s="74"/>
      <c r="C22" s="642"/>
      <c r="D22" s="645"/>
      <c r="E22" s="645"/>
      <c r="F22" s="645"/>
      <c r="G22" s="645"/>
      <c r="H22" s="648"/>
      <c r="I22" s="648"/>
      <c r="J22" s="629"/>
      <c r="K22" s="168" t="s">
        <v>34</v>
      </c>
      <c r="L22" s="391"/>
      <c r="M22" s="439"/>
      <c r="N22" s="439"/>
      <c r="O22" s="439"/>
      <c r="P22" s="439"/>
      <c r="Q22" s="439"/>
      <c r="R22" s="439"/>
      <c r="S22" s="439"/>
      <c r="T22" s="439"/>
      <c r="U22" s="439"/>
      <c r="V22" s="439"/>
      <c r="W22" s="323"/>
      <c r="X22" s="14">
        <f t="shared" si="8"/>
        <v>0</v>
      </c>
      <c r="Y22" s="69"/>
      <c r="Z22" s="69"/>
    </row>
    <row r="23" spans="1:26">
      <c r="A23" s="114">
        <f t="shared" si="9"/>
        <v>2023017</v>
      </c>
      <c r="B23" s="74"/>
      <c r="C23" s="642"/>
      <c r="D23" s="645"/>
      <c r="E23" s="645"/>
      <c r="F23" s="645"/>
      <c r="G23" s="645"/>
      <c r="H23" s="648"/>
      <c r="I23" s="648"/>
      <c r="J23" s="629"/>
      <c r="K23" s="168" t="s">
        <v>28</v>
      </c>
      <c r="L23" s="329">
        <v>13470</v>
      </c>
      <c r="M23" s="410">
        <v>13470</v>
      </c>
      <c r="N23" s="410">
        <v>13470</v>
      </c>
      <c r="O23" s="410">
        <v>13470</v>
      </c>
      <c r="P23" s="410">
        <v>12046</v>
      </c>
      <c r="Q23" s="410">
        <v>13470</v>
      </c>
      <c r="R23" s="410">
        <v>13040</v>
      </c>
      <c r="S23" s="410">
        <v>13040</v>
      </c>
      <c r="T23" s="410">
        <v>13040</v>
      </c>
      <c r="U23" s="410">
        <v>13470</v>
      </c>
      <c r="V23" s="410">
        <v>13470</v>
      </c>
      <c r="W23" s="26">
        <v>13470</v>
      </c>
      <c r="X23" s="14">
        <f t="shared" si="8"/>
        <v>158926</v>
      </c>
      <c r="Y23" s="69"/>
      <c r="Z23" s="69"/>
    </row>
    <row r="24" spans="1:26">
      <c r="A24" s="114">
        <f t="shared" si="9"/>
        <v>2023017</v>
      </c>
      <c r="B24" s="74"/>
      <c r="C24" s="642"/>
      <c r="D24" s="645"/>
      <c r="E24" s="645"/>
      <c r="F24" s="645"/>
      <c r="G24" s="645"/>
      <c r="H24" s="648"/>
      <c r="I24" s="648"/>
      <c r="J24" s="629"/>
      <c r="K24" s="168" t="s">
        <v>29</v>
      </c>
      <c r="L24" s="329">
        <v>12350</v>
      </c>
      <c r="M24" s="410">
        <v>12350</v>
      </c>
      <c r="N24" s="410">
        <v>12350</v>
      </c>
      <c r="O24" s="410">
        <v>12350</v>
      </c>
      <c r="P24" s="410">
        <v>12350</v>
      </c>
      <c r="Q24" s="410">
        <v>12350</v>
      </c>
      <c r="R24" s="410">
        <v>12350</v>
      </c>
      <c r="S24" s="410">
        <v>12350</v>
      </c>
      <c r="T24" s="410">
        <v>12350</v>
      </c>
      <c r="U24" s="410">
        <v>12350</v>
      </c>
      <c r="V24" s="410">
        <v>12350</v>
      </c>
      <c r="W24" s="26">
        <v>12350</v>
      </c>
      <c r="X24" s="14">
        <f t="shared" si="8"/>
        <v>148200</v>
      </c>
      <c r="Y24" s="69"/>
      <c r="Z24" s="69"/>
    </row>
    <row r="25" spans="1:26">
      <c r="A25" s="114">
        <f t="shared" si="9"/>
        <v>2023017</v>
      </c>
      <c r="B25" s="74"/>
      <c r="C25" s="642"/>
      <c r="D25" s="645"/>
      <c r="E25" s="645"/>
      <c r="F25" s="645"/>
      <c r="G25" s="645"/>
      <c r="H25" s="648"/>
      <c r="I25" s="648"/>
      <c r="J25" s="629"/>
      <c r="K25" s="168" t="s">
        <v>30</v>
      </c>
      <c r="L25" s="329">
        <v>23790</v>
      </c>
      <c r="M25" s="410">
        <v>23790</v>
      </c>
      <c r="N25" s="410">
        <v>23790</v>
      </c>
      <c r="O25" s="410">
        <v>23790</v>
      </c>
      <c r="P25" s="410">
        <v>23790</v>
      </c>
      <c r="Q25" s="410">
        <v>23790</v>
      </c>
      <c r="R25" s="410">
        <v>23790</v>
      </c>
      <c r="S25" s="410">
        <v>23790</v>
      </c>
      <c r="T25" s="410">
        <v>23790</v>
      </c>
      <c r="U25" s="410">
        <v>23790</v>
      </c>
      <c r="V25" s="410">
        <v>23790</v>
      </c>
      <c r="W25" s="26">
        <v>23790</v>
      </c>
      <c r="X25" s="14">
        <f t="shared" si="8"/>
        <v>285480</v>
      </c>
      <c r="Y25" s="69"/>
      <c r="Z25" s="69"/>
    </row>
    <row r="26" spans="1:26">
      <c r="A26" s="114">
        <f t="shared" si="9"/>
        <v>2023017</v>
      </c>
      <c r="B26" s="74"/>
      <c r="C26" s="642"/>
      <c r="D26" s="645"/>
      <c r="E26" s="645"/>
      <c r="F26" s="645"/>
      <c r="G26" s="645"/>
      <c r="H26" s="648"/>
      <c r="I26" s="648"/>
      <c r="J26" s="629"/>
      <c r="K26" s="168" t="s">
        <v>31</v>
      </c>
      <c r="L26" s="329">
        <v>1317</v>
      </c>
      <c r="M26" s="410">
        <v>1317</v>
      </c>
      <c r="N26" s="410">
        <v>1317</v>
      </c>
      <c r="O26" s="410">
        <v>1317</v>
      </c>
      <c r="P26" s="410">
        <v>1460</v>
      </c>
      <c r="Q26" s="410">
        <v>1317</v>
      </c>
      <c r="R26" s="410">
        <v>1315</v>
      </c>
      <c r="S26" s="410">
        <v>1315</v>
      </c>
      <c r="T26" s="410">
        <v>1340</v>
      </c>
      <c r="U26" s="410">
        <v>1342</v>
      </c>
      <c r="V26" s="410">
        <v>1429</v>
      </c>
      <c r="W26" s="26">
        <v>1317</v>
      </c>
      <c r="X26" s="14">
        <f t="shared" si="8"/>
        <v>16103</v>
      </c>
      <c r="Y26" s="69"/>
      <c r="Z26" s="69"/>
    </row>
    <row r="27" spans="1:26">
      <c r="A27" s="114">
        <f t="shared" si="9"/>
        <v>2023017</v>
      </c>
      <c r="B27" s="74"/>
      <c r="C27" s="642"/>
      <c r="D27" s="645"/>
      <c r="E27" s="645"/>
      <c r="F27" s="645"/>
      <c r="G27" s="645"/>
      <c r="H27" s="648"/>
      <c r="I27" s="648"/>
      <c r="J27" s="629"/>
      <c r="K27" s="168" t="s">
        <v>32</v>
      </c>
      <c r="L27" s="329">
        <v>1449</v>
      </c>
      <c r="M27" s="410">
        <v>1449</v>
      </c>
      <c r="N27" s="410">
        <v>1449</v>
      </c>
      <c r="O27" s="410">
        <v>1449</v>
      </c>
      <c r="P27" s="410">
        <v>1606</v>
      </c>
      <c r="Q27" s="410">
        <v>1449</v>
      </c>
      <c r="R27" s="410">
        <v>1447</v>
      </c>
      <c r="S27" s="410">
        <v>1447</v>
      </c>
      <c r="T27" s="410">
        <v>1474</v>
      </c>
      <c r="U27" s="410">
        <v>1477</v>
      </c>
      <c r="V27" s="410">
        <v>1572</v>
      </c>
      <c r="W27" s="26">
        <v>1449</v>
      </c>
      <c r="X27" s="14">
        <f t="shared" si="8"/>
        <v>17717</v>
      </c>
      <c r="Y27" s="69"/>
      <c r="Z27" s="69"/>
    </row>
    <row r="28" spans="1:26">
      <c r="A28" s="114">
        <f>+A27</f>
        <v>2023017</v>
      </c>
      <c r="B28" s="74"/>
      <c r="C28" s="654"/>
      <c r="D28" s="655"/>
      <c r="E28" s="655"/>
      <c r="F28" s="655"/>
      <c r="G28" s="655"/>
      <c r="H28" s="652"/>
      <c r="I28" s="652"/>
      <c r="J28" s="630"/>
      <c r="K28" s="170" t="s">
        <v>33</v>
      </c>
      <c r="L28" s="338">
        <f t="shared" ref="L28:W28" si="11">L17-L20</f>
        <v>127624</v>
      </c>
      <c r="M28" s="405">
        <f t="shared" si="11"/>
        <v>127624</v>
      </c>
      <c r="N28" s="405">
        <f t="shared" si="11"/>
        <v>127624</v>
      </c>
      <c r="O28" s="405">
        <f t="shared" si="11"/>
        <v>127624</v>
      </c>
      <c r="P28" s="405">
        <f t="shared" si="11"/>
        <v>94713</v>
      </c>
      <c r="Q28" s="405">
        <f t="shared" si="11"/>
        <v>127624</v>
      </c>
      <c r="R28" s="405">
        <f t="shared" si="11"/>
        <v>128058</v>
      </c>
      <c r="S28" s="405">
        <f t="shared" si="11"/>
        <v>82328</v>
      </c>
      <c r="T28" s="405">
        <f t="shared" si="11"/>
        <v>128006</v>
      </c>
      <c r="U28" s="405">
        <f t="shared" si="11"/>
        <v>98361</v>
      </c>
      <c r="V28" s="405">
        <f t="shared" si="11"/>
        <v>75314</v>
      </c>
      <c r="W28" s="90">
        <f t="shared" si="11"/>
        <v>127624</v>
      </c>
      <c r="X28" s="16">
        <f t="shared" ref="X28" si="12">X17-X20</f>
        <v>1372524</v>
      </c>
      <c r="Z28" s="69"/>
    </row>
    <row r="29" spans="1:26" ht="12" customHeight="1">
      <c r="A29" s="116">
        <v>2020011</v>
      </c>
      <c r="C29" s="641">
        <f t="shared" ref="C29" si="13">C17+1</f>
        <v>3</v>
      </c>
      <c r="D29" s="644" t="s">
        <v>59</v>
      </c>
      <c r="E29" s="644"/>
      <c r="F29" s="644"/>
      <c r="G29" s="645" t="s">
        <v>158</v>
      </c>
      <c r="H29" s="647"/>
      <c r="I29" s="647"/>
      <c r="J29" s="628" t="s">
        <v>54</v>
      </c>
      <c r="K29" s="181" t="s">
        <v>23</v>
      </c>
      <c r="L29" s="339">
        <f t="shared" ref="L29:W29" si="14">L30+L31</f>
        <v>643125</v>
      </c>
      <c r="M29" s="406">
        <f t="shared" si="14"/>
        <v>586875</v>
      </c>
      <c r="N29" s="406">
        <f t="shared" si="14"/>
        <v>600000</v>
      </c>
      <c r="O29" s="406">
        <f t="shared" si="14"/>
        <v>600000</v>
      </c>
      <c r="P29" s="406">
        <f t="shared" si="14"/>
        <v>600000</v>
      </c>
      <c r="Q29" s="406">
        <f t="shared" si="14"/>
        <v>590625</v>
      </c>
      <c r="R29" s="406">
        <f t="shared" si="14"/>
        <v>600000</v>
      </c>
      <c r="S29" s="406">
        <f t="shared" si="14"/>
        <v>553125</v>
      </c>
      <c r="T29" s="406">
        <f t="shared" si="14"/>
        <v>600000</v>
      </c>
      <c r="U29" s="406">
        <f t="shared" si="14"/>
        <v>538125</v>
      </c>
      <c r="V29" s="406">
        <f t="shared" si="14"/>
        <v>581250</v>
      </c>
      <c r="W29" s="94">
        <f t="shared" si="14"/>
        <v>643125</v>
      </c>
      <c r="X29" s="32">
        <f t="shared" ref="X29:X39" si="15">SUM(L29:W29)</f>
        <v>7136250</v>
      </c>
      <c r="Z29" s="69"/>
    </row>
    <row r="30" spans="1:26">
      <c r="A30" s="114">
        <f>+A29</f>
        <v>2020011</v>
      </c>
      <c r="B30" s="74"/>
      <c r="C30" s="642"/>
      <c r="D30" s="645"/>
      <c r="E30" s="645"/>
      <c r="F30" s="645"/>
      <c r="G30" s="645"/>
      <c r="H30" s="648"/>
      <c r="I30" s="648"/>
      <c r="J30" s="629"/>
      <c r="K30" s="168" t="s">
        <v>24</v>
      </c>
      <c r="L30" s="388">
        <v>643125</v>
      </c>
      <c r="M30" s="437">
        <v>586875</v>
      </c>
      <c r="N30" s="437">
        <v>600000</v>
      </c>
      <c r="O30" s="437">
        <v>600000</v>
      </c>
      <c r="P30" s="437">
        <v>600000</v>
      </c>
      <c r="Q30" s="437">
        <v>590625</v>
      </c>
      <c r="R30" s="437">
        <v>600000</v>
      </c>
      <c r="S30" s="437">
        <v>553125</v>
      </c>
      <c r="T30" s="437">
        <v>600000</v>
      </c>
      <c r="U30" s="437">
        <v>538125</v>
      </c>
      <c r="V30" s="437">
        <v>581250</v>
      </c>
      <c r="W30" s="320">
        <v>643125</v>
      </c>
      <c r="X30" s="14">
        <f t="shared" si="15"/>
        <v>7136250</v>
      </c>
      <c r="Y30" s="69"/>
      <c r="Z30" s="69"/>
    </row>
    <row r="31" spans="1:26">
      <c r="A31" s="114">
        <f t="shared" ref="A31:A40" si="16">+A30</f>
        <v>2020011</v>
      </c>
      <c r="B31" s="74"/>
      <c r="C31" s="642"/>
      <c r="D31" s="645"/>
      <c r="E31" s="645"/>
      <c r="F31" s="645"/>
      <c r="G31" s="645"/>
      <c r="H31" s="648"/>
      <c r="I31" s="648"/>
      <c r="J31" s="629"/>
      <c r="K31" s="168" t="s">
        <v>25</v>
      </c>
      <c r="L31" s="389"/>
      <c r="M31" s="410"/>
      <c r="N31" s="410"/>
      <c r="O31" s="410"/>
      <c r="P31" s="410"/>
      <c r="Q31" s="410"/>
      <c r="R31" s="410"/>
      <c r="S31" s="410"/>
      <c r="T31" s="410"/>
      <c r="U31" s="410"/>
      <c r="V31" s="410"/>
      <c r="W31" s="88"/>
      <c r="X31" s="14">
        <f t="shared" si="15"/>
        <v>0</v>
      </c>
      <c r="Z31" s="69"/>
    </row>
    <row r="32" spans="1:26">
      <c r="A32" s="114">
        <f t="shared" si="16"/>
        <v>2020011</v>
      </c>
      <c r="B32" s="74"/>
      <c r="C32" s="642"/>
      <c r="D32" s="645"/>
      <c r="E32" s="645"/>
      <c r="F32" s="645"/>
      <c r="G32" s="645"/>
      <c r="H32" s="648"/>
      <c r="I32" s="648"/>
      <c r="J32" s="629"/>
      <c r="K32" s="169" t="s">
        <v>26</v>
      </c>
      <c r="L32" s="390">
        <f t="shared" ref="L32:W32" si="17">SUM(L33:L39)</f>
        <v>420856</v>
      </c>
      <c r="M32" s="426">
        <f t="shared" si="17"/>
        <v>394548</v>
      </c>
      <c r="N32" s="426">
        <f t="shared" si="17"/>
        <v>394548</v>
      </c>
      <c r="O32" s="426">
        <f t="shared" si="17"/>
        <v>394548</v>
      </c>
      <c r="P32" s="426">
        <f t="shared" si="17"/>
        <v>394548</v>
      </c>
      <c r="Q32" s="426">
        <f t="shared" si="17"/>
        <v>394548</v>
      </c>
      <c r="R32" s="426">
        <f t="shared" si="17"/>
        <v>394548</v>
      </c>
      <c r="S32" s="426">
        <f t="shared" si="17"/>
        <v>385398</v>
      </c>
      <c r="T32" s="426">
        <f t="shared" si="17"/>
        <v>394548</v>
      </c>
      <c r="U32" s="426">
        <f t="shared" si="17"/>
        <v>391803</v>
      </c>
      <c r="V32" s="426">
        <f t="shared" si="17"/>
        <v>394731</v>
      </c>
      <c r="W32" s="89">
        <f t="shared" si="17"/>
        <v>420856</v>
      </c>
      <c r="X32" s="15">
        <f t="shared" si="15"/>
        <v>4775480</v>
      </c>
      <c r="Z32" s="69"/>
    </row>
    <row r="33" spans="1:26">
      <c r="A33" s="114">
        <f t="shared" si="16"/>
        <v>2020011</v>
      </c>
      <c r="B33" s="74"/>
      <c r="C33" s="642"/>
      <c r="D33" s="645"/>
      <c r="E33" s="645"/>
      <c r="F33" s="645"/>
      <c r="G33" s="645"/>
      <c r="H33" s="648"/>
      <c r="I33" s="648"/>
      <c r="J33" s="629"/>
      <c r="K33" s="168" t="s">
        <v>27</v>
      </c>
      <c r="L33" s="389">
        <v>361034</v>
      </c>
      <c r="M33" s="438">
        <v>335000</v>
      </c>
      <c r="N33" s="438">
        <v>335000</v>
      </c>
      <c r="O33" s="438">
        <v>335000</v>
      </c>
      <c r="P33" s="438">
        <v>335000</v>
      </c>
      <c r="Q33" s="438">
        <v>335000</v>
      </c>
      <c r="R33" s="438">
        <v>335000</v>
      </c>
      <c r="S33" s="438">
        <v>325945</v>
      </c>
      <c r="T33" s="438">
        <v>335000</v>
      </c>
      <c r="U33" s="438">
        <v>332283</v>
      </c>
      <c r="V33" s="438">
        <v>335000</v>
      </c>
      <c r="W33" s="321">
        <v>361034</v>
      </c>
      <c r="X33" s="14">
        <f t="shared" si="15"/>
        <v>4060296</v>
      </c>
      <c r="Y33" s="69"/>
      <c r="Z33" s="69"/>
    </row>
    <row r="34" spans="1:26">
      <c r="A34" s="114">
        <f t="shared" si="16"/>
        <v>2020011</v>
      </c>
      <c r="B34" s="74"/>
      <c r="C34" s="642"/>
      <c r="D34" s="645"/>
      <c r="E34" s="645"/>
      <c r="F34" s="645"/>
      <c r="G34" s="645"/>
      <c r="H34" s="648"/>
      <c r="I34" s="648"/>
      <c r="J34" s="629"/>
      <c r="K34" s="168" t="s">
        <v>34</v>
      </c>
      <c r="L34" s="391"/>
      <c r="M34" s="439"/>
      <c r="N34" s="439"/>
      <c r="O34" s="439"/>
      <c r="P34" s="439"/>
      <c r="Q34" s="439"/>
      <c r="R34" s="439"/>
      <c r="S34" s="439"/>
      <c r="T34" s="439"/>
      <c r="U34" s="439"/>
      <c r="V34" s="439"/>
      <c r="W34" s="323"/>
      <c r="X34" s="14">
        <f t="shared" si="15"/>
        <v>0</v>
      </c>
      <c r="Y34" s="69"/>
      <c r="Z34" s="69"/>
    </row>
    <row r="35" spans="1:26">
      <c r="A35" s="114">
        <f t="shared" si="16"/>
        <v>2020011</v>
      </c>
      <c r="B35" s="74"/>
      <c r="C35" s="642"/>
      <c r="D35" s="645"/>
      <c r="E35" s="645"/>
      <c r="F35" s="645"/>
      <c r="G35" s="645"/>
      <c r="H35" s="648"/>
      <c r="I35" s="648"/>
      <c r="J35" s="629"/>
      <c r="K35" s="168" t="s">
        <v>28</v>
      </c>
      <c r="L35" s="329">
        <v>8680</v>
      </c>
      <c r="M35" s="410">
        <v>8680</v>
      </c>
      <c r="N35" s="410">
        <v>8680</v>
      </c>
      <c r="O35" s="410">
        <v>8680</v>
      </c>
      <c r="P35" s="410">
        <v>8680</v>
      </c>
      <c r="Q35" s="410">
        <v>8680</v>
      </c>
      <c r="R35" s="410">
        <v>8680</v>
      </c>
      <c r="S35" s="410">
        <v>8680</v>
      </c>
      <c r="T35" s="410">
        <v>8680</v>
      </c>
      <c r="U35" s="410">
        <v>8680</v>
      </c>
      <c r="V35" s="410">
        <v>8680</v>
      </c>
      <c r="W35" s="26">
        <v>8680</v>
      </c>
      <c r="X35" s="14">
        <f t="shared" si="15"/>
        <v>104160</v>
      </c>
      <c r="Y35" s="69"/>
      <c r="Z35" s="69"/>
    </row>
    <row r="36" spans="1:26">
      <c r="A36" s="114">
        <f t="shared" si="16"/>
        <v>2020011</v>
      </c>
      <c r="B36" s="74"/>
      <c r="C36" s="642"/>
      <c r="D36" s="645"/>
      <c r="E36" s="645"/>
      <c r="F36" s="645"/>
      <c r="G36" s="645"/>
      <c r="H36" s="648"/>
      <c r="I36" s="648"/>
      <c r="J36" s="629"/>
      <c r="K36" s="168" t="s">
        <v>29</v>
      </c>
      <c r="L36" s="329">
        <v>16150</v>
      </c>
      <c r="M36" s="410">
        <v>16150</v>
      </c>
      <c r="N36" s="410">
        <v>16150</v>
      </c>
      <c r="O36" s="410">
        <v>16150</v>
      </c>
      <c r="P36" s="410">
        <v>16150</v>
      </c>
      <c r="Q36" s="410">
        <v>16150</v>
      </c>
      <c r="R36" s="410">
        <v>16150</v>
      </c>
      <c r="S36" s="410">
        <v>16150</v>
      </c>
      <c r="T36" s="410">
        <v>16150</v>
      </c>
      <c r="U36" s="410">
        <v>16150</v>
      </c>
      <c r="V36" s="410">
        <v>16150</v>
      </c>
      <c r="W36" s="26">
        <v>16150</v>
      </c>
      <c r="X36" s="14">
        <f t="shared" si="15"/>
        <v>193800</v>
      </c>
      <c r="Y36" s="69"/>
      <c r="Z36" s="69"/>
    </row>
    <row r="37" spans="1:26">
      <c r="A37" s="114">
        <f t="shared" si="16"/>
        <v>2020011</v>
      </c>
      <c r="B37" s="74"/>
      <c r="C37" s="642"/>
      <c r="D37" s="645"/>
      <c r="E37" s="645"/>
      <c r="F37" s="645"/>
      <c r="G37" s="645"/>
      <c r="H37" s="648"/>
      <c r="I37" s="648"/>
      <c r="J37" s="629"/>
      <c r="K37" s="168" t="s">
        <v>30</v>
      </c>
      <c r="L37" s="329">
        <v>31110</v>
      </c>
      <c r="M37" s="410">
        <v>31110</v>
      </c>
      <c r="N37" s="410">
        <v>31110</v>
      </c>
      <c r="O37" s="410">
        <v>31110</v>
      </c>
      <c r="P37" s="410">
        <v>31110</v>
      </c>
      <c r="Q37" s="410">
        <v>31110</v>
      </c>
      <c r="R37" s="410">
        <v>31110</v>
      </c>
      <c r="S37" s="410">
        <v>31110</v>
      </c>
      <c r="T37" s="410">
        <v>31110</v>
      </c>
      <c r="U37" s="410">
        <v>31110</v>
      </c>
      <c r="V37" s="410">
        <v>31110</v>
      </c>
      <c r="W37" s="26">
        <v>31110</v>
      </c>
      <c r="X37" s="14">
        <f t="shared" si="15"/>
        <v>373320</v>
      </c>
      <c r="Y37" s="69"/>
      <c r="Z37" s="69"/>
    </row>
    <row r="38" spans="1:26">
      <c r="A38" s="114">
        <f t="shared" si="16"/>
        <v>2020011</v>
      </c>
      <c r="B38" s="74"/>
      <c r="C38" s="642"/>
      <c r="D38" s="645"/>
      <c r="E38" s="645"/>
      <c r="F38" s="645"/>
      <c r="G38" s="645"/>
      <c r="H38" s="648"/>
      <c r="I38" s="648"/>
      <c r="J38" s="629"/>
      <c r="K38" s="168" t="s">
        <v>31</v>
      </c>
      <c r="L38" s="329">
        <v>1849</v>
      </c>
      <c r="M38" s="410">
        <v>1718</v>
      </c>
      <c r="N38" s="410">
        <v>1718</v>
      </c>
      <c r="O38" s="410">
        <v>1718</v>
      </c>
      <c r="P38" s="410">
        <v>1718</v>
      </c>
      <c r="Q38" s="410">
        <v>1718</v>
      </c>
      <c r="R38" s="410">
        <v>1718</v>
      </c>
      <c r="S38" s="410">
        <v>1673</v>
      </c>
      <c r="T38" s="410">
        <v>1718</v>
      </c>
      <c r="U38" s="410">
        <v>1705</v>
      </c>
      <c r="V38" s="410">
        <v>1805</v>
      </c>
      <c r="W38" s="26">
        <v>1849</v>
      </c>
      <c r="X38" s="14">
        <f t="shared" si="15"/>
        <v>20907</v>
      </c>
      <c r="Y38" s="69"/>
      <c r="Z38" s="69"/>
    </row>
    <row r="39" spans="1:26">
      <c r="A39" s="114">
        <f t="shared" si="16"/>
        <v>2020011</v>
      </c>
      <c r="B39" s="74"/>
      <c r="C39" s="642"/>
      <c r="D39" s="645"/>
      <c r="E39" s="645"/>
      <c r="F39" s="645"/>
      <c r="G39" s="645"/>
      <c r="H39" s="648"/>
      <c r="I39" s="648"/>
      <c r="J39" s="629"/>
      <c r="K39" s="168" t="s">
        <v>32</v>
      </c>
      <c r="L39" s="329">
        <v>2033</v>
      </c>
      <c r="M39" s="410">
        <v>1890</v>
      </c>
      <c r="N39" s="410">
        <v>1890</v>
      </c>
      <c r="O39" s="410">
        <v>1890</v>
      </c>
      <c r="P39" s="410">
        <v>1890</v>
      </c>
      <c r="Q39" s="410">
        <v>1890</v>
      </c>
      <c r="R39" s="410">
        <v>1890</v>
      </c>
      <c r="S39" s="410">
        <v>1840</v>
      </c>
      <c r="T39" s="410">
        <v>1890</v>
      </c>
      <c r="U39" s="410">
        <v>1875</v>
      </c>
      <c r="V39" s="410">
        <v>1986</v>
      </c>
      <c r="W39" s="26">
        <v>2033</v>
      </c>
      <c r="X39" s="14">
        <f t="shared" si="15"/>
        <v>22997</v>
      </c>
      <c r="Y39" s="69"/>
      <c r="Z39" s="69"/>
    </row>
    <row r="40" spans="1:26">
      <c r="A40" s="114">
        <f t="shared" si="16"/>
        <v>2020011</v>
      </c>
      <c r="B40" s="74"/>
      <c r="C40" s="654"/>
      <c r="D40" s="655"/>
      <c r="E40" s="655"/>
      <c r="F40" s="655"/>
      <c r="G40" s="655"/>
      <c r="H40" s="652"/>
      <c r="I40" s="652"/>
      <c r="J40" s="630"/>
      <c r="K40" s="170" t="s">
        <v>33</v>
      </c>
      <c r="L40" s="338">
        <f t="shared" ref="L40:W40" si="18">L29-L32</f>
        <v>222269</v>
      </c>
      <c r="M40" s="405">
        <f t="shared" si="18"/>
        <v>192327</v>
      </c>
      <c r="N40" s="405">
        <f t="shared" si="18"/>
        <v>205452</v>
      </c>
      <c r="O40" s="405">
        <f t="shared" si="18"/>
        <v>205452</v>
      </c>
      <c r="P40" s="405">
        <f t="shared" si="18"/>
        <v>205452</v>
      </c>
      <c r="Q40" s="405">
        <f t="shared" si="18"/>
        <v>196077</v>
      </c>
      <c r="R40" s="405">
        <f t="shared" si="18"/>
        <v>205452</v>
      </c>
      <c r="S40" s="405">
        <f t="shared" si="18"/>
        <v>167727</v>
      </c>
      <c r="T40" s="405">
        <f t="shared" si="18"/>
        <v>205452</v>
      </c>
      <c r="U40" s="405">
        <f t="shared" si="18"/>
        <v>146322</v>
      </c>
      <c r="V40" s="405">
        <f t="shared" si="18"/>
        <v>186519</v>
      </c>
      <c r="W40" s="90">
        <f t="shared" si="18"/>
        <v>222269</v>
      </c>
      <c r="X40" s="16">
        <f t="shared" ref="X40" si="19">X29-X32</f>
        <v>2360770</v>
      </c>
      <c r="Z40" s="69"/>
    </row>
    <row r="41" spans="1:26" ht="12" customHeight="1">
      <c r="A41" s="116">
        <v>2022018</v>
      </c>
      <c r="C41" s="641">
        <f t="shared" ref="C41" si="20">C29+1</f>
        <v>4</v>
      </c>
      <c r="D41" s="644" t="s">
        <v>59</v>
      </c>
      <c r="E41" s="644" t="s">
        <v>176</v>
      </c>
      <c r="F41" s="644"/>
      <c r="G41" s="645" t="s">
        <v>158</v>
      </c>
      <c r="H41" s="647"/>
      <c r="I41" s="647"/>
      <c r="J41" s="628" t="s">
        <v>54</v>
      </c>
      <c r="K41" s="181" t="s">
        <v>23</v>
      </c>
      <c r="L41" s="339">
        <f t="shared" ref="L41:W41" si="21">L42+L43</f>
        <v>735000</v>
      </c>
      <c r="M41" s="471">
        <f t="shared" si="21"/>
        <v>735000</v>
      </c>
      <c r="N41" s="471">
        <f t="shared" si="21"/>
        <v>735000</v>
      </c>
      <c r="O41" s="471">
        <f t="shared" si="21"/>
        <v>735000</v>
      </c>
      <c r="P41" s="471">
        <f t="shared" si="21"/>
        <v>735000</v>
      </c>
      <c r="Q41" s="471">
        <f t="shared" si="21"/>
        <v>622545</v>
      </c>
      <c r="R41" s="406">
        <f t="shared" si="21"/>
        <v>0</v>
      </c>
      <c r="S41" s="406">
        <f t="shared" si="21"/>
        <v>0</v>
      </c>
      <c r="T41" s="406">
        <f t="shared" si="21"/>
        <v>0</v>
      </c>
      <c r="U41" s="406">
        <f t="shared" si="21"/>
        <v>0</v>
      </c>
      <c r="V41" s="406">
        <f t="shared" si="21"/>
        <v>0</v>
      </c>
      <c r="W41" s="478">
        <f t="shared" si="21"/>
        <v>0</v>
      </c>
      <c r="X41" s="493">
        <f t="shared" ref="X41:X51" si="22">SUM(L41:W41)</f>
        <v>4297545</v>
      </c>
      <c r="Z41" s="69"/>
    </row>
    <row r="42" spans="1:26">
      <c r="A42" s="114">
        <f>+A41</f>
        <v>2022018</v>
      </c>
      <c r="B42" s="74"/>
      <c r="C42" s="642"/>
      <c r="D42" s="645"/>
      <c r="E42" s="645"/>
      <c r="F42" s="645"/>
      <c r="G42" s="645"/>
      <c r="H42" s="648"/>
      <c r="I42" s="648"/>
      <c r="J42" s="629"/>
      <c r="K42" s="168" t="s">
        <v>24</v>
      </c>
      <c r="L42" s="388">
        <v>735000</v>
      </c>
      <c r="M42" s="388">
        <v>735000</v>
      </c>
      <c r="N42" s="388">
        <v>735000</v>
      </c>
      <c r="O42" s="388">
        <v>735000</v>
      </c>
      <c r="P42" s="388">
        <v>735000</v>
      </c>
      <c r="Q42" s="388">
        <v>622545</v>
      </c>
      <c r="R42" s="437"/>
      <c r="S42" s="437"/>
      <c r="T42" s="437"/>
      <c r="U42" s="437"/>
      <c r="V42" s="437"/>
      <c r="W42" s="388"/>
      <c r="X42" s="494">
        <f t="shared" si="22"/>
        <v>4297545</v>
      </c>
      <c r="Y42" s="69"/>
      <c r="Z42" s="69"/>
    </row>
    <row r="43" spans="1:26">
      <c r="A43" s="114">
        <f>+A42</f>
        <v>2022018</v>
      </c>
      <c r="B43" s="74"/>
      <c r="C43" s="642"/>
      <c r="D43" s="645"/>
      <c r="E43" s="645"/>
      <c r="F43" s="645"/>
      <c r="G43" s="645"/>
      <c r="H43" s="648"/>
      <c r="I43" s="648"/>
      <c r="J43" s="629"/>
      <c r="K43" s="168" t="s">
        <v>25</v>
      </c>
      <c r="L43" s="389"/>
      <c r="M43" s="329"/>
      <c r="N43" s="329"/>
      <c r="O43" s="329"/>
      <c r="P43" s="329"/>
      <c r="Q43" s="329"/>
      <c r="R43" s="410"/>
      <c r="S43" s="410"/>
      <c r="T43" s="410"/>
      <c r="U43" s="410"/>
      <c r="V43" s="410"/>
      <c r="W43" s="513"/>
      <c r="X43" s="494">
        <f t="shared" si="22"/>
        <v>0</v>
      </c>
      <c r="Z43" s="69"/>
    </row>
    <row r="44" spans="1:26">
      <c r="A44" s="114">
        <f t="shared" ref="A44:A51" si="23">+A43</f>
        <v>2022018</v>
      </c>
      <c r="B44" s="74"/>
      <c r="C44" s="642"/>
      <c r="D44" s="645"/>
      <c r="E44" s="645"/>
      <c r="F44" s="645"/>
      <c r="G44" s="645"/>
      <c r="H44" s="648"/>
      <c r="I44" s="648"/>
      <c r="J44" s="629"/>
      <c r="K44" s="169" t="s">
        <v>26</v>
      </c>
      <c r="L44" s="390">
        <f t="shared" ref="L44:W44" si="24">SUM(L45:L51)</f>
        <v>621281</v>
      </c>
      <c r="M44" s="330">
        <f t="shared" si="24"/>
        <v>603031</v>
      </c>
      <c r="N44" s="330">
        <f t="shared" si="24"/>
        <v>622978</v>
      </c>
      <c r="O44" s="330">
        <f t="shared" si="24"/>
        <v>726409</v>
      </c>
      <c r="P44" s="330">
        <f t="shared" si="24"/>
        <v>635201</v>
      </c>
      <c r="Q44" s="330">
        <f t="shared" si="24"/>
        <v>530634</v>
      </c>
      <c r="R44" s="426">
        <f t="shared" si="24"/>
        <v>0</v>
      </c>
      <c r="S44" s="426">
        <f t="shared" si="24"/>
        <v>0</v>
      </c>
      <c r="T44" s="426">
        <f t="shared" si="24"/>
        <v>0</v>
      </c>
      <c r="U44" s="426">
        <f t="shared" si="24"/>
        <v>0</v>
      </c>
      <c r="V44" s="426">
        <f t="shared" si="24"/>
        <v>0</v>
      </c>
      <c r="W44" s="495">
        <f t="shared" si="24"/>
        <v>0</v>
      </c>
      <c r="X44" s="496">
        <f t="shared" si="22"/>
        <v>3739534</v>
      </c>
      <c r="Z44" s="69"/>
    </row>
    <row r="45" spans="1:26">
      <c r="A45" s="114">
        <f t="shared" si="23"/>
        <v>2022018</v>
      </c>
      <c r="B45" s="74"/>
      <c r="C45" s="642"/>
      <c r="D45" s="645"/>
      <c r="E45" s="645"/>
      <c r="F45" s="645"/>
      <c r="G45" s="645"/>
      <c r="H45" s="648"/>
      <c r="I45" s="648"/>
      <c r="J45" s="629"/>
      <c r="K45" s="168" t="s">
        <v>27</v>
      </c>
      <c r="L45" s="389">
        <v>537200</v>
      </c>
      <c r="M45" s="389">
        <v>519140</v>
      </c>
      <c r="N45" s="389">
        <v>538880</v>
      </c>
      <c r="O45" s="389">
        <v>641236</v>
      </c>
      <c r="P45" s="389">
        <v>550976</v>
      </c>
      <c r="Q45" s="389">
        <v>525120</v>
      </c>
      <c r="R45" s="438"/>
      <c r="S45" s="438"/>
      <c r="T45" s="438"/>
      <c r="U45" s="438"/>
      <c r="V45" s="438"/>
      <c r="W45" s="389"/>
      <c r="X45" s="494">
        <f t="shared" si="22"/>
        <v>3312552</v>
      </c>
      <c r="Y45" s="69"/>
      <c r="Z45" s="69"/>
    </row>
    <row r="46" spans="1:26">
      <c r="A46" s="114">
        <f t="shared" si="23"/>
        <v>2022018</v>
      </c>
      <c r="B46" s="74"/>
      <c r="C46" s="642"/>
      <c r="D46" s="645"/>
      <c r="E46" s="645"/>
      <c r="F46" s="645"/>
      <c r="G46" s="645"/>
      <c r="H46" s="648"/>
      <c r="I46" s="648"/>
      <c r="J46" s="629"/>
      <c r="K46" s="168" t="s">
        <v>34</v>
      </c>
      <c r="L46" s="391"/>
      <c r="M46" s="391"/>
      <c r="N46" s="391"/>
      <c r="O46" s="391"/>
      <c r="P46" s="391"/>
      <c r="Q46" s="391"/>
      <c r="R46" s="439"/>
      <c r="S46" s="439"/>
      <c r="T46" s="439"/>
      <c r="U46" s="439"/>
      <c r="V46" s="439"/>
      <c r="W46" s="391"/>
      <c r="X46" s="494">
        <f t="shared" si="22"/>
        <v>0</v>
      </c>
      <c r="Y46" s="69"/>
      <c r="Z46" s="69"/>
    </row>
    <row r="47" spans="1:26">
      <c r="A47" s="114">
        <f t="shared" si="23"/>
        <v>2022018</v>
      </c>
      <c r="B47" s="74"/>
      <c r="C47" s="642"/>
      <c r="D47" s="645"/>
      <c r="E47" s="645"/>
      <c r="F47" s="645"/>
      <c r="G47" s="645"/>
      <c r="H47" s="648"/>
      <c r="I47" s="648"/>
      <c r="J47" s="629"/>
      <c r="K47" s="168" t="s">
        <v>28</v>
      </c>
      <c r="L47" s="329">
        <v>0</v>
      </c>
      <c r="M47" s="329">
        <v>0</v>
      </c>
      <c r="N47" s="329">
        <v>0</v>
      </c>
      <c r="O47" s="329">
        <v>0</v>
      </c>
      <c r="P47" s="329">
        <v>0</v>
      </c>
      <c r="Q47" s="329">
        <v>0</v>
      </c>
      <c r="R47" s="410"/>
      <c r="S47" s="410"/>
      <c r="T47" s="410"/>
      <c r="U47" s="410"/>
      <c r="V47" s="410"/>
      <c r="W47" s="329"/>
      <c r="X47" s="494">
        <f t="shared" si="22"/>
        <v>0</v>
      </c>
      <c r="Y47" s="69"/>
      <c r="Z47" s="69"/>
    </row>
    <row r="48" spans="1:26">
      <c r="A48" s="114">
        <f t="shared" si="23"/>
        <v>2022018</v>
      </c>
      <c r="B48" s="74"/>
      <c r="C48" s="642"/>
      <c r="D48" s="645"/>
      <c r="E48" s="645"/>
      <c r="F48" s="645"/>
      <c r="G48" s="645"/>
      <c r="H48" s="648"/>
      <c r="I48" s="648"/>
      <c r="J48" s="629"/>
      <c r="K48" s="168" t="s">
        <v>29</v>
      </c>
      <c r="L48" s="329">
        <v>29945</v>
      </c>
      <c r="M48" s="329">
        <v>29945</v>
      </c>
      <c r="N48" s="329">
        <v>29945</v>
      </c>
      <c r="O48" s="329">
        <v>29945</v>
      </c>
      <c r="P48" s="329">
        <v>29945</v>
      </c>
      <c r="Q48" s="329">
        <v>0</v>
      </c>
      <c r="R48" s="410"/>
      <c r="S48" s="410"/>
      <c r="T48" s="410"/>
      <c r="U48" s="410"/>
      <c r="V48" s="410"/>
      <c r="W48" s="329"/>
      <c r="X48" s="494">
        <f t="shared" si="22"/>
        <v>149725</v>
      </c>
      <c r="Y48" s="69"/>
      <c r="Z48" s="69"/>
    </row>
    <row r="49" spans="1:26">
      <c r="A49" s="114">
        <f t="shared" si="23"/>
        <v>2022018</v>
      </c>
      <c r="B49" s="74"/>
      <c r="C49" s="642"/>
      <c r="D49" s="645"/>
      <c r="E49" s="645"/>
      <c r="F49" s="645"/>
      <c r="G49" s="645"/>
      <c r="H49" s="648"/>
      <c r="I49" s="648"/>
      <c r="J49" s="629"/>
      <c r="K49" s="168" t="s">
        <v>30</v>
      </c>
      <c r="L49" s="329">
        <v>48495</v>
      </c>
      <c r="M49" s="329">
        <v>48495</v>
      </c>
      <c r="N49" s="329">
        <v>48495</v>
      </c>
      <c r="O49" s="329">
        <v>48495</v>
      </c>
      <c r="P49" s="329">
        <v>48495</v>
      </c>
      <c r="Q49" s="329">
        <v>0</v>
      </c>
      <c r="R49" s="410"/>
      <c r="S49" s="410"/>
      <c r="T49" s="410"/>
      <c r="U49" s="410"/>
      <c r="V49" s="410"/>
      <c r="W49" s="329"/>
      <c r="X49" s="494">
        <f t="shared" si="22"/>
        <v>242475</v>
      </c>
      <c r="Y49" s="69"/>
      <c r="Z49" s="69"/>
    </row>
    <row r="50" spans="1:26">
      <c r="A50" s="114">
        <f t="shared" si="23"/>
        <v>2022018</v>
      </c>
      <c r="B50" s="74"/>
      <c r="C50" s="642"/>
      <c r="D50" s="645"/>
      <c r="E50" s="645"/>
      <c r="F50" s="645"/>
      <c r="G50" s="645"/>
      <c r="H50" s="648"/>
      <c r="I50" s="648"/>
      <c r="J50" s="629"/>
      <c r="K50" s="168" t="s">
        <v>31</v>
      </c>
      <c r="L50" s="329">
        <v>2686</v>
      </c>
      <c r="M50" s="329">
        <v>2596</v>
      </c>
      <c r="N50" s="329">
        <v>2694</v>
      </c>
      <c r="O50" s="329">
        <v>3206</v>
      </c>
      <c r="P50" s="329">
        <v>2755</v>
      </c>
      <c r="Q50" s="329">
        <v>2626</v>
      </c>
      <c r="R50" s="410"/>
      <c r="S50" s="410"/>
      <c r="T50" s="410"/>
      <c r="U50" s="410"/>
      <c r="V50" s="410"/>
      <c r="W50" s="329"/>
      <c r="X50" s="494">
        <f t="shared" si="22"/>
        <v>16563</v>
      </c>
      <c r="Y50" s="69"/>
      <c r="Z50" s="69"/>
    </row>
    <row r="51" spans="1:26">
      <c r="A51" s="114">
        <f t="shared" si="23"/>
        <v>2022018</v>
      </c>
      <c r="B51" s="74"/>
      <c r="C51" s="642"/>
      <c r="D51" s="645"/>
      <c r="E51" s="645"/>
      <c r="F51" s="645"/>
      <c r="G51" s="645"/>
      <c r="H51" s="648"/>
      <c r="I51" s="648"/>
      <c r="J51" s="629"/>
      <c r="K51" s="168" t="s">
        <v>32</v>
      </c>
      <c r="L51" s="329">
        <v>2955</v>
      </c>
      <c r="M51" s="329">
        <v>2855</v>
      </c>
      <c r="N51" s="329">
        <v>2964</v>
      </c>
      <c r="O51" s="329">
        <v>3527</v>
      </c>
      <c r="P51" s="329">
        <v>3030</v>
      </c>
      <c r="Q51" s="329">
        <v>2888</v>
      </c>
      <c r="R51" s="410"/>
      <c r="S51" s="410"/>
      <c r="T51" s="410"/>
      <c r="U51" s="410"/>
      <c r="V51" s="410"/>
      <c r="W51" s="329"/>
      <c r="X51" s="494">
        <f t="shared" si="22"/>
        <v>18219</v>
      </c>
      <c r="Y51" s="69"/>
      <c r="Z51" s="69"/>
    </row>
    <row r="52" spans="1:26">
      <c r="A52" s="114">
        <f>+A51</f>
        <v>2022018</v>
      </c>
      <c r="B52" s="74"/>
      <c r="C52" s="654"/>
      <c r="D52" s="655"/>
      <c r="E52" s="655"/>
      <c r="F52" s="655"/>
      <c r="G52" s="655"/>
      <c r="H52" s="652"/>
      <c r="I52" s="652"/>
      <c r="J52" s="630"/>
      <c r="K52" s="170" t="s">
        <v>33</v>
      </c>
      <c r="L52" s="338">
        <f t="shared" ref="L52:W52" si="25">L41-L44</f>
        <v>113719</v>
      </c>
      <c r="M52" s="331">
        <f t="shared" si="25"/>
        <v>131969</v>
      </c>
      <c r="N52" s="331">
        <f t="shared" si="25"/>
        <v>112022</v>
      </c>
      <c r="O52" s="331">
        <f t="shared" si="25"/>
        <v>8591</v>
      </c>
      <c r="P52" s="331">
        <f t="shared" si="25"/>
        <v>99799</v>
      </c>
      <c r="Q52" s="331">
        <f t="shared" si="25"/>
        <v>91911</v>
      </c>
      <c r="R52" s="405">
        <f t="shared" si="25"/>
        <v>0</v>
      </c>
      <c r="S52" s="405">
        <f t="shared" si="25"/>
        <v>0</v>
      </c>
      <c r="T52" s="405">
        <f t="shared" si="25"/>
        <v>0</v>
      </c>
      <c r="U52" s="405">
        <f t="shared" si="25"/>
        <v>0</v>
      </c>
      <c r="V52" s="405">
        <f t="shared" si="25"/>
        <v>0</v>
      </c>
      <c r="W52" s="484">
        <f t="shared" si="25"/>
        <v>0</v>
      </c>
      <c r="X52" s="497">
        <f t="shared" ref="X52" si="26">X41-X44</f>
        <v>558011</v>
      </c>
      <c r="Z52" s="69"/>
    </row>
    <row r="53" spans="1:26" ht="12" customHeight="1">
      <c r="A53" s="116">
        <v>2018016</v>
      </c>
      <c r="C53" s="641">
        <f t="shared" ref="C53" si="27">C41+1</f>
        <v>5</v>
      </c>
      <c r="D53" s="644" t="s">
        <v>59</v>
      </c>
      <c r="E53" s="644"/>
      <c r="F53" s="644"/>
      <c r="G53" s="645" t="s">
        <v>158</v>
      </c>
      <c r="H53" s="647"/>
      <c r="I53" s="647"/>
      <c r="J53" s="628" t="s">
        <v>54</v>
      </c>
      <c r="K53" s="181" t="s">
        <v>23</v>
      </c>
      <c r="L53" s="339">
        <f t="shared" ref="L53:U53" si="28">L54+L55</f>
        <v>680000</v>
      </c>
      <c r="M53" s="406">
        <f t="shared" si="28"/>
        <v>680000</v>
      </c>
      <c r="N53" s="406">
        <f t="shared" si="28"/>
        <v>680000</v>
      </c>
      <c r="O53" s="406">
        <f t="shared" si="28"/>
        <v>680000</v>
      </c>
      <c r="P53" s="406">
        <f t="shared" si="28"/>
        <v>637500</v>
      </c>
      <c r="Q53" s="406">
        <f t="shared" si="28"/>
        <v>667250</v>
      </c>
      <c r="R53" s="406">
        <f t="shared" si="28"/>
        <v>680000</v>
      </c>
      <c r="S53" s="406">
        <f t="shared" si="28"/>
        <v>531250</v>
      </c>
      <c r="T53" s="406">
        <f t="shared" si="28"/>
        <v>680000</v>
      </c>
      <c r="U53" s="406">
        <f t="shared" si="28"/>
        <v>626875</v>
      </c>
      <c r="V53" s="406">
        <f t="shared" ref="V53:W53" si="29">V54+V55</f>
        <v>665125</v>
      </c>
      <c r="W53" s="31">
        <f t="shared" si="29"/>
        <v>680000</v>
      </c>
      <c r="X53" s="32">
        <f t="shared" ref="X53:X63" si="30">SUM(L53:W53)</f>
        <v>7888000</v>
      </c>
      <c r="Z53" s="69"/>
    </row>
    <row r="54" spans="1:26">
      <c r="A54" s="114">
        <f>+A53</f>
        <v>2018016</v>
      </c>
      <c r="B54" s="74"/>
      <c r="C54" s="642"/>
      <c r="D54" s="645"/>
      <c r="E54" s="645"/>
      <c r="F54" s="645"/>
      <c r="G54" s="645"/>
      <c r="H54" s="648"/>
      <c r="I54" s="648"/>
      <c r="J54" s="629"/>
      <c r="K54" s="168" t="s">
        <v>24</v>
      </c>
      <c r="L54" s="388">
        <v>680000</v>
      </c>
      <c r="M54" s="437">
        <v>680000</v>
      </c>
      <c r="N54" s="437">
        <v>680000</v>
      </c>
      <c r="O54" s="437">
        <v>680000</v>
      </c>
      <c r="P54" s="437">
        <v>637500</v>
      </c>
      <c r="Q54" s="437">
        <v>667250</v>
      </c>
      <c r="R54" s="437">
        <v>680000</v>
      </c>
      <c r="S54" s="437">
        <v>531250</v>
      </c>
      <c r="T54" s="437">
        <v>680000</v>
      </c>
      <c r="U54" s="437">
        <v>626875</v>
      </c>
      <c r="V54" s="437">
        <v>665125</v>
      </c>
      <c r="W54" s="320">
        <v>680000</v>
      </c>
      <c r="X54" s="14">
        <f t="shared" si="30"/>
        <v>7888000</v>
      </c>
      <c r="Y54" s="69"/>
      <c r="Z54" s="69"/>
    </row>
    <row r="55" spans="1:26">
      <c r="A55" s="114">
        <f>+A54</f>
        <v>2018016</v>
      </c>
      <c r="B55" s="74"/>
      <c r="C55" s="642"/>
      <c r="D55" s="645"/>
      <c r="E55" s="645"/>
      <c r="F55" s="645"/>
      <c r="G55" s="645"/>
      <c r="H55" s="648"/>
      <c r="I55" s="648"/>
      <c r="J55" s="629"/>
      <c r="K55" s="168" t="s">
        <v>25</v>
      </c>
      <c r="L55" s="389"/>
      <c r="M55" s="410"/>
      <c r="N55" s="410"/>
      <c r="O55" s="410"/>
      <c r="P55" s="410"/>
      <c r="Q55" s="410"/>
      <c r="R55" s="410"/>
      <c r="S55" s="410"/>
      <c r="T55" s="410"/>
      <c r="U55" s="410"/>
      <c r="V55" s="410"/>
      <c r="W55" s="26"/>
      <c r="X55" s="14">
        <f t="shared" si="30"/>
        <v>0</v>
      </c>
      <c r="Z55" s="69"/>
    </row>
    <row r="56" spans="1:26">
      <c r="A56" s="114">
        <f t="shared" ref="A56:A63" si="31">+A55</f>
        <v>2018016</v>
      </c>
      <c r="B56" s="74"/>
      <c r="C56" s="642"/>
      <c r="D56" s="645"/>
      <c r="E56" s="645"/>
      <c r="F56" s="645"/>
      <c r="G56" s="645"/>
      <c r="H56" s="648"/>
      <c r="I56" s="648"/>
      <c r="J56" s="629"/>
      <c r="K56" s="169" t="s">
        <v>26</v>
      </c>
      <c r="L56" s="390">
        <f t="shared" ref="L56:U56" si="32">SUM(L57:L63)</f>
        <v>497129</v>
      </c>
      <c r="M56" s="426">
        <f t="shared" si="32"/>
        <v>495553</v>
      </c>
      <c r="N56" s="426">
        <f t="shared" si="32"/>
        <v>494643</v>
      </c>
      <c r="O56" s="426">
        <f t="shared" si="32"/>
        <v>493148</v>
      </c>
      <c r="P56" s="426">
        <f t="shared" si="32"/>
        <v>490035</v>
      </c>
      <c r="Q56" s="426">
        <f t="shared" si="32"/>
        <v>484504</v>
      </c>
      <c r="R56" s="426">
        <f t="shared" si="32"/>
        <v>490607</v>
      </c>
      <c r="S56" s="426">
        <f t="shared" si="32"/>
        <v>482887</v>
      </c>
      <c r="T56" s="426">
        <f t="shared" si="32"/>
        <v>484160</v>
      </c>
      <c r="U56" s="426">
        <f t="shared" si="32"/>
        <v>483352</v>
      </c>
      <c r="V56" s="426">
        <f t="shared" ref="V56:W56" si="33">SUM(V57:V63)</f>
        <v>482630</v>
      </c>
      <c r="W56" s="28">
        <f t="shared" si="33"/>
        <v>497129</v>
      </c>
      <c r="X56" s="15">
        <f t="shared" si="30"/>
        <v>5875777</v>
      </c>
      <c r="Z56" s="69"/>
    </row>
    <row r="57" spans="1:26">
      <c r="A57" s="114">
        <f t="shared" si="31"/>
        <v>2018016</v>
      </c>
      <c r="B57" s="74"/>
      <c r="C57" s="642"/>
      <c r="D57" s="645"/>
      <c r="E57" s="645"/>
      <c r="F57" s="645"/>
      <c r="G57" s="645"/>
      <c r="H57" s="648"/>
      <c r="I57" s="648"/>
      <c r="J57" s="629"/>
      <c r="K57" s="168" t="s">
        <v>27</v>
      </c>
      <c r="L57" s="389">
        <v>413600</v>
      </c>
      <c r="M57" s="438">
        <v>413200</v>
      </c>
      <c r="N57" s="438">
        <v>414800</v>
      </c>
      <c r="O57" s="438">
        <v>415600</v>
      </c>
      <c r="P57" s="438">
        <v>414800</v>
      </c>
      <c r="Q57" s="438">
        <v>416000</v>
      </c>
      <c r="R57" s="438">
        <v>415200</v>
      </c>
      <c r="S57" s="438">
        <v>414400</v>
      </c>
      <c r="T57" s="438">
        <v>416800</v>
      </c>
      <c r="U57" s="438">
        <v>416000</v>
      </c>
      <c r="V57" s="438">
        <v>416245</v>
      </c>
      <c r="W57" s="321">
        <v>413600</v>
      </c>
      <c r="X57" s="14">
        <f t="shared" si="30"/>
        <v>4980245</v>
      </c>
      <c r="Y57" s="69"/>
      <c r="Z57" s="69"/>
    </row>
    <row r="58" spans="1:26">
      <c r="A58" s="114">
        <f t="shared" si="31"/>
        <v>2018016</v>
      </c>
      <c r="B58" s="74"/>
      <c r="C58" s="642"/>
      <c r="D58" s="645"/>
      <c r="E58" s="645"/>
      <c r="F58" s="645"/>
      <c r="G58" s="645"/>
      <c r="H58" s="648"/>
      <c r="I58" s="648"/>
      <c r="J58" s="629"/>
      <c r="K58" s="168" t="s">
        <v>34</v>
      </c>
      <c r="L58" s="391"/>
      <c r="M58" s="439"/>
      <c r="N58" s="439"/>
      <c r="O58" s="439"/>
      <c r="P58" s="439"/>
      <c r="Q58" s="439"/>
      <c r="R58" s="439"/>
      <c r="S58" s="439"/>
      <c r="T58" s="439"/>
      <c r="U58" s="439"/>
      <c r="V58" s="439"/>
      <c r="W58" s="323"/>
      <c r="X58" s="14">
        <f t="shared" si="30"/>
        <v>0</v>
      </c>
      <c r="Y58" s="69"/>
      <c r="Z58" s="69"/>
    </row>
    <row r="59" spans="1:26">
      <c r="A59" s="114">
        <f t="shared" si="31"/>
        <v>2018016</v>
      </c>
      <c r="B59" s="74"/>
      <c r="C59" s="642"/>
      <c r="D59" s="645"/>
      <c r="E59" s="645"/>
      <c r="F59" s="645"/>
      <c r="G59" s="645"/>
      <c r="H59" s="648"/>
      <c r="I59" s="648"/>
      <c r="J59" s="629"/>
      <c r="K59" s="168" t="s">
        <v>28</v>
      </c>
      <c r="L59" s="329">
        <v>13920</v>
      </c>
      <c r="M59" s="410">
        <v>12760</v>
      </c>
      <c r="N59" s="410">
        <v>10260</v>
      </c>
      <c r="O59" s="410">
        <v>7980</v>
      </c>
      <c r="P59" s="410">
        <v>5700</v>
      </c>
      <c r="Q59" s="410">
        <v>3420</v>
      </c>
      <c r="R59" s="410">
        <v>10260</v>
      </c>
      <c r="S59" s="410">
        <v>3420</v>
      </c>
      <c r="T59" s="410">
        <v>2280</v>
      </c>
      <c r="U59" s="410">
        <v>2280</v>
      </c>
      <c r="V59" s="410">
        <v>1140</v>
      </c>
      <c r="W59" s="26">
        <v>13920</v>
      </c>
      <c r="X59" s="14">
        <f t="shared" si="30"/>
        <v>87340</v>
      </c>
      <c r="Y59" s="69"/>
      <c r="Z59" s="69"/>
    </row>
    <row r="60" spans="1:26">
      <c r="A60" s="114">
        <f t="shared" si="31"/>
        <v>2018016</v>
      </c>
      <c r="B60" s="74"/>
      <c r="C60" s="642"/>
      <c r="D60" s="645"/>
      <c r="E60" s="645"/>
      <c r="F60" s="645"/>
      <c r="G60" s="645"/>
      <c r="H60" s="648"/>
      <c r="I60" s="648"/>
      <c r="J60" s="629"/>
      <c r="K60" s="168" t="s">
        <v>29</v>
      </c>
      <c r="L60" s="329">
        <v>24860</v>
      </c>
      <c r="M60" s="410">
        <v>24860</v>
      </c>
      <c r="N60" s="410">
        <v>24860</v>
      </c>
      <c r="O60" s="410">
        <v>24860</v>
      </c>
      <c r="P60" s="410">
        <v>24860</v>
      </c>
      <c r="Q60" s="410">
        <v>23165</v>
      </c>
      <c r="R60" s="410">
        <v>23165</v>
      </c>
      <c r="S60" s="410">
        <v>23165</v>
      </c>
      <c r="T60" s="410">
        <v>23165</v>
      </c>
      <c r="U60" s="410">
        <v>23165</v>
      </c>
      <c r="V60" s="410">
        <v>23165</v>
      </c>
      <c r="W60" s="26">
        <v>24860</v>
      </c>
      <c r="X60" s="14">
        <f t="shared" si="30"/>
        <v>288150</v>
      </c>
      <c r="Y60" s="69"/>
      <c r="Z60" s="69"/>
    </row>
    <row r="61" spans="1:26">
      <c r="A61" s="114">
        <f t="shared" si="31"/>
        <v>2018016</v>
      </c>
      <c r="B61" s="74"/>
      <c r="C61" s="642"/>
      <c r="D61" s="645"/>
      <c r="E61" s="645"/>
      <c r="F61" s="645"/>
      <c r="G61" s="645"/>
      <c r="H61" s="648"/>
      <c r="I61" s="648"/>
      <c r="J61" s="629"/>
      <c r="K61" s="168" t="s">
        <v>30</v>
      </c>
      <c r="L61" s="329">
        <v>40260</v>
      </c>
      <c r="M61" s="410">
        <v>40260</v>
      </c>
      <c r="N61" s="410">
        <v>40260</v>
      </c>
      <c r="O61" s="410">
        <v>40260</v>
      </c>
      <c r="P61" s="410">
        <v>40260</v>
      </c>
      <c r="Q61" s="410">
        <v>37515</v>
      </c>
      <c r="R61" s="410">
        <v>37515</v>
      </c>
      <c r="S61" s="410">
        <v>37515</v>
      </c>
      <c r="T61" s="410">
        <v>37515</v>
      </c>
      <c r="U61" s="410">
        <v>37515</v>
      </c>
      <c r="V61" s="410">
        <v>37515</v>
      </c>
      <c r="W61" s="26">
        <v>40260</v>
      </c>
      <c r="X61" s="14">
        <f t="shared" si="30"/>
        <v>466650</v>
      </c>
      <c r="Y61" s="69"/>
      <c r="Z61" s="69"/>
    </row>
    <row r="62" spans="1:26">
      <c r="A62" s="114">
        <f t="shared" si="31"/>
        <v>2018016</v>
      </c>
      <c r="B62" s="74"/>
      <c r="C62" s="642"/>
      <c r="D62" s="645"/>
      <c r="E62" s="645"/>
      <c r="F62" s="645"/>
      <c r="G62" s="645"/>
      <c r="H62" s="648"/>
      <c r="I62" s="648"/>
      <c r="J62" s="629"/>
      <c r="K62" s="168" t="s">
        <v>31</v>
      </c>
      <c r="L62" s="329">
        <v>2138</v>
      </c>
      <c r="M62" s="410">
        <v>2130</v>
      </c>
      <c r="N62" s="410">
        <v>2125</v>
      </c>
      <c r="O62" s="410">
        <v>2118</v>
      </c>
      <c r="P62" s="410">
        <v>2102</v>
      </c>
      <c r="Q62" s="410">
        <v>2097</v>
      </c>
      <c r="R62" s="410">
        <v>2127</v>
      </c>
      <c r="S62" s="410">
        <v>2089</v>
      </c>
      <c r="T62" s="410">
        <v>2095</v>
      </c>
      <c r="U62" s="410">
        <v>2091</v>
      </c>
      <c r="V62" s="410">
        <v>2174</v>
      </c>
      <c r="W62" s="26">
        <v>2138</v>
      </c>
      <c r="X62" s="14">
        <f t="shared" si="30"/>
        <v>25424</v>
      </c>
      <c r="Y62" s="69"/>
      <c r="Z62" s="69"/>
    </row>
    <row r="63" spans="1:26">
      <c r="A63" s="114">
        <f t="shared" si="31"/>
        <v>2018016</v>
      </c>
      <c r="B63" s="74"/>
      <c r="C63" s="642"/>
      <c r="D63" s="645"/>
      <c r="E63" s="645"/>
      <c r="F63" s="645"/>
      <c r="G63" s="645"/>
      <c r="H63" s="648"/>
      <c r="I63" s="648"/>
      <c r="J63" s="629"/>
      <c r="K63" s="168" t="s">
        <v>32</v>
      </c>
      <c r="L63" s="329">
        <v>2351</v>
      </c>
      <c r="M63" s="410">
        <v>2343</v>
      </c>
      <c r="N63" s="410">
        <v>2338</v>
      </c>
      <c r="O63" s="410">
        <v>2330</v>
      </c>
      <c r="P63" s="410">
        <v>2313</v>
      </c>
      <c r="Q63" s="410">
        <v>2307</v>
      </c>
      <c r="R63" s="410">
        <v>2340</v>
      </c>
      <c r="S63" s="410">
        <v>2298</v>
      </c>
      <c r="T63" s="410">
        <v>2305</v>
      </c>
      <c r="U63" s="410">
        <v>2301</v>
      </c>
      <c r="V63" s="410">
        <v>2391</v>
      </c>
      <c r="W63" s="26">
        <v>2351</v>
      </c>
      <c r="X63" s="14">
        <f t="shared" si="30"/>
        <v>27968</v>
      </c>
      <c r="Y63" s="69"/>
      <c r="Z63" s="69"/>
    </row>
    <row r="64" spans="1:26">
      <c r="A64" s="114">
        <f>+A63</f>
        <v>2018016</v>
      </c>
      <c r="B64" s="74"/>
      <c r="C64" s="654"/>
      <c r="D64" s="655"/>
      <c r="E64" s="655"/>
      <c r="F64" s="655"/>
      <c r="G64" s="655"/>
      <c r="H64" s="652"/>
      <c r="I64" s="652"/>
      <c r="J64" s="630"/>
      <c r="K64" s="170" t="s">
        <v>33</v>
      </c>
      <c r="L64" s="338">
        <f t="shared" ref="L64:X64" si="34">L53-L56</f>
        <v>182871</v>
      </c>
      <c r="M64" s="405">
        <f t="shared" si="34"/>
        <v>184447</v>
      </c>
      <c r="N64" s="405">
        <f t="shared" si="34"/>
        <v>185357</v>
      </c>
      <c r="O64" s="405">
        <f t="shared" si="34"/>
        <v>186852</v>
      </c>
      <c r="P64" s="405">
        <f t="shared" si="34"/>
        <v>147465</v>
      </c>
      <c r="Q64" s="405">
        <f t="shared" si="34"/>
        <v>182746</v>
      </c>
      <c r="R64" s="405">
        <f t="shared" si="34"/>
        <v>189393</v>
      </c>
      <c r="S64" s="405">
        <f t="shared" si="34"/>
        <v>48363</v>
      </c>
      <c r="T64" s="405">
        <f t="shared" si="34"/>
        <v>195840</v>
      </c>
      <c r="U64" s="405">
        <f t="shared" si="34"/>
        <v>143523</v>
      </c>
      <c r="V64" s="405">
        <f t="shared" si="34"/>
        <v>182495</v>
      </c>
      <c r="W64" s="90">
        <f t="shared" si="34"/>
        <v>182871</v>
      </c>
      <c r="X64" s="16">
        <f t="shared" si="34"/>
        <v>2012223</v>
      </c>
      <c r="Z64" s="69"/>
    </row>
    <row r="65" spans="1:26" ht="12" customHeight="1">
      <c r="A65" s="116">
        <v>2014005</v>
      </c>
      <c r="C65" s="641">
        <f t="shared" ref="C65" si="35">C53+1</f>
        <v>6</v>
      </c>
      <c r="D65" s="644" t="s">
        <v>59</v>
      </c>
      <c r="E65" s="644"/>
      <c r="F65" s="644"/>
      <c r="G65" s="645" t="s">
        <v>158</v>
      </c>
      <c r="H65" s="647"/>
      <c r="I65" s="647"/>
      <c r="J65" s="628" t="s">
        <v>54</v>
      </c>
      <c r="K65" s="181" t="s">
        <v>23</v>
      </c>
      <c r="L65" s="339">
        <f t="shared" ref="L65:W65" si="36">L66+L67</f>
        <v>692300</v>
      </c>
      <c r="M65" s="406">
        <f t="shared" si="36"/>
        <v>619200</v>
      </c>
      <c r="N65" s="406">
        <f t="shared" si="36"/>
        <v>653600</v>
      </c>
      <c r="O65" s="406">
        <f t="shared" si="36"/>
        <v>677250</v>
      </c>
      <c r="P65" s="406">
        <f t="shared" si="36"/>
        <v>563300</v>
      </c>
      <c r="Q65" s="406">
        <f t="shared" si="36"/>
        <v>645000</v>
      </c>
      <c r="R65" s="406">
        <f t="shared" si="36"/>
        <v>718100</v>
      </c>
      <c r="S65" s="406">
        <f t="shared" si="36"/>
        <v>554700</v>
      </c>
      <c r="T65" s="406">
        <f t="shared" si="36"/>
        <v>548250</v>
      </c>
      <c r="U65" s="406">
        <f t="shared" si="36"/>
        <v>567600</v>
      </c>
      <c r="V65" s="406">
        <f t="shared" si="36"/>
        <v>516000</v>
      </c>
      <c r="W65" s="94">
        <f t="shared" si="36"/>
        <v>692300</v>
      </c>
      <c r="X65" s="32">
        <f>SUM(L65:W65)</f>
        <v>7447600</v>
      </c>
      <c r="Z65" s="69"/>
    </row>
    <row r="66" spans="1:26">
      <c r="A66" s="114">
        <f>+A65</f>
        <v>2014005</v>
      </c>
      <c r="B66" s="74"/>
      <c r="C66" s="642"/>
      <c r="D66" s="645"/>
      <c r="E66" s="645"/>
      <c r="F66" s="645"/>
      <c r="G66" s="645"/>
      <c r="H66" s="648"/>
      <c r="I66" s="648"/>
      <c r="J66" s="629"/>
      <c r="K66" s="168" t="s">
        <v>24</v>
      </c>
      <c r="L66" s="388">
        <v>692300</v>
      </c>
      <c r="M66" s="437">
        <v>619200</v>
      </c>
      <c r="N66" s="437">
        <v>653600</v>
      </c>
      <c r="O66" s="437">
        <v>677250</v>
      </c>
      <c r="P66" s="437">
        <v>563300</v>
      </c>
      <c r="Q66" s="437">
        <v>645000</v>
      </c>
      <c r="R66" s="437">
        <v>718100</v>
      </c>
      <c r="S66" s="437">
        <v>554700</v>
      </c>
      <c r="T66" s="437">
        <v>548250</v>
      </c>
      <c r="U66" s="437">
        <v>567600</v>
      </c>
      <c r="V66" s="437">
        <v>516000</v>
      </c>
      <c r="W66" s="320">
        <v>692300</v>
      </c>
      <c r="X66" s="14">
        <f>SUM(L66:W66)</f>
        <v>7447600</v>
      </c>
      <c r="Y66" s="69"/>
      <c r="Z66" s="69"/>
    </row>
    <row r="67" spans="1:26">
      <c r="A67" s="114">
        <f>+A66</f>
        <v>2014005</v>
      </c>
      <c r="B67" s="74"/>
      <c r="C67" s="642"/>
      <c r="D67" s="645"/>
      <c r="E67" s="645"/>
      <c r="F67" s="645"/>
      <c r="G67" s="645"/>
      <c r="H67" s="648"/>
      <c r="I67" s="648"/>
      <c r="J67" s="629"/>
      <c r="K67" s="168" t="s">
        <v>25</v>
      </c>
      <c r="L67" s="389"/>
      <c r="M67" s="410"/>
      <c r="N67" s="410"/>
      <c r="O67" s="410"/>
      <c r="P67" s="410"/>
      <c r="Q67" s="410"/>
      <c r="R67" s="410"/>
      <c r="S67" s="410"/>
      <c r="T67" s="410"/>
      <c r="U67" s="410"/>
      <c r="V67" s="410"/>
      <c r="W67" s="88"/>
      <c r="X67" s="14">
        <v>0</v>
      </c>
      <c r="Z67" s="69"/>
    </row>
    <row r="68" spans="1:26">
      <c r="A68" s="114">
        <f t="shared" ref="A68:A75" si="37">+A67</f>
        <v>2014005</v>
      </c>
      <c r="B68" s="74"/>
      <c r="C68" s="642"/>
      <c r="D68" s="645"/>
      <c r="E68" s="645"/>
      <c r="F68" s="645"/>
      <c r="G68" s="645"/>
      <c r="H68" s="648"/>
      <c r="I68" s="648"/>
      <c r="J68" s="629"/>
      <c r="K68" s="169" t="s">
        <v>26</v>
      </c>
      <c r="L68" s="390">
        <f t="shared" ref="L68:V68" si="38">SUM(L69:L75)</f>
        <v>562093</v>
      </c>
      <c r="M68" s="426">
        <f t="shared" si="38"/>
        <v>532935</v>
      </c>
      <c r="N68" s="426">
        <f t="shared" si="38"/>
        <v>554530</v>
      </c>
      <c r="O68" s="426">
        <f t="shared" si="38"/>
        <v>569563</v>
      </c>
      <c r="P68" s="426">
        <f t="shared" si="38"/>
        <v>533938</v>
      </c>
      <c r="Q68" s="426">
        <f t="shared" si="38"/>
        <v>523347</v>
      </c>
      <c r="R68" s="426">
        <f t="shared" si="38"/>
        <v>577421</v>
      </c>
      <c r="S68" s="426">
        <f t="shared" si="38"/>
        <v>483369</v>
      </c>
      <c r="T68" s="426">
        <f t="shared" si="38"/>
        <v>542712</v>
      </c>
      <c r="U68" s="426">
        <f t="shared" si="38"/>
        <v>515788</v>
      </c>
      <c r="V68" s="426">
        <f t="shared" si="38"/>
        <v>499706</v>
      </c>
      <c r="W68" s="89">
        <f>SUM(W69:W75)</f>
        <v>562093</v>
      </c>
      <c r="X68" s="15">
        <f t="shared" ref="X68:X75" si="39">SUM(L68:W68)</f>
        <v>6457495</v>
      </c>
      <c r="Z68" s="69"/>
    </row>
    <row r="69" spans="1:26">
      <c r="A69" s="114">
        <f t="shared" si="37"/>
        <v>2014005</v>
      </c>
      <c r="B69" s="74"/>
      <c r="C69" s="642"/>
      <c r="D69" s="645"/>
      <c r="E69" s="645"/>
      <c r="F69" s="645"/>
      <c r="G69" s="645"/>
      <c r="H69" s="648"/>
      <c r="I69" s="648"/>
      <c r="J69" s="629"/>
      <c r="K69" s="168" t="s">
        <v>27</v>
      </c>
      <c r="L69" s="389">
        <v>475615</v>
      </c>
      <c r="M69" s="438">
        <v>445580</v>
      </c>
      <c r="N69" s="438">
        <v>471670</v>
      </c>
      <c r="O69" s="438">
        <v>487800</v>
      </c>
      <c r="P69" s="438">
        <v>454880</v>
      </c>
      <c r="Q69" s="438">
        <v>444400</v>
      </c>
      <c r="R69" s="438">
        <v>493240</v>
      </c>
      <c r="S69" s="438">
        <v>406005</v>
      </c>
      <c r="T69" s="438">
        <v>465900</v>
      </c>
      <c r="U69" s="438">
        <v>439255</v>
      </c>
      <c r="V69" s="438">
        <v>423160</v>
      </c>
      <c r="W69" s="321">
        <v>475615</v>
      </c>
      <c r="X69" s="14">
        <f t="shared" si="39"/>
        <v>5483120</v>
      </c>
      <c r="Y69" s="69"/>
      <c r="Z69" s="69"/>
    </row>
    <row r="70" spans="1:26">
      <c r="A70" s="114">
        <f t="shared" si="37"/>
        <v>2014005</v>
      </c>
      <c r="B70" s="74"/>
      <c r="C70" s="642"/>
      <c r="D70" s="645"/>
      <c r="E70" s="645"/>
      <c r="F70" s="645"/>
      <c r="G70" s="645"/>
      <c r="H70" s="648"/>
      <c r="I70" s="648"/>
      <c r="J70" s="629"/>
      <c r="K70" s="168" t="s">
        <v>34</v>
      </c>
      <c r="L70" s="391"/>
      <c r="M70" s="439"/>
      <c r="N70" s="439"/>
      <c r="O70" s="439"/>
      <c r="P70" s="439"/>
      <c r="Q70" s="439"/>
      <c r="R70" s="439"/>
      <c r="S70" s="439"/>
      <c r="T70" s="439"/>
      <c r="U70" s="439"/>
      <c r="V70" s="439"/>
      <c r="W70" s="323"/>
      <c r="X70" s="14">
        <f t="shared" si="39"/>
        <v>0</v>
      </c>
      <c r="Y70" s="69"/>
      <c r="Z70" s="69"/>
    </row>
    <row r="71" spans="1:26">
      <c r="A71" s="114">
        <f t="shared" si="37"/>
        <v>2014005</v>
      </c>
      <c r="B71" s="74"/>
      <c r="C71" s="642"/>
      <c r="D71" s="645"/>
      <c r="E71" s="645"/>
      <c r="F71" s="645"/>
      <c r="G71" s="645"/>
      <c r="H71" s="648"/>
      <c r="I71" s="648"/>
      <c r="J71" s="629"/>
      <c r="K71" s="168" t="s">
        <v>28</v>
      </c>
      <c r="L71" s="329">
        <v>11800</v>
      </c>
      <c r="M71" s="410">
        <v>12980</v>
      </c>
      <c r="N71" s="410">
        <v>8260</v>
      </c>
      <c r="O71" s="410">
        <v>7008</v>
      </c>
      <c r="P71" s="410">
        <v>4672</v>
      </c>
      <c r="Q71" s="410">
        <v>4672</v>
      </c>
      <c r="R71" s="410">
        <v>9344</v>
      </c>
      <c r="S71" s="410">
        <v>3504</v>
      </c>
      <c r="T71" s="410">
        <v>2336</v>
      </c>
      <c r="U71" s="410">
        <v>2336</v>
      </c>
      <c r="V71" s="410">
        <v>2336</v>
      </c>
      <c r="W71" s="26">
        <v>11800</v>
      </c>
      <c r="X71" s="14">
        <f t="shared" si="39"/>
        <v>81048</v>
      </c>
      <c r="Y71" s="69"/>
      <c r="Z71" s="69"/>
    </row>
    <row r="72" spans="1:26">
      <c r="A72" s="114">
        <f t="shared" si="37"/>
        <v>2014005</v>
      </c>
      <c r="B72" s="74"/>
      <c r="C72" s="642"/>
      <c r="D72" s="645"/>
      <c r="E72" s="645"/>
      <c r="F72" s="645"/>
      <c r="G72" s="645"/>
      <c r="H72" s="648"/>
      <c r="I72" s="648"/>
      <c r="J72" s="629"/>
      <c r="K72" s="168" t="s">
        <v>29</v>
      </c>
      <c r="L72" s="329">
        <v>26555</v>
      </c>
      <c r="M72" s="410">
        <v>26555</v>
      </c>
      <c r="N72" s="410">
        <v>26555</v>
      </c>
      <c r="O72" s="410">
        <v>26555</v>
      </c>
      <c r="P72" s="410">
        <v>26555</v>
      </c>
      <c r="Q72" s="410">
        <v>26555</v>
      </c>
      <c r="R72" s="410">
        <v>26555</v>
      </c>
      <c r="S72" s="410">
        <v>26555</v>
      </c>
      <c r="T72" s="410">
        <v>26555</v>
      </c>
      <c r="U72" s="410">
        <v>26555</v>
      </c>
      <c r="V72" s="410">
        <v>26555</v>
      </c>
      <c r="W72" s="26">
        <v>26555</v>
      </c>
      <c r="X72" s="14">
        <f t="shared" si="39"/>
        <v>318660</v>
      </c>
      <c r="Y72" s="69"/>
      <c r="Z72" s="69"/>
    </row>
    <row r="73" spans="1:26">
      <c r="A73" s="114">
        <f t="shared" si="37"/>
        <v>2014005</v>
      </c>
      <c r="B73" s="74"/>
      <c r="C73" s="642"/>
      <c r="D73" s="645"/>
      <c r="E73" s="645"/>
      <c r="F73" s="645"/>
      <c r="G73" s="645"/>
      <c r="H73" s="648"/>
      <c r="I73" s="648"/>
      <c r="J73" s="629"/>
      <c r="K73" s="168" t="s">
        <v>30</v>
      </c>
      <c r="L73" s="329">
        <v>43005</v>
      </c>
      <c r="M73" s="410">
        <v>43005</v>
      </c>
      <c r="N73" s="410">
        <v>43005</v>
      </c>
      <c r="O73" s="410">
        <v>43005</v>
      </c>
      <c r="P73" s="410">
        <v>43005</v>
      </c>
      <c r="Q73" s="410">
        <v>43005</v>
      </c>
      <c r="R73" s="410">
        <v>43005</v>
      </c>
      <c r="S73" s="410">
        <v>43005</v>
      </c>
      <c r="T73" s="410">
        <v>43005</v>
      </c>
      <c r="U73" s="410">
        <v>43005</v>
      </c>
      <c r="V73" s="410">
        <v>43005</v>
      </c>
      <c r="W73" s="26">
        <v>43005</v>
      </c>
      <c r="X73" s="14">
        <f t="shared" si="39"/>
        <v>516060</v>
      </c>
      <c r="Y73" s="69"/>
      <c r="Z73" s="69"/>
    </row>
    <row r="74" spans="1:26">
      <c r="A74" s="114">
        <f t="shared" si="37"/>
        <v>2014005</v>
      </c>
      <c r="B74" s="74"/>
      <c r="C74" s="642"/>
      <c r="D74" s="645"/>
      <c r="E74" s="645"/>
      <c r="F74" s="645"/>
      <c r="G74" s="645"/>
      <c r="H74" s="648"/>
      <c r="I74" s="648"/>
      <c r="J74" s="629"/>
      <c r="K74" s="168" t="s">
        <v>31</v>
      </c>
      <c r="L74" s="329">
        <v>2437</v>
      </c>
      <c r="M74" s="410">
        <v>2293</v>
      </c>
      <c r="N74" s="410">
        <v>2400</v>
      </c>
      <c r="O74" s="410">
        <v>2474</v>
      </c>
      <c r="P74" s="410">
        <v>2298</v>
      </c>
      <c r="Q74" s="410">
        <v>2245</v>
      </c>
      <c r="R74" s="410">
        <v>2513</v>
      </c>
      <c r="S74" s="410">
        <v>2048</v>
      </c>
      <c r="T74" s="410">
        <v>2341</v>
      </c>
      <c r="U74" s="410">
        <v>2208</v>
      </c>
      <c r="V74" s="410">
        <v>2214</v>
      </c>
      <c r="W74" s="26">
        <v>2437</v>
      </c>
      <c r="X74" s="14">
        <f t="shared" si="39"/>
        <v>27908</v>
      </c>
      <c r="Y74" s="69"/>
      <c r="Z74" s="69"/>
    </row>
    <row r="75" spans="1:26">
      <c r="A75" s="114">
        <f t="shared" si="37"/>
        <v>2014005</v>
      </c>
      <c r="B75" s="74"/>
      <c r="C75" s="642"/>
      <c r="D75" s="645"/>
      <c r="E75" s="645"/>
      <c r="F75" s="645"/>
      <c r="G75" s="645"/>
      <c r="H75" s="648"/>
      <c r="I75" s="648"/>
      <c r="J75" s="629"/>
      <c r="K75" s="168" t="s">
        <v>32</v>
      </c>
      <c r="L75" s="329">
        <v>2681</v>
      </c>
      <c r="M75" s="410">
        <v>2522</v>
      </c>
      <c r="N75" s="410">
        <v>2640</v>
      </c>
      <c r="O75" s="410">
        <v>2721</v>
      </c>
      <c r="P75" s="410">
        <v>2528</v>
      </c>
      <c r="Q75" s="410">
        <v>2470</v>
      </c>
      <c r="R75" s="410">
        <v>2764</v>
      </c>
      <c r="S75" s="410">
        <v>2252</v>
      </c>
      <c r="T75" s="410">
        <v>2575</v>
      </c>
      <c r="U75" s="410">
        <v>2429</v>
      </c>
      <c r="V75" s="410">
        <v>2436</v>
      </c>
      <c r="W75" s="26">
        <v>2681</v>
      </c>
      <c r="X75" s="14">
        <f t="shared" si="39"/>
        <v>30699</v>
      </c>
      <c r="Y75" s="69"/>
      <c r="Z75" s="69"/>
    </row>
    <row r="76" spans="1:26">
      <c r="A76" s="114">
        <f>+A75</f>
        <v>2014005</v>
      </c>
      <c r="B76" s="74"/>
      <c r="C76" s="654"/>
      <c r="D76" s="655"/>
      <c r="E76" s="655"/>
      <c r="F76" s="655"/>
      <c r="G76" s="655"/>
      <c r="H76" s="652"/>
      <c r="I76" s="652"/>
      <c r="J76" s="630"/>
      <c r="K76" s="170" t="s">
        <v>33</v>
      </c>
      <c r="L76" s="338">
        <f t="shared" ref="L76:X76" si="40">L65-L68</f>
        <v>130207</v>
      </c>
      <c r="M76" s="405">
        <f t="shared" si="40"/>
        <v>86265</v>
      </c>
      <c r="N76" s="405">
        <f t="shared" si="40"/>
        <v>99070</v>
      </c>
      <c r="O76" s="405">
        <f t="shared" si="40"/>
        <v>107687</v>
      </c>
      <c r="P76" s="405">
        <f t="shared" si="40"/>
        <v>29362</v>
      </c>
      <c r="Q76" s="405">
        <f t="shared" si="40"/>
        <v>121653</v>
      </c>
      <c r="R76" s="405">
        <f t="shared" si="40"/>
        <v>140679</v>
      </c>
      <c r="S76" s="405">
        <f t="shared" si="40"/>
        <v>71331</v>
      </c>
      <c r="T76" s="405">
        <f t="shared" si="40"/>
        <v>5538</v>
      </c>
      <c r="U76" s="405">
        <f t="shared" si="40"/>
        <v>51812</v>
      </c>
      <c r="V76" s="405">
        <f t="shared" si="40"/>
        <v>16294</v>
      </c>
      <c r="W76" s="90">
        <f t="shared" si="40"/>
        <v>130207</v>
      </c>
      <c r="X76" s="16">
        <f t="shared" si="40"/>
        <v>990105</v>
      </c>
      <c r="Z76" s="69"/>
    </row>
    <row r="77" spans="1:26" ht="12" customHeight="1">
      <c r="A77" s="116">
        <v>2010006</v>
      </c>
      <c r="C77" s="641">
        <f t="shared" ref="C77" si="41">C65+1</f>
        <v>7</v>
      </c>
      <c r="D77" s="644" t="s">
        <v>59</v>
      </c>
      <c r="E77" s="644"/>
      <c r="F77" s="644"/>
      <c r="G77" s="644" t="s">
        <v>158</v>
      </c>
      <c r="H77" s="647" t="s">
        <v>39</v>
      </c>
      <c r="I77" s="647" t="s">
        <v>40</v>
      </c>
      <c r="J77" s="628" t="s">
        <v>54</v>
      </c>
      <c r="K77" s="181" t="s">
        <v>23</v>
      </c>
      <c r="L77" s="339">
        <f t="shared" ref="L77:V77" si="42">L78+L79</f>
        <v>698175</v>
      </c>
      <c r="M77" s="406">
        <f t="shared" si="42"/>
        <v>654675</v>
      </c>
      <c r="N77" s="406">
        <f t="shared" si="42"/>
        <v>639450</v>
      </c>
      <c r="O77" s="406">
        <f t="shared" si="42"/>
        <v>672075</v>
      </c>
      <c r="P77" s="406">
        <f t="shared" si="42"/>
        <v>524175</v>
      </c>
      <c r="Q77" s="406">
        <f t="shared" si="42"/>
        <v>619875</v>
      </c>
      <c r="R77" s="406">
        <f t="shared" si="42"/>
        <v>726450</v>
      </c>
      <c r="S77" s="406">
        <f t="shared" si="42"/>
        <v>558975</v>
      </c>
      <c r="T77" s="406">
        <f t="shared" si="42"/>
        <v>678600</v>
      </c>
      <c r="U77" s="406">
        <f t="shared" si="42"/>
        <v>561150</v>
      </c>
      <c r="V77" s="406">
        <f t="shared" si="42"/>
        <v>554625</v>
      </c>
      <c r="W77" s="94">
        <f>W78+W79</f>
        <v>698175</v>
      </c>
      <c r="X77" s="32">
        <f t="shared" ref="X77:X87" si="43">SUM(L77:W77)</f>
        <v>7586400</v>
      </c>
      <c r="Z77" s="69"/>
    </row>
    <row r="78" spans="1:26">
      <c r="A78" s="114">
        <f>+A77</f>
        <v>2010006</v>
      </c>
      <c r="B78" s="74"/>
      <c r="C78" s="642"/>
      <c r="D78" s="645"/>
      <c r="E78" s="645"/>
      <c r="F78" s="645"/>
      <c r="G78" s="645"/>
      <c r="H78" s="648"/>
      <c r="I78" s="648"/>
      <c r="J78" s="629"/>
      <c r="K78" s="168" t="s">
        <v>24</v>
      </c>
      <c r="L78" s="388">
        <v>698175</v>
      </c>
      <c r="M78" s="437">
        <v>654675</v>
      </c>
      <c r="N78" s="437">
        <v>639450</v>
      </c>
      <c r="O78" s="437">
        <v>672075</v>
      </c>
      <c r="P78" s="437">
        <v>524175</v>
      </c>
      <c r="Q78" s="437">
        <v>619875</v>
      </c>
      <c r="R78" s="437">
        <v>726450</v>
      </c>
      <c r="S78" s="437">
        <v>558975</v>
      </c>
      <c r="T78" s="437">
        <v>678600</v>
      </c>
      <c r="U78" s="437">
        <v>561150</v>
      </c>
      <c r="V78" s="437">
        <v>554625</v>
      </c>
      <c r="W78" s="320">
        <v>698175</v>
      </c>
      <c r="X78" s="14">
        <f t="shared" si="43"/>
        <v>7586400</v>
      </c>
      <c r="Y78" s="69"/>
      <c r="Z78" s="69"/>
    </row>
    <row r="79" spans="1:26">
      <c r="A79" s="114">
        <f>+A78</f>
        <v>2010006</v>
      </c>
      <c r="B79" s="74"/>
      <c r="C79" s="642"/>
      <c r="D79" s="645"/>
      <c r="E79" s="645"/>
      <c r="F79" s="645"/>
      <c r="G79" s="645"/>
      <c r="H79" s="648"/>
      <c r="I79" s="648"/>
      <c r="J79" s="629"/>
      <c r="K79" s="168" t="s">
        <v>25</v>
      </c>
      <c r="L79" s="389"/>
      <c r="M79" s="410"/>
      <c r="N79" s="410"/>
      <c r="O79" s="410"/>
      <c r="P79" s="410"/>
      <c r="Q79" s="410"/>
      <c r="R79" s="410"/>
      <c r="S79" s="410"/>
      <c r="T79" s="410"/>
      <c r="U79" s="410"/>
      <c r="V79" s="410"/>
      <c r="W79" s="88"/>
      <c r="X79" s="14">
        <f t="shared" si="43"/>
        <v>0</v>
      </c>
      <c r="Z79" s="69"/>
    </row>
    <row r="80" spans="1:26">
      <c r="A80" s="114">
        <f t="shared" ref="A80:A87" si="44">+A79</f>
        <v>2010006</v>
      </c>
      <c r="B80" s="74"/>
      <c r="C80" s="642"/>
      <c r="D80" s="645"/>
      <c r="E80" s="645"/>
      <c r="F80" s="645"/>
      <c r="G80" s="645"/>
      <c r="H80" s="648"/>
      <c r="I80" s="648"/>
      <c r="J80" s="629"/>
      <c r="K80" s="169" t="s">
        <v>26</v>
      </c>
      <c r="L80" s="390">
        <f t="shared" ref="L80:V80" si="45">SUM(L81:L87)</f>
        <v>548689</v>
      </c>
      <c r="M80" s="426">
        <f t="shared" si="45"/>
        <v>517828</v>
      </c>
      <c r="N80" s="426">
        <f t="shared" si="45"/>
        <v>553286</v>
      </c>
      <c r="O80" s="426">
        <f t="shared" si="45"/>
        <v>579509</v>
      </c>
      <c r="P80" s="426">
        <f t="shared" si="45"/>
        <v>514620</v>
      </c>
      <c r="Q80" s="426">
        <f t="shared" si="45"/>
        <v>505009</v>
      </c>
      <c r="R80" s="426">
        <f t="shared" si="45"/>
        <v>562690</v>
      </c>
      <c r="S80" s="426">
        <f t="shared" si="45"/>
        <v>464589</v>
      </c>
      <c r="T80" s="426">
        <f t="shared" si="45"/>
        <v>542600</v>
      </c>
      <c r="U80" s="426">
        <f t="shared" si="45"/>
        <v>483675</v>
      </c>
      <c r="V80" s="426">
        <f t="shared" si="45"/>
        <v>498509</v>
      </c>
      <c r="W80" s="89">
        <f>SUM(W81:W87)</f>
        <v>548689</v>
      </c>
      <c r="X80" s="15">
        <f t="shared" si="43"/>
        <v>6319693</v>
      </c>
      <c r="Z80" s="69"/>
    </row>
    <row r="81" spans="1:26">
      <c r="A81" s="114">
        <f t="shared" si="44"/>
        <v>2010006</v>
      </c>
      <c r="B81" s="74"/>
      <c r="C81" s="642"/>
      <c r="D81" s="645"/>
      <c r="E81" s="645"/>
      <c r="F81" s="645"/>
      <c r="G81" s="645"/>
      <c r="H81" s="648"/>
      <c r="I81" s="648"/>
      <c r="J81" s="629"/>
      <c r="K81" s="168" t="s">
        <v>27</v>
      </c>
      <c r="L81" s="389">
        <v>454150</v>
      </c>
      <c r="M81" s="438">
        <v>426600</v>
      </c>
      <c r="N81" s="438">
        <v>458700</v>
      </c>
      <c r="O81" s="438">
        <v>484650</v>
      </c>
      <c r="P81" s="438">
        <v>425400</v>
      </c>
      <c r="Q81" s="438">
        <v>427800</v>
      </c>
      <c r="R81" s="438">
        <v>472400</v>
      </c>
      <c r="S81" s="438">
        <v>387800</v>
      </c>
      <c r="T81" s="438">
        <v>465000</v>
      </c>
      <c r="U81" s="438">
        <v>411700</v>
      </c>
      <c r="V81" s="438">
        <v>426200</v>
      </c>
      <c r="W81" s="321">
        <v>454150</v>
      </c>
      <c r="X81" s="14">
        <f t="shared" si="43"/>
        <v>5294550</v>
      </c>
      <c r="Y81" s="69"/>
      <c r="Z81" s="69"/>
    </row>
    <row r="82" spans="1:26">
      <c r="A82" s="114">
        <f t="shared" si="44"/>
        <v>2010006</v>
      </c>
      <c r="B82" s="74"/>
      <c r="C82" s="642"/>
      <c r="D82" s="645"/>
      <c r="E82" s="645"/>
      <c r="F82" s="645"/>
      <c r="G82" s="645"/>
      <c r="H82" s="648"/>
      <c r="I82" s="648"/>
      <c r="J82" s="629"/>
      <c r="K82" s="168" t="s">
        <v>34</v>
      </c>
      <c r="L82" s="391"/>
      <c r="M82" s="439"/>
      <c r="N82" s="439"/>
      <c r="O82" s="439"/>
      <c r="P82" s="439"/>
      <c r="Q82" s="439"/>
      <c r="R82" s="439"/>
      <c r="S82" s="439"/>
      <c r="T82" s="439"/>
      <c r="U82" s="439"/>
      <c r="V82" s="439"/>
      <c r="W82" s="323"/>
      <c r="X82" s="14">
        <f t="shared" si="43"/>
        <v>0</v>
      </c>
      <c r="Y82" s="69"/>
      <c r="Z82" s="69"/>
    </row>
    <row r="83" spans="1:26">
      <c r="A83" s="114">
        <f t="shared" si="44"/>
        <v>2010006</v>
      </c>
      <c r="B83" s="74"/>
      <c r="C83" s="642"/>
      <c r="D83" s="645"/>
      <c r="E83" s="645"/>
      <c r="F83" s="645"/>
      <c r="G83" s="645"/>
      <c r="H83" s="648"/>
      <c r="I83" s="648"/>
      <c r="J83" s="629"/>
      <c r="K83" s="168" t="s">
        <v>28</v>
      </c>
      <c r="L83" s="329">
        <v>20000</v>
      </c>
      <c r="M83" s="410">
        <v>17010</v>
      </c>
      <c r="N83" s="410">
        <v>20000</v>
      </c>
      <c r="O83" s="410">
        <v>20000</v>
      </c>
      <c r="P83" s="410">
        <v>15036</v>
      </c>
      <c r="Q83" s="410">
        <v>7518</v>
      </c>
      <c r="R83" s="410">
        <v>20000</v>
      </c>
      <c r="S83" s="410">
        <v>7518</v>
      </c>
      <c r="T83" s="410">
        <v>7518</v>
      </c>
      <c r="U83" s="410">
        <v>2506</v>
      </c>
      <c r="V83" s="410">
        <v>2506</v>
      </c>
      <c r="W83" s="26">
        <v>20000</v>
      </c>
      <c r="X83" s="14">
        <f t="shared" si="43"/>
        <v>159612</v>
      </c>
      <c r="Y83" s="69"/>
      <c r="Z83" s="69"/>
    </row>
    <row r="84" spans="1:26">
      <c r="A84" s="114">
        <f t="shared" si="44"/>
        <v>2010006</v>
      </c>
      <c r="B84" s="74"/>
      <c r="C84" s="642"/>
      <c r="D84" s="645"/>
      <c r="E84" s="645"/>
      <c r="F84" s="645"/>
      <c r="G84" s="645"/>
      <c r="H84" s="648"/>
      <c r="I84" s="648"/>
      <c r="J84" s="629"/>
      <c r="K84" s="168" t="s">
        <v>29</v>
      </c>
      <c r="L84" s="329">
        <v>26555</v>
      </c>
      <c r="M84" s="410">
        <v>26555</v>
      </c>
      <c r="N84" s="410">
        <v>26555</v>
      </c>
      <c r="O84" s="410">
        <v>26555</v>
      </c>
      <c r="P84" s="410">
        <v>26555</v>
      </c>
      <c r="Q84" s="410">
        <v>24860</v>
      </c>
      <c r="R84" s="410">
        <v>24860</v>
      </c>
      <c r="S84" s="410">
        <v>24860</v>
      </c>
      <c r="T84" s="410">
        <v>24860</v>
      </c>
      <c r="U84" s="410">
        <v>24860</v>
      </c>
      <c r="V84" s="410">
        <v>24860</v>
      </c>
      <c r="W84" s="26">
        <v>26555</v>
      </c>
      <c r="X84" s="14">
        <f t="shared" si="43"/>
        <v>308490</v>
      </c>
      <c r="Y84" s="69"/>
      <c r="Z84" s="69"/>
    </row>
    <row r="85" spans="1:26">
      <c r="A85" s="114">
        <f t="shared" si="44"/>
        <v>2010006</v>
      </c>
      <c r="B85" s="74"/>
      <c r="C85" s="642"/>
      <c r="D85" s="645"/>
      <c r="E85" s="645"/>
      <c r="F85" s="645"/>
      <c r="G85" s="645"/>
      <c r="H85" s="648"/>
      <c r="I85" s="648"/>
      <c r="J85" s="629"/>
      <c r="K85" s="168" t="s">
        <v>30</v>
      </c>
      <c r="L85" s="329">
        <v>43005</v>
      </c>
      <c r="M85" s="410">
        <v>43005</v>
      </c>
      <c r="N85" s="410">
        <v>43005</v>
      </c>
      <c r="O85" s="410">
        <v>43005</v>
      </c>
      <c r="P85" s="410">
        <v>43005</v>
      </c>
      <c r="Q85" s="410">
        <v>40260</v>
      </c>
      <c r="R85" s="410">
        <v>40260</v>
      </c>
      <c r="S85" s="410">
        <v>40260</v>
      </c>
      <c r="T85" s="410">
        <v>40260</v>
      </c>
      <c r="U85" s="410">
        <v>40260</v>
      </c>
      <c r="V85" s="410">
        <v>40260</v>
      </c>
      <c r="W85" s="26">
        <v>43005</v>
      </c>
      <c r="X85" s="14">
        <f t="shared" si="43"/>
        <v>499590</v>
      </c>
      <c r="Y85" s="69"/>
      <c r="Z85" s="69"/>
    </row>
    <row r="86" spans="1:26">
      <c r="A86" s="114">
        <f t="shared" si="44"/>
        <v>2010006</v>
      </c>
      <c r="B86" s="74"/>
      <c r="C86" s="642"/>
      <c r="D86" s="645"/>
      <c r="E86" s="645"/>
      <c r="F86" s="645"/>
      <c r="G86" s="645"/>
      <c r="H86" s="648"/>
      <c r="I86" s="648"/>
      <c r="J86" s="629"/>
      <c r="K86" s="168" t="s">
        <v>31</v>
      </c>
      <c r="L86" s="329">
        <v>2371</v>
      </c>
      <c r="M86" s="410">
        <v>2218</v>
      </c>
      <c r="N86" s="410">
        <v>2393</v>
      </c>
      <c r="O86" s="410">
        <v>2523</v>
      </c>
      <c r="P86" s="410">
        <v>2202</v>
      </c>
      <c r="Q86" s="410">
        <v>2177</v>
      </c>
      <c r="R86" s="410">
        <v>2462</v>
      </c>
      <c r="S86" s="410">
        <v>1977</v>
      </c>
      <c r="T86" s="410">
        <v>2363</v>
      </c>
      <c r="U86" s="410">
        <v>2071</v>
      </c>
      <c r="V86" s="410">
        <v>2230</v>
      </c>
      <c r="W86" s="26">
        <v>2371</v>
      </c>
      <c r="X86" s="14">
        <f t="shared" si="43"/>
        <v>27358</v>
      </c>
      <c r="Y86" s="69"/>
      <c r="Z86" s="69"/>
    </row>
    <row r="87" spans="1:26">
      <c r="A87" s="114">
        <f t="shared" si="44"/>
        <v>2010006</v>
      </c>
      <c r="B87" s="74"/>
      <c r="C87" s="642"/>
      <c r="D87" s="645"/>
      <c r="E87" s="645"/>
      <c r="F87" s="645"/>
      <c r="G87" s="645"/>
      <c r="H87" s="648"/>
      <c r="I87" s="648"/>
      <c r="J87" s="629"/>
      <c r="K87" s="168" t="s">
        <v>32</v>
      </c>
      <c r="L87" s="329">
        <v>2608</v>
      </c>
      <c r="M87" s="410">
        <v>2440</v>
      </c>
      <c r="N87" s="410">
        <v>2633</v>
      </c>
      <c r="O87" s="410">
        <v>2776</v>
      </c>
      <c r="P87" s="410">
        <v>2422</v>
      </c>
      <c r="Q87" s="410">
        <v>2394</v>
      </c>
      <c r="R87" s="410">
        <v>2708</v>
      </c>
      <c r="S87" s="410">
        <v>2174</v>
      </c>
      <c r="T87" s="410">
        <v>2599</v>
      </c>
      <c r="U87" s="410">
        <v>2278</v>
      </c>
      <c r="V87" s="410">
        <v>2453</v>
      </c>
      <c r="W87" s="26">
        <v>2608</v>
      </c>
      <c r="X87" s="14">
        <f t="shared" si="43"/>
        <v>30093</v>
      </c>
      <c r="Y87" s="69"/>
      <c r="Z87" s="69"/>
    </row>
    <row r="88" spans="1:26">
      <c r="A88" s="114">
        <f>+A87</f>
        <v>2010006</v>
      </c>
      <c r="B88" s="74"/>
      <c r="C88" s="642"/>
      <c r="D88" s="645"/>
      <c r="E88" s="645"/>
      <c r="F88" s="645"/>
      <c r="G88" s="645"/>
      <c r="H88" s="648"/>
      <c r="I88" s="648"/>
      <c r="J88" s="629"/>
      <c r="K88" s="255" t="s">
        <v>33</v>
      </c>
      <c r="L88" s="514">
        <f t="shared" ref="L88:V88" si="46">L77-L80</f>
        <v>149486</v>
      </c>
      <c r="M88" s="432">
        <f t="shared" si="46"/>
        <v>136847</v>
      </c>
      <c r="N88" s="432">
        <f t="shared" si="46"/>
        <v>86164</v>
      </c>
      <c r="O88" s="432">
        <f t="shared" si="46"/>
        <v>92566</v>
      </c>
      <c r="P88" s="432">
        <f t="shared" si="46"/>
        <v>9555</v>
      </c>
      <c r="Q88" s="432">
        <f t="shared" si="46"/>
        <v>114866</v>
      </c>
      <c r="R88" s="432">
        <f t="shared" si="46"/>
        <v>163760</v>
      </c>
      <c r="S88" s="432">
        <f t="shared" si="46"/>
        <v>94386</v>
      </c>
      <c r="T88" s="432">
        <f t="shared" si="46"/>
        <v>136000</v>
      </c>
      <c r="U88" s="432">
        <f t="shared" si="46"/>
        <v>77475</v>
      </c>
      <c r="V88" s="432">
        <f t="shared" si="46"/>
        <v>56116</v>
      </c>
      <c r="W88" s="256">
        <f>W77-W80</f>
        <v>149486</v>
      </c>
      <c r="X88" s="257">
        <f>X77-X80</f>
        <v>1266707</v>
      </c>
      <c r="Z88" s="69"/>
    </row>
    <row r="89" spans="1:26" ht="12" customHeight="1">
      <c r="A89" s="116">
        <v>2024047</v>
      </c>
      <c r="C89" s="641">
        <f t="shared" ref="C89" si="47">C77+1</f>
        <v>8</v>
      </c>
      <c r="D89" s="644" t="s">
        <v>59</v>
      </c>
      <c r="E89" s="644"/>
      <c r="F89" s="644"/>
      <c r="G89" s="644" t="s">
        <v>171</v>
      </c>
      <c r="H89" s="647"/>
      <c r="I89" s="647"/>
      <c r="J89" s="628" t="s">
        <v>54</v>
      </c>
      <c r="K89" s="181" t="s">
        <v>23</v>
      </c>
      <c r="L89" s="339">
        <f t="shared" ref="L89:V89" si="48">L90+L91</f>
        <v>450000</v>
      </c>
      <c r="M89" s="406">
        <f t="shared" si="48"/>
        <v>450000</v>
      </c>
      <c r="N89" s="406">
        <f t="shared" si="48"/>
        <v>450000</v>
      </c>
      <c r="O89" s="406">
        <f t="shared" si="48"/>
        <v>450000</v>
      </c>
      <c r="P89" s="406">
        <f t="shared" si="48"/>
        <v>438760</v>
      </c>
      <c r="Q89" s="406">
        <f t="shared" si="48"/>
        <v>450000</v>
      </c>
      <c r="R89" s="406">
        <f t="shared" si="48"/>
        <v>450000</v>
      </c>
      <c r="S89" s="406">
        <f t="shared" si="48"/>
        <v>450000</v>
      </c>
      <c r="T89" s="406">
        <f t="shared" si="48"/>
        <v>450000</v>
      </c>
      <c r="U89" s="406">
        <f t="shared" si="48"/>
        <v>450000</v>
      </c>
      <c r="V89" s="406">
        <f t="shared" si="48"/>
        <v>450000</v>
      </c>
      <c r="W89" s="94">
        <f>W90+W91</f>
        <v>450000</v>
      </c>
      <c r="X89" s="32">
        <f t="shared" ref="X89:X99" si="49">SUM(L89:W89)</f>
        <v>5388760</v>
      </c>
      <c r="Z89" s="69"/>
    </row>
    <row r="90" spans="1:26">
      <c r="A90" s="114">
        <f>+A89</f>
        <v>2024047</v>
      </c>
      <c r="B90" s="74"/>
      <c r="C90" s="642"/>
      <c r="D90" s="645"/>
      <c r="E90" s="645"/>
      <c r="F90" s="645"/>
      <c r="G90" s="645"/>
      <c r="H90" s="648"/>
      <c r="I90" s="648"/>
      <c r="J90" s="629"/>
      <c r="K90" s="168" t="s">
        <v>24</v>
      </c>
      <c r="L90" s="388">
        <v>450000</v>
      </c>
      <c r="M90" s="437">
        <v>450000</v>
      </c>
      <c r="N90" s="437">
        <v>450000</v>
      </c>
      <c r="O90" s="437">
        <v>450000</v>
      </c>
      <c r="P90" s="437">
        <v>438760</v>
      </c>
      <c r="Q90" s="437">
        <v>450000</v>
      </c>
      <c r="R90" s="437">
        <v>450000</v>
      </c>
      <c r="S90" s="437">
        <v>450000</v>
      </c>
      <c r="T90" s="437">
        <v>450000</v>
      </c>
      <c r="U90" s="437">
        <v>450000</v>
      </c>
      <c r="V90" s="437">
        <v>450000</v>
      </c>
      <c r="W90" s="320">
        <v>450000</v>
      </c>
      <c r="X90" s="14">
        <f t="shared" si="49"/>
        <v>5388760</v>
      </c>
      <c r="Y90" s="69"/>
      <c r="Z90" s="69"/>
    </row>
    <row r="91" spans="1:26">
      <c r="A91" s="114">
        <f>+A90</f>
        <v>2024047</v>
      </c>
      <c r="B91" s="74"/>
      <c r="C91" s="642"/>
      <c r="D91" s="645"/>
      <c r="E91" s="645"/>
      <c r="F91" s="645"/>
      <c r="G91" s="645"/>
      <c r="H91" s="648"/>
      <c r="I91" s="648"/>
      <c r="J91" s="629"/>
      <c r="K91" s="168" t="s">
        <v>25</v>
      </c>
      <c r="L91" s="389"/>
      <c r="M91" s="410"/>
      <c r="N91" s="410"/>
      <c r="O91" s="410"/>
      <c r="P91" s="410"/>
      <c r="Q91" s="410"/>
      <c r="R91" s="410"/>
      <c r="S91" s="410"/>
      <c r="T91" s="410"/>
      <c r="U91" s="410"/>
      <c r="V91" s="410"/>
      <c r="W91" s="88"/>
      <c r="X91" s="14">
        <f t="shared" si="49"/>
        <v>0</v>
      </c>
      <c r="Z91" s="69"/>
    </row>
    <row r="92" spans="1:26">
      <c r="A92" s="114">
        <f t="shared" ref="A92:A99" si="50">+A91</f>
        <v>2024047</v>
      </c>
      <c r="B92" s="74"/>
      <c r="C92" s="642"/>
      <c r="D92" s="645"/>
      <c r="E92" s="645"/>
      <c r="F92" s="645"/>
      <c r="G92" s="645"/>
      <c r="H92" s="648"/>
      <c r="I92" s="648"/>
      <c r="J92" s="629"/>
      <c r="K92" s="169" t="s">
        <v>26</v>
      </c>
      <c r="L92" s="390">
        <f t="shared" ref="L92:V92" si="51">SUM(L93:L99)</f>
        <v>297291</v>
      </c>
      <c r="M92" s="426">
        <f t="shared" si="51"/>
        <v>298142</v>
      </c>
      <c r="N92" s="426">
        <f t="shared" si="51"/>
        <v>298142</v>
      </c>
      <c r="O92" s="426">
        <f t="shared" si="51"/>
        <v>298870</v>
      </c>
      <c r="P92" s="426">
        <f t="shared" si="51"/>
        <v>295778</v>
      </c>
      <c r="Q92" s="426">
        <f t="shared" si="51"/>
        <v>295778</v>
      </c>
      <c r="R92" s="426">
        <f t="shared" si="51"/>
        <v>295778</v>
      </c>
      <c r="S92" s="426">
        <f t="shared" si="51"/>
        <v>295778</v>
      </c>
      <c r="T92" s="426">
        <f t="shared" si="51"/>
        <v>295778</v>
      </c>
      <c r="U92" s="426">
        <f t="shared" si="51"/>
        <v>296236</v>
      </c>
      <c r="V92" s="426">
        <f t="shared" si="51"/>
        <v>295961</v>
      </c>
      <c r="W92" s="89">
        <f>SUM(W93:W99)</f>
        <v>297291</v>
      </c>
      <c r="X92" s="15">
        <f t="shared" si="49"/>
        <v>3560823</v>
      </c>
      <c r="Z92" s="69"/>
    </row>
    <row r="93" spans="1:26">
      <c r="A93" s="114">
        <f t="shared" si="50"/>
        <v>2024047</v>
      </c>
      <c r="B93" s="74"/>
      <c r="C93" s="642"/>
      <c r="D93" s="645"/>
      <c r="E93" s="645"/>
      <c r="F93" s="645"/>
      <c r="G93" s="645"/>
      <c r="H93" s="648"/>
      <c r="I93" s="648"/>
      <c r="J93" s="629"/>
      <c r="K93" s="168" t="s">
        <v>27</v>
      </c>
      <c r="L93" s="389">
        <v>240000</v>
      </c>
      <c r="M93" s="438">
        <v>240000</v>
      </c>
      <c r="N93" s="438">
        <v>240000</v>
      </c>
      <c r="O93" s="438">
        <v>240000</v>
      </c>
      <c r="P93" s="438">
        <v>240000</v>
      </c>
      <c r="Q93" s="438">
        <v>240000</v>
      </c>
      <c r="R93" s="438">
        <v>240000</v>
      </c>
      <c r="S93" s="438">
        <v>240000</v>
      </c>
      <c r="T93" s="438">
        <v>240000</v>
      </c>
      <c r="U93" s="438">
        <v>240000</v>
      </c>
      <c r="V93" s="438">
        <v>240000</v>
      </c>
      <c r="W93" s="321">
        <v>240000</v>
      </c>
      <c r="X93" s="14">
        <f t="shared" si="49"/>
        <v>2880000</v>
      </c>
      <c r="Y93" s="69"/>
      <c r="Z93" s="69"/>
    </row>
    <row r="94" spans="1:26">
      <c r="A94" s="114">
        <f t="shared" si="50"/>
        <v>2024047</v>
      </c>
      <c r="B94" s="74"/>
      <c r="C94" s="642"/>
      <c r="D94" s="645"/>
      <c r="E94" s="645"/>
      <c r="F94" s="645"/>
      <c r="G94" s="645"/>
      <c r="H94" s="648"/>
      <c r="I94" s="648"/>
      <c r="J94" s="629"/>
      <c r="K94" s="168" t="s">
        <v>34</v>
      </c>
      <c r="L94" s="391"/>
      <c r="M94" s="440"/>
      <c r="N94" s="440"/>
      <c r="O94" s="440"/>
      <c r="P94" s="440"/>
      <c r="Q94" s="440"/>
      <c r="R94" s="440"/>
      <c r="S94" s="440"/>
      <c r="T94" s="440"/>
      <c r="U94" s="440"/>
      <c r="V94" s="440"/>
      <c r="W94" s="223"/>
      <c r="X94" s="14">
        <f t="shared" si="49"/>
        <v>0</v>
      </c>
      <c r="Y94" s="69"/>
      <c r="Z94" s="69"/>
    </row>
    <row r="95" spans="1:26">
      <c r="A95" s="114">
        <f t="shared" si="50"/>
        <v>2024047</v>
      </c>
      <c r="B95" s="74"/>
      <c r="C95" s="642"/>
      <c r="D95" s="645"/>
      <c r="E95" s="645"/>
      <c r="F95" s="645"/>
      <c r="G95" s="645"/>
      <c r="H95" s="648"/>
      <c r="I95" s="648"/>
      <c r="J95" s="629"/>
      <c r="K95" s="168" t="s">
        <v>28</v>
      </c>
      <c r="L95" s="329">
        <v>18438</v>
      </c>
      <c r="M95" s="410">
        <v>19280</v>
      </c>
      <c r="N95" s="410">
        <v>19280</v>
      </c>
      <c r="O95" s="410">
        <v>20000</v>
      </c>
      <c r="P95" s="410">
        <v>16940</v>
      </c>
      <c r="Q95" s="410">
        <v>16940</v>
      </c>
      <c r="R95" s="410">
        <v>16940</v>
      </c>
      <c r="S95" s="410">
        <v>16940</v>
      </c>
      <c r="T95" s="410">
        <v>16940</v>
      </c>
      <c r="U95" s="410">
        <v>17393</v>
      </c>
      <c r="V95" s="410">
        <v>16940</v>
      </c>
      <c r="W95" s="26">
        <v>18438</v>
      </c>
      <c r="X95" s="14">
        <f t="shared" si="49"/>
        <v>214469</v>
      </c>
      <c r="Y95" s="69"/>
      <c r="Z95" s="69"/>
    </row>
    <row r="96" spans="1:26">
      <c r="A96" s="114">
        <f t="shared" si="50"/>
        <v>2024047</v>
      </c>
      <c r="B96" s="74"/>
      <c r="C96" s="642"/>
      <c r="D96" s="645"/>
      <c r="E96" s="645"/>
      <c r="F96" s="645"/>
      <c r="G96" s="645"/>
      <c r="H96" s="648"/>
      <c r="I96" s="648"/>
      <c r="J96" s="629"/>
      <c r="K96" s="168" t="s">
        <v>29</v>
      </c>
      <c r="L96" s="329">
        <v>12350</v>
      </c>
      <c r="M96" s="410">
        <v>12350</v>
      </c>
      <c r="N96" s="410">
        <v>12350</v>
      </c>
      <c r="O96" s="410">
        <v>12350</v>
      </c>
      <c r="P96" s="410">
        <v>12350</v>
      </c>
      <c r="Q96" s="410">
        <v>12350</v>
      </c>
      <c r="R96" s="410">
        <v>12350</v>
      </c>
      <c r="S96" s="410">
        <v>12350</v>
      </c>
      <c r="T96" s="410">
        <v>12350</v>
      </c>
      <c r="U96" s="410">
        <v>12350</v>
      </c>
      <c r="V96" s="410">
        <v>12350</v>
      </c>
      <c r="W96" s="26">
        <v>12350</v>
      </c>
      <c r="X96" s="14">
        <f t="shared" si="49"/>
        <v>148200</v>
      </c>
      <c r="Y96" s="69"/>
      <c r="Z96" s="69"/>
    </row>
    <row r="97" spans="1:26">
      <c r="A97" s="114">
        <f t="shared" si="50"/>
        <v>2024047</v>
      </c>
      <c r="B97" s="74"/>
      <c r="C97" s="642"/>
      <c r="D97" s="645"/>
      <c r="E97" s="645"/>
      <c r="F97" s="645"/>
      <c r="G97" s="645"/>
      <c r="H97" s="648"/>
      <c r="I97" s="648"/>
      <c r="J97" s="629"/>
      <c r="K97" s="168" t="s">
        <v>30</v>
      </c>
      <c r="L97" s="329">
        <v>23790</v>
      </c>
      <c r="M97" s="410">
        <v>23790</v>
      </c>
      <c r="N97" s="410">
        <v>23790</v>
      </c>
      <c r="O97" s="410">
        <v>23790</v>
      </c>
      <c r="P97" s="410">
        <v>23790</v>
      </c>
      <c r="Q97" s="410">
        <v>23790</v>
      </c>
      <c r="R97" s="410">
        <v>23790</v>
      </c>
      <c r="S97" s="410">
        <v>23790</v>
      </c>
      <c r="T97" s="410">
        <v>23790</v>
      </c>
      <c r="U97" s="410">
        <v>23790</v>
      </c>
      <c r="V97" s="410">
        <v>23790</v>
      </c>
      <c r="W97" s="26">
        <v>23790</v>
      </c>
      <c r="X97" s="14">
        <f t="shared" si="49"/>
        <v>285480</v>
      </c>
      <c r="Y97" s="69"/>
      <c r="Z97" s="69"/>
    </row>
    <row r="98" spans="1:26">
      <c r="A98" s="114">
        <f t="shared" si="50"/>
        <v>2024047</v>
      </c>
      <c r="B98" s="74"/>
      <c r="C98" s="642"/>
      <c r="D98" s="645"/>
      <c r="E98" s="645"/>
      <c r="F98" s="645"/>
      <c r="G98" s="645"/>
      <c r="H98" s="648"/>
      <c r="I98" s="648"/>
      <c r="J98" s="629"/>
      <c r="K98" s="168" t="s">
        <v>31</v>
      </c>
      <c r="L98" s="329">
        <v>1292</v>
      </c>
      <c r="M98" s="410">
        <v>1296</v>
      </c>
      <c r="N98" s="410">
        <v>1296</v>
      </c>
      <c r="O98" s="410">
        <v>1300</v>
      </c>
      <c r="P98" s="410">
        <v>1285</v>
      </c>
      <c r="Q98" s="410">
        <v>1285</v>
      </c>
      <c r="R98" s="410">
        <v>1285</v>
      </c>
      <c r="S98" s="410">
        <v>1285</v>
      </c>
      <c r="T98" s="410">
        <v>1285</v>
      </c>
      <c r="U98" s="410">
        <v>1287</v>
      </c>
      <c r="V98" s="410">
        <v>1372</v>
      </c>
      <c r="W98" s="26">
        <v>1292</v>
      </c>
      <c r="X98" s="14">
        <f t="shared" si="49"/>
        <v>15560</v>
      </c>
      <c r="Y98" s="69"/>
      <c r="Z98" s="69"/>
    </row>
    <row r="99" spans="1:26">
      <c r="A99" s="114">
        <f t="shared" si="50"/>
        <v>2024047</v>
      </c>
      <c r="B99" s="74"/>
      <c r="C99" s="642"/>
      <c r="D99" s="645"/>
      <c r="E99" s="645"/>
      <c r="F99" s="645"/>
      <c r="G99" s="645"/>
      <c r="H99" s="648"/>
      <c r="I99" s="648"/>
      <c r="J99" s="629"/>
      <c r="K99" s="168" t="s">
        <v>32</v>
      </c>
      <c r="L99" s="329">
        <v>1421</v>
      </c>
      <c r="M99" s="410">
        <v>1426</v>
      </c>
      <c r="N99" s="410">
        <v>1426</v>
      </c>
      <c r="O99" s="410">
        <v>1430</v>
      </c>
      <c r="P99" s="410">
        <v>1413</v>
      </c>
      <c r="Q99" s="410">
        <v>1413</v>
      </c>
      <c r="R99" s="410">
        <v>1413</v>
      </c>
      <c r="S99" s="410">
        <v>1413</v>
      </c>
      <c r="T99" s="410">
        <v>1413</v>
      </c>
      <c r="U99" s="410">
        <v>1416</v>
      </c>
      <c r="V99" s="410">
        <v>1509</v>
      </c>
      <c r="W99" s="26">
        <v>1421</v>
      </c>
      <c r="X99" s="14">
        <f t="shared" si="49"/>
        <v>17114</v>
      </c>
      <c r="Y99" s="69"/>
      <c r="Z99" s="69"/>
    </row>
    <row r="100" spans="1:26">
      <c r="A100" s="114">
        <f>+A99</f>
        <v>2024047</v>
      </c>
      <c r="B100" s="74"/>
      <c r="C100" s="654"/>
      <c r="D100" s="655"/>
      <c r="E100" s="655"/>
      <c r="F100" s="655"/>
      <c r="G100" s="655"/>
      <c r="H100" s="652"/>
      <c r="I100" s="652"/>
      <c r="J100" s="630"/>
      <c r="K100" s="170" t="s">
        <v>33</v>
      </c>
      <c r="L100" s="338">
        <f t="shared" ref="L100:V100" si="52">L89-L92</f>
        <v>152709</v>
      </c>
      <c r="M100" s="405">
        <f t="shared" si="52"/>
        <v>151858</v>
      </c>
      <c r="N100" s="405">
        <f t="shared" si="52"/>
        <v>151858</v>
      </c>
      <c r="O100" s="405">
        <f t="shared" si="52"/>
        <v>151130</v>
      </c>
      <c r="P100" s="405">
        <f t="shared" si="52"/>
        <v>142982</v>
      </c>
      <c r="Q100" s="405">
        <f t="shared" si="52"/>
        <v>154222</v>
      </c>
      <c r="R100" s="405">
        <f t="shared" si="52"/>
        <v>154222</v>
      </c>
      <c r="S100" s="405">
        <f t="shared" si="52"/>
        <v>154222</v>
      </c>
      <c r="T100" s="405">
        <f t="shared" si="52"/>
        <v>154222</v>
      </c>
      <c r="U100" s="405">
        <f t="shared" si="52"/>
        <v>153764</v>
      </c>
      <c r="V100" s="405">
        <f t="shared" si="52"/>
        <v>154039</v>
      </c>
      <c r="W100" s="90">
        <f>W89-W92</f>
        <v>152709</v>
      </c>
      <c r="X100" s="16">
        <f>X89-X92</f>
        <v>1827937</v>
      </c>
      <c r="Z100" s="69"/>
    </row>
    <row r="101" spans="1:26" ht="12" customHeight="1">
      <c r="A101" s="116">
        <v>2021018</v>
      </c>
      <c r="C101" s="641">
        <f t="shared" ref="C101" si="53">C89+1</f>
        <v>9</v>
      </c>
      <c r="D101" s="644" t="s">
        <v>59</v>
      </c>
      <c r="E101" s="644"/>
      <c r="F101" s="644"/>
      <c r="G101" s="644" t="s">
        <v>171</v>
      </c>
      <c r="H101" s="647"/>
      <c r="I101" s="647"/>
      <c r="J101" s="628" t="s">
        <v>54</v>
      </c>
      <c r="K101" s="181" t="s">
        <v>23</v>
      </c>
      <c r="L101" s="339">
        <f t="shared" ref="L101:V101" si="54">L102+L103</f>
        <v>0</v>
      </c>
      <c r="M101" s="406">
        <f t="shared" si="54"/>
        <v>0</v>
      </c>
      <c r="N101" s="406">
        <f t="shared" si="54"/>
        <v>0</v>
      </c>
      <c r="O101" s="406">
        <f t="shared" si="54"/>
        <v>0</v>
      </c>
      <c r="P101" s="406">
        <f t="shared" si="54"/>
        <v>0</v>
      </c>
      <c r="Q101" s="406">
        <f t="shared" si="54"/>
        <v>0</v>
      </c>
      <c r="R101" s="406">
        <f t="shared" si="54"/>
        <v>0</v>
      </c>
      <c r="S101" s="406">
        <f t="shared" si="54"/>
        <v>328860</v>
      </c>
      <c r="T101" s="406">
        <f t="shared" si="54"/>
        <v>668910</v>
      </c>
      <c r="U101" s="406">
        <f t="shared" si="54"/>
        <v>692500</v>
      </c>
      <c r="V101" s="406">
        <f t="shared" si="54"/>
        <v>687500</v>
      </c>
      <c r="W101" s="94">
        <f>W102+W103</f>
        <v>650000</v>
      </c>
      <c r="X101" s="32">
        <f t="shared" ref="X101:X111" si="55">SUM(L101:W101)</f>
        <v>3027770</v>
      </c>
      <c r="Z101" s="69"/>
    </row>
    <row r="102" spans="1:26">
      <c r="A102" s="114">
        <f>+A101</f>
        <v>2021018</v>
      </c>
      <c r="B102" s="74"/>
      <c r="C102" s="642"/>
      <c r="D102" s="645"/>
      <c r="E102" s="645"/>
      <c r="F102" s="645"/>
      <c r="G102" s="645"/>
      <c r="H102" s="648"/>
      <c r="I102" s="648"/>
      <c r="J102" s="629"/>
      <c r="K102" s="168" t="s">
        <v>24</v>
      </c>
      <c r="L102" s="388"/>
      <c r="M102" s="437"/>
      <c r="N102" s="437"/>
      <c r="O102" s="437"/>
      <c r="P102" s="437"/>
      <c r="Q102" s="437"/>
      <c r="R102" s="437"/>
      <c r="S102" s="437">
        <v>328860</v>
      </c>
      <c r="T102" s="437">
        <v>643910</v>
      </c>
      <c r="U102" s="437">
        <v>650000</v>
      </c>
      <c r="V102" s="437">
        <v>650000</v>
      </c>
      <c r="W102" s="320">
        <v>650000</v>
      </c>
      <c r="X102" s="14">
        <f t="shared" si="55"/>
        <v>2922770</v>
      </c>
      <c r="Y102" s="69"/>
      <c r="Z102" s="69"/>
    </row>
    <row r="103" spans="1:26">
      <c r="A103" s="114">
        <f>+A102</f>
        <v>2021018</v>
      </c>
      <c r="B103" s="74"/>
      <c r="C103" s="642"/>
      <c r="D103" s="645"/>
      <c r="E103" s="645"/>
      <c r="F103" s="645"/>
      <c r="G103" s="645"/>
      <c r="H103" s="648"/>
      <c r="I103" s="648"/>
      <c r="J103" s="629"/>
      <c r="K103" s="168" t="s">
        <v>178</v>
      </c>
      <c r="L103" s="534"/>
      <c r="M103" s="535"/>
      <c r="N103" s="535"/>
      <c r="O103" s="535"/>
      <c r="P103" s="535"/>
      <c r="Q103" s="535"/>
      <c r="R103" s="535"/>
      <c r="S103" s="535"/>
      <c r="T103" s="535">
        <v>25000</v>
      </c>
      <c r="U103" s="535">
        <v>42500</v>
      </c>
      <c r="V103" s="535">
        <v>37500</v>
      </c>
      <c r="W103" s="536"/>
      <c r="X103" s="14">
        <f t="shared" si="55"/>
        <v>105000</v>
      </c>
      <c r="Z103" s="69"/>
    </row>
    <row r="104" spans="1:26">
      <c r="A104" s="114">
        <f t="shared" ref="A104:A111" si="56">+A103</f>
        <v>2021018</v>
      </c>
      <c r="B104" s="74"/>
      <c r="C104" s="642"/>
      <c r="D104" s="645"/>
      <c r="E104" s="645"/>
      <c r="F104" s="645"/>
      <c r="G104" s="645"/>
      <c r="H104" s="648"/>
      <c r="I104" s="648"/>
      <c r="J104" s="629"/>
      <c r="K104" s="169" t="s">
        <v>26</v>
      </c>
      <c r="L104" s="390">
        <f t="shared" ref="L104:V104" si="57">SUM(L105:L111)</f>
        <v>0</v>
      </c>
      <c r="M104" s="426">
        <f t="shared" si="57"/>
        <v>0</v>
      </c>
      <c r="N104" s="426">
        <f t="shared" si="57"/>
        <v>0</v>
      </c>
      <c r="O104" s="426">
        <f t="shared" si="57"/>
        <v>0</v>
      </c>
      <c r="P104" s="426">
        <f t="shared" si="57"/>
        <v>0</v>
      </c>
      <c r="Q104" s="426">
        <f t="shared" si="57"/>
        <v>0</v>
      </c>
      <c r="R104" s="426">
        <f t="shared" si="57"/>
        <v>0</v>
      </c>
      <c r="S104" s="426">
        <f t="shared" si="57"/>
        <v>327932</v>
      </c>
      <c r="T104" s="426">
        <f t="shared" si="57"/>
        <v>458511</v>
      </c>
      <c r="U104" s="426">
        <f t="shared" si="57"/>
        <v>477812</v>
      </c>
      <c r="V104" s="426">
        <f t="shared" si="57"/>
        <v>471729</v>
      </c>
      <c r="W104" s="89">
        <f>SUM(W105:W111)</f>
        <v>432183</v>
      </c>
      <c r="X104" s="15">
        <f t="shared" si="55"/>
        <v>2168167</v>
      </c>
      <c r="Z104" s="69"/>
    </row>
    <row r="105" spans="1:26">
      <c r="A105" s="114">
        <f t="shared" si="56"/>
        <v>2021018</v>
      </c>
      <c r="B105" s="74"/>
      <c r="C105" s="642"/>
      <c r="D105" s="645"/>
      <c r="E105" s="645"/>
      <c r="F105" s="645"/>
      <c r="G105" s="645"/>
      <c r="H105" s="648"/>
      <c r="I105" s="648"/>
      <c r="J105" s="629"/>
      <c r="K105" s="168" t="s">
        <v>27</v>
      </c>
      <c r="L105" s="389"/>
      <c r="M105" s="438"/>
      <c r="N105" s="438"/>
      <c r="O105" s="438"/>
      <c r="P105" s="438"/>
      <c r="Q105" s="438"/>
      <c r="R105" s="438"/>
      <c r="S105" s="438">
        <v>247618</v>
      </c>
      <c r="T105" s="438">
        <v>385000</v>
      </c>
      <c r="U105" s="438">
        <v>404100</v>
      </c>
      <c r="V105" s="438">
        <v>397900</v>
      </c>
      <c r="W105" s="321">
        <v>360000</v>
      </c>
      <c r="X105" s="14">
        <f t="shared" si="55"/>
        <v>1794618</v>
      </c>
      <c r="Y105" s="69"/>
      <c r="Z105" s="69"/>
    </row>
    <row r="106" spans="1:26">
      <c r="A106" s="114">
        <f t="shared" si="56"/>
        <v>2021018</v>
      </c>
      <c r="B106" s="74"/>
      <c r="C106" s="642"/>
      <c r="D106" s="645"/>
      <c r="E106" s="645"/>
      <c r="F106" s="645"/>
      <c r="G106" s="645"/>
      <c r="H106" s="648"/>
      <c r="I106" s="648"/>
      <c r="J106" s="629"/>
      <c r="K106" s="168" t="s">
        <v>34</v>
      </c>
      <c r="L106" s="391"/>
      <c r="M106" s="440"/>
      <c r="N106" s="440"/>
      <c r="O106" s="440"/>
      <c r="P106" s="440"/>
      <c r="Q106" s="440"/>
      <c r="R106" s="440"/>
      <c r="S106" s="440"/>
      <c r="T106" s="440"/>
      <c r="U106" s="440"/>
      <c r="V106" s="440"/>
      <c r="W106" s="223"/>
      <c r="X106" s="14">
        <f t="shared" si="55"/>
        <v>0</v>
      </c>
      <c r="Y106" s="69"/>
      <c r="Z106" s="69"/>
    </row>
    <row r="107" spans="1:26">
      <c r="A107" s="114">
        <f t="shared" si="56"/>
        <v>2021018</v>
      </c>
      <c r="B107" s="74"/>
      <c r="C107" s="642"/>
      <c r="D107" s="645"/>
      <c r="E107" s="645"/>
      <c r="F107" s="645"/>
      <c r="G107" s="645"/>
      <c r="H107" s="648"/>
      <c r="I107" s="648"/>
      <c r="J107" s="629"/>
      <c r="K107" s="168" t="s">
        <v>28</v>
      </c>
      <c r="L107" s="329"/>
      <c r="M107" s="410"/>
      <c r="N107" s="410"/>
      <c r="O107" s="410"/>
      <c r="P107" s="410"/>
      <c r="Q107" s="410"/>
      <c r="R107" s="410"/>
      <c r="S107" s="410">
        <v>35640</v>
      </c>
      <c r="T107" s="410">
        <v>27480</v>
      </c>
      <c r="U107" s="410">
        <v>27480</v>
      </c>
      <c r="V107" s="410">
        <v>27480</v>
      </c>
      <c r="W107" s="26">
        <v>27000</v>
      </c>
      <c r="X107" s="14">
        <f t="shared" si="55"/>
        <v>145080</v>
      </c>
      <c r="Y107" s="69"/>
      <c r="Z107" s="69"/>
    </row>
    <row r="108" spans="1:26">
      <c r="A108" s="114">
        <f t="shared" si="56"/>
        <v>2021018</v>
      </c>
      <c r="B108" s="74"/>
      <c r="C108" s="642"/>
      <c r="D108" s="645"/>
      <c r="E108" s="645"/>
      <c r="F108" s="645"/>
      <c r="G108" s="645"/>
      <c r="H108" s="648"/>
      <c r="I108" s="648"/>
      <c r="J108" s="629"/>
      <c r="K108" s="168" t="s">
        <v>29</v>
      </c>
      <c r="L108" s="329"/>
      <c r="M108" s="410"/>
      <c r="N108" s="410"/>
      <c r="O108" s="410"/>
      <c r="P108" s="410"/>
      <c r="Q108" s="410"/>
      <c r="R108" s="410"/>
      <c r="S108" s="410">
        <v>14250</v>
      </c>
      <c r="T108" s="410">
        <v>14250</v>
      </c>
      <c r="U108" s="410">
        <v>14250</v>
      </c>
      <c r="V108" s="410">
        <v>14250</v>
      </c>
      <c r="W108" s="26">
        <v>14250</v>
      </c>
      <c r="X108" s="14">
        <f t="shared" si="55"/>
        <v>71250</v>
      </c>
      <c r="Y108" s="69"/>
      <c r="Z108" s="69"/>
    </row>
    <row r="109" spans="1:26">
      <c r="A109" s="114">
        <f t="shared" si="56"/>
        <v>2021018</v>
      </c>
      <c r="B109" s="74"/>
      <c r="C109" s="642"/>
      <c r="D109" s="645"/>
      <c r="E109" s="645"/>
      <c r="F109" s="645"/>
      <c r="G109" s="645"/>
      <c r="H109" s="648"/>
      <c r="I109" s="648"/>
      <c r="J109" s="629"/>
      <c r="K109" s="168" t="s">
        <v>30</v>
      </c>
      <c r="L109" s="329"/>
      <c r="M109" s="410"/>
      <c r="N109" s="410"/>
      <c r="O109" s="410"/>
      <c r="P109" s="410"/>
      <c r="Q109" s="410"/>
      <c r="R109" s="410"/>
      <c r="S109" s="410">
        <v>27450</v>
      </c>
      <c r="T109" s="410">
        <v>27450</v>
      </c>
      <c r="U109" s="410">
        <v>27450</v>
      </c>
      <c r="V109" s="410">
        <v>27450</v>
      </c>
      <c r="W109" s="26">
        <v>27450</v>
      </c>
      <c r="X109" s="14">
        <f t="shared" si="55"/>
        <v>137250</v>
      </c>
      <c r="Y109" s="69"/>
      <c r="Z109" s="69"/>
    </row>
    <row r="110" spans="1:26">
      <c r="A110" s="114">
        <f t="shared" si="56"/>
        <v>2021018</v>
      </c>
      <c r="B110" s="74"/>
      <c r="C110" s="642"/>
      <c r="D110" s="645"/>
      <c r="E110" s="645"/>
      <c r="F110" s="645"/>
      <c r="G110" s="645"/>
      <c r="H110" s="648"/>
      <c r="I110" s="648"/>
      <c r="J110" s="629"/>
      <c r="K110" s="168" t="s">
        <v>31</v>
      </c>
      <c r="L110" s="329"/>
      <c r="M110" s="410"/>
      <c r="N110" s="410"/>
      <c r="O110" s="410"/>
      <c r="P110" s="410"/>
      <c r="Q110" s="410"/>
      <c r="R110" s="410"/>
      <c r="S110" s="410">
        <v>1416</v>
      </c>
      <c r="T110" s="410">
        <v>2062</v>
      </c>
      <c r="U110" s="410">
        <v>2158</v>
      </c>
      <c r="V110" s="410">
        <v>2214</v>
      </c>
      <c r="W110" s="26">
        <v>2322</v>
      </c>
      <c r="X110" s="14">
        <f t="shared" si="55"/>
        <v>10172</v>
      </c>
      <c r="Y110" s="69"/>
      <c r="Z110" s="69"/>
    </row>
    <row r="111" spans="1:26">
      <c r="A111" s="114">
        <f t="shared" si="56"/>
        <v>2021018</v>
      </c>
      <c r="B111" s="74"/>
      <c r="C111" s="642"/>
      <c r="D111" s="645"/>
      <c r="E111" s="645"/>
      <c r="F111" s="645"/>
      <c r="G111" s="645"/>
      <c r="H111" s="648"/>
      <c r="I111" s="648"/>
      <c r="J111" s="629"/>
      <c r="K111" s="168" t="s">
        <v>32</v>
      </c>
      <c r="L111" s="329"/>
      <c r="M111" s="410"/>
      <c r="N111" s="410"/>
      <c r="O111" s="410"/>
      <c r="P111" s="410"/>
      <c r="Q111" s="410"/>
      <c r="R111" s="410"/>
      <c r="S111" s="410">
        <v>1558</v>
      </c>
      <c r="T111" s="410">
        <v>2269</v>
      </c>
      <c r="U111" s="410">
        <v>2374</v>
      </c>
      <c r="V111" s="410">
        <v>2435</v>
      </c>
      <c r="W111" s="26">
        <v>1161</v>
      </c>
      <c r="X111" s="14">
        <f t="shared" si="55"/>
        <v>9797</v>
      </c>
      <c r="Y111" s="69"/>
      <c r="Z111" s="69"/>
    </row>
    <row r="112" spans="1:26">
      <c r="A112" s="114">
        <f>+A111</f>
        <v>2021018</v>
      </c>
      <c r="B112" s="74"/>
      <c r="C112" s="654"/>
      <c r="D112" s="655"/>
      <c r="E112" s="655"/>
      <c r="F112" s="655"/>
      <c r="G112" s="655"/>
      <c r="H112" s="652"/>
      <c r="I112" s="652"/>
      <c r="J112" s="630"/>
      <c r="K112" s="170" t="s">
        <v>33</v>
      </c>
      <c r="L112" s="338">
        <f t="shared" ref="L112:V112" si="58">L101-L104</f>
        <v>0</v>
      </c>
      <c r="M112" s="405">
        <f t="shared" si="58"/>
        <v>0</v>
      </c>
      <c r="N112" s="405">
        <f t="shared" si="58"/>
        <v>0</v>
      </c>
      <c r="O112" s="405">
        <f t="shared" si="58"/>
        <v>0</v>
      </c>
      <c r="P112" s="405">
        <f t="shared" si="58"/>
        <v>0</v>
      </c>
      <c r="Q112" s="405">
        <f t="shared" si="58"/>
        <v>0</v>
      </c>
      <c r="R112" s="405">
        <f t="shared" si="58"/>
        <v>0</v>
      </c>
      <c r="S112" s="405">
        <f t="shared" si="58"/>
        <v>928</v>
      </c>
      <c r="T112" s="405">
        <f t="shared" si="58"/>
        <v>210399</v>
      </c>
      <c r="U112" s="405">
        <f t="shared" si="58"/>
        <v>214688</v>
      </c>
      <c r="V112" s="405">
        <f t="shared" si="58"/>
        <v>215771</v>
      </c>
      <c r="W112" s="90">
        <f>W101-W104</f>
        <v>217817</v>
      </c>
      <c r="X112" s="16">
        <f>X101-X104</f>
        <v>859603</v>
      </c>
      <c r="Z112" s="69"/>
    </row>
    <row r="113" spans="1:26" ht="12" customHeight="1">
      <c r="A113" s="116">
        <v>2023019</v>
      </c>
      <c r="C113" s="641">
        <f t="shared" ref="C113" si="59">C101+1</f>
        <v>10</v>
      </c>
      <c r="D113" s="644" t="s">
        <v>59</v>
      </c>
      <c r="E113" s="644"/>
      <c r="F113" s="644"/>
      <c r="G113" s="644" t="s">
        <v>171</v>
      </c>
      <c r="H113" s="647"/>
      <c r="I113" s="647"/>
      <c r="J113" s="628" t="s">
        <v>54</v>
      </c>
      <c r="K113" s="181" t="s">
        <v>23</v>
      </c>
      <c r="L113" s="339">
        <f t="shared" ref="L113:V113" si="60">L114+L115</f>
        <v>0</v>
      </c>
      <c r="M113" s="406">
        <f t="shared" si="60"/>
        <v>0</v>
      </c>
      <c r="N113" s="406">
        <f t="shared" si="60"/>
        <v>0</v>
      </c>
      <c r="O113" s="406">
        <f t="shared" si="60"/>
        <v>0</v>
      </c>
      <c r="P113" s="406">
        <f t="shared" si="60"/>
        <v>0</v>
      </c>
      <c r="Q113" s="406">
        <f t="shared" si="60"/>
        <v>0</v>
      </c>
      <c r="R113" s="406">
        <f t="shared" si="60"/>
        <v>0</v>
      </c>
      <c r="S113" s="406">
        <f t="shared" si="60"/>
        <v>0</v>
      </c>
      <c r="T113" s="406">
        <f t="shared" si="60"/>
        <v>0</v>
      </c>
      <c r="U113" s="406">
        <f t="shared" si="60"/>
        <v>550000</v>
      </c>
      <c r="V113" s="406">
        <f t="shared" si="60"/>
        <v>550000</v>
      </c>
      <c r="W113" s="94">
        <f>W114+W115</f>
        <v>550000</v>
      </c>
      <c r="X113" s="32">
        <f t="shared" ref="X113:X123" si="61">SUM(L113:W113)</f>
        <v>1650000</v>
      </c>
      <c r="Z113" s="69"/>
    </row>
    <row r="114" spans="1:26">
      <c r="A114" s="114">
        <f>+A113</f>
        <v>2023019</v>
      </c>
      <c r="B114" s="74"/>
      <c r="C114" s="642"/>
      <c r="D114" s="645"/>
      <c r="E114" s="645"/>
      <c r="F114" s="645"/>
      <c r="G114" s="645"/>
      <c r="H114" s="648"/>
      <c r="I114" s="648"/>
      <c r="J114" s="629"/>
      <c r="K114" s="168" t="s">
        <v>24</v>
      </c>
      <c r="L114" s="388"/>
      <c r="M114" s="437"/>
      <c r="N114" s="437"/>
      <c r="O114" s="437"/>
      <c r="P114" s="437"/>
      <c r="Q114" s="437"/>
      <c r="R114" s="437"/>
      <c r="S114" s="437"/>
      <c r="T114" s="437"/>
      <c r="U114" s="437">
        <v>550000</v>
      </c>
      <c r="V114" s="437">
        <v>550000</v>
      </c>
      <c r="W114" s="320">
        <v>550000</v>
      </c>
      <c r="X114" s="14">
        <f t="shared" si="61"/>
        <v>1650000</v>
      </c>
      <c r="Y114" s="69"/>
      <c r="Z114" s="69"/>
    </row>
    <row r="115" spans="1:26">
      <c r="A115" s="114">
        <f>+A114</f>
        <v>2023019</v>
      </c>
      <c r="B115" s="74"/>
      <c r="C115" s="642"/>
      <c r="D115" s="645"/>
      <c r="E115" s="645"/>
      <c r="F115" s="645"/>
      <c r="G115" s="645"/>
      <c r="H115" s="648"/>
      <c r="I115" s="648"/>
      <c r="J115" s="629"/>
      <c r="K115" s="168" t="s">
        <v>25</v>
      </c>
      <c r="L115" s="389"/>
      <c r="M115" s="410"/>
      <c r="N115" s="410"/>
      <c r="O115" s="410"/>
      <c r="P115" s="410"/>
      <c r="Q115" s="410"/>
      <c r="R115" s="410"/>
      <c r="S115" s="410"/>
      <c r="T115" s="410"/>
      <c r="U115" s="410"/>
      <c r="V115" s="410"/>
      <c r="W115" s="88"/>
      <c r="X115" s="14">
        <f t="shared" si="61"/>
        <v>0</v>
      </c>
      <c r="Z115" s="69"/>
    </row>
    <row r="116" spans="1:26">
      <c r="A116" s="114">
        <f t="shared" ref="A116:A123" si="62">+A115</f>
        <v>2023019</v>
      </c>
      <c r="B116" s="74"/>
      <c r="C116" s="642"/>
      <c r="D116" s="645"/>
      <c r="E116" s="645"/>
      <c r="F116" s="645"/>
      <c r="G116" s="645"/>
      <c r="H116" s="648"/>
      <c r="I116" s="648"/>
      <c r="J116" s="629"/>
      <c r="K116" s="169" t="s">
        <v>26</v>
      </c>
      <c r="L116" s="390">
        <f t="shared" ref="L116:V116" si="63">SUM(L117:L123)</f>
        <v>0</v>
      </c>
      <c r="M116" s="426">
        <f t="shared" si="63"/>
        <v>0</v>
      </c>
      <c r="N116" s="426">
        <f t="shared" si="63"/>
        <v>0</v>
      </c>
      <c r="O116" s="426">
        <f t="shared" si="63"/>
        <v>0</v>
      </c>
      <c r="P116" s="426">
        <f t="shared" si="63"/>
        <v>0</v>
      </c>
      <c r="Q116" s="426">
        <f t="shared" si="63"/>
        <v>0</v>
      </c>
      <c r="R116" s="426">
        <f t="shared" si="63"/>
        <v>0</v>
      </c>
      <c r="S116" s="426">
        <f>SUM(S117:S123)</f>
        <v>0</v>
      </c>
      <c r="T116" s="426">
        <f>SUM(T117:T123)</f>
        <v>0</v>
      </c>
      <c r="U116" s="426">
        <f t="shared" si="63"/>
        <v>362583</v>
      </c>
      <c r="V116" s="426">
        <f t="shared" si="63"/>
        <v>393080</v>
      </c>
      <c r="W116" s="89">
        <f>SUM(W117:W123)</f>
        <v>361633</v>
      </c>
      <c r="X116" s="15">
        <f t="shared" si="61"/>
        <v>1117296</v>
      </c>
      <c r="Z116" s="69"/>
    </row>
    <row r="117" spans="1:26">
      <c r="A117" s="114">
        <f t="shared" si="62"/>
        <v>2023019</v>
      </c>
      <c r="B117" s="74"/>
      <c r="C117" s="642"/>
      <c r="D117" s="645"/>
      <c r="E117" s="645"/>
      <c r="F117" s="645"/>
      <c r="G117" s="645"/>
      <c r="H117" s="648"/>
      <c r="I117" s="648"/>
      <c r="J117" s="629"/>
      <c r="K117" s="168" t="s">
        <v>27</v>
      </c>
      <c r="L117" s="389"/>
      <c r="M117" s="438"/>
      <c r="N117" s="438"/>
      <c r="O117" s="438"/>
      <c r="P117" s="438"/>
      <c r="Q117" s="438"/>
      <c r="R117" s="438"/>
      <c r="S117" s="438"/>
      <c r="T117" s="438"/>
      <c r="U117" s="438">
        <v>300000</v>
      </c>
      <c r="V117" s="438">
        <v>330000</v>
      </c>
      <c r="W117" s="321">
        <v>300000</v>
      </c>
      <c r="X117" s="14">
        <f t="shared" si="61"/>
        <v>930000</v>
      </c>
      <c r="Y117" s="69"/>
      <c r="Z117" s="69"/>
    </row>
    <row r="118" spans="1:26">
      <c r="A118" s="114">
        <f t="shared" si="62"/>
        <v>2023019</v>
      </c>
      <c r="B118" s="74"/>
      <c r="C118" s="642"/>
      <c r="D118" s="645"/>
      <c r="E118" s="645"/>
      <c r="F118" s="645"/>
      <c r="G118" s="645"/>
      <c r="H118" s="648"/>
      <c r="I118" s="648"/>
      <c r="J118" s="629"/>
      <c r="K118" s="168" t="s">
        <v>34</v>
      </c>
      <c r="L118" s="391"/>
      <c r="M118" s="440"/>
      <c r="N118" s="440"/>
      <c r="O118" s="440"/>
      <c r="P118" s="440"/>
      <c r="Q118" s="440"/>
      <c r="R118" s="440"/>
      <c r="S118" s="440"/>
      <c r="T118" s="440"/>
      <c r="U118" s="440"/>
      <c r="V118" s="440"/>
      <c r="W118" s="223"/>
      <c r="X118" s="14">
        <f t="shared" si="61"/>
        <v>0</v>
      </c>
      <c r="Y118" s="69"/>
      <c r="Z118" s="69"/>
    </row>
    <row r="119" spans="1:26">
      <c r="A119" s="114">
        <f t="shared" si="62"/>
        <v>2023019</v>
      </c>
      <c r="B119" s="74"/>
      <c r="C119" s="642"/>
      <c r="D119" s="645"/>
      <c r="E119" s="645"/>
      <c r="F119" s="645"/>
      <c r="G119" s="645"/>
      <c r="H119" s="648"/>
      <c r="I119" s="648"/>
      <c r="J119" s="629"/>
      <c r="K119" s="168" t="s">
        <v>28</v>
      </c>
      <c r="L119" s="329"/>
      <c r="M119" s="410"/>
      <c r="N119" s="410"/>
      <c r="O119" s="410"/>
      <c r="P119" s="410"/>
      <c r="Q119" s="410"/>
      <c r="R119" s="410"/>
      <c r="S119" s="410"/>
      <c r="T119" s="410"/>
      <c r="U119" s="410">
        <v>20300</v>
      </c>
      <c r="V119" s="410">
        <v>20300</v>
      </c>
      <c r="W119" s="26">
        <v>20000</v>
      </c>
      <c r="X119" s="14">
        <f t="shared" si="61"/>
        <v>60600</v>
      </c>
      <c r="Y119" s="69"/>
      <c r="Z119" s="69"/>
    </row>
    <row r="120" spans="1:26">
      <c r="A120" s="114">
        <f t="shared" si="62"/>
        <v>2023019</v>
      </c>
      <c r="B120" s="74"/>
      <c r="C120" s="642"/>
      <c r="D120" s="645"/>
      <c r="E120" s="645"/>
      <c r="F120" s="645"/>
      <c r="G120" s="645"/>
      <c r="H120" s="648"/>
      <c r="I120" s="648"/>
      <c r="J120" s="629"/>
      <c r="K120" s="168" t="s">
        <v>29</v>
      </c>
      <c r="L120" s="329"/>
      <c r="M120" s="410"/>
      <c r="N120" s="410"/>
      <c r="O120" s="410"/>
      <c r="P120" s="410"/>
      <c r="Q120" s="410"/>
      <c r="R120" s="410"/>
      <c r="S120" s="410"/>
      <c r="T120" s="410"/>
      <c r="U120" s="410">
        <v>13300</v>
      </c>
      <c r="V120" s="410">
        <v>13300</v>
      </c>
      <c r="W120" s="26">
        <v>13300</v>
      </c>
      <c r="X120" s="14">
        <f t="shared" si="61"/>
        <v>39900</v>
      </c>
      <c r="Y120" s="69"/>
      <c r="Z120" s="69"/>
    </row>
    <row r="121" spans="1:26">
      <c r="A121" s="114">
        <f t="shared" si="62"/>
        <v>2023019</v>
      </c>
      <c r="B121" s="74"/>
      <c r="C121" s="642"/>
      <c r="D121" s="645"/>
      <c r="E121" s="645"/>
      <c r="F121" s="645"/>
      <c r="G121" s="645"/>
      <c r="H121" s="648"/>
      <c r="I121" s="648"/>
      <c r="J121" s="629"/>
      <c r="K121" s="168" t="s">
        <v>30</v>
      </c>
      <c r="L121" s="329"/>
      <c r="M121" s="410"/>
      <c r="N121" s="410"/>
      <c r="O121" s="410"/>
      <c r="P121" s="410"/>
      <c r="Q121" s="410"/>
      <c r="R121" s="410"/>
      <c r="S121" s="410"/>
      <c r="T121" s="410"/>
      <c r="U121" s="410">
        <v>25620</v>
      </c>
      <c r="V121" s="410">
        <v>25620</v>
      </c>
      <c r="W121" s="26">
        <v>25620</v>
      </c>
      <c r="X121" s="14">
        <f t="shared" si="61"/>
        <v>76860</v>
      </c>
      <c r="Y121" s="69"/>
      <c r="Z121" s="69"/>
    </row>
    <row r="122" spans="1:26">
      <c r="A122" s="114">
        <f t="shared" si="62"/>
        <v>2023019</v>
      </c>
      <c r="B122" s="74"/>
      <c r="C122" s="642"/>
      <c r="D122" s="645"/>
      <c r="E122" s="645"/>
      <c r="F122" s="645"/>
      <c r="G122" s="645"/>
      <c r="H122" s="648"/>
      <c r="I122" s="648"/>
      <c r="J122" s="629"/>
      <c r="K122" s="168" t="s">
        <v>31</v>
      </c>
      <c r="L122" s="329"/>
      <c r="M122" s="410"/>
      <c r="N122" s="410"/>
      <c r="O122" s="410"/>
      <c r="P122" s="410"/>
      <c r="Q122" s="410"/>
      <c r="R122" s="410"/>
      <c r="S122" s="410"/>
      <c r="T122" s="410"/>
      <c r="U122" s="410">
        <v>1601</v>
      </c>
      <c r="V122" s="410">
        <v>1838</v>
      </c>
      <c r="W122" s="26">
        <v>1292</v>
      </c>
      <c r="X122" s="14">
        <f t="shared" si="61"/>
        <v>4731</v>
      </c>
      <c r="Y122" s="69"/>
      <c r="Z122" s="69"/>
    </row>
    <row r="123" spans="1:26">
      <c r="A123" s="114">
        <f t="shared" si="62"/>
        <v>2023019</v>
      </c>
      <c r="B123" s="74"/>
      <c r="C123" s="642"/>
      <c r="D123" s="645"/>
      <c r="E123" s="645"/>
      <c r="F123" s="645"/>
      <c r="G123" s="645"/>
      <c r="H123" s="648"/>
      <c r="I123" s="648"/>
      <c r="J123" s="629"/>
      <c r="K123" s="168" t="s">
        <v>32</v>
      </c>
      <c r="L123" s="329"/>
      <c r="M123" s="410"/>
      <c r="N123" s="410"/>
      <c r="O123" s="410"/>
      <c r="P123" s="410"/>
      <c r="Q123" s="410"/>
      <c r="R123" s="410"/>
      <c r="S123" s="410"/>
      <c r="T123" s="410"/>
      <c r="U123" s="410">
        <v>1762</v>
      </c>
      <c r="V123" s="410">
        <v>2022</v>
      </c>
      <c r="W123" s="26">
        <v>1421</v>
      </c>
      <c r="X123" s="14">
        <f t="shared" si="61"/>
        <v>5205</v>
      </c>
      <c r="Y123" s="69"/>
      <c r="Z123" s="69"/>
    </row>
    <row r="124" spans="1:26">
      <c r="A124" s="114">
        <f>+A123</f>
        <v>2023019</v>
      </c>
      <c r="B124" s="74"/>
      <c r="C124" s="654"/>
      <c r="D124" s="655"/>
      <c r="E124" s="655"/>
      <c r="F124" s="655"/>
      <c r="G124" s="655"/>
      <c r="H124" s="652"/>
      <c r="I124" s="652"/>
      <c r="J124" s="630"/>
      <c r="K124" s="170" t="s">
        <v>33</v>
      </c>
      <c r="L124" s="338">
        <f t="shared" ref="L124:V124" si="64">L113-L116</f>
        <v>0</v>
      </c>
      <c r="M124" s="405">
        <f t="shared" si="64"/>
        <v>0</v>
      </c>
      <c r="N124" s="405">
        <f t="shared" si="64"/>
        <v>0</v>
      </c>
      <c r="O124" s="405">
        <f t="shared" si="64"/>
        <v>0</v>
      </c>
      <c r="P124" s="405">
        <f t="shared" si="64"/>
        <v>0</v>
      </c>
      <c r="Q124" s="405">
        <f t="shared" si="64"/>
        <v>0</v>
      </c>
      <c r="R124" s="405">
        <f t="shared" si="64"/>
        <v>0</v>
      </c>
      <c r="S124" s="405">
        <f t="shared" si="64"/>
        <v>0</v>
      </c>
      <c r="T124" s="405">
        <f t="shared" si="64"/>
        <v>0</v>
      </c>
      <c r="U124" s="405">
        <f t="shared" si="64"/>
        <v>187417</v>
      </c>
      <c r="V124" s="405">
        <f t="shared" si="64"/>
        <v>156920</v>
      </c>
      <c r="W124" s="90">
        <f>W113-W116</f>
        <v>188367</v>
      </c>
      <c r="X124" s="16">
        <f>X113-X116</f>
        <v>532704</v>
      </c>
      <c r="Z124" s="69"/>
    </row>
    <row r="125" spans="1:26" ht="12" customHeight="1">
      <c r="A125" s="116">
        <v>2018030</v>
      </c>
      <c r="C125" s="641">
        <f t="shared" ref="C125" si="65">C113+1</f>
        <v>11</v>
      </c>
      <c r="D125" s="644" t="s">
        <v>59</v>
      </c>
      <c r="E125" s="644"/>
      <c r="F125" s="644"/>
      <c r="G125" s="644" t="s">
        <v>171</v>
      </c>
      <c r="H125" s="647"/>
      <c r="I125" s="647"/>
      <c r="J125" s="628" t="s">
        <v>54</v>
      </c>
      <c r="K125" s="181" t="s">
        <v>23</v>
      </c>
      <c r="L125" s="339">
        <f t="shared" ref="L125:V125" si="66">L126+L127</f>
        <v>0</v>
      </c>
      <c r="M125" s="406">
        <f t="shared" si="66"/>
        <v>0</v>
      </c>
      <c r="N125" s="406">
        <f t="shared" si="66"/>
        <v>0</v>
      </c>
      <c r="O125" s="406">
        <f t="shared" si="66"/>
        <v>0</v>
      </c>
      <c r="P125" s="406">
        <f t="shared" si="66"/>
        <v>0</v>
      </c>
      <c r="Q125" s="406">
        <f t="shared" si="66"/>
        <v>0</v>
      </c>
      <c r="R125" s="406">
        <f t="shared" si="66"/>
        <v>0</v>
      </c>
      <c r="S125" s="406">
        <f t="shared" si="66"/>
        <v>0</v>
      </c>
      <c r="T125" s="406">
        <f t="shared" si="66"/>
        <v>0</v>
      </c>
      <c r="U125" s="406">
        <f t="shared" si="66"/>
        <v>949670</v>
      </c>
      <c r="V125" s="406">
        <f t="shared" si="66"/>
        <v>877500</v>
      </c>
      <c r="W125" s="94">
        <f>W126+W127</f>
        <v>850000</v>
      </c>
      <c r="X125" s="32">
        <f t="shared" ref="X125:X135" si="67">SUM(L125:W125)</f>
        <v>2677170</v>
      </c>
      <c r="Z125" s="69"/>
    </row>
    <row r="126" spans="1:26">
      <c r="A126" s="114">
        <f>+A125</f>
        <v>2018030</v>
      </c>
      <c r="B126" s="74">
        <f>+B125</f>
        <v>0</v>
      </c>
      <c r="C126" s="642"/>
      <c r="D126" s="645"/>
      <c r="E126" s="645"/>
      <c r="F126" s="645"/>
      <c r="G126" s="645"/>
      <c r="H126" s="648"/>
      <c r="I126" s="648"/>
      <c r="J126" s="629"/>
      <c r="K126" s="168" t="s">
        <v>24</v>
      </c>
      <c r="L126" s="388"/>
      <c r="M126" s="437"/>
      <c r="N126" s="437"/>
      <c r="O126" s="437"/>
      <c r="P126" s="437"/>
      <c r="Q126" s="437"/>
      <c r="R126" s="437"/>
      <c r="S126" s="437"/>
      <c r="T126" s="437"/>
      <c r="U126" s="437">
        <v>887170</v>
      </c>
      <c r="V126" s="437">
        <v>850000</v>
      </c>
      <c r="W126" s="320">
        <v>850000</v>
      </c>
      <c r="X126" s="14">
        <f t="shared" si="67"/>
        <v>2587170</v>
      </c>
      <c r="Y126" s="69"/>
      <c r="Z126" s="69"/>
    </row>
    <row r="127" spans="1:26">
      <c r="A127" s="114">
        <f>+A126</f>
        <v>2018030</v>
      </c>
      <c r="B127" s="74">
        <f t="shared" ref="B127:B135" si="68">+B126</f>
        <v>0</v>
      </c>
      <c r="C127" s="642"/>
      <c r="D127" s="645"/>
      <c r="E127" s="645"/>
      <c r="F127" s="645"/>
      <c r="G127" s="645"/>
      <c r="H127" s="648"/>
      <c r="I127" s="648"/>
      <c r="J127" s="629"/>
      <c r="K127" s="168" t="s">
        <v>178</v>
      </c>
      <c r="L127" s="534"/>
      <c r="M127" s="541"/>
      <c r="N127" s="541"/>
      <c r="O127" s="541"/>
      <c r="P127" s="541"/>
      <c r="Q127" s="541"/>
      <c r="R127" s="541"/>
      <c r="S127" s="541"/>
      <c r="T127" s="541"/>
      <c r="U127" s="535">
        <v>62500</v>
      </c>
      <c r="V127" s="535">
        <v>27500</v>
      </c>
      <c r="W127" s="536"/>
      <c r="X127" s="14">
        <f t="shared" si="67"/>
        <v>90000</v>
      </c>
      <c r="Z127" s="69"/>
    </row>
    <row r="128" spans="1:26">
      <c r="A128" s="114">
        <f t="shared" ref="A128:A135" si="69">+A127</f>
        <v>2018030</v>
      </c>
      <c r="B128" s="74">
        <f t="shared" si="68"/>
        <v>0</v>
      </c>
      <c r="C128" s="642"/>
      <c r="D128" s="645"/>
      <c r="E128" s="645"/>
      <c r="F128" s="645"/>
      <c r="G128" s="645"/>
      <c r="H128" s="648"/>
      <c r="I128" s="648"/>
      <c r="J128" s="629"/>
      <c r="K128" s="169" t="s">
        <v>26</v>
      </c>
      <c r="L128" s="390">
        <f t="shared" ref="L128:R128" si="70">SUM(L129:L135)</f>
        <v>0</v>
      </c>
      <c r="M128" s="330">
        <f t="shared" si="70"/>
        <v>0</v>
      </c>
      <c r="N128" s="330">
        <f t="shared" si="70"/>
        <v>0</v>
      </c>
      <c r="O128" s="330">
        <f t="shared" si="70"/>
        <v>0</v>
      </c>
      <c r="P128" s="330">
        <f t="shared" si="70"/>
        <v>0</v>
      </c>
      <c r="Q128" s="330">
        <f t="shared" si="70"/>
        <v>0</v>
      </c>
      <c r="R128" s="330">
        <f t="shared" si="70"/>
        <v>0</v>
      </c>
      <c r="S128" s="330">
        <f>SUM(S129:S135)</f>
        <v>0</v>
      </c>
      <c r="T128" s="330">
        <f>SUM(T129:T135)</f>
        <v>0</v>
      </c>
      <c r="U128" s="426">
        <f t="shared" ref="U128:V128" si="71">SUM(U129:U135)</f>
        <v>695779</v>
      </c>
      <c r="V128" s="426">
        <f t="shared" si="71"/>
        <v>615200</v>
      </c>
      <c r="W128" s="89">
        <f>SUM(W129:W135)</f>
        <v>586846</v>
      </c>
      <c r="X128" s="15">
        <f t="shared" si="67"/>
        <v>1897825</v>
      </c>
      <c r="Z128" s="69"/>
    </row>
    <row r="129" spans="1:26">
      <c r="A129" s="114">
        <f t="shared" si="69"/>
        <v>2018030</v>
      </c>
      <c r="B129" s="74">
        <f t="shared" si="68"/>
        <v>0</v>
      </c>
      <c r="C129" s="642"/>
      <c r="D129" s="645"/>
      <c r="E129" s="645"/>
      <c r="F129" s="645"/>
      <c r="G129" s="645"/>
      <c r="H129" s="648"/>
      <c r="I129" s="648"/>
      <c r="J129" s="629"/>
      <c r="K129" s="168" t="s">
        <v>27</v>
      </c>
      <c r="L129" s="389"/>
      <c r="M129" s="389"/>
      <c r="N129" s="389"/>
      <c r="O129" s="389"/>
      <c r="P129" s="389"/>
      <c r="Q129" s="389"/>
      <c r="R129" s="389"/>
      <c r="S129" s="389"/>
      <c r="T129" s="389"/>
      <c r="U129" s="540">
        <v>607422</v>
      </c>
      <c r="V129" s="540">
        <v>527500</v>
      </c>
      <c r="W129" s="539">
        <v>500000</v>
      </c>
      <c r="X129" s="14">
        <f t="shared" si="67"/>
        <v>1634922</v>
      </c>
      <c r="Y129" s="69"/>
      <c r="Z129" s="69"/>
    </row>
    <row r="130" spans="1:26">
      <c r="A130" s="114">
        <f t="shared" si="69"/>
        <v>2018030</v>
      </c>
      <c r="B130" s="74">
        <f t="shared" si="68"/>
        <v>0</v>
      </c>
      <c r="C130" s="642"/>
      <c r="D130" s="645"/>
      <c r="E130" s="645"/>
      <c r="F130" s="645"/>
      <c r="G130" s="645"/>
      <c r="H130" s="648"/>
      <c r="I130" s="648"/>
      <c r="J130" s="629"/>
      <c r="K130" s="168" t="s">
        <v>34</v>
      </c>
      <c r="L130" s="391"/>
      <c r="M130" s="489"/>
      <c r="N130" s="489"/>
      <c r="O130" s="489"/>
      <c r="P130" s="489"/>
      <c r="Q130" s="489"/>
      <c r="R130" s="489"/>
      <c r="S130" s="489"/>
      <c r="T130" s="489"/>
      <c r="U130" s="540"/>
      <c r="V130" s="540"/>
      <c r="W130" s="539"/>
      <c r="X130" s="14">
        <f t="shared" si="67"/>
        <v>0</v>
      </c>
      <c r="Y130" s="69"/>
      <c r="Z130" s="69"/>
    </row>
    <row r="131" spans="1:26">
      <c r="A131" s="114">
        <f t="shared" si="69"/>
        <v>2018030</v>
      </c>
      <c r="B131" s="74">
        <f t="shared" si="68"/>
        <v>0</v>
      </c>
      <c r="C131" s="642"/>
      <c r="D131" s="645"/>
      <c r="E131" s="645"/>
      <c r="F131" s="645"/>
      <c r="G131" s="645"/>
      <c r="H131" s="648"/>
      <c r="I131" s="648"/>
      <c r="J131" s="629"/>
      <c r="K131" s="168" t="s">
        <v>28</v>
      </c>
      <c r="L131" s="329"/>
      <c r="M131" s="329"/>
      <c r="N131" s="329"/>
      <c r="O131" s="329"/>
      <c r="P131" s="329"/>
      <c r="Q131" s="329"/>
      <c r="R131" s="329"/>
      <c r="S131" s="329"/>
      <c r="T131" s="329"/>
      <c r="U131" s="540">
        <v>12290</v>
      </c>
      <c r="V131" s="540">
        <v>12290</v>
      </c>
      <c r="W131" s="539">
        <v>12290</v>
      </c>
      <c r="X131" s="14">
        <f t="shared" si="67"/>
        <v>36870</v>
      </c>
      <c r="Y131" s="69"/>
      <c r="Z131" s="69"/>
    </row>
    <row r="132" spans="1:26">
      <c r="A132" s="114">
        <f t="shared" si="69"/>
        <v>2018030</v>
      </c>
      <c r="B132" s="74">
        <f t="shared" si="68"/>
        <v>0</v>
      </c>
      <c r="C132" s="642"/>
      <c r="D132" s="645"/>
      <c r="E132" s="645"/>
      <c r="F132" s="645"/>
      <c r="G132" s="645"/>
      <c r="H132" s="648"/>
      <c r="I132" s="648"/>
      <c r="J132" s="629"/>
      <c r="K132" s="168" t="s">
        <v>29</v>
      </c>
      <c r="L132" s="329"/>
      <c r="M132" s="329"/>
      <c r="N132" s="329"/>
      <c r="O132" s="329"/>
      <c r="P132" s="329"/>
      <c r="Q132" s="329"/>
      <c r="R132" s="329"/>
      <c r="S132" s="329"/>
      <c r="T132" s="329"/>
      <c r="U132" s="540">
        <v>26555</v>
      </c>
      <c r="V132" s="540">
        <v>26555</v>
      </c>
      <c r="W132" s="539">
        <v>26555</v>
      </c>
      <c r="X132" s="14">
        <f t="shared" si="67"/>
        <v>79665</v>
      </c>
      <c r="Y132" s="69"/>
      <c r="Z132" s="69"/>
    </row>
    <row r="133" spans="1:26">
      <c r="A133" s="114">
        <f t="shared" si="69"/>
        <v>2018030</v>
      </c>
      <c r="B133" s="74">
        <f t="shared" si="68"/>
        <v>0</v>
      </c>
      <c r="C133" s="642"/>
      <c r="D133" s="645"/>
      <c r="E133" s="645"/>
      <c r="F133" s="645"/>
      <c r="G133" s="645"/>
      <c r="H133" s="648"/>
      <c r="I133" s="648"/>
      <c r="J133" s="629"/>
      <c r="K133" s="168" t="s">
        <v>30</v>
      </c>
      <c r="L133" s="329"/>
      <c r="M133" s="329"/>
      <c r="N133" s="329"/>
      <c r="O133" s="329"/>
      <c r="P133" s="329"/>
      <c r="Q133" s="329"/>
      <c r="R133" s="329"/>
      <c r="S133" s="329"/>
      <c r="T133" s="329"/>
      <c r="U133" s="540">
        <v>43005</v>
      </c>
      <c r="V133" s="540">
        <v>43005</v>
      </c>
      <c r="W133" s="539">
        <v>43005</v>
      </c>
      <c r="X133" s="14">
        <f t="shared" si="67"/>
        <v>129015</v>
      </c>
      <c r="Y133" s="69"/>
      <c r="Z133" s="69"/>
    </row>
    <row r="134" spans="1:26">
      <c r="A134" s="114">
        <f t="shared" si="69"/>
        <v>2018030</v>
      </c>
      <c r="B134" s="74">
        <f t="shared" si="68"/>
        <v>0</v>
      </c>
      <c r="C134" s="642"/>
      <c r="D134" s="645"/>
      <c r="E134" s="645"/>
      <c r="F134" s="645"/>
      <c r="G134" s="645"/>
      <c r="H134" s="648"/>
      <c r="I134" s="648"/>
      <c r="J134" s="629"/>
      <c r="K134" s="168" t="s">
        <v>31</v>
      </c>
      <c r="L134" s="329"/>
      <c r="M134" s="329"/>
      <c r="N134" s="329"/>
      <c r="O134" s="329"/>
      <c r="P134" s="329"/>
      <c r="Q134" s="329"/>
      <c r="R134" s="329"/>
      <c r="S134" s="329"/>
      <c r="T134" s="329"/>
      <c r="U134" s="540">
        <v>3099</v>
      </c>
      <c r="V134" s="540">
        <v>2786</v>
      </c>
      <c r="W134" s="539">
        <v>2379</v>
      </c>
      <c r="X134" s="14">
        <f t="shared" si="67"/>
        <v>8264</v>
      </c>
      <c r="Y134" s="69"/>
      <c r="Z134" s="69"/>
    </row>
    <row r="135" spans="1:26">
      <c r="A135" s="114">
        <f t="shared" si="69"/>
        <v>2018030</v>
      </c>
      <c r="B135" s="74">
        <f t="shared" si="68"/>
        <v>0</v>
      </c>
      <c r="C135" s="642"/>
      <c r="D135" s="645"/>
      <c r="E135" s="645"/>
      <c r="F135" s="645"/>
      <c r="G135" s="645"/>
      <c r="H135" s="648"/>
      <c r="I135" s="648"/>
      <c r="J135" s="629"/>
      <c r="K135" s="168" t="s">
        <v>32</v>
      </c>
      <c r="L135" s="329"/>
      <c r="M135" s="329"/>
      <c r="N135" s="329"/>
      <c r="O135" s="329"/>
      <c r="P135" s="329"/>
      <c r="Q135" s="329"/>
      <c r="R135" s="329"/>
      <c r="S135" s="329"/>
      <c r="T135" s="329"/>
      <c r="U135" s="540">
        <v>3408</v>
      </c>
      <c r="V135" s="540">
        <v>3064</v>
      </c>
      <c r="W135" s="539">
        <v>2617</v>
      </c>
      <c r="X135" s="14">
        <f t="shared" si="67"/>
        <v>9089</v>
      </c>
      <c r="Y135" s="69"/>
      <c r="Z135" s="69"/>
    </row>
    <row r="136" spans="1:26" ht="12.5" thickBot="1">
      <c r="A136" s="114">
        <f>+A135</f>
        <v>2018030</v>
      </c>
      <c r="B136" s="74">
        <f>+B135</f>
        <v>0</v>
      </c>
      <c r="C136" s="643"/>
      <c r="D136" s="646"/>
      <c r="E136" s="646"/>
      <c r="F136" s="646"/>
      <c r="G136" s="646"/>
      <c r="H136" s="649"/>
      <c r="I136" s="649"/>
      <c r="J136" s="631"/>
      <c r="K136" s="179" t="s">
        <v>33</v>
      </c>
      <c r="L136" s="340">
        <f t="shared" ref="L136:V136" si="72">L125-L128</f>
        <v>0</v>
      </c>
      <c r="M136" s="456">
        <f t="shared" si="72"/>
        <v>0</v>
      </c>
      <c r="N136" s="456">
        <f t="shared" si="72"/>
        <v>0</v>
      </c>
      <c r="O136" s="456">
        <f t="shared" si="72"/>
        <v>0</v>
      </c>
      <c r="P136" s="456">
        <f t="shared" si="72"/>
        <v>0</v>
      </c>
      <c r="Q136" s="456">
        <f t="shared" si="72"/>
        <v>0</v>
      </c>
      <c r="R136" s="456">
        <f t="shared" si="72"/>
        <v>0</v>
      </c>
      <c r="S136" s="456">
        <f t="shared" si="72"/>
        <v>0</v>
      </c>
      <c r="T136" s="456">
        <f t="shared" si="72"/>
        <v>0</v>
      </c>
      <c r="U136" s="407">
        <f t="shared" si="72"/>
        <v>253891</v>
      </c>
      <c r="V136" s="407">
        <f t="shared" si="72"/>
        <v>262300</v>
      </c>
      <c r="W136" s="253">
        <f>W125-W128</f>
        <v>263154</v>
      </c>
      <c r="X136" s="254">
        <f>X125-X128</f>
        <v>779345</v>
      </c>
      <c r="Z136" s="69"/>
    </row>
    <row r="137" spans="1:26" s="1" customFormat="1" ht="11.9" customHeight="1" thickTop="1">
      <c r="A137" s="112"/>
      <c r="B137" s="72"/>
      <c r="C137" s="683" t="str">
        <f>C2</f>
        <v>アカウントサービス第五本部</v>
      </c>
      <c r="D137" s="684"/>
      <c r="E137" s="684"/>
      <c r="F137" s="684"/>
      <c r="G137" s="684"/>
      <c r="H137" s="684"/>
      <c r="I137" s="684"/>
      <c r="J137" s="685"/>
      <c r="K137" s="143" t="s">
        <v>20</v>
      </c>
      <c r="L137" s="459">
        <f>L5+L17+L29+L41+L53+L65+L77+L89+L101+L113+L125</f>
        <v>5097600</v>
      </c>
      <c r="M137" s="459">
        <f t="shared" ref="M137:W137" si="73">M5+M17+M29+M41+M53+M65+M77+M89+M101+M113+M125</f>
        <v>4924750</v>
      </c>
      <c r="N137" s="459">
        <f t="shared" si="73"/>
        <v>4957050</v>
      </c>
      <c r="O137" s="459">
        <f t="shared" si="73"/>
        <v>5049400</v>
      </c>
      <c r="P137" s="459">
        <f t="shared" si="73"/>
        <v>4693700</v>
      </c>
      <c r="Q137" s="459">
        <f t="shared" si="73"/>
        <v>4794295</v>
      </c>
      <c r="R137" s="459">
        <f t="shared" si="73"/>
        <v>4373550</v>
      </c>
      <c r="S137" s="459">
        <f t="shared" si="73"/>
        <v>4130180</v>
      </c>
      <c r="T137" s="459">
        <f t="shared" si="73"/>
        <v>4824760</v>
      </c>
      <c r="U137" s="434">
        <f t="shared" si="73"/>
        <v>6110710</v>
      </c>
      <c r="V137" s="434">
        <f t="shared" si="73"/>
        <v>6033925</v>
      </c>
      <c r="W137" s="265">
        <f t="shared" si="73"/>
        <v>6412600</v>
      </c>
      <c r="X137" s="163">
        <f>X17+X65+X77+X53+X41+X29+X89+X101+X113+X5</f>
        <v>58725350</v>
      </c>
      <c r="Y137" s="2"/>
      <c r="Z137" s="69"/>
    </row>
    <row r="138" spans="1:26" s="1" customFormat="1" ht="11.9" customHeight="1">
      <c r="A138" s="112"/>
      <c r="B138" s="72"/>
      <c r="C138" s="683"/>
      <c r="D138" s="684"/>
      <c r="E138" s="684"/>
      <c r="F138" s="684"/>
      <c r="G138" s="684"/>
      <c r="H138" s="684"/>
      <c r="I138" s="684"/>
      <c r="J138" s="685"/>
      <c r="K138" s="144" t="s">
        <v>21</v>
      </c>
      <c r="L138" s="460">
        <f>L8+L20+L32+L44+L56+L68+L80+L92+L104+L116+L128</f>
        <v>3846091</v>
      </c>
      <c r="M138" s="460">
        <f t="shared" ref="M138:W138" si="74">M8+M20+M32+M44+M56+M68+M80+M92+M104+M116+M128</f>
        <v>3740385</v>
      </c>
      <c r="N138" s="460">
        <f t="shared" si="74"/>
        <v>3815448</v>
      </c>
      <c r="O138" s="460">
        <f t="shared" si="74"/>
        <v>3977832</v>
      </c>
      <c r="P138" s="460">
        <f t="shared" si="74"/>
        <v>3788701</v>
      </c>
      <c r="Q138" s="460">
        <f t="shared" si="74"/>
        <v>3631814</v>
      </c>
      <c r="R138" s="460">
        <f t="shared" si="74"/>
        <v>3207288</v>
      </c>
      <c r="S138" s="460">
        <f t="shared" si="74"/>
        <v>3338455</v>
      </c>
      <c r="T138" s="460">
        <f t="shared" si="74"/>
        <v>3616998</v>
      </c>
      <c r="U138" s="435">
        <f t="shared" si="74"/>
        <v>4609267</v>
      </c>
      <c r="V138" s="435">
        <f t="shared" si="74"/>
        <v>4553072</v>
      </c>
      <c r="W138" s="33">
        <f t="shared" si="74"/>
        <v>4605472</v>
      </c>
      <c r="X138" s="81">
        <f>X20+X68+X80+X56+X44+X32+X92+X104+X116+X8</f>
        <v>44832998</v>
      </c>
      <c r="Y138" s="2"/>
      <c r="Z138" s="69"/>
    </row>
    <row r="139" spans="1:26" s="1" customFormat="1" ht="11.9" customHeight="1">
      <c r="A139" s="112"/>
      <c r="B139" s="72"/>
      <c r="C139" s="686"/>
      <c r="D139" s="687"/>
      <c r="E139" s="687"/>
      <c r="F139" s="687"/>
      <c r="G139" s="687"/>
      <c r="H139" s="687"/>
      <c r="I139" s="687"/>
      <c r="J139" s="688"/>
      <c r="K139" s="153" t="s">
        <v>22</v>
      </c>
      <c r="L139" s="341">
        <f>L137-L138</f>
        <v>1251509</v>
      </c>
      <c r="M139" s="458">
        <f t="shared" ref="M139:W139" si="75">M137-M138</f>
        <v>1184365</v>
      </c>
      <c r="N139" s="458">
        <f t="shared" si="75"/>
        <v>1141602</v>
      </c>
      <c r="O139" s="458">
        <f t="shared" si="75"/>
        <v>1071568</v>
      </c>
      <c r="P139" s="458">
        <f t="shared" si="75"/>
        <v>904999</v>
      </c>
      <c r="Q139" s="458">
        <f t="shared" si="75"/>
        <v>1162481</v>
      </c>
      <c r="R139" s="458">
        <f t="shared" si="75"/>
        <v>1166262</v>
      </c>
      <c r="S139" s="458">
        <f t="shared" si="75"/>
        <v>791725</v>
      </c>
      <c r="T139" s="458">
        <f t="shared" si="75"/>
        <v>1207762</v>
      </c>
      <c r="U139" s="408">
        <f t="shared" si="75"/>
        <v>1501443</v>
      </c>
      <c r="V139" s="408">
        <f t="shared" si="75"/>
        <v>1480853</v>
      </c>
      <c r="W139" s="80">
        <f t="shared" si="75"/>
        <v>1807128</v>
      </c>
      <c r="X139" s="45">
        <f>X137-X138</f>
        <v>13892352</v>
      </c>
      <c r="Z139" s="69"/>
    </row>
    <row r="140" spans="1:26" ht="11.9" customHeight="1">
      <c r="F140" s="127"/>
      <c r="K140" s="128" t="s">
        <v>74</v>
      </c>
      <c r="L140" s="689">
        <f>SUM(L137:N137)</f>
        <v>14979400</v>
      </c>
      <c r="M140" s="690"/>
      <c r="N140" s="691"/>
      <c r="O140" s="662">
        <f>SUM(O137:Q137)</f>
        <v>14537395</v>
      </c>
      <c r="P140" s="690"/>
      <c r="Q140" s="691"/>
      <c r="R140" s="662">
        <f>SUM(R137:T137)</f>
        <v>13328490</v>
      </c>
      <c r="S140" s="690"/>
      <c r="T140" s="691"/>
      <c r="U140" s="662">
        <f t="shared" ref="U140:U141" si="76">SUM(U137:W137)</f>
        <v>18557235</v>
      </c>
      <c r="V140" s="690"/>
      <c r="W140" s="692"/>
      <c r="X140" s="34">
        <f>X137</f>
        <v>58725350</v>
      </c>
      <c r="Z140" s="69"/>
    </row>
    <row r="141" spans="1:26" ht="11.9" customHeight="1">
      <c r="F141" s="127"/>
      <c r="K141" s="130" t="s">
        <v>77</v>
      </c>
      <c r="L141" s="693">
        <f>SUM(L138:N138)</f>
        <v>11401924</v>
      </c>
      <c r="M141" s="694"/>
      <c r="N141" s="695"/>
      <c r="O141" s="664">
        <f t="shared" ref="O141" si="77">SUM(O138:Q138)</f>
        <v>11398347</v>
      </c>
      <c r="P141" s="694"/>
      <c r="Q141" s="695"/>
      <c r="R141" s="664">
        <f t="shared" ref="R141" si="78">SUM(R138:T138)</f>
        <v>10162741</v>
      </c>
      <c r="S141" s="694"/>
      <c r="T141" s="695"/>
      <c r="U141" s="664">
        <f t="shared" si="76"/>
        <v>13767811</v>
      </c>
      <c r="V141" s="694"/>
      <c r="W141" s="696"/>
      <c r="X141" s="35">
        <f t="shared" ref="X141" si="79">X138</f>
        <v>44832998</v>
      </c>
      <c r="Z141" s="69"/>
    </row>
    <row r="142" spans="1:26" ht="11.9" customHeight="1">
      <c r="F142" s="127"/>
      <c r="K142" s="6" t="s">
        <v>75</v>
      </c>
      <c r="L142" s="679">
        <f>SUM(L139:N139)</f>
        <v>3577476</v>
      </c>
      <c r="M142" s="680"/>
      <c r="N142" s="681"/>
      <c r="O142" s="663">
        <f>SUM(O139:Q139)</f>
        <v>3139048</v>
      </c>
      <c r="P142" s="680"/>
      <c r="Q142" s="681"/>
      <c r="R142" s="663">
        <f>SUM(R139:T139)</f>
        <v>3165749</v>
      </c>
      <c r="S142" s="680"/>
      <c r="T142" s="681"/>
      <c r="U142" s="663">
        <f>SUM(U139:W139)</f>
        <v>4789424</v>
      </c>
      <c r="V142" s="680"/>
      <c r="W142" s="682"/>
      <c r="X142" s="36">
        <f>X139</f>
        <v>13892352</v>
      </c>
      <c r="Z142" s="69"/>
    </row>
    <row r="143" spans="1:26" ht="11.9" customHeight="1">
      <c r="Z143" s="69"/>
    </row>
    <row r="144" spans="1:26" ht="11.9" customHeight="1">
      <c r="Z144" s="69"/>
    </row>
    <row r="145" spans="26:26" ht="11.9" customHeight="1">
      <c r="Z145" s="69"/>
    </row>
    <row r="146" spans="26:26" ht="11.9" customHeight="1">
      <c r="Z146" s="69"/>
    </row>
    <row r="147" spans="26:26" ht="11.9" customHeight="1">
      <c r="Z147" s="69"/>
    </row>
    <row r="148" spans="26:26" ht="11.9" customHeight="1">
      <c r="Z148" s="69"/>
    </row>
    <row r="149" spans="26:26" ht="11.9" customHeight="1">
      <c r="Z149" s="69"/>
    </row>
    <row r="150" spans="26:26" ht="11.9" customHeight="1">
      <c r="Z150" s="69"/>
    </row>
    <row r="151" spans="26:26" ht="11.9" customHeight="1">
      <c r="Z151" s="69"/>
    </row>
    <row r="152" spans="26:26" ht="11.9" customHeight="1">
      <c r="Z152" s="69"/>
    </row>
    <row r="153" spans="26:26" ht="11.9" customHeight="1">
      <c r="Z153" s="69"/>
    </row>
    <row r="154" spans="26:26" ht="11.9" customHeight="1">
      <c r="Z154" s="69"/>
    </row>
    <row r="155" spans="26:26" ht="11.9" customHeight="1">
      <c r="Z155" s="69"/>
    </row>
    <row r="156" spans="26:26" ht="11.9" customHeight="1">
      <c r="Z156" s="69"/>
    </row>
    <row r="157" spans="26:26" ht="11.9" customHeight="1">
      <c r="Z157" s="69"/>
    </row>
    <row r="158" spans="26:26" ht="11.9" customHeight="1">
      <c r="Z158" s="69"/>
    </row>
    <row r="159" spans="26:26" ht="11.9" customHeight="1">
      <c r="Z159" s="69"/>
    </row>
    <row r="160" spans="26:26" ht="11.9" customHeight="1">
      <c r="Z160" s="69"/>
    </row>
    <row r="161" spans="26:26" ht="11.9" customHeight="1">
      <c r="Z161" s="69"/>
    </row>
    <row r="162" spans="26:26" ht="11.9" customHeight="1">
      <c r="Z162" s="69"/>
    </row>
    <row r="163" spans="26:26" ht="11.9" customHeight="1">
      <c r="Z163" s="69"/>
    </row>
    <row r="164" spans="26:26" ht="11.9" customHeight="1">
      <c r="Z164" s="69"/>
    </row>
    <row r="165" spans="26:26" ht="11.9" customHeight="1">
      <c r="Z165" s="69"/>
    </row>
    <row r="166" spans="26:26" ht="11.9" customHeight="1">
      <c r="Z166" s="69"/>
    </row>
    <row r="167" spans="26:26" ht="11.9" customHeight="1">
      <c r="Z167" s="69"/>
    </row>
    <row r="168" spans="26:26" ht="11.9" customHeight="1">
      <c r="Z168" s="69"/>
    </row>
    <row r="169" spans="26:26" ht="11.9" customHeight="1">
      <c r="Z169" s="69"/>
    </row>
    <row r="170" spans="26:26" ht="11.9" customHeight="1">
      <c r="Z170" s="69"/>
    </row>
    <row r="171" spans="26:26" ht="11.9" customHeight="1">
      <c r="Z171" s="69"/>
    </row>
    <row r="172" spans="26:26" ht="11.9" customHeight="1">
      <c r="Z172" s="69"/>
    </row>
    <row r="173" spans="26:26" ht="11.9" customHeight="1">
      <c r="Z173" s="69"/>
    </row>
    <row r="174" spans="26:26" ht="11.9" customHeight="1">
      <c r="Z174" s="69"/>
    </row>
    <row r="175" spans="26:26" ht="11.9" customHeight="1">
      <c r="Z175" s="69"/>
    </row>
    <row r="176" spans="26:26" ht="11.9" customHeight="1">
      <c r="Z176" s="69"/>
    </row>
    <row r="177" spans="26:26" ht="11.9" customHeight="1">
      <c r="Z177" s="69"/>
    </row>
    <row r="178" spans="26:26" ht="11.9" customHeight="1">
      <c r="Z178" s="69"/>
    </row>
    <row r="179" spans="26:26" ht="11.9" customHeight="1">
      <c r="Z179" s="69"/>
    </row>
    <row r="180" spans="26:26" ht="11.9" customHeight="1">
      <c r="Z180" s="69"/>
    </row>
    <row r="181" spans="26:26" ht="11.9" customHeight="1">
      <c r="Z181" s="69"/>
    </row>
    <row r="182" spans="26:26" ht="11.9" customHeight="1">
      <c r="Z182" s="69"/>
    </row>
    <row r="183" spans="26:26" ht="11.9" customHeight="1">
      <c r="Z183" s="69"/>
    </row>
    <row r="184" spans="26:26" ht="11.9" customHeight="1">
      <c r="Z184" s="69"/>
    </row>
    <row r="185" spans="26:26" ht="11.9" customHeight="1">
      <c r="Z185" s="69"/>
    </row>
    <row r="186" spans="26:26" ht="11.9" customHeight="1">
      <c r="Z186" s="69"/>
    </row>
    <row r="187" spans="26:26" ht="11.9" customHeight="1">
      <c r="Z187" s="69"/>
    </row>
    <row r="188" spans="26:26" ht="11.9" customHeight="1">
      <c r="Z188" s="69"/>
    </row>
    <row r="189" spans="26:26" ht="11.9" customHeight="1">
      <c r="Z189" s="69"/>
    </row>
    <row r="190" spans="26:26" ht="11.9" customHeight="1">
      <c r="Z190" s="69"/>
    </row>
    <row r="191" spans="26:26" ht="11.9" customHeight="1">
      <c r="Z191" s="69"/>
    </row>
    <row r="192" spans="26:26" ht="11.9" customHeight="1">
      <c r="Z192" s="69"/>
    </row>
    <row r="193" spans="26:26" ht="11.9" customHeight="1">
      <c r="Z193" s="69"/>
    </row>
    <row r="194" spans="26:26" ht="11.9" customHeight="1">
      <c r="Z194" s="69"/>
    </row>
    <row r="195" spans="26:26" ht="11.9" customHeight="1">
      <c r="Z195" s="69"/>
    </row>
    <row r="196" spans="26:26" ht="11.9" customHeight="1">
      <c r="Z196" s="69"/>
    </row>
    <row r="197" spans="26:26" ht="11.9" customHeight="1">
      <c r="Z197" s="69"/>
    </row>
    <row r="198" spans="26:26" ht="11.9" customHeight="1">
      <c r="Z198" s="69"/>
    </row>
    <row r="199" spans="26:26" ht="11.9" customHeight="1">
      <c r="Z199" s="69"/>
    </row>
    <row r="200" spans="26:26" ht="11.9" customHeight="1">
      <c r="Z200" s="69"/>
    </row>
    <row r="201" spans="26:26" ht="11.9" customHeight="1">
      <c r="Z201" s="69"/>
    </row>
    <row r="202" spans="26:26" ht="11.9" customHeight="1">
      <c r="Z202" s="69"/>
    </row>
    <row r="203" spans="26:26" ht="11.9" customHeight="1">
      <c r="Z203" s="69"/>
    </row>
    <row r="204" spans="26:26" ht="11.9" customHeight="1">
      <c r="Z204" s="69"/>
    </row>
    <row r="205" spans="26:26" ht="11.9" customHeight="1">
      <c r="Z205" s="69"/>
    </row>
    <row r="206" spans="26:26" ht="11.9" customHeight="1">
      <c r="Z206" s="69"/>
    </row>
    <row r="207" spans="26:26" ht="11.9" customHeight="1">
      <c r="Z207" s="69"/>
    </row>
    <row r="208" spans="26:26" ht="11.9" customHeight="1">
      <c r="Z208" s="69"/>
    </row>
    <row r="209" spans="26:26">
      <c r="Z209" s="69"/>
    </row>
    <row r="210" spans="26:26">
      <c r="Z210" s="69"/>
    </row>
    <row r="211" spans="26:26">
      <c r="Z211" s="69"/>
    </row>
    <row r="212" spans="26:26">
      <c r="Z212" s="69"/>
    </row>
    <row r="213" spans="26:26">
      <c r="Z213" s="69"/>
    </row>
    <row r="214" spans="26:26">
      <c r="Z214" s="69"/>
    </row>
    <row r="215" spans="26:26">
      <c r="Z215" s="69"/>
    </row>
    <row r="216" spans="26:26">
      <c r="Z216" s="69"/>
    </row>
    <row r="217" spans="26:26">
      <c r="Z217" s="69"/>
    </row>
    <row r="218" spans="26:26">
      <c r="Z218" s="69"/>
    </row>
    <row r="219" spans="26:26">
      <c r="Z219" s="69"/>
    </row>
    <row r="220" spans="26:26">
      <c r="Z220" s="69"/>
    </row>
    <row r="221" spans="26:26">
      <c r="Z221" s="69"/>
    </row>
    <row r="222" spans="26:26">
      <c r="Z222" s="69"/>
    </row>
    <row r="223" spans="26:26">
      <c r="Z223" s="69"/>
    </row>
    <row r="224" spans="26:26">
      <c r="Z224" s="69"/>
    </row>
    <row r="225" spans="26:26">
      <c r="Z225" s="69"/>
    </row>
    <row r="226" spans="26:26">
      <c r="Z226" s="69"/>
    </row>
    <row r="227" spans="26:26">
      <c r="Z227" s="69"/>
    </row>
    <row r="228" spans="26:26">
      <c r="Z228" s="69"/>
    </row>
    <row r="229" spans="26:26">
      <c r="Z229" s="69"/>
    </row>
    <row r="230" spans="26:26">
      <c r="Z230" s="69"/>
    </row>
    <row r="231" spans="26:26">
      <c r="Z231" s="69"/>
    </row>
    <row r="232" spans="26:26">
      <c r="Z232" s="69"/>
    </row>
    <row r="233" spans="26:26">
      <c r="Z233" s="69"/>
    </row>
    <row r="234" spans="26:26">
      <c r="Z234" s="69"/>
    </row>
    <row r="235" spans="26:26">
      <c r="Z235" s="69"/>
    </row>
    <row r="236" spans="26:26">
      <c r="Z236" s="69"/>
    </row>
    <row r="237" spans="26:26">
      <c r="Z237" s="69"/>
    </row>
    <row r="238" spans="26:26">
      <c r="Z238" s="69"/>
    </row>
    <row r="239" spans="26:26">
      <c r="Z239" s="69"/>
    </row>
    <row r="240" spans="26:26">
      <c r="Z240" s="69"/>
    </row>
    <row r="241" spans="26:26">
      <c r="Z241" s="69"/>
    </row>
    <row r="242" spans="26:26">
      <c r="Z242" s="69"/>
    </row>
    <row r="243" spans="26:26">
      <c r="Z243" s="69"/>
    </row>
    <row r="244" spans="26:26">
      <c r="Z244" s="69"/>
    </row>
    <row r="245" spans="26:26">
      <c r="Z245" s="69"/>
    </row>
    <row r="246" spans="26:26">
      <c r="Z246" s="69"/>
    </row>
    <row r="247" spans="26:26">
      <c r="Z247" s="69"/>
    </row>
    <row r="248" spans="26:26">
      <c r="Z248" s="69"/>
    </row>
    <row r="249" spans="26:26">
      <c r="Z249" s="69"/>
    </row>
    <row r="250" spans="26:26">
      <c r="Z250" s="69"/>
    </row>
    <row r="251" spans="26:26">
      <c r="Z251" s="69"/>
    </row>
    <row r="252" spans="26:26">
      <c r="Z252" s="69"/>
    </row>
    <row r="253" spans="26:26">
      <c r="Z253" s="69"/>
    </row>
    <row r="254" spans="26:26">
      <c r="Z254" s="69"/>
    </row>
    <row r="255" spans="26:26">
      <c r="Z255" s="69"/>
    </row>
    <row r="256" spans="26:26">
      <c r="Z256" s="69"/>
    </row>
    <row r="257" spans="26:26">
      <c r="Z257" s="69"/>
    </row>
    <row r="258" spans="26:26">
      <c r="Z258" s="69"/>
    </row>
    <row r="259" spans="26:26">
      <c r="Z259" s="69"/>
    </row>
    <row r="260" spans="26:26">
      <c r="Z260" s="69"/>
    </row>
    <row r="261" spans="26:26">
      <c r="Z261" s="69"/>
    </row>
    <row r="262" spans="26:26">
      <c r="Z262" s="69"/>
    </row>
    <row r="263" spans="26:26">
      <c r="Z263" s="69"/>
    </row>
    <row r="264" spans="26:26">
      <c r="Z264" s="69"/>
    </row>
    <row r="265" spans="26:26">
      <c r="Z265" s="69"/>
    </row>
    <row r="266" spans="26:26">
      <c r="Z266" s="69"/>
    </row>
    <row r="267" spans="26:26">
      <c r="Z267" s="69"/>
    </row>
    <row r="268" spans="26:26">
      <c r="Z268" s="69"/>
    </row>
    <row r="269" spans="26:26">
      <c r="Z269" s="69"/>
    </row>
    <row r="270" spans="26:26">
      <c r="Z270" s="69"/>
    </row>
    <row r="271" spans="26:26">
      <c r="Z271" s="69"/>
    </row>
    <row r="272" spans="26:26">
      <c r="Z272" s="69"/>
    </row>
    <row r="273" spans="26:26">
      <c r="Z273" s="69"/>
    </row>
    <row r="274" spans="26:26">
      <c r="Z274" s="69"/>
    </row>
    <row r="275" spans="26:26">
      <c r="Z275" s="69"/>
    </row>
    <row r="276" spans="26:26">
      <c r="Z276" s="69"/>
    </row>
    <row r="277" spans="26:26">
      <c r="Z277" s="69"/>
    </row>
    <row r="278" spans="26:26">
      <c r="Z278" s="69"/>
    </row>
    <row r="279" spans="26:26">
      <c r="Z279" s="69"/>
    </row>
    <row r="280" spans="26:26">
      <c r="Z280" s="69"/>
    </row>
    <row r="281" spans="26:26">
      <c r="Z281" s="69"/>
    </row>
    <row r="282" spans="26:26">
      <c r="Z282" s="69"/>
    </row>
    <row r="283" spans="26:26">
      <c r="Z283" s="69"/>
    </row>
    <row r="284" spans="26:26">
      <c r="Z284" s="69"/>
    </row>
    <row r="285" spans="26:26">
      <c r="Z285" s="69"/>
    </row>
    <row r="286" spans="26:26">
      <c r="Z286" s="69"/>
    </row>
    <row r="287" spans="26:26">
      <c r="Z287" s="69"/>
    </row>
    <row r="288" spans="26:26">
      <c r="Z288" s="69"/>
    </row>
    <row r="289" spans="26:26">
      <c r="Z289" s="69"/>
    </row>
    <row r="290" spans="26:26">
      <c r="Z290" s="69"/>
    </row>
    <row r="291" spans="26:26">
      <c r="Z291" s="69"/>
    </row>
    <row r="292" spans="26:26">
      <c r="Z292" s="69"/>
    </row>
    <row r="293" spans="26:26">
      <c r="Z293" s="69"/>
    </row>
    <row r="294" spans="26:26">
      <c r="Z294" s="69"/>
    </row>
    <row r="295" spans="26:26">
      <c r="Z295" s="69"/>
    </row>
    <row r="296" spans="26:26">
      <c r="Z296" s="69"/>
    </row>
    <row r="297" spans="26:26">
      <c r="Z297" s="69"/>
    </row>
    <row r="298" spans="26:26">
      <c r="Z298" s="69"/>
    </row>
    <row r="299" spans="26:26">
      <c r="Z299" s="69"/>
    </row>
    <row r="300" spans="26:26">
      <c r="Z300" s="69"/>
    </row>
    <row r="301" spans="26:26">
      <c r="Z301" s="69"/>
    </row>
    <row r="302" spans="26:26">
      <c r="Z302" s="69"/>
    </row>
    <row r="303" spans="26:26">
      <c r="Z303" s="69"/>
    </row>
    <row r="304" spans="26:26">
      <c r="Z304" s="69"/>
    </row>
    <row r="305" spans="26:26">
      <c r="Z305" s="69"/>
    </row>
    <row r="306" spans="26:26">
      <c r="Z306" s="69"/>
    </row>
    <row r="307" spans="26:26">
      <c r="Z307" s="69"/>
    </row>
    <row r="308" spans="26:26">
      <c r="Z308" s="69"/>
    </row>
    <row r="309" spans="26:26">
      <c r="Z309" s="69"/>
    </row>
    <row r="310" spans="26:26">
      <c r="Z310" s="69"/>
    </row>
    <row r="311" spans="26:26">
      <c r="Z311" s="69"/>
    </row>
    <row r="312" spans="26:26">
      <c r="Z312" s="69"/>
    </row>
    <row r="313" spans="26:26">
      <c r="Z313" s="69"/>
    </row>
    <row r="314" spans="26:26">
      <c r="Z314" s="69"/>
    </row>
    <row r="315" spans="26:26">
      <c r="Z315" s="69"/>
    </row>
    <row r="316" spans="26:26">
      <c r="Z316" s="69"/>
    </row>
    <row r="317" spans="26:26">
      <c r="Z317" s="69"/>
    </row>
    <row r="318" spans="26:26">
      <c r="Z318" s="69"/>
    </row>
    <row r="319" spans="26:26">
      <c r="Z319" s="69"/>
    </row>
    <row r="320" spans="26:26">
      <c r="Z320" s="69"/>
    </row>
    <row r="321" spans="26:26">
      <c r="Z321" s="69"/>
    </row>
    <row r="322" spans="26:26">
      <c r="Z322" s="69"/>
    </row>
    <row r="323" spans="26:26">
      <c r="Z323" s="69"/>
    </row>
    <row r="324" spans="26:26">
      <c r="Z324" s="69"/>
    </row>
    <row r="325" spans="26:26">
      <c r="Z325" s="69"/>
    </row>
    <row r="326" spans="26:26">
      <c r="Z326" s="69"/>
    </row>
    <row r="327" spans="26:26">
      <c r="Z327" s="69"/>
    </row>
    <row r="328" spans="26:26">
      <c r="Z328" s="69"/>
    </row>
    <row r="329" spans="26:26">
      <c r="Z329" s="69"/>
    </row>
    <row r="330" spans="26:26">
      <c r="Z330" s="69"/>
    </row>
    <row r="331" spans="26:26">
      <c r="Z331" s="69"/>
    </row>
    <row r="332" spans="26:26">
      <c r="Z332" s="69"/>
    </row>
    <row r="333" spans="26:26">
      <c r="Z333" s="69"/>
    </row>
    <row r="334" spans="26:26">
      <c r="Z334" s="69"/>
    </row>
    <row r="335" spans="26:26">
      <c r="Z335" s="69"/>
    </row>
    <row r="336" spans="26:26">
      <c r="Z336" s="69"/>
    </row>
    <row r="337" spans="26:26">
      <c r="Z337" s="69"/>
    </row>
    <row r="338" spans="26:26">
      <c r="Z338" s="69"/>
    </row>
    <row r="339" spans="26:26">
      <c r="Z339" s="69"/>
    </row>
    <row r="340" spans="26:26">
      <c r="Z340" s="69"/>
    </row>
    <row r="341" spans="26:26">
      <c r="Z341" s="69"/>
    </row>
    <row r="342" spans="26:26">
      <c r="Z342" s="69"/>
    </row>
    <row r="343" spans="26:26">
      <c r="Z343" s="69"/>
    </row>
    <row r="344" spans="26:26">
      <c r="Z344" s="69"/>
    </row>
    <row r="345" spans="26:26">
      <c r="Z345" s="69"/>
    </row>
    <row r="346" spans="26:26">
      <c r="Z346" s="69"/>
    </row>
    <row r="347" spans="26:26">
      <c r="Z347" s="69"/>
    </row>
    <row r="348" spans="26:26">
      <c r="Z348" s="69"/>
    </row>
    <row r="349" spans="26:26">
      <c r="Z349" s="69"/>
    </row>
    <row r="350" spans="26:26">
      <c r="Z350" s="69"/>
    </row>
    <row r="351" spans="26:26">
      <c r="Z351" s="69"/>
    </row>
    <row r="352" spans="26:26">
      <c r="Z352" s="69"/>
    </row>
    <row r="353" spans="26:26">
      <c r="Z353" s="69"/>
    </row>
    <row r="354" spans="26:26">
      <c r="Z354" s="69"/>
    </row>
    <row r="355" spans="26:26">
      <c r="Z355" s="69"/>
    </row>
    <row r="356" spans="26:26">
      <c r="Z356" s="69"/>
    </row>
    <row r="357" spans="26:26">
      <c r="Z357" s="69"/>
    </row>
    <row r="358" spans="26:26">
      <c r="Z358" s="69"/>
    </row>
    <row r="359" spans="26:26">
      <c r="Z359" s="69"/>
    </row>
    <row r="360" spans="26:26">
      <c r="Z360" s="69"/>
    </row>
    <row r="361" spans="26:26">
      <c r="Z361" s="69"/>
    </row>
    <row r="362" spans="26:26">
      <c r="Z362" s="69"/>
    </row>
    <row r="363" spans="26:26">
      <c r="Z363" s="69"/>
    </row>
    <row r="364" spans="26:26">
      <c r="Z364" s="69"/>
    </row>
    <row r="365" spans="26:26">
      <c r="Z365" s="69"/>
    </row>
    <row r="366" spans="26:26">
      <c r="Z366" s="69"/>
    </row>
    <row r="367" spans="26:26">
      <c r="Z367" s="69"/>
    </row>
    <row r="368" spans="26:26">
      <c r="Z368" s="69"/>
    </row>
    <row r="369" spans="26:26">
      <c r="Z369" s="69"/>
    </row>
    <row r="370" spans="26:26">
      <c r="Z370" s="69"/>
    </row>
    <row r="371" spans="26:26">
      <c r="Z371" s="69"/>
    </row>
    <row r="372" spans="26:26">
      <c r="Z372" s="69"/>
    </row>
    <row r="373" spans="26:26">
      <c r="Z373" s="69"/>
    </row>
    <row r="374" spans="26:26">
      <c r="Z374" s="69"/>
    </row>
    <row r="375" spans="26:26">
      <c r="Z375" s="69"/>
    </row>
    <row r="376" spans="26:26">
      <c r="Z376" s="69"/>
    </row>
    <row r="377" spans="26:26">
      <c r="Z377" s="69"/>
    </row>
    <row r="378" spans="26:26">
      <c r="Z378" s="69"/>
    </row>
    <row r="379" spans="26:26">
      <c r="Z379" s="69"/>
    </row>
    <row r="380" spans="26:26">
      <c r="Z380" s="69"/>
    </row>
    <row r="381" spans="26:26">
      <c r="Z381" s="69"/>
    </row>
    <row r="382" spans="26:26">
      <c r="Z382" s="69"/>
    </row>
    <row r="383" spans="26:26">
      <c r="Z383" s="69"/>
    </row>
    <row r="384" spans="26:26">
      <c r="Z384" s="69"/>
    </row>
    <row r="385" spans="26:26">
      <c r="Z385" s="69"/>
    </row>
    <row r="386" spans="26:26">
      <c r="Z386" s="69"/>
    </row>
    <row r="387" spans="26:26">
      <c r="Z387" s="69"/>
    </row>
    <row r="388" spans="26:26">
      <c r="Z388" s="69"/>
    </row>
    <row r="389" spans="26:26">
      <c r="Z389" s="69"/>
    </row>
    <row r="390" spans="26:26">
      <c r="Z390" s="69"/>
    </row>
    <row r="391" spans="26:26">
      <c r="Z391" s="69"/>
    </row>
    <row r="392" spans="26:26">
      <c r="Z392" s="69"/>
    </row>
    <row r="393" spans="26:26">
      <c r="Z393" s="69"/>
    </row>
    <row r="394" spans="26:26">
      <c r="Z394" s="69"/>
    </row>
    <row r="395" spans="26:26">
      <c r="Z395" s="69"/>
    </row>
    <row r="396" spans="26:26">
      <c r="Z396" s="69"/>
    </row>
    <row r="397" spans="26:26">
      <c r="Z397" s="69"/>
    </row>
    <row r="398" spans="26:26">
      <c r="Z398" s="69"/>
    </row>
    <row r="399" spans="26:26">
      <c r="Z399" s="69"/>
    </row>
    <row r="400" spans="26:26">
      <c r="Z400" s="69"/>
    </row>
    <row r="401" spans="26:26">
      <c r="Z401" s="69"/>
    </row>
    <row r="402" spans="26:26">
      <c r="Z402" s="69"/>
    </row>
    <row r="403" spans="26:26">
      <c r="Z403" s="69"/>
    </row>
    <row r="404" spans="26:26">
      <c r="Z404" s="69"/>
    </row>
    <row r="405" spans="26:26">
      <c r="Z405" s="69"/>
    </row>
    <row r="406" spans="26:26">
      <c r="Z406" s="69"/>
    </row>
    <row r="407" spans="26:26">
      <c r="Z407" s="69"/>
    </row>
    <row r="408" spans="26:26">
      <c r="Z408" s="69"/>
    </row>
    <row r="409" spans="26:26">
      <c r="Z409" s="69"/>
    </row>
    <row r="410" spans="26:26">
      <c r="Z410" s="69"/>
    </row>
    <row r="411" spans="26:26">
      <c r="Z411" s="69"/>
    </row>
    <row r="412" spans="26:26">
      <c r="Z412" s="69"/>
    </row>
    <row r="413" spans="26:26">
      <c r="Z413" s="69"/>
    </row>
    <row r="414" spans="26:26">
      <c r="Z414" s="69"/>
    </row>
    <row r="415" spans="26:26">
      <c r="Z415" s="69"/>
    </row>
    <row r="416" spans="26:26">
      <c r="Z416" s="69"/>
    </row>
    <row r="417" spans="26:26">
      <c r="Z417" s="69"/>
    </row>
    <row r="418" spans="26:26">
      <c r="Z418" s="69"/>
    </row>
    <row r="419" spans="26:26">
      <c r="Z419" s="69"/>
    </row>
    <row r="420" spans="26:26">
      <c r="Z420" s="69"/>
    </row>
    <row r="421" spans="26:26">
      <c r="Z421" s="69"/>
    </row>
    <row r="422" spans="26:26">
      <c r="Z422" s="69"/>
    </row>
    <row r="423" spans="26:26">
      <c r="Z423" s="69"/>
    </row>
    <row r="424" spans="26:26">
      <c r="Z424" s="69"/>
    </row>
    <row r="425" spans="26:26">
      <c r="Z425" s="69"/>
    </row>
    <row r="426" spans="26:26">
      <c r="Z426" s="69"/>
    </row>
    <row r="427" spans="26:26">
      <c r="Z427" s="69"/>
    </row>
    <row r="428" spans="26:26">
      <c r="Z428" s="69"/>
    </row>
    <row r="429" spans="26:26">
      <c r="Z429" s="69"/>
    </row>
    <row r="430" spans="26:26">
      <c r="Z430" s="69"/>
    </row>
    <row r="431" spans="26:26">
      <c r="Z431" s="69"/>
    </row>
    <row r="432" spans="26:26">
      <c r="Z432" s="69"/>
    </row>
    <row r="433" spans="26:26">
      <c r="Z433" s="69"/>
    </row>
    <row r="434" spans="26:26">
      <c r="Z434" s="69"/>
    </row>
    <row r="435" spans="26:26">
      <c r="Z435" s="69"/>
    </row>
    <row r="436" spans="26:26">
      <c r="Z436" s="69"/>
    </row>
    <row r="437" spans="26:26">
      <c r="Z437" s="69"/>
    </row>
    <row r="438" spans="26:26">
      <c r="Z438" s="69"/>
    </row>
    <row r="439" spans="26:26">
      <c r="Z439" s="69"/>
    </row>
    <row r="440" spans="26:26">
      <c r="Z440" s="69"/>
    </row>
    <row r="441" spans="26:26">
      <c r="Z441" s="69"/>
    </row>
    <row r="442" spans="26:26">
      <c r="Z442" s="69"/>
    </row>
    <row r="443" spans="26:26">
      <c r="Z443" s="69"/>
    </row>
    <row r="444" spans="26:26">
      <c r="Z444" s="69"/>
    </row>
    <row r="445" spans="26:26">
      <c r="Z445" s="69"/>
    </row>
    <row r="446" spans="26:26">
      <c r="Z446" s="69"/>
    </row>
    <row r="447" spans="26:26">
      <c r="Z447" s="69"/>
    </row>
    <row r="448" spans="26:26">
      <c r="Z448" s="69"/>
    </row>
    <row r="449" spans="26:26">
      <c r="Z449" s="69"/>
    </row>
    <row r="450" spans="26:26">
      <c r="Z450" s="69"/>
    </row>
    <row r="451" spans="26:26">
      <c r="Z451" s="69"/>
    </row>
    <row r="452" spans="26:26">
      <c r="Z452" s="69"/>
    </row>
    <row r="453" spans="26:26">
      <c r="Z453" s="69"/>
    </row>
    <row r="454" spans="26:26">
      <c r="Z454" s="69"/>
    </row>
    <row r="455" spans="26:26">
      <c r="Z455" s="69"/>
    </row>
    <row r="456" spans="26:26">
      <c r="Z456" s="69"/>
    </row>
    <row r="457" spans="26:26">
      <c r="Z457" s="69"/>
    </row>
    <row r="458" spans="26:26">
      <c r="Z458" s="69"/>
    </row>
    <row r="459" spans="26:26">
      <c r="Z459" s="69"/>
    </row>
    <row r="460" spans="26:26">
      <c r="Z460" s="69"/>
    </row>
    <row r="461" spans="26:26">
      <c r="Z461" s="69"/>
    </row>
    <row r="462" spans="26:26">
      <c r="Z462" s="69"/>
    </row>
    <row r="463" spans="26:26">
      <c r="Z463" s="69"/>
    </row>
    <row r="464" spans="26:26">
      <c r="Z464" s="69"/>
    </row>
    <row r="465" spans="26:26">
      <c r="Z465" s="69"/>
    </row>
    <row r="466" spans="26:26">
      <c r="Z466" s="69"/>
    </row>
    <row r="467" spans="26:26">
      <c r="Z467" s="69"/>
    </row>
    <row r="468" spans="26:26">
      <c r="Z468" s="69"/>
    </row>
    <row r="469" spans="26:26">
      <c r="Z469" s="69"/>
    </row>
    <row r="470" spans="26:26">
      <c r="Z470" s="69"/>
    </row>
    <row r="471" spans="26:26">
      <c r="Z471" s="69"/>
    </row>
    <row r="472" spans="26:26">
      <c r="Z472" s="69"/>
    </row>
    <row r="473" spans="26:26">
      <c r="Z473" s="69"/>
    </row>
    <row r="474" spans="26:26">
      <c r="Z474" s="69"/>
    </row>
    <row r="475" spans="26:26">
      <c r="Z475" s="69"/>
    </row>
  </sheetData>
  <mergeCells count="102">
    <mergeCell ref="H125:H136"/>
    <mergeCell ref="I125:I136"/>
    <mergeCell ref="J125:J136"/>
    <mergeCell ref="C125:C136"/>
    <mergeCell ref="D125:D136"/>
    <mergeCell ref="E125:E136"/>
    <mergeCell ref="F125:F136"/>
    <mergeCell ref="G125:G136"/>
    <mergeCell ref="C29:C40"/>
    <mergeCell ref="D29:D40"/>
    <mergeCell ref="E29:E40"/>
    <mergeCell ref="F29:F40"/>
    <mergeCell ref="F53:F64"/>
    <mergeCell ref="G53:G64"/>
    <mergeCell ref="I77:I88"/>
    <mergeCell ref="I65:I76"/>
    <mergeCell ref="G77:G88"/>
    <mergeCell ref="F65:F76"/>
    <mergeCell ref="H41:H52"/>
    <mergeCell ref="I41:I52"/>
    <mergeCell ref="H77:H88"/>
    <mergeCell ref="H53:H64"/>
    <mergeCell ref="I53:I64"/>
    <mergeCell ref="J41:J52"/>
    <mergeCell ref="J17:J28"/>
    <mergeCell ref="J29:J40"/>
    <mergeCell ref="G29:G40"/>
    <mergeCell ref="H29:H40"/>
    <mergeCell ref="I29:I40"/>
    <mergeCell ref="C2:J4"/>
    <mergeCell ref="C17:C28"/>
    <mergeCell ref="D17:D28"/>
    <mergeCell ref="E17:E28"/>
    <mergeCell ref="F17:F28"/>
    <mergeCell ref="G17:G28"/>
    <mergeCell ref="H17:H28"/>
    <mergeCell ref="I17:I28"/>
    <mergeCell ref="C5:C16"/>
    <mergeCell ref="D5:D16"/>
    <mergeCell ref="E5:E16"/>
    <mergeCell ref="H5:H16"/>
    <mergeCell ref="G5:G16"/>
    <mergeCell ref="F5:F16"/>
    <mergeCell ref="J5:J16"/>
    <mergeCell ref="I5:I16"/>
    <mergeCell ref="U142:W142"/>
    <mergeCell ref="L141:N141"/>
    <mergeCell ref="C137:J139"/>
    <mergeCell ref="L140:N140"/>
    <mergeCell ref="O140:Q140"/>
    <mergeCell ref="R140:T140"/>
    <mergeCell ref="U140:W140"/>
    <mergeCell ref="O141:Q141"/>
    <mergeCell ref="R141:T141"/>
    <mergeCell ref="U141:W141"/>
    <mergeCell ref="L142:N142"/>
    <mergeCell ref="O142:Q142"/>
    <mergeCell ref="R142:T142"/>
    <mergeCell ref="G65:G76"/>
    <mergeCell ref="H65:H76"/>
    <mergeCell ref="J77:J88"/>
    <mergeCell ref="C41:C52"/>
    <mergeCell ref="D41:D52"/>
    <mergeCell ref="E41:E52"/>
    <mergeCell ref="F41:F52"/>
    <mergeCell ref="C65:C76"/>
    <mergeCell ref="D65:D76"/>
    <mergeCell ref="C53:C64"/>
    <mergeCell ref="D53:D64"/>
    <mergeCell ref="E53:E64"/>
    <mergeCell ref="G41:G52"/>
    <mergeCell ref="J53:J64"/>
    <mergeCell ref="E65:E76"/>
    <mergeCell ref="C77:C88"/>
    <mergeCell ref="D77:D88"/>
    <mergeCell ref="E77:E88"/>
    <mergeCell ref="F77:F88"/>
    <mergeCell ref="J65:J76"/>
    <mergeCell ref="H89:H100"/>
    <mergeCell ref="I89:I100"/>
    <mergeCell ref="J89:J100"/>
    <mergeCell ref="C89:C100"/>
    <mergeCell ref="D89:D100"/>
    <mergeCell ref="E89:E100"/>
    <mergeCell ref="F89:F100"/>
    <mergeCell ref="G89:G100"/>
    <mergeCell ref="H101:H112"/>
    <mergeCell ref="I101:I112"/>
    <mergeCell ref="J101:J112"/>
    <mergeCell ref="C113:C124"/>
    <mergeCell ref="D113:D124"/>
    <mergeCell ref="E113:E124"/>
    <mergeCell ref="F113:F124"/>
    <mergeCell ref="G113:G124"/>
    <mergeCell ref="H113:H124"/>
    <mergeCell ref="I113:I124"/>
    <mergeCell ref="J113:J124"/>
    <mergeCell ref="C101:C112"/>
    <mergeCell ref="D101:D112"/>
    <mergeCell ref="E101:E112"/>
    <mergeCell ref="F101:F112"/>
    <mergeCell ref="G101:G112"/>
  </mergeCells>
  <phoneticPr fontId="12"/>
  <printOptions horizontalCentered="1"/>
  <pageMargins left="0.70866141732283472" right="0.70866141732283472" top="0.70866141732283472" bottom="0.70866141732283472" header="0.31496062992125984" footer="0.31496062992125984"/>
  <pageSetup paperSize="9" scale="52" fitToHeight="0" orientation="landscape" r:id="rId1"/>
  <rowBreaks count="2" manualBreakCount="2">
    <brk id="28" min="2" max="23" man="1"/>
    <brk id="100" min="2" max="23" man="1"/>
  </rowBreaks>
  <ignoredErrors>
    <ignoredError sqref="X1 X65:X88 X3:X4" formula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pageSetUpPr fitToPage="1"/>
  </sheetPr>
  <dimension ref="A1:Z256"/>
  <sheetViews>
    <sheetView showGridLines="0" zoomScale="80" zoomScaleNormal="80" zoomScaleSheetLayoutView="70" workbookViewId="0">
      <pane xSplit="11" ySplit="4" topLeftCell="L5" activePane="bottomRight" state="frozen"/>
      <selection activeCell="O113" sqref="O113"/>
      <selection pane="topRight" activeCell="O113" sqref="O113"/>
      <selection pane="bottomLeft" activeCell="O113" sqref="O113"/>
      <selection pane="bottomRight" activeCell="L6" sqref="L6:L207"/>
    </sheetView>
  </sheetViews>
  <sheetFormatPr defaultRowHeight="12"/>
  <cols>
    <col min="1" max="1" width="9.6328125" style="115" customWidth="1"/>
    <col min="2" max="2" width="11.90625" style="73" customWidth="1"/>
    <col min="3" max="3" width="6.36328125" style="9" customWidth="1"/>
    <col min="4" max="4" width="10.36328125" style="9" customWidth="1"/>
    <col min="5" max="5" width="5.08984375" style="9" customWidth="1"/>
    <col min="6" max="6" width="9.90625" style="171" customWidth="1"/>
    <col min="7" max="9" width="9.90625" style="9" customWidth="1"/>
    <col min="10" max="10" width="8.453125" style="9" customWidth="1"/>
    <col min="11" max="11" width="10.453125" style="9" customWidth="1"/>
    <col min="12" max="23" width="13.08984375" style="9" customWidth="1"/>
    <col min="24" max="24" width="16.453125" style="9" customWidth="1"/>
    <col min="25" max="25" width="9" style="2" customWidth="1"/>
    <col min="26" max="26" width="11" style="2" bestFit="1" customWidth="1"/>
    <col min="27" max="259" width="9" style="2"/>
    <col min="260" max="260" width="9.6328125" style="2" customWidth="1"/>
    <col min="261" max="262" width="5.08984375" style="2" customWidth="1"/>
    <col min="263" max="263" width="9.6328125" style="2" customWidth="1"/>
    <col min="264" max="265" width="11.6328125" style="2" customWidth="1"/>
    <col min="266" max="266" width="15.36328125" style="2" customWidth="1"/>
    <col min="267" max="267" width="10.90625" style="2" customWidth="1"/>
    <col min="268" max="278" width="13.36328125" style="2" customWidth="1"/>
    <col min="279" max="279" width="13.6328125" style="2" customWidth="1"/>
    <col min="280" max="280" width="16.453125" style="2" customWidth="1"/>
    <col min="281" max="515" width="9" style="2"/>
    <col min="516" max="516" width="9.6328125" style="2" customWidth="1"/>
    <col min="517" max="518" width="5.08984375" style="2" customWidth="1"/>
    <col min="519" max="519" width="9.6328125" style="2" customWidth="1"/>
    <col min="520" max="521" width="11.6328125" style="2" customWidth="1"/>
    <col min="522" max="522" width="15.36328125" style="2" customWidth="1"/>
    <col min="523" max="523" width="10.90625" style="2" customWidth="1"/>
    <col min="524" max="534" width="13.36328125" style="2" customWidth="1"/>
    <col min="535" max="535" width="13.6328125" style="2" customWidth="1"/>
    <col min="536" max="536" width="16.453125" style="2" customWidth="1"/>
    <col min="537" max="771" width="9" style="2"/>
    <col min="772" max="772" width="9.6328125" style="2" customWidth="1"/>
    <col min="773" max="774" width="5.08984375" style="2" customWidth="1"/>
    <col min="775" max="775" width="9.6328125" style="2" customWidth="1"/>
    <col min="776" max="777" width="11.6328125" style="2" customWidth="1"/>
    <col min="778" max="778" width="15.36328125" style="2" customWidth="1"/>
    <col min="779" max="779" width="10.90625" style="2" customWidth="1"/>
    <col min="780" max="790" width="13.36328125" style="2" customWidth="1"/>
    <col min="791" max="791" width="13.6328125" style="2" customWidth="1"/>
    <col min="792" max="792" width="16.453125" style="2" customWidth="1"/>
    <col min="793" max="1027" width="9" style="2"/>
    <col min="1028" max="1028" width="9.6328125" style="2" customWidth="1"/>
    <col min="1029" max="1030" width="5.08984375" style="2" customWidth="1"/>
    <col min="1031" max="1031" width="9.6328125" style="2" customWidth="1"/>
    <col min="1032" max="1033" width="11.6328125" style="2" customWidth="1"/>
    <col min="1034" max="1034" width="15.36328125" style="2" customWidth="1"/>
    <col min="1035" max="1035" width="10.90625" style="2" customWidth="1"/>
    <col min="1036" max="1046" width="13.36328125" style="2" customWidth="1"/>
    <col min="1047" max="1047" width="13.6328125" style="2" customWidth="1"/>
    <col min="1048" max="1048" width="16.453125" style="2" customWidth="1"/>
    <col min="1049" max="1283" width="9" style="2"/>
    <col min="1284" max="1284" width="9.6328125" style="2" customWidth="1"/>
    <col min="1285" max="1286" width="5.08984375" style="2" customWidth="1"/>
    <col min="1287" max="1287" width="9.6328125" style="2" customWidth="1"/>
    <col min="1288" max="1289" width="11.6328125" style="2" customWidth="1"/>
    <col min="1290" max="1290" width="15.36328125" style="2" customWidth="1"/>
    <col min="1291" max="1291" width="10.90625" style="2" customWidth="1"/>
    <col min="1292" max="1302" width="13.36328125" style="2" customWidth="1"/>
    <col min="1303" max="1303" width="13.6328125" style="2" customWidth="1"/>
    <col min="1304" max="1304" width="16.453125" style="2" customWidth="1"/>
    <col min="1305" max="1539" width="9" style="2"/>
    <col min="1540" max="1540" width="9.6328125" style="2" customWidth="1"/>
    <col min="1541" max="1542" width="5.08984375" style="2" customWidth="1"/>
    <col min="1543" max="1543" width="9.6328125" style="2" customWidth="1"/>
    <col min="1544" max="1545" width="11.6328125" style="2" customWidth="1"/>
    <col min="1546" max="1546" width="15.36328125" style="2" customWidth="1"/>
    <col min="1547" max="1547" width="10.90625" style="2" customWidth="1"/>
    <col min="1548" max="1558" width="13.36328125" style="2" customWidth="1"/>
    <col min="1559" max="1559" width="13.6328125" style="2" customWidth="1"/>
    <col min="1560" max="1560" width="16.453125" style="2" customWidth="1"/>
    <col min="1561" max="1795" width="9" style="2"/>
    <col min="1796" max="1796" width="9.6328125" style="2" customWidth="1"/>
    <col min="1797" max="1798" width="5.08984375" style="2" customWidth="1"/>
    <col min="1799" max="1799" width="9.6328125" style="2" customWidth="1"/>
    <col min="1800" max="1801" width="11.6328125" style="2" customWidth="1"/>
    <col min="1802" max="1802" width="15.36328125" style="2" customWidth="1"/>
    <col min="1803" max="1803" width="10.90625" style="2" customWidth="1"/>
    <col min="1804" max="1814" width="13.36328125" style="2" customWidth="1"/>
    <col min="1815" max="1815" width="13.6328125" style="2" customWidth="1"/>
    <col min="1816" max="1816" width="16.453125" style="2" customWidth="1"/>
    <col min="1817" max="2051" width="9" style="2"/>
    <col min="2052" max="2052" width="9.6328125" style="2" customWidth="1"/>
    <col min="2053" max="2054" width="5.08984375" style="2" customWidth="1"/>
    <col min="2055" max="2055" width="9.6328125" style="2" customWidth="1"/>
    <col min="2056" max="2057" width="11.6328125" style="2" customWidth="1"/>
    <col min="2058" max="2058" width="15.36328125" style="2" customWidth="1"/>
    <col min="2059" max="2059" width="10.90625" style="2" customWidth="1"/>
    <col min="2060" max="2070" width="13.36328125" style="2" customWidth="1"/>
    <col min="2071" max="2071" width="13.6328125" style="2" customWidth="1"/>
    <col min="2072" max="2072" width="16.453125" style="2" customWidth="1"/>
    <col min="2073" max="2307" width="9" style="2"/>
    <col min="2308" max="2308" width="9.6328125" style="2" customWidth="1"/>
    <col min="2309" max="2310" width="5.08984375" style="2" customWidth="1"/>
    <col min="2311" max="2311" width="9.6328125" style="2" customWidth="1"/>
    <col min="2312" max="2313" width="11.6328125" style="2" customWidth="1"/>
    <col min="2314" max="2314" width="15.36328125" style="2" customWidth="1"/>
    <col min="2315" max="2315" width="10.90625" style="2" customWidth="1"/>
    <col min="2316" max="2326" width="13.36328125" style="2" customWidth="1"/>
    <col min="2327" max="2327" width="13.6328125" style="2" customWidth="1"/>
    <col min="2328" max="2328" width="16.453125" style="2" customWidth="1"/>
    <col min="2329" max="2563" width="9" style="2"/>
    <col min="2564" max="2564" width="9.6328125" style="2" customWidth="1"/>
    <col min="2565" max="2566" width="5.08984375" style="2" customWidth="1"/>
    <col min="2567" max="2567" width="9.6328125" style="2" customWidth="1"/>
    <col min="2568" max="2569" width="11.6328125" style="2" customWidth="1"/>
    <col min="2570" max="2570" width="15.36328125" style="2" customWidth="1"/>
    <col min="2571" max="2571" width="10.90625" style="2" customWidth="1"/>
    <col min="2572" max="2582" width="13.36328125" style="2" customWidth="1"/>
    <col min="2583" max="2583" width="13.6328125" style="2" customWidth="1"/>
    <col min="2584" max="2584" width="16.453125" style="2" customWidth="1"/>
    <col min="2585" max="2819" width="9" style="2"/>
    <col min="2820" max="2820" width="9.6328125" style="2" customWidth="1"/>
    <col min="2821" max="2822" width="5.08984375" style="2" customWidth="1"/>
    <col min="2823" max="2823" width="9.6328125" style="2" customWidth="1"/>
    <col min="2824" max="2825" width="11.6328125" style="2" customWidth="1"/>
    <col min="2826" max="2826" width="15.36328125" style="2" customWidth="1"/>
    <col min="2827" max="2827" width="10.90625" style="2" customWidth="1"/>
    <col min="2828" max="2838" width="13.36328125" style="2" customWidth="1"/>
    <col min="2839" max="2839" width="13.6328125" style="2" customWidth="1"/>
    <col min="2840" max="2840" width="16.453125" style="2" customWidth="1"/>
    <col min="2841" max="3075" width="9" style="2"/>
    <col min="3076" max="3076" width="9.6328125" style="2" customWidth="1"/>
    <col min="3077" max="3078" width="5.08984375" style="2" customWidth="1"/>
    <col min="3079" max="3079" width="9.6328125" style="2" customWidth="1"/>
    <col min="3080" max="3081" width="11.6328125" style="2" customWidth="1"/>
    <col min="3082" max="3082" width="15.36328125" style="2" customWidth="1"/>
    <col min="3083" max="3083" width="10.90625" style="2" customWidth="1"/>
    <col min="3084" max="3094" width="13.36328125" style="2" customWidth="1"/>
    <col min="3095" max="3095" width="13.6328125" style="2" customWidth="1"/>
    <col min="3096" max="3096" width="16.453125" style="2" customWidth="1"/>
    <col min="3097" max="3331" width="9" style="2"/>
    <col min="3332" max="3332" width="9.6328125" style="2" customWidth="1"/>
    <col min="3333" max="3334" width="5.08984375" style="2" customWidth="1"/>
    <col min="3335" max="3335" width="9.6328125" style="2" customWidth="1"/>
    <col min="3336" max="3337" width="11.6328125" style="2" customWidth="1"/>
    <col min="3338" max="3338" width="15.36328125" style="2" customWidth="1"/>
    <col min="3339" max="3339" width="10.90625" style="2" customWidth="1"/>
    <col min="3340" max="3350" width="13.36328125" style="2" customWidth="1"/>
    <col min="3351" max="3351" width="13.6328125" style="2" customWidth="1"/>
    <col min="3352" max="3352" width="16.453125" style="2" customWidth="1"/>
    <col min="3353" max="3587" width="9" style="2"/>
    <col min="3588" max="3588" width="9.6328125" style="2" customWidth="1"/>
    <col min="3589" max="3590" width="5.08984375" style="2" customWidth="1"/>
    <col min="3591" max="3591" width="9.6328125" style="2" customWidth="1"/>
    <col min="3592" max="3593" width="11.6328125" style="2" customWidth="1"/>
    <col min="3594" max="3594" width="15.36328125" style="2" customWidth="1"/>
    <col min="3595" max="3595" width="10.90625" style="2" customWidth="1"/>
    <col min="3596" max="3606" width="13.36328125" style="2" customWidth="1"/>
    <col min="3607" max="3607" width="13.6328125" style="2" customWidth="1"/>
    <col min="3608" max="3608" width="16.453125" style="2" customWidth="1"/>
    <col min="3609" max="3843" width="9" style="2"/>
    <col min="3844" max="3844" width="9.6328125" style="2" customWidth="1"/>
    <col min="3845" max="3846" width="5.08984375" style="2" customWidth="1"/>
    <col min="3847" max="3847" width="9.6328125" style="2" customWidth="1"/>
    <col min="3848" max="3849" width="11.6328125" style="2" customWidth="1"/>
    <col min="3850" max="3850" width="15.36328125" style="2" customWidth="1"/>
    <col min="3851" max="3851" width="10.90625" style="2" customWidth="1"/>
    <col min="3852" max="3862" width="13.36328125" style="2" customWidth="1"/>
    <col min="3863" max="3863" width="13.6328125" style="2" customWidth="1"/>
    <col min="3864" max="3864" width="16.453125" style="2" customWidth="1"/>
    <col min="3865" max="4099" width="9" style="2"/>
    <col min="4100" max="4100" width="9.6328125" style="2" customWidth="1"/>
    <col min="4101" max="4102" width="5.08984375" style="2" customWidth="1"/>
    <col min="4103" max="4103" width="9.6328125" style="2" customWidth="1"/>
    <col min="4104" max="4105" width="11.6328125" style="2" customWidth="1"/>
    <col min="4106" max="4106" width="15.36328125" style="2" customWidth="1"/>
    <col min="4107" max="4107" width="10.90625" style="2" customWidth="1"/>
    <col min="4108" max="4118" width="13.36328125" style="2" customWidth="1"/>
    <col min="4119" max="4119" width="13.6328125" style="2" customWidth="1"/>
    <col min="4120" max="4120" width="16.453125" style="2" customWidth="1"/>
    <col min="4121" max="4355" width="9" style="2"/>
    <col min="4356" max="4356" width="9.6328125" style="2" customWidth="1"/>
    <col min="4357" max="4358" width="5.08984375" style="2" customWidth="1"/>
    <col min="4359" max="4359" width="9.6328125" style="2" customWidth="1"/>
    <col min="4360" max="4361" width="11.6328125" style="2" customWidth="1"/>
    <col min="4362" max="4362" width="15.36328125" style="2" customWidth="1"/>
    <col min="4363" max="4363" width="10.90625" style="2" customWidth="1"/>
    <col min="4364" max="4374" width="13.36328125" style="2" customWidth="1"/>
    <col min="4375" max="4375" width="13.6328125" style="2" customWidth="1"/>
    <col min="4376" max="4376" width="16.453125" style="2" customWidth="1"/>
    <col min="4377" max="4611" width="9" style="2"/>
    <col min="4612" max="4612" width="9.6328125" style="2" customWidth="1"/>
    <col min="4613" max="4614" width="5.08984375" style="2" customWidth="1"/>
    <col min="4615" max="4615" width="9.6328125" style="2" customWidth="1"/>
    <col min="4616" max="4617" width="11.6328125" style="2" customWidth="1"/>
    <col min="4618" max="4618" width="15.36328125" style="2" customWidth="1"/>
    <col min="4619" max="4619" width="10.90625" style="2" customWidth="1"/>
    <col min="4620" max="4630" width="13.36328125" style="2" customWidth="1"/>
    <col min="4631" max="4631" width="13.6328125" style="2" customWidth="1"/>
    <col min="4632" max="4632" width="16.453125" style="2" customWidth="1"/>
    <col min="4633" max="4867" width="9" style="2"/>
    <col min="4868" max="4868" width="9.6328125" style="2" customWidth="1"/>
    <col min="4869" max="4870" width="5.08984375" style="2" customWidth="1"/>
    <col min="4871" max="4871" width="9.6328125" style="2" customWidth="1"/>
    <col min="4872" max="4873" width="11.6328125" style="2" customWidth="1"/>
    <col min="4874" max="4874" width="15.36328125" style="2" customWidth="1"/>
    <col min="4875" max="4875" width="10.90625" style="2" customWidth="1"/>
    <col min="4876" max="4886" width="13.36328125" style="2" customWidth="1"/>
    <col min="4887" max="4887" width="13.6328125" style="2" customWidth="1"/>
    <col min="4888" max="4888" width="16.453125" style="2" customWidth="1"/>
    <col min="4889" max="5123" width="9" style="2"/>
    <col min="5124" max="5124" width="9.6328125" style="2" customWidth="1"/>
    <col min="5125" max="5126" width="5.08984375" style="2" customWidth="1"/>
    <col min="5127" max="5127" width="9.6328125" style="2" customWidth="1"/>
    <col min="5128" max="5129" width="11.6328125" style="2" customWidth="1"/>
    <col min="5130" max="5130" width="15.36328125" style="2" customWidth="1"/>
    <col min="5131" max="5131" width="10.90625" style="2" customWidth="1"/>
    <col min="5132" max="5142" width="13.36328125" style="2" customWidth="1"/>
    <col min="5143" max="5143" width="13.6328125" style="2" customWidth="1"/>
    <col min="5144" max="5144" width="16.453125" style="2" customWidth="1"/>
    <col min="5145" max="5379" width="9" style="2"/>
    <col min="5380" max="5380" width="9.6328125" style="2" customWidth="1"/>
    <col min="5381" max="5382" width="5.08984375" style="2" customWidth="1"/>
    <col min="5383" max="5383" width="9.6328125" style="2" customWidth="1"/>
    <col min="5384" max="5385" width="11.6328125" style="2" customWidth="1"/>
    <col min="5386" max="5386" width="15.36328125" style="2" customWidth="1"/>
    <col min="5387" max="5387" width="10.90625" style="2" customWidth="1"/>
    <col min="5388" max="5398" width="13.36328125" style="2" customWidth="1"/>
    <col min="5399" max="5399" width="13.6328125" style="2" customWidth="1"/>
    <col min="5400" max="5400" width="16.453125" style="2" customWidth="1"/>
    <col min="5401" max="5635" width="9" style="2"/>
    <col min="5636" max="5636" width="9.6328125" style="2" customWidth="1"/>
    <col min="5637" max="5638" width="5.08984375" style="2" customWidth="1"/>
    <col min="5639" max="5639" width="9.6328125" style="2" customWidth="1"/>
    <col min="5640" max="5641" width="11.6328125" style="2" customWidth="1"/>
    <col min="5642" max="5642" width="15.36328125" style="2" customWidth="1"/>
    <col min="5643" max="5643" width="10.90625" style="2" customWidth="1"/>
    <col min="5644" max="5654" width="13.36328125" style="2" customWidth="1"/>
    <col min="5655" max="5655" width="13.6328125" style="2" customWidth="1"/>
    <col min="5656" max="5656" width="16.453125" style="2" customWidth="1"/>
    <col min="5657" max="5891" width="9" style="2"/>
    <col min="5892" max="5892" width="9.6328125" style="2" customWidth="1"/>
    <col min="5893" max="5894" width="5.08984375" style="2" customWidth="1"/>
    <col min="5895" max="5895" width="9.6328125" style="2" customWidth="1"/>
    <col min="5896" max="5897" width="11.6328125" style="2" customWidth="1"/>
    <col min="5898" max="5898" width="15.36328125" style="2" customWidth="1"/>
    <col min="5899" max="5899" width="10.90625" style="2" customWidth="1"/>
    <col min="5900" max="5910" width="13.36328125" style="2" customWidth="1"/>
    <col min="5911" max="5911" width="13.6328125" style="2" customWidth="1"/>
    <col min="5912" max="5912" width="16.453125" style="2" customWidth="1"/>
    <col min="5913" max="6147" width="9" style="2"/>
    <col min="6148" max="6148" width="9.6328125" style="2" customWidth="1"/>
    <col min="6149" max="6150" width="5.08984375" style="2" customWidth="1"/>
    <col min="6151" max="6151" width="9.6328125" style="2" customWidth="1"/>
    <col min="6152" max="6153" width="11.6328125" style="2" customWidth="1"/>
    <col min="6154" max="6154" width="15.36328125" style="2" customWidth="1"/>
    <col min="6155" max="6155" width="10.90625" style="2" customWidth="1"/>
    <col min="6156" max="6166" width="13.36328125" style="2" customWidth="1"/>
    <col min="6167" max="6167" width="13.6328125" style="2" customWidth="1"/>
    <col min="6168" max="6168" width="16.453125" style="2" customWidth="1"/>
    <col min="6169" max="6403" width="9" style="2"/>
    <col min="6404" max="6404" width="9.6328125" style="2" customWidth="1"/>
    <col min="6405" max="6406" width="5.08984375" style="2" customWidth="1"/>
    <col min="6407" max="6407" width="9.6328125" style="2" customWidth="1"/>
    <col min="6408" max="6409" width="11.6328125" style="2" customWidth="1"/>
    <col min="6410" max="6410" width="15.36328125" style="2" customWidth="1"/>
    <col min="6411" max="6411" width="10.90625" style="2" customWidth="1"/>
    <col min="6412" max="6422" width="13.36328125" style="2" customWidth="1"/>
    <col min="6423" max="6423" width="13.6328125" style="2" customWidth="1"/>
    <col min="6424" max="6424" width="16.453125" style="2" customWidth="1"/>
    <col min="6425" max="6659" width="9" style="2"/>
    <col min="6660" max="6660" width="9.6328125" style="2" customWidth="1"/>
    <col min="6661" max="6662" width="5.08984375" style="2" customWidth="1"/>
    <col min="6663" max="6663" width="9.6328125" style="2" customWidth="1"/>
    <col min="6664" max="6665" width="11.6328125" style="2" customWidth="1"/>
    <col min="6666" max="6666" width="15.36328125" style="2" customWidth="1"/>
    <col min="6667" max="6667" width="10.90625" style="2" customWidth="1"/>
    <col min="6668" max="6678" width="13.36328125" style="2" customWidth="1"/>
    <col min="6679" max="6679" width="13.6328125" style="2" customWidth="1"/>
    <col min="6680" max="6680" width="16.453125" style="2" customWidth="1"/>
    <col min="6681" max="6915" width="9" style="2"/>
    <col min="6916" max="6916" width="9.6328125" style="2" customWidth="1"/>
    <col min="6917" max="6918" width="5.08984375" style="2" customWidth="1"/>
    <col min="6919" max="6919" width="9.6328125" style="2" customWidth="1"/>
    <col min="6920" max="6921" width="11.6328125" style="2" customWidth="1"/>
    <col min="6922" max="6922" width="15.36328125" style="2" customWidth="1"/>
    <col min="6923" max="6923" width="10.90625" style="2" customWidth="1"/>
    <col min="6924" max="6934" width="13.36328125" style="2" customWidth="1"/>
    <col min="6935" max="6935" width="13.6328125" style="2" customWidth="1"/>
    <col min="6936" max="6936" width="16.453125" style="2" customWidth="1"/>
    <col min="6937" max="7171" width="9" style="2"/>
    <col min="7172" max="7172" width="9.6328125" style="2" customWidth="1"/>
    <col min="7173" max="7174" width="5.08984375" style="2" customWidth="1"/>
    <col min="7175" max="7175" width="9.6328125" style="2" customWidth="1"/>
    <col min="7176" max="7177" width="11.6328125" style="2" customWidth="1"/>
    <col min="7178" max="7178" width="15.36328125" style="2" customWidth="1"/>
    <col min="7179" max="7179" width="10.90625" style="2" customWidth="1"/>
    <col min="7180" max="7190" width="13.36328125" style="2" customWidth="1"/>
    <col min="7191" max="7191" width="13.6328125" style="2" customWidth="1"/>
    <col min="7192" max="7192" width="16.453125" style="2" customWidth="1"/>
    <col min="7193" max="7427" width="9" style="2"/>
    <col min="7428" max="7428" width="9.6328125" style="2" customWidth="1"/>
    <col min="7429" max="7430" width="5.08984375" style="2" customWidth="1"/>
    <col min="7431" max="7431" width="9.6328125" style="2" customWidth="1"/>
    <col min="7432" max="7433" width="11.6328125" style="2" customWidth="1"/>
    <col min="7434" max="7434" width="15.36328125" style="2" customWidth="1"/>
    <col min="7435" max="7435" width="10.90625" style="2" customWidth="1"/>
    <col min="7436" max="7446" width="13.36328125" style="2" customWidth="1"/>
    <col min="7447" max="7447" width="13.6328125" style="2" customWidth="1"/>
    <col min="7448" max="7448" width="16.453125" style="2" customWidth="1"/>
    <col min="7449" max="7683" width="9" style="2"/>
    <col min="7684" max="7684" width="9.6328125" style="2" customWidth="1"/>
    <col min="7685" max="7686" width="5.08984375" style="2" customWidth="1"/>
    <col min="7687" max="7687" width="9.6328125" style="2" customWidth="1"/>
    <col min="7688" max="7689" width="11.6328125" style="2" customWidth="1"/>
    <col min="7690" max="7690" width="15.36328125" style="2" customWidth="1"/>
    <col min="7691" max="7691" width="10.90625" style="2" customWidth="1"/>
    <col min="7692" max="7702" width="13.36328125" style="2" customWidth="1"/>
    <col min="7703" max="7703" width="13.6328125" style="2" customWidth="1"/>
    <col min="7704" max="7704" width="16.453125" style="2" customWidth="1"/>
    <col min="7705" max="7939" width="9" style="2"/>
    <col min="7940" max="7940" width="9.6328125" style="2" customWidth="1"/>
    <col min="7941" max="7942" width="5.08984375" style="2" customWidth="1"/>
    <col min="7943" max="7943" width="9.6328125" style="2" customWidth="1"/>
    <col min="7944" max="7945" width="11.6328125" style="2" customWidth="1"/>
    <col min="7946" max="7946" width="15.36328125" style="2" customWidth="1"/>
    <col min="7947" max="7947" width="10.90625" style="2" customWidth="1"/>
    <col min="7948" max="7958" width="13.36328125" style="2" customWidth="1"/>
    <col min="7959" max="7959" width="13.6328125" style="2" customWidth="1"/>
    <col min="7960" max="7960" width="16.453125" style="2" customWidth="1"/>
    <col min="7961" max="8195" width="9" style="2"/>
    <col min="8196" max="8196" width="9.6328125" style="2" customWidth="1"/>
    <col min="8197" max="8198" width="5.08984375" style="2" customWidth="1"/>
    <col min="8199" max="8199" width="9.6328125" style="2" customWidth="1"/>
    <col min="8200" max="8201" width="11.6328125" style="2" customWidth="1"/>
    <col min="8202" max="8202" width="15.36328125" style="2" customWidth="1"/>
    <col min="8203" max="8203" width="10.90625" style="2" customWidth="1"/>
    <col min="8204" max="8214" width="13.36328125" style="2" customWidth="1"/>
    <col min="8215" max="8215" width="13.6328125" style="2" customWidth="1"/>
    <col min="8216" max="8216" width="16.453125" style="2" customWidth="1"/>
    <col min="8217" max="8451" width="9" style="2"/>
    <col min="8452" max="8452" width="9.6328125" style="2" customWidth="1"/>
    <col min="8453" max="8454" width="5.08984375" style="2" customWidth="1"/>
    <col min="8455" max="8455" width="9.6328125" style="2" customWidth="1"/>
    <col min="8456" max="8457" width="11.6328125" style="2" customWidth="1"/>
    <col min="8458" max="8458" width="15.36328125" style="2" customWidth="1"/>
    <col min="8459" max="8459" width="10.90625" style="2" customWidth="1"/>
    <col min="8460" max="8470" width="13.36328125" style="2" customWidth="1"/>
    <col min="8471" max="8471" width="13.6328125" style="2" customWidth="1"/>
    <col min="8472" max="8472" width="16.453125" style="2" customWidth="1"/>
    <col min="8473" max="8707" width="9" style="2"/>
    <col min="8708" max="8708" width="9.6328125" style="2" customWidth="1"/>
    <col min="8709" max="8710" width="5.08984375" style="2" customWidth="1"/>
    <col min="8711" max="8711" width="9.6328125" style="2" customWidth="1"/>
    <col min="8712" max="8713" width="11.6328125" style="2" customWidth="1"/>
    <col min="8714" max="8714" width="15.36328125" style="2" customWidth="1"/>
    <col min="8715" max="8715" width="10.90625" style="2" customWidth="1"/>
    <col min="8716" max="8726" width="13.36328125" style="2" customWidth="1"/>
    <col min="8727" max="8727" width="13.6328125" style="2" customWidth="1"/>
    <col min="8728" max="8728" width="16.453125" style="2" customWidth="1"/>
    <col min="8729" max="8963" width="9" style="2"/>
    <col min="8964" max="8964" width="9.6328125" style="2" customWidth="1"/>
    <col min="8965" max="8966" width="5.08984375" style="2" customWidth="1"/>
    <col min="8967" max="8967" width="9.6328125" style="2" customWidth="1"/>
    <col min="8968" max="8969" width="11.6328125" style="2" customWidth="1"/>
    <col min="8970" max="8970" width="15.36328125" style="2" customWidth="1"/>
    <col min="8971" max="8971" width="10.90625" style="2" customWidth="1"/>
    <col min="8972" max="8982" width="13.36328125" style="2" customWidth="1"/>
    <col min="8983" max="8983" width="13.6328125" style="2" customWidth="1"/>
    <col min="8984" max="8984" width="16.453125" style="2" customWidth="1"/>
    <col min="8985" max="9219" width="9" style="2"/>
    <col min="9220" max="9220" width="9.6328125" style="2" customWidth="1"/>
    <col min="9221" max="9222" width="5.08984375" style="2" customWidth="1"/>
    <col min="9223" max="9223" width="9.6328125" style="2" customWidth="1"/>
    <col min="9224" max="9225" width="11.6328125" style="2" customWidth="1"/>
    <col min="9226" max="9226" width="15.36328125" style="2" customWidth="1"/>
    <col min="9227" max="9227" width="10.90625" style="2" customWidth="1"/>
    <col min="9228" max="9238" width="13.36328125" style="2" customWidth="1"/>
    <col min="9239" max="9239" width="13.6328125" style="2" customWidth="1"/>
    <col min="9240" max="9240" width="16.453125" style="2" customWidth="1"/>
    <col min="9241" max="9475" width="9" style="2"/>
    <col min="9476" max="9476" width="9.6328125" style="2" customWidth="1"/>
    <col min="9477" max="9478" width="5.08984375" style="2" customWidth="1"/>
    <col min="9479" max="9479" width="9.6328125" style="2" customWidth="1"/>
    <col min="9480" max="9481" width="11.6328125" style="2" customWidth="1"/>
    <col min="9482" max="9482" width="15.36328125" style="2" customWidth="1"/>
    <col min="9483" max="9483" width="10.90625" style="2" customWidth="1"/>
    <col min="9484" max="9494" width="13.36328125" style="2" customWidth="1"/>
    <col min="9495" max="9495" width="13.6328125" style="2" customWidth="1"/>
    <col min="9496" max="9496" width="16.453125" style="2" customWidth="1"/>
    <col min="9497" max="9731" width="9" style="2"/>
    <col min="9732" max="9732" width="9.6328125" style="2" customWidth="1"/>
    <col min="9733" max="9734" width="5.08984375" style="2" customWidth="1"/>
    <col min="9735" max="9735" width="9.6328125" style="2" customWidth="1"/>
    <col min="9736" max="9737" width="11.6328125" style="2" customWidth="1"/>
    <col min="9738" max="9738" width="15.36328125" style="2" customWidth="1"/>
    <col min="9739" max="9739" width="10.90625" style="2" customWidth="1"/>
    <col min="9740" max="9750" width="13.36328125" style="2" customWidth="1"/>
    <col min="9751" max="9751" width="13.6328125" style="2" customWidth="1"/>
    <col min="9752" max="9752" width="16.453125" style="2" customWidth="1"/>
    <col min="9753" max="9987" width="9" style="2"/>
    <col min="9988" max="9988" width="9.6328125" style="2" customWidth="1"/>
    <col min="9989" max="9990" width="5.08984375" style="2" customWidth="1"/>
    <col min="9991" max="9991" width="9.6328125" style="2" customWidth="1"/>
    <col min="9992" max="9993" width="11.6328125" style="2" customWidth="1"/>
    <col min="9994" max="9994" width="15.36328125" style="2" customWidth="1"/>
    <col min="9995" max="9995" width="10.90625" style="2" customWidth="1"/>
    <col min="9996" max="10006" width="13.36328125" style="2" customWidth="1"/>
    <col min="10007" max="10007" width="13.6328125" style="2" customWidth="1"/>
    <col min="10008" max="10008" width="16.453125" style="2" customWidth="1"/>
    <col min="10009" max="10243" width="9" style="2"/>
    <col min="10244" max="10244" width="9.6328125" style="2" customWidth="1"/>
    <col min="10245" max="10246" width="5.08984375" style="2" customWidth="1"/>
    <col min="10247" max="10247" width="9.6328125" style="2" customWidth="1"/>
    <col min="10248" max="10249" width="11.6328125" style="2" customWidth="1"/>
    <col min="10250" max="10250" width="15.36328125" style="2" customWidth="1"/>
    <col min="10251" max="10251" width="10.90625" style="2" customWidth="1"/>
    <col min="10252" max="10262" width="13.36328125" style="2" customWidth="1"/>
    <col min="10263" max="10263" width="13.6328125" style="2" customWidth="1"/>
    <col min="10264" max="10264" width="16.453125" style="2" customWidth="1"/>
    <col min="10265" max="10499" width="9" style="2"/>
    <col min="10500" max="10500" width="9.6328125" style="2" customWidth="1"/>
    <col min="10501" max="10502" width="5.08984375" style="2" customWidth="1"/>
    <col min="10503" max="10503" width="9.6328125" style="2" customWidth="1"/>
    <col min="10504" max="10505" width="11.6328125" style="2" customWidth="1"/>
    <col min="10506" max="10506" width="15.36328125" style="2" customWidth="1"/>
    <col min="10507" max="10507" width="10.90625" style="2" customWidth="1"/>
    <col min="10508" max="10518" width="13.36328125" style="2" customWidth="1"/>
    <col min="10519" max="10519" width="13.6328125" style="2" customWidth="1"/>
    <col min="10520" max="10520" width="16.453125" style="2" customWidth="1"/>
    <col min="10521" max="10755" width="9" style="2"/>
    <col min="10756" max="10756" width="9.6328125" style="2" customWidth="1"/>
    <col min="10757" max="10758" width="5.08984375" style="2" customWidth="1"/>
    <col min="10759" max="10759" width="9.6328125" style="2" customWidth="1"/>
    <col min="10760" max="10761" width="11.6328125" style="2" customWidth="1"/>
    <col min="10762" max="10762" width="15.36328125" style="2" customWidth="1"/>
    <col min="10763" max="10763" width="10.90625" style="2" customWidth="1"/>
    <col min="10764" max="10774" width="13.36328125" style="2" customWidth="1"/>
    <col min="10775" max="10775" width="13.6328125" style="2" customWidth="1"/>
    <col min="10776" max="10776" width="16.453125" style="2" customWidth="1"/>
    <col min="10777" max="11011" width="9" style="2"/>
    <col min="11012" max="11012" width="9.6328125" style="2" customWidth="1"/>
    <col min="11013" max="11014" width="5.08984375" style="2" customWidth="1"/>
    <col min="11015" max="11015" width="9.6328125" style="2" customWidth="1"/>
    <col min="11016" max="11017" width="11.6328125" style="2" customWidth="1"/>
    <col min="11018" max="11018" width="15.36328125" style="2" customWidth="1"/>
    <col min="11019" max="11019" width="10.90625" style="2" customWidth="1"/>
    <col min="11020" max="11030" width="13.36328125" style="2" customWidth="1"/>
    <col min="11031" max="11031" width="13.6328125" style="2" customWidth="1"/>
    <col min="11032" max="11032" width="16.453125" style="2" customWidth="1"/>
    <col min="11033" max="11267" width="9" style="2"/>
    <col min="11268" max="11268" width="9.6328125" style="2" customWidth="1"/>
    <col min="11269" max="11270" width="5.08984375" style="2" customWidth="1"/>
    <col min="11271" max="11271" width="9.6328125" style="2" customWidth="1"/>
    <col min="11272" max="11273" width="11.6328125" style="2" customWidth="1"/>
    <col min="11274" max="11274" width="15.36328125" style="2" customWidth="1"/>
    <col min="11275" max="11275" width="10.90625" style="2" customWidth="1"/>
    <col min="11276" max="11286" width="13.36328125" style="2" customWidth="1"/>
    <col min="11287" max="11287" width="13.6328125" style="2" customWidth="1"/>
    <col min="11288" max="11288" width="16.453125" style="2" customWidth="1"/>
    <col min="11289" max="11523" width="9" style="2"/>
    <col min="11524" max="11524" width="9.6328125" style="2" customWidth="1"/>
    <col min="11525" max="11526" width="5.08984375" style="2" customWidth="1"/>
    <col min="11527" max="11527" width="9.6328125" style="2" customWidth="1"/>
    <col min="11528" max="11529" width="11.6328125" style="2" customWidth="1"/>
    <col min="11530" max="11530" width="15.36328125" style="2" customWidth="1"/>
    <col min="11531" max="11531" width="10.90625" style="2" customWidth="1"/>
    <col min="11532" max="11542" width="13.36328125" style="2" customWidth="1"/>
    <col min="11543" max="11543" width="13.6328125" style="2" customWidth="1"/>
    <col min="11544" max="11544" width="16.453125" style="2" customWidth="1"/>
    <col min="11545" max="11779" width="9" style="2"/>
    <col min="11780" max="11780" width="9.6328125" style="2" customWidth="1"/>
    <col min="11781" max="11782" width="5.08984375" style="2" customWidth="1"/>
    <col min="11783" max="11783" width="9.6328125" style="2" customWidth="1"/>
    <col min="11784" max="11785" width="11.6328125" style="2" customWidth="1"/>
    <col min="11786" max="11786" width="15.36328125" style="2" customWidth="1"/>
    <col min="11787" max="11787" width="10.90625" style="2" customWidth="1"/>
    <col min="11788" max="11798" width="13.36328125" style="2" customWidth="1"/>
    <col min="11799" max="11799" width="13.6328125" style="2" customWidth="1"/>
    <col min="11800" max="11800" width="16.453125" style="2" customWidth="1"/>
    <col min="11801" max="12035" width="9" style="2"/>
    <col min="12036" max="12036" width="9.6328125" style="2" customWidth="1"/>
    <col min="12037" max="12038" width="5.08984375" style="2" customWidth="1"/>
    <col min="12039" max="12039" width="9.6328125" style="2" customWidth="1"/>
    <col min="12040" max="12041" width="11.6328125" style="2" customWidth="1"/>
    <col min="12042" max="12042" width="15.36328125" style="2" customWidth="1"/>
    <col min="12043" max="12043" width="10.90625" style="2" customWidth="1"/>
    <col min="12044" max="12054" width="13.36328125" style="2" customWidth="1"/>
    <col min="12055" max="12055" width="13.6328125" style="2" customWidth="1"/>
    <col min="12056" max="12056" width="16.453125" style="2" customWidth="1"/>
    <col min="12057" max="12291" width="9" style="2"/>
    <col min="12292" max="12292" width="9.6328125" style="2" customWidth="1"/>
    <col min="12293" max="12294" width="5.08984375" style="2" customWidth="1"/>
    <col min="12295" max="12295" width="9.6328125" style="2" customWidth="1"/>
    <col min="12296" max="12297" width="11.6328125" style="2" customWidth="1"/>
    <col min="12298" max="12298" width="15.36328125" style="2" customWidth="1"/>
    <col min="12299" max="12299" width="10.90625" style="2" customWidth="1"/>
    <col min="12300" max="12310" width="13.36328125" style="2" customWidth="1"/>
    <col min="12311" max="12311" width="13.6328125" style="2" customWidth="1"/>
    <col min="12312" max="12312" width="16.453125" style="2" customWidth="1"/>
    <col min="12313" max="12547" width="9" style="2"/>
    <col min="12548" max="12548" width="9.6328125" style="2" customWidth="1"/>
    <col min="12549" max="12550" width="5.08984375" style="2" customWidth="1"/>
    <col min="12551" max="12551" width="9.6328125" style="2" customWidth="1"/>
    <col min="12552" max="12553" width="11.6328125" style="2" customWidth="1"/>
    <col min="12554" max="12554" width="15.36328125" style="2" customWidth="1"/>
    <col min="12555" max="12555" width="10.90625" style="2" customWidth="1"/>
    <col min="12556" max="12566" width="13.36328125" style="2" customWidth="1"/>
    <col min="12567" max="12567" width="13.6328125" style="2" customWidth="1"/>
    <col min="12568" max="12568" width="16.453125" style="2" customWidth="1"/>
    <col min="12569" max="12803" width="9" style="2"/>
    <col min="12804" max="12804" width="9.6328125" style="2" customWidth="1"/>
    <col min="12805" max="12806" width="5.08984375" style="2" customWidth="1"/>
    <col min="12807" max="12807" width="9.6328125" style="2" customWidth="1"/>
    <col min="12808" max="12809" width="11.6328125" style="2" customWidth="1"/>
    <col min="12810" max="12810" width="15.36328125" style="2" customWidth="1"/>
    <col min="12811" max="12811" width="10.90625" style="2" customWidth="1"/>
    <col min="12812" max="12822" width="13.36328125" style="2" customWidth="1"/>
    <col min="12823" max="12823" width="13.6328125" style="2" customWidth="1"/>
    <col min="12824" max="12824" width="16.453125" style="2" customWidth="1"/>
    <col min="12825" max="13059" width="9" style="2"/>
    <col min="13060" max="13060" width="9.6328125" style="2" customWidth="1"/>
    <col min="13061" max="13062" width="5.08984375" style="2" customWidth="1"/>
    <col min="13063" max="13063" width="9.6328125" style="2" customWidth="1"/>
    <col min="13064" max="13065" width="11.6328125" style="2" customWidth="1"/>
    <col min="13066" max="13066" width="15.36328125" style="2" customWidth="1"/>
    <col min="13067" max="13067" width="10.90625" style="2" customWidth="1"/>
    <col min="13068" max="13078" width="13.36328125" style="2" customWidth="1"/>
    <col min="13079" max="13079" width="13.6328125" style="2" customWidth="1"/>
    <col min="13080" max="13080" width="16.453125" style="2" customWidth="1"/>
    <col min="13081" max="13315" width="9" style="2"/>
    <col min="13316" max="13316" width="9.6328125" style="2" customWidth="1"/>
    <col min="13317" max="13318" width="5.08984375" style="2" customWidth="1"/>
    <col min="13319" max="13319" width="9.6328125" style="2" customWidth="1"/>
    <col min="13320" max="13321" width="11.6328125" style="2" customWidth="1"/>
    <col min="13322" max="13322" width="15.36328125" style="2" customWidth="1"/>
    <col min="13323" max="13323" width="10.90625" style="2" customWidth="1"/>
    <col min="13324" max="13334" width="13.36328125" style="2" customWidth="1"/>
    <col min="13335" max="13335" width="13.6328125" style="2" customWidth="1"/>
    <col min="13336" max="13336" width="16.453125" style="2" customWidth="1"/>
    <col min="13337" max="13571" width="9" style="2"/>
    <col min="13572" max="13572" width="9.6328125" style="2" customWidth="1"/>
    <col min="13573" max="13574" width="5.08984375" style="2" customWidth="1"/>
    <col min="13575" max="13575" width="9.6328125" style="2" customWidth="1"/>
    <col min="13576" max="13577" width="11.6328125" style="2" customWidth="1"/>
    <col min="13578" max="13578" width="15.36328125" style="2" customWidth="1"/>
    <col min="13579" max="13579" width="10.90625" style="2" customWidth="1"/>
    <col min="13580" max="13590" width="13.36328125" style="2" customWidth="1"/>
    <col min="13591" max="13591" width="13.6328125" style="2" customWidth="1"/>
    <col min="13592" max="13592" width="16.453125" style="2" customWidth="1"/>
    <col min="13593" max="13827" width="9" style="2"/>
    <col min="13828" max="13828" width="9.6328125" style="2" customWidth="1"/>
    <col min="13829" max="13830" width="5.08984375" style="2" customWidth="1"/>
    <col min="13831" max="13831" width="9.6328125" style="2" customWidth="1"/>
    <col min="13832" max="13833" width="11.6328125" style="2" customWidth="1"/>
    <col min="13834" max="13834" width="15.36328125" style="2" customWidth="1"/>
    <col min="13835" max="13835" width="10.90625" style="2" customWidth="1"/>
    <col min="13836" max="13846" width="13.36328125" style="2" customWidth="1"/>
    <col min="13847" max="13847" width="13.6328125" style="2" customWidth="1"/>
    <col min="13848" max="13848" width="16.453125" style="2" customWidth="1"/>
    <col min="13849" max="14083" width="9" style="2"/>
    <col min="14084" max="14084" width="9.6328125" style="2" customWidth="1"/>
    <col min="14085" max="14086" width="5.08984375" style="2" customWidth="1"/>
    <col min="14087" max="14087" width="9.6328125" style="2" customWidth="1"/>
    <col min="14088" max="14089" width="11.6328125" style="2" customWidth="1"/>
    <col min="14090" max="14090" width="15.36328125" style="2" customWidth="1"/>
    <col min="14091" max="14091" width="10.90625" style="2" customWidth="1"/>
    <col min="14092" max="14102" width="13.36328125" style="2" customWidth="1"/>
    <col min="14103" max="14103" width="13.6328125" style="2" customWidth="1"/>
    <col min="14104" max="14104" width="16.453125" style="2" customWidth="1"/>
    <col min="14105" max="14339" width="9" style="2"/>
    <col min="14340" max="14340" width="9.6328125" style="2" customWidth="1"/>
    <col min="14341" max="14342" width="5.08984375" style="2" customWidth="1"/>
    <col min="14343" max="14343" width="9.6328125" style="2" customWidth="1"/>
    <col min="14344" max="14345" width="11.6328125" style="2" customWidth="1"/>
    <col min="14346" max="14346" width="15.36328125" style="2" customWidth="1"/>
    <col min="14347" max="14347" width="10.90625" style="2" customWidth="1"/>
    <col min="14348" max="14358" width="13.36328125" style="2" customWidth="1"/>
    <col min="14359" max="14359" width="13.6328125" style="2" customWidth="1"/>
    <col min="14360" max="14360" width="16.453125" style="2" customWidth="1"/>
    <col min="14361" max="14595" width="9" style="2"/>
    <col min="14596" max="14596" width="9.6328125" style="2" customWidth="1"/>
    <col min="14597" max="14598" width="5.08984375" style="2" customWidth="1"/>
    <col min="14599" max="14599" width="9.6328125" style="2" customWidth="1"/>
    <col min="14600" max="14601" width="11.6328125" style="2" customWidth="1"/>
    <col min="14602" max="14602" width="15.36328125" style="2" customWidth="1"/>
    <col min="14603" max="14603" width="10.90625" style="2" customWidth="1"/>
    <col min="14604" max="14614" width="13.36328125" style="2" customWidth="1"/>
    <col min="14615" max="14615" width="13.6328125" style="2" customWidth="1"/>
    <col min="14616" max="14616" width="16.453125" style="2" customWidth="1"/>
    <col min="14617" max="14851" width="9" style="2"/>
    <col min="14852" max="14852" width="9.6328125" style="2" customWidth="1"/>
    <col min="14853" max="14854" width="5.08984375" style="2" customWidth="1"/>
    <col min="14855" max="14855" width="9.6328125" style="2" customWidth="1"/>
    <col min="14856" max="14857" width="11.6328125" style="2" customWidth="1"/>
    <col min="14858" max="14858" width="15.36328125" style="2" customWidth="1"/>
    <col min="14859" max="14859" width="10.90625" style="2" customWidth="1"/>
    <col min="14860" max="14870" width="13.36328125" style="2" customWidth="1"/>
    <col min="14871" max="14871" width="13.6328125" style="2" customWidth="1"/>
    <col min="14872" max="14872" width="16.453125" style="2" customWidth="1"/>
    <col min="14873" max="15107" width="9" style="2"/>
    <col min="15108" max="15108" width="9.6328125" style="2" customWidth="1"/>
    <col min="15109" max="15110" width="5.08984375" style="2" customWidth="1"/>
    <col min="15111" max="15111" width="9.6328125" style="2" customWidth="1"/>
    <col min="15112" max="15113" width="11.6328125" style="2" customWidth="1"/>
    <col min="15114" max="15114" width="15.36328125" style="2" customWidth="1"/>
    <col min="15115" max="15115" width="10.90625" style="2" customWidth="1"/>
    <col min="15116" max="15126" width="13.36328125" style="2" customWidth="1"/>
    <col min="15127" max="15127" width="13.6328125" style="2" customWidth="1"/>
    <col min="15128" max="15128" width="16.453125" style="2" customWidth="1"/>
    <col min="15129" max="15363" width="9" style="2"/>
    <col min="15364" max="15364" width="9.6328125" style="2" customWidth="1"/>
    <col min="15365" max="15366" width="5.08984375" style="2" customWidth="1"/>
    <col min="15367" max="15367" width="9.6328125" style="2" customWidth="1"/>
    <col min="15368" max="15369" width="11.6328125" style="2" customWidth="1"/>
    <col min="15370" max="15370" width="15.36328125" style="2" customWidth="1"/>
    <col min="15371" max="15371" width="10.90625" style="2" customWidth="1"/>
    <col min="15372" max="15382" width="13.36328125" style="2" customWidth="1"/>
    <col min="15383" max="15383" width="13.6328125" style="2" customWidth="1"/>
    <col min="15384" max="15384" width="16.453125" style="2" customWidth="1"/>
    <col min="15385" max="15619" width="9" style="2"/>
    <col min="15620" max="15620" width="9.6328125" style="2" customWidth="1"/>
    <col min="15621" max="15622" width="5.08984375" style="2" customWidth="1"/>
    <col min="15623" max="15623" width="9.6328125" style="2" customWidth="1"/>
    <col min="15624" max="15625" width="11.6328125" style="2" customWidth="1"/>
    <col min="15626" max="15626" width="15.36328125" style="2" customWidth="1"/>
    <col min="15627" max="15627" width="10.90625" style="2" customWidth="1"/>
    <col min="15628" max="15638" width="13.36328125" style="2" customWidth="1"/>
    <col min="15639" max="15639" width="13.6328125" style="2" customWidth="1"/>
    <col min="15640" max="15640" width="16.453125" style="2" customWidth="1"/>
    <col min="15641" max="15875" width="9" style="2"/>
    <col min="15876" max="15876" width="9.6328125" style="2" customWidth="1"/>
    <col min="15877" max="15878" width="5.08984375" style="2" customWidth="1"/>
    <col min="15879" max="15879" width="9.6328125" style="2" customWidth="1"/>
    <col min="15880" max="15881" width="11.6328125" style="2" customWidth="1"/>
    <col min="15882" max="15882" width="15.36328125" style="2" customWidth="1"/>
    <col min="15883" max="15883" width="10.90625" style="2" customWidth="1"/>
    <col min="15884" max="15894" width="13.36328125" style="2" customWidth="1"/>
    <col min="15895" max="15895" width="13.6328125" style="2" customWidth="1"/>
    <col min="15896" max="15896" width="16.453125" style="2" customWidth="1"/>
    <col min="15897" max="16131" width="9" style="2"/>
    <col min="16132" max="16132" width="9.6328125" style="2" customWidth="1"/>
    <col min="16133" max="16134" width="5.08984375" style="2" customWidth="1"/>
    <col min="16135" max="16135" width="9.6328125" style="2" customWidth="1"/>
    <col min="16136" max="16137" width="11.6328125" style="2" customWidth="1"/>
    <col min="16138" max="16138" width="15.36328125" style="2" customWidth="1"/>
    <col min="16139" max="16139" width="10.90625" style="2" customWidth="1"/>
    <col min="16140" max="16150" width="13.36328125" style="2" customWidth="1"/>
    <col min="16151" max="16151" width="13.6328125" style="2" customWidth="1"/>
    <col min="16152" max="16152" width="16.453125" style="2" customWidth="1"/>
    <col min="16153" max="16383" width="9" style="2"/>
    <col min="16384" max="16384" width="9" style="2" customWidth="1"/>
  </cols>
  <sheetData>
    <row r="1" spans="1:26" s="127" customFormat="1" ht="36">
      <c r="A1" s="230" t="s">
        <v>83</v>
      </c>
      <c r="B1" s="230" t="s">
        <v>84</v>
      </c>
      <c r="C1" s="133" t="s">
        <v>56</v>
      </c>
      <c r="D1" s="134" t="s">
        <v>0</v>
      </c>
      <c r="E1" s="134" t="s">
        <v>1</v>
      </c>
      <c r="F1" s="135" t="s">
        <v>2</v>
      </c>
      <c r="G1" s="135" t="s">
        <v>58</v>
      </c>
      <c r="H1" s="135" t="s">
        <v>3</v>
      </c>
      <c r="I1" s="136" t="s">
        <v>4</v>
      </c>
      <c r="J1" s="137" t="s">
        <v>5</v>
      </c>
      <c r="K1" s="3" t="s">
        <v>6</v>
      </c>
      <c r="L1" s="237" t="s">
        <v>7</v>
      </c>
      <c r="M1" s="238" t="s">
        <v>8</v>
      </c>
      <c r="N1" s="238" t="s">
        <v>9</v>
      </c>
      <c r="O1" s="238" t="s">
        <v>10</v>
      </c>
      <c r="P1" s="238" t="s">
        <v>11</v>
      </c>
      <c r="Q1" s="238" t="s">
        <v>12</v>
      </c>
      <c r="R1" s="238" t="s">
        <v>13</v>
      </c>
      <c r="S1" s="238" t="s">
        <v>14</v>
      </c>
      <c r="T1" s="238" t="s">
        <v>15</v>
      </c>
      <c r="U1" s="238" t="s">
        <v>16</v>
      </c>
      <c r="V1" s="238" t="s">
        <v>17</v>
      </c>
      <c r="W1" s="141" t="s">
        <v>18</v>
      </c>
      <c r="X1" s="142" t="s">
        <v>19</v>
      </c>
    </row>
    <row r="2" spans="1:26" s="1" customFormat="1">
      <c r="A2" s="112"/>
      <c r="B2" s="72"/>
      <c r="C2" s="548" t="s">
        <v>161</v>
      </c>
      <c r="D2" s="549"/>
      <c r="E2" s="549"/>
      <c r="F2" s="549"/>
      <c r="G2" s="549"/>
      <c r="H2" s="549"/>
      <c r="I2" s="549"/>
      <c r="J2" s="550"/>
      <c r="K2" s="206" t="s">
        <v>20</v>
      </c>
      <c r="L2" s="303">
        <f t="shared" ref="L2:W2" si="0">L209</f>
        <v>9019005</v>
      </c>
      <c r="M2" s="428">
        <f t="shared" si="0"/>
        <v>8517400</v>
      </c>
      <c r="N2" s="428">
        <f t="shared" si="0"/>
        <v>8553300</v>
      </c>
      <c r="O2" s="428">
        <f t="shared" si="0"/>
        <v>8728550</v>
      </c>
      <c r="P2" s="428">
        <f t="shared" si="0"/>
        <v>8362195</v>
      </c>
      <c r="Q2" s="428">
        <f t="shared" si="0"/>
        <v>8137740</v>
      </c>
      <c r="R2" s="428">
        <f t="shared" si="0"/>
        <v>9029510</v>
      </c>
      <c r="S2" s="428">
        <f t="shared" si="0"/>
        <v>8574705</v>
      </c>
      <c r="T2" s="428">
        <f t="shared" si="0"/>
        <v>9031110</v>
      </c>
      <c r="U2" s="428">
        <f t="shared" si="0"/>
        <v>8560110</v>
      </c>
      <c r="V2" s="428">
        <f t="shared" si="0"/>
        <v>8510555</v>
      </c>
      <c r="W2" s="280">
        <f t="shared" si="0"/>
        <v>8615508.3333333321</v>
      </c>
      <c r="X2" s="10">
        <f t="shared" ref="X2:X15" si="1">SUM(L2:W2)</f>
        <v>103639688.33333333</v>
      </c>
      <c r="Z2" s="70"/>
    </row>
    <row r="3" spans="1:26" s="1" customFormat="1">
      <c r="A3" s="112"/>
      <c r="B3" s="72"/>
      <c r="C3" s="551"/>
      <c r="D3" s="552"/>
      <c r="E3" s="552"/>
      <c r="F3" s="552"/>
      <c r="G3" s="552"/>
      <c r="H3" s="552"/>
      <c r="I3" s="552"/>
      <c r="J3" s="553"/>
      <c r="K3" s="165" t="s">
        <v>21</v>
      </c>
      <c r="L3" s="304">
        <f t="shared" ref="L3:W3" si="2">L210</f>
        <v>7421278</v>
      </c>
      <c r="M3" s="429">
        <f t="shared" si="2"/>
        <v>7091978</v>
      </c>
      <c r="N3" s="429">
        <f t="shared" si="2"/>
        <v>7112189</v>
      </c>
      <c r="O3" s="429">
        <f t="shared" si="2"/>
        <v>7197283</v>
      </c>
      <c r="P3" s="429">
        <f t="shared" si="2"/>
        <v>7091566</v>
      </c>
      <c r="Q3" s="429">
        <f t="shared" si="2"/>
        <v>7109635</v>
      </c>
      <c r="R3" s="429">
        <f t="shared" si="2"/>
        <v>7364005.5</v>
      </c>
      <c r="S3" s="429">
        <f t="shared" si="2"/>
        <v>7404708</v>
      </c>
      <c r="T3" s="429">
        <f t="shared" si="2"/>
        <v>7472520</v>
      </c>
      <c r="U3" s="429">
        <f t="shared" si="2"/>
        <v>7369189</v>
      </c>
      <c r="V3" s="429">
        <f t="shared" si="2"/>
        <v>7300105</v>
      </c>
      <c r="W3" s="23">
        <f t="shared" si="2"/>
        <v>7251849.222222222</v>
      </c>
      <c r="X3" s="11">
        <f t="shared" si="1"/>
        <v>87186305.722222224</v>
      </c>
      <c r="Z3" s="70"/>
    </row>
    <row r="4" spans="1:26" s="1" customFormat="1" ht="12.5" thickBot="1">
      <c r="A4" s="112"/>
      <c r="B4" s="72"/>
      <c r="C4" s="554"/>
      <c r="D4" s="555"/>
      <c r="E4" s="555"/>
      <c r="F4" s="555"/>
      <c r="G4" s="555"/>
      <c r="H4" s="555"/>
      <c r="I4" s="555"/>
      <c r="J4" s="556"/>
      <c r="K4" s="166" t="s">
        <v>22</v>
      </c>
      <c r="L4" s="305">
        <f t="shared" ref="L4:W4" si="3">L2-L3</f>
        <v>1597727</v>
      </c>
      <c r="M4" s="430">
        <f t="shared" si="3"/>
        <v>1425422</v>
      </c>
      <c r="N4" s="430">
        <f t="shared" si="3"/>
        <v>1441111</v>
      </c>
      <c r="O4" s="430">
        <f t="shared" si="3"/>
        <v>1531267</v>
      </c>
      <c r="P4" s="430">
        <f t="shared" si="3"/>
        <v>1270629</v>
      </c>
      <c r="Q4" s="430">
        <f t="shared" si="3"/>
        <v>1028105</v>
      </c>
      <c r="R4" s="430">
        <f t="shared" si="3"/>
        <v>1665504.5</v>
      </c>
      <c r="S4" s="430">
        <f t="shared" si="3"/>
        <v>1169997</v>
      </c>
      <c r="T4" s="430">
        <f t="shared" si="3"/>
        <v>1558590</v>
      </c>
      <c r="U4" s="430">
        <f t="shared" si="3"/>
        <v>1190921</v>
      </c>
      <c r="V4" s="430">
        <f t="shared" si="3"/>
        <v>1210450</v>
      </c>
      <c r="W4" s="24">
        <f t="shared" si="3"/>
        <v>1363659.1111111101</v>
      </c>
      <c r="X4" s="12">
        <f t="shared" si="1"/>
        <v>16453382.61111111</v>
      </c>
      <c r="Z4" s="70"/>
    </row>
    <row r="5" spans="1:26" ht="12.75" customHeight="1" thickTop="1">
      <c r="A5" s="113">
        <v>2024003</v>
      </c>
      <c r="C5" s="642">
        <v>1</v>
      </c>
      <c r="D5" s="645" t="s">
        <v>59</v>
      </c>
      <c r="E5" s="645"/>
      <c r="F5" s="645"/>
      <c r="G5" s="645" t="s">
        <v>159</v>
      </c>
      <c r="H5" s="645"/>
      <c r="I5" s="648"/>
      <c r="J5" s="629" t="s">
        <v>65</v>
      </c>
      <c r="K5" s="177" t="s">
        <v>23</v>
      </c>
      <c r="L5" s="299">
        <f t="shared" ref="L5:W5" si="4">L6+L7</f>
        <v>442500</v>
      </c>
      <c r="M5" s="413">
        <f t="shared" si="4"/>
        <v>480000</v>
      </c>
      <c r="N5" s="413">
        <f t="shared" si="4"/>
        <v>480000</v>
      </c>
      <c r="O5" s="413">
        <f t="shared" si="4"/>
        <v>480000</v>
      </c>
      <c r="P5" s="413">
        <f t="shared" si="4"/>
        <v>480000</v>
      </c>
      <c r="Q5" s="413">
        <f t="shared" si="4"/>
        <v>465000</v>
      </c>
      <c r="R5" s="413">
        <f t="shared" si="4"/>
        <v>480000</v>
      </c>
      <c r="S5" s="413">
        <f t="shared" si="4"/>
        <v>456000</v>
      </c>
      <c r="T5" s="413">
        <f t="shared" si="4"/>
        <v>480000</v>
      </c>
      <c r="U5" s="413">
        <f t="shared" si="4"/>
        <v>480000</v>
      </c>
      <c r="V5" s="413">
        <f t="shared" si="4"/>
        <v>451500</v>
      </c>
      <c r="W5" s="103">
        <f t="shared" si="4"/>
        <v>475833.33333333331</v>
      </c>
      <c r="X5" s="52">
        <f t="shared" si="1"/>
        <v>5650833.333333333</v>
      </c>
      <c r="Z5" s="69"/>
    </row>
    <row r="6" spans="1:26">
      <c r="A6" s="114">
        <f t="shared" ref="A6:A16" si="5">+A5</f>
        <v>2024003</v>
      </c>
      <c r="B6" s="74"/>
      <c r="C6" s="642"/>
      <c r="D6" s="645"/>
      <c r="E6" s="645"/>
      <c r="F6" s="645"/>
      <c r="G6" s="645"/>
      <c r="H6" s="645"/>
      <c r="I6" s="648"/>
      <c r="J6" s="629"/>
      <c r="K6" s="172" t="s">
        <v>24</v>
      </c>
      <c r="L6" s="301">
        <v>442500</v>
      </c>
      <c r="M6" s="301">
        <v>480000</v>
      </c>
      <c r="N6" s="301">
        <v>480000</v>
      </c>
      <c r="O6" s="301">
        <v>480000</v>
      </c>
      <c r="P6" s="301">
        <v>480000</v>
      </c>
      <c r="Q6" s="301">
        <v>465000</v>
      </c>
      <c r="R6" s="301">
        <v>480000</v>
      </c>
      <c r="S6" s="301">
        <v>456000</v>
      </c>
      <c r="T6" s="301">
        <v>480000</v>
      </c>
      <c r="U6" s="301">
        <v>480000</v>
      </c>
      <c r="V6" s="301">
        <v>451500</v>
      </c>
      <c r="W6" s="102">
        <v>475833.33333333331</v>
      </c>
      <c r="X6" s="49">
        <f t="shared" si="1"/>
        <v>5650833.333333333</v>
      </c>
      <c r="Y6" s="69"/>
      <c r="Z6" s="69"/>
    </row>
    <row r="7" spans="1:26">
      <c r="A7" s="114">
        <f t="shared" si="5"/>
        <v>2024003</v>
      </c>
      <c r="B7" s="74"/>
      <c r="C7" s="642"/>
      <c r="D7" s="645"/>
      <c r="E7" s="645"/>
      <c r="F7" s="645"/>
      <c r="G7" s="645"/>
      <c r="H7" s="645"/>
      <c r="I7" s="648"/>
      <c r="J7" s="629"/>
      <c r="K7" s="172" t="s">
        <v>96</v>
      </c>
      <c r="L7" s="312"/>
      <c r="M7" s="297"/>
      <c r="N7" s="297"/>
      <c r="O7" s="297"/>
      <c r="P7" s="297"/>
      <c r="Q7" s="297"/>
      <c r="R7" s="297"/>
      <c r="S7" s="297"/>
      <c r="T7" s="297"/>
      <c r="U7" s="297"/>
      <c r="V7" s="297"/>
      <c r="W7" s="91"/>
      <c r="X7" s="49">
        <f t="shared" si="1"/>
        <v>0</v>
      </c>
      <c r="Z7" s="69"/>
    </row>
    <row r="8" spans="1:26">
      <c r="A8" s="114">
        <f t="shared" si="5"/>
        <v>2024003</v>
      </c>
      <c r="B8" s="74"/>
      <c r="C8" s="642"/>
      <c r="D8" s="645"/>
      <c r="E8" s="645"/>
      <c r="F8" s="645"/>
      <c r="G8" s="645"/>
      <c r="H8" s="645"/>
      <c r="I8" s="648"/>
      <c r="J8" s="629"/>
      <c r="K8" s="173" t="s">
        <v>26</v>
      </c>
      <c r="L8" s="296">
        <f t="shared" ref="L8:W8" si="6">SUM(L9:L15)</f>
        <v>351721</v>
      </c>
      <c r="M8" s="411">
        <f t="shared" si="6"/>
        <v>352530</v>
      </c>
      <c r="N8" s="411">
        <f t="shared" si="6"/>
        <v>353338</v>
      </c>
      <c r="O8" s="411">
        <f t="shared" si="6"/>
        <v>353338</v>
      </c>
      <c r="P8" s="411">
        <f t="shared" si="6"/>
        <v>352530</v>
      </c>
      <c r="Q8" s="411">
        <f t="shared" si="6"/>
        <v>352126</v>
      </c>
      <c r="R8" s="411">
        <f t="shared" si="6"/>
        <v>353742</v>
      </c>
      <c r="S8" s="411">
        <f t="shared" si="6"/>
        <v>352126</v>
      </c>
      <c r="T8" s="411">
        <f t="shared" si="6"/>
        <v>352934</v>
      </c>
      <c r="U8" s="411">
        <f t="shared" si="6"/>
        <v>352530</v>
      </c>
      <c r="V8" s="411">
        <f t="shared" si="6"/>
        <v>348626</v>
      </c>
      <c r="W8" s="99">
        <f t="shared" si="6"/>
        <v>352302.11111111112</v>
      </c>
      <c r="X8" s="50">
        <f t="shared" si="1"/>
        <v>4227843.111111111</v>
      </c>
      <c r="Z8" s="69"/>
    </row>
    <row r="9" spans="1:26">
      <c r="A9" s="114">
        <f t="shared" si="5"/>
        <v>2024003</v>
      </c>
      <c r="B9" s="74"/>
      <c r="C9" s="642"/>
      <c r="D9" s="645"/>
      <c r="E9" s="645"/>
      <c r="F9" s="645"/>
      <c r="G9" s="645"/>
      <c r="H9" s="645"/>
      <c r="I9" s="648"/>
      <c r="J9" s="629"/>
      <c r="K9" s="174" t="s">
        <v>27</v>
      </c>
      <c r="L9" s="297">
        <v>306800</v>
      </c>
      <c r="M9" s="297">
        <v>307600</v>
      </c>
      <c r="N9" s="297">
        <v>308400</v>
      </c>
      <c r="O9" s="297">
        <v>308400</v>
      </c>
      <c r="P9" s="297">
        <v>307600</v>
      </c>
      <c r="Q9" s="297">
        <v>307200</v>
      </c>
      <c r="R9" s="297">
        <v>308800</v>
      </c>
      <c r="S9" s="297">
        <v>307200</v>
      </c>
      <c r="T9" s="297">
        <v>308000</v>
      </c>
      <c r="U9" s="297">
        <v>307600</v>
      </c>
      <c r="V9" s="297">
        <v>303556</v>
      </c>
      <c r="W9" s="93">
        <v>307381.11111111112</v>
      </c>
      <c r="X9" s="49">
        <f t="shared" si="1"/>
        <v>3688537.111111111</v>
      </c>
      <c r="Y9" s="69"/>
      <c r="Z9" s="69"/>
    </row>
    <row r="10" spans="1:26">
      <c r="A10" s="114">
        <f t="shared" si="5"/>
        <v>2024003</v>
      </c>
      <c r="B10" s="74"/>
      <c r="C10" s="642"/>
      <c r="D10" s="645"/>
      <c r="E10" s="645"/>
      <c r="F10" s="645"/>
      <c r="G10" s="645"/>
      <c r="H10" s="645"/>
      <c r="I10" s="648"/>
      <c r="J10" s="629"/>
      <c r="K10" s="174" t="s">
        <v>34</v>
      </c>
      <c r="L10" s="297"/>
      <c r="M10" s="297"/>
      <c r="N10" s="297"/>
      <c r="O10" s="297"/>
      <c r="P10" s="297"/>
      <c r="Q10" s="297"/>
      <c r="R10" s="297"/>
      <c r="S10" s="297"/>
      <c r="T10" s="297"/>
      <c r="U10" s="297"/>
      <c r="V10" s="297"/>
      <c r="W10" s="93"/>
      <c r="X10" s="49">
        <f t="shared" si="1"/>
        <v>0</v>
      </c>
      <c r="Y10" s="69"/>
      <c r="Z10" s="69"/>
    </row>
    <row r="11" spans="1:26">
      <c r="A11" s="114">
        <f t="shared" si="5"/>
        <v>2024003</v>
      </c>
      <c r="B11" s="74"/>
      <c r="C11" s="642"/>
      <c r="D11" s="645"/>
      <c r="E11" s="645"/>
      <c r="F11" s="645"/>
      <c r="G11" s="645"/>
      <c r="H11" s="645"/>
      <c r="I11" s="648"/>
      <c r="J11" s="629"/>
      <c r="K11" s="174" t="s">
        <v>28</v>
      </c>
      <c r="L11" s="297">
        <v>0</v>
      </c>
      <c r="M11" s="297">
        <v>0</v>
      </c>
      <c r="N11" s="297">
        <v>0</v>
      </c>
      <c r="O11" s="297">
        <v>0</v>
      </c>
      <c r="P11" s="297">
        <v>0</v>
      </c>
      <c r="Q11" s="297">
        <v>0</v>
      </c>
      <c r="R11" s="297">
        <v>0</v>
      </c>
      <c r="S11" s="297">
        <v>0</v>
      </c>
      <c r="T11" s="297">
        <v>0</v>
      </c>
      <c r="U11" s="297">
        <v>0</v>
      </c>
      <c r="V11" s="297">
        <v>0</v>
      </c>
      <c r="W11" s="91">
        <v>0</v>
      </c>
      <c r="X11" s="49">
        <f t="shared" si="1"/>
        <v>0</v>
      </c>
      <c r="Y11" s="69"/>
      <c r="Z11" s="69"/>
    </row>
    <row r="12" spans="1:26">
      <c r="A12" s="114">
        <f t="shared" si="5"/>
        <v>2024003</v>
      </c>
      <c r="B12" s="74"/>
      <c r="C12" s="642"/>
      <c r="D12" s="645"/>
      <c r="E12" s="645"/>
      <c r="F12" s="645"/>
      <c r="G12" s="645"/>
      <c r="H12" s="645"/>
      <c r="I12" s="648"/>
      <c r="J12" s="629"/>
      <c r="K12" s="174" t="s">
        <v>29</v>
      </c>
      <c r="L12" s="297">
        <v>14250</v>
      </c>
      <c r="M12" s="297">
        <v>14250</v>
      </c>
      <c r="N12" s="297">
        <v>14250</v>
      </c>
      <c r="O12" s="297">
        <v>14250</v>
      </c>
      <c r="P12" s="297">
        <v>14250</v>
      </c>
      <c r="Q12" s="297">
        <v>14250</v>
      </c>
      <c r="R12" s="297">
        <v>14250</v>
      </c>
      <c r="S12" s="297">
        <v>14250</v>
      </c>
      <c r="T12" s="297">
        <v>14250</v>
      </c>
      <c r="U12" s="297">
        <v>14250</v>
      </c>
      <c r="V12" s="297">
        <v>14250</v>
      </c>
      <c r="W12" s="93">
        <v>14250</v>
      </c>
      <c r="X12" s="49">
        <f t="shared" si="1"/>
        <v>171000</v>
      </c>
      <c r="Y12" s="69"/>
      <c r="Z12" s="69"/>
    </row>
    <row r="13" spans="1:26">
      <c r="A13" s="114">
        <f t="shared" si="5"/>
        <v>2024003</v>
      </c>
      <c r="B13" s="74"/>
      <c r="C13" s="642"/>
      <c r="D13" s="645"/>
      <c r="E13" s="645"/>
      <c r="F13" s="645"/>
      <c r="G13" s="645"/>
      <c r="H13" s="645"/>
      <c r="I13" s="648"/>
      <c r="J13" s="629"/>
      <c r="K13" s="174" t="s">
        <v>30</v>
      </c>
      <c r="L13" s="297">
        <v>27450</v>
      </c>
      <c r="M13" s="297">
        <v>27450</v>
      </c>
      <c r="N13" s="297">
        <v>27450</v>
      </c>
      <c r="O13" s="297">
        <v>27450</v>
      </c>
      <c r="P13" s="297">
        <v>27450</v>
      </c>
      <c r="Q13" s="297">
        <v>27450</v>
      </c>
      <c r="R13" s="297">
        <v>27450</v>
      </c>
      <c r="S13" s="297">
        <v>27450</v>
      </c>
      <c r="T13" s="297">
        <v>27450</v>
      </c>
      <c r="U13" s="297">
        <v>27450</v>
      </c>
      <c r="V13" s="297">
        <v>27450</v>
      </c>
      <c r="W13" s="93">
        <v>27450</v>
      </c>
      <c r="X13" s="49">
        <f t="shared" si="1"/>
        <v>329400</v>
      </c>
      <c r="Y13" s="69"/>
      <c r="Z13" s="69"/>
    </row>
    <row r="14" spans="1:26">
      <c r="A14" s="114">
        <f t="shared" si="5"/>
        <v>2024003</v>
      </c>
      <c r="B14" s="74"/>
      <c r="C14" s="642"/>
      <c r="D14" s="645"/>
      <c r="E14" s="645"/>
      <c r="F14" s="645"/>
      <c r="G14" s="645"/>
      <c r="H14" s="645"/>
      <c r="I14" s="648"/>
      <c r="J14" s="629"/>
      <c r="K14" s="174" t="s">
        <v>31</v>
      </c>
      <c r="L14" s="297">
        <v>1534</v>
      </c>
      <c r="M14" s="297">
        <v>1538</v>
      </c>
      <c r="N14" s="297">
        <v>1542</v>
      </c>
      <c r="O14" s="297">
        <v>1542</v>
      </c>
      <c r="P14" s="297">
        <v>1538</v>
      </c>
      <c r="Q14" s="297">
        <v>1536</v>
      </c>
      <c r="R14" s="297">
        <v>1544</v>
      </c>
      <c r="S14" s="297">
        <v>1536</v>
      </c>
      <c r="T14" s="297">
        <v>1540</v>
      </c>
      <c r="U14" s="297">
        <v>1538</v>
      </c>
      <c r="V14" s="297">
        <v>1605</v>
      </c>
      <c r="W14" s="93">
        <v>1534</v>
      </c>
      <c r="X14" s="49">
        <f t="shared" si="1"/>
        <v>18527</v>
      </c>
      <c r="Y14" s="69"/>
      <c r="Z14" s="69"/>
    </row>
    <row r="15" spans="1:26">
      <c r="A15" s="114">
        <f t="shared" si="5"/>
        <v>2024003</v>
      </c>
      <c r="B15" s="74"/>
      <c r="C15" s="642"/>
      <c r="D15" s="645"/>
      <c r="E15" s="645"/>
      <c r="F15" s="645"/>
      <c r="G15" s="645"/>
      <c r="H15" s="645"/>
      <c r="I15" s="648"/>
      <c r="J15" s="629"/>
      <c r="K15" s="210" t="s">
        <v>32</v>
      </c>
      <c r="L15" s="297">
        <v>1687</v>
      </c>
      <c r="M15" s="297">
        <v>1692</v>
      </c>
      <c r="N15" s="297">
        <v>1696</v>
      </c>
      <c r="O15" s="297">
        <v>1696</v>
      </c>
      <c r="P15" s="297">
        <v>1692</v>
      </c>
      <c r="Q15" s="297">
        <v>1690</v>
      </c>
      <c r="R15" s="297">
        <v>1698</v>
      </c>
      <c r="S15" s="297">
        <v>1690</v>
      </c>
      <c r="T15" s="297">
        <v>1694</v>
      </c>
      <c r="U15" s="297">
        <v>1692</v>
      </c>
      <c r="V15" s="297">
        <v>1765</v>
      </c>
      <c r="W15" s="93">
        <v>1687</v>
      </c>
      <c r="X15" s="49">
        <f t="shared" si="1"/>
        <v>20379</v>
      </c>
      <c r="Y15" s="69"/>
      <c r="Z15" s="69"/>
    </row>
    <row r="16" spans="1:26">
      <c r="A16" s="114">
        <f t="shared" si="5"/>
        <v>2024003</v>
      </c>
      <c r="B16" s="74"/>
      <c r="C16" s="654"/>
      <c r="D16" s="655"/>
      <c r="E16" s="655"/>
      <c r="F16" s="655"/>
      <c r="G16" s="655"/>
      <c r="H16" s="655"/>
      <c r="I16" s="652"/>
      <c r="J16" s="630"/>
      <c r="K16" s="170" t="s">
        <v>33</v>
      </c>
      <c r="L16" s="308">
        <f t="shared" ref="L16:X16" si="7">L5-L8</f>
        <v>90779</v>
      </c>
      <c r="M16" s="405">
        <f t="shared" si="7"/>
        <v>127470</v>
      </c>
      <c r="N16" s="405">
        <f t="shared" si="7"/>
        <v>126662</v>
      </c>
      <c r="O16" s="405">
        <f t="shared" si="7"/>
        <v>126662</v>
      </c>
      <c r="P16" s="405">
        <f t="shared" si="7"/>
        <v>127470</v>
      </c>
      <c r="Q16" s="405">
        <f t="shared" si="7"/>
        <v>112874</v>
      </c>
      <c r="R16" s="405">
        <f t="shared" si="7"/>
        <v>126258</v>
      </c>
      <c r="S16" s="405">
        <f t="shared" si="7"/>
        <v>103874</v>
      </c>
      <c r="T16" s="405">
        <f t="shared" si="7"/>
        <v>127066</v>
      </c>
      <c r="U16" s="405">
        <f t="shared" si="7"/>
        <v>127470</v>
      </c>
      <c r="V16" s="405">
        <f t="shared" si="7"/>
        <v>102874</v>
      </c>
      <c r="W16" s="212">
        <f t="shared" si="7"/>
        <v>123531.22222222219</v>
      </c>
      <c r="X16" s="51">
        <f t="shared" si="7"/>
        <v>1422990.222222222</v>
      </c>
      <c r="Z16" s="69"/>
    </row>
    <row r="17" spans="1:26" ht="12.75" customHeight="1">
      <c r="A17" s="113">
        <v>2024031</v>
      </c>
      <c r="C17" s="641">
        <f>C5+1</f>
        <v>2</v>
      </c>
      <c r="D17" s="644" t="s">
        <v>94</v>
      </c>
      <c r="E17" s="644" t="s">
        <v>173</v>
      </c>
      <c r="F17" s="644"/>
      <c r="G17" s="644" t="s">
        <v>160</v>
      </c>
      <c r="H17" s="644" t="s">
        <v>47</v>
      </c>
      <c r="I17" s="647"/>
      <c r="J17" s="628" t="s">
        <v>65</v>
      </c>
      <c r="K17" s="176" t="s">
        <v>23</v>
      </c>
      <c r="L17" s="353">
        <f>L19+L18</f>
        <v>450000</v>
      </c>
      <c r="M17" s="342">
        <f t="shared" ref="M17:R17" si="8">M18+M19</f>
        <v>0</v>
      </c>
      <c r="N17" s="342">
        <f t="shared" si="8"/>
        <v>0</v>
      </c>
      <c r="O17" s="409">
        <f t="shared" si="8"/>
        <v>0</v>
      </c>
      <c r="P17" s="409">
        <f t="shared" si="8"/>
        <v>0</v>
      </c>
      <c r="Q17" s="409">
        <f t="shared" si="8"/>
        <v>0</v>
      </c>
      <c r="R17" s="409">
        <f t="shared" si="8"/>
        <v>0</v>
      </c>
      <c r="S17" s="409">
        <f t="shared" ref="S17:V17" si="9">S18+S19</f>
        <v>0</v>
      </c>
      <c r="T17" s="409">
        <f t="shared" si="9"/>
        <v>0</v>
      </c>
      <c r="U17" s="409">
        <f t="shared" si="9"/>
        <v>0</v>
      </c>
      <c r="V17" s="409">
        <f t="shared" si="9"/>
        <v>0</v>
      </c>
      <c r="W17" s="448">
        <f>W18+W19</f>
        <v>0</v>
      </c>
      <c r="X17" s="449">
        <f t="shared" ref="X17:X27" si="10">SUM(L17:W17)</f>
        <v>450000</v>
      </c>
      <c r="Z17" s="69"/>
    </row>
    <row r="18" spans="1:26">
      <c r="A18" s="114">
        <f t="shared" ref="A18:A28" si="11">+A17</f>
        <v>2024031</v>
      </c>
      <c r="B18" s="74"/>
      <c r="C18" s="642"/>
      <c r="D18" s="645"/>
      <c r="E18" s="645"/>
      <c r="F18" s="645"/>
      <c r="G18" s="645"/>
      <c r="H18" s="645"/>
      <c r="I18" s="648"/>
      <c r="J18" s="629"/>
      <c r="K18" s="172" t="s">
        <v>24</v>
      </c>
      <c r="L18" s="362">
        <v>450000</v>
      </c>
      <c r="M18" s="362"/>
      <c r="N18" s="362"/>
      <c r="O18" s="301"/>
      <c r="P18" s="301"/>
      <c r="Q18" s="301"/>
      <c r="R18" s="301"/>
      <c r="S18" s="301"/>
      <c r="T18" s="301"/>
      <c r="U18" s="301"/>
      <c r="V18" s="301"/>
      <c r="W18" s="362"/>
      <c r="X18" s="450">
        <f t="shared" si="10"/>
        <v>450000</v>
      </c>
      <c r="Y18" s="69"/>
      <c r="Z18" s="69"/>
    </row>
    <row r="19" spans="1:26">
      <c r="A19" s="114">
        <f t="shared" si="11"/>
        <v>2024031</v>
      </c>
      <c r="B19" s="74"/>
      <c r="C19" s="642"/>
      <c r="D19" s="645"/>
      <c r="E19" s="645"/>
      <c r="F19" s="645"/>
      <c r="G19" s="645"/>
      <c r="H19" s="645"/>
      <c r="I19" s="648"/>
      <c r="J19" s="629"/>
      <c r="K19" s="172" t="s">
        <v>96</v>
      </c>
      <c r="L19" s="392"/>
      <c r="M19" s="343"/>
      <c r="N19" s="343"/>
      <c r="O19" s="297"/>
      <c r="P19" s="297"/>
      <c r="Q19" s="297"/>
      <c r="R19" s="297"/>
      <c r="S19" s="297"/>
      <c r="T19" s="297"/>
      <c r="U19" s="297"/>
      <c r="V19" s="297"/>
      <c r="W19" s="343"/>
      <c r="X19" s="450">
        <f t="shared" si="10"/>
        <v>0</v>
      </c>
      <c r="Z19" s="69"/>
    </row>
    <row r="20" spans="1:26">
      <c r="A20" s="114">
        <f t="shared" si="11"/>
        <v>2024031</v>
      </c>
      <c r="B20" s="74"/>
      <c r="C20" s="642"/>
      <c r="D20" s="645"/>
      <c r="E20" s="645"/>
      <c r="F20" s="645"/>
      <c r="G20" s="645"/>
      <c r="H20" s="645"/>
      <c r="I20" s="648"/>
      <c r="J20" s="629"/>
      <c r="K20" s="173" t="s">
        <v>26</v>
      </c>
      <c r="L20" s="355">
        <f t="shared" ref="L20:W20" si="12">SUM(L21:L27)</f>
        <v>296309</v>
      </c>
      <c r="M20" s="344">
        <f t="shared" si="12"/>
        <v>0</v>
      </c>
      <c r="N20" s="344">
        <f t="shared" si="12"/>
        <v>0</v>
      </c>
      <c r="O20" s="411">
        <f t="shared" si="12"/>
        <v>0</v>
      </c>
      <c r="P20" s="411">
        <f t="shared" si="12"/>
        <v>0</v>
      </c>
      <c r="Q20" s="411">
        <f t="shared" si="12"/>
        <v>0</v>
      </c>
      <c r="R20" s="411">
        <f t="shared" si="12"/>
        <v>0</v>
      </c>
      <c r="S20" s="411">
        <f t="shared" si="12"/>
        <v>0</v>
      </c>
      <c r="T20" s="411">
        <f t="shared" si="12"/>
        <v>0</v>
      </c>
      <c r="U20" s="411">
        <f t="shared" si="12"/>
        <v>0</v>
      </c>
      <c r="V20" s="411">
        <f t="shared" si="12"/>
        <v>0</v>
      </c>
      <c r="W20" s="452">
        <f t="shared" si="12"/>
        <v>0</v>
      </c>
      <c r="X20" s="453">
        <f t="shared" si="10"/>
        <v>296309</v>
      </c>
      <c r="Z20" s="69"/>
    </row>
    <row r="21" spans="1:26">
      <c r="A21" s="114">
        <f t="shared" si="11"/>
        <v>2024031</v>
      </c>
      <c r="B21" s="74"/>
      <c r="C21" s="642"/>
      <c r="D21" s="645"/>
      <c r="E21" s="645"/>
      <c r="F21" s="645"/>
      <c r="G21" s="645"/>
      <c r="H21" s="645"/>
      <c r="I21" s="648"/>
      <c r="J21" s="629"/>
      <c r="K21" s="174" t="s">
        <v>27</v>
      </c>
      <c r="L21" s="343">
        <v>240834</v>
      </c>
      <c r="M21" s="343"/>
      <c r="N21" s="343"/>
      <c r="O21" s="297"/>
      <c r="P21" s="301"/>
      <c r="Q21" s="301"/>
      <c r="R21" s="301"/>
      <c r="S21" s="301"/>
      <c r="T21" s="301"/>
      <c r="U21" s="301"/>
      <c r="V21" s="301"/>
      <c r="W21" s="362"/>
      <c r="X21" s="450">
        <f t="shared" si="10"/>
        <v>240834</v>
      </c>
      <c r="Y21" s="69"/>
      <c r="Z21" s="69"/>
    </row>
    <row r="22" spans="1:26">
      <c r="A22" s="114">
        <f t="shared" si="11"/>
        <v>2024031</v>
      </c>
      <c r="B22" s="74"/>
      <c r="C22" s="642"/>
      <c r="D22" s="645"/>
      <c r="E22" s="645"/>
      <c r="F22" s="645"/>
      <c r="G22" s="645"/>
      <c r="H22" s="645"/>
      <c r="I22" s="648"/>
      <c r="J22" s="629"/>
      <c r="K22" s="174" t="s">
        <v>34</v>
      </c>
      <c r="L22" s="343"/>
      <c r="M22" s="343"/>
      <c r="N22" s="343"/>
      <c r="O22" s="297"/>
      <c r="P22" s="301"/>
      <c r="Q22" s="301"/>
      <c r="R22" s="301"/>
      <c r="S22" s="301"/>
      <c r="T22" s="301"/>
      <c r="U22" s="301"/>
      <c r="V22" s="301"/>
      <c r="W22" s="362"/>
      <c r="X22" s="450">
        <f t="shared" si="10"/>
        <v>0</v>
      </c>
      <c r="Y22" s="69"/>
      <c r="Z22" s="69"/>
    </row>
    <row r="23" spans="1:26">
      <c r="A23" s="114">
        <f t="shared" si="11"/>
        <v>2024031</v>
      </c>
      <c r="B23" s="74"/>
      <c r="C23" s="642"/>
      <c r="D23" s="645"/>
      <c r="E23" s="645"/>
      <c r="F23" s="645"/>
      <c r="G23" s="645"/>
      <c r="H23" s="645"/>
      <c r="I23" s="648"/>
      <c r="J23" s="629"/>
      <c r="K23" s="174" t="s">
        <v>28</v>
      </c>
      <c r="L23" s="343">
        <v>16632</v>
      </c>
      <c r="M23" s="343"/>
      <c r="N23" s="343"/>
      <c r="O23" s="297"/>
      <c r="P23" s="301"/>
      <c r="Q23" s="301"/>
      <c r="R23" s="301"/>
      <c r="S23" s="301"/>
      <c r="T23" s="301"/>
      <c r="U23" s="301"/>
      <c r="V23" s="301"/>
      <c r="W23" s="362"/>
      <c r="X23" s="450">
        <f t="shared" si="10"/>
        <v>16632</v>
      </c>
      <c r="Y23" s="69"/>
      <c r="Z23" s="69"/>
    </row>
    <row r="24" spans="1:26">
      <c r="A24" s="114">
        <f t="shared" si="11"/>
        <v>2024031</v>
      </c>
      <c r="B24" s="74"/>
      <c r="C24" s="642"/>
      <c r="D24" s="645"/>
      <c r="E24" s="645"/>
      <c r="F24" s="645"/>
      <c r="G24" s="645"/>
      <c r="H24" s="645"/>
      <c r="I24" s="648"/>
      <c r="J24" s="629"/>
      <c r="K24" s="174" t="s">
        <v>29</v>
      </c>
      <c r="L24" s="343">
        <v>12350</v>
      </c>
      <c r="M24" s="343"/>
      <c r="N24" s="343"/>
      <c r="O24" s="297"/>
      <c r="P24" s="301"/>
      <c r="Q24" s="301"/>
      <c r="R24" s="301"/>
      <c r="S24" s="301"/>
      <c r="T24" s="301"/>
      <c r="U24" s="301"/>
      <c r="V24" s="301"/>
      <c r="W24" s="362"/>
      <c r="X24" s="450">
        <f t="shared" si="10"/>
        <v>12350</v>
      </c>
      <c r="Y24" s="69"/>
      <c r="Z24" s="69"/>
    </row>
    <row r="25" spans="1:26">
      <c r="A25" s="114">
        <f t="shared" si="11"/>
        <v>2024031</v>
      </c>
      <c r="B25" s="74"/>
      <c r="C25" s="642"/>
      <c r="D25" s="645"/>
      <c r="E25" s="645"/>
      <c r="F25" s="645"/>
      <c r="G25" s="645"/>
      <c r="H25" s="645"/>
      <c r="I25" s="648"/>
      <c r="J25" s="629"/>
      <c r="K25" s="174" t="s">
        <v>30</v>
      </c>
      <c r="L25" s="343">
        <v>23790</v>
      </c>
      <c r="M25" s="343"/>
      <c r="N25" s="343"/>
      <c r="O25" s="297"/>
      <c r="P25" s="301"/>
      <c r="Q25" s="301"/>
      <c r="R25" s="301"/>
      <c r="S25" s="301"/>
      <c r="T25" s="301"/>
      <c r="U25" s="301"/>
      <c r="V25" s="301"/>
      <c r="W25" s="362"/>
      <c r="X25" s="450">
        <f t="shared" si="10"/>
        <v>23790</v>
      </c>
      <c r="Y25" s="69"/>
      <c r="Z25" s="69"/>
    </row>
    <row r="26" spans="1:26">
      <c r="A26" s="114">
        <f t="shared" si="11"/>
        <v>2024031</v>
      </c>
      <c r="B26" s="74"/>
      <c r="C26" s="642"/>
      <c r="D26" s="645"/>
      <c r="E26" s="645"/>
      <c r="F26" s="645"/>
      <c r="G26" s="645"/>
      <c r="H26" s="645"/>
      <c r="I26" s="648"/>
      <c r="J26" s="629"/>
      <c r="K26" s="174" t="s">
        <v>31</v>
      </c>
      <c r="L26" s="343">
        <v>1287</v>
      </c>
      <c r="M26" s="343"/>
      <c r="N26" s="343"/>
      <c r="O26" s="297"/>
      <c r="P26" s="301"/>
      <c r="Q26" s="301"/>
      <c r="R26" s="301"/>
      <c r="S26" s="301"/>
      <c r="T26" s="301"/>
      <c r="U26" s="301"/>
      <c r="V26" s="301"/>
      <c r="W26" s="362"/>
      <c r="X26" s="450">
        <f t="shared" si="10"/>
        <v>1287</v>
      </c>
      <c r="Y26" s="69"/>
      <c r="Z26" s="69"/>
    </row>
    <row r="27" spans="1:26">
      <c r="A27" s="114">
        <f t="shared" si="11"/>
        <v>2024031</v>
      </c>
      <c r="B27" s="74"/>
      <c r="C27" s="642"/>
      <c r="D27" s="645"/>
      <c r="E27" s="645"/>
      <c r="F27" s="645"/>
      <c r="G27" s="645"/>
      <c r="H27" s="645"/>
      <c r="I27" s="648"/>
      <c r="J27" s="629"/>
      <c r="K27" s="210" t="s">
        <v>32</v>
      </c>
      <c r="L27" s="343">
        <v>1416</v>
      </c>
      <c r="M27" s="343"/>
      <c r="N27" s="343"/>
      <c r="O27" s="297"/>
      <c r="P27" s="301"/>
      <c r="Q27" s="301"/>
      <c r="R27" s="301"/>
      <c r="S27" s="301"/>
      <c r="T27" s="301"/>
      <c r="U27" s="301"/>
      <c r="V27" s="301"/>
      <c r="W27" s="362"/>
      <c r="X27" s="450">
        <f t="shared" si="10"/>
        <v>1416</v>
      </c>
      <c r="Y27" s="69"/>
      <c r="Z27" s="69"/>
    </row>
    <row r="28" spans="1:26">
      <c r="A28" s="114">
        <f t="shared" si="11"/>
        <v>2024031</v>
      </c>
      <c r="B28" s="74"/>
      <c r="C28" s="654"/>
      <c r="D28" s="655"/>
      <c r="E28" s="655"/>
      <c r="F28" s="655"/>
      <c r="G28" s="655"/>
      <c r="H28" s="655"/>
      <c r="I28" s="652"/>
      <c r="J28" s="630"/>
      <c r="K28" s="170" t="s">
        <v>33</v>
      </c>
      <c r="L28" s="379">
        <f t="shared" ref="L28:X28" si="13">L17-L20</f>
        <v>153691</v>
      </c>
      <c r="M28" s="331">
        <f t="shared" si="13"/>
        <v>0</v>
      </c>
      <c r="N28" s="331">
        <f t="shared" si="13"/>
        <v>0</v>
      </c>
      <c r="O28" s="405">
        <f t="shared" si="13"/>
        <v>0</v>
      </c>
      <c r="P28" s="405">
        <f t="shared" si="13"/>
        <v>0</v>
      </c>
      <c r="Q28" s="405">
        <f t="shared" si="13"/>
        <v>0</v>
      </c>
      <c r="R28" s="405">
        <f t="shared" si="13"/>
        <v>0</v>
      </c>
      <c r="S28" s="405">
        <f t="shared" si="13"/>
        <v>0</v>
      </c>
      <c r="T28" s="405">
        <f t="shared" si="13"/>
        <v>0</v>
      </c>
      <c r="U28" s="405">
        <f t="shared" si="13"/>
        <v>0</v>
      </c>
      <c r="V28" s="405">
        <f t="shared" si="13"/>
        <v>0</v>
      </c>
      <c r="W28" s="486">
        <f t="shared" si="13"/>
        <v>0</v>
      </c>
      <c r="X28" s="455">
        <f t="shared" si="13"/>
        <v>153691</v>
      </c>
      <c r="Z28" s="69"/>
    </row>
    <row r="29" spans="1:26" ht="12.75" customHeight="1">
      <c r="A29" s="113">
        <v>2024026</v>
      </c>
      <c r="C29" s="641">
        <f t="shared" ref="C29" si="14">C17+1</f>
        <v>3</v>
      </c>
      <c r="D29" s="645" t="s">
        <v>94</v>
      </c>
      <c r="E29" s="645"/>
      <c r="F29" s="645"/>
      <c r="G29" s="644" t="s">
        <v>160</v>
      </c>
      <c r="H29" s="645" t="s">
        <v>47</v>
      </c>
      <c r="I29" s="648"/>
      <c r="J29" s="629" t="s">
        <v>65</v>
      </c>
      <c r="K29" s="177" t="s">
        <v>23</v>
      </c>
      <c r="L29" s="299">
        <f t="shared" ref="L29:W29" si="15">L30+L31</f>
        <v>450000</v>
      </c>
      <c r="M29" s="413">
        <f t="shared" si="15"/>
        <v>450000</v>
      </c>
      <c r="N29" s="413">
        <f t="shared" si="15"/>
        <v>450000</v>
      </c>
      <c r="O29" s="413">
        <f t="shared" si="15"/>
        <v>450000</v>
      </c>
      <c r="P29" s="413">
        <f t="shared" si="15"/>
        <v>450000</v>
      </c>
      <c r="Q29" s="413">
        <f t="shared" si="15"/>
        <v>371320</v>
      </c>
      <c r="R29" s="413">
        <f t="shared" si="15"/>
        <v>450000</v>
      </c>
      <c r="S29" s="413">
        <f t="shared" si="15"/>
        <v>414875</v>
      </c>
      <c r="T29" s="413">
        <f t="shared" si="15"/>
        <v>450000</v>
      </c>
      <c r="U29" s="413">
        <f t="shared" si="15"/>
        <v>450000</v>
      </c>
      <c r="V29" s="413">
        <f t="shared" si="15"/>
        <v>414875</v>
      </c>
      <c r="W29" s="103">
        <f t="shared" si="15"/>
        <v>438291.66666666669</v>
      </c>
      <c r="X29" s="52">
        <f t="shared" ref="X29:X39" si="16">SUM(L29:W29)</f>
        <v>5239361.666666667</v>
      </c>
      <c r="Z29" s="69"/>
    </row>
    <row r="30" spans="1:26">
      <c r="A30" s="114">
        <f t="shared" ref="A30:A40" si="17">+A29</f>
        <v>2024026</v>
      </c>
      <c r="B30" s="74"/>
      <c r="C30" s="642"/>
      <c r="D30" s="645"/>
      <c r="E30" s="645"/>
      <c r="F30" s="645"/>
      <c r="G30" s="645"/>
      <c r="H30" s="645"/>
      <c r="I30" s="648"/>
      <c r="J30" s="629"/>
      <c r="K30" s="172" t="s">
        <v>24</v>
      </c>
      <c r="L30" s="301">
        <v>450000</v>
      </c>
      <c r="M30" s="301">
        <v>450000</v>
      </c>
      <c r="N30" s="301">
        <v>450000</v>
      </c>
      <c r="O30" s="301">
        <v>450000</v>
      </c>
      <c r="P30" s="301">
        <v>450000</v>
      </c>
      <c r="Q30" s="301">
        <v>371320</v>
      </c>
      <c r="R30" s="301">
        <v>450000</v>
      </c>
      <c r="S30" s="301">
        <v>414875</v>
      </c>
      <c r="T30" s="301">
        <v>450000</v>
      </c>
      <c r="U30" s="301">
        <v>450000</v>
      </c>
      <c r="V30" s="301">
        <v>414875</v>
      </c>
      <c r="W30" s="102">
        <v>438291.66666666669</v>
      </c>
      <c r="X30" s="49">
        <f t="shared" si="16"/>
        <v>5239361.666666667</v>
      </c>
      <c r="Y30" s="69"/>
      <c r="Z30" s="69"/>
    </row>
    <row r="31" spans="1:26">
      <c r="A31" s="114">
        <f t="shared" si="17"/>
        <v>2024026</v>
      </c>
      <c r="B31" s="74"/>
      <c r="C31" s="642"/>
      <c r="D31" s="645"/>
      <c r="E31" s="645"/>
      <c r="F31" s="645"/>
      <c r="G31" s="645"/>
      <c r="H31" s="645"/>
      <c r="I31" s="648"/>
      <c r="J31" s="629"/>
      <c r="K31" s="172" t="s">
        <v>96</v>
      </c>
      <c r="L31" s="312"/>
      <c r="M31" s="297"/>
      <c r="N31" s="297"/>
      <c r="O31" s="297"/>
      <c r="P31" s="297"/>
      <c r="Q31" s="297"/>
      <c r="R31" s="297"/>
      <c r="S31" s="297"/>
      <c r="T31" s="297"/>
      <c r="U31" s="297"/>
      <c r="V31" s="297"/>
      <c r="W31" s="91"/>
      <c r="X31" s="49">
        <f t="shared" si="16"/>
        <v>0</v>
      </c>
      <c r="Z31" s="69"/>
    </row>
    <row r="32" spans="1:26">
      <c r="A32" s="114">
        <f t="shared" si="17"/>
        <v>2024026</v>
      </c>
      <c r="B32" s="74"/>
      <c r="C32" s="642"/>
      <c r="D32" s="645"/>
      <c r="E32" s="645"/>
      <c r="F32" s="645"/>
      <c r="G32" s="645"/>
      <c r="H32" s="645"/>
      <c r="I32" s="648"/>
      <c r="J32" s="629"/>
      <c r="K32" s="173" t="s">
        <v>26</v>
      </c>
      <c r="L32" s="296">
        <f t="shared" ref="L32:W32" si="18">SUM(L33:L39)</f>
        <v>303922</v>
      </c>
      <c r="M32" s="411">
        <f t="shared" si="18"/>
        <v>303922</v>
      </c>
      <c r="N32" s="411">
        <f t="shared" si="18"/>
        <v>303922</v>
      </c>
      <c r="O32" s="411">
        <f t="shared" si="18"/>
        <v>303922</v>
      </c>
      <c r="P32" s="411">
        <f t="shared" si="18"/>
        <v>303922</v>
      </c>
      <c r="Q32" s="411">
        <f t="shared" si="18"/>
        <v>303922</v>
      </c>
      <c r="R32" s="411">
        <f t="shared" si="18"/>
        <v>303922</v>
      </c>
      <c r="S32" s="411">
        <f t="shared" si="18"/>
        <v>303922</v>
      </c>
      <c r="T32" s="411">
        <f t="shared" si="18"/>
        <v>303922</v>
      </c>
      <c r="U32" s="411">
        <f t="shared" si="18"/>
        <v>303922</v>
      </c>
      <c r="V32" s="411">
        <f t="shared" si="18"/>
        <v>287368</v>
      </c>
      <c r="W32" s="99">
        <f t="shared" si="18"/>
        <v>293922</v>
      </c>
      <c r="X32" s="50">
        <f t="shared" si="16"/>
        <v>3620510</v>
      </c>
      <c r="Z32" s="69"/>
    </row>
    <row r="33" spans="1:26">
      <c r="A33" s="114">
        <f t="shared" si="17"/>
        <v>2024026</v>
      </c>
      <c r="B33" s="74"/>
      <c r="C33" s="642"/>
      <c r="D33" s="645"/>
      <c r="E33" s="645"/>
      <c r="F33" s="645"/>
      <c r="G33" s="645"/>
      <c r="H33" s="645"/>
      <c r="I33" s="648"/>
      <c r="J33" s="629"/>
      <c r="K33" s="174" t="s">
        <v>27</v>
      </c>
      <c r="L33" s="297">
        <v>245000</v>
      </c>
      <c r="M33" s="297">
        <v>245000</v>
      </c>
      <c r="N33" s="297">
        <v>245000</v>
      </c>
      <c r="O33" s="297">
        <v>245000</v>
      </c>
      <c r="P33" s="301">
        <v>245000</v>
      </c>
      <c r="Q33" s="301">
        <v>245000</v>
      </c>
      <c r="R33" s="301">
        <v>245000</v>
      </c>
      <c r="S33" s="301">
        <v>245000</v>
      </c>
      <c r="T33" s="301">
        <v>245000</v>
      </c>
      <c r="U33" s="301">
        <v>245000</v>
      </c>
      <c r="V33" s="301">
        <v>228437</v>
      </c>
      <c r="W33" s="102">
        <v>235000</v>
      </c>
      <c r="X33" s="49">
        <f t="shared" si="16"/>
        <v>2913437</v>
      </c>
      <c r="Y33" s="69"/>
      <c r="Z33" s="69"/>
    </row>
    <row r="34" spans="1:26">
      <c r="A34" s="114">
        <f t="shared" si="17"/>
        <v>2024026</v>
      </c>
      <c r="B34" s="74"/>
      <c r="C34" s="642"/>
      <c r="D34" s="645"/>
      <c r="E34" s="645"/>
      <c r="F34" s="645"/>
      <c r="G34" s="645"/>
      <c r="H34" s="645"/>
      <c r="I34" s="648"/>
      <c r="J34" s="629"/>
      <c r="K34" s="174" t="s">
        <v>34</v>
      </c>
      <c r="L34" s="297"/>
      <c r="M34" s="297"/>
      <c r="N34" s="297"/>
      <c r="O34" s="297"/>
      <c r="P34" s="301"/>
      <c r="Q34" s="301"/>
      <c r="R34" s="301"/>
      <c r="S34" s="301"/>
      <c r="T34" s="301"/>
      <c r="U34" s="301"/>
      <c r="V34" s="301"/>
      <c r="W34" s="102"/>
      <c r="X34" s="49">
        <f t="shared" si="16"/>
        <v>0</v>
      </c>
      <c r="Y34" s="69"/>
      <c r="Z34" s="69"/>
    </row>
    <row r="35" spans="1:26">
      <c r="A35" s="114">
        <f t="shared" si="17"/>
        <v>2024026</v>
      </c>
      <c r="B35" s="74"/>
      <c r="C35" s="642"/>
      <c r="D35" s="645"/>
      <c r="E35" s="645"/>
      <c r="F35" s="645"/>
      <c r="G35" s="645"/>
      <c r="H35" s="645"/>
      <c r="I35" s="648"/>
      <c r="J35" s="629"/>
      <c r="K35" s="174" t="s">
        <v>28</v>
      </c>
      <c r="L35" s="297">
        <v>20000</v>
      </c>
      <c r="M35" s="297">
        <v>20000</v>
      </c>
      <c r="N35" s="297">
        <v>20000</v>
      </c>
      <c r="O35" s="297">
        <v>20000</v>
      </c>
      <c r="P35" s="301">
        <v>20000</v>
      </c>
      <c r="Q35" s="301">
        <v>20000</v>
      </c>
      <c r="R35" s="301">
        <v>20000</v>
      </c>
      <c r="S35" s="301">
        <v>20000</v>
      </c>
      <c r="T35" s="301">
        <v>20000</v>
      </c>
      <c r="U35" s="301">
        <v>20000</v>
      </c>
      <c r="V35" s="301">
        <v>20000</v>
      </c>
      <c r="W35" s="102">
        <v>20000</v>
      </c>
      <c r="X35" s="49">
        <f t="shared" si="16"/>
        <v>240000</v>
      </c>
      <c r="Y35" s="69"/>
      <c r="Z35" s="69"/>
    </row>
    <row r="36" spans="1:26">
      <c r="A36" s="114">
        <f t="shared" si="17"/>
        <v>2024026</v>
      </c>
      <c r="B36" s="74"/>
      <c r="C36" s="642"/>
      <c r="D36" s="645"/>
      <c r="E36" s="645"/>
      <c r="F36" s="645"/>
      <c r="G36" s="645"/>
      <c r="H36" s="645"/>
      <c r="I36" s="648"/>
      <c r="J36" s="629"/>
      <c r="K36" s="174" t="s">
        <v>29</v>
      </c>
      <c r="L36" s="297">
        <v>12350</v>
      </c>
      <c r="M36" s="297">
        <v>12350</v>
      </c>
      <c r="N36" s="297">
        <v>12350</v>
      </c>
      <c r="O36" s="297">
        <v>12350</v>
      </c>
      <c r="P36" s="301">
        <v>12350</v>
      </c>
      <c r="Q36" s="301">
        <v>12350</v>
      </c>
      <c r="R36" s="301">
        <v>12350</v>
      </c>
      <c r="S36" s="301">
        <v>12350</v>
      </c>
      <c r="T36" s="301">
        <v>12350</v>
      </c>
      <c r="U36" s="301">
        <v>12350</v>
      </c>
      <c r="V36" s="301">
        <v>12350</v>
      </c>
      <c r="W36" s="102">
        <v>12350</v>
      </c>
      <c r="X36" s="49">
        <f t="shared" si="16"/>
        <v>148200</v>
      </c>
      <c r="Y36" s="69"/>
      <c r="Z36" s="69"/>
    </row>
    <row r="37" spans="1:26">
      <c r="A37" s="114">
        <f t="shared" si="17"/>
        <v>2024026</v>
      </c>
      <c r="B37" s="74"/>
      <c r="C37" s="642"/>
      <c r="D37" s="645"/>
      <c r="E37" s="645"/>
      <c r="F37" s="645"/>
      <c r="G37" s="645"/>
      <c r="H37" s="645"/>
      <c r="I37" s="648"/>
      <c r="J37" s="629"/>
      <c r="K37" s="174" t="s">
        <v>30</v>
      </c>
      <c r="L37" s="297">
        <v>23790</v>
      </c>
      <c r="M37" s="297">
        <v>23790</v>
      </c>
      <c r="N37" s="297">
        <v>23790</v>
      </c>
      <c r="O37" s="297">
        <v>23790</v>
      </c>
      <c r="P37" s="301">
        <v>23790</v>
      </c>
      <c r="Q37" s="301">
        <v>23790</v>
      </c>
      <c r="R37" s="301">
        <v>23790</v>
      </c>
      <c r="S37" s="301">
        <v>23790</v>
      </c>
      <c r="T37" s="301">
        <v>23790</v>
      </c>
      <c r="U37" s="301">
        <v>23790</v>
      </c>
      <c r="V37" s="301">
        <v>23790</v>
      </c>
      <c r="W37" s="102">
        <v>23790</v>
      </c>
      <c r="X37" s="49">
        <f t="shared" si="16"/>
        <v>285480</v>
      </c>
      <c r="Y37" s="69"/>
      <c r="Z37" s="69"/>
    </row>
    <row r="38" spans="1:26">
      <c r="A38" s="114">
        <f t="shared" si="17"/>
        <v>2024026</v>
      </c>
      <c r="B38" s="74"/>
      <c r="C38" s="642"/>
      <c r="D38" s="645"/>
      <c r="E38" s="645"/>
      <c r="F38" s="645"/>
      <c r="G38" s="645"/>
      <c r="H38" s="645"/>
      <c r="I38" s="648"/>
      <c r="J38" s="629"/>
      <c r="K38" s="174" t="s">
        <v>31</v>
      </c>
      <c r="L38" s="297">
        <v>1325</v>
      </c>
      <c r="M38" s="297">
        <v>1325</v>
      </c>
      <c r="N38" s="297">
        <v>1325</v>
      </c>
      <c r="O38" s="297">
        <v>1325</v>
      </c>
      <c r="P38" s="301">
        <v>1325</v>
      </c>
      <c r="Q38" s="301">
        <v>1325</v>
      </c>
      <c r="R38" s="301">
        <v>1325</v>
      </c>
      <c r="S38" s="301">
        <v>1325</v>
      </c>
      <c r="T38" s="301">
        <v>1325</v>
      </c>
      <c r="U38" s="301">
        <v>1325</v>
      </c>
      <c r="V38" s="301">
        <v>1329</v>
      </c>
      <c r="W38" s="102">
        <v>1325</v>
      </c>
      <c r="X38" s="49">
        <f t="shared" si="16"/>
        <v>15904</v>
      </c>
      <c r="Y38" s="69"/>
      <c r="Z38" s="69"/>
    </row>
    <row r="39" spans="1:26">
      <c r="A39" s="114">
        <f t="shared" si="17"/>
        <v>2024026</v>
      </c>
      <c r="B39" s="74"/>
      <c r="C39" s="642"/>
      <c r="D39" s="645"/>
      <c r="E39" s="645"/>
      <c r="F39" s="645"/>
      <c r="G39" s="645"/>
      <c r="H39" s="645"/>
      <c r="I39" s="648"/>
      <c r="J39" s="629"/>
      <c r="K39" s="210" t="s">
        <v>32</v>
      </c>
      <c r="L39" s="297">
        <v>1457</v>
      </c>
      <c r="M39" s="297">
        <v>1457</v>
      </c>
      <c r="N39" s="297">
        <v>1457</v>
      </c>
      <c r="O39" s="297">
        <v>1457</v>
      </c>
      <c r="P39" s="301">
        <v>1457</v>
      </c>
      <c r="Q39" s="301">
        <v>1457</v>
      </c>
      <c r="R39" s="301">
        <v>1457</v>
      </c>
      <c r="S39" s="301">
        <v>1457</v>
      </c>
      <c r="T39" s="301">
        <v>1457</v>
      </c>
      <c r="U39" s="301">
        <v>1457</v>
      </c>
      <c r="V39" s="301">
        <v>1462</v>
      </c>
      <c r="W39" s="102">
        <v>1457</v>
      </c>
      <c r="X39" s="49">
        <f t="shared" si="16"/>
        <v>17489</v>
      </c>
      <c r="Y39" s="69"/>
      <c r="Z39" s="69"/>
    </row>
    <row r="40" spans="1:26">
      <c r="A40" s="114">
        <f t="shared" si="17"/>
        <v>2024026</v>
      </c>
      <c r="B40" s="74"/>
      <c r="C40" s="654"/>
      <c r="D40" s="655"/>
      <c r="E40" s="655"/>
      <c r="F40" s="655"/>
      <c r="G40" s="655"/>
      <c r="H40" s="655"/>
      <c r="I40" s="652"/>
      <c r="J40" s="630"/>
      <c r="K40" s="170" t="s">
        <v>33</v>
      </c>
      <c r="L40" s="308">
        <f t="shared" ref="L40:X40" si="19">L29-L32</f>
        <v>146078</v>
      </c>
      <c r="M40" s="405">
        <f t="shared" si="19"/>
        <v>146078</v>
      </c>
      <c r="N40" s="405">
        <f t="shared" si="19"/>
        <v>146078</v>
      </c>
      <c r="O40" s="405">
        <f t="shared" si="19"/>
        <v>146078</v>
      </c>
      <c r="P40" s="405">
        <f t="shared" si="19"/>
        <v>146078</v>
      </c>
      <c r="Q40" s="405">
        <f t="shared" si="19"/>
        <v>67398</v>
      </c>
      <c r="R40" s="405">
        <f t="shared" si="19"/>
        <v>146078</v>
      </c>
      <c r="S40" s="405">
        <f t="shared" si="19"/>
        <v>110953</v>
      </c>
      <c r="T40" s="405">
        <f t="shared" si="19"/>
        <v>146078</v>
      </c>
      <c r="U40" s="405">
        <f t="shared" si="19"/>
        <v>146078</v>
      </c>
      <c r="V40" s="405">
        <f t="shared" si="19"/>
        <v>127507</v>
      </c>
      <c r="W40" s="212">
        <f t="shared" si="19"/>
        <v>144369.66666666669</v>
      </c>
      <c r="X40" s="51">
        <f t="shared" si="19"/>
        <v>1618851.666666667</v>
      </c>
      <c r="Z40" s="69"/>
    </row>
    <row r="41" spans="1:26" ht="12.75" customHeight="1">
      <c r="A41" s="113">
        <v>2023030</v>
      </c>
      <c r="C41" s="641">
        <f t="shared" ref="C41" si="20">C29+1</f>
        <v>4</v>
      </c>
      <c r="D41" s="645" t="s">
        <v>59</v>
      </c>
      <c r="E41" s="645"/>
      <c r="F41" s="645"/>
      <c r="G41" s="644" t="s">
        <v>160</v>
      </c>
      <c r="H41" s="645"/>
      <c r="I41" s="648"/>
      <c r="J41" s="629" t="s">
        <v>65</v>
      </c>
      <c r="K41" s="177" t="s">
        <v>23</v>
      </c>
      <c r="L41" s="299">
        <f t="shared" ref="L41:W41" si="21">L42+L43</f>
        <v>450000</v>
      </c>
      <c r="M41" s="413">
        <f t="shared" si="21"/>
        <v>450000</v>
      </c>
      <c r="N41" s="413">
        <f t="shared" si="21"/>
        <v>450000</v>
      </c>
      <c r="O41" s="413">
        <f t="shared" si="21"/>
        <v>450000</v>
      </c>
      <c r="P41" s="413">
        <f t="shared" si="21"/>
        <v>407850</v>
      </c>
      <c r="Q41" s="413">
        <f t="shared" si="21"/>
        <v>450000</v>
      </c>
      <c r="R41" s="413">
        <f t="shared" si="21"/>
        <v>450000</v>
      </c>
      <c r="S41" s="413">
        <f t="shared" si="21"/>
        <v>450000</v>
      </c>
      <c r="T41" s="413">
        <f t="shared" si="21"/>
        <v>450000</v>
      </c>
      <c r="U41" s="413">
        <f t="shared" si="21"/>
        <v>405040</v>
      </c>
      <c r="V41" s="413">
        <f t="shared" si="21"/>
        <v>426115</v>
      </c>
      <c r="W41" s="103">
        <f t="shared" si="21"/>
        <v>435013.33333333331</v>
      </c>
      <c r="X41" s="52">
        <f t="shared" ref="X41:X51" si="22">SUM(L41:W41)</f>
        <v>5274018.333333333</v>
      </c>
      <c r="Z41" s="69"/>
    </row>
    <row r="42" spans="1:26">
      <c r="A42" s="114">
        <f t="shared" ref="A42:A52" si="23">+A41</f>
        <v>2023030</v>
      </c>
      <c r="B42" s="74"/>
      <c r="C42" s="642"/>
      <c r="D42" s="645"/>
      <c r="E42" s="645"/>
      <c r="F42" s="645"/>
      <c r="G42" s="645"/>
      <c r="H42" s="645"/>
      <c r="I42" s="648"/>
      <c r="J42" s="629"/>
      <c r="K42" s="172" t="s">
        <v>24</v>
      </c>
      <c r="L42" s="301">
        <v>450000</v>
      </c>
      <c r="M42" s="301">
        <v>450000</v>
      </c>
      <c r="N42" s="301">
        <v>450000</v>
      </c>
      <c r="O42" s="301">
        <v>450000</v>
      </c>
      <c r="P42" s="301">
        <v>407850</v>
      </c>
      <c r="Q42" s="301">
        <v>450000</v>
      </c>
      <c r="R42" s="301">
        <v>450000</v>
      </c>
      <c r="S42" s="301">
        <v>450000</v>
      </c>
      <c r="T42" s="301">
        <v>450000</v>
      </c>
      <c r="U42" s="301">
        <v>405040</v>
      </c>
      <c r="V42" s="301">
        <v>426115</v>
      </c>
      <c r="W42" s="102">
        <v>435013.33333333331</v>
      </c>
      <c r="X42" s="49">
        <f t="shared" si="22"/>
        <v>5274018.333333333</v>
      </c>
      <c r="Y42" s="69"/>
      <c r="Z42" s="69"/>
    </row>
    <row r="43" spans="1:26">
      <c r="A43" s="114">
        <f t="shared" si="23"/>
        <v>2023030</v>
      </c>
      <c r="B43" s="74"/>
      <c r="C43" s="642"/>
      <c r="D43" s="645"/>
      <c r="E43" s="645"/>
      <c r="F43" s="645"/>
      <c r="G43" s="645"/>
      <c r="H43" s="645"/>
      <c r="I43" s="648"/>
      <c r="J43" s="629"/>
      <c r="K43" s="172" t="s">
        <v>96</v>
      </c>
      <c r="L43" s="312"/>
      <c r="M43" s="297"/>
      <c r="N43" s="297"/>
      <c r="O43" s="297"/>
      <c r="P43" s="297"/>
      <c r="Q43" s="297"/>
      <c r="R43" s="297"/>
      <c r="S43" s="297"/>
      <c r="T43" s="297"/>
      <c r="U43" s="297"/>
      <c r="V43" s="297"/>
      <c r="W43" s="91"/>
      <c r="X43" s="49">
        <f t="shared" si="22"/>
        <v>0</v>
      </c>
      <c r="Z43" s="69"/>
    </row>
    <row r="44" spans="1:26">
      <c r="A44" s="114">
        <f t="shared" si="23"/>
        <v>2023030</v>
      </c>
      <c r="B44" s="74"/>
      <c r="C44" s="642"/>
      <c r="D44" s="645"/>
      <c r="E44" s="645"/>
      <c r="F44" s="645"/>
      <c r="G44" s="645"/>
      <c r="H44" s="645"/>
      <c r="I44" s="648"/>
      <c r="J44" s="629"/>
      <c r="K44" s="173" t="s">
        <v>26</v>
      </c>
      <c r="L44" s="296">
        <f t="shared" ref="L44:W44" si="24">SUM(L45:L51)</f>
        <v>306034</v>
      </c>
      <c r="M44" s="411">
        <f t="shared" si="24"/>
        <v>306640</v>
      </c>
      <c r="N44" s="411">
        <f t="shared" si="24"/>
        <v>306640</v>
      </c>
      <c r="O44" s="411">
        <f t="shared" si="24"/>
        <v>306640</v>
      </c>
      <c r="P44" s="411">
        <f t="shared" si="24"/>
        <v>306640</v>
      </c>
      <c r="Q44" s="411">
        <f t="shared" si="24"/>
        <v>306640</v>
      </c>
      <c r="R44" s="411">
        <f t="shared" si="24"/>
        <v>306640</v>
      </c>
      <c r="S44" s="411">
        <f t="shared" si="24"/>
        <v>321798</v>
      </c>
      <c r="T44" s="411">
        <f t="shared" si="24"/>
        <v>321798</v>
      </c>
      <c r="U44" s="411">
        <f t="shared" si="24"/>
        <v>320310</v>
      </c>
      <c r="V44" s="411">
        <f t="shared" si="24"/>
        <v>309329</v>
      </c>
      <c r="W44" s="99">
        <f t="shared" si="24"/>
        <v>291034</v>
      </c>
      <c r="X44" s="50">
        <f t="shared" si="22"/>
        <v>3710143</v>
      </c>
      <c r="Z44" s="69"/>
    </row>
    <row r="45" spans="1:26">
      <c r="A45" s="114">
        <f t="shared" si="23"/>
        <v>2023030</v>
      </c>
      <c r="B45" s="74"/>
      <c r="C45" s="642"/>
      <c r="D45" s="645"/>
      <c r="E45" s="645"/>
      <c r="F45" s="645"/>
      <c r="G45" s="645"/>
      <c r="H45" s="645"/>
      <c r="I45" s="648"/>
      <c r="J45" s="629"/>
      <c r="K45" s="174" t="s">
        <v>27</v>
      </c>
      <c r="L45" s="297">
        <v>250000</v>
      </c>
      <c r="M45" s="297">
        <v>250000</v>
      </c>
      <c r="N45" s="297">
        <v>250000</v>
      </c>
      <c r="O45" s="297">
        <v>250000</v>
      </c>
      <c r="P45" s="297">
        <v>250000</v>
      </c>
      <c r="Q45" s="297">
        <v>250000</v>
      </c>
      <c r="R45" s="297">
        <v>250000</v>
      </c>
      <c r="S45" s="297">
        <v>265000</v>
      </c>
      <c r="T45" s="297">
        <v>265000</v>
      </c>
      <c r="U45" s="297">
        <v>263527</v>
      </c>
      <c r="V45" s="297">
        <v>252479</v>
      </c>
      <c r="W45" s="93">
        <v>235000</v>
      </c>
      <c r="X45" s="49">
        <f t="shared" si="22"/>
        <v>3031006</v>
      </c>
      <c r="Y45" s="69"/>
      <c r="Z45" s="69"/>
    </row>
    <row r="46" spans="1:26">
      <c r="A46" s="114">
        <f t="shared" si="23"/>
        <v>2023030</v>
      </c>
      <c r="B46" s="74"/>
      <c r="C46" s="642"/>
      <c r="D46" s="645"/>
      <c r="E46" s="645"/>
      <c r="F46" s="645"/>
      <c r="G46" s="645"/>
      <c r="H46" s="645"/>
      <c r="I46" s="648"/>
      <c r="J46" s="629"/>
      <c r="K46" s="174" t="s">
        <v>34</v>
      </c>
      <c r="L46" s="297"/>
      <c r="M46" s="297"/>
      <c r="N46" s="297"/>
      <c r="O46" s="297"/>
      <c r="P46" s="297"/>
      <c r="Q46" s="297"/>
      <c r="R46" s="297"/>
      <c r="S46" s="297"/>
      <c r="T46" s="297"/>
      <c r="U46" s="297"/>
      <c r="V46" s="297"/>
      <c r="W46" s="93"/>
      <c r="X46" s="49">
        <f t="shared" si="22"/>
        <v>0</v>
      </c>
      <c r="Y46" s="69"/>
      <c r="Z46" s="69"/>
    </row>
    <row r="47" spans="1:26">
      <c r="A47" s="114">
        <f t="shared" si="23"/>
        <v>2023030</v>
      </c>
      <c r="B47" s="74"/>
      <c r="C47" s="642"/>
      <c r="D47" s="645"/>
      <c r="E47" s="645"/>
      <c r="F47" s="645"/>
      <c r="G47" s="645"/>
      <c r="H47" s="645"/>
      <c r="I47" s="648"/>
      <c r="J47" s="629"/>
      <c r="K47" s="174" t="s">
        <v>28</v>
      </c>
      <c r="L47" s="297">
        <v>17090</v>
      </c>
      <c r="M47" s="297">
        <v>17690</v>
      </c>
      <c r="N47" s="297">
        <v>17690</v>
      </c>
      <c r="O47" s="297">
        <v>17690</v>
      </c>
      <c r="P47" s="297">
        <v>17690</v>
      </c>
      <c r="Q47" s="297">
        <v>17690</v>
      </c>
      <c r="R47" s="297">
        <v>17690</v>
      </c>
      <c r="S47" s="297">
        <v>17690</v>
      </c>
      <c r="T47" s="297">
        <v>17690</v>
      </c>
      <c r="U47" s="297">
        <v>17690</v>
      </c>
      <c r="V47" s="297">
        <v>17690</v>
      </c>
      <c r="W47" s="91">
        <v>17090</v>
      </c>
      <c r="X47" s="49">
        <f t="shared" si="22"/>
        <v>211080</v>
      </c>
      <c r="Y47" s="69"/>
      <c r="Z47" s="69"/>
    </row>
    <row r="48" spans="1:26">
      <c r="A48" s="114">
        <f t="shared" si="23"/>
        <v>2023030</v>
      </c>
      <c r="B48" s="74"/>
      <c r="C48" s="642"/>
      <c r="D48" s="645"/>
      <c r="E48" s="645"/>
      <c r="F48" s="645"/>
      <c r="G48" s="645"/>
      <c r="H48" s="645"/>
      <c r="I48" s="648"/>
      <c r="J48" s="629"/>
      <c r="K48" s="174" t="s">
        <v>29</v>
      </c>
      <c r="L48" s="297">
        <v>12350</v>
      </c>
      <c r="M48" s="297">
        <v>12350</v>
      </c>
      <c r="N48" s="297">
        <v>12350</v>
      </c>
      <c r="O48" s="297">
        <v>12350</v>
      </c>
      <c r="P48" s="297">
        <v>12350</v>
      </c>
      <c r="Q48" s="297">
        <v>12350</v>
      </c>
      <c r="R48" s="297">
        <v>12350</v>
      </c>
      <c r="S48" s="297">
        <v>12350</v>
      </c>
      <c r="T48" s="297">
        <v>12350</v>
      </c>
      <c r="U48" s="297">
        <v>12350</v>
      </c>
      <c r="V48" s="297">
        <v>12350</v>
      </c>
      <c r="W48" s="93">
        <v>12350</v>
      </c>
      <c r="X48" s="49">
        <f t="shared" si="22"/>
        <v>148200</v>
      </c>
      <c r="Y48" s="69"/>
      <c r="Z48" s="69"/>
    </row>
    <row r="49" spans="1:26">
      <c r="A49" s="114">
        <f t="shared" si="23"/>
        <v>2023030</v>
      </c>
      <c r="B49" s="74"/>
      <c r="C49" s="642"/>
      <c r="D49" s="645"/>
      <c r="E49" s="645"/>
      <c r="F49" s="645"/>
      <c r="G49" s="645"/>
      <c r="H49" s="645"/>
      <c r="I49" s="648"/>
      <c r="J49" s="629"/>
      <c r="K49" s="174" t="s">
        <v>30</v>
      </c>
      <c r="L49" s="297">
        <v>23790</v>
      </c>
      <c r="M49" s="297">
        <v>23790</v>
      </c>
      <c r="N49" s="297">
        <v>23790</v>
      </c>
      <c r="O49" s="297">
        <v>23790</v>
      </c>
      <c r="P49" s="297">
        <v>23790</v>
      </c>
      <c r="Q49" s="297">
        <v>23790</v>
      </c>
      <c r="R49" s="297">
        <v>23790</v>
      </c>
      <c r="S49" s="297">
        <v>23790</v>
      </c>
      <c r="T49" s="297">
        <v>23790</v>
      </c>
      <c r="U49" s="297">
        <v>23790</v>
      </c>
      <c r="V49" s="297">
        <v>23790</v>
      </c>
      <c r="W49" s="93">
        <v>23790</v>
      </c>
      <c r="X49" s="49">
        <f t="shared" si="22"/>
        <v>285480</v>
      </c>
      <c r="Y49" s="69"/>
      <c r="Z49" s="69"/>
    </row>
    <row r="50" spans="1:26">
      <c r="A50" s="114">
        <f t="shared" si="23"/>
        <v>2023030</v>
      </c>
      <c r="B50" s="74"/>
      <c r="C50" s="642"/>
      <c r="D50" s="645"/>
      <c r="E50" s="645"/>
      <c r="F50" s="645"/>
      <c r="G50" s="645"/>
      <c r="H50" s="645"/>
      <c r="I50" s="648"/>
      <c r="J50" s="629"/>
      <c r="K50" s="174" t="s">
        <v>31</v>
      </c>
      <c r="L50" s="297">
        <v>1335</v>
      </c>
      <c r="M50" s="297">
        <v>1338</v>
      </c>
      <c r="N50" s="297">
        <v>1338</v>
      </c>
      <c r="O50" s="297">
        <v>1338</v>
      </c>
      <c r="P50" s="297">
        <v>1338</v>
      </c>
      <c r="Q50" s="297">
        <v>1338</v>
      </c>
      <c r="R50" s="297">
        <v>1338</v>
      </c>
      <c r="S50" s="297">
        <v>1413</v>
      </c>
      <c r="T50" s="297">
        <v>1413</v>
      </c>
      <c r="U50" s="297">
        <v>1406</v>
      </c>
      <c r="V50" s="297">
        <v>1438</v>
      </c>
      <c r="W50" s="93">
        <v>1335</v>
      </c>
      <c r="X50" s="49">
        <f t="shared" si="22"/>
        <v>16368</v>
      </c>
      <c r="Y50" s="69"/>
      <c r="Z50" s="69"/>
    </row>
    <row r="51" spans="1:26">
      <c r="A51" s="114">
        <f t="shared" si="23"/>
        <v>2023030</v>
      </c>
      <c r="B51" s="74"/>
      <c r="C51" s="642"/>
      <c r="D51" s="645"/>
      <c r="E51" s="645"/>
      <c r="F51" s="645"/>
      <c r="G51" s="645"/>
      <c r="H51" s="645"/>
      <c r="I51" s="648"/>
      <c r="J51" s="629"/>
      <c r="K51" s="210" t="s">
        <v>32</v>
      </c>
      <c r="L51" s="297">
        <v>1469</v>
      </c>
      <c r="M51" s="297">
        <v>1472</v>
      </c>
      <c r="N51" s="297">
        <v>1472</v>
      </c>
      <c r="O51" s="297">
        <v>1472</v>
      </c>
      <c r="P51" s="297">
        <v>1472</v>
      </c>
      <c r="Q51" s="297">
        <v>1472</v>
      </c>
      <c r="R51" s="297">
        <v>1472</v>
      </c>
      <c r="S51" s="297">
        <v>1555</v>
      </c>
      <c r="T51" s="297">
        <v>1555</v>
      </c>
      <c r="U51" s="297">
        <v>1547</v>
      </c>
      <c r="V51" s="297">
        <v>1582</v>
      </c>
      <c r="W51" s="93">
        <v>1469</v>
      </c>
      <c r="X51" s="49">
        <f t="shared" si="22"/>
        <v>18009</v>
      </c>
      <c r="Y51" s="69"/>
      <c r="Z51" s="69"/>
    </row>
    <row r="52" spans="1:26">
      <c r="A52" s="114">
        <f t="shared" si="23"/>
        <v>2023030</v>
      </c>
      <c r="B52" s="74"/>
      <c r="C52" s="654"/>
      <c r="D52" s="655"/>
      <c r="E52" s="655"/>
      <c r="F52" s="655"/>
      <c r="G52" s="655"/>
      <c r="H52" s="655"/>
      <c r="I52" s="652"/>
      <c r="J52" s="630"/>
      <c r="K52" s="170" t="s">
        <v>33</v>
      </c>
      <c r="L52" s="308">
        <f t="shared" ref="L52:X52" si="25">L41-L44</f>
        <v>143966</v>
      </c>
      <c r="M52" s="405">
        <f t="shared" si="25"/>
        <v>143360</v>
      </c>
      <c r="N52" s="405">
        <f t="shared" si="25"/>
        <v>143360</v>
      </c>
      <c r="O52" s="405">
        <f t="shared" si="25"/>
        <v>143360</v>
      </c>
      <c r="P52" s="405">
        <f t="shared" si="25"/>
        <v>101210</v>
      </c>
      <c r="Q52" s="405">
        <f t="shared" si="25"/>
        <v>143360</v>
      </c>
      <c r="R52" s="405">
        <f t="shared" si="25"/>
        <v>143360</v>
      </c>
      <c r="S52" s="405">
        <f t="shared" si="25"/>
        <v>128202</v>
      </c>
      <c r="T52" s="405">
        <f t="shared" si="25"/>
        <v>128202</v>
      </c>
      <c r="U52" s="405">
        <f t="shared" si="25"/>
        <v>84730</v>
      </c>
      <c r="V52" s="405">
        <f t="shared" si="25"/>
        <v>116786</v>
      </c>
      <c r="W52" s="212">
        <f t="shared" si="25"/>
        <v>143979.33333333331</v>
      </c>
      <c r="X52" s="51">
        <f t="shared" si="25"/>
        <v>1563875.333333333</v>
      </c>
      <c r="Z52" s="69"/>
    </row>
    <row r="53" spans="1:26" ht="12.75" customHeight="1">
      <c r="A53" s="113">
        <v>2016021</v>
      </c>
      <c r="C53" s="641">
        <f t="shared" ref="C53" si="26">C41+1</f>
        <v>5</v>
      </c>
      <c r="D53" s="644" t="s">
        <v>59</v>
      </c>
      <c r="E53" s="644"/>
      <c r="F53" s="644"/>
      <c r="G53" s="644" t="s">
        <v>160</v>
      </c>
      <c r="H53" s="644"/>
      <c r="I53" s="647"/>
      <c r="J53" s="628" t="s">
        <v>65</v>
      </c>
      <c r="K53" s="176" t="s">
        <v>23</v>
      </c>
      <c r="L53" s="294">
        <f t="shared" ref="L53:W53" si="27">L54+L55</f>
        <v>710000</v>
      </c>
      <c r="M53" s="409">
        <f t="shared" si="27"/>
        <v>710000</v>
      </c>
      <c r="N53" s="409">
        <f t="shared" si="27"/>
        <v>710000</v>
      </c>
      <c r="O53" s="409">
        <f t="shared" si="27"/>
        <v>710000</v>
      </c>
      <c r="P53" s="409">
        <f t="shared" si="27"/>
        <v>710000</v>
      </c>
      <c r="Q53" s="409">
        <f t="shared" si="27"/>
        <v>698900</v>
      </c>
      <c r="R53" s="409">
        <f t="shared" si="27"/>
        <v>710000</v>
      </c>
      <c r="S53" s="409">
        <f t="shared" si="27"/>
        <v>638960</v>
      </c>
      <c r="T53" s="409">
        <f t="shared" si="27"/>
        <v>696680</v>
      </c>
      <c r="U53" s="409">
        <f t="shared" si="27"/>
        <v>687800</v>
      </c>
      <c r="V53" s="409">
        <f t="shared" si="27"/>
        <v>672260</v>
      </c>
      <c r="W53" s="97">
        <f t="shared" si="27"/>
        <v>664180.5555555555</v>
      </c>
      <c r="X53" s="117">
        <f t="shared" ref="X53:X63" si="28">SUM(L53:W53)</f>
        <v>8318780.555555556</v>
      </c>
      <c r="Z53" s="69"/>
    </row>
    <row r="54" spans="1:26">
      <c r="A54" s="114">
        <f t="shared" ref="A54:A64" si="29">+A53</f>
        <v>2016021</v>
      </c>
      <c r="B54" s="74"/>
      <c r="C54" s="642"/>
      <c r="D54" s="645"/>
      <c r="E54" s="645"/>
      <c r="F54" s="645"/>
      <c r="G54" s="645"/>
      <c r="H54" s="645"/>
      <c r="I54" s="648"/>
      <c r="J54" s="629"/>
      <c r="K54" s="172" t="s">
        <v>24</v>
      </c>
      <c r="L54" s="301">
        <v>710000</v>
      </c>
      <c r="M54" s="301">
        <v>710000</v>
      </c>
      <c r="N54" s="301">
        <v>710000</v>
      </c>
      <c r="O54" s="301">
        <v>710000</v>
      </c>
      <c r="P54" s="301">
        <v>710000</v>
      </c>
      <c r="Q54" s="301">
        <v>698900</v>
      </c>
      <c r="R54" s="301">
        <v>710000</v>
      </c>
      <c r="S54" s="301">
        <v>638960</v>
      </c>
      <c r="T54" s="301">
        <v>696680</v>
      </c>
      <c r="U54" s="301">
        <v>687800</v>
      </c>
      <c r="V54" s="301">
        <v>672260</v>
      </c>
      <c r="W54" s="102">
        <v>664180.5555555555</v>
      </c>
      <c r="X54" s="49">
        <f t="shared" si="28"/>
        <v>8318780.555555556</v>
      </c>
      <c r="Y54" s="69"/>
      <c r="Z54" s="69"/>
    </row>
    <row r="55" spans="1:26">
      <c r="A55" s="114">
        <f t="shared" si="29"/>
        <v>2016021</v>
      </c>
      <c r="B55" s="74"/>
      <c r="C55" s="642"/>
      <c r="D55" s="645"/>
      <c r="E55" s="645"/>
      <c r="F55" s="645"/>
      <c r="G55" s="645"/>
      <c r="H55" s="645"/>
      <c r="I55" s="648"/>
      <c r="J55" s="629"/>
      <c r="K55" s="172" t="s">
        <v>25</v>
      </c>
      <c r="L55" s="312"/>
      <c r="M55" s="297"/>
      <c r="N55" s="297"/>
      <c r="O55" s="297"/>
      <c r="P55" s="297"/>
      <c r="Q55" s="297"/>
      <c r="R55" s="297"/>
      <c r="S55" s="297"/>
      <c r="T55" s="297"/>
      <c r="U55" s="297"/>
      <c r="V55" s="297"/>
      <c r="W55" s="91"/>
      <c r="X55" s="49">
        <f t="shared" si="28"/>
        <v>0</v>
      </c>
      <c r="Z55" s="69"/>
    </row>
    <row r="56" spans="1:26">
      <c r="A56" s="114">
        <f t="shared" si="29"/>
        <v>2016021</v>
      </c>
      <c r="B56" s="74"/>
      <c r="C56" s="642"/>
      <c r="D56" s="645"/>
      <c r="E56" s="645"/>
      <c r="F56" s="645"/>
      <c r="G56" s="645"/>
      <c r="H56" s="645"/>
      <c r="I56" s="648"/>
      <c r="J56" s="629"/>
      <c r="K56" s="173" t="s">
        <v>26</v>
      </c>
      <c r="L56" s="296">
        <f t="shared" ref="L56:W56" si="30">SUM(L57:L63)</f>
        <v>569757</v>
      </c>
      <c r="M56" s="411">
        <f t="shared" si="30"/>
        <v>571977</v>
      </c>
      <c r="N56" s="411">
        <f t="shared" si="30"/>
        <v>572381</v>
      </c>
      <c r="O56" s="411">
        <f t="shared" si="30"/>
        <v>571271</v>
      </c>
      <c r="P56" s="411">
        <f t="shared" si="30"/>
        <v>569706</v>
      </c>
      <c r="Q56" s="411">
        <f t="shared" si="30"/>
        <v>574498</v>
      </c>
      <c r="R56" s="411">
        <f t="shared" si="30"/>
        <v>573793</v>
      </c>
      <c r="S56" s="411">
        <f t="shared" si="30"/>
        <v>572985</v>
      </c>
      <c r="T56" s="411">
        <f t="shared" si="30"/>
        <v>573389</v>
      </c>
      <c r="U56" s="411">
        <f t="shared" si="30"/>
        <v>572985</v>
      </c>
      <c r="V56" s="411">
        <f t="shared" si="30"/>
        <v>562929</v>
      </c>
      <c r="W56" s="99">
        <f t="shared" si="30"/>
        <v>558423.66666666674</v>
      </c>
      <c r="X56" s="50">
        <f t="shared" si="28"/>
        <v>6844094.666666667</v>
      </c>
      <c r="Z56" s="69"/>
    </row>
    <row r="57" spans="1:26">
      <c r="A57" s="114">
        <f t="shared" si="29"/>
        <v>2016021</v>
      </c>
      <c r="B57" s="74"/>
      <c r="C57" s="642"/>
      <c r="D57" s="645"/>
      <c r="E57" s="645"/>
      <c r="F57" s="645"/>
      <c r="G57" s="645"/>
      <c r="H57" s="645"/>
      <c r="I57" s="648"/>
      <c r="J57" s="629"/>
      <c r="K57" s="174" t="s">
        <v>27</v>
      </c>
      <c r="L57" s="297">
        <v>495000</v>
      </c>
      <c r="M57" s="297">
        <v>494200</v>
      </c>
      <c r="N57" s="297">
        <v>494600</v>
      </c>
      <c r="O57" s="297">
        <v>495000</v>
      </c>
      <c r="P57" s="297">
        <v>494200</v>
      </c>
      <c r="Q57" s="297">
        <v>493800</v>
      </c>
      <c r="R57" s="297">
        <v>494600</v>
      </c>
      <c r="S57" s="297">
        <v>493800</v>
      </c>
      <c r="T57" s="297">
        <v>494200</v>
      </c>
      <c r="U57" s="297">
        <v>493800</v>
      </c>
      <c r="V57" s="297">
        <v>483668</v>
      </c>
      <c r="W57" s="93">
        <v>483666.66666666669</v>
      </c>
      <c r="X57" s="49">
        <f t="shared" si="28"/>
        <v>5910534.666666667</v>
      </c>
      <c r="Y57" s="69"/>
      <c r="Z57" s="69"/>
    </row>
    <row r="58" spans="1:26">
      <c r="A58" s="114">
        <f t="shared" si="29"/>
        <v>2016021</v>
      </c>
      <c r="B58" s="74"/>
      <c r="C58" s="642"/>
      <c r="D58" s="645"/>
      <c r="E58" s="645"/>
      <c r="F58" s="645"/>
      <c r="G58" s="645"/>
      <c r="H58" s="645"/>
      <c r="I58" s="648"/>
      <c r="J58" s="629"/>
      <c r="K58" s="174" t="s">
        <v>34</v>
      </c>
      <c r="L58" s="297"/>
      <c r="M58" s="297"/>
      <c r="N58" s="297"/>
      <c r="O58" s="297"/>
      <c r="P58" s="297"/>
      <c r="Q58" s="297"/>
      <c r="R58" s="297"/>
      <c r="S58" s="297"/>
      <c r="T58" s="297"/>
      <c r="U58" s="297"/>
      <c r="V58" s="297"/>
      <c r="W58" s="93"/>
      <c r="X58" s="49">
        <f t="shared" si="28"/>
        <v>0</v>
      </c>
      <c r="Y58" s="69"/>
      <c r="Z58" s="69"/>
    </row>
    <row r="59" spans="1:26">
      <c r="A59" s="114">
        <f t="shared" si="29"/>
        <v>2016021</v>
      </c>
      <c r="B59" s="74"/>
      <c r="C59" s="642"/>
      <c r="D59" s="645"/>
      <c r="E59" s="645"/>
      <c r="F59" s="645"/>
      <c r="G59" s="645"/>
      <c r="H59" s="645"/>
      <c r="I59" s="648"/>
      <c r="J59" s="629"/>
      <c r="K59" s="174" t="s">
        <v>28</v>
      </c>
      <c r="L59" s="297">
        <v>0</v>
      </c>
      <c r="M59" s="297">
        <v>2996</v>
      </c>
      <c r="N59" s="297">
        <v>2996</v>
      </c>
      <c r="O59" s="297">
        <v>1498</v>
      </c>
      <c r="P59" s="297">
        <v>749</v>
      </c>
      <c r="Q59" s="297">
        <v>1498</v>
      </c>
      <c r="R59" s="297">
        <v>0</v>
      </c>
      <c r="S59" s="297">
        <v>0</v>
      </c>
      <c r="T59" s="297">
        <v>0</v>
      </c>
      <c r="U59" s="297">
        <v>0</v>
      </c>
      <c r="V59" s="297">
        <v>0</v>
      </c>
      <c r="W59" s="91">
        <v>0</v>
      </c>
      <c r="X59" s="49">
        <f t="shared" si="28"/>
        <v>9737</v>
      </c>
      <c r="Y59" s="69"/>
      <c r="Z59" s="69"/>
    </row>
    <row r="60" spans="1:26">
      <c r="A60" s="114">
        <f t="shared" si="29"/>
        <v>2016021</v>
      </c>
      <c r="B60" s="74"/>
      <c r="C60" s="642"/>
      <c r="D60" s="645"/>
      <c r="E60" s="645"/>
      <c r="F60" s="645"/>
      <c r="G60" s="645"/>
      <c r="H60" s="645"/>
      <c r="I60" s="648"/>
      <c r="J60" s="629"/>
      <c r="K60" s="174" t="s">
        <v>29</v>
      </c>
      <c r="L60" s="297">
        <v>26555</v>
      </c>
      <c r="M60" s="297">
        <v>26555</v>
      </c>
      <c r="N60" s="297">
        <v>26555</v>
      </c>
      <c r="O60" s="297">
        <v>26555</v>
      </c>
      <c r="P60" s="297">
        <v>26555</v>
      </c>
      <c r="Q60" s="297">
        <v>28250</v>
      </c>
      <c r="R60" s="297">
        <v>28250</v>
      </c>
      <c r="S60" s="297">
        <v>28250</v>
      </c>
      <c r="T60" s="297">
        <v>28250</v>
      </c>
      <c r="U60" s="297">
        <v>28250</v>
      </c>
      <c r="V60" s="297">
        <v>28250</v>
      </c>
      <c r="W60" s="93">
        <v>26555</v>
      </c>
      <c r="X60" s="49">
        <f t="shared" si="28"/>
        <v>328830</v>
      </c>
      <c r="Y60" s="69"/>
      <c r="Z60" s="69"/>
    </row>
    <row r="61" spans="1:26">
      <c r="A61" s="114">
        <f t="shared" si="29"/>
        <v>2016021</v>
      </c>
      <c r="B61" s="74"/>
      <c r="C61" s="642"/>
      <c r="D61" s="645"/>
      <c r="E61" s="645"/>
      <c r="F61" s="645"/>
      <c r="G61" s="645"/>
      <c r="H61" s="645"/>
      <c r="I61" s="648"/>
      <c r="J61" s="629"/>
      <c r="K61" s="174" t="s">
        <v>30</v>
      </c>
      <c r="L61" s="297">
        <v>43005</v>
      </c>
      <c r="M61" s="297">
        <v>43005</v>
      </c>
      <c r="N61" s="297">
        <v>43005</v>
      </c>
      <c r="O61" s="297">
        <v>43005</v>
      </c>
      <c r="P61" s="297">
        <v>43005</v>
      </c>
      <c r="Q61" s="297">
        <v>45750</v>
      </c>
      <c r="R61" s="297">
        <v>45750</v>
      </c>
      <c r="S61" s="297">
        <v>45750</v>
      </c>
      <c r="T61" s="297">
        <v>45750</v>
      </c>
      <c r="U61" s="297">
        <v>45750</v>
      </c>
      <c r="V61" s="297">
        <v>45750</v>
      </c>
      <c r="W61" s="93">
        <v>43005</v>
      </c>
      <c r="X61" s="49">
        <f t="shared" si="28"/>
        <v>532530</v>
      </c>
      <c r="Y61" s="69"/>
      <c r="Z61" s="69"/>
    </row>
    <row r="62" spans="1:26">
      <c r="A62" s="114">
        <f t="shared" si="29"/>
        <v>2016021</v>
      </c>
      <c r="B62" s="74"/>
      <c r="C62" s="642"/>
      <c r="D62" s="645"/>
      <c r="E62" s="645"/>
      <c r="F62" s="645"/>
      <c r="G62" s="645"/>
      <c r="H62" s="645"/>
      <c r="I62" s="648"/>
      <c r="J62" s="629"/>
      <c r="K62" s="174" t="s">
        <v>31</v>
      </c>
      <c r="L62" s="297">
        <v>2475</v>
      </c>
      <c r="M62" s="297">
        <v>2486</v>
      </c>
      <c r="N62" s="297">
        <v>2488</v>
      </c>
      <c r="O62" s="297">
        <v>2482</v>
      </c>
      <c r="P62" s="297">
        <v>2475</v>
      </c>
      <c r="Q62" s="297">
        <v>2476</v>
      </c>
      <c r="R62" s="297">
        <v>2473</v>
      </c>
      <c r="S62" s="297">
        <v>2469</v>
      </c>
      <c r="T62" s="297">
        <v>2471</v>
      </c>
      <c r="U62" s="297">
        <v>2469</v>
      </c>
      <c r="V62" s="297">
        <v>2505</v>
      </c>
      <c r="W62" s="93">
        <v>2475</v>
      </c>
      <c r="X62" s="49">
        <f t="shared" si="28"/>
        <v>29744</v>
      </c>
      <c r="Y62" s="69"/>
      <c r="Z62" s="69"/>
    </row>
    <row r="63" spans="1:26">
      <c r="A63" s="114">
        <f t="shared" si="29"/>
        <v>2016021</v>
      </c>
      <c r="B63" s="74"/>
      <c r="C63" s="642"/>
      <c r="D63" s="645"/>
      <c r="E63" s="645"/>
      <c r="F63" s="645"/>
      <c r="G63" s="645"/>
      <c r="H63" s="645"/>
      <c r="I63" s="648"/>
      <c r="J63" s="629"/>
      <c r="K63" s="210" t="s">
        <v>32</v>
      </c>
      <c r="L63" s="297">
        <v>2722</v>
      </c>
      <c r="M63" s="297">
        <v>2735</v>
      </c>
      <c r="N63" s="297">
        <v>2737</v>
      </c>
      <c r="O63" s="297">
        <v>2731</v>
      </c>
      <c r="P63" s="297">
        <v>2722</v>
      </c>
      <c r="Q63" s="297">
        <v>2724</v>
      </c>
      <c r="R63" s="297">
        <v>2720</v>
      </c>
      <c r="S63" s="297">
        <v>2716</v>
      </c>
      <c r="T63" s="297">
        <v>2718</v>
      </c>
      <c r="U63" s="297">
        <v>2716</v>
      </c>
      <c r="V63" s="297">
        <v>2756</v>
      </c>
      <c r="W63" s="93">
        <v>2722</v>
      </c>
      <c r="X63" s="49">
        <f t="shared" si="28"/>
        <v>32719</v>
      </c>
      <c r="Y63" s="69"/>
      <c r="Z63" s="69"/>
    </row>
    <row r="64" spans="1:26">
      <c r="A64" s="114">
        <f t="shared" si="29"/>
        <v>2016021</v>
      </c>
      <c r="B64" s="74"/>
      <c r="C64" s="654"/>
      <c r="D64" s="655"/>
      <c r="E64" s="655"/>
      <c r="F64" s="655"/>
      <c r="G64" s="655"/>
      <c r="H64" s="655"/>
      <c r="I64" s="652"/>
      <c r="J64" s="630"/>
      <c r="K64" s="170" t="s">
        <v>33</v>
      </c>
      <c r="L64" s="308">
        <f t="shared" ref="L64:X64" si="31">L53-L56</f>
        <v>140243</v>
      </c>
      <c r="M64" s="405">
        <f t="shared" si="31"/>
        <v>138023</v>
      </c>
      <c r="N64" s="405">
        <f t="shared" si="31"/>
        <v>137619</v>
      </c>
      <c r="O64" s="405">
        <f t="shared" si="31"/>
        <v>138729</v>
      </c>
      <c r="P64" s="405">
        <f t="shared" si="31"/>
        <v>140294</v>
      </c>
      <c r="Q64" s="405">
        <f t="shared" si="31"/>
        <v>124402</v>
      </c>
      <c r="R64" s="405">
        <f t="shared" si="31"/>
        <v>136207</v>
      </c>
      <c r="S64" s="405">
        <f t="shared" si="31"/>
        <v>65975</v>
      </c>
      <c r="T64" s="405">
        <f t="shared" si="31"/>
        <v>123291</v>
      </c>
      <c r="U64" s="405">
        <f t="shared" si="31"/>
        <v>114815</v>
      </c>
      <c r="V64" s="405">
        <f t="shared" si="31"/>
        <v>109331</v>
      </c>
      <c r="W64" s="212">
        <f t="shared" si="31"/>
        <v>105756.88888888876</v>
      </c>
      <c r="X64" s="51">
        <f t="shared" si="31"/>
        <v>1474685.888888889</v>
      </c>
      <c r="Z64" s="69"/>
    </row>
    <row r="65" spans="1:26" ht="12.75" customHeight="1">
      <c r="A65" s="113">
        <v>2010005</v>
      </c>
      <c r="C65" s="641">
        <f t="shared" ref="C65:C125" si="32">C53+1</f>
        <v>6</v>
      </c>
      <c r="D65" s="644" t="s">
        <v>59</v>
      </c>
      <c r="E65" s="644"/>
      <c r="F65" s="644"/>
      <c r="G65" s="644" t="s">
        <v>160</v>
      </c>
      <c r="H65" s="644" t="s">
        <v>47</v>
      </c>
      <c r="I65" s="647" t="s">
        <v>49</v>
      </c>
      <c r="J65" s="628" t="s">
        <v>65</v>
      </c>
      <c r="K65" s="176" t="s">
        <v>23</v>
      </c>
      <c r="L65" s="294">
        <f t="shared" ref="L65:W65" si="33">L66+L67</f>
        <v>569705</v>
      </c>
      <c r="M65" s="409">
        <f t="shared" si="33"/>
        <v>590000</v>
      </c>
      <c r="N65" s="409">
        <f t="shared" si="33"/>
        <v>590000</v>
      </c>
      <c r="O65" s="409">
        <f t="shared" si="33"/>
        <v>590000</v>
      </c>
      <c r="P65" s="409">
        <f t="shared" si="33"/>
        <v>547565</v>
      </c>
      <c r="Q65" s="409">
        <f t="shared" si="33"/>
        <v>590000</v>
      </c>
      <c r="R65" s="409">
        <f t="shared" si="33"/>
        <v>590000</v>
      </c>
      <c r="S65" s="409">
        <f t="shared" si="33"/>
        <v>571550</v>
      </c>
      <c r="T65" s="409">
        <f t="shared" si="33"/>
        <v>590000</v>
      </c>
      <c r="U65" s="409">
        <f t="shared" si="33"/>
        <v>590000</v>
      </c>
      <c r="V65" s="409">
        <f t="shared" si="33"/>
        <v>571550</v>
      </c>
      <c r="W65" s="97">
        <f t="shared" si="33"/>
        <v>558250</v>
      </c>
      <c r="X65" s="117">
        <f>SUM(L65:W65)</f>
        <v>6948620</v>
      </c>
      <c r="Z65" s="69"/>
    </row>
    <row r="66" spans="1:26">
      <c r="A66" s="114">
        <f t="shared" ref="A66:A76" si="34">+A65</f>
        <v>2010005</v>
      </c>
      <c r="B66" s="74"/>
      <c r="C66" s="642"/>
      <c r="D66" s="645"/>
      <c r="E66" s="645"/>
      <c r="F66" s="645"/>
      <c r="G66" s="645"/>
      <c r="H66" s="645"/>
      <c r="I66" s="648"/>
      <c r="J66" s="629"/>
      <c r="K66" s="172" t="s">
        <v>24</v>
      </c>
      <c r="L66" s="301">
        <v>569705</v>
      </c>
      <c r="M66" s="301">
        <v>590000</v>
      </c>
      <c r="N66" s="301">
        <v>590000</v>
      </c>
      <c r="O66" s="301">
        <v>590000</v>
      </c>
      <c r="P66" s="301">
        <v>547565</v>
      </c>
      <c r="Q66" s="301">
        <v>590000</v>
      </c>
      <c r="R66" s="301">
        <v>590000</v>
      </c>
      <c r="S66" s="301">
        <v>571550</v>
      </c>
      <c r="T66" s="301">
        <v>590000</v>
      </c>
      <c r="U66" s="301">
        <v>590000</v>
      </c>
      <c r="V66" s="301">
        <v>571550</v>
      </c>
      <c r="W66" s="102">
        <v>558250</v>
      </c>
      <c r="X66" s="49">
        <f>SUM(L66:W66)</f>
        <v>6948620</v>
      </c>
      <c r="Y66" s="69"/>
      <c r="Z66" s="69"/>
    </row>
    <row r="67" spans="1:26">
      <c r="A67" s="114">
        <f t="shared" si="34"/>
        <v>2010005</v>
      </c>
      <c r="B67" s="74"/>
      <c r="C67" s="642"/>
      <c r="D67" s="645"/>
      <c r="E67" s="645"/>
      <c r="F67" s="645"/>
      <c r="G67" s="645"/>
      <c r="H67" s="645"/>
      <c r="I67" s="648"/>
      <c r="J67" s="629"/>
      <c r="K67" s="172" t="s">
        <v>25</v>
      </c>
      <c r="L67" s="312"/>
      <c r="M67" s="297"/>
      <c r="N67" s="297"/>
      <c r="O67" s="297"/>
      <c r="P67" s="297"/>
      <c r="Q67" s="297"/>
      <c r="R67" s="297"/>
      <c r="S67" s="297"/>
      <c r="T67" s="297"/>
      <c r="U67" s="297"/>
      <c r="V67" s="297"/>
      <c r="W67" s="91"/>
      <c r="X67" s="49">
        <v>0</v>
      </c>
      <c r="Z67" s="69"/>
    </row>
    <row r="68" spans="1:26">
      <c r="A68" s="114">
        <f t="shared" si="34"/>
        <v>2010005</v>
      </c>
      <c r="B68" s="74"/>
      <c r="C68" s="642"/>
      <c r="D68" s="645"/>
      <c r="E68" s="645"/>
      <c r="F68" s="645"/>
      <c r="G68" s="645"/>
      <c r="H68" s="645"/>
      <c r="I68" s="648"/>
      <c r="J68" s="629"/>
      <c r="K68" s="173" t="s">
        <v>26</v>
      </c>
      <c r="L68" s="296">
        <f t="shared" ref="L68:W68" si="35">SUM(L69:L75)</f>
        <v>531971</v>
      </c>
      <c r="M68" s="411">
        <f t="shared" si="35"/>
        <v>531971</v>
      </c>
      <c r="N68" s="411">
        <f t="shared" si="35"/>
        <v>531971</v>
      </c>
      <c r="O68" s="411">
        <f t="shared" si="35"/>
        <v>531971</v>
      </c>
      <c r="P68" s="411">
        <f t="shared" si="35"/>
        <v>531971</v>
      </c>
      <c r="Q68" s="411">
        <f t="shared" si="35"/>
        <v>536411</v>
      </c>
      <c r="R68" s="411">
        <f t="shared" si="35"/>
        <v>536411</v>
      </c>
      <c r="S68" s="411">
        <f t="shared" si="35"/>
        <v>536411</v>
      </c>
      <c r="T68" s="411">
        <f t="shared" si="35"/>
        <v>536411</v>
      </c>
      <c r="U68" s="411">
        <f t="shared" si="35"/>
        <v>536411</v>
      </c>
      <c r="V68" s="411">
        <f t="shared" si="35"/>
        <v>533272</v>
      </c>
      <c r="W68" s="99">
        <f t="shared" si="35"/>
        <v>522971</v>
      </c>
      <c r="X68" s="50">
        <f t="shared" ref="X68:X75" si="36">SUM(L68:W68)</f>
        <v>6398153</v>
      </c>
      <c r="Z68" s="69"/>
    </row>
    <row r="69" spans="1:26">
      <c r="A69" s="114">
        <f t="shared" si="34"/>
        <v>2010005</v>
      </c>
      <c r="B69" s="74"/>
      <c r="C69" s="642"/>
      <c r="D69" s="645"/>
      <c r="E69" s="645"/>
      <c r="F69" s="645"/>
      <c r="G69" s="645"/>
      <c r="H69" s="645"/>
      <c r="I69" s="648"/>
      <c r="J69" s="629"/>
      <c r="K69" s="174" t="s">
        <v>27</v>
      </c>
      <c r="L69" s="297">
        <v>442000</v>
      </c>
      <c r="M69" s="297">
        <v>442000</v>
      </c>
      <c r="N69" s="297">
        <v>442000</v>
      </c>
      <c r="O69" s="297">
        <v>442000</v>
      </c>
      <c r="P69" s="297">
        <v>442000</v>
      </c>
      <c r="Q69" s="297">
        <v>442000</v>
      </c>
      <c r="R69" s="297">
        <v>442000</v>
      </c>
      <c r="S69" s="297">
        <v>442000</v>
      </c>
      <c r="T69" s="297">
        <v>442000</v>
      </c>
      <c r="U69" s="297">
        <v>442000</v>
      </c>
      <c r="V69" s="297">
        <v>438713</v>
      </c>
      <c r="W69" s="91">
        <v>433000</v>
      </c>
      <c r="X69" s="49">
        <f t="shared" si="36"/>
        <v>5291713</v>
      </c>
      <c r="Y69" s="69"/>
      <c r="Z69" s="69"/>
    </row>
    <row r="70" spans="1:26">
      <c r="A70" s="114">
        <f t="shared" si="34"/>
        <v>2010005</v>
      </c>
      <c r="B70" s="74"/>
      <c r="C70" s="642"/>
      <c r="D70" s="645"/>
      <c r="E70" s="645"/>
      <c r="F70" s="645"/>
      <c r="G70" s="645"/>
      <c r="H70" s="645"/>
      <c r="I70" s="648"/>
      <c r="J70" s="629"/>
      <c r="K70" s="174" t="s">
        <v>34</v>
      </c>
      <c r="L70" s="297"/>
      <c r="M70" s="297"/>
      <c r="N70" s="297"/>
      <c r="O70" s="297"/>
      <c r="P70" s="297"/>
      <c r="Q70" s="297"/>
      <c r="R70" s="297"/>
      <c r="S70" s="297"/>
      <c r="T70" s="297"/>
      <c r="U70" s="297"/>
      <c r="V70" s="297"/>
      <c r="W70" s="91"/>
      <c r="X70" s="49">
        <f t="shared" si="36"/>
        <v>0</v>
      </c>
      <c r="Y70" s="69"/>
      <c r="Z70" s="69"/>
    </row>
    <row r="71" spans="1:26">
      <c r="A71" s="114">
        <f t="shared" si="34"/>
        <v>2010005</v>
      </c>
      <c r="B71" s="74"/>
      <c r="C71" s="642"/>
      <c r="D71" s="645"/>
      <c r="E71" s="645"/>
      <c r="F71" s="645"/>
      <c r="G71" s="645"/>
      <c r="H71" s="645"/>
      <c r="I71" s="648"/>
      <c r="J71" s="629"/>
      <c r="K71" s="174" t="s">
        <v>28</v>
      </c>
      <c r="L71" s="297">
        <v>20000</v>
      </c>
      <c r="M71" s="297">
        <v>20000</v>
      </c>
      <c r="N71" s="297">
        <v>20000</v>
      </c>
      <c r="O71" s="297">
        <v>20000</v>
      </c>
      <c r="P71" s="297">
        <v>20000</v>
      </c>
      <c r="Q71" s="297">
        <v>20000</v>
      </c>
      <c r="R71" s="297">
        <v>20000</v>
      </c>
      <c r="S71" s="297">
        <v>20000</v>
      </c>
      <c r="T71" s="297">
        <v>20000</v>
      </c>
      <c r="U71" s="297">
        <v>20000</v>
      </c>
      <c r="V71" s="297">
        <v>20000</v>
      </c>
      <c r="W71" s="91">
        <v>20000</v>
      </c>
      <c r="X71" s="49">
        <f t="shared" si="36"/>
        <v>240000</v>
      </c>
      <c r="Y71" s="69"/>
      <c r="Z71" s="69"/>
    </row>
    <row r="72" spans="1:26">
      <c r="A72" s="114">
        <f t="shared" si="34"/>
        <v>2010005</v>
      </c>
      <c r="B72" s="74"/>
      <c r="C72" s="642"/>
      <c r="D72" s="645"/>
      <c r="E72" s="645"/>
      <c r="F72" s="645"/>
      <c r="G72" s="645"/>
      <c r="H72" s="645"/>
      <c r="I72" s="648"/>
      <c r="J72" s="629"/>
      <c r="K72" s="174" t="s">
        <v>29</v>
      </c>
      <c r="L72" s="297">
        <v>24860</v>
      </c>
      <c r="M72" s="297">
        <v>24860</v>
      </c>
      <c r="N72" s="297">
        <v>24860</v>
      </c>
      <c r="O72" s="297">
        <v>24860</v>
      </c>
      <c r="P72" s="297">
        <v>24860</v>
      </c>
      <c r="Q72" s="297">
        <v>26555</v>
      </c>
      <c r="R72" s="297">
        <v>26555</v>
      </c>
      <c r="S72" s="297">
        <v>26555</v>
      </c>
      <c r="T72" s="297">
        <v>26555</v>
      </c>
      <c r="U72" s="297">
        <v>26555</v>
      </c>
      <c r="V72" s="297">
        <v>26555</v>
      </c>
      <c r="W72" s="91">
        <v>24860</v>
      </c>
      <c r="X72" s="49">
        <f t="shared" si="36"/>
        <v>308490</v>
      </c>
      <c r="Y72" s="69"/>
      <c r="Z72" s="69"/>
    </row>
    <row r="73" spans="1:26">
      <c r="A73" s="114">
        <f t="shared" si="34"/>
        <v>2010005</v>
      </c>
      <c r="B73" s="74"/>
      <c r="C73" s="642"/>
      <c r="D73" s="645"/>
      <c r="E73" s="645"/>
      <c r="F73" s="645"/>
      <c r="G73" s="645"/>
      <c r="H73" s="645"/>
      <c r="I73" s="648"/>
      <c r="J73" s="629"/>
      <c r="K73" s="174" t="s">
        <v>30</v>
      </c>
      <c r="L73" s="297">
        <v>40260</v>
      </c>
      <c r="M73" s="297">
        <v>40260</v>
      </c>
      <c r="N73" s="297">
        <v>40260</v>
      </c>
      <c r="O73" s="297">
        <v>40260</v>
      </c>
      <c r="P73" s="297">
        <v>40260</v>
      </c>
      <c r="Q73" s="297">
        <v>43005</v>
      </c>
      <c r="R73" s="297">
        <v>43005</v>
      </c>
      <c r="S73" s="297">
        <v>43005</v>
      </c>
      <c r="T73" s="297">
        <v>43005</v>
      </c>
      <c r="U73" s="297">
        <v>43005</v>
      </c>
      <c r="V73" s="297">
        <v>43005</v>
      </c>
      <c r="W73" s="91">
        <v>40260</v>
      </c>
      <c r="X73" s="49">
        <f t="shared" si="36"/>
        <v>499590</v>
      </c>
      <c r="Y73" s="69"/>
      <c r="Z73" s="69"/>
    </row>
    <row r="74" spans="1:26">
      <c r="A74" s="114">
        <f t="shared" si="34"/>
        <v>2010005</v>
      </c>
      <c r="B74" s="74"/>
      <c r="C74" s="642"/>
      <c r="D74" s="645"/>
      <c r="E74" s="645"/>
      <c r="F74" s="645"/>
      <c r="G74" s="645"/>
      <c r="H74" s="645"/>
      <c r="I74" s="648"/>
      <c r="J74" s="629"/>
      <c r="K74" s="174" t="s">
        <v>31</v>
      </c>
      <c r="L74" s="297">
        <v>2310</v>
      </c>
      <c r="M74" s="297">
        <v>2310</v>
      </c>
      <c r="N74" s="297">
        <v>2310</v>
      </c>
      <c r="O74" s="297">
        <v>2310</v>
      </c>
      <c r="P74" s="297">
        <v>2310</v>
      </c>
      <c r="Q74" s="297">
        <v>2310</v>
      </c>
      <c r="R74" s="297">
        <v>2310</v>
      </c>
      <c r="S74" s="297">
        <v>2310</v>
      </c>
      <c r="T74" s="297">
        <v>2310</v>
      </c>
      <c r="U74" s="297">
        <v>2310</v>
      </c>
      <c r="V74" s="297">
        <v>2380</v>
      </c>
      <c r="W74" s="91">
        <v>2310</v>
      </c>
      <c r="X74" s="49">
        <f t="shared" si="36"/>
        <v>27790</v>
      </c>
      <c r="Y74" s="69"/>
      <c r="Z74" s="69"/>
    </row>
    <row r="75" spans="1:26">
      <c r="A75" s="114">
        <f t="shared" si="34"/>
        <v>2010005</v>
      </c>
      <c r="B75" s="74"/>
      <c r="C75" s="642"/>
      <c r="D75" s="645"/>
      <c r="E75" s="645"/>
      <c r="F75" s="645"/>
      <c r="G75" s="645"/>
      <c r="H75" s="645"/>
      <c r="I75" s="648"/>
      <c r="J75" s="629"/>
      <c r="K75" s="210" t="s">
        <v>32</v>
      </c>
      <c r="L75" s="297">
        <v>2541</v>
      </c>
      <c r="M75" s="297">
        <v>2541</v>
      </c>
      <c r="N75" s="297">
        <v>2541</v>
      </c>
      <c r="O75" s="297">
        <v>2541</v>
      </c>
      <c r="P75" s="297">
        <v>2541</v>
      </c>
      <c r="Q75" s="297">
        <v>2541</v>
      </c>
      <c r="R75" s="297">
        <v>2541</v>
      </c>
      <c r="S75" s="297">
        <v>2541</v>
      </c>
      <c r="T75" s="297">
        <v>2541</v>
      </c>
      <c r="U75" s="297">
        <v>2541</v>
      </c>
      <c r="V75" s="297">
        <v>2619</v>
      </c>
      <c r="W75" s="91">
        <v>2541</v>
      </c>
      <c r="X75" s="49">
        <f t="shared" si="36"/>
        <v>30570</v>
      </c>
      <c r="Y75" s="69"/>
      <c r="Z75" s="69"/>
    </row>
    <row r="76" spans="1:26">
      <c r="A76" s="114">
        <f t="shared" si="34"/>
        <v>2010005</v>
      </c>
      <c r="B76" s="74"/>
      <c r="C76" s="654"/>
      <c r="D76" s="655"/>
      <c r="E76" s="655"/>
      <c r="F76" s="655"/>
      <c r="G76" s="655"/>
      <c r="H76" s="655"/>
      <c r="I76" s="652"/>
      <c r="J76" s="630"/>
      <c r="K76" s="170" t="s">
        <v>33</v>
      </c>
      <c r="L76" s="308">
        <f t="shared" ref="L76:X76" si="37">L65-L68</f>
        <v>37734</v>
      </c>
      <c r="M76" s="405">
        <f t="shared" si="37"/>
        <v>58029</v>
      </c>
      <c r="N76" s="405">
        <f t="shared" si="37"/>
        <v>58029</v>
      </c>
      <c r="O76" s="405">
        <f t="shared" si="37"/>
        <v>58029</v>
      </c>
      <c r="P76" s="405">
        <f t="shared" si="37"/>
        <v>15594</v>
      </c>
      <c r="Q76" s="405">
        <f t="shared" si="37"/>
        <v>53589</v>
      </c>
      <c r="R76" s="405">
        <f t="shared" si="37"/>
        <v>53589</v>
      </c>
      <c r="S76" s="405">
        <f t="shared" si="37"/>
        <v>35139</v>
      </c>
      <c r="T76" s="405">
        <f t="shared" si="37"/>
        <v>53589</v>
      </c>
      <c r="U76" s="405">
        <f t="shared" si="37"/>
        <v>53589</v>
      </c>
      <c r="V76" s="405">
        <f t="shared" si="37"/>
        <v>38278</v>
      </c>
      <c r="W76" s="212">
        <f t="shared" si="37"/>
        <v>35279</v>
      </c>
      <c r="X76" s="51">
        <f t="shared" si="37"/>
        <v>550467</v>
      </c>
      <c r="Z76" s="69"/>
    </row>
    <row r="77" spans="1:26" ht="12.75" customHeight="1">
      <c r="A77" s="113">
        <v>2010001</v>
      </c>
      <c r="C77" s="641">
        <f t="shared" si="32"/>
        <v>7</v>
      </c>
      <c r="D77" s="644" t="s">
        <v>59</v>
      </c>
      <c r="E77" s="644"/>
      <c r="F77" s="644"/>
      <c r="G77" s="644" t="s">
        <v>160</v>
      </c>
      <c r="H77" s="644" t="s">
        <v>47</v>
      </c>
      <c r="I77" s="647" t="s">
        <v>48</v>
      </c>
      <c r="J77" s="628" t="s">
        <v>65</v>
      </c>
      <c r="K77" s="176" t="s">
        <v>23</v>
      </c>
      <c r="L77" s="294">
        <f t="shared" ref="L77:W77" si="38">L78+L79</f>
        <v>540000</v>
      </c>
      <c r="M77" s="409">
        <f t="shared" si="38"/>
        <v>540000</v>
      </c>
      <c r="N77" s="409">
        <f t="shared" si="38"/>
        <v>540000</v>
      </c>
      <c r="O77" s="409">
        <f t="shared" si="38"/>
        <v>540000</v>
      </c>
      <c r="P77" s="409">
        <f t="shared" si="38"/>
        <v>514650</v>
      </c>
      <c r="Q77" s="409">
        <f t="shared" si="38"/>
        <v>533240</v>
      </c>
      <c r="R77" s="409">
        <f t="shared" si="38"/>
        <v>540000</v>
      </c>
      <c r="S77" s="409">
        <f t="shared" si="38"/>
        <v>540000</v>
      </c>
      <c r="T77" s="409">
        <f t="shared" si="38"/>
        <v>518030</v>
      </c>
      <c r="U77" s="409">
        <f t="shared" si="38"/>
        <v>540000</v>
      </c>
      <c r="V77" s="409">
        <f t="shared" si="38"/>
        <v>514650</v>
      </c>
      <c r="W77" s="97">
        <f t="shared" si="38"/>
        <v>536807.77777777775</v>
      </c>
      <c r="X77" s="117">
        <f t="shared" ref="X77:X87" si="39">SUM(L77:W77)</f>
        <v>6397377.777777778</v>
      </c>
      <c r="Z77" s="69"/>
    </row>
    <row r="78" spans="1:26">
      <c r="A78" s="114">
        <f t="shared" ref="A78:A88" si="40">+A77</f>
        <v>2010001</v>
      </c>
      <c r="B78" s="74"/>
      <c r="C78" s="642"/>
      <c r="D78" s="645"/>
      <c r="E78" s="645"/>
      <c r="F78" s="645"/>
      <c r="G78" s="645"/>
      <c r="H78" s="645"/>
      <c r="I78" s="648"/>
      <c r="J78" s="629"/>
      <c r="K78" s="172" t="s">
        <v>24</v>
      </c>
      <c r="L78" s="301">
        <v>540000</v>
      </c>
      <c r="M78" s="301">
        <v>540000</v>
      </c>
      <c r="N78" s="301">
        <v>540000</v>
      </c>
      <c r="O78" s="301">
        <v>540000</v>
      </c>
      <c r="P78" s="301">
        <v>514650</v>
      </c>
      <c r="Q78" s="301">
        <v>533240</v>
      </c>
      <c r="R78" s="301">
        <v>540000</v>
      </c>
      <c r="S78" s="301">
        <v>540000</v>
      </c>
      <c r="T78" s="301">
        <v>518030</v>
      </c>
      <c r="U78" s="301">
        <v>540000</v>
      </c>
      <c r="V78" s="301">
        <v>514650</v>
      </c>
      <c r="W78" s="102">
        <v>536807.77777777775</v>
      </c>
      <c r="X78" s="49">
        <f t="shared" si="39"/>
        <v>6397377.777777778</v>
      </c>
      <c r="Y78" s="69"/>
      <c r="Z78" s="69"/>
    </row>
    <row r="79" spans="1:26">
      <c r="A79" s="114">
        <f t="shared" si="40"/>
        <v>2010001</v>
      </c>
      <c r="B79" s="74"/>
      <c r="C79" s="642"/>
      <c r="D79" s="645"/>
      <c r="E79" s="645"/>
      <c r="F79" s="645"/>
      <c r="G79" s="645"/>
      <c r="H79" s="645"/>
      <c r="I79" s="648"/>
      <c r="J79" s="629"/>
      <c r="K79" s="172" t="s">
        <v>25</v>
      </c>
      <c r="L79" s="312"/>
      <c r="M79" s="297"/>
      <c r="N79" s="297"/>
      <c r="O79" s="297"/>
      <c r="P79" s="297"/>
      <c r="Q79" s="297"/>
      <c r="R79" s="297"/>
      <c r="S79" s="297"/>
      <c r="T79" s="297"/>
      <c r="U79" s="297"/>
      <c r="V79" s="297"/>
      <c r="W79" s="91"/>
      <c r="X79" s="49">
        <f t="shared" si="39"/>
        <v>0</v>
      </c>
      <c r="Z79" s="69"/>
    </row>
    <row r="80" spans="1:26">
      <c r="A80" s="114">
        <f t="shared" si="40"/>
        <v>2010001</v>
      </c>
      <c r="B80" s="74"/>
      <c r="C80" s="642"/>
      <c r="D80" s="645"/>
      <c r="E80" s="645"/>
      <c r="F80" s="645"/>
      <c r="G80" s="645"/>
      <c r="H80" s="645"/>
      <c r="I80" s="648"/>
      <c r="J80" s="629"/>
      <c r="K80" s="173" t="s">
        <v>26</v>
      </c>
      <c r="L80" s="296">
        <f t="shared" ref="L80:W80" si="41">SUM(L81:L87)</f>
        <v>478744</v>
      </c>
      <c r="M80" s="411">
        <f t="shared" si="41"/>
        <v>478744</v>
      </c>
      <c r="N80" s="411">
        <f t="shared" si="41"/>
        <v>478744</v>
      </c>
      <c r="O80" s="411">
        <f t="shared" si="41"/>
        <v>488546</v>
      </c>
      <c r="P80" s="411">
        <f t="shared" si="41"/>
        <v>478744</v>
      </c>
      <c r="Q80" s="411">
        <f t="shared" si="41"/>
        <v>478744</v>
      </c>
      <c r="R80" s="411">
        <f t="shared" si="41"/>
        <v>478744</v>
      </c>
      <c r="S80" s="411">
        <f t="shared" si="41"/>
        <v>478744</v>
      </c>
      <c r="T80" s="411">
        <f t="shared" si="41"/>
        <v>478744</v>
      </c>
      <c r="U80" s="411">
        <f t="shared" si="41"/>
        <v>478744</v>
      </c>
      <c r="V80" s="411">
        <f t="shared" si="41"/>
        <v>478926</v>
      </c>
      <c r="W80" s="99">
        <f t="shared" si="41"/>
        <v>473094.22222222225</v>
      </c>
      <c r="X80" s="50">
        <f t="shared" si="39"/>
        <v>5749262.222222222</v>
      </c>
      <c r="Z80" s="69"/>
    </row>
    <row r="81" spans="1:26">
      <c r="A81" s="114">
        <f t="shared" si="40"/>
        <v>2010001</v>
      </c>
      <c r="B81" s="74"/>
      <c r="C81" s="642"/>
      <c r="D81" s="645"/>
      <c r="E81" s="645"/>
      <c r="F81" s="645"/>
      <c r="G81" s="645"/>
      <c r="H81" s="645"/>
      <c r="I81" s="648"/>
      <c r="J81" s="629"/>
      <c r="K81" s="174" t="s">
        <v>27</v>
      </c>
      <c r="L81" s="297">
        <v>399000</v>
      </c>
      <c r="M81" s="297">
        <v>399000</v>
      </c>
      <c r="N81" s="297">
        <v>399000</v>
      </c>
      <c r="O81" s="297">
        <v>408700</v>
      </c>
      <c r="P81" s="297">
        <v>399000</v>
      </c>
      <c r="Q81" s="297">
        <v>399000</v>
      </c>
      <c r="R81" s="297">
        <v>399000</v>
      </c>
      <c r="S81" s="297">
        <v>399000</v>
      </c>
      <c r="T81" s="297">
        <v>399000</v>
      </c>
      <c r="U81" s="297">
        <v>399000</v>
      </c>
      <c r="V81" s="297">
        <v>399000</v>
      </c>
      <c r="W81" s="91">
        <v>393350.22222222225</v>
      </c>
      <c r="X81" s="49">
        <f t="shared" si="39"/>
        <v>4792050.222222222</v>
      </c>
      <c r="Y81" s="69"/>
      <c r="Z81" s="69"/>
    </row>
    <row r="82" spans="1:26">
      <c r="A82" s="114">
        <f t="shared" si="40"/>
        <v>2010001</v>
      </c>
      <c r="B82" s="74"/>
      <c r="C82" s="642"/>
      <c r="D82" s="645"/>
      <c r="E82" s="645"/>
      <c r="F82" s="645"/>
      <c r="G82" s="645"/>
      <c r="H82" s="645"/>
      <c r="I82" s="648"/>
      <c r="J82" s="629"/>
      <c r="K82" s="174" t="s">
        <v>34</v>
      </c>
      <c r="L82" s="297"/>
      <c r="M82" s="297"/>
      <c r="N82" s="297"/>
      <c r="O82" s="297"/>
      <c r="P82" s="297"/>
      <c r="Q82" s="297"/>
      <c r="R82" s="297"/>
      <c r="S82" s="297"/>
      <c r="T82" s="297"/>
      <c r="U82" s="297"/>
      <c r="V82" s="297"/>
      <c r="W82" s="91"/>
      <c r="X82" s="49">
        <f t="shared" si="39"/>
        <v>0</v>
      </c>
      <c r="Y82" s="69"/>
      <c r="Z82" s="69"/>
    </row>
    <row r="83" spans="1:26">
      <c r="A83" s="114">
        <f t="shared" si="40"/>
        <v>2010001</v>
      </c>
      <c r="B83" s="74"/>
      <c r="C83" s="642"/>
      <c r="D83" s="645"/>
      <c r="E83" s="645"/>
      <c r="F83" s="645"/>
      <c r="G83" s="645"/>
      <c r="H83" s="645"/>
      <c r="I83" s="648"/>
      <c r="J83" s="629"/>
      <c r="K83" s="174" t="s">
        <v>28</v>
      </c>
      <c r="L83" s="297">
        <v>14720</v>
      </c>
      <c r="M83" s="297">
        <v>14720</v>
      </c>
      <c r="N83" s="297">
        <v>14720</v>
      </c>
      <c r="O83" s="297">
        <v>14720</v>
      </c>
      <c r="P83" s="297">
        <v>14720</v>
      </c>
      <c r="Q83" s="297">
        <v>14720</v>
      </c>
      <c r="R83" s="297">
        <v>14720</v>
      </c>
      <c r="S83" s="297">
        <v>14720</v>
      </c>
      <c r="T83" s="297">
        <v>14720</v>
      </c>
      <c r="U83" s="297">
        <v>14720</v>
      </c>
      <c r="V83" s="297">
        <v>14720</v>
      </c>
      <c r="W83" s="91">
        <v>14720</v>
      </c>
      <c r="X83" s="49">
        <f t="shared" si="39"/>
        <v>176640</v>
      </c>
      <c r="Y83" s="69"/>
      <c r="Z83" s="69"/>
    </row>
    <row r="84" spans="1:26">
      <c r="A84" s="114">
        <f t="shared" si="40"/>
        <v>2010001</v>
      </c>
      <c r="B84" s="74"/>
      <c r="C84" s="642"/>
      <c r="D84" s="645"/>
      <c r="E84" s="645"/>
      <c r="F84" s="645"/>
      <c r="G84" s="645"/>
      <c r="H84" s="645"/>
      <c r="I84" s="648"/>
      <c r="J84" s="629"/>
      <c r="K84" s="174" t="s">
        <v>29</v>
      </c>
      <c r="L84" s="297">
        <v>23165</v>
      </c>
      <c r="M84" s="297">
        <v>23165</v>
      </c>
      <c r="N84" s="297">
        <v>23165</v>
      </c>
      <c r="O84" s="297">
        <v>23165</v>
      </c>
      <c r="P84" s="297">
        <v>23165</v>
      </c>
      <c r="Q84" s="297">
        <v>23165</v>
      </c>
      <c r="R84" s="297">
        <v>23165</v>
      </c>
      <c r="S84" s="297">
        <v>23165</v>
      </c>
      <c r="T84" s="297">
        <v>23165</v>
      </c>
      <c r="U84" s="297">
        <v>23165</v>
      </c>
      <c r="V84" s="297">
        <v>23165</v>
      </c>
      <c r="W84" s="91">
        <v>23165</v>
      </c>
      <c r="X84" s="49">
        <f t="shared" si="39"/>
        <v>277980</v>
      </c>
      <c r="Y84" s="69"/>
      <c r="Z84" s="69"/>
    </row>
    <row r="85" spans="1:26">
      <c r="A85" s="114">
        <f t="shared" si="40"/>
        <v>2010001</v>
      </c>
      <c r="B85" s="74"/>
      <c r="C85" s="642"/>
      <c r="D85" s="645"/>
      <c r="E85" s="645"/>
      <c r="F85" s="645"/>
      <c r="G85" s="645"/>
      <c r="H85" s="645"/>
      <c r="I85" s="648"/>
      <c r="J85" s="629"/>
      <c r="K85" s="174" t="s">
        <v>30</v>
      </c>
      <c r="L85" s="297">
        <v>37515</v>
      </c>
      <c r="M85" s="297">
        <v>37515</v>
      </c>
      <c r="N85" s="297">
        <v>37515</v>
      </c>
      <c r="O85" s="297">
        <v>37515</v>
      </c>
      <c r="P85" s="297">
        <v>37515</v>
      </c>
      <c r="Q85" s="297">
        <v>37515</v>
      </c>
      <c r="R85" s="297">
        <v>37515</v>
      </c>
      <c r="S85" s="297">
        <v>37515</v>
      </c>
      <c r="T85" s="297">
        <v>37515</v>
      </c>
      <c r="U85" s="297">
        <v>37515</v>
      </c>
      <c r="V85" s="297">
        <v>37515</v>
      </c>
      <c r="W85" s="91">
        <v>37515</v>
      </c>
      <c r="X85" s="49">
        <f t="shared" si="39"/>
        <v>450180</v>
      </c>
      <c r="Y85" s="69"/>
      <c r="Z85" s="69"/>
    </row>
    <row r="86" spans="1:26">
      <c r="A86" s="114">
        <f t="shared" si="40"/>
        <v>2010001</v>
      </c>
      <c r="B86" s="74"/>
      <c r="C86" s="642"/>
      <c r="D86" s="645"/>
      <c r="E86" s="645"/>
      <c r="F86" s="645"/>
      <c r="G86" s="645"/>
      <c r="H86" s="645"/>
      <c r="I86" s="648"/>
      <c r="J86" s="629"/>
      <c r="K86" s="174" t="s">
        <v>31</v>
      </c>
      <c r="L86" s="297">
        <v>2069</v>
      </c>
      <c r="M86" s="297">
        <v>2069</v>
      </c>
      <c r="N86" s="297">
        <v>2069</v>
      </c>
      <c r="O86" s="297">
        <v>2117</v>
      </c>
      <c r="P86" s="297">
        <v>2069</v>
      </c>
      <c r="Q86" s="297">
        <v>2069</v>
      </c>
      <c r="R86" s="297">
        <v>2069</v>
      </c>
      <c r="S86" s="297">
        <v>2069</v>
      </c>
      <c r="T86" s="297">
        <v>2069</v>
      </c>
      <c r="U86" s="297">
        <v>2069</v>
      </c>
      <c r="V86" s="297">
        <v>2155</v>
      </c>
      <c r="W86" s="91">
        <v>2069</v>
      </c>
      <c r="X86" s="49">
        <f t="shared" si="39"/>
        <v>24962</v>
      </c>
      <c r="Y86" s="69"/>
      <c r="Z86" s="69"/>
    </row>
    <row r="87" spans="1:26">
      <c r="A87" s="114">
        <f t="shared" si="40"/>
        <v>2010001</v>
      </c>
      <c r="B87" s="74"/>
      <c r="C87" s="642"/>
      <c r="D87" s="645"/>
      <c r="E87" s="645"/>
      <c r="F87" s="645"/>
      <c r="G87" s="645"/>
      <c r="H87" s="645"/>
      <c r="I87" s="648"/>
      <c r="J87" s="629"/>
      <c r="K87" s="210" t="s">
        <v>32</v>
      </c>
      <c r="L87" s="297">
        <v>2275</v>
      </c>
      <c r="M87" s="297">
        <v>2275</v>
      </c>
      <c r="N87" s="297">
        <v>2275</v>
      </c>
      <c r="O87" s="297">
        <v>2329</v>
      </c>
      <c r="P87" s="297">
        <v>2275</v>
      </c>
      <c r="Q87" s="297">
        <v>2275</v>
      </c>
      <c r="R87" s="297">
        <v>2275</v>
      </c>
      <c r="S87" s="297">
        <v>2275</v>
      </c>
      <c r="T87" s="297">
        <v>2275</v>
      </c>
      <c r="U87" s="297">
        <v>2275</v>
      </c>
      <c r="V87" s="297">
        <v>2371</v>
      </c>
      <c r="W87" s="91">
        <v>2275</v>
      </c>
      <c r="X87" s="49">
        <f t="shared" si="39"/>
        <v>27450</v>
      </c>
      <c r="Y87" s="69"/>
      <c r="Z87" s="69"/>
    </row>
    <row r="88" spans="1:26">
      <c r="A88" s="114">
        <f t="shared" si="40"/>
        <v>2010001</v>
      </c>
      <c r="B88" s="74"/>
      <c r="C88" s="654"/>
      <c r="D88" s="655"/>
      <c r="E88" s="655"/>
      <c r="F88" s="655"/>
      <c r="G88" s="655"/>
      <c r="H88" s="655"/>
      <c r="I88" s="652"/>
      <c r="J88" s="630"/>
      <c r="K88" s="170" t="s">
        <v>33</v>
      </c>
      <c r="L88" s="308">
        <f t="shared" ref="L88:X88" si="42">L77-L80</f>
        <v>61256</v>
      </c>
      <c r="M88" s="405">
        <f t="shared" si="42"/>
        <v>61256</v>
      </c>
      <c r="N88" s="405">
        <f t="shared" si="42"/>
        <v>61256</v>
      </c>
      <c r="O88" s="405">
        <f t="shared" si="42"/>
        <v>51454</v>
      </c>
      <c r="P88" s="405">
        <f t="shared" si="42"/>
        <v>35906</v>
      </c>
      <c r="Q88" s="405">
        <f t="shared" si="42"/>
        <v>54496</v>
      </c>
      <c r="R88" s="405">
        <f t="shared" si="42"/>
        <v>61256</v>
      </c>
      <c r="S88" s="405">
        <f t="shared" si="42"/>
        <v>61256</v>
      </c>
      <c r="T88" s="405">
        <f t="shared" si="42"/>
        <v>39286</v>
      </c>
      <c r="U88" s="405">
        <f t="shared" si="42"/>
        <v>61256</v>
      </c>
      <c r="V88" s="405">
        <f t="shared" si="42"/>
        <v>35724</v>
      </c>
      <c r="W88" s="212">
        <f t="shared" si="42"/>
        <v>63713.555555555504</v>
      </c>
      <c r="X88" s="51">
        <f t="shared" si="42"/>
        <v>648115.55555555597</v>
      </c>
      <c r="Z88" s="69"/>
    </row>
    <row r="89" spans="1:26" ht="12.75" customHeight="1">
      <c r="A89" s="113">
        <v>2013026</v>
      </c>
      <c r="C89" s="641">
        <f t="shared" si="32"/>
        <v>8</v>
      </c>
      <c r="D89" s="644" t="s">
        <v>59</v>
      </c>
      <c r="E89" s="644"/>
      <c r="F89" s="644"/>
      <c r="G89" s="644" t="s">
        <v>160</v>
      </c>
      <c r="H89" s="644" t="s">
        <v>47</v>
      </c>
      <c r="I89" s="647" t="s">
        <v>51</v>
      </c>
      <c r="J89" s="628" t="s">
        <v>65</v>
      </c>
      <c r="K89" s="176" t="s">
        <v>23</v>
      </c>
      <c r="L89" s="294">
        <f t="shared" ref="L89:W89" si="43">L90+L91</f>
        <v>550000</v>
      </c>
      <c r="M89" s="409">
        <f t="shared" si="43"/>
        <v>550000</v>
      </c>
      <c r="N89" s="409">
        <f t="shared" si="43"/>
        <v>550000</v>
      </c>
      <c r="O89" s="409">
        <f t="shared" si="43"/>
        <v>550000</v>
      </c>
      <c r="P89" s="409">
        <f t="shared" si="43"/>
        <v>550000</v>
      </c>
      <c r="Q89" s="409">
        <f t="shared" si="43"/>
        <v>548280</v>
      </c>
      <c r="R89" s="409">
        <f t="shared" si="43"/>
        <v>550000</v>
      </c>
      <c r="S89" s="409">
        <f t="shared" si="43"/>
        <v>550000</v>
      </c>
      <c r="T89" s="409">
        <f t="shared" si="43"/>
        <v>550000</v>
      </c>
      <c r="U89" s="409">
        <f t="shared" si="43"/>
        <v>550000</v>
      </c>
      <c r="V89" s="409">
        <f t="shared" si="43"/>
        <v>508720</v>
      </c>
      <c r="W89" s="97">
        <f t="shared" si="43"/>
        <v>549808.88888888888</v>
      </c>
      <c r="X89" s="117">
        <f t="shared" ref="X89:X99" si="44">SUM(L89:W89)</f>
        <v>6556808.888888889</v>
      </c>
      <c r="Z89" s="69"/>
    </row>
    <row r="90" spans="1:26">
      <c r="A90" s="114">
        <f t="shared" ref="A90:A100" si="45">+A89</f>
        <v>2013026</v>
      </c>
      <c r="B90" s="74"/>
      <c r="C90" s="642"/>
      <c r="D90" s="645"/>
      <c r="E90" s="645"/>
      <c r="F90" s="645"/>
      <c r="G90" s="645"/>
      <c r="H90" s="645"/>
      <c r="I90" s="648"/>
      <c r="J90" s="629"/>
      <c r="K90" s="172" t="s">
        <v>24</v>
      </c>
      <c r="L90" s="301">
        <v>550000</v>
      </c>
      <c r="M90" s="301">
        <v>550000</v>
      </c>
      <c r="N90" s="301">
        <v>550000</v>
      </c>
      <c r="O90" s="301">
        <v>550000</v>
      </c>
      <c r="P90" s="301">
        <v>550000</v>
      </c>
      <c r="Q90" s="301">
        <v>548280</v>
      </c>
      <c r="R90" s="301">
        <v>550000</v>
      </c>
      <c r="S90" s="301">
        <v>550000</v>
      </c>
      <c r="T90" s="301">
        <v>550000</v>
      </c>
      <c r="U90" s="301">
        <v>550000</v>
      </c>
      <c r="V90" s="301">
        <v>508720</v>
      </c>
      <c r="W90" s="102">
        <v>549808.88888888888</v>
      </c>
      <c r="X90" s="49">
        <f t="shared" si="44"/>
        <v>6556808.888888889</v>
      </c>
      <c r="Y90" s="69"/>
      <c r="Z90" s="69"/>
    </row>
    <row r="91" spans="1:26">
      <c r="A91" s="114">
        <f t="shared" si="45"/>
        <v>2013026</v>
      </c>
      <c r="B91" s="74"/>
      <c r="C91" s="642"/>
      <c r="D91" s="645"/>
      <c r="E91" s="645"/>
      <c r="F91" s="645"/>
      <c r="G91" s="645"/>
      <c r="H91" s="645"/>
      <c r="I91" s="648"/>
      <c r="J91" s="629"/>
      <c r="K91" s="172" t="s">
        <v>25</v>
      </c>
      <c r="L91" s="312"/>
      <c r="M91" s="297"/>
      <c r="N91" s="297"/>
      <c r="O91" s="297"/>
      <c r="P91" s="297"/>
      <c r="Q91" s="297"/>
      <c r="R91" s="297"/>
      <c r="S91" s="297"/>
      <c r="T91" s="297"/>
      <c r="U91" s="297"/>
      <c r="V91" s="297"/>
      <c r="W91" s="91"/>
      <c r="X91" s="49">
        <f t="shared" si="44"/>
        <v>0</v>
      </c>
      <c r="Z91" s="69"/>
    </row>
    <row r="92" spans="1:26">
      <c r="A92" s="114">
        <f t="shared" si="45"/>
        <v>2013026</v>
      </c>
      <c r="B92" s="74"/>
      <c r="C92" s="642"/>
      <c r="D92" s="645"/>
      <c r="E92" s="645"/>
      <c r="F92" s="645"/>
      <c r="G92" s="645"/>
      <c r="H92" s="645"/>
      <c r="I92" s="648"/>
      <c r="J92" s="629"/>
      <c r="K92" s="173" t="s">
        <v>26</v>
      </c>
      <c r="L92" s="296">
        <f t="shared" ref="L92:W92" si="46">SUM(L93:L99)</f>
        <v>472569</v>
      </c>
      <c r="M92" s="411">
        <f t="shared" si="46"/>
        <v>471221</v>
      </c>
      <c r="N92" s="411">
        <f t="shared" si="46"/>
        <v>464482</v>
      </c>
      <c r="O92" s="411">
        <f t="shared" si="46"/>
        <v>464482</v>
      </c>
      <c r="P92" s="411">
        <f t="shared" si="46"/>
        <v>472569</v>
      </c>
      <c r="Q92" s="411">
        <f t="shared" si="46"/>
        <v>468922</v>
      </c>
      <c r="R92" s="411">
        <f t="shared" si="46"/>
        <v>478357</v>
      </c>
      <c r="S92" s="411">
        <f t="shared" si="46"/>
        <v>468922</v>
      </c>
      <c r="T92" s="411">
        <f t="shared" si="46"/>
        <v>468922</v>
      </c>
      <c r="U92" s="411">
        <f t="shared" si="46"/>
        <v>468922</v>
      </c>
      <c r="V92" s="411">
        <f t="shared" si="46"/>
        <v>469105</v>
      </c>
      <c r="W92" s="99">
        <f t="shared" si="46"/>
        <v>456324.11111111112</v>
      </c>
      <c r="X92" s="50">
        <f t="shared" si="44"/>
        <v>5624797.111111111</v>
      </c>
      <c r="Z92" s="69"/>
    </row>
    <row r="93" spans="1:26">
      <c r="A93" s="114">
        <f t="shared" si="45"/>
        <v>2013026</v>
      </c>
      <c r="B93" s="74"/>
      <c r="C93" s="642"/>
      <c r="D93" s="645"/>
      <c r="E93" s="645"/>
      <c r="F93" s="645"/>
      <c r="G93" s="645"/>
      <c r="H93" s="645"/>
      <c r="I93" s="648"/>
      <c r="J93" s="629"/>
      <c r="K93" s="174" t="s">
        <v>27</v>
      </c>
      <c r="L93" s="297">
        <v>392003</v>
      </c>
      <c r="M93" s="297">
        <v>390669</v>
      </c>
      <c r="N93" s="297">
        <v>384000</v>
      </c>
      <c r="O93" s="297">
        <v>384000</v>
      </c>
      <c r="P93" s="297">
        <v>392003</v>
      </c>
      <c r="Q93" s="297">
        <v>384000</v>
      </c>
      <c r="R93" s="297">
        <v>393337</v>
      </c>
      <c r="S93" s="297">
        <v>384000</v>
      </c>
      <c r="T93" s="297">
        <v>384000</v>
      </c>
      <c r="U93" s="297">
        <v>384000</v>
      </c>
      <c r="V93" s="297">
        <v>384000</v>
      </c>
      <c r="W93" s="91">
        <v>375758.11111111112</v>
      </c>
      <c r="X93" s="49">
        <f t="shared" si="44"/>
        <v>4631770.111111111</v>
      </c>
      <c r="Y93" s="69"/>
      <c r="Z93" s="69"/>
    </row>
    <row r="94" spans="1:26">
      <c r="A94" s="114">
        <f t="shared" si="45"/>
        <v>2013026</v>
      </c>
      <c r="B94" s="74"/>
      <c r="C94" s="642"/>
      <c r="D94" s="645"/>
      <c r="E94" s="645"/>
      <c r="F94" s="645"/>
      <c r="G94" s="645"/>
      <c r="H94" s="645"/>
      <c r="I94" s="648"/>
      <c r="J94" s="629"/>
      <c r="K94" s="174" t="s">
        <v>34</v>
      </c>
      <c r="L94" s="297"/>
      <c r="M94" s="297"/>
      <c r="N94" s="297"/>
      <c r="O94" s="297"/>
      <c r="P94" s="297"/>
      <c r="Q94" s="297"/>
      <c r="R94" s="297"/>
      <c r="S94" s="297"/>
      <c r="T94" s="297"/>
      <c r="U94" s="297"/>
      <c r="V94" s="297"/>
      <c r="W94" s="91"/>
      <c r="X94" s="49">
        <f t="shared" si="44"/>
        <v>0</v>
      </c>
      <c r="Y94" s="69"/>
      <c r="Z94" s="69"/>
    </row>
    <row r="95" spans="1:26">
      <c r="A95" s="114">
        <f t="shared" si="45"/>
        <v>2013026</v>
      </c>
      <c r="B95" s="74"/>
      <c r="C95" s="642"/>
      <c r="D95" s="645"/>
      <c r="E95" s="645"/>
      <c r="F95" s="645"/>
      <c r="G95" s="645"/>
      <c r="H95" s="645"/>
      <c r="I95" s="648"/>
      <c r="J95" s="629"/>
      <c r="K95" s="174" t="s">
        <v>28</v>
      </c>
      <c r="L95" s="297">
        <v>20000</v>
      </c>
      <c r="M95" s="297">
        <v>20000</v>
      </c>
      <c r="N95" s="297">
        <v>20000</v>
      </c>
      <c r="O95" s="297">
        <v>20000</v>
      </c>
      <c r="P95" s="297">
        <v>20000</v>
      </c>
      <c r="Q95" s="297">
        <v>20000</v>
      </c>
      <c r="R95" s="297">
        <v>20000</v>
      </c>
      <c r="S95" s="297">
        <v>20000</v>
      </c>
      <c r="T95" s="297">
        <v>20000</v>
      </c>
      <c r="U95" s="297">
        <v>20000</v>
      </c>
      <c r="V95" s="297">
        <v>20000</v>
      </c>
      <c r="W95" s="91">
        <v>20000</v>
      </c>
      <c r="X95" s="49">
        <f t="shared" si="44"/>
        <v>240000</v>
      </c>
      <c r="Y95" s="69"/>
      <c r="Z95" s="69"/>
    </row>
    <row r="96" spans="1:26">
      <c r="A96" s="114">
        <f t="shared" si="45"/>
        <v>2013026</v>
      </c>
      <c r="B96" s="74"/>
      <c r="C96" s="642"/>
      <c r="D96" s="645"/>
      <c r="E96" s="645"/>
      <c r="F96" s="645"/>
      <c r="G96" s="645"/>
      <c r="H96" s="645"/>
      <c r="I96" s="648"/>
      <c r="J96" s="629"/>
      <c r="K96" s="174" t="s">
        <v>29</v>
      </c>
      <c r="L96" s="297">
        <v>21470</v>
      </c>
      <c r="M96" s="297">
        <v>21470</v>
      </c>
      <c r="N96" s="297">
        <v>21470</v>
      </c>
      <c r="O96" s="297">
        <v>21470</v>
      </c>
      <c r="P96" s="297">
        <v>21470</v>
      </c>
      <c r="Q96" s="297">
        <v>23165</v>
      </c>
      <c r="R96" s="297">
        <v>23165</v>
      </c>
      <c r="S96" s="297">
        <v>23165</v>
      </c>
      <c r="T96" s="297">
        <v>23165</v>
      </c>
      <c r="U96" s="297">
        <v>23165</v>
      </c>
      <c r="V96" s="297">
        <v>23165</v>
      </c>
      <c r="W96" s="91">
        <v>21470</v>
      </c>
      <c r="X96" s="49">
        <f t="shared" si="44"/>
        <v>267810</v>
      </c>
      <c r="Y96" s="69"/>
      <c r="Z96" s="69"/>
    </row>
    <row r="97" spans="1:26">
      <c r="A97" s="114">
        <f t="shared" si="45"/>
        <v>2013026</v>
      </c>
      <c r="B97" s="74"/>
      <c r="C97" s="642"/>
      <c r="D97" s="645"/>
      <c r="E97" s="645"/>
      <c r="F97" s="645"/>
      <c r="G97" s="645"/>
      <c r="H97" s="645"/>
      <c r="I97" s="648"/>
      <c r="J97" s="629"/>
      <c r="K97" s="174" t="s">
        <v>30</v>
      </c>
      <c r="L97" s="297">
        <v>34770</v>
      </c>
      <c r="M97" s="297">
        <v>34770</v>
      </c>
      <c r="N97" s="297">
        <v>34770</v>
      </c>
      <c r="O97" s="297">
        <v>34770</v>
      </c>
      <c r="P97" s="297">
        <v>34770</v>
      </c>
      <c r="Q97" s="297">
        <v>37515</v>
      </c>
      <c r="R97" s="297">
        <v>37515</v>
      </c>
      <c r="S97" s="297">
        <v>37515</v>
      </c>
      <c r="T97" s="297">
        <v>37515</v>
      </c>
      <c r="U97" s="297">
        <v>37515</v>
      </c>
      <c r="V97" s="297">
        <v>37515</v>
      </c>
      <c r="W97" s="91">
        <v>34770</v>
      </c>
      <c r="X97" s="49">
        <f t="shared" si="44"/>
        <v>433710</v>
      </c>
      <c r="Y97" s="69"/>
      <c r="Z97" s="69"/>
    </row>
    <row r="98" spans="1:26">
      <c r="A98" s="114">
        <f t="shared" si="45"/>
        <v>2013026</v>
      </c>
      <c r="B98" s="74"/>
      <c r="C98" s="642"/>
      <c r="D98" s="645"/>
      <c r="E98" s="645"/>
      <c r="F98" s="645"/>
      <c r="G98" s="645"/>
      <c r="H98" s="645"/>
      <c r="I98" s="648"/>
      <c r="J98" s="629"/>
      <c r="K98" s="174" t="s">
        <v>31</v>
      </c>
      <c r="L98" s="297">
        <v>2060</v>
      </c>
      <c r="M98" s="297">
        <v>2053</v>
      </c>
      <c r="N98" s="297">
        <v>2020</v>
      </c>
      <c r="O98" s="297">
        <v>2020</v>
      </c>
      <c r="P98" s="297">
        <v>2060</v>
      </c>
      <c r="Q98" s="297">
        <v>2020</v>
      </c>
      <c r="R98" s="297">
        <v>2067</v>
      </c>
      <c r="S98" s="297">
        <v>2020</v>
      </c>
      <c r="T98" s="297">
        <v>2020</v>
      </c>
      <c r="U98" s="297">
        <v>2020</v>
      </c>
      <c r="V98" s="297">
        <v>2107</v>
      </c>
      <c r="W98" s="91">
        <v>2060</v>
      </c>
      <c r="X98" s="49">
        <f t="shared" si="44"/>
        <v>24527</v>
      </c>
      <c r="Y98" s="69"/>
      <c r="Z98" s="69"/>
    </row>
    <row r="99" spans="1:26">
      <c r="A99" s="114">
        <f t="shared" si="45"/>
        <v>2013026</v>
      </c>
      <c r="B99" s="74"/>
      <c r="C99" s="642"/>
      <c r="D99" s="645"/>
      <c r="E99" s="645"/>
      <c r="F99" s="645"/>
      <c r="G99" s="645"/>
      <c r="H99" s="645"/>
      <c r="I99" s="648"/>
      <c r="J99" s="629"/>
      <c r="K99" s="210" t="s">
        <v>32</v>
      </c>
      <c r="L99" s="297">
        <v>2266</v>
      </c>
      <c r="M99" s="297">
        <v>2259</v>
      </c>
      <c r="N99" s="297">
        <v>2222</v>
      </c>
      <c r="O99" s="297">
        <v>2222</v>
      </c>
      <c r="P99" s="297">
        <v>2266</v>
      </c>
      <c r="Q99" s="297">
        <v>2222</v>
      </c>
      <c r="R99" s="297">
        <v>2273</v>
      </c>
      <c r="S99" s="297">
        <v>2222</v>
      </c>
      <c r="T99" s="297">
        <v>2222</v>
      </c>
      <c r="U99" s="297">
        <v>2222</v>
      </c>
      <c r="V99" s="297">
        <v>2318</v>
      </c>
      <c r="W99" s="91">
        <v>2266</v>
      </c>
      <c r="X99" s="49">
        <f t="shared" si="44"/>
        <v>26980</v>
      </c>
      <c r="Y99" s="69"/>
      <c r="Z99" s="69"/>
    </row>
    <row r="100" spans="1:26">
      <c r="A100" s="114">
        <f t="shared" si="45"/>
        <v>2013026</v>
      </c>
      <c r="B100" s="74"/>
      <c r="C100" s="654"/>
      <c r="D100" s="655"/>
      <c r="E100" s="655"/>
      <c r="F100" s="655"/>
      <c r="G100" s="655"/>
      <c r="H100" s="655"/>
      <c r="I100" s="652"/>
      <c r="J100" s="630"/>
      <c r="K100" s="170" t="s">
        <v>33</v>
      </c>
      <c r="L100" s="308">
        <f t="shared" ref="L100:X100" si="47">L89-L92</f>
        <v>77431</v>
      </c>
      <c r="M100" s="405">
        <f t="shared" si="47"/>
        <v>78779</v>
      </c>
      <c r="N100" s="405">
        <f t="shared" si="47"/>
        <v>85518</v>
      </c>
      <c r="O100" s="405">
        <f t="shared" si="47"/>
        <v>85518</v>
      </c>
      <c r="P100" s="405">
        <f t="shared" si="47"/>
        <v>77431</v>
      </c>
      <c r="Q100" s="405">
        <f t="shared" si="47"/>
        <v>79358</v>
      </c>
      <c r="R100" s="405">
        <f t="shared" si="47"/>
        <v>71643</v>
      </c>
      <c r="S100" s="405">
        <f t="shared" si="47"/>
        <v>81078</v>
      </c>
      <c r="T100" s="405">
        <f t="shared" si="47"/>
        <v>81078</v>
      </c>
      <c r="U100" s="405">
        <f t="shared" si="47"/>
        <v>81078</v>
      </c>
      <c r="V100" s="405">
        <f t="shared" si="47"/>
        <v>39615</v>
      </c>
      <c r="W100" s="212">
        <f t="shared" si="47"/>
        <v>93484.777777777752</v>
      </c>
      <c r="X100" s="51">
        <f t="shared" si="47"/>
        <v>932011.77777777798</v>
      </c>
      <c r="Z100" s="69"/>
    </row>
    <row r="101" spans="1:26" ht="12.75" customHeight="1">
      <c r="A101" s="113">
        <v>2011013</v>
      </c>
      <c r="C101" s="641">
        <f t="shared" si="32"/>
        <v>9</v>
      </c>
      <c r="D101" s="644" t="s">
        <v>59</v>
      </c>
      <c r="E101" s="644"/>
      <c r="F101" s="644"/>
      <c r="G101" s="644" t="s">
        <v>160</v>
      </c>
      <c r="H101" s="644" t="s">
        <v>47</v>
      </c>
      <c r="I101" s="647" t="s">
        <v>51</v>
      </c>
      <c r="J101" s="628" t="s">
        <v>65</v>
      </c>
      <c r="K101" s="176" t="s">
        <v>23</v>
      </c>
      <c r="L101" s="294">
        <f t="shared" ref="L101:W101" si="48">L102+L103</f>
        <v>590000</v>
      </c>
      <c r="M101" s="409">
        <f t="shared" si="48"/>
        <v>590000</v>
      </c>
      <c r="N101" s="409">
        <f t="shared" si="48"/>
        <v>590000</v>
      </c>
      <c r="O101" s="409">
        <f t="shared" si="48"/>
        <v>590000</v>
      </c>
      <c r="P101" s="409">
        <f t="shared" si="48"/>
        <v>590000</v>
      </c>
      <c r="Q101" s="409">
        <f t="shared" si="48"/>
        <v>590000</v>
      </c>
      <c r="R101" s="409">
        <f t="shared" si="48"/>
        <v>590000</v>
      </c>
      <c r="S101" s="409">
        <f t="shared" si="48"/>
        <v>590000</v>
      </c>
      <c r="T101" s="409">
        <f t="shared" si="48"/>
        <v>590000</v>
      </c>
      <c r="U101" s="409">
        <f t="shared" si="48"/>
        <v>590000</v>
      </c>
      <c r="V101" s="409">
        <f t="shared" si="48"/>
        <v>562325</v>
      </c>
      <c r="W101" s="97">
        <f t="shared" si="48"/>
        <v>560000</v>
      </c>
      <c r="X101" s="117">
        <f t="shared" ref="X101:X111" si="49">SUM(L101:W101)</f>
        <v>7022325</v>
      </c>
      <c r="Z101" s="69"/>
    </row>
    <row r="102" spans="1:26">
      <c r="A102" s="114">
        <f t="shared" ref="A102:A112" si="50">+A101</f>
        <v>2011013</v>
      </c>
      <c r="B102" s="74"/>
      <c r="C102" s="642"/>
      <c r="D102" s="645"/>
      <c r="E102" s="645"/>
      <c r="F102" s="645"/>
      <c r="G102" s="645"/>
      <c r="H102" s="645"/>
      <c r="I102" s="648"/>
      <c r="J102" s="629"/>
      <c r="K102" s="172" t="s">
        <v>24</v>
      </c>
      <c r="L102" s="301">
        <v>590000</v>
      </c>
      <c r="M102" s="301">
        <v>590000</v>
      </c>
      <c r="N102" s="301">
        <v>590000</v>
      </c>
      <c r="O102" s="301">
        <v>590000</v>
      </c>
      <c r="P102" s="301">
        <v>590000</v>
      </c>
      <c r="Q102" s="301">
        <v>590000</v>
      </c>
      <c r="R102" s="301">
        <v>590000</v>
      </c>
      <c r="S102" s="301">
        <v>590000</v>
      </c>
      <c r="T102" s="301">
        <v>590000</v>
      </c>
      <c r="U102" s="301">
        <v>590000</v>
      </c>
      <c r="V102" s="301">
        <v>562325</v>
      </c>
      <c r="W102" s="102">
        <v>560000</v>
      </c>
      <c r="X102" s="49">
        <f t="shared" si="49"/>
        <v>7022325</v>
      </c>
      <c r="Y102" s="69"/>
      <c r="Z102" s="69"/>
    </row>
    <row r="103" spans="1:26">
      <c r="A103" s="114">
        <f t="shared" si="50"/>
        <v>2011013</v>
      </c>
      <c r="B103" s="74"/>
      <c r="C103" s="642"/>
      <c r="D103" s="645"/>
      <c r="E103" s="645"/>
      <c r="F103" s="645"/>
      <c r="G103" s="645"/>
      <c r="H103" s="645"/>
      <c r="I103" s="648"/>
      <c r="J103" s="629"/>
      <c r="K103" s="172" t="s">
        <v>25</v>
      </c>
      <c r="L103" s="312"/>
      <c r="M103" s="297"/>
      <c r="N103" s="297"/>
      <c r="O103" s="297"/>
      <c r="P103" s="297"/>
      <c r="Q103" s="297"/>
      <c r="R103" s="297"/>
      <c r="S103" s="297"/>
      <c r="T103" s="297"/>
      <c r="U103" s="297"/>
      <c r="V103" s="297"/>
      <c r="W103" s="91"/>
      <c r="X103" s="49">
        <f t="shared" si="49"/>
        <v>0</v>
      </c>
      <c r="Z103" s="69"/>
    </row>
    <row r="104" spans="1:26">
      <c r="A104" s="114">
        <f t="shared" si="50"/>
        <v>2011013</v>
      </c>
      <c r="B104" s="74"/>
      <c r="C104" s="642"/>
      <c r="D104" s="645"/>
      <c r="E104" s="645"/>
      <c r="F104" s="645"/>
      <c r="G104" s="645"/>
      <c r="H104" s="645"/>
      <c r="I104" s="648"/>
      <c r="J104" s="629"/>
      <c r="K104" s="173" t="s">
        <v>26</v>
      </c>
      <c r="L104" s="296">
        <f t="shared" ref="L104:W104" si="51">SUM(L105:L111)</f>
        <v>480250</v>
      </c>
      <c r="M104" s="411">
        <f t="shared" si="51"/>
        <v>490052</v>
      </c>
      <c r="N104" s="411">
        <f t="shared" si="51"/>
        <v>481230</v>
      </c>
      <c r="O104" s="411">
        <f t="shared" si="51"/>
        <v>509233</v>
      </c>
      <c r="P104" s="411">
        <f t="shared" si="51"/>
        <v>481230</v>
      </c>
      <c r="Q104" s="411">
        <f t="shared" si="51"/>
        <v>493832</v>
      </c>
      <c r="R104" s="411">
        <f t="shared" si="51"/>
        <v>481230</v>
      </c>
      <c r="S104" s="411">
        <f t="shared" si="51"/>
        <v>481230</v>
      </c>
      <c r="T104" s="411">
        <f t="shared" si="51"/>
        <v>493832</v>
      </c>
      <c r="U104" s="411">
        <f t="shared" si="51"/>
        <v>481230</v>
      </c>
      <c r="V104" s="411">
        <f t="shared" si="51"/>
        <v>481413</v>
      </c>
      <c r="W104" s="99">
        <f t="shared" si="51"/>
        <v>474141.77777777775</v>
      </c>
      <c r="X104" s="50">
        <f t="shared" si="49"/>
        <v>5828903.777777778</v>
      </c>
      <c r="Z104" s="69"/>
    </row>
    <row r="105" spans="1:26">
      <c r="A105" s="114">
        <f t="shared" si="50"/>
        <v>2011013</v>
      </c>
      <c r="B105" s="74"/>
      <c r="C105" s="642"/>
      <c r="D105" s="645"/>
      <c r="E105" s="645"/>
      <c r="F105" s="645"/>
      <c r="G105" s="645"/>
      <c r="H105" s="645"/>
      <c r="I105" s="648"/>
      <c r="J105" s="629"/>
      <c r="K105" s="174" t="s">
        <v>27</v>
      </c>
      <c r="L105" s="297">
        <v>399000</v>
      </c>
      <c r="M105" s="297">
        <v>408700</v>
      </c>
      <c r="N105" s="297">
        <v>399000</v>
      </c>
      <c r="O105" s="297">
        <v>426713</v>
      </c>
      <c r="P105" s="297">
        <v>399000</v>
      </c>
      <c r="Q105" s="297">
        <v>411471</v>
      </c>
      <c r="R105" s="297">
        <v>399000</v>
      </c>
      <c r="S105" s="297">
        <v>399000</v>
      </c>
      <c r="T105" s="297">
        <v>411471</v>
      </c>
      <c r="U105" s="297">
        <v>399000</v>
      </c>
      <c r="V105" s="297">
        <v>399000</v>
      </c>
      <c r="W105" s="91">
        <v>392891.77777777775</v>
      </c>
      <c r="X105" s="49">
        <f t="shared" si="49"/>
        <v>4844246.777777778</v>
      </c>
      <c r="Y105" s="69"/>
      <c r="Z105" s="69"/>
    </row>
    <row r="106" spans="1:26">
      <c r="A106" s="114">
        <f t="shared" si="50"/>
        <v>2011013</v>
      </c>
      <c r="B106" s="74"/>
      <c r="C106" s="642"/>
      <c r="D106" s="645"/>
      <c r="E106" s="645"/>
      <c r="F106" s="645"/>
      <c r="G106" s="645"/>
      <c r="H106" s="645"/>
      <c r="I106" s="648"/>
      <c r="J106" s="629"/>
      <c r="K106" s="174" t="s">
        <v>34</v>
      </c>
      <c r="L106" s="297"/>
      <c r="M106" s="297"/>
      <c r="N106" s="297"/>
      <c r="O106" s="297"/>
      <c r="P106" s="297"/>
      <c r="Q106" s="297"/>
      <c r="R106" s="297"/>
      <c r="S106" s="297"/>
      <c r="T106" s="297"/>
      <c r="U106" s="297"/>
      <c r="V106" s="297"/>
      <c r="W106" s="91"/>
      <c r="X106" s="49">
        <f t="shared" si="49"/>
        <v>0</v>
      </c>
      <c r="Y106" s="69"/>
      <c r="Z106" s="69"/>
    </row>
    <row r="107" spans="1:26">
      <c r="A107" s="114">
        <f t="shared" si="50"/>
        <v>2011013</v>
      </c>
      <c r="B107" s="74"/>
      <c r="C107" s="642"/>
      <c r="D107" s="645"/>
      <c r="E107" s="645"/>
      <c r="F107" s="645"/>
      <c r="G107" s="645"/>
      <c r="H107" s="645"/>
      <c r="I107" s="648"/>
      <c r="J107" s="629"/>
      <c r="K107" s="174" t="s">
        <v>28</v>
      </c>
      <c r="L107" s="297">
        <v>16210</v>
      </c>
      <c r="M107" s="297">
        <v>16210</v>
      </c>
      <c r="N107" s="297">
        <v>17180</v>
      </c>
      <c r="O107" s="297">
        <v>17180</v>
      </c>
      <c r="P107" s="297">
        <v>17180</v>
      </c>
      <c r="Q107" s="297">
        <v>17180</v>
      </c>
      <c r="R107" s="297">
        <v>17180</v>
      </c>
      <c r="S107" s="297">
        <v>17180</v>
      </c>
      <c r="T107" s="297">
        <v>17180</v>
      </c>
      <c r="U107" s="297">
        <v>17180</v>
      </c>
      <c r="V107" s="297">
        <v>17180</v>
      </c>
      <c r="W107" s="91">
        <v>16210</v>
      </c>
      <c r="X107" s="49">
        <f t="shared" si="49"/>
        <v>203250</v>
      </c>
      <c r="Y107" s="69"/>
      <c r="Z107" s="69"/>
    </row>
    <row r="108" spans="1:26">
      <c r="A108" s="114">
        <f t="shared" si="50"/>
        <v>2011013</v>
      </c>
      <c r="B108" s="74"/>
      <c r="C108" s="642"/>
      <c r="D108" s="645"/>
      <c r="E108" s="645"/>
      <c r="F108" s="645"/>
      <c r="G108" s="645"/>
      <c r="H108" s="645"/>
      <c r="I108" s="648"/>
      <c r="J108" s="629"/>
      <c r="K108" s="174" t="s">
        <v>29</v>
      </c>
      <c r="L108" s="297">
        <v>23165</v>
      </c>
      <c r="M108" s="297">
        <v>23165</v>
      </c>
      <c r="N108" s="297">
        <v>23165</v>
      </c>
      <c r="O108" s="297">
        <v>23165</v>
      </c>
      <c r="P108" s="297">
        <v>23165</v>
      </c>
      <c r="Q108" s="297">
        <v>23165</v>
      </c>
      <c r="R108" s="297">
        <v>23165</v>
      </c>
      <c r="S108" s="297">
        <v>23165</v>
      </c>
      <c r="T108" s="297">
        <v>23165</v>
      </c>
      <c r="U108" s="297">
        <v>23165</v>
      </c>
      <c r="V108" s="297">
        <v>23165</v>
      </c>
      <c r="W108" s="91">
        <v>23165</v>
      </c>
      <c r="X108" s="49">
        <f t="shared" si="49"/>
        <v>277980</v>
      </c>
      <c r="Y108" s="69"/>
      <c r="Z108" s="69"/>
    </row>
    <row r="109" spans="1:26">
      <c r="A109" s="114">
        <f t="shared" si="50"/>
        <v>2011013</v>
      </c>
      <c r="B109" s="74"/>
      <c r="C109" s="642"/>
      <c r="D109" s="645"/>
      <c r="E109" s="645"/>
      <c r="F109" s="645"/>
      <c r="G109" s="645"/>
      <c r="H109" s="645"/>
      <c r="I109" s="648"/>
      <c r="J109" s="629"/>
      <c r="K109" s="174" t="s">
        <v>30</v>
      </c>
      <c r="L109" s="297">
        <v>37515</v>
      </c>
      <c r="M109" s="297">
        <v>37515</v>
      </c>
      <c r="N109" s="297">
        <v>37515</v>
      </c>
      <c r="O109" s="297">
        <v>37515</v>
      </c>
      <c r="P109" s="297">
        <v>37515</v>
      </c>
      <c r="Q109" s="297">
        <v>37515</v>
      </c>
      <c r="R109" s="297">
        <v>37515</v>
      </c>
      <c r="S109" s="297">
        <v>37515</v>
      </c>
      <c r="T109" s="297">
        <v>37515</v>
      </c>
      <c r="U109" s="297">
        <v>37515</v>
      </c>
      <c r="V109" s="297">
        <v>37515</v>
      </c>
      <c r="W109" s="91">
        <v>37515</v>
      </c>
      <c r="X109" s="49">
        <f t="shared" si="49"/>
        <v>450180</v>
      </c>
      <c r="Y109" s="69"/>
      <c r="Z109" s="69"/>
    </row>
    <row r="110" spans="1:26">
      <c r="A110" s="114">
        <f t="shared" si="50"/>
        <v>2011013</v>
      </c>
      <c r="B110" s="74"/>
      <c r="C110" s="642"/>
      <c r="D110" s="645"/>
      <c r="E110" s="645"/>
      <c r="F110" s="645"/>
      <c r="G110" s="645"/>
      <c r="H110" s="645"/>
      <c r="I110" s="648"/>
      <c r="J110" s="629"/>
      <c r="K110" s="174" t="s">
        <v>31</v>
      </c>
      <c r="L110" s="297">
        <v>2076</v>
      </c>
      <c r="M110" s="297">
        <v>2125</v>
      </c>
      <c r="N110" s="297">
        <v>2081</v>
      </c>
      <c r="O110" s="297">
        <v>2219</v>
      </c>
      <c r="P110" s="297">
        <v>2081</v>
      </c>
      <c r="Q110" s="297">
        <v>2143</v>
      </c>
      <c r="R110" s="297">
        <v>2081</v>
      </c>
      <c r="S110" s="297">
        <v>2081</v>
      </c>
      <c r="T110" s="297">
        <v>2143</v>
      </c>
      <c r="U110" s="297">
        <v>2081</v>
      </c>
      <c r="V110" s="297">
        <v>2168</v>
      </c>
      <c r="W110" s="91">
        <v>2076</v>
      </c>
      <c r="X110" s="49">
        <f t="shared" si="49"/>
        <v>25355</v>
      </c>
      <c r="Y110" s="69"/>
      <c r="Z110" s="69"/>
    </row>
    <row r="111" spans="1:26">
      <c r="A111" s="114">
        <f t="shared" si="50"/>
        <v>2011013</v>
      </c>
      <c r="B111" s="74"/>
      <c r="C111" s="642"/>
      <c r="D111" s="645"/>
      <c r="E111" s="645"/>
      <c r="F111" s="645"/>
      <c r="G111" s="645"/>
      <c r="H111" s="645"/>
      <c r="I111" s="648"/>
      <c r="J111" s="629"/>
      <c r="K111" s="210" t="s">
        <v>32</v>
      </c>
      <c r="L111" s="297">
        <v>2284</v>
      </c>
      <c r="M111" s="297">
        <v>2337</v>
      </c>
      <c r="N111" s="297">
        <v>2289</v>
      </c>
      <c r="O111" s="297">
        <v>2441</v>
      </c>
      <c r="P111" s="297">
        <v>2289</v>
      </c>
      <c r="Q111" s="297">
        <v>2358</v>
      </c>
      <c r="R111" s="297">
        <v>2289</v>
      </c>
      <c r="S111" s="297">
        <v>2289</v>
      </c>
      <c r="T111" s="297">
        <v>2358</v>
      </c>
      <c r="U111" s="297">
        <v>2289</v>
      </c>
      <c r="V111" s="297">
        <v>2385</v>
      </c>
      <c r="W111" s="91">
        <v>2284</v>
      </c>
      <c r="X111" s="49">
        <f t="shared" si="49"/>
        <v>27892</v>
      </c>
      <c r="Y111" s="69"/>
      <c r="Z111" s="69"/>
    </row>
    <row r="112" spans="1:26">
      <c r="A112" s="114">
        <f t="shared" si="50"/>
        <v>2011013</v>
      </c>
      <c r="B112" s="74"/>
      <c r="C112" s="654"/>
      <c r="D112" s="655"/>
      <c r="E112" s="655"/>
      <c r="F112" s="655"/>
      <c r="G112" s="655"/>
      <c r="H112" s="655"/>
      <c r="I112" s="652"/>
      <c r="J112" s="630"/>
      <c r="K112" s="170" t="s">
        <v>33</v>
      </c>
      <c r="L112" s="308">
        <f t="shared" ref="L112:X112" si="52">L101-L104</f>
        <v>109750</v>
      </c>
      <c r="M112" s="405">
        <f t="shared" si="52"/>
        <v>99948</v>
      </c>
      <c r="N112" s="405">
        <f t="shared" si="52"/>
        <v>108770</v>
      </c>
      <c r="O112" s="405">
        <f t="shared" si="52"/>
        <v>80767</v>
      </c>
      <c r="P112" s="405">
        <f t="shared" si="52"/>
        <v>108770</v>
      </c>
      <c r="Q112" s="405">
        <f t="shared" si="52"/>
        <v>96168</v>
      </c>
      <c r="R112" s="405">
        <f t="shared" si="52"/>
        <v>108770</v>
      </c>
      <c r="S112" s="405">
        <f t="shared" si="52"/>
        <v>108770</v>
      </c>
      <c r="T112" s="405">
        <f t="shared" si="52"/>
        <v>96168</v>
      </c>
      <c r="U112" s="405">
        <f t="shared" si="52"/>
        <v>108770</v>
      </c>
      <c r="V112" s="405">
        <f t="shared" si="52"/>
        <v>80912</v>
      </c>
      <c r="W112" s="212">
        <f t="shared" si="52"/>
        <v>85858.222222222248</v>
      </c>
      <c r="X112" s="51">
        <f t="shared" si="52"/>
        <v>1193421.222222222</v>
      </c>
      <c r="Z112" s="69"/>
    </row>
    <row r="113" spans="1:26" ht="12.75" customHeight="1">
      <c r="A113" s="113">
        <v>2011008</v>
      </c>
      <c r="C113" s="641">
        <f t="shared" si="32"/>
        <v>10</v>
      </c>
      <c r="D113" s="644" t="s">
        <v>59</v>
      </c>
      <c r="E113" s="644"/>
      <c r="F113" s="644"/>
      <c r="G113" s="644" t="s">
        <v>160</v>
      </c>
      <c r="H113" s="644" t="s">
        <v>42</v>
      </c>
      <c r="I113" s="647" t="s">
        <v>44</v>
      </c>
      <c r="J113" s="628" t="s">
        <v>65</v>
      </c>
      <c r="K113" s="176" t="s">
        <v>23</v>
      </c>
      <c r="L113" s="294">
        <f t="shared" ref="L113:W113" si="53">L114+L115</f>
        <v>646800</v>
      </c>
      <c r="M113" s="409">
        <f t="shared" si="53"/>
        <v>585900</v>
      </c>
      <c r="N113" s="409">
        <f t="shared" si="53"/>
        <v>636300</v>
      </c>
      <c r="O113" s="409">
        <f t="shared" si="53"/>
        <v>699300</v>
      </c>
      <c r="P113" s="409">
        <f t="shared" si="53"/>
        <v>575400</v>
      </c>
      <c r="Q113" s="409">
        <f t="shared" si="53"/>
        <v>621600</v>
      </c>
      <c r="R113" s="409">
        <f t="shared" si="53"/>
        <v>705600</v>
      </c>
      <c r="S113" s="409">
        <f t="shared" si="53"/>
        <v>504000</v>
      </c>
      <c r="T113" s="409">
        <f t="shared" si="53"/>
        <v>596400</v>
      </c>
      <c r="U113" s="409">
        <f t="shared" si="53"/>
        <v>449400</v>
      </c>
      <c r="V113" s="409">
        <f t="shared" si="53"/>
        <v>562800</v>
      </c>
      <c r="W113" s="97">
        <f t="shared" si="53"/>
        <v>570000</v>
      </c>
      <c r="X113" s="117">
        <f t="shared" ref="X113:X123" si="54">SUM(L113:W113)</f>
        <v>7153500</v>
      </c>
      <c r="Z113" s="69"/>
    </row>
    <row r="114" spans="1:26">
      <c r="A114" s="114">
        <f t="shared" ref="A114:A124" si="55">+A113</f>
        <v>2011008</v>
      </c>
      <c r="B114" s="74"/>
      <c r="C114" s="642"/>
      <c r="D114" s="645"/>
      <c r="E114" s="645"/>
      <c r="F114" s="645"/>
      <c r="G114" s="645"/>
      <c r="H114" s="645"/>
      <c r="I114" s="648"/>
      <c r="J114" s="629"/>
      <c r="K114" s="172" t="s">
        <v>24</v>
      </c>
      <c r="L114" s="301">
        <v>646800</v>
      </c>
      <c r="M114" s="301">
        <v>585900</v>
      </c>
      <c r="N114" s="301">
        <v>636300</v>
      </c>
      <c r="O114" s="301">
        <v>699300</v>
      </c>
      <c r="P114" s="301">
        <v>575400</v>
      </c>
      <c r="Q114" s="301">
        <v>621600</v>
      </c>
      <c r="R114" s="301">
        <v>705600</v>
      </c>
      <c r="S114" s="301">
        <v>504000</v>
      </c>
      <c r="T114" s="301">
        <v>596400</v>
      </c>
      <c r="U114" s="301">
        <v>449400</v>
      </c>
      <c r="V114" s="301">
        <v>562800</v>
      </c>
      <c r="W114" s="102">
        <v>570000</v>
      </c>
      <c r="X114" s="49">
        <f t="shared" si="54"/>
        <v>7153500</v>
      </c>
      <c r="Y114" s="69"/>
      <c r="Z114" s="69"/>
    </row>
    <row r="115" spans="1:26">
      <c r="A115" s="114">
        <f t="shared" si="55"/>
        <v>2011008</v>
      </c>
      <c r="B115" s="74"/>
      <c r="C115" s="642"/>
      <c r="D115" s="645"/>
      <c r="E115" s="645"/>
      <c r="F115" s="645"/>
      <c r="G115" s="645"/>
      <c r="H115" s="645"/>
      <c r="I115" s="648"/>
      <c r="J115" s="629"/>
      <c r="K115" s="172" t="s">
        <v>25</v>
      </c>
      <c r="L115" s="312"/>
      <c r="M115" s="297"/>
      <c r="N115" s="297"/>
      <c r="O115" s="297"/>
      <c r="P115" s="297"/>
      <c r="Q115" s="297"/>
      <c r="R115" s="297"/>
      <c r="S115" s="297"/>
      <c r="T115" s="297"/>
      <c r="U115" s="297"/>
      <c r="V115" s="297"/>
      <c r="W115" s="91"/>
      <c r="X115" s="49">
        <f t="shared" si="54"/>
        <v>0</v>
      </c>
      <c r="Z115" s="69"/>
    </row>
    <row r="116" spans="1:26">
      <c r="A116" s="114">
        <f t="shared" si="55"/>
        <v>2011008</v>
      </c>
      <c r="B116" s="74"/>
      <c r="C116" s="642"/>
      <c r="D116" s="645"/>
      <c r="E116" s="645"/>
      <c r="F116" s="645"/>
      <c r="G116" s="645"/>
      <c r="H116" s="645"/>
      <c r="I116" s="648"/>
      <c r="J116" s="629"/>
      <c r="K116" s="173" t="s">
        <v>26</v>
      </c>
      <c r="L116" s="296">
        <f t="shared" ref="L116:W116" si="56">SUM(L117:L123)</f>
        <v>525874</v>
      </c>
      <c r="M116" s="411">
        <f t="shared" si="56"/>
        <v>507363</v>
      </c>
      <c r="N116" s="411">
        <f t="shared" si="56"/>
        <v>517538</v>
      </c>
      <c r="O116" s="411">
        <f t="shared" si="56"/>
        <v>516331</v>
      </c>
      <c r="P116" s="411">
        <f t="shared" si="56"/>
        <v>475089</v>
      </c>
      <c r="Q116" s="411">
        <f t="shared" si="56"/>
        <v>490631</v>
      </c>
      <c r="R116" s="411">
        <f t="shared" si="56"/>
        <v>547767</v>
      </c>
      <c r="S116" s="411">
        <f t="shared" si="56"/>
        <v>516998</v>
      </c>
      <c r="T116" s="411">
        <f t="shared" si="56"/>
        <v>506610</v>
      </c>
      <c r="U116" s="411">
        <f t="shared" si="56"/>
        <v>457264</v>
      </c>
      <c r="V116" s="411">
        <f t="shared" si="56"/>
        <v>463634</v>
      </c>
      <c r="W116" s="99">
        <f t="shared" si="56"/>
        <v>470904.44444444444</v>
      </c>
      <c r="X116" s="50">
        <f t="shared" si="54"/>
        <v>5996003.444444444</v>
      </c>
      <c r="Z116" s="69"/>
    </row>
    <row r="117" spans="1:26">
      <c r="A117" s="114">
        <f t="shared" si="55"/>
        <v>2011008</v>
      </c>
      <c r="B117" s="74"/>
      <c r="C117" s="642"/>
      <c r="D117" s="645"/>
      <c r="E117" s="645"/>
      <c r="F117" s="645"/>
      <c r="G117" s="645"/>
      <c r="H117" s="645"/>
      <c r="I117" s="648"/>
      <c r="J117" s="629"/>
      <c r="K117" s="174" t="s">
        <v>27</v>
      </c>
      <c r="L117" s="297">
        <v>460360</v>
      </c>
      <c r="M117" s="297">
        <v>441010</v>
      </c>
      <c r="N117" s="297">
        <v>452110</v>
      </c>
      <c r="O117" s="297">
        <v>447820</v>
      </c>
      <c r="P117" s="297">
        <v>409070</v>
      </c>
      <c r="Q117" s="297">
        <v>421090</v>
      </c>
      <c r="R117" s="297">
        <v>476600</v>
      </c>
      <c r="S117" s="297">
        <v>446150</v>
      </c>
      <c r="T117" s="297">
        <v>435870</v>
      </c>
      <c r="U117" s="297">
        <v>388070</v>
      </c>
      <c r="V117" s="297">
        <v>393160</v>
      </c>
      <c r="W117" s="93">
        <v>405390.44444444444</v>
      </c>
      <c r="X117" s="49">
        <f t="shared" si="54"/>
        <v>5176700.444444444</v>
      </c>
      <c r="Y117" s="69"/>
      <c r="Z117" s="69"/>
    </row>
    <row r="118" spans="1:26">
      <c r="A118" s="114">
        <f t="shared" si="55"/>
        <v>2011008</v>
      </c>
      <c r="B118" s="74"/>
      <c r="C118" s="642"/>
      <c r="D118" s="645"/>
      <c r="E118" s="645"/>
      <c r="F118" s="645"/>
      <c r="G118" s="645"/>
      <c r="H118" s="645"/>
      <c r="I118" s="648"/>
      <c r="J118" s="629"/>
      <c r="K118" s="174" t="s">
        <v>34</v>
      </c>
      <c r="L118" s="297"/>
      <c r="M118" s="297"/>
      <c r="N118" s="297"/>
      <c r="O118" s="297"/>
      <c r="P118" s="297"/>
      <c r="Q118" s="297"/>
      <c r="R118" s="297"/>
      <c r="S118" s="297"/>
      <c r="T118" s="297"/>
      <c r="U118" s="297"/>
      <c r="V118" s="297"/>
      <c r="W118" s="93"/>
      <c r="X118" s="49">
        <f t="shared" si="54"/>
        <v>0</v>
      </c>
      <c r="Y118" s="69"/>
      <c r="Z118" s="69"/>
    </row>
    <row r="119" spans="1:26">
      <c r="A119" s="114">
        <f t="shared" si="55"/>
        <v>2011008</v>
      </c>
      <c r="B119" s="74"/>
      <c r="C119" s="642"/>
      <c r="D119" s="645"/>
      <c r="E119" s="645"/>
      <c r="F119" s="645"/>
      <c r="G119" s="645"/>
      <c r="H119" s="645"/>
      <c r="I119" s="648"/>
      <c r="J119" s="629"/>
      <c r="K119" s="174" t="s">
        <v>28</v>
      </c>
      <c r="L119" s="297">
        <v>0</v>
      </c>
      <c r="M119" s="297">
        <v>1032</v>
      </c>
      <c r="N119" s="297">
        <v>0</v>
      </c>
      <c r="O119" s="297">
        <v>3096</v>
      </c>
      <c r="P119" s="297">
        <v>1032</v>
      </c>
      <c r="Q119" s="297">
        <v>0</v>
      </c>
      <c r="R119" s="297">
        <v>1032</v>
      </c>
      <c r="S119" s="297">
        <v>1032</v>
      </c>
      <c r="T119" s="297">
        <v>1032</v>
      </c>
      <c r="U119" s="297">
        <v>0</v>
      </c>
      <c r="V119" s="297">
        <v>1032</v>
      </c>
      <c r="W119" s="91">
        <v>0</v>
      </c>
      <c r="X119" s="49">
        <f t="shared" si="54"/>
        <v>9288</v>
      </c>
      <c r="Y119" s="69"/>
      <c r="Z119" s="69"/>
    </row>
    <row r="120" spans="1:26">
      <c r="A120" s="114">
        <f t="shared" si="55"/>
        <v>2011008</v>
      </c>
      <c r="B120" s="74"/>
      <c r="C120" s="642"/>
      <c r="D120" s="645"/>
      <c r="E120" s="645"/>
      <c r="F120" s="645"/>
      <c r="G120" s="645"/>
      <c r="H120" s="645"/>
      <c r="I120" s="648"/>
      <c r="J120" s="629"/>
      <c r="K120" s="174" t="s">
        <v>29</v>
      </c>
      <c r="L120" s="297">
        <v>23165</v>
      </c>
      <c r="M120" s="297">
        <v>23165</v>
      </c>
      <c r="N120" s="297">
        <v>23165</v>
      </c>
      <c r="O120" s="297">
        <v>23165</v>
      </c>
      <c r="P120" s="297">
        <v>23165</v>
      </c>
      <c r="Q120" s="297">
        <v>24860</v>
      </c>
      <c r="R120" s="297">
        <v>24860</v>
      </c>
      <c r="S120" s="297">
        <v>24860</v>
      </c>
      <c r="T120" s="297">
        <v>24860</v>
      </c>
      <c r="U120" s="297">
        <v>24860</v>
      </c>
      <c r="V120" s="297">
        <v>24860</v>
      </c>
      <c r="W120" s="93">
        <v>23165</v>
      </c>
      <c r="X120" s="49">
        <f t="shared" si="54"/>
        <v>288150</v>
      </c>
      <c r="Y120" s="69"/>
      <c r="Z120" s="69"/>
    </row>
    <row r="121" spans="1:26">
      <c r="A121" s="114">
        <f t="shared" si="55"/>
        <v>2011008</v>
      </c>
      <c r="B121" s="74"/>
      <c r="C121" s="642"/>
      <c r="D121" s="645"/>
      <c r="E121" s="645"/>
      <c r="F121" s="645"/>
      <c r="G121" s="645"/>
      <c r="H121" s="645"/>
      <c r="I121" s="648"/>
      <c r="J121" s="629"/>
      <c r="K121" s="174" t="s">
        <v>30</v>
      </c>
      <c r="L121" s="297">
        <v>37515</v>
      </c>
      <c r="M121" s="297">
        <v>37515</v>
      </c>
      <c r="N121" s="297">
        <v>37515</v>
      </c>
      <c r="O121" s="297">
        <v>37515</v>
      </c>
      <c r="P121" s="297">
        <v>37515</v>
      </c>
      <c r="Q121" s="297">
        <v>40260</v>
      </c>
      <c r="R121" s="297">
        <v>40260</v>
      </c>
      <c r="S121" s="297">
        <v>40260</v>
      </c>
      <c r="T121" s="297">
        <v>40260</v>
      </c>
      <c r="U121" s="297">
        <v>40260</v>
      </c>
      <c r="V121" s="297">
        <v>40260</v>
      </c>
      <c r="W121" s="93">
        <v>37515</v>
      </c>
      <c r="X121" s="49">
        <f t="shared" si="54"/>
        <v>466650</v>
      </c>
      <c r="Y121" s="69"/>
      <c r="Z121" s="69"/>
    </row>
    <row r="122" spans="1:26">
      <c r="A122" s="114">
        <f t="shared" si="55"/>
        <v>2011008</v>
      </c>
      <c r="B122" s="74"/>
      <c r="C122" s="642"/>
      <c r="D122" s="645"/>
      <c r="E122" s="645"/>
      <c r="F122" s="645"/>
      <c r="G122" s="645"/>
      <c r="H122" s="645"/>
      <c r="I122" s="648"/>
      <c r="J122" s="629"/>
      <c r="K122" s="174" t="s">
        <v>31</v>
      </c>
      <c r="L122" s="297">
        <v>2302</v>
      </c>
      <c r="M122" s="297">
        <v>2210</v>
      </c>
      <c r="N122" s="297">
        <v>2261</v>
      </c>
      <c r="O122" s="297">
        <v>2255</v>
      </c>
      <c r="P122" s="297">
        <v>2051</v>
      </c>
      <c r="Q122" s="297">
        <v>2105</v>
      </c>
      <c r="R122" s="297">
        <v>2388</v>
      </c>
      <c r="S122" s="297">
        <v>2236</v>
      </c>
      <c r="T122" s="297">
        <v>2185</v>
      </c>
      <c r="U122" s="297">
        <v>1940</v>
      </c>
      <c r="V122" s="297">
        <v>2058</v>
      </c>
      <c r="W122" s="93">
        <v>2302</v>
      </c>
      <c r="X122" s="49">
        <f t="shared" si="54"/>
        <v>26293</v>
      </c>
      <c r="Y122" s="69"/>
      <c r="Z122" s="69"/>
    </row>
    <row r="123" spans="1:26">
      <c r="A123" s="114">
        <f t="shared" si="55"/>
        <v>2011008</v>
      </c>
      <c r="B123" s="74"/>
      <c r="C123" s="642"/>
      <c r="D123" s="645"/>
      <c r="E123" s="645"/>
      <c r="F123" s="645"/>
      <c r="G123" s="645"/>
      <c r="H123" s="645"/>
      <c r="I123" s="648"/>
      <c r="J123" s="629"/>
      <c r="K123" s="210" t="s">
        <v>32</v>
      </c>
      <c r="L123" s="297">
        <v>2532</v>
      </c>
      <c r="M123" s="297">
        <v>2431</v>
      </c>
      <c r="N123" s="297">
        <v>2487</v>
      </c>
      <c r="O123" s="297">
        <v>2480</v>
      </c>
      <c r="P123" s="297">
        <v>2256</v>
      </c>
      <c r="Q123" s="297">
        <v>2316</v>
      </c>
      <c r="R123" s="297">
        <v>2627</v>
      </c>
      <c r="S123" s="297">
        <v>2460</v>
      </c>
      <c r="T123" s="297">
        <v>2403</v>
      </c>
      <c r="U123" s="297">
        <v>2134</v>
      </c>
      <c r="V123" s="297">
        <v>2264</v>
      </c>
      <c r="W123" s="93">
        <v>2532</v>
      </c>
      <c r="X123" s="49">
        <f t="shared" si="54"/>
        <v>28922</v>
      </c>
      <c r="Y123" s="69"/>
      <c r="Z123" s="69"/>
    </row>
    <row r="124" spans="1:26">
      <c r="A124" s="114">
        <f t="shared" si="55"/>
        <v>2011008</v>
      </c>
      <c r="B124" s="74"/>
      <c r="C124" s="654"/>
      <c r="D124" s="655"/>
      <c r="E124" s="655"/>
      <c r="F124" s="655"/>
      <c r="G124" s="655"/>
      <c r="H124" s="655"/>
      <c r="I124" s="652"/>
      <c r="J124" s="630"/>
      <c r="K124" s="170" t="s">
        <v>33</v>
      </c>
      <c r="L124" s="308">
        <f t="shared" ref="L124:X124" si="57">L113-L116</f>
        <v>120926</v>
      </c>
      <c r="M124" s="405">
        <f t="shared" si="57"/>
        <v>78537</v>
      </c>
      <c r="N124" s="405">
        <f t="shared" si="57"/>
        <v>118762</v>
      </c>
      <c r="O124" s="405">
        <f t="shared" si="57"/>
        <v>182969</v>
      </c>
      <c r="P124" s="405">
        <f t="shared" si="57"/>
        <v>100311</v>
      </c>
      <c r="Q124" s="405">
        <f t="shared" si="57"/>
        <v>130969</v>
      </c>
      <c r="R124" s="405">
        <f t="shared" si="57"/>
        <v>157833</v>
      </c>
      <c r="S124" s="405">
        <f t="shared" si="57"/>
        <v>-12998</v>
      </c>
      <c r="T124" s="405">
        <f t="shared" si="57"/>
        <v>89790</v>
      </c>
      <c r="U124" s="405">
        <f t="shared" si="57"/>
        <v>-7864</v>
      </c>
      <c r="V124" s="405">
        <f t="shared" si="57"/>
        <v>99166</v>
      </c>
      <c r="W124" s="212">
        <f t="shared" si="57"/>
        <v>99095.555555555562</v>
      </c>
      <c r="X124" s="51">
        <f t="shared" si="57"/>
        <v>1157496.555555556</v>
      </c>
      <c r="Z124" s="69"/>
    </row>
    <row r="125" spans="1:26" ht="12.75" customHeight="1">
      <c r="A125" s="113">
        <v>2009006</v>
      </c>
      <c r="C125" s="641">
        <f t="shared" si="32"/>
        <v>11</v>
      </c>
      <c r="D125" s="644" t="s">
        <v>59</v>
      </c>
      <c r="E125" s="644"/>
      <c r="F125" s="644"/>
      <c r="G125" s="644" t="s">
        <v>160</v>
      </c>
      <c r="H125" s="644" t="s">
        <v>47</v>
      </c>
      <c r="I125" s="647" t="s">
        <v>49</v>
      </c>
      <c r="J125" s="628" t="s">
        <v>65</v>
      </c>
      <c r="K125" s="176" t="s">
        <v>23</v>
      </c>
      <c r="L125" s="294">
        <f t="shared" ref="L125:W125" si="58">L126+L127</f>
        <v>630000</v>
      </c>
      <c r="M125" s="409">
        <f t="shared" si="58"/>
        <v>630000</v>
      </c>
      <c r="N125" s="409">
        <f t="shared" si="58"/>
        <v>630000</v>
      </c>
      <c r="O125" s="409">
        <f t="shared" si="58"/>
        <v>630000</v>
      </c>
      <c r="P125" s="409">
        <f t="shared" si="58"/>
        <v>630000</v>
      </c>
      <c r="Q125" s="409">
        <f t="shared" si="58"/>
        <v>521650</v>
      </c>
      <c r="R125" s="409">
        <f t="shared" si="58"/>
        <v>630000</v>
      </c>
      <c r="S125" s="409">
        <f t="shared" si="58"/>
        <v>600450</v>
      </c>
      <c r="T125" s="409">
        <f t="shared" si="58"/>
        <v>630000</v>
      </c>
      <c r="U125" s="409">
        <f t="shared" si="58"/>
        <v>494070</v>
      </c>
      <c r="V125" s="409">
        <f t="shared" si="58"/>
        <v>612270</v>
      </c>
      <c r="W125" s="97">
        <f t="shared" si="58"/>
        <v>553958.33333333337</v>
      </c>
      <c r="X125" s="117">
        <f t="shared" ref="X125:X135" si="59">SUM(L125:W125)</f>
        <v>7192398.333333333</v>
      </c>
      <c r="Z125" s="69"/>
    </row>
    <row r="126" spans="1:26">
      <c r="A126" s="114">
        <f t="shared" ref="A126:A136" si="60">+A125</f>
        <v>2009006</v>
      </c>
      <c r="B126" s="74"/>
      <c r="C126" s="642"/>
      <c r="D126" s="645"/>
      <c r="E126" s="645"/>
      <c r="F126" s="645"/>
      <c r="G126" s="645"/>
      <c r="H126" s="645"/>
      <c r="I126" s="648"/>
      <c r="J126" s="629"/>
      <c r="K126" s="172" t="s">
        <v>24</v>
      </c>
      <c r="L126" s="301">
        <v>630000</v>
      </c>
      <c r="M126" s="301">
        <v>630000</v>
      </c>
      <c r="N126" s="301">
        <v>630000</v>
      </c>
      <c r="O126" s="301">
        <v>630000</v>
      </c>
      <c r="P126" s="301">
        <v>630000</v>
      </c>
      <c r="Q126" s="301">
        <v>521650</v>
      </c>
      <c r="R126" s="301">
        <v>630000</v>
      </c>
      <c r="S126" s="301">
        <v>600450</v>
      </c>
      <c r="T126" s="301">
        <v>630000</v>
      </c>
      <c r="U126" s="301">
        <v>494070</v>
      </c>
      <c r="V126" s="301">
        <v>612270</v>
      </c>
      <c r="W126" s="102">
        <v>553958.33333333337</v>
      </c>
      <c r="X126" s="49">
        <f t="shared" si="59"/>
        <v>7192398.333333333</v>
      </c>
      <c r="Y126" s="69"/>
      <c r="Z126" s="69"/>
    </row>
    <row r="127" spans="1:26">
      <c r="A127" s="114">
        <f t="shared" si="60"/>
        <v>2009006</v>
      </c>
      <c r="B127" s="74"/>
      <c r="C127" s="642"/>
      <c r="D127" s="645"/>
      <c r="E127" s="645"/>
      <c r="F127" s="645"/>
      <c r="G127" s="645"/>
      <c r="H127" s="645"/>
      <c r="I127" s="648"/>
      <c r="J127" s="629"/>
      <c r="K127" s="172" t="s">
        <v>25</v>
      </c>
      <c r="L127" s="312"/>
      <c r="M127" s="297"/>
      <c r="N127" s="297"/>
      <c r="O127" s="297"/>
      <c r="P127" s="297"/>
      <c r="Q127" s="297"/>
      <c r="R127" s="297"/>
      <c r="S127" s="297"/>
      <c r="T127" s="297"/>
      <c r="U127" s="297"/>
      <c r="V127" s="297"/>
      <c r="W127" s="91"/>
      <c r="X127" s="49">
        <f t="shared" si="59"/>
        <v>0</v>
      </c>
      <c r="Z127" s="69"/>
    </row>
    <row r="128" spans="1:26">
      <c r="A128" s="114">
        <f t="shared" si="60"/>
        <v>2009006</v>
      </c>
      <c r="B128" s="74"/>
      <c r="C128" s="642"/>
      <c r="D128" s="645"/>
      <c r="E128" s="645"/>
      <c r="F128" s="645"/>
      <c r="G128" s="645"/>
      <c r="H128" s="645"/>
      <c r="I128" s="648"/>
      <c r="J128" s="629"/>
      <c r="K128" s="173" t="s">
        <v>26</v>
      </c>
      <c r="L128" s="296">
        <f t="shared" ref="L128" si="61">SUM(L129:L135)</f>
        <v>555024</v>
      </c>
      <c r="M128" s="411">
        <f t="shared" ref="M128:W128" si="62">SUM(M129:M135)</f>
        <v>555024</v>
      </c>
      <c r="N128" s="411">
        <f t="shared" si="62"/>
        <v>555024</v>
      </c>
      <c r="O128" s="411">
        <f t="shared" si="62"/>
        <v>555024</v>
      </c>
      <c r="P128" s="411">
        <f t="shared" si="62"/>
        <v>555024</v>
      </c>
      <c r="Q128" s="411">
        <f t="shared" si="62"/>
        <v>555024</v>
      </c>
      <c r="R128" s="411">
        <f t="shared" si="62"/>
        <v>555024</v>
      </c>
      <c r="S128" s="411">
        <f t="shared" si="62"/>
        <v>555024</v>
      </c>
      <c r="T128" s="411">
        <f t="shared" si="62"/>
        <v>555024</v>
      </c>
      <c r="U128" s="411">
        <f t="shared" si="62"/>
        <v>555024</v>
      </c>
      <c r="V128" s="411">
        <f t="shared" si="62"/>
        <v>543675</v>
      </c>
      <c r="W128" s="99">
        <f t="shared" si="62"/>
        <v>546024</v>
      </c>
      <c r="X128" s="50">
        <f t="shared" si="59"/>
        <v>6639939</v>
      </c>
      <c r="Z128" s="69"/>
    </row>
    <row r="129" spans="1:26">
      <c r="A129" s="114">
        <f t="shared" si="60"/>
        <v>2009006</v>
      </c>
      <c r="B129" s="74"/>
      <c r="C129" s="642"/>
      <c r="D129" s="645"/>
      <c r="E129" s="645"/>
      <c r="F129" s="645"/>
      <c r="G129" s="645"/>
      <c r="H129" s="645"/>
      <c r="I129" s="648"/>
      <c r="J129" s="629"/>
      <c r="K129" s="174" t="s">
        <v>27</v>
      </c>
      <c r="L129" s="297">
        <v>469000</v>
      </c>
      <c r="M129" s="297">
        <v>469000</v>
      </c>
      <c r="N129" s="297">
        <v>469000</v>
      </c>
      <c r="O129" s="297">
        <v>469000</v>
      </c>
      <c r="P129" s="297">
        <v>469000</v>
      </c>
      <c r="Q129" s="297">
        <v>469000</v>
      </c>
      <c r="R129" s="297">
        <v>469000</v>
      </c>
      <c r="S129" s="297">
        <v>469000</v>
      </c>
      <c r="T129" s="297">
        <v>469000</v>
      </c>
      <c r="U129" s="297">
        <v>469000</v>
      </c>
      <c r="V129" s="297">
        <v>457588</v>
      </c>
      <c r="W129" s="93">
        <v>460000</v>
      </c>
      <c r="X129" s="49">
        <f t="shared" si="59"/>
        <v>5607588</v>
      </c>
      <c r="Y129" s="69"/>
      <c r="Z129" s="69"/>
    </row>
    <row r="130" spans="1:26">
      <c r="A130" s="114">
        <f t="shared" si="60"/>
        <v>2009006</v>
      </c>
      <c r="B130" s="74"/>
      <c r="C130" s="642"/>
      <c r="D130" s="645"/>
      <c r="E130" s="645"/>
      <c r="F130" s="645"/>
      <c r="G130" s="645"/>
      <c r="H130" s="645"/>
      <c r="I130" s="648"/>
      <c r="J130" s="629"/>
      <c r="K130" s="174" t="s">
        <v>34</v>
      </c>
      <c r="L130" s="297"/>
      <c r="M130" s="297"/>
      <c r="N130" s="297"/>
      <c r="O130" s="297"/>
      <c r="P130" s="297"/>
      <c r="Q130" s="297"/>
      <c r="R130" s="297"/>
      <c r="S130" s="297"/>
      <c r="T130" s="297"/>
      <c r="U130" s="297"/>
      <c r="V130" s="297"/>
      <c r="W130" s="93"/>
      <c r="X130" s="49">
        <f>SUM(L130:W130)</f>
        <v>0</v>
      </c>
      <c r="Y130" s="69"/>
      <c r="Z130" s="69"/>
    </row>
    <row r="131" spans="1:26">
      <c r="A131" s="114">
        <f t="shared" si="60"/>
        <v>2009006</v>
      </c>
      <c r="B131" s="74"/>
      <c r="C131" s="642"/>
      <c r="D131" s="645"/>
      <c r="E131" s="645"/>
      <c r="F131" s="645"/>
      <c r="G131" s="645"/>
      <c r="H131" s="645"/>
      <c r="I131" s="648"/>
      <c r="J131" s="629"/>
      <c r="K131" s="174" t="s">
        <v>28</v>
      </c>
      <c r="L131" s="297">
        <v>11420</v>
      </c>
      <c r="M131" s="297">
        <v>11420</v>
      </c>
      <c r="N131" s="297">
        <v>11420</v>
      </c>
      <c r="O131" s="297">
        <v>11420</v>
      </c>
      <c r="P131" s="297">
        <v>11420</v>
      </c>
      <c r="Q131" s="297">
        <v>11420</v>
      </c>
      <c r="R131" s="297">
        <v>11420</v>
      </c>
      <c r="S131" s="297">
        <v>11420</v>
      </c>
      <c r="T131" s="297">
        <v>11420</v>
      </c>
      <c r="U131" s="297">
        <v>11420</v>
      </c>
      <c r="V131" s="297">
        <v>11420</v>
      </c>
      <c r="W131" s="91">
        <v>11420</v>
      </c>
      <c r="X131" s="49">
        <f t="shared" si="59"/>
        <v>137040</v>
      </c>
      <c r="Y131" s="69"/>
      <c r="Z131" s="69"/>
    </row>
    <row r="132" spans="1:26">
      <c r="A132" s="114">
        <f t="shared" si="60"/>
        <v>2009006</v>
      </c>
      <c r="B132" s="74"/>
      <c r="C132" s="642"/>
      <c r="D132" s="645"/>
      <c r="E132" s="645"/>
      <c r="F132" s="645"/>
      <c r="G132" s="645"/>
      <c r="H132" s="645"/>
      <c r="I132" s="648"/>
      <c r="J132" s="629"/>
      <c r="K132" s="174" t="s">
        <v>29</v>
      </c>
      <c r="L132" s="297">
        <v>26555</v>
      </c>
      <c r="M132" s="297">
        <v>26555</v>
      </c>
      <c r="N132" s="297">
        <v>26555</v>
      </c>
      <c r="O132" s="297">
        <v>26555</v>
      </c>
      <c r="P132" s="297">
        <v>26555</v>
      </c>
      <c r="Q132" s="297">
        <v>26555</v>
      </c>
      <c r="R132" s="297">
        <v>26555</v>
      </c>
      <c r="S132" s="297">
        <v>26555</v>
      </c>
      <c r="T132" s="297">
        <v>26555</v>
      </c>
      <c r="U132" s="297">
        <v>26555</v>
      </c>
      <c r="V132" s="297">
        <v>26555</v>
      </c>
      <c r="W132" s="93">
        <v>26555</v>
      </c>
      <c r="X132" s="49">
        <f t="shared" si="59"/>
        <v>318660</v>
      </c>
      <c r="Y132" s="69"/>
      <c r="Z132" s="69"/>
    </row>
    <row r="133" spans="1:26">
      <c r="A133" s="114">
        <f t="shared" si="60"/>
        <v>2009006</v>
      </c>
      <c r="B133" s="74"/>
      <c r="C133" s="642"/>
      <c r="D133" s="645"/>
      <c r="E133" s="645"/>
      <c r="F133" s="645"/>
      <c r="G133" s="645"/>
      <c r="H133" s="645"/>
      <c r="I133" s="648"/>
      <c r="J133" s="629"/>
      <c r="K133" s="174" t="s">
        <v>30</v>
      </c>
      <c r="L133" s="297">
        <v>43005</v>
      </c>
      <c r="M133" s="297">
        <v>43005</v>
      </c>
      <c r="N133" s="297">
        <v>43005</v>
      </c>
      <c r="O133" s="297">
        <v>43005</v>
      </c>
      <c r="P133" s="297">
        <v>43005</v>
      </c>
      <c r="Q133" s="297">
        <v>43005</v>
      </c>
      <c r="R133" s="297">
        <v>43005</v>
      </c>
      <c r="S133" s="297">
        <v>43005</v>
      </c>
      <c r="T133" s="297">
        <v>43005</v>
      </c>
      <c r="U133" s="297">
        <v>43005</v>
      </c>
      <c r="V133" s="297">
        <v>43005</v>
      </c>
      <c r="W133" s="93">
        <v>43005</v>
      </c>
      <c r="X133" s="49">
        <f t="shared" si="59"/>
        <v>516060</v>
      </c>
      <c r="Y133" s="69"/>
      <c r="Z133" s="69"/>
    </row>
    <row r="134" spans="1:26">
      <c r="A134" s="114">
        <f t="shared" si="60"/>
        <v>2009006</v>
      </c>
      <c r="B134" s="74"/>
      <c r="C134" s="642"/>
      <c r="D134" s="645"/>
      <c r="E134" s="645"/>
      <c r="F134" s="645"/>
      <c r="G134" s="645"/>
      <c r="H134" s="645"/>
      <c r="I134" s="648"/>
      <c r="J134" s="629"/>
      <c r="K134" s="174" t="s">
        <v>31</v>
      </c>
      <c r="L134" s="297">
        <v>2402</v>
      </c>
      <c r="M134" s="297">
        <v>2402</v>
      </c>
      <c r="N134" s="297">
        <v>2402</v>
      </c>
      <c r="O134" s="297">
        <v>2402</v>
      </c>
      <c r="P134" s="297">
        <v>2402</v>
      </c>
      <c r="Q134" s="297">
        <v>2402</v>
      </c>
      <c r="R134" s="297">
        <v>2402</v>
      </c>
      <c r="S134" s="297">
        <v>2402</v>
      </c>
      <c r="T134" s="297">
        <v>2402</v>
      </c>
      <c r="U134" s="297">
        <v>2402</v>
      </c>
      <c r="V134" s="297">
        <v>2432</v>
      </c>
      <c r="W134" s="93">
        <v>2402</v>
      </c>
      <c r="X134" s="49">
        <f t="shared" si="59"/>
        <v>28854</v>
      </c>
      <c r="Y134" s="69"/>
      <c r="Z134" s="69"/>
    </row>
    <row r="135" spans="1:26">
      <c r="A135" s="114">
        <f t="shared" si="60"/>
        <v>2009006</v>
      </c>
      <c r="B135" s="74"/>
      <c r="C135" s="642"/>
      <c r="D135" s="645"/>
      <c r="E135" s="645"/>
      <c r="F135" s="645"/>
      <c r="G135" s="645"/>
      <c r="H135" s="645"/>
      <c r="I135" s="648"/>
      <c r="J135" s="629"/>
      <c r="K135" s="210" t="s">
        <v>32</v>
      </c>
      <c r="L135" s="297">
        <v>2642</v>
      </c>
      <c r="M135" s="297">
        <v>2642</v>
      </c>
      <c r="N135" s="297">
        <v>2642</v>
      </c>
      <c r="O135" s="297">
        <v>2642</v>
      </c>
      <c r="P135" s="297">
        <v>2642</v>
      </c>
      <c r="Q135" s="297">
        <v>2642</v>
      </c>
      <c r="R135" s="297">
        <v>2642</v>
      </c>
      <c r="S135" s="297">
        <v>2642</v>
      </c>
      <c r="T135" s="297">
        <v>2642</v>
      </c>
      <c r="U135" s="297">
        <v>2642</v>
      </c>
      <c r="V135" s="297">
        <v>2675</v>
      </c>
      <c r="W135" s="93">
        <v>2642</v>
      </c>
      <c r="X135" s="49">
        <f t="shared" si="59"/>
        <v>31737</v>
      </c>
      <c r="Y135" s="69"/>
      <c r="Z135" s="69"/>
    </row>
    <row r="136" spans="1:26">
      <c r="A136" s="114">
        <f t="shared" si="60"/>
        <v>2009006</v>
      </c>
      <c r="B136" s="74"/>
      <c r="C136" s="654"/>
      <c r="D136" s="655"/>
      <c r="E136" s="655"/>
      <c r="F136" s="655"/>
      <c r="G136" s="655"/>
      <c r="H136" s="655"/>
      <c r="I136" s="652"/>
      <c r="J136" s="630"/>
      <c r="K136" s="170" t="s">
        <v>33</v>
      </c>
      <c r="L136" s="308">
        <f t="shared" ref="L136:X136" si="63">L125-L128</f>
        <v>74976</v>
      </c>
      <c r="M136" s="405">
        <f t="shared" si="63"/>
        <v>74976</v>
      </c>
      <c r="N136" s="405">
        <f t="shared" si="63"/>
        <v>74976</v>
      </c>
      <c r="O136" s="405">
        <f t="shared" si="63"/>
        <v>74976</v>
      </c>
      <c r="P136" s="405">
        <f t="shared" si="63"/>
        <v>74976</v>
      </c>
      <c r="Q136" s="405">
        <f t="shared" si="63"/>
        <v>-33374</v>
      </c>
      <c r="R136" s="405">
        <f t="shared" si="63"/>
        <v>74976</v>
      </c>
      <c r="S136" s="405">
        <f t="shared" si="63"/>
        <v>45426</v>
      </c>
      <c r="T136" s="405">
        <f t="shared" si="63"/>
        <v>74976</v>
      </c>
      <c r="U136" s="405">
        <f t="shared" si="63"/>
        <v>-60954</v>
      </c>
      <c r="V136" s="405">
        <f t="shared" si="63"/>
        <v>68595</v>
      </c>
      <c r="W136" s="212">
        <f t="shared" si="63"/>
        <v>7934.3333333333721</v>
      </c>
      <c r="X136" s="51">
        <f t="shared" si="63"/>
        <v>552459.33333333302</v>
      </c>
      <c r="Z136" s="69"/>
    </row>
    <row r="137" spans="1:26" ht="12.75" customHeight="1">
      <c r="A137" s="113">
        <v>2009007</v>
      </c>
      <c r="C137" s="641">
        <f t="shared" ref="C137:C185" si="64">C125+1</f>
        <v>12</v>
      </c>
      <c r="D137" s="644" t="s">
        <v>59</v>
      </c>
      <c r="E137" s="644"/>
      <c r="F137" s="644"/>
      <c r="G137" s="644" t="s">
        <v>160</v>
      </c>
      <c r="H137" s="644" t="s">
        <v>47</v>
      </c>
      <c r="I137" s="647" t="s">
        <v>50</v>
      </c>
      <c r="J137" s="628" t="s">
        <v>65</v>
      </c>
      <c r="K137" s="176" t="s">
        <v>23</v>
      </c>
      <c r="L137" s="294">
        <f t="shared" ref="L137:W137" si="65">L138+L139</f>
        <v>620000</v>
      </c>
      <c r="M137" s="409">
        <f t="shared" si="65"/>
        <v>571500</v>
      </c>
      <c r="N137" s="409">
        <f t="shared" si="65"/>
        <v>620000</v>
      </c>
      <c r="O137" s="409">
        <f t="shared" si="65"/>
        <v>620000</v>
      </c>
      <c r="P137" s="409">
        <f t="shared" si="65"/>
        <v>604480</v>
      </c>
      <c r="Q137" s="409">
        <f t="shared" si="65"/>
        <v>620000</v>
      </c>
      <c r="R137" s="409">
        <f t="shared" si="65"/>
        <v>620000</v>
      </c>
      <c r="S137" s="409">
        <f t="shared" si="65"/>
        <v>587020</v>
      </c>
      <c r="T137" s="409">
        <f t="shared" si="65"/>
        <v>620000</v>
      </c>
      <c r="U137" s="409">
        <f t="shared" si="65"/>
        <v>620000</v>
      </c>
      <c r="V137" s="409">
        <f t="shared" si="65"/>
        <v>604480</v>
      </c>
      <c r="W137" s="97">
        <f t="shared" si="65"/>
        <v>571804.4444444445</v>
      </c>
      <c r="X137" s="117">
        <f t="shared" ref="X137:X147" si="66">SUM(L137:W137)</f>
        <v>7279284.444444444</v>
      </c>
      <c r="Z137" s="69"/>
    </row>
    <row r="138" spans="1:26">
      <c r="A138" s="114">
        <f t="shared" ref="A138:A148" si="67">+A137</f>
        <v>2009007</v>
      </c>
      <c r="B138" s="74"/>
      <c r="C138" s="642"/>
      <c r="D138" s="645"/>
      <c r="E138" s="645"/>
      <c r="F138" s="645"/>
      <c r="G138" s="645"/>
      <c r="H138" s="645"/>
      <c r="I138" s="648"/>
      <c r="J138" s="629"/>
      <c r="K138" s="172" t="s">
        <v>24</v>
      </c>
      <c r="L138" s="301">
        <v>620000</v>
      </c>
      <c r="M138" s="301">
        <v>571500</v>
      </c>
      <c r="N138" s="301">
        <v>620000</v>
      </c>
      <c r="O138" s="301">
        <v>620000</v>
      </c>
      <c r="P138" s="301">
        <v>604480</v>
      </c>
      <c r="Q138" s="301">
        <v>620000</v>
      </c>
      <c r="R138" s="301">
        <v>620000</v>
      </c>
      <c r="S138" s="301">
        <v>587020</v>
      </c>
      <c r="T138" s="301">
        <v>620000</v>
      </c>
      <c r="U138" s="301">
        <v>620000</v>
      </c>
      <c r="V138" s="301">
        <v>604480</v>
      </c>
      <c r="W138" s="102">
        <v>571804.4444444445</v>
      </c>
      <c r="X138" s="49">
        <f t="shared" si="66"/>
        <v>7279284.444444444</v>
      </c>
      <c r="Y138" s="69"/>
      <c r="Z138" s="69"/>
    </row>
    <row r="139" spans="1:26">
      <c r="A139" s="114">
        <f t="shared" si="67"/>
        <v>2009007</v>
      </c>
      <c r="B139" s="74"/>
      <c r="C139" s="642"/>
      <c r="D139" s="645"/>
      <c r="E139" s="645"/>
      <c r="F139" s="645"/>
      <c r="G139" s="645"/>
      <c r="H139" s="645"/>
      <c r="I139" s="648"/>
      <c r="J139" s="629"/>
      <c r="K139" s="172" t="s">
        <v>25</v>
      </c>
      <c r="L139" s="312"/>
      <c r="M139" s="297"/>
      <c r="N139" s="297"/>
      <c r="O139" s="297"/>
      <c r="P139" s="297"/>
      <c r="Q139" s="297"/>
      <c r="R139" s="297"/>
      <c r="S139" s="297"/>
      <c r="T139" s="297"/>
      <c r="U139" s="297"/>
      <c r="V139" s="297"/>
      <c r="W139" s="91"/>
      <c r="X139" s="49">
        <f t="shared" si="66"/>
        <v>0</v>
      </c>
      <c r="Z139" s="69"/>
    </row>
    <row r="140" spans="1:26">
      <c r="A140" s="114">
        <f t="shared" si="67"/>
        <v>2009007</v>
      </c>
      <c r="B140" s="74"/>
      <c r="C140" s="642"/>
      <c r="D140" s="645"/>
      <c r="E140" s="645"/>
      <c r="F140" s="645"/>
      <c r="G140" s="645"/>
      <c r="H140" s="645"/>
      <c r="I140" s="648"/>
      <c r="J140" s="629"/>
      <c r="K140" s="173" t="s">
        <v>26</v>
      </c>
      <c r="L140" s="296">
        <f t="shared" ref="L140:W140" si="68">SUM(L141:L147)</f>
        <v>523887</v>
      </c>
      <c r="M140" s="411">
        <f t="shared" si="68"/>
        <v>523887</v>
      </c>
      <c r="N140" s="411">
        <f t="shared" si="68"/>
        <v>523887</v>
      </c>
      <c r="O140" s="411">
        <f t="shared" si="68"/>
        <v>523887</v>
      </c>
      <c r="P140" s="411">
        <f t="shared" si="68"/>
        <v>523887</v>
      </c>
      <c r="Q140" s="411">
        <f t="shared" si="68"/>
        <v>523887</v>
      </c>
      <c r="R140" s="411">
        <f t="shared" si="68"/>
        <v>523887</v>
      </c>
      <c r="S140" s="411">
        <f t="shared" si="68"/>
        <v>522026</v>
      </c>
      <c r="T140" s="411">
        <f t="shared" si="68"/>
        <v>523887</v>
      </c>
      <c r="U140" s="411">
        <f t="shared" si="68"/>
        <v>523887</v>
      </c>
      <c r="V140" s="411">
        <f t="shared" si="68"/>
        <v>533619</v>
      </c>
      <c r="W140" s="99">
        <f t="shared" si="68"/>
        <v>515435.11111111112</v>
      </c>
      <c r="X140" s="50">
        <f t="shared" si="66"/>
        <v>6286063.111111111</v>
      </c>
      <c r="Z140" s="69"/>
    </row>
    <row r="141" spans="1:26">
      <c r="A141" s="114">
        <f t="shared" si="67"/>
        <v>2009007</v>
      </c>
      <c r="B141" s="74"/>
      <c r="C141" s="642"/>
      <c r="D141" s="645"/>
      <c r="E141" s="645"/>
      <c r="F141" s="645"/>
      <c r="G141" s="645"/>
      <c r="H141" s="645"/>
      <c r="I141" s="648"/>
      <c r="J141" s="629"/>
      <c r="K141" s="174" t="s">
        <v>27</v>
      </c>
      <c r="L141" s="297">
        <v>454000</v>
      </c>
      <c r="M141" s="297">
        <v>454000</v>
      </c>
      <c r="N141" s="297">
        <v>454000</v>
      </c>
      <c r="O141" s="297">
        <v>454000</v>
      </c>
      <c r="P141" s="297">
        <v>454000</v>
      </c>
      <c r="Q141" s="297">
        <v>454000</v>
      </c>
      <c r="R141" s="297">
        <v>454000</v>
      </c>
      <c r="S141" s="297">
        <v>452158</v>
      </c>
      <c r="T141" s="297">
        <v>454000</v>
      </c>
      <c r="U141" s="297">
        <v>454000</v>
      </c>
      <c r="V141" s="297">
        <v>454000</v>
      </c>
      <c r="W141" s="93">
        <v>445548.11111111112</v>
      </c>
      <c r="X141" s="49">
        <f t="shared" si="66"/>
        <v>5437706.111111111</v>
      </c>
      <c r="Y141" s="69"/>
      <c r="Z141" s="69"/>
    </row>
    <row r="142" spans="1:26">
      <c r="A142" s="114">
        <f t="shared" si="67"/>
        <v>2009007</v>
      </c>
      <c r="B142" s="74"/>
      <c r="C142" s="642"/>
      <c r="D142" s="645"/>
      <c r="E142" s="645"/>
      <c r="F142" s="645"/>
      <c r="G142" s="645"/>
      <c r="H142" s="645"/>
      <c r="I142" s="648"/>
      <c r="J142" s="629"/>
      <c r="K142" s="174" t="s">
        <v>34</v>
      </c>
      <c r="L142" s="297"/>
      <c r="M142" s="297"/>
      <c r="N142" s="297"/>
      <c r="O142" s="297"/>
      <c r="P142" s="297"/>
      <c r="Q142" s="297"/>
      <c r="R142" s="297"/>
      <c r="S142" s="297"/>
      <c r="T142" s="297"/>
      <c r="U142" s="297"/>
      <c r="V142" s="297"/>
      <c r="W142" s="93"/>
      <c r="X142" s="49">
        <f t="shared" si="66"/>
        <v>0</v>
      </c>
      <c r="Y142" s="69"/>
      <c r="Z142" s="69"/>
    </row>
    <row r="143" spans="1:26">
      <c r="A143" s="114">
        <f t="shared" si="67"/>
        <v>2009007</v>
      </c>
      <c r="B143" s="74"/>
      <c r="C143" s="642"/>
      <c r="D143" s="645"/>
      <c r="E143" s="645"/>
      <c r="F143" s="645"/>
      <c r="G143" s="645"/>
      <c r="H143" s="645"/>
      <c r="I143" s="648"/>
      <c r="J143" s="629"/>
      <c r="K143" s="174" t="s">
        <v>28</v>
      </c>
      <c r="L143" s="297">
        <v>0</v>
      </c>
      <c r="M143" s="297">
        <v>0</v>
      </c>
      <c r="N143" s="297">
        <v>0</v>
      </c>
      <c r="O143" s="297">
        <v>0</v>
      </c>
      <c r="P143" s="297">
        <v>0</v>
      </c>
      <c r="Q143" s="297">
        <v>0</v>
      </c>
      <c r="R143" s="297">
        <v>0</v>
      </c>
      <c r="S143" s="297">
        <v>0</v>
      </c>
      <c r="T143" s="297">
        <v>0</v>
      </c>
      <c r="U143" s="297">
        <v>0</v>
      </c>
      <c r="V143" s="297">
        <v>9450</v>
      </c>
      <c r="W143" s="91">
        <v>0</v>
      </c>
      <c r="X143" s="49">
        <f t="shared" si="66"/>
        <v>9450</v>
      </c>
      <c r="Y143" s="69"/>
      <c r="Z143" s="69"/>
    </row>
    <row r="144" spans="1:26">
      <c r="A144" s="114">
        <f t="shared" si="67"/>
        <v>2009007</v>
      </c>
      <c r="B144" s="74"/>
      <c r="C144" s="642"/>
      <c r="D144" s="645"/>
      <c r="E144" s="645"/>
      <c r="F144" s="645"/>
      <c r="G144" s="645"/>
      <c r="H144" s="645"/>
      <c r="I144" s="648"/>
      <c r="J144" s="629"/>
      <c r="K144" s="174" t="s">
        <v>29</v>
      </c>
      <c r="L144" s="297">
        <v>24860</v>
      </c>
      <c r="M144" s="297">
        <v>24860</v>
      </c>
      <c r="N144" s="297">
        <v>24860</v>
      </c>
      <c r="O144" s="297">
        <v>24860</v>
      </c>
      <c r="P144" s="297">
        <v>24860</v>
      </c>
      <c r="Q144" s="297">
        <v>24860</v>
      </c>
      <c r="R144" s="297">
        <v>24860</v>
      </c>
      <c r="S144" s="297">
        <v>24860</v>
      </c>
      <c r="T144" s="297">
        <v>24860</v>
      </c>
      <c r="U144" s="297">
        <v>24860</v>
      </c>
      <c r="V144" s="297">
        <v>24860</v>
      </c>
      <c r="W144" s="93">
        <v>24860</v>
      </c>
      <c r="X144" s="49">
        <f t="shared" si="66"/>
        <v>298320</v>
      </c>
      <c r="Y144" s="69"/>
      <c r="Z144" s="69"/>
    </row>
    <row r="145" spans="1:26">
      <c r="A145" s="114">
        <f t="shared" si="67"/>
        <v>2009007</v>
      </c>
      <c r="B145" s="74"/>
      <c r="C145" s="642"/>
      <c r="D145" s="645"/>
      <c r="E145" s="645"/>
      <c r="F145" s="645"/>
      <c r="G145" s="645"/>
      <c r="H145" s="645"/>
      <c r="I145" s="648"/>
      <c r="J145" s="629"/>
      <c r="K145" s="174" t="s">
        <v>30</v>
      </c>
      <c r="L145" s="297">
        <v>40260</v>
      </c>
      <c r="M145" s="297">
        <v>40260</v>
      </c>
      <c r="N145" s="297">
        <v>40260</v>
      </c>
      <c r="O145" s="297">
        <v>40260</v>
      </c>
      <c r="P145" s="297">
        <v>40260</v>
      </c>
      <c r="Q145" s="297">
        <v>40260</v>
      </c>
      <c r="R145" s="297">
        <v>40260</v>
      </c>
      <c r="S145" s="297">
        <v>40260</v>
      </c>
      <c r="T145" s="297">
        <v>40260</v>
      </c>
      <c r="U145" s="297">
        <v>40260</v>
      </c>
      <c r="V145" s="297">
        <v>40260</v>
      </c>
      <c r="W145" s="93">
        <v>40260</v>
      </c>
      <c r="X145" s="49">
        <f t="shared" si="66"/>
        <v>483120</v>
      </c>
      <c r="Y145" s="69"/>
      <c r="Z145" s="69"/>
    </row>
    <row r="146" spans="1:26">
      <c r="A146" s="114">
        <f t="shared" si="67"/>
        <v>2009007</v>
      </c>
      <c r="B146" s="74"/>
      <c r="C146" s="642"/>
      <c r="D146" s="645"/>
      <c r="E146" s="645"/>
      <c r="F146" s="645"/>
      <c r="G146" s="645"/>
      <c r="H146" s="645"/>
      <c r="I146" s="648"/>
      <c r="J146" s="629"/>
      <c r="K146" s="174" t="s">
        <v>31</v>
      </c>
      <c r="L146" s="297">
        <v>2270</v>
      </c>
      <c r="M146" s="297">
        <v>2270</v>
      </c>
      <c r="N146" s="297">
        <v>2270</v>
      </c>
      <c r="O146" s="297">
        <v>2270</v>
      </c>
      <c r="P146" s="297">
        <v>2270</v>
      </c>
      <c r="Q146" s="297">
        <v>2270</v>
      </c>
      <c r="R146" s="297">
        <v>2270</v>
      </c>
      <c r="S146" s="297">
        <v>2261</v>
      </c>
      <c r="T146" s="297">
        <v>2270</v>
      </c>
      <c r="U146" s="297">
        <v>2270</v>
      </c>
      <c r="V146" s="297">
        <v>2404</v>
      </c>
      <c r="W146" s="93">
        <v>2270</v>
      </c>
      <c r="X146" s="49">
        <f t="shared" si="66"/>
        <v>27365</v>
      </c>
      <c r="Y146" s="69"/>
      <c r="Z146" s="69"/>
    </row>
    <row r="147" spans="1:26">
      <c r="A147" s="114">
        <f t="shared" si="67"/>
        <v>2009007</v>
      </c>
      <c r="B147" s="74"/>
      <c r="C147" s="642"/>
      <c r="D147" s="645"/>
      <c r="E147" s="645"/>
      <c r="F147" s="645"/>
      <c r="G147" s="645"/>
      <c r="H147" s="645"/>
      <c r="I147" s="648"/>
      <c r="J147" s="629"/>
      <c r="K147" s="210" t="s">
        <v>32</v>
      </c>
      <c r="L147" s="297">
        <v>2497</v>
      </c>
      <c r="M147" s="297">
        <v>2497</v>
      </c>
      <c r="N147" s="297">
        <v>2497</v>
      </c>
      <c r="O147" s="297">
        <v>2497</v>
      </c>
      <c r="P147" s="297">
        <v>2497</v>
      </c>
      <c r="Q147" s="297">
        <v>2497</v>
      </c>
      <c r="R147" s="297">
        <v>2497</v>
      </c>
      <c r="S147" s="297">
        <v>2487</v>
      </c>
      <c r="T147" s="297">
        <v>2497</v>
      </c>
      <c r="U147" s="297">
        <v>2497</v>
      </c>
      <c r="V147" s="297">
        <v>2645</v>
      </c>
      <c r="W147" s="93">
        <v>2497</v>
      </c>
      <c r="X147" s="49">
        <f t="shared" si="66"/>
        <v>30102</v>
      </c>
      <c r="Y147" s="69"/>
      <c r="Z147" s="69"/>
    </row>
    <row r="148" spans="1:26">
      <c r="A148" s="114">
        <f t="shared" si="67"/>
        <v>2009007</v>
      </c>
      <c r="B148" s="74"/>
      <c r="C148" s="654"/>
      <c r="D148" s="655"/>
      <c r="E148" s="655"/>
      <c r="F148" s="655"/>
      <c r="G148" s="655"/>
      <c r="H148" s="655"/>
      <c r="I148" s="652"/>
      <c r="J148" s="630"/>
      <c r="K148" s="170" t="s">
        <v>33</v>
      </c>
      <c r="L148" s="308">
        <f t="shared" ref="L148:X148" si="69">L137-L140</f>
        <v>96113</v>
      </c>
      <c r="M148" s="405">
        <f t="shared" si="69"/>
        <v>47613</v>
      </c>
      <c r="N148" s="405">
        <f t="shared" si="69"/>
        <v>96113</v>
      </c>
      <c r="O148" s="405">
        <f t="shared" si="69"/>
        <v>96113</v>
      </c>
      <c r="P148" s="405">
        <f t="shared" si="69"/>
        <v>80593</v>
      </c>
      <c r="Q148" s="405">
        <f t="shared" si="69"/>
        <v>96113</v>
      </c>
      <c r="R148" s="405">
        <f t="shared" si="69"/>
        <v>96113</v>
      </c>
      <c r="S148" s="405">
        <f t="shared" si="69"/>
        <v>64994</v>
      </c>
      <c r="T148" s="405">
        <f t="shared" si="69"/>
        <v>96113</v>
      </c>
      <c r="U148" s="405">
        <f t="shared" si="69"/>
        <v>96113</v>
      </c>
      <c r="V148" s="405">
        <f t="shared" si="69"/>
        <v>70861</v>
      </c>
      <c r="W148" s="212">
        <f t="shared" si="69"/>
        <v>56369.333333333372</v>
      </c>
      <c r="X148" s="51">
        <f t="shared" si="69"/>
        <v>993221.33333333302</v>
      </c>
      <c r="Z148" s="69"/>
    </row>
    <row r="149" spans="1:26" ht="12.75" customHeight="1">
      <c r="A149" s="113">
        <v>2009005</v>
      </c>
      <c r="C149" s="641">
        <f t="shared" si="64"/>
        <v>13</v>
      </c>
      <c r="D149" s="644" t="s">
        <v>59</v>
      </c>
      <c r="E149" s="644"/>
      <c r="F149" s="644"/>
      <c r="G149" s="644" t="s">
        <v>160</v>
      </c>
      <c r="H149" s="644" t="s">
        <v>42</v>
      </c>
      <c r="I149" s="647" t="s">
        <v>43</v>
      </c>
      <c r="J149" s="628" t="s">
        <v>65</v>
      </c>
      <c r="K149" s="176" t="s">
        <v>23</v>
      </c>
      <c r="L149" s="294">
        <f t="shared" ref="L149:W149" si="70">L150+L151</f>
        <v>630000</v>
      </c>
      <c r="M149" s="409">
        <f t="shared" si="70"/>
        <v>630000</v>
      </c>
      <c r="N149" s="409">
        <f t="shared" si="70"/>
        <v>567000</v>
      </c>
      <c r="O149" s="409">
        <f t="shared" si="70"/>
        <v>693000</v>
      </c>
      <c r="P149" s="409">
        <f t="shared" si="70"/>
        <v>644700</v>
      </c>
      <c r="Q149" s="409">
        <f t="shared" si="70"/>
        <v>504000</v>
      </c>
      <c r="R149" s="409">
        <f t="shared" si="70"/>
        <v>693000</v>
      </c>
      <c r="S149" s="409">
        <f t="shared" si="70"/>
        <v>535500</v>
      </c>
      <c r="T149" s="409">
        <f t="shared" si="70"/>
        <v>630000</v>
      </c>
      <c r="U149" s="409">
        <f t="shared" si="70"/>
        <v>602700</v>
      </c>
      <c r="V149" s="409">
        <f t="shared" si="70"/>
        <v>535500</v>
      </c>
      <c r="W149" s="97">
        <f t="shared" si="70"/>
        <v>568000</v>
      </c>
      <c r="X149" s="117">
        <f t="shared" ref="X149:X159" si="71">SUM(L149:W149)</f>
        <v>7233400</v>
      </c>
      <c r="Z149" s="69"/>
    </row>
    <row r="150" spans="1:26">
      <c r="A150" s="114">
        <f t="shared" ref="A150:A160" si="72">+A149</f>
        <v>2009005</v>
      </c>
      <c r="B150" s="74"/>
      <c r="C150" s="642"/>
      <c r="D150" s="645"/>
      <c r="E150" s="645"/>
      <c r="F150" s="645"/>
      <c r="G150" s="645"/>
      <c r="H150" s="645"/>
      <c r="I150" s="648"/>
      <c r="J150" s="629"/>
      <c r="K150" s="172" t="s">
        <v>24</v>
      </c>
      <c r="L150" s="301">
        <v>630000</v>
      </c>
      <c r="M150" s="301">
        <v>630000</v>
      </c>
      <c r="N150" s="301">
        <v>567000</v>
      </c>
      <c r="O150" s="301">
        <v>693000</v>
      </c>
      <c r="P150" s="301">
        <v>644700</v>
      </c>
      <c r="Q150" s="301">
        <v>504000</v>
      </c>
      <c r="R150" s="301">
        <v>693000</v>
      </c>
      <c r="S150" s="301">
        <v>535500</v>
      </c>
      <c r="T150" s="301">
        <v>630000</v>
      </c>
      <c r="U150" s="301">
        <v>602700</v>
      </c>
      <c r="V150" s="301">
        <v>535500</v>
      </c>
      <c r="W150" s="102">
        <v>568000</v>
      </c>
      <c r="X150" s="49">
        <f t="shared" si="71"/>
        <v>7233400</v>
      </c>
      <c r="Y150" s="69"/>
      <c r="Z150" s="69"/>
    </row>
    <row r="151" spans="1:26">
      <c r="A151" s="114">
        <f t="shared" si="72"/>
        <v>2009005</v>
      </c>
      <c r="B151" s="74"/>
      <c r="C151" s="642"/>
      <c r="D151" s="645"/>
      <c r="E151" s="645"/>
      <c r="F151" s="645"/>
      <c r="G151" s="645"/>
      <c r="H151" s="645"/>
      <c r="I151" s="648"/>
      <c r="J151" s="629"/>
      <c r="K151" s="172" t="s">
        <v>25</v>
      </c>
      <c r="L151" s="312"/>
      <c r="M151" s="297"/>
      <c r="N151" s="297"/>
      <c r="O151" s="297"/>
      <c r="P151" s="297"/>
      <c r="Q151" s="297"/>
      <c r="R151" s="297"/>
      <c r="S151" s="297"/>
      <c r="T151" s="297"/>
      <c r="U151" s="297"/>
      <c r="V151" s="297"/>
      <c r="W151" s="91"/>
      <c r="X151" s="49">
        <f t="shared" si="71"/>
        <v>0</v>
      </c>
      <c r="Z151" s="69"/>
    </row>
    <row r="152" spans="1:26">
      <c r="A152" s="114">
        <f t="shared" si="72"/>
        <v>2009005</v>
      </c>
      <c r="B152" s="74"/>
      <c r="C152" s="642"/>
      <c r="D152" s="645"/>
      <c r="E152" s="645"/>
      <c r="F152" s="645"/>
      <c r="G152" s="645"/>
      <c r="H152" s="645"/>
      <c r="I152" s="648"/>
      <c r="J152" s="629"/>
      <c r="K152" s="173" t="s">
        <v>26</v>
      </c>
      <c r="L152" s="296">
        <f t="shared" ref="L152:W152" si="73">SUM(L153:L159)</f>
        <v>500071</v>
      </c>
      <c r="M152" s="411">
        <f t="shared" si="73"/>
        <v>479637</v>
      </c>
      <c r="N152" s="411">
        <f t="shared" si="73"/>
        <v>499262</v>
      </c>
      <c r="O152" s="411">
        <f t="shared" si="73"/>
        <v>521418</v>
      </c>
      <c r="P152" s="411">
        <f t="shared" si="73"/>
        <v>491515</v>
      </c>
      <c r="Q152" s="411">
        <f t="shared" si="73"/>
        <v>477915</v>
      </c>
      <c r="R152" s="411">
        <f t="shared" si="73"/>
        <v>521418</v>
      </c>
      <c r="S152" s="411">
        <f t="shared" si="73"/>
        <v>437348</v>
      </c>
      <c r="T152" s="411">
        <f t="shared" si="73"/>
        <v>500071</v>
      </c>
      <c r="U152" s="411">
        <f t="shared" si="73"/>
        <v>461671</v>
      </c>
      <c r="V152" s="411">
        <f t="shared" si="73"/>
        <v>437531</v>
      </c>
      <c r="W152" s="99">
        <f t="shared" si="73"/>
        <v>481320.88888888888</v>
      </c>
      <c r="X152" s="50">
        <f t="shared" si="71"/>
        <v>5809177.888888889</v>
      </c>
      <c r="Z152" s="69"/>
    </row>
    <row r="153" spans="1:26">
      <c r="A153" s="114">
        <f t="shared" si="72"/>
        <v>2009005</v>
      </c>
      <c r="B153" s="74"/>
      <c r="C153" s="642"/>
      <c r="D153" s="645"/>
      <c r="E153" s="645"/>
      <c r="F153" s="645"/>
      <c r="G153" s="645"/>
      <c r="H153" s="645"/>
      <c r="I153" s="648"/>
      <c r="J153" s="629"/>
      <c r="K153" s="174" t="s">
        <v>27</v>
      </c>
      <c r="L153" s="297">
        <v>434825</v>
      </c>
      <c r="M153" s="297">
        <v>414100</v>
      </c>
      <c r="N153" s="297">
        <v>434025</v>
      </c>
      <c r="O153" s="297">
        <v>455950</v>
      </c>
      <c r="P153" s="297">
        <v>426358</v>
      </c>
      <c r="Q153" s="297">
        <v>412900</v>
      </c>
      <c r="R153" s="297">
        <v>455950</v>
      </c>
      <c r="S153" s="297">
        <v>372250</v>
      </c>
      <c r="T153" s="297">
        <v>434825</v>
      </c>
      <c r="U153" s="297">
        <v>396824</v>
      </c>
      <c r="V153" s="297">
        <v>372250</v>
      </c>
      <c r="W153" s="93">
        <v>416074.88888888888</v>
      </c>
      <c r="X153" s="49">
        <f t="shared" si="71"/>
        <v>5026331.888888889</v>
      </c>
      <c r="Y153" s="69"/>
      <c r="Z153" s="69"/>
    </row>
    <row r="154" spans="1:26">
      <c r="A154" s="114">
        <f t="shared" si="72"/>
        <v>2009005</v>
      </c>
      <c r="B154" s="74"/>
      <c r="C154" s="642"/>
      <c r="D154" s="645"/>
      <c r="E154" s="645"/>
      <c r="F154" s="645"/>
      <c r="G154" s="645"/>
      <c r="H154" s="645"/>
      <c r="I154" s="648"/>
      <c r="J154" s="629"/>
      <c r="K154" s="174" t="s">
        <v>34</v>
      </c>
      <c r="L154" s="297"/>
      <c r="M154" s="297"/>
      <c r="N154" s="297"/>
      <c r="O154" s="297"/>
      <c r="P154" s="297"/>
      <c r="Q154" s="297"/>
      <c r="R154" s="297"/>
      <c r="S154" s="297"/>
      <c r="T154" s="297"/>
      <c r="U154" s="297"/>
      <c r="V154" s="297"/>
      <c r="W154" s="93"/>
      <c r="X154" s="49">
        <f t="shared" si="71"/>
        <v>0</v>
      </c>
      <c r="Y154" s="69"/>
      <c r="Z154" s="69"/>
    </row>
    <row r="155" spans="1:26">
      <c r="A155" s="114">
        <f t="shared" si="72"/>
        <v>2009005</v>
      </c>
      <c r="B155" s="74"/>
      <c r="C155" s="642"/>
      <c r="D155" s="645"/>
      <c r="E155" s="645"/>
      <c r="F155" s="645"/>
      <c r="G155" s="645"/>
      <c r="H155" s="645"/>
      <c r="I155" s="648"/>
      <c r="J155" s="629"/>
      <c r="K155" s="174" t="s">
        <v>28</v>
      </c>
      <c r="L155" s="297">
        <v>0</v>
      </c>
      <c r="M155" s="297">
        <v>504</v>
      </c>
      <c r="N155" s="297">
        <v>0</v>
      </c>
      <c r="O155" s="297">
        <v>0</v>
      </c>
      <c r="P155" s="297">
        <v>0</v>
      </c>
      <c r="Q155" s="297">
        <v>0</v>
      </c>
      <c r="R155" s="297">
        <v>0</v>
      </c>
      <c r="S155" s="297">
        <v>504</v>
      </c>
      <c r="T155" s="297">
        <v>0</v>
      </c>
      <c r="U155" s="297">
        <v>0</v>
      </c>
      <c r="V155" s="297">
        <v>504</v>
      </c>
      <c r="W155" s="91">
        <v>0</v>
      </c>
      <c r="X155" s="49">
        <f t="shared" si="71"/>
        <v>1512</v>
      </c>
      <c r="Y155" s="69"/>
      <c r="Z155" s="69"/>
    </row>
    <row r="156" spans="1:26">
      <c r="A156" s="114">
        <f t="shared" si="72"/>
        <v>2009005</v>
      </c>
      <c r="B156" s="74"/>
      <c r="C156" s="642"/>
      <c r="D156" s="645"/>
      <c r="E156" s="645"/>
      <c r="F156" s="645"/>
      <c r="G156" s="645"/>
      <c r="H156" s="645"/>
      <c r="I156" s="648"/>
      <c r="J156" s="629"/>
      <c r="K156" s="174" t="s">
        <v>29</v>
      </c>
      <c r="L156" s="297">
        <v>23165</v>
      </c>
      <c r="M156" s="297">
        <v>23165</v>
      </c>
      <c r="N156" s="297">
        <v>23165</v>
      </c>
      <c r="O156" s="297">
        <v>23165</v>
      </c>
      <c r="P156" s="297">
        <v>23165</v>
      </c>
      <c r="Q156" s="297">
        <v>23165</v>
      </c>
      <c r="R156" s="297">
        <v>23165</v>
      </c>
      <c r="S156" s="297">
        <v>23165</v>
      </c>
      <c r="T156" s="297">
        <v>23165</v>
      </c>
      <c r="U156" s="297">
        <v>23165</v>
      </c>
      <c r="V156" s="297">
        <v>23165</v>
      </c>
      <c r="W156" s="93">
        <v>23165</v>
      </c>
      <c r="X156" s="49">
        <f t="shared" si="71"/>
        <v>277980</v>
      </c>
      <c r="Y156" s="69"/>
      <c r="Z156" s="69"/>
    </row>
    <row r="157" spans="1:26">
      <c r="A157" s="114">
        <f t="shared" si="72"/>
        <v>2009005</v>
      </c>
      <c r="B157" s="74"/>
      <c r="C157" s="642"/>
      <c r="D157" s="645"/>
      <c r="E157" s="645"/>
      <c r="F157" s="645"/>
      <c r="G157" s="645"/>
      <c r="H157" s="645"/>
      <c r="I157" s="648"/>
      <c r="J157" s="629"/>
      <c r="K157" s="174" t="s">
        <v>30</v>
      </c>
      <c r="L157" s="297">
        <v>37515</v>
      </c>
      <c r="M157" s="297">
        <v>37515</v>
      </c>
      <c r="N157" s="297">
        <v>37515</v>
      </c>
      <c r="O157" s="297">
        <v>37515</v>
      </c>
      <c r="P157" s="297">
        <v>37515</v>
      </c>
      <c r="Q157" s="297">
        <v>37515</v>
      </c>
      <c r="R157" s="297">
        <v>37515</v>
      </c>
      <c r="S157" s="297">
        <v>37515</v>
      </c>
      <c r="T157" s="297">
        <v>37515</v>
      </c>
      <c r="U157" s="297">
        <v>37515</v>
      </c>
      <c r="V157" s="297">
        <v>37515</v>
      </c>
      <c r="W157" s="93">
        <v>37515</v>
      </c>
      <c r="X157" s="49">
        <f t="shared" si="71"/>
        <v>450180</v>
      </c>
      <c r="Y157" s="69"/>
      <c r="Z157" s="69"/>
    </row>
    <row r="158" spans="1:26">
      <c r="A158" s="114">
        <f t="shared" si="72"/>
        <v>2009005</v>
      </c>
      <c r="B158" s="74"/>
      <c r="C158" s="642"/>
      <c r="D158" s="645"/>
      <c r="E158" s="645"/>
      <c r="F158" s="645"/>
      <c r="G158" s="645"/>
      <c r="H158" s="645"/>
      <c r="I158" s="648"/>
      <c r="J158" s="629"/>
      <c r="K158" s="174" t="s">
        <v>31</v>
      </c>
      <c r="L158" s="297">
        <v>2174</v>
      </c>
      <c r="M158" s="297">
        <v>2073</v>
      </c>
      <c r="N158" s="297">
        <v>2170</v>
      </c>
      <c r="O158" s="297">
        <v>2280</v>
      </c>
      <c r="P158" s="297">
        <v>2132</v>
      </c>
      <c r="Q158" s="297">
        <v>2064</v>
      </c>
      <c r="R158" s="297">
        <v>2280</v>
      </c>
      <c r="S158" s="297">
        <v>1864</v>
      </c>
      <c r="T158" s="297">
        <v>2174</v>
      </c>
      <c r="U158" s="297">
        <v>1984</v>
      </c>
      <c r="V158" s="297">
        <v>1951</v>
      </c>
      <c r="W158" s="93">
        <v>2174</v>
      </c>
      <c r="X158" s="49">
        <f t="shared" si="71"/>
        <v>25320</v>
      </c>
      <c r="Y158" s="69"/>
      <c r="Z158" s="69"/>
    </row>
    <row r="159" spans="1:26">
      <c r="A159" s="114">
        <f t="shared" si="72"/>
        <v>2009005</v>
      </c>
      <c r="B159" s="74"/>
      <c r="C159" s="642"/>
      <c r="D159" s="645"/>
      <c r="E159" s="645"/>
      <c r="F159" s="645"/>
      <c r="G159" s="645"/>
      <c r="H159" s="645"/>
      <c r="I159" s="648"/>
      <c r="J159" s="629"/>
      <c r="K159" s="210" t="s">
        <v>32</v>
      </c>
      <c r="L159" s="297">
        <v>2392</v>
      </c>
      <c r="M159" s="297">
        <v>2280</v>
      </c>
      <c r="N159" s="297">
        <v>2387</v>
      </c>
      <c r="O159" s="297">
        <v>2508</v>
      </c>
      <c r="P159" s="297">
        <v>2345</v>
      </c>
      <c r="Q159" s="297">
        <v>2271</v>
      </c>
      <c r="R159" s="297">
        <v>2508</v>
      </c>
      <c r="S159" s="297">
        <v>2050</v>
      </c>
      <c r="T159" s="297">
        <v>2392</v>
      </c>
      <c r="U159" s="297">
        <v>2183</v>
      </c>
      <c r="V159" s="297">
        <v>2146</v>
      </c>
      <c r="W159" s="93">
        <v>2392</v>
      </c>
      <c r="X159" s="49">
        <f t="shared" si="71"/>
        <v>27854</v>
      </c>
      <c r="Y159" s="69"/>
      <c r="Z159" s="69"/>
    </row>
    <row r="160" spans="1:26">
      <c r="A160" s="114">
        <f t="shared" si="72"/>
        <v>2009005</v>
      </c>
      <c r="B160" s="74"/>
      <c r="C160" s="654"/>
      <c r="D160" s="655"/>
      <c r="E160" s="655"/>
      <c r="F160" s="655"/>
      <c r="G160" s="655"/>
      <c r="H160" s="655"/>
      <c r="I160" s="652"/>
      <c r="J160" s="630"/>
      <c r="K160" s="170" t="s">
        <v>33</v>
      </c>
      <c r="L160" s="308">
        <f t="shared" ref="L160:X160" si="74">L149-L152</f>
        <v>129929</v>
      </c>
      <c r="M160" s="405">
        <f t="shared" si="74"/>
        <v>150363</v>
      </c>
      <c r="N160" s="405">
        <f t="shared" si="74"/>
        <v>67738</v>
      </c>
      <c r="O160" s="405">
        <f t="shared" si="74"/>
        <v>171582</v>
      </c>
      <c r="P160" s="405">
        <f t="shared" si="74"/>
        <v>153185</v>
      </c>
      <c r="Q160" s="405">
        <f t="shared" si="74"/>
        <v>26085</v>
      </c>
      <c r="R160" s="405">
        <f t="shared" si="74"/>
        <v>171582</v>
      </c>
      <c r="S160" s="405">
        <f t="shared" si="74"/>
        <v>98152</v>
      </c>
      <c r="T160" s="405">
        <f t="shared" si="74"/>
        <v>129929</v>
      </c>
      <c r="U160" s="405">
        <f t="shared" si="74"/>
        <v>141029</v>
      </c>
      <c r="V160" s="405">
        <f t="shared" si="74"/>
        <v>97969</v>
      </c>
      <c r="W160" s="212">
        <f t="shared" si="74"/>
        <v>86679.111111111124</v>
      </c>
      <c r="X160" s="51">
        <f t="shared" si="74"/>
        <v>1424222.111111111</v>
      </c>
      <c r="Z160" s="69"/>
    </row>
    <row r="161" spans="1:26" ht="12.75" customHeight="1">
      <c r="A161" s="113">
        <v>2007002</v>
      </c>
      <c r="C161" s="641">
        <f t="shared" si="64"/>
        <v>14</v>
      </c>
      <c r="D161" s="644" t="s">
        <v>59</v>
      </c>
      <c r="E161" s="644"/>
      <c r="F161" s="644"/>
      <c r="G161" s="644" t="s">
        <v>160</v>
      </c>
      <c r="H161" s="644" t="s">
        <v>47</v>
      </c>
      <c r="I161" s="647" t="s">
        <v>48</v>
      </c>
      <c r="J161" s="628" t="s">
        <v>65</v>
      </c>
      <c r="K161" s="176" t="s">
        <v>23</v>
      </c>
      <c r="L161" s="294">
        <f t="shared" ref="L161:W161" si="75">L162+L163</f>
        <v>560000</v>
      </c>
      <c r="M161" s="409">
        <f t="shared" si="75"/>
        <v>560000</v>
      </c>
      <c r="N161" s="409">
        <f t="shared" si="75"/>
        <v>560000</v>
      </c>
      <c r="O161" s="409">
        <f t="shared" si="75"/>
        <v>516250</v>
      </c>
      <c r="P161" s="409">
        <f t="shared" si="75"/>
        <v>560000</v>
      </c>
      <c r="Q161" s="409">
        <f t="shared" si="75"/>
        <v>532000</v>
      </c>
      <c r="R161" s="409">
        <f t="shared" si="75"/>
        <v>560000</v>
      </c>
      <c r="S161" s="409">
        <f t="shared" si="75"/>
        <v>560000</v>
      </c>
      <c r="T161" s="409">
        <f t="shared" si="75"/>
        <v>560000</v>
      </c>
      <c r="U161" s="409">
        <f t="shared" si="75"/>
        <v>505750</v>
      </c>
      <c r="V161" s="409">
        <f t="shared" si="75"/>
        <v>560000</v>
      </c>
      <c r="W161" s="97">
        <f t="shared" si="75"/>
        <v>525954.4444444445</v>
      </c>
      <c r="X161" s="117">
        <f t="shared" ref="X161:X171" si="76">SUM(L161:W161)</f>
        <v>6559954.444444444</v>
      </c>
      <c r="Z161" s="69"/>
    </row>
    <row r="162" spans="1:26">
      <c r="A162" s="114">
        <f t="shared" ref="A162:A172" si="77">+A161</f>
        <v>2007002</v>
      </c>
      <c r="B162" s="74"/>
      <c r="C162" s="642"/>
      <c r="D162" s="645"/>
      <c r="E162" s="645"/>
      <c r="F162" s="645"/>
      <c r="G162" s="645"/>
      <c r="H162" s="645"/>
      <c r="I162" s="648"/>
      <c r="J162" s="629"/>
      <c r="K162" s="172" t="s">
        <v>24</v>
      </c>
      <c r="L162" s="301">
        <v>560000</v>
      </c>
      <c r="M162" s="301">
        <v>560000</v>
      </c>
      <c r="N162" s="301">
        <v>560000</v>
      </c>
      <c r="O162" s="301">
        <v>516250</v>
      </c>
      <c r="P162" s="301">
        <v>560000</v>
      </c>
      <c r="Q162" s="301">
        <v>532000</v>
      </c>
      <c r="R162" s="301">
        <v>560000</v>
      </c>
      <c r="S162" s="301">
        <v>560000</v>
      </c>
      <c r="T162" s="301">
        <v>560000</v>
      </c>
      <c r="U162" s="301">
        <v>505750</v>
      </c>
      <c r="V162" s="301">
        <v>560000</v>
      </c>
      <c r="W162" s="102">
        <v>525954.4444444445</v>
      </c>
      <c r="X162" s="49">
        <f t="shared" si="76"/>
        <v>6559954.444444444</v>
      </c>
      <c r="Y162" s="69"/>
      <c r="Z162" s="69"/>
    </row>
    <row r="163" spans="1:26">
      <c r="A163" s="114">
        <f t="shared" si="77"/>
        <v>2007002</v>
      </c>
      <c r="B163" s="74"/>
      <c r="C163" s="642"/>
      <c r="D163" s="645"/>
      <c r="E163" s="645"/>
      <c r="F163" s="645"/>
      <c r="G163" s="645"/>
      <c r="H163" s="645"/>
      <c r="I163" s="648"/>
      <c r="J163" s="629"/>
      <c r="K163" s="172" t="s">
        <v>25</v>
      </c>
      <c r="L163" s="312"/>
      <c r="M163" s="297"/>
      <c r="N163" s="297"/>
      <c r="O163" s="297"/>
      <c r="P163" s="297"/>
      <c r="Q163" s="297"/>
      <c r="R163" s="297"/>
      <c r="S163" s="297"/>
      <c r="T163" s="297"/>
      <c r="U163" s="297"/>
      <c r="V163" s="297"/>
      <c r="W163" s="91"/>
      <c r="X163" s="49">
        <f t="shared" si="76"/>
        <v>0</v>
      </c>
      <c r="Z163" s="69"/>
    </row>
    <row r="164" spans="1:26">
      <c r="A164" s="114">
        <f t="shared" si="77"/>
        <v>2007002</v>
      </c>
      <c r="B164" s="74"/>
      <c r="C164" s="642"/>
      <c r="D164" s="645"/>
      <c r="E164" s="645"/>
      <c r="F164" s="645"/>
      <c r="G164" s="645"/>
      <c r="H164" s="645"/>
      <c r="I164" s="648"/>
      <c r="J164" s="629"/>
      <c r="K164" s="173" t="s">
        <v>26</v>
      </c>
      <c r="L164" s="296">
        <f t="shared" ref="L164:W164" si="78">SUM(L165:L171)</f>
        <v>485214</v>
      </c>
      <c r="M164" s="411">
        <f t="shared" si="78"/>
        <v>482412</v>
      </c>
      <c r="N164" s="411">
        <f t="shared" si="78"/>
        <v>482412</v>
      </c>
      <c r="O164" s="411">
        <f t="shared" si="78"/>
        <v>482412</v>
      </c>
      <c r="P164" s="411">
        <f t="shared" si="78"/>
        <v>486613</v>
      </c>
      <c r="Q164" s="411">
        <f t="shared" si="78"/>
        <v>482412</v>
      </c>
      <c r="R164" s="411">
        <f t="shared" si="78"/>
        <v>482412</v>
      </c>
      <c r="S164" s="411">
        <f t="shared" si="78"/>
        <v>482412</v>
      </c>
      <c r="T164" s="411">
        <f t="shared" si="78"/>
        <v>482412</v>
      </c>
      <c r="U164" s="411">
        <f t="shared" si="78"/>
        <v>482412</v>
      </c>
      <c r="V164" s="411">
        <f t="shared" si="78"/>
        <v>482595</v>
      </c>
      <c r="W164" s="99">
        <f t="shared" si="78"/>
        <v>475507.44444444444</v>
      </c>
      <c r="X164" s="50">
        <f t="shared" si="76"/>
        <v>5789225.444444444</v>
      </c>
      <c r="Z164" s="69"/>
    </row>
    <row r="165" spans="1:26">
      <c r="A165" s="114">
        <f t="shared" si="77"/>
        <v>2007002</v>
      </c>
      <c r="B165" s="74"/>
      <c r="C165" s="642"/>
      <c r="D165" s="645"/>
      <c r="E165" s="645"/>
      <c r="F165" s="645"/>
      <c r="G165" s="645"/>
      <c r="H165" s="645"/>
      <c r="I165" s="648"/>
      <c r="J165" s="629"/>
      <c r="K165" s="174" t="s">
        <v>27</v>
      </c>
      <c r="L165" s="297">
        <v>401772</v>
      </c>
      <c r="M165" s="297">
        <v>399000</v>
      </c>
      <c r="N165" s="297">
        <v>399000</v>
      </c>
      <c r="O165" s="297">
        <v>399000</v>
      </c>
      <c r="P165" s="297">
        <v>403157</v>
      </c>
      <c r="Q165" s="297">
        <v>399000</v>
      </c>
      <c r="R165" s="297">
        <v>399000</v>
      </c>
      <c r="S165" s="297">
        <v>399000</v>
      </c>
      <c r="T165" s="297">
        <v>399000</v>
      </c>
      <c r="U165" s="297">
        <v>399000</v>
      </c>
      <c r="V165" s="297">
        <v>399000</v>
      </c>
      <c r="W165" s="93">
        <v>391655.44444444444</v>
      </c>
      <c r="X165" s="49">
        <f t="shared" si="76"/>
        <v>4787584.444444444</v>
      </c>
      <c r="Y165" s="69"/>
      <c r="Z165" s="69"/>
    </row>
    <row r="166" spans="1:26">
      <c r="A166" s="114">
        <f t="shared" si="77"/>
        <v>2007002</v>
      </c>
      <c r="B166" s="74"/>
      <c r="C166" s="642"/>
      <c r="D166" s="645"/>
      <c r="E166" s="645"/>
      <c r="F166" s="645"/>
      <c r="G166" s="645"/>
      <c r="H166" s="645"/>
      <c r="I166" s="648"/>
      <c r="J166" s="629"/>
      <c r="K166" s="174" t="s">
        <v>34</v>
      </c>
      <c r="L166" s="297"/>
      <c r="M166" s="297"/>
      <c r="N166" s="297"/>
      <c r="O166" s="297"/>
      <c r="P166" s="297"/>
      <c r="Q166" s="297"/>
      <c r="R166" s="297"/>
      <c r="S166" s="297"/>
      <c r="T166" s="297"/>
      <c r="U166" s="297"/>
      <c r="V166" s="297"/>
      <c r="W166" s="93"/>
      <c r="X166" s="49">
        <f t="shared" si="76"/>
        <v>0</v>
      </c>
      <c r="Y166" s="69"/>
      <c r="Z166" s="69"/>
    </row>
    <row r="167" spans="1:26">
      <c r="A167" s="114">
        <f t="shared" si="77"/>
        <v>2007002</v>
      </c>
      <c r="B167" s="74"/>
      <c r="C167" s="642"/>
      <c r="D167" s="645"/>
      <c r="E167" s="645"/>
      <c r="F167" s="645"/>
      <c r="G167" s="645"/>
      <c r="H167" s="645"/>
      <c r="I167" s="648"/>
      <c r="J167" s="629"/>
      <c r="K167" s="174" t="s">
        <v>28</v>
      </c>
      <c r="L167" s="297">
        <v>18350</v>
      </c>
      <c r="M167" s="297">
        <v>18350</v>
      </c>
      <c r="N167" s="297">
        <v>18350</v>
      </c>
      <c r="O167" s="297">
        <v>18350</v>
      </c>
      <c r="P167" s="297">
        <v>18350</v>
      </c>
      <c r="Q167" s="297">
        <v>18350</v>
      </c>
      <c r="R167" s="297">
        <v>18350</v>
      </c>
      <c r="S167" s="297">
        <v>18350</v>
      </c>
      <c r="T167" s="297">
        <v>18350</v>
      </c>
      <c r="U167" s="297">
        <v>18350</v>
      </c>
      <c r="V167" s="297">
        <v>18350</v>
      </c>
      <c r="W167" s="91">
        <v>18350</v>
      </c>
      <c r="X167" s="49">
        <f t="shared" si="76"/>
        <v>220200</v>
      </c>
      <c r="Y167" s="69"/>
      <c r="Z167" s="69"/>
    </row>
    <row r="168" spans="1:26">
      <c r="A168" s="114">
        <f t="shared" si="77"/>
        <v>2007002</v>
      </c>
      <c r="B168" s="74"/>
      <c r="C168" s="642"/>
      <c r="D168" s="645"/>
      <c r="E168" s="645"/>
      <c r="F168" s="645"/>
      <c r="G168" s="645"/>
      <c r="H168" s="645"/>
      <c r="I168" s="648"/>
      <c r="J168" s="629"/>
      <c r="K168" s="174" t="s">
        <v>29</v>
      </c>
      <c r="L168" s="297">
        <v>23165</v>
      </c>
      <c r="M168" s="297">
        <v>23165</v>
      </c>
      <c r="N168" s="297">
        <v>23165</v>
      </c>
      <c r="O168" s="297">
        <v>23165</v>
      </c>
      <c r="P168" s="297">
        <v>23165</v>
      </c>
      <c r="Q168" s="297">
        <v>23165</v>
      </c>
      <c r="R168" s="297">
        <v>23165</v>
      </c>
      <c r="S168" s="297">
        <v>23165</v>
      </c>
      <c r="T168" s="297">
        <v>23165</v>
      </c>
      <c r="U168" s="297">
        <v>23165</v>
      </c>
      <c r="V168" s="297">
        <v>23165</v>
      </c>
      <c r="W168" s="93">
        <v>23575</v>
      </c>
      <c r="X168" s="49">
        <f t="shared" si="76"/>
        <v>278390</v>
      </c>
      <c r="Y168" s="69"/>
      <c r="Z168" s="69"/>
    </row>
    <row r="169" spans="1:26">
      <c r="A169" s="114">
        <f t="shared" si="77"/>
        <v>2007002</v>
      </c>
      <c r="B169" s="74"/>
      <c r="C169" s="642"/>
      <c r="D169" s="645"/>
      <c r="E169" s="645"/>
      <c r="F169" s="645"/>
      <c r="G169" s="645"/>
      <c r="H169" s="645"/>
      <c r="I169" s="648"/>
      <c r="J169" s="629"/>
      <c r="K169" s="174" t="s">
        <v>30</v>
      </c>
      <c r="L169" s="297">
        <v>37515</v>
      </c>
      <c r="M169" s="297">
        <v>37515</v>
      </c>
      <c r="N169" s="297">
        <v>37515</v>
      </c>
      <c r="O169" s="297">
        <v>37515</v>
      </c>
      <c r="P169" s="297">
        <v>37515</v>
      </c>
      <c r="Q169" s="297">
        <v>37515</v>
      </c>
      <c r="R169" s="297">
        <v>37515</v>
      </c>
      <c r="S169" s="297">
        <v>37515</v>
      </c>
      <c r="T169" s="297">
        <v>37515</v>
      </c>
      <c r="U169" s="297">
        <v>37515</v>
      </c>
      <c r="V169" s="297">
        <v>37515</v>
      </c>
      <c r="W169" s="93">
        <v>37515</v>
      </c>
      <c r="X169" s="49">
        <f t="shared" si="76"/>
        <v>450180</v>
      </c>
      <c r="Y169" s="69"/>
      <c r="Z169" s="69"/>
    </row>
    <row r="170" spans="1:26">
      <c r="A170" s="114">
        <f t="shared" si="77"/>
        <v>2007002</v>
      </c>
      <c r="B170" s="74"/>
      <c r="C170" s="642"/>
      <c r="D170" s="645"/>
      <c r="E170" s="645"/>
      <c r="F170" s="645"/>
      <c r="G170" s="645"/>
      <c r="H170" s="645"/>
      <c r="I170" s="648"/>
      <c r="J170" s="629"/>
      <c r="K170" s="174" t="s">
        <v>31</v>
      </c>
      <c r="L170" s="297">
        <v>2101</v>
      </c>
      <c r="M170" s="297">
        <v>2087</v>
      </c>
      <c r="N170" s="297">
        <v>2087</v>
      </c>
      <c r="O170" s="297">
        <v>2087</v>
      </c>
      <c r="P170" s="297">
        <v>2108</v>
      </c>
      <c r="Q170" s="297">
        <v>2087</v>
      </c>
      <c r="R170" s="297">
        <v>2087</v>
      </c>
      <c r="S170" s="297">
        <v>2087</v>
      </c>
      <c r="T170" s="297">
        <v>2087</v>
      </c>
      <c r="U170" s="297">
        <v>2087</v>
      </c>
      <c r="V170" s="297">
        <v>2174</v>
      </c>
      <c r="W170" s="93">
        <v>2101</v>
      </c>
      <c r="X170" s="49">
        <f t="shared" si="76"/>
        <v>25180</v>
      </c>
      <c r="Y170" s="69"/>
      <c r="Z170" s="69"/>
    </row>
    <row r="171" spans="1:26">
      <c r="A171" s="114">
        <f t="shared" si="77"/>
        <v>2007002</v>
      </c>
      <c r="B171" s="74"/>
      <c r="C171" s="642"/>
      <c r="D171" s="645"/>
      <c r="E171" s="645"/>
      <c r="F171" s="645"/>
      <c r="G171" s="645"/>
      <c r="H171" s="645"/>
      <c r="I171" s="648"/>
      <c r="J171" s="629"/>
      <c r="K171" s="210" t="s">
        <v>32</v>
      </c>
      <c r="L171" s="297">
        <v>2311</v>
      </c>
      <c r="M171" s="297">
        <v>2295</v>
      </c>
      <c r="N171" s="297">
        <v>2295</v>
      </c>
      <c r="O171" s="297">
        <v>2295</v>
      </c>
      <c r="P171" s="297">
        <v>2318</v>
      </c>
      <c r="Q171" s="297">
        <v>2295</v>
      </c>
      <c r="R171" s="297">
        <v>2295</v>
      </c>
      <c r="S171" s="297">
        <v>2295</v>
      </c>
      <c r="T171" s="297">
        <v>2295</v>
      </c>
      <c r="U171" s="297">
        <v>2295</v>
      </c>
      <c r="V171" s="297">
        <v>2391</v>
      </c>
      <c r="W171" s="93">
        <v>2311</v>
      </c>
      <c r="X171" s="49">
        <f t="shared" si="76"/>
        <v>27691</v>
      </c>
      <c r="Y171" s="69"/>
      <c r="Z171" s="69"/>
    </row>
    <row r="172" spans="1:26">
      <c r="A172" s="114">
        <f t="shared" si="77"/>
        <v>2007002</v>
      </c>
      <c r="B172" s="74"/>
      <c r="C172" s="654"/>
      <c r="D172" s="655"/>
      <c r="E172" s="655"/>
      <c r="F172" s="655"/>
      <c r="G172" s="655"/>
      <c r="H172" s="655"/>
      <c r="I172" s="652"/>
      <c r="J172" s="630"/>
      <c r="K172" s="170" t="s">
        <v>33</v>
      </c>
      <c r="L172" s="308">
        <f t="shared" ref="L172:X172" si="79">L161-L164</f>
        <v>74786</v>
      </c>
      <c r="M172" s="405">
        <f t="shared" si="79"/>
        <v>77588</v>
      </c>
      <c r="N172" s="405">
        <f t="shared" si="79"/>
        <v>77588</v>
      </c>
      <c r="O172" s="405">
        <f t="shared" si="79"/>
        <v>33838</v>
      </c>
      <c r="P172" s="405">
        <f t="shared" si="79"/>
        <v>73387</v>
      </c>
      <c r="Q172" s="405">
        <f t="shared" si="79"/>
        <v>49588</v>
      </c>
      <c r="R172" s="405">
        <f t="shared" si="79"/>
        <v>77588</v>
      </c>
      <c r="S172" s="405">
        <f t="shared" si="79"/>
        <v>77588</v>
      </c>
      <c r="T172" s="405">
        <f t="shared" si="79"/>
        <v>77588</v>
      </c>
      <c r="U172" s="405">
        <f t="shared" si="79"/>
        <v>23338</v>
      </c>
      <c r="V172" s="405">
        <f t="shared" si="79"/>
        <v>77405</v>
      </c>
      <c r="W172" s="212">
        <f t="shared" si="79"/>
        <v>50447.000000000058</v>
      </c>
      <c r="X172" s="51">
        <f t="shared" si="79"/>
        <v>770729</v>
      </c>
      <c r="Z172" s="69"/>
    </row>
    <row r="173" spans="1:26" ht="12.75" customHeight="1">
      <c r="A173" s="113">
        <v>2014013</v>
      </c>
      <c r="C173" s="641">
        <f t="shared" si="64"/>
        <v>15</v>
      </c>
      <c r="D173" s="644" t="s">
        <v>59</v>
      </c>
      <c r="E173" s="644"/>
      <c r="F173" s="644"/>
      <c r="G173" s="644" t="s">
        <v>160</v>
      </c>
      <c r="H173" s="644"/>
      <c r="I173" s="647"/>
      <c r="J173" s="628" t="s">
        <v>65</v>
      </c>
      <c r="K173" s="176" t="s">
        <v>23</v>
      </c>
      <c r="L173" s="294">
        <f t="shared" ref="L173:W173" si="80">L174+L175</f>
        <v>530000</v>
      </c>
      <c r="M173" s="409">
        <f t="shared" si="80"/>
        <v>530000</v>
      </c>
      <c r="N173" s="409">
        <f t="shared" si="80"/>
        <v>530000</v>
      </c>
      <c r="O173" s="409">
        <f t="shared" si="80"/>
        <v>530000</v>
      </c>
      <c r="P173" s="409">
        <f t="shared" si="80"/>
        <v>488500</v>
      </c>
      <c r="Q173" s="409">
        <f t="shared" si="80"/>
        <v>530000</v>
      </c>
      <c r="R173" s="409">
        <f t="shared" si="80"/>
        <v>530000</v>
      </c>
      <c r="S173" s="409">
        <f t="shared" si="80"/>
        <v>521700</v>
      </c>
      <c r="T173" s="409">
        <f t="shared" si="80"/>
        <v>530000</v>
      </c>
      <c r="U173" s="409">
        <f t="shared" si="80"/>
        <v>513400</v>
      </c>
      <c r="V173" s="409">
        <f t="shared" si="80"/>
        <v>515060</v>
      </c>
      <c r="W173" s="97">
        <f t="shared" si="80"/>
        <v>523544.44444444444</v>
      </c>
      <c r="X173" s="117">
        <f t="shared" ref="X173:X183" si="81">SUM(L173:W173)</f>
        <v>6272204.444444444</v>
      </c>
      <c r="Z173" s="69"/>
    </row>
    <row r="174" spans="1:26">
      <c r="A174" s="114">
        <f t="shared" ref="A174:A184" si="82">+A173</f>
        <v>2014013</v>
      </c>
      <c r="B174" s="74"/>
      <c r="C174" s="642"/>
      <c r="D174" s="645"/>
      <c r="E174" s="645"/>
      <c r="F174" s="645"/>
      <c r="G174" s="645"/>
      <c r="H174" s="645"/>
      <c r="I174" s="648"/>
      <c r="J174" s="629"/>
      <c r="K174" s="172" t="s">
        <v>24</v>
      </c>
      <c r="L174" s="301">
        <v>530000</v>
      </c>
      <c r="M174" s="301">
        <v>530000</v>
      </c>
      <c r="N174" s="301">
        <v>530000</v>
      </c>
      <c r="O174" s="301">
        <v>530000</v>
      </c>
      <c r="P174" s="301">
        <v>488500</v>
      </c>
      <c r="Q174" s="301">
        <v>530000</v>
      </c>
      <c r="R174" s="301">
        <v>530000</v>
      </c>
      <c r="S174" s="301">
        <v>521700</v>
      </c>
      <c r="T174" s="301">
        <v>530000</v>
      </c>
      <c r="U174" s="301">
        <v>513400</v>
      </c>
      <c r="V174" s="301">
        <v>515060</v>
      </c>
      <c r="W174" s="102">
        <v>523544.44444444444</v>
      </c>
      <c r="X174" s="49">
        <f t="shared" si="81"/>
        <v>6272204.444444444</v>
      </c>
      <c r="Y174" s="69"/>
      <c r="Z174" s="69"/>
    </row>
    <row r="175" spans="1:26">
      <c r="A175" s="114">
        <f t="shared" si="82"/>
        <v>2014013</v>
      </c>
      <c r="B175" s="74"/>
      <c r="C175" s="642"/>
      <c r="D175" s="645"/>
      <c r="E175" s="645"/>
      <c r="F175" s="645"/>
      <c r="G175" s="645"/>
      <c r="H175" s="645"/>
      <c r="I175" s="648"/>
      <c r="J175" s="629"/>
      <c r="K175" s="172" t="s">
        <v>25</v>
      </c>
      <c r="L175" s="312"/>
      <c r="M175" s="297"/>
      <c r="N175" s="297"/>
      <c r="O175" s="297"/>
      <c r="P175" s="297"/>
      <c r="Q175" s="297"/>
      <c r="R175" s="297"/>
      <c r="S175" s="297"/>
      <c r="T175" s="297"/>
      <c r="U175" s="297"/>
      <c r="V175" s="297"/>
      <c r="W175" s="91"/>
      <c r="X175" s="49">
        <f t="shared" si="81"/>
        <v>0</v>
      </c>
      <c r="Z175" s="69"/>
    </row>
    <row r="176" spans="1:26">
      <c r="A176" s="114">
        <f t="shared" si="82"/>
        <v>2014013</v>
      </c>
      <c r="B176" s="74"/>
      <c r="C176" s="642"/>
      <c r="D176" s="645"/>
      <c r="E176" s="645"/>
      <c r="F176" s="645"/>
      <c r="G176" s="645"/>
      <c r="H176" s="645"/>
      <c r="I176" s="648"/>
      <c r="J176" s="629"/>
      <c r="K176" s="173" t="s">
        <v>26</v>
      </c>
      <c r="L176" s="296">
        <f t="shared" ref="L176:W176" si="83">SUM(L177:L183)</f>
        <v>473974</v>
      </c>
      <c r="M176" s="411">
        <f t="shared" si="83"/>
        <v>473974</v>
      </c>
      <c r="N176" s="411">
        <f t="shared" si="83"/>
        <v>473974</v>
      </c>
      <c r="O176" s="411">
        <f t="shared" si="83"/>
        <v>473974</v>
      </c>
      <c r="P176" s="411">
        <f t="shared" si="83"/>
        <v>473974</v>
      </c>
      <c r="Q176" s="411">
        <f t="shared" si="83"/>
        <v>473974</v>
      </c>
      <c r="R176" s="411">
        <f t="shared" si="83"/>
        <v>473974</v>
      </c>
      <c r="S176" s="411">
        <f t="shared" si="83"/>
        <v>473974</v>
      </c>
      <c r="T176" s="411">
        <f t="shared" si="83"/>
        <v>473974</v>
      </c>
      <c r="U176" s="411">
        <f t="shared" si="83"/>
        <v>473974</v>
      </c>
      <c r="V176" s="411">
        <f t="shared" si="83"/>
        <v>474157</v>
      </c>
      <c r="W176" s="99">
        <f t="shared" si="83"/>
        <v>464974</v>
      </c>
      <c r="X176" s="50">
        <f t="shared" si="81"/>
        <v>5678871</v>
      </c>
      <c r="Z176" s="69"/>
    </row>
    <row r="177" spans="1:26">
      <c r="A177" s="114">
        <f t="shared" si="82"/>
        <v>2014013</v>
      </c>
      <c r="B177" s="74"/>
      <c r="C177" s="642"/>
      <c r="D177" s="645"/>
      <c r="E177" s="645"/>
      <c r="F177" s="645"/>
      <c r="G177" s="645"/>
      <c r="H177" s="645"/>
      <c r="I177" s="648"/>
      <c r="J177" s="629"/>
      <c r="K177" s="174" t="s">
        <v>27</v>
      </c>
      <c r="L177" s="297">
        <v>389000</v>
      </c>
      <c r="M177" s="297">
        <v>389000</v>
      </c>
      <c r="N177" s="297">
        <v>389000</v>
      </c>
      <c r="O177" s="297">
        <v>389000</v>
      </c>
      <c r="P177" s="297">
        <v>389000</v>
      </c>
      <c r="Q177" s="297">
        <v>389000</v>
      </c>
      <c r="R177" s="297">
        <v>389000</v>
      </c>
      <c r="S177" s="297">
        <v>389000</v>
      </c>
      <c r="T177" s="297">
        <v>389000</v>
      </c>
      <c r="U177" s="297">
        <v>389000</v>
      </c>
      <c r="V177" s="297">
        <v>389000</v>
      </c>
      <c r="W177" s="93">
        <v>380000</v>
      </c>
      <c r="X177" s="49">
        <f t="shared" si="81"/>
        <v>4659000</v>
      </c>
      <c r="Y177" s="69"/>
      <c r="Z177" s="69"/>
    </row>
    <row r="178" spans="1:26">
      <c r="A178" s="114">
        <f t="shared" si="82"/>
        <v>2014013</v>
      </c>
      <c r="B178" s="74"/>
      <c r="C178" s="642"/>
      <c r="D178" s="645"/>
      <c r="E178" s="645"/>
      <c r="F178" s="645"/>
      <c r="G178" s="645"/>
      <c r="H178" s="645"/>
      <c r="I178" s="648"/>
      <c r="J178" s="629"/>
      <c r="K178" s="174" t="s">
        <v>34</v>
      </c>
      <c r="L178" s="297"/>
      <c r="M178" s="297"/>
      <c r="N178" s="297"/>
      <c r="O178" s="297"/>
      <c r="P178" s="297"/>
      <c r="Q178" s="297"/>
      <c r="R178" s="297"/>
      <c r="S178" s="297"/>
      <c r="T178" s="297"/>
      <c r="U178" s="297"/>
      <c r="V178" s="297"/>
      <c r="W178" s="93"/>
      <c r="X178" s="49">
        <f t="shared" si="81"/>
        <v>0</v>
      </c>
      <c r="Y178" s="69"/>
      <c r="Z178" s="69"/>
    </row>
    <row r="179" spans="1:26">
      <c r="A179" s="114">
        <f t="shared" si="82"/>
        <v>2014013</v>
      </c>
      <c r="B179" s="74"/>
      <c r="C179" s="642"/>
      <c r="D179" s="645"/>
      <c r="E179" s="645"/>
      <c r="F179" s="645"/>
      <c r="G179" s="645"/>
      <c r="H179" s="645"/>
      <c r="I179" s="648"/>
      <c r="J179" s="629"/>
      <c r="K179" s="174" t="s">
        <v>28</v>
      </c>
      <c r="L179" s="297">
        <v>20000</v>
      </c>
      <c r="M179" s="297">
        <v>20000</v>
      </c>
      <c r="N179" s="297">
        <v>20000</v>
      </c>
      <c r="O179" s="297">
        <v>20000</v>
      </c>
      <c r="P179" s="297">
        <v>20000</v>
      </c>
      <c r="Q179" s="297">
        <v>20000</v>
      </c>
      <c r="R179" s="297">
        <v>20000</v>
      </c>
      <c r="S179" s="297">
        <v>20000</v>
      </c>
      <c r="T179" s="297">
        <v>20000</v>
      </c>
      <c r="U179" s="297">
        <v>20000</v>
      </c>
      <c r="V179" s="297">
        <v>20000</v>
      </c>
      <c r="W179" s="91">
        <v>20000</v>
      </c>
      <c r="X179" s="49">
        <f t="shared" si="81"/>
        <v>240000</v>
      </c>
      <c r="Y179" s="69"/>
      <c r="Z179" s="69"/>
    </row>
    <row r="180" spans="1:26">
      <c r="A180" s="114">
        <f t="shared" si="82"/>
        <v>2014013</v>
      </c>
      <c r="B180" s="74"/>
      <c r="C180" s="642"/>
      <c r="D180" s="645"/>
      <c r="E180" s="645"/>
      <c r="F180" s="645"/>
      <c r="G180" s="645"/>
      <c r="H180" s="645"/>
      <c r="I180" s="648"/>
      <c r="J180" s="629"/>
      <c r="K180" s="174" t="s">
        <v>29</v>
      </c>
      <c r="L180" s="297">
        <v>23165</v>
      </c>
      <c r="M180" s="297">
        <v>23165</v>
      </c>
      <c r="N180" s="297">
        <v>23165</v>
      </c>
      <c r="O180" s="297">
        <v>23165</v>
      </c>
      <c r="P180" s="297">
        <v>23165</v>
      </c>
      <c r="Q180" s="297">
        <v>23165</v>
      </c>
      <c r="R180" s="297">
        <v>23165</v>
      </c>
      <c r="S180" s="297">
        <v>23165</v>
      </c>
      <c r="T180" s="297">
        <v>23165</v>
      </c>
      <c r="U180" s="297">
        <v>23165</v>
      </c>
      <c r="V180" s="297">
        <v>23165</v>
      </c>
      <c r="W180" s="91">
        <v>23165</v>
      </c>
      <c r="X180" s="49">
        <f t="shared" si="81"/>
        <v>277980</v>
      </c>
      <c r="Y180" s="69"/>
      <c r="Z180" s="69"/>
    </row>
    <row r="181" spans="1:26">
      <c r="A181" s="114">
        <f t="shared" si="82"/>
        <v>2014013</v>
      </c>
      <c r="B181" s="74"/>
      <c r="C181" s="642"/>
      <c r="D181" s="645"/>
      <c r="E181" s="645"/>
      <c r="F181" s="645"/>
      <c r="G181" s="645"/>
      <c r="H181" s="645"/>
      <c r="I181" s="648"/>
      <c r="J181" s="629"/>
      <c r="K181" s="174" t="s">
        <v>30</v>
      </c>
      <c r="L181" s="297">
        <v>37515</v>
      </c>
      <c r="M181" s="297">
        <v>37515</v>
      </c>
      <c r="N181" s="297">
        <v>37515</v>
      </c>
      <c r="O181" s="297">
        <v>37515</v>
      </c>
      <c r="P181" s="297">
        <v>37515</v>
      </c>
      <c r="Q181" s="297">
        <v>37515</v>
      </c>
      <c r="R181" s="297">
        <v>37515</v>
      </c>
      <c r="S181" s="297">
        <v>37515</v>
      </c>
      <c r="T181" s="297">
        <v>37515</v>
      </c>
      <c r="U181" s="297">
        <v>37515</v>
      </c>
      <c r="V181" s="297">
        <v>37515</v>
      </c>
      <c r="W181" s="91">
        <v>37515</v>
      </c>
      <c r="X181" s="49">
        <f t="shared" si="81"/>
        <v>450180</v>
      </c>
      <c r="Y181" s="69"/>
      <c r="Z181" s="69"/>
    </row>
    <row r="182" spans="1:26">
      <c r="A182" s="114">
        <f t="shared" si="82"/>
        <v>2014013</v>
      </c>
      <c r="B182" s="74"/>
      <c r="C182" s="642"/>
      <c r="D182" s="645"/>
      <c r="E182" s="645"/>
      <c r="F182" s="645"/>
      <c r="G182" s="645"/>
      <c r="H182" s="645"/>
      <c r="I182" s="648"/>
      <c r="J182" s="629"/>
      <c r="K182" s="174" t="s">
        <v>31</v>
      </c>
      <c r="L182" s="297">
        <v>2045</v>
      </c>
      <c r="M182" s="297">
        <v>2045</v>
      </c>
      <c r="N182" s="297">
        <v>2045</v>
      </c>
      <c r="O182" s="297">
        <v>2045</v>
      </c>
      <c r="P182" s="297">
        <v>2045</v>
      </c>
      <c r="Q182" s="297">
        <v>2045</v>
      </c>
      <c r="R182" s="297">
        <v>2045</v>
      </c>
      <c r="S182" s="297">
        <v>2045</v>
      </c>
      <c r="T182" s="297">
        <v>2045</v>
      </c>
      <c r="U182" s="297">
        <v>2045</v>
      </c>
      <c r="V182" s="297">
        <v>2132</v>
      </c>
      <c r="W182" s="91">
        <v>2045</v>
      </c>
      <c r="X182" s="49">
        <f t="shared" si="81"/>
        <v>24627</v>
      </c>
      <c r="Y182" s="69"/>
      <c r="Z182" s="69"/>
    </row>
    <row r="183" spans="1:26">
      <c r="A183" s="114">
        <f t="shared" si="82"/>
        <v>2014013</v>
      </c>
      <c r="B183" s="74"/>
      <c r="C183" s="642"/>
      <c r="D183" s="645"/>
      <c r="E183" s="645"/>
      <c r="F183" s="645"/>
      <c r="G183" s="645"/>
      <c r="H183" s="645"/>
      <c r="I183" s="648"/>
      <c r="J183" s="629"/>
      <c r="K183" s="210" t="s">
        <v>32</v>
      </c>
      <c r="L183" s="297">
        <v>2249</v>
      </c>
      <c r="M183" s="297">
        <v>2249</v>
      </c>
      <c r="N183" s="297">
        <v>2249</v>
      </c>
      <c r="O183" s="297">
        <v>2249</v>
      </c>
      <c r="P183" s="297">
        <v>2249</v>
      </c>
      <c r="Q183" s="297">
        <v>2249</v>
      </c>
      <c r="R183" s="297">
        <v>2249</v>
      </c>
      <c r="S183" s="297">
        <v>2249</v>
      </c>
      <c r="T183" s="297">
        <v>2249</v>
      </c>
      <c r="U183" s="297">
        <v>2249</v>
      </c>
      <c r="V183" s="297">
        <v>2345</v>
      </c>
      <c r="W183" s="91">
        <v>2249</v>
      </c>
      <c r="X183" s="49">
        <f t="shared" si="81"/>
        <v>27084</v>
      </c>
      <c r="Y183" s="69"/>
      <c r="Z183" s="69"/>
    </row>
    <row r="184" spans="1:26">
      <c r="A184" s="114">
        <f t="shared" si="82"/>
        <v>2014013</v>
      </c>
      <c r="B184" s="74"/>
      <c r="C184" s="654"/>
      <c r="D184" s="655"/>
      <c r="E184" s="655"/>
      <c r="F184" s="655"/>
      <c r="G184" s="655"/>
      <c r="H184" s="655"/>
      <c r="I184" s="652"/>
      <c r="J184" s="630"/>
      <c r="K184" s="170" t="s">
        <v>33</v>
      </c>
      <c r="L184" s="308">
        <f t="shared" ref="L184:X184" si="84">L173-L176</f>
        <v>56026</v>
      </c>
      <c r="M184" s="405">
        <f t="shared" si="84"/>
        <v>56026</v>
      </c>
      <c r="N184" s="405">
        <f t="shared" si="84"/>
        <v>56026</v>
      </c>
      <c r="O184" s="405">
        <f t="shared" si="84"/>
        <v>56026</v>
      </c>
      <c r="P184" s="405">
        <f t="shared" si="84"/>
        <v>14526</v>
      </c>
      <c r="Q184" s="405">
        <f t="shared" si="84"/>
        <v>56026</v>
      </c>
      <c r="R184" s="405">
        <f t="shared" si="84"/>
        <v>56026</v>
      </c>
      <c r="S184" s="405">
        <f t="shared" si="84"/>
        <v>47726</v>
      </c>
      <c r="T184" s="405">
        <f t="shared" si="84"/>
        <v>56026</v>
      </c>
      <c r="U184" s="405">
        <f t="shared" si="84"/>
        <v>39426</v>
      </c>
      <c r="V184" s="405">
        <f t="shared" si="84"/>
        <v>40903</v>
      </c>
      <c r="W184" s="212">
        <f t="shared" si="84"/>
        <v>58570.444444444438</v>
      </c>
      <c r="X184" s="51">
        <f t="shared" si="84"/>
        <v>593333.44444444403</v>
      </c>
      <c r="Z184" s="69"/>
    </row>
    <row r="185" spans="1:26" ht="12.75" customHeight="1">
      <c r="A185" s="113">
        <v>2012002</v>
      </c>
      <c r="C185" s="641">
        <f t="shared" si="64"/>
        <v>16</v>
      </c>
      <c r="D185" s="644" t="s">
        <v>59</v>
      </c>
      <c r="E185" s="644"/>
      <c r="F185" s="644"/>
      <c r="G185" s="644" t="s">
        <v>160</v>
      </c>
      <c r="H185" s="644"/>
      <c r="I185" s="647" t="s">
        <v>52</v>
      </c>
      <c r="J185" s="628" t="s">
        <v>65</v>
      </c>
      <c r="K185" s="176" t="s">
        <v>23</v>
      </c>
      <c r="L185" s="294">
        <f t="shared" ref="L185:W185" si="85">L186+L187</f>
        <v>650000</v>
      </c>
      <c r="M185" s="409">
        <f t="shared" si="85"/>
        <v>650000</v>
      </c>
      <c r="N185" s="409">
        <f t="shared" si="85"/>
        <v>650000</v>
      </c>
      <c r="O185" s="409">
        <f t="shared" si="85"/>
        <v>680000</v>
      </c>
      <c r="P185" s="409">
        <f t="shared" si="85"/>
        <v>609050</v>
      </c>
      <c r="Q185" s="409">
        <f t="shared" si="85"/>
        <v>561750</v>
      </c>
      <c r="R185" s="409">
        <f t="shared" si="85"/>
        <v>680000</v>
      </c>
      <c r="S185" s="409">
        <f t="shared" si="85"/>
        <v>609050</v>
      </c>
      <c r="T185" s="409">
        <f t="shared" si="85"/>
        <v>680000</v>
      </c>
      <c r="U185" s="409">
        <f t="shared" si="85"/>
        <v>621950</v>
      </c>
      <c r="V185" s="409">
        <f t="shared" si="85"/>
        <v>617650</v>
      </c>
      <c r="W185" s="97">
        <f t="shared" si="85"/>
        <v>624061.11111111112</v>
      </c>
      <c r="X185" s="117">
        <f t="shared" ref="X185:X195" si="86">SUM(L185:W185)</f>
        <v>7633511.111111111</v>
      </c>
      <c r="Z185" s="69"/>
    </row>
    <row r="186" spans="1:26">
      <c r="A186" s="114">
        <f t="shared" ref="A186:A208" si="87">+A185</f>
        <v>2012002</v>
      </c>
      <c r="B186" s="74"/>
      <c r="C186" s="642"/>
      <c r="D186" s="645"/>
      <c r="E186" s="645"/>
      <c r="F186" s="645"/>
      <c r="G186" s="645"/>
      <c r="H186" s="645"/>
      <c r="I186" s="648"/>
      <c r="J186" s="629"/>
      <c r="K186" s="172" t="s">
        <v>24</v>
      </c>
      <c r="L186" s="301">
        <v>650000</v>
      </c>
      <c r="M186" s="301">
        <v>650000</v>
      </c>
      <c r="N186" s="301">
        <v>650000</v>
      </c>
      <c r="O186" s="301">
        <v>680000</v>
      </c>
      <c r="P186" s="301">
        <v>609050</v>
      </c>
      <c r="Q186" s="301">
        <v>561750</v>
      </c>
      <c r="R186" s="301">
        <v>680000</v>
      </c>
      <c r="S186" s="301">
        <v>609050</v>
      </c>
      <c r="T186" s="301">
        <v>680000</v>
      </c>
      <c r="U186" s="301">
        <v>621950</v>
      </c>
      <c r="V186" s="301">
        <v>617650</v>
      </c>
      <c r="W186" s="102">
        <v>624061.11111111112</v>
      </c>
      <c r="X186" s="49">
        <f t="shared" si="86"/>
        <v>7633511.111111111</v>
      </c>
      <c r="Y186" s="69"/>
      <c r="Z186" s="69"/>
    </row>
    <row r="187" spans="1:26">
      <c r="A187" s="114">
        <f t="shared" si="87"/>
        <v>2012002</v>
      </c>
      <c r="B187" s="74"/>
      <c r="C187" s="642"/>
      <c r="D187" s="645"/>
      <c r="E187" s="645"/>
      <c r="F187" s="645"/>
      <c r="G187" s="645"/>
      <c r="H187" s="645"/>
      <c r="I187" s="648"/>
      <c r="J187" s="629"/>
      <c r="K187" s="172" t="s">
        <v>25</v>
      </c>
      <c r="L187" s="312"/>
      <c r="M187" s="297"/>
      <c r="N187" s="297"/>
      <c r="O187" s="297"/>
      <c r="P187" s="297"/>
      <c r="Q187" s="297"/>
      <c r="R187" s="297"/>
      <c r="S187" s="297"/>
      <c r="T187" s="297"/>
      <c r="U187" s="297"/>
      <c r="V187" s="297"/>
      <c r="W187" s="91"/>
      <c r="X187" s="49">
        <f t="shared" si="86"/>
        <v>0</v>
      </c>
      <c r="Z187" s="69"/>
    </row>
    <row r="188" spans="1:26">
      <c r="A188" s="114">
        <f t="shared" si="87"/>
        <v>2012002</v>
      </c>
      <c r="B188" s="74"/>
      <c r="C188" s="642"/>
      <c r="D188" s="645"/>
      <c r="E188" s="645"/>
      <c r="F188" s="645"/>
      <c r="G188" s="645"/>
      <c r="H188" s="645"/>
      <c r="I188" s="648"/>
      <c r="J188" s="629"/>
      <c r="K188" s="173" t="s">
        <v>26</v>
      </c>
      <c r="L188" s="296">
        <f t="shared" ref="L188:W188" si="88">SUM(L189:L195)</f>
        <v>565957</v>
      </c>
      <c r="M188" s="411">
        <f t="shared" si="88"/>
        <v>562624</v>
      </c>
      <c r="N188" s="411">
        <f t="shared" si="88"/>
        <v>567384</v>
      </c>
      <c r="O188" s="411">
        <f t="shared" si="88"/>
        <v>594834</v>
      </c>
      <c r="P188" s="411">
        <f t="shared" si="88"/>
        <v>588152</v>
      </c>
      <c r="Q188" s="411">
        <f t="shared" si="88"/>
        <v>590697</v>
      </c>
      <c r="R188" s="411">
        <f t="shared" si="88"/>
        <v>590681</v>
      </c>
      <c r="S188" s="411">
        <f t="shared" si="88"/>
        <v>588781</v>
      </c>
      <c r="T188" s="411">
        <f t="shared" si="88"/>
        <v>588583</v>
      </c>
      <c r="U188" s="411">
        <f t="shared" si="88"/>
        <v>587896</v>
      </c>
      <c r="V188" s="411">
        <f t="shared" si="88"/>
        <v>581736</v>
      </c>
      <c r="W188" s="99">
        <f t="shared" si="88"/>
        <v>566617.4444444445</v>
      </c>
      <c r="X188" s="50">
        <f t="shared" si="86"/>
        <v>6973942.444444444</v>
      </c>
      <c r="Z188" s="69"/>
    </row>
    <row r="189" spans="1:26">
      <c r="A189" s="114">
        <f t="shared" si="87"/>
        <v>2012002</v>
      </c>
      <c r="B189" s="74"/>
      <c r="C189" s="642"/>
      <c r="D189" s="645"/>
      <c r="E189" s="645"/>
      <c r="F189" s="645"/>
      <c r="G189" s="645"/>
      <c r="H189" s="645"/>
      <c r="I189" s="648"/>
      <c r="J189" s="629"/>
      <c r="K189" s="174" t="s">
        <v>27</v>
      </c>
      <c r="L189" s="297">
        <v>487600</v>
      </c>
      <c r="M189" s="297">
        <v>488000</v>
      </c>
      <c r="N189" s="297">
        <v>487600</v>
      </c>
      <c r="O189" s="297">
        <v>506400</v>
      </c>
      <c r="P189" s="297">
        <v>506000</v>
      </c>
      <c r="Q189" s="297">
        <v>505200</v>
      </c>
      <c r="R189" s="297">
        <v>507600</v>
      </c>
      <c r="S189" s="297">
        <v>506400</v>
      </c>
      <c r="T189" s="297">
        <v>507600</v>
      </c>
      <c r="U189" s="297">
        <v>506800</v>
      </c>
      <c r="V189" s="297">
        <v>498842</v>
      </c>
      <c r="W189" s="93">
        <v>488260.44444444444</v>
      </c>
      <c r="X189" s="49">
        <f t="shared" si="86"/>
        <v>5996302.444444444</v>
      </c>
      <c r="Y189" s="69"/>
      <c r="Z189" s="69"/>
    </row>
    <row r="190" spans="1:26">
      <c r="A190" s="114">
        <f t="shared" si="87"/>
        <v>2012002</v>
      </c>
      <c r="B190" s="74"/>
      <c r="C190" s="642"/>
      <c r="D190" s="645"/>
      <c r="E190" s="645"/>
      <c r="F190" s="645"/>
      <c r="G190" s="645"/>
      <c r="H190" s="645"/>
      <c r="I190" s="648"/>
      <c r="J190" s="629"/>
      <c r="K190" s="174" t="s">
        <v>34</v>
      </c>
      <c r="L190" s="297"/>
      <c r="M190" s="297"/>
      <c r="N190" s="297"/>
      <c r="O190" s="297"/>
      <c r="P190" s="297"/>
      <c r="Q190" s="297"/>
      <c r="R190" s="297"/>
      <c r="S190" s="297"/>
      <c r="T190" s="297"/>
      <c r="U190" s="297"/>
      <c r="V190" s="297"/>
      <c r="W190" s="93"/>
      <c r="X190" s="49">
        <f t="shared" si="86"/>
        <v>0</v>
      </c>
      <c r="Y190" s="69"/>
      <c r="Z190" s="69"/>
    </row>
    <row r="191" spans="1:26">
      <c r="A191" s="114">
        <f t="shared" si="87"/>
        <v>2012002</v>
      </c>
      <c r="B191" s="74"/>
      <c r="C191" s="642"/>
      <c r="D191" s="645"/>
      <c r="E191" s="645"/>
      <c r="F191" s="645"/>
      <c r="G191" s="645"/>
      <c r="H191" s="645"/>
      <c r="I191" s="648"/>
      <c r="J191" s="629"/>
      <c r="K191" s="174" t="s">
        <v>28</v>
      </c>
      <c r="L191" s="297">
        <v>3699</v>
      </c>
      <c r="M191" s="297">
        <v>0</v>
      </c>
      <c r="N191" s="297">
        <v>5110</v>
      </c>
      <c r="O191" s="297">
        <v>9022</v>
      </c>
      <c r="P191" s="297">
        <v>2810</v>
      </c>
      <c r="Q191" s="297">
        <v>6128</v>
      </c>
      <c r="R191" s="297">
        <v>3712</v>
      </c>
      <c r="S191" s="297">
        <v>3032</v>
      </c>
      <c r="T191" s="297">
        <v>1636</v>
      </c>
      <c r="U191" s="297">
        <v>1756</v>
      </c>
      <c r="V191" s="297">
        <v>3438</v>
      </c>
      <c r="W191" s="91">
        <v>3699</v>
      </c>
      <c r="X191" s="49">
        <f t="shared" si="86"/>
        <v>44042</v>
      </c>
      <c r="Y191" s="69"/>
      <c r="Z191" s="69"/>
    </row>
    <row r="192" spans="1:26">
      <c r="A192" s="114">
        <f t="shared" si="87"/>
        <v>2012002</v>
      </c>
      <c r="B192" s="74"/>
      <c r="C192" s="642"/>
      <c r="D192" s="645"/>
      <c r="E192" s="645"/>
      <c r="F192" s="645"/>
      <c r="G192" s="645"/>
      <c r="H192" s="645"/>
      <c r="I192" s="648"/>
      <c r="J192" s="629"/>
      <c r="K192" s="174" t="s">
        <v>29</v>
      </c>
      <c r="L192" s="297">
        <v>23750</v>
      </c>
      <c r="M192" s="297">
        <v>23750</v>
      </c>
      <c r="N192" s="297">
        <v>23750</v>
      </c>
      <c r="O192" s="297">
        <v>28250</v>
      </c>
      <c r="P192" s="297">
        <v>28250</v>
      </c>
      <c r="Q192" s="297">
        <v>28250</v>
      </c>
      <c r="R192" s="297">
        <v>28250</v>
      </c>
      <c r="S192" s="297">
        <v>28250</v>
      </c>
      <c r="T192" s="297">
        <v>28250</v>
      </c>
      <c r="U192" s="297">
        <v>28250</v>
      </c>
      <c r="V192" s="297">
        <v>28250</v>
      </c>
      <c r="W192" s="93">
        <v>23750</v>
      </c>
      <c r="X192" s="49">
        <f t="shared" si="86"/>
        <v>321000</v>
      </c>
      <c r="Y192" s="69"/>
      <c r="Z192" s="69"/>
    </row>
    <row r="193" spans="1:26">
      <c r="A193" s="114">
        <f t="shared" si="87"/>
        <v>2012002</v>
      </c>
      <c r="B193" s="74"/>
      <c r="C193" s="642"/>
      <c r="D193" s="645"/>
      <c r="E193" s="645"/>
      <c r="F193" s="645"/>
      <c r="G193" s="645"/>
      <c r="H193" s="645"/>
      <c r="I193" s="648"/>
      <c r="J193" s="629"/>
      <c r="K193" s="174" t="s">
        <v>30</v>
      </c>
      <c r="L193" s="297">
        <v>45750</v>
      </c>
      <c r="M193" s="297">
        <v>45750</v>
      </c>
      <c r="N193" s="297">
        <v>45750</v>
      </c>
      <c r="O193" s="297">
        <v>45750</v>
      </c>
      <c r="P193" s="297">
        <v>45750</v>
      </c>
      <c r="Q193" s="297">
        <v>45750</v>
      </c>
      <c r="R193" s="297">
        <v>45750</v>
      </c>
      <c r="S193" s="297">
        <v>45750</v>
      </c>
      <c r="T193" s="297">
        <v>45750</v>
      </c>
      <c r="U193" s="297">
        <v>45750</v>
      </c>
      <c r="V193" s="297">
        <v>45750</v>
      </c>
      <c r="W193" s="93">
        <v>45750</v>
      </c>
      <c r="X193" s="49">
        <f t="shared" si="86"/>
        <v>549000</v>
      </c>
      <c r="Y193" s="69"/>
      <c r="Z193" s="69"/>
    </row>
    <row r="194" spans="1:26">
      <c r="A194" s="114">
        <f t="shared" si="87"/>
        <v>2012002</v>
      </c>
      <c r="B194" s="74"/>
      <c r="C194" s="642"/>
      <c r="D194" s="645"/>
      <c r="E194" s="645"/>
      <c r="F194" s="645"/>
      <c r="G194" s="645"/>
      <c r="H194" s="645"/>
      <c r="I194" s="648"/>
      <c r="J194" s="629"/>
      <c r="K194" s="174" t="s">
        <v>31</v>
      </c>
      <c r="L194" s="297">
        <v>2456</v>
      </c>
      <c r="M194" s="297">
        <v>2440</v>
      </c>
      <c r="N194" s="297">
        <v>2464</v>
      </c>
      <c r="O194" s="297">
        <v>2577</v>
      </c>
      <c r="P194" s="297">
        <v>2544</v>
      </c>
      <c r="Q194" s="297">
        <v>2557</v>
      </c>
      <c r="R194" s="297">
        <v>2557</v>
      </c>
      <c r="S194" s="297">
        <v>2547</v>
      </c>
      <c r="T194" s="297">
        <v>2546</v>
      </c>
      <c r="U194" s="297">
        <v>2543</v>
      </c>
      <c r="V194" s="297">
        <v>2598</v>
      </c>
      <c r="W194" s="93">
        <v>2456</v>
      </c>
      <c r="X194" s="49">
        <f t="shared" si="86"/>
        <v>30285</v>
      </c>
      <c r="Y194" s="69"/>
      <c r="Z194" s="69"/>
    </row>
    <row r="195" spans="1:26">
      <c r="A195" s="114">
        <f t="shared" si="87"/>
        <v>2012002</v>
      </c>
      <c r="B195" s="74"/>
      <c r="C195" s="642"/>
      <c r="D195" s="645"/>
      <c r="E195" s="645"/>
      <c r="F195" s="645"/>
      <c r="G195" s="645"/>
      <c r="H195" s="645"/>
      <c r="I195" s="648"/>
      <c r="J195" s="629"/>
      <c r="K195" s="210" t="s">
        <v>32</v>
      </c>
      <c r="L195" s="297">
        <v>2702</v>
      </c>
      <c r="M195" s="297">
        <v>2684</v>
      </c>
      <c r="N195" s="297">
        <v>2710</v>
      </c>
      <c r="O195" s="297">
        <v>2835</v>
      </c>
      <c r="P195" s="297">
        <v>2798</v>
      </c>
      <c r="Q195" s="297">
        <v>2812</v>
      </c>
      <c r="R195" s="297">
        <v>2812</v>
      </c>
      <c r="S195" s="297">
        <v>2802</v>
      </c>
      <c r="T195" s="297">
        <v>2801</v>
      </c>
      <c r="U195" s="297">
        <v>2797</v>
      </c>
      <c r="V195" s="297">
        <v>2858</v>
      </c>
      <c r="W195" s="93">
        <v>2702</v>
      </c>
      <c r="X195" s="49">
        <f t="shared" si="86"/>
        <v>33313</v>
      </c>
      <c r="Y195" s="69"/>
      <c r="Z195" s="69"/>
    </row>
    <row r="196" spans="1:26">
      <c r="A196" s="114">
        <f t="shared" si="87"/>
        <v>2012002</v>
      </c>
      <c r="B196" s="74"/>
      <c r="C196" s="654"/>
      <c r="D196" s="655"/>
      <c r="E196" s="655"/>
      <c r="F196" s="655"/>
      <c r="G196" s="655"/>
      <c r="H196" s="655"/>
      <c r="I196" s="652"/>
      <c r="J196" s="630"/>
      <c r="K196" s="170" t="s">
        <v>33</v>
      </c>
      <c r="L196" s="308">
        <f t="shared" ref="L196:X196" si="89">L185-L188</f>
        <v>84043</v>
      </c>
      <c r="M196" s="405">
        <f t="shared" si="89"/>
        <v>87376</v>
      </c>
      <c r="N196" s="405">
        <f t="shared" si="89"/>
        <v>82616</v>
      </c>
      <c r="O196" s="405">
        <f t="shared" si="89"/>
        <v>85166</v>
      </c>
      <c r="P196" s="405">
        <f t="shared" si="89"/>
        <v>20898</v>
      </c>
      <c r="Q196" s="405">
        <f t="shared" si="89"/>
        <v>-28947</v>
      </c>
      <c r="R196" s="405">
        <f t="shared" si="89"/>
        <v>89319</v>
      </c>
      <c r="S196" s="405">
        <f t="shared" si="89"/>
        <v>20269</v>
      </c>
      <c r="T196" s="405">
        <f t="shared" si="89"/>
        <v>91417</v>
      </c>
      <c r="U196" s="405">
        <f t="shared" si="89"/>
        <v>34054</v>
      </c>
      <c r="V196" s="405">
        <f t="shared" si="89"/>
        <v>35914</v>
      </c>
      <c r="W196" s="212">
        <f t="shared" si="89"/>
        <v>57443.666666666628</v>
      </c>
      <c r="X196" s="51">
        <f t="shared" si="89"/>
        <v>659568.66666666698</v>
      </c>
      <c r="Z196" s="69"/>
    </row>
    <row r="197" spans="1:26" ht="12.75" customHeight="1">
      <c r="A197" s="322">
        <v>2025007</v>
      </c>
      <c r="C197" s="642">
        <f t="shared" ref="C197" si="90">C185+1</f>
        <v>17</v>
      </c>
      <c r="D197" s="645" t="s">
        <v>59</v>
      </c>
      <c r="E197" s="645"/>
      <c r="F197" s="645"/>
      <c r="G197" s="645" t="s">
        <v>160</v>
      </c>
      <c r="H197" s="645"/>
      <c r="I197" s="648" t="s">
        <v>52</v>
      </c>
      <c r="J197" s="629" t="s">
        <v>65</v>
      </c>
      <c r="K197" s="177" t="s">
        <v>23</v>
      </c>
      <c r="L197" s="299">
        <f t="shared" ref="L197:W197" si="91">L198+L199</f>
        <v>0</v>
      </c>
      <c r="M197" s="413">
        <f t="shared" si="91"/>
        <v>0</v>
      </c>
      <c r="N197" s="413">
        <f t="shared" si="91"/>
        <v>0</v>
      </c>
      <c r="O197" s="413">
        <f t="shared" si="91"/>
        <v>0</v>
      </c>
      <c r="P197" s="413">
        <f t="shared" si="91"/>
        <v>0</v>
      </c>
      <c r="Q197" s="413">
        <f t="shared" si="91"/>
        <v>0</v>
      </c>
      <c r="R197" s="413">
        <f t="shared" si="91"/>
        <v>250910</v>
      </c>
      <c r="S197" s="413">
        <f t="shared" si="91"/>
        <v>445600</v>
      </c>
      <c r="T197" s="413">
        <f t="shared" si="91"/>
        <v>460000</v>
      </c>
      <c r="U197" s="413">
        <f t="shared" si="91"/>
        <v>460000</v>
      </c>
      <c r="V197" s="413">
        <f t="shared" si="91"/>
        <v>380800</v>
      </c>
      <c r="W197" s="103">
        <f t="shared" si="91"/>
        <v>460000</v>
      </c>
      <c r="X197" s="52">
        <f t="shared" ref="X197:X207" si="92">SUM(L197:W197)</f>
        <v>2457310</v>
      </c>
      <c r="Z197" s="69"/>
    </row>
    <row r="198" spans="1:26">
      <c r="A198" s="114">
        <f t="shared" si="87"/>
        <v>2025007</v>
      </c>
      <c r="B198" s="74">
        <f t="shared" ref="B198:B208" si="93">+B197</f>
        <v>0</v>
      </c>
      <c r="C198" s="642"/>
      <c r="D198" s="645"/>
      <c r="E198" s="645"/>
      <c r="F198" s="645"/>
      <c r="G198" s="645"/>
      <c r="H198" s="645"/>
      <c r="I198" s="648"/>
      <c r="J198" s="629"/>
      <c r="K198" s="172" t="s">
        <v>24</v>
      </c>
      <c r="L198" s="301"/>
      <c r="M198" s="301"/>
      <c r="N198" s="301"/>
      <c r="O198" s="301"/>
      <c r="P198" s="301"/>
      <c r="Q198" s="301"/>
      <c r="R198" s="301">
        <v>250910</v>
      </c>
      <c r="S198" s="301">
        <v>445600</v>
      </c>
      <c r="T198" s="301">
        <v>460000</v>
      </c>
      <c r="U198" s="301">
        <v>460000</v>
      </c>
      <c r="V198" s="301">
        <v>380800</v>
      </c>
      <c r="W198" s="102">
        <v>460000</v>
      </c>
      <c r="X198" s="49">
        <f t="shared" si="92"/>
        <v>2457310</v>
      </c>
      <c r="Y198" s="69"/>
      <c r="Z198" s="69"/>
    </row>
    <row r="199" spans="1:26">
      <c r="A199" s="114">
        <f t="shared" si="87"/>
        <v>2025007</v>
      </c>
      <c r="B199" s="74">
        <f t="shared" si="93"/>
        <v>0</v>
      </c>
      <c r="C199" s="642"/>
      <c r="D199" s="645"/>
      <c r="E199" s="645"/>
      <c r="F199" s="645"/>
      <c r="G199" s="645"/>
      <c r="H199" s="645"/>
      <c r="I199" s="648"/>
      <c r="J199" s="629"/>
      <c r="K199" s="172" t="s">
        <v>25</v>
      </c>
      <c r="L199" s="312"/>
      <c r="M199" s="297"/>
      <c r="N199" s="297"/>
      <c r="O199" s="297"/>
      <c r="P199" s="297"/>
      <c r="Q199" s="297"/>
      <c r="R199" s="297"/>
      <c r="S199" s="297"/>
      <c r="T199" s="297"/>
      <c r="U199" s="297"/>
      <c r="V199" s="297"/>
      <c r="W199" s="91"/>
      <c r="X199" s="49">
        <f t="shared" si="92"/>
        <v>0</v>
      </c>
      <c r="Z199" s="69"/>
    </row>
    <row r="200" spans="1:26">
      <c r="A200" s="114">
        <f t="shared" si="87"/>
        <v>2025007</v>
      </c>
      <c r="B200" s="74">
        <f t="shared" si="93"/>
        <v>0</v>
      </c>
      <c r="C200" s="642"/>
      <c r="D200" s="645"/>
      <c r="E200" s="645"/>
      <c r="F200" s="645"/>
      <c r="G200" s="645"/>
      <c r="H200" s="645"/>
      <c r="I200" s="648"/>
      <c r="J200" s="629"/>
      <c r="K200" s="173" t="s">
        <v>26</v>
      </c>
      <c r="L200" s="296">
        <f t="shared" ref="L200:W200" si="94">SUM(L201:L207)</f>
        <v>0</v>
      </c>
      <c r="M200" s="411">
        <f t="shared" si="94"/>
        <v>0</v>
      </c>
      <c r="N200" s="411">
        <f t="shared" si="94"/>
        <v>0</v>
      </c>
      <c r="O200" s="411">
        <f t="shared" si="94"/>
        <v>0</v>
      </c>
      <c r="P200" s="411">
        <f t="shared" si="94"/>
        <v>0</v>
      </c>
      <c r="Q200" s="411">
        <f t="shared" si="94"/>
        <v>0</v>
      </c>
      <c r="R200" s="411">
        <f t="shared" si="94"/>
        <v>156003.5</v>
      </c>
      <c r="S200" s="411">
        <f t="shared" si="94"/>
        <v>312007</v>
      </c>
      <c r="T200" s="411">
        <f t="shared" si="94"/>
        <v>312007</v>
      </c>
      <c r="U200" s="411">
        <f t="shared" si="94"/>
        <v>312007</v>
      </c>
      <c r="V200" s="411">
        <f t="shared" si="94"/>
        <v>312190</v>
      </c>
      <c r="W200" s="99">
        <f t="shared" si="94"/>
        <v>308853</v>
      </c>
      <c r="X200" s="50">
        <f t="shared" si="92"/>
        <v>1713067.5</v>
      </c>
      <c r="Z200" s="69"/>
    </row>
    <row r="201" spans="1:26">
      <c r="A201" s="114">
        <f t="shared" si="87"/>
        <v>2025007</v>
      </c>
      <c r="B201" s="74">
        <f t="shared" si="93"/>
        <v>0</v>
      </c>
      <c r="C201" s="642"/>
      <c r="D201" s="645"/>
      <c r="E201" s="645"/>
      <c r="F201" s="645"/>
      <c r="G201" s="645"/>
      <c r="H201" s="645"/>
      <c r="I201" s="648"/>
      <c r="J201" s="629"/>
      <c r="K201" s="174" t="s">
        <v>27</v>
      </c>
      <c r="L201" s="297"/>
      <c r="M201" s="297"/>
      <c r="N201" s="297"/>
      <c r="O201" s="297"/>
      <c r="P201" s="297"/>
      <c r="Q201" s="297"/>
      <c r="R201" s="438">
        <f>250000/2</f>
        <v>125000</v>
      </c>
      <c r="S201" s="438">
        <v>250000</v>
      </c>
      <c r="T201" s="438">
        <v>250000</v>
      </c>
      <c r="U201" s="438">
        <v>250000</v>
      </c>
      <c r="V201" s="438">
        <v>250000</v>
      </c>
      <c r="W201" s="321">
        <v>250000</v>
      </c>
      <c r="X201" s="49">
        <f t="shared" si="92"/>
        <v>1375000</v>
      </c>
      <c r="Y201" s="69"/>
      <c r="Z201" s="69"/>
    </row>
    <row r="202" spans="1:26">
      <c r="A202" s="114">
        <f t="shared" si="87"/>
        <v>2025007</v>
      </c>
      <c r="B202" s="74">
        <f t="shared" si="93"/>
        <v>0</v>
      </c>
      <c r="C202" s="642"/>
      <c r="D202" s="645"/>
      <c r="E202" s="645"/>
      <c r="F202" s="645"/>
      <c r="G202" s="645"/>
      <c r="H202" s="645"/>
      <c r="I202" s="648"/>
      <c r="J202" s="629"/>
      <c r="K202" s="174" t="s">
        <v>34</v>
      </c>
      <c r="L202" s="297"/>
      <c r="M202" s="297"/>
      <c r="N202" s="297"/>
      <c r="O202" s="297"/>
      <c r="P202" s="297"/>
      <c r="Q202" s="297"/>
      <c r="R202" s="440"/>
      <c r="S202" s="440"/>
      <c r="T202" s="440"/>
      <c r="U202" s="440"/>
      <c r="V202" s="440"/>
      <c r="W202" s="222"/>
      <c r="X202" s="49">
        <f t="shared" si="92"/>
        <v>0</v>
      </c>
      <c r="Y202" s="69"/>
      <c r="Z202" s="69"/>
    </row>
    <row r="203" spans="1:26">
      <c r="A203" s="114">
        <f t="shared" si="87"/>
        <v>2025007</v>
      </c>
      <c r="B203" s="74">
        <f t="shared" si="93"/>
        <v>0</v>
      </c>
      <c r="C203" s="642"/>
      <c r="D203" s="645"/>
      <c r="E203" s="645"/>
      <c r="F203" s="645"/>
      <c r="G203" s="645"/>
      <c r="H203" s="645"/>
      <c r="I203" s="648"/>
      <c r="J203" s="629"/>
      <c r="K203" s="174" t="s">
        <v>28</v>
      </c>
      <c r="L203" s="297"/>
      <c r="M203" s="297"/>
      <c r="N203" s="297"/>
      <c r="O203" s="297"/>
      <c r="P203" s="297"/>
      <c r="Q203" s="297"/>
      <c r="R203" s="438">
        <f>20250/2</f>
        <v>10125</v>
      </c>
      <c r="S203" s="410">
        <v>20250</v>
      </c>
      <c r="T203" s="410">
        <v>20250</v>
      </c>
      <c r="U203" s="410">
        <v>20250</v>
      </c>
      <c r="V203" s="410">
        <v>20250</v>
      </c>
      <c r="W203" s="26">
        <v>20000</v>
      </c>
      <c r="X203" s="49">
        <f t="shared" si="92"/>
        <v>111125</v>
      </c>
      <c r="Y203" s="69"/>
      <c r="Z203" s="69"/>
    </row>
    <row r="204" spans="1:26">
      <c r="A204" s="114">
        <f t="shared" si="87"/>
        <v>2025007</v>
      </c>
      <c r="B204" s="74">
        <f t="shared" si="93"/>
        <v>0</v>
      </c>
      <c r="C204" s="642"/>
      <c r="D204" s="645"/>
      <c r="E204" s="645"/>
      <c r="F204" s="645"/>
      <c r="G204" s="645"/>
      <c r="H204" s="645"/>
      <c r="I204" s="648"/>
      <c r="J204" s="629"/>
      <c r="K204" s="174" t="s">
        <v>29</v>
      </c>
      <c r="L204" s="297"/>
      <c r="M204" s="297"/>
      <c r="N204" s="297"/>
      <c r="O204" s="297"/>
      <c r="P204" s="297"/>
      <c r="Q204" s="297"/>
      <c r="R204" s="438">
        <f>13300/2</f>
        <v>6650</v>
      </c>
      <c r="S204" s="410">
        <v>13300</v>
      </c>
      <c r="T204" s="410">
        <v>13300</v>
      </c>
      <c r="U204" s="410">
        <v>13300</v>
      </c>
      <c r="V204" s="410">
        <v>13300</v>
      </c>
      <c r="W204" s="26">
        <v>12350</v>
      </c>
      <c r="X204" s="49">
        <f t="shared" si="92"/>
        <v>72200</v>
      </c>
      <c r="Y204" s="69"/>
      <c r="Z204" s="69"/>
    </row>
    <row r="205" spans="1:26">
      <c r="A205" s="114">
        <f t="shared" si="87"/>
        <v>2025007</v>
      </c>
      <c r="B205" s="74">
        <f t="shared" si="93"/>
        <v>0</v>
      </c>
      <c r="C205" s="642"/>
      <c r="D205" s="645"/>
      <c r="E205" s="645"/>
      <c r="F205" s="645"/>
      <c r="G205" s="645"/>
      <c r="H205" s="645"/>
      <c r="I205" s="648"/>
      <c r="J205" s="629"/>
      <c r="K205" s="174" t="s">
        <v>30</v>
      </c>
      <c r="L205" s="297"/>
      <c r="M205" s="297"/>
      <c r="N205" s="297"/>
      <c r="O205" s="297"/>
      <c r="P205" s="297"/>
      <c r="Q205" s="297"/>
      <c r="R205" s="438">
        <f>25620/2</f>
        <v>12810</v>
      </c>
      <c r="S205" s="410">
        <v>25620</v>
      </c>
      <c r="T205" s="410">
        <v>25620</v>
      </c>
      <c r="U205" s="410">
        <v>25620</v>
      </c>
      <c r="V205" s="410">
        <v>25620</v>
      </c>
      <c r="W205" s="26">
        <v>23790</v>
      </c>
      <c r="X205" s="49">
        <f t="shared" si="92"/>
        <v>139080</v>
      </c>
      <c r="Y205" s="69"/>
      <c r="Z205" s="69"/>
    </row>
    <row r="206" spans="1:26">
      <c r="A206" s="114">
        <f t="shared" si="87"/>
        <v>2025007</v>
      </c>
      <c r="B206" s="74">
        <f t="shared" si="93"/>
        <v>0</v>
      </c>
      <c r="C206" s="642"/>
      <c r="D206" s="645"/>
      <c r="E206" s="645"/>
      <c r="F206" s="645"/>
      <c r="G206" s="645"/>
      <c r="H206" s="645"/>
      <c r="I206" s="648"/>
      <c r="J206" s="629"/>
      <c r="K206" s="174" t="s">
        <v>31</v>
      </c>
      <c r="L206" s="297"/>
      <c r="M206" s="297"/>
      <c r="N206" s="297"/>
      <c r="O206" s="297"/>
      <c r="P206" s="297"/>
      <c r="Q206" s="297"/>
      <c r="R206" s="438">
        <f>1351/2</f>
        <v>675.5</v>
      </c>
      <c r="S206" s="410">
        <v>1351</v>
      </c>
      <c r="T206" s="410">
        <v>1351</v>
      </c>
      <c r="U206" s="410">
        <v>1351</v>
      </c>
      <c r="V206" s="410">
        <v>1438</v>
      </c>
      <c r="W206" s="26">
        <v>1292</v>
      </c>
      <c r="X206" s="49">
        <f t="shared" si="92"/>
        <v>7458.5</v>
      </c>
      <c r="Y206" s="69"/>
      <c r="Z206" s="69"/>
    </row>
    <row r="207" spans="1:26">
      <c r="A207" s="114">
        <f t="shared" si="87"/>
        <v>2025007</v>
      </c>
      <c r="B207" s="74">
        <f t="shared" si="93"/>
        <v>0</v>
      </c>
      <c r="C207" s="642"/>
      <c r="D207" s="645"/>
      <c r="E207" s="645"/>
      <c r="F207" s="645"/>
      <c r="G207" s="645"/>
      <c r="H207" s="645"/>
      <c r="I207" s="648"/>
      <c r="J207" s="629"/>
      <c r="K207" s="210" t="s">
        <v>32</v>
      </c>
      <c r="L207" s="297"/>
      <c r="M207" s="297"/>
      <c r="N207" s="297"/>
      <c r="O207" s="297"/>
      <c r="P207" s="297"/>
      <c r="Q207" s="297"/>
      <c r="R207" s="438">
        <f>1486/2</f>
        <v>743</v>
      </c>
      <c r="S207" s="410">
        <v>1486</v>
      </c>
      <c r="T207" s="410">
        <v>1486</v>
      </c>
      <c r="U207" s="410">
        <v>1486</v>
      </c>
      <c r="V207" s="410">
        <v>1582</v>
      </c>
      <c r="W207" s="26">
        <v>1421</v>
      </c>
      <c r="X207" s="49">
        <f t="shared" si="92"/>
        <v>8204</v>
      </c>
      <c r="Y207" s="69"/>
      <c r="Z207" s="69"/>
    </row>
    <row r="208" spans="1:26" ht="12.5" thickBot="1">
      <c r="A208" s="114">
        <f t="shared" si="87"/>
        <v>2025007</v>
      </c>
      <c r="B208" s="74">
        <f t="shared" si="93"/>
        <v>0</v>
      </c>
      <c r="C208" s="643"/>
      <c r="D208" s="646"/>
      <c r="E208" s="646"/>
      <c r="F208" s="646"/>
      <c r="G208" s="646"/>
      <c r="H208" s="646"/>
      <c r="I208" s="649"/>
      <c r="J208" s="631"/>
      <c r="K208" s="179" t="s">
        <v>33</v>
      </c>
      <c r="L208" s="309">
        <f t="shared" ref="L208:X208" si="95">L197-L200</f>
        <v>0</v>
      </c>
      <c r="M208" s="407">
        <f t="shared" si="95"/>
        <v>0</v>
      </c>
      <c r="N208" s="407">
        <f t="shared" si="95"/>
        <v>0</v>
      </c>
      <c r="O208" s="407">
        <f t="shared" si="95"/>
        <v>0</v>
      </c>
      <c r="P208" s="407">
        <f t="shared" si="95"/>
        <v>0</v>
      </c>
      <c r="Q208" s="407">
        <f t="shared" si="95"/>
        <v>0</v>
      </c>
      <c r="R208" s="407">
        <f t="shared" si="95"/>
        <v>94906.5</v>
      </c>
      <c r="S208" s="407">
        <f t="shared" si="95"/>
        <v>133593</v>
      </c>
      <c r="T208" s="407">
        <f t="shared" si="95"/>
        <v>147993</v>
      </c>
      <c r="U208" s="407">
        <f t="shared" si="95"/>
        <v>147993</v>
      </c>
      <c r="V208" s="407">
        <f t="shared" si="95"/>
        <v>68610</v>
      </c>
      <c r="W208" s="211">
        <f t="shared" si="95"/>
        <v>151147</v>
      </c>
      <c r="X208" s="55">
        <f t="shared" si="95"/>
        <v>744242.5</v>
      </c>
      <c r="Z208" s="69"/>
    </row>
    <row r="209" spans="1:26" s="1" customFormat="1" ht="12" customHeight="1" thickTop="1">
      <c r="A209" s="112"/>
      <c r="B209" s="72"/>
      <c r="C209" s="683" t="str">
        <f>C2</f>
        <v>マネージドサービス第一本部</v>
      </c>
      <c r="D209" s="684"/>
      <c r="E209" s="684"/>
      <c r="F209" s="684"/>
      <c r="G209" s="684"/>
      <c r="H209" s="684"/>
      <c r="I209" s="684"/>
      <c r="J209" s="685"/>
      <c r="K209" s="143" t="s">
        <v>20</v>
      </c>
      <c r="L209" s="302">
        <f>L5+L17+L29+L41+L53+L65+L77+L89+L101+L113+L125+L137+L149+L161+L173+L185+L197</f>
        <v>9019005</v>
      </c>
      <c r="M209" s="434">
        <f t="shared" ref="M209:W209" si="96">M5+M17+M29+M41+M53+M65+M77+M89+M101+M113+M125+M137+M149+M161+M173+M185+M197</f>
        <v>8517400</v>
      </c>
      <c r="N209" s="434">
        <f t="shared" si="96"/>
        <v>8553300</v>
      </c>
      <c r="O209" s="434">
        <f t="shared" si="96"/>
        <v>8728550</v>
      </c>
      <c r="P209" s="434">
        <f t="shared" si="96"/>
        <v>8362195</v>
      </c>
      <c r="Q209" s="434">
        <f t="shared" si="96"/>
        <v>8137740</v>
      </c>
      <c r="R209" s="434">
        <f t="shared" si="96"/>
        <v>9029510</v>
      </c>
      <c r="S209" s="434">
        <f t="shared" si="96"/>
        <v>8574705</v>
      </c>
      <c r="T209" s="434">
        <f t="shared" si="96"/>
        <v>9031110</v>
      </c>
      <c r="U209" s="434">
        <f t="shared" si="96"/>
        <v>8560110</v>
      </c>
      <c r="V209" s="434">
        <f t="shared" si="96"/>
        <v>8510555</v>
      </c>
      <c r="W209" s="266">
        <f t="shared" si="96"/>
        <v>8615508.3333333321</v>
      </c>
      <c r="X209" s="77">
        <f>SUM(L209:W209)</f>
        <v>103639688.33333333</v>
      </c>
      <c r="Z209" s="69"/>
    </row>
    <row r="210" spans="1:26" s="1" customFormat="1">
      <c r="A210" s="112"/>
      <c r="B210" s="72"/>
      <c r="C210" s="683"/>
      <c r="D210" s="684"/>
      <c r="E210" s="684"/>
      <c r="F210" s="684"/>
      <c r="G210" s="684"/>
      <c r="H210" s="684"/>
      <c r="I210" s="684"/>
      <c r="J210" s="685"/>
      <c r="K210" s="144" t="s">
        <v>21</v>
      </c>
      <c r="L210" s="311">
        <f>L8+L20+L32+L44+L56+L68+L80+L92+L104+L116+L128+L140+L152+L164+L176+L188+L200</f>
        <v>7421278</v>
      </c>
      <c r="M210" s="435">
        <f t="shared" ref="M210:W210" si="97">M8+M20+M32+M44+M56+M68+M80+M92+M104+M116+M128+M140+M152+M164+M176+M188+M200</f>
        <v>7091978</v>
      </c>
      <c r="N210" s="435">
        <f t="shared" si="97"/>
        <v>7112189</v>
      </c>
      <c r="O210" s="435">
        <f t="shared" si="97"/>
        <v>7197283</v>
      </c>
      <c r="P210" s="435">
        <f t="shared" si="97"/>
        <v>7091566</v>
      </c>
      <c r="Q210" s="435">
        <f t="shared" si="97"/>
        <v>7109635</v>
      </c>
      <c r="R210" s="435">
        <f t="shared" si="97"/>
        <v>7364005.5</v>
      </c>
      <c r="S210" s="435">
        <f t="shared" si="97"/>
        <v>7404708</v>
      </c>
      <c r="T210" s="435">
        <f t="shared" si="97"/>
        <v>7472520</v>
      </c>
      <c r="U210" s="435">
        <f t="shared" si="97"/>
        <v>7369189</v>
      </c>
      <c r="V210" s="435">
        <f t="shared" si="97"/>
        <v>7300105</v>
      </c>
      <c r="W210" s="276">
        <f t="shared" si="97"/>
        <v>7251849.222222222</v>
      </c>
      <c r="X210" s="44">
        <f>SUM(L210:W210)</f>
        <v>87186305.722222224</v>
      </c>
      <c r="Z210" s="69"/>
    </row>
    <row r="211" spans="1:26" s="1" customFormat="1">
      <c r="A211" s="112"/>
      <c r="B211" s="72"/>
      <c r="C211" s="686"/>
      <c r="D211" s="687"/>
      <c r="E211" s="687"/>
      <c r="F211" s="687"/>
      <c r="G211" s="687"/>
      <c r="H211" s="687"/>
      <c r="I211" s="687"/>
      <c r="J211" s="688"/>
      <c r="K211" s="153" t="s">
        <v>22</v>
      </c>
      <c r="L211" s="515">
        <f>L209-L210</f>
        <v>1597727</v>
      </c>
      <c r="M211" s="422">
        <f t="shared" ref="M211:W211" si="98">M209-M210</f>
        <v>1425422</v>
      </c>
      <c r="N211" s="422">
        <f t="shared" si="98"/>
        <v>1441111</v>
      </c>
      <c r="O211" s="422">
        <f>O209-O210</f>
        <v>1531267</v>
      </c>
      <c r="P211" s="422">
        <f>P209-P210</f>
        <v>1270629</v>
      </c>
      <c r="Q211" s="422">
        <f t="shared" si="98"/>
        <v>1028105</v>
      </c>
      <c r="R211" s="422">
        <f t="shared" si="98"/>
        <v>1665504.5</v>
      </c>
      <c r="S211" s="422">
        <f t="shared" si="98"/>
        <v>1169997</v>
      </c>
      <c r="T211" s="422">
        <f t="shared" si="98"/>
        <v>1558590</v>
      </c>
      <c r="U211" s="422">
        <f t="shared" si="98"/>
        <v>1190921</v>
      </c>
      <c r="V211" s="422">
        <f t="shared" si="98"/>
        <v>1210450</v>
      </c>
      <c r="W211" s="516">
        <f t="shared" si="98"/>
        <v>1363659.1111111101</v>
      </c>
      <c r="X211" s="45">
        <f>SUM(L211:W211)</f>
        <v>16453382.61111111</v>
      </c>
      <c r="Z211" s="69"/>
    </row>
    <row r="212" spans="1:26">
      <c r="F212" s="127"/>
      <c r="K212" s="128" t="s">
        <v>74</v>
      </c>
      <c r="L212" s="689">
        <f>SUM(L209:N209)</f>
        <v>26089705</v>
      </c>
      <c r="M212" s="690"/>
      <c r="N212" s="691"/>
      <c r="O212" s="662">
        <f>SUM(O209:Q209)</f>
        <v>25228485</v>
      </c>
      <c r="P212" s="690"/>
      <c r="Q212" s="691"/>
      <c r="R212" s="662">
        <f t="shared" ref="R212:R213" si="99">SUM(R209:T209)</f>
        <v>26635325</v>
      </c>
      <c r="S212" s="690"/>
      <c r="T212" s="691"/>
      <c r="U212" s="662">
        <f t="shared" ref="U212:U213" si="100">SUM(U209:W209)</f>
        <v>25686173.333333332</v>
      </c>
      <c r="V212" s="690"/>
      <c r="W212" s="692"/>
      <c r="X212" s="34">
        <f>X209</f>
        <v>103639688.33333333</v>
      </c>
      <c r="Z212" s="69"/>
    </row>
    <row r="213" spans="1:26">
      <c r="F213" s="127"/>
      <c r="K213" s="130" t="s">
        <v>77</v>
      </c>
      <c r="L213" s="693">
        <f>SUM(L210:N210)</f>
        <v>21625445</v>
      </c>
      <c r="M213" s="694"/>
      <c r="N213" s="695"/>
      <c r="O213" s="664">
        <f t="shared" ref="O213" si="101">SUM(O210:Q210)</f>
        <v>21398484</v>
      </c>
      <c r="P213" s="694"/>
      <c r="Q213" s="695"/>
      <c r="R213" s="664">
        <f t="shared" si="99"/>
        <v>22241233.5</v>
      </c>
      <c r="S213" s="694"/>
      <c r="T213" s="695"/>
      <c r="U213" s="664">
        <f t="shared" si="100"/>
        <v>21921143.222222224</v>
      </c>
      <c r="V213" s="694"/>
      <c r="W213" s="696"/>
      <c r="X213" s="35">
        <f t="shared" ref="X213:X214" si="102">X210</f>
        <v>87186305.722222224</v>
      </c>
      <c r="Z213" s="69"/>
    </row>
    <row r="214" spans="1:26">
      <c r="F214" s="127"/>
      <c r="K214" s="6" t="s">
        <v>75</v>
      </c>
      <c r="L214" s="679">
        <f>SUM(L211:N211)</f>
        <v>4464260</v>
      </c>
      <c r="M214" s="680"/>
      <c r="N214" s="681"/>
      <c r="O214" s="663">
        <f>SUM(O211:Q211)</f>
        <v>3830001</v>
      </c>
      <c r="P214" s="680"/>
      <c r="Q214" s="681"/>
      <c r="R214" s="663">
        <f>SUM(R211:T211)</f>
        <v>4394091.5</v>
      </c>
      <c r="S214" s="680"/>
      <c r="T214" s="681"/>
      <c r="U214" s="663">
        <f>SUM(U211:W211)</f>
        <v>3765030.1111111101</v>
      </c>
      <c r="V214" s="680"/>
      <c r="W214" s="682"/>
      <c r="X214" s="36">
        <f t="shared" si="102"/>
        <v>16453382.61111111</v>
      </c>
      <c r="Z214" s="69"/>
    </row>
    <row r="215" spans="1:26">
      <c r="Z215" s="69"/>
    </row>
    <row r="216" spans="1:26">
      <c r="Z216" s="69"/>
    </row>
    <row r="217" spans="1:26">
      <c r="Z217" s="69"/>
    </row>
    <row r="218" spans="1:26">
      <c r="Z218" s="69"/>
    </row>
    <row r="219" spans="1:26">
      <c r="Z219" s="69"/>
    </row>
    <row r="220" spans="1:26">
      <c r="Z220" s="69"/>
    </row>
    <row r="221" spans="1:26">
      <c r="Z221" s="69"/>
    </row>
    <row r="222" spans="1:26">
      <c r="Z222" s="69"/>
    </row>
    <row r="223" spans="1:26">
      <c r="Z223" s="69"/>
    </row>
    <row r="224" spans="1:26">
      <c r="Z224" s="69"/>
    </row>
    <row r="225" spans="26:26">
      <c r="Z225" s="69"/>
    </row>
    <row r="226" spans="26:26">
      <c r="Z226" s="69"/>
    </row>
    <row r="227" spans="26:26">
      <c r="Z227" s="69"/>
    </row>
    <row r="228" spans="26:26">
      <c r="Z228" s="69"/>
    </row>
    <row r="229" spans="26:26">
      <c r="Z229" s="69"/>
    </row>
    <row r="230" spans="26:26">
      <c r="Z230" s="69"/>
    </row>
    <row r="231" spans="26:26">
      <c r="Z231" s="69"/>
    </row>
    <row r="232" spans="26:26">
      <c r="Z232" s="69"/>
    </row>
    <row r="233" spans="26:26">
      <c r="Z233" s="69"/>
    </row>
    <row r="234" spans="26:26">
      <c r="Z234" s="69"/>
    </row>
    <row r="235" spans="26:26">
      <c r="Z235" s="69"/>
    </row>
    <row r="236" spans="26:26">
      <c r="Z236" s="69"/>
    </row>
    <row r="237" spans="26:26">
      <c r="Z237" s="69"/>
    </row>
    <row r="238" spans="26:26">
      <c r="Z238" s="69"/>
    </row>
    <row r="239" spans="26:26">
      <c r="Z239" s="69"/>
    </row>
    <row r="240" spans="26:26">
      <c r="Z240" s="69"/>
    </row>
    <row r="241" spans="26:26">
      <c r="Z241" s="69"/>
    </row>
    <row r="242" spans="26:26">
      <c r="Z242" s="69"/>
    </row>
    <row r="243" spans="26:26">
      <c r="Z243" s="69"/>
    </row>
    <row r="244" spans="26:26">
      <c r="Z244" s="69"/>
    </row>
    <row r="245" spans="26:26">
      <c r="Z245" s="69"/>
    </row>
    <row r="246" spans="26:26">
      <c r="Z246" s="69"/>
    </row>
    <row r="247" spans="26:26">
      <c r="Z247" s="69"/>
    </row>
    <row r="248" spans="26:26">
      <c r="Z248" s="69"/>
    </row>
    <row r="249" spans="26:26">
      <c r="Z249" s="69"/>
    </row>
    <row r="250" spans="26:26">
      <c r="Z250" s="69"/>
    </row>
    <row r="251" spans="26:26">
      <c r="Z251" s="69"/>
    </row>
    <row r="252" spans="26:26">
      <c r="Z252" s="69"/>
    </row>
    <row r="253" spans="26:26">
      <c r="Z253" s="69"/>
    </row>
    <row r="254" spans="26:26">
      <c r="Z254" s="69"/>
    </row>
    <row r="255" spans="26:26">
      <c r="Z255" s="69"/>
    </row>
    <row r="256" spans="26:26">
      <c r="Z256" s="69"/>
    </row>
  </sheetData>
  <mergeCells count="150">
    <mergeCell ref="D197:D208"/>
    <mergeCell ref="E197:E208"/>
    <mergeCell ref="F197:F208"/>
    <mergeCell ref="G197:G208"/>
    <mergeCell ref="H197:H208"/>
    <mergeCell ref="I197:I208"/>
    <mergeCell ref="J197:J208"/>
    <mergeCell ref="R214:T214"/>
    <mergeCell ref="I41:I52"/>
    <mergeCell ref="J41:J52"/>
    <mergeCell ref="J185:J196"/>
    <mergeCell ref="J125:J136"/>
    <mergeCell ref="G125:G136"/>
    <mergeCell ref="I125:I136"/>
    <mergeCell ref="G149:G160"/>
    <mergeCell ref="I173:I184"/>
    <mergeCell ref="H173:H184"/>
    <mergeCell ref="H185:H196"/>
    <mergeCell ref="I185:I196"/>
    <mergeCell ref="G173:G184"/>
    <mergeCell ref="G185:G196"/>
    <mergeCell ref="D65:D76"/>
    <mergeCell ref="I137:I148"/>
    <mergeCell ref="I65:I76"/>
    <mergeCell ref="U214:W214"/>
    <mergeCell ref="L212:N212"/>
    <mergeCell ref="O212:Q212"/>
    <mergeCell ref="C209:J211"/>
    <mergeCell ref="R212:T212"/>
    <mergeCell ref="L214:N214"/>
    <mergeCell ref="U212:W212"/>
    <mergeCell ref="O213:Q213"/>
    <mergeCell ref="U213:W213"/>
    <mergeCell ref="O214:Q214"/>
    <mergeCell ref="R213:T213"/>
    <mergeCell ref="L213:N213"/>
    <mergeCell ref="D41:D52"/>
    <mergeCell ref="E41:E52"/>
    <mergeCell ref="F41:F52"/>
    <mergeCell ref="H77:H88"/>
    <mergeCell ref="H125:H136"/>
    <mergeCell ref="I149:I160"/>
    <mergeCell ref="I161:I172"/>
    <mergeCell ref="J173:J184"/>
    <mergeCell ref="E65:E76"/>
    <mergeCell ref="J89:J100"/>
    <mergeCell ref="G53:G64"/>
    <mergeCell ref="G77:G88"/>
    <mergeCell ref="G65:G76"/>
    <mergeCell ref="J77:J88"/>
    <mergeCell ref="H113:H124"/>
    <mergeCell ref="J65:J76"/>
    <mergeCell ref="I101:I112"/>
    <mergeCell ref="I77:I88"/>
    <mergeCell ref="H101:H112"/>
    <mergeCell ref="H53:H64"/>
    <mergeCell ref="J149:J160"/>
    <mergeCell ref="J137:J148"/>
    <mergeCell ref="J161:J172"/>
    <mergeCell ref="J113:J124"/>
    <mergeCell ref="C197:C208"/>
    <mergeCell ref="C5:C16"/>
    <mergeCell ref="D5:D16"/>
    <mergeCell ref="C77:C88"/>
    <mergeCell ref="D53:D64"/>
    <mergeCell ref="E77:E88"/>
    <mergeCell ref="F77:F88"/>
    <mergeCell ref="D113:D124"/>
    <mergeCell ref="D173:D184"/>
    <mergeCell ref="D137:D148"/>
    <mergeCell ref="C113:C124"/>
    <mergeCell ref="E113:E124"/>
    <mergeCell ref="F113:F124"/>
    <mergeCell ref="F125:F136"/>
    <mergeCell ref="E125:E136"/>
    <mergeCell ref="C125:C136"/>
    <mergeCell ref="C149:C160"/>
    <mergeCell ref="C17:C28"/>
    <mergeCell ref="D17:D28"/>
    <mergeCell ref="E17:E28"/>
    <mergeCell ref="F17:F28"/>
    <mergeCell ref="C29:C40"/>
    <mergeCell ref="D29:D40"/>
    <mergeCell ref="F29:F40"/>
    <mergeCell ref="C2:J4"/>
    <mergeCell ref="I89:I100"/>
    <mergeCell ref="F65:F76"/>
    <mergeCell ref="I53:I64"/>
    <mergeCell ref="C137:C148"/>
    <mergeCell ref="C65:C76"/>
    <mergeCell ref="C101:C112"/>
    <mergeCell ref="D101:D112"/>
    <mergeCell ref="E101:E112"/>
    <mergeCell ref="C89:C100"/>
    <mergeCell ref="D89:D100"/>
    <mergeCell ref="E89:E100"/>
    <mergeCell ref="C53:C64"/>
    <mergeCell ref="J53:J64"/>
    <mergeCell ref="F53:F64"/>
    <mergeCell ref="D77:D88"/>
    <mergeCell ref="D125:D136"/>
    <mergeCell ref="G41:G52"/>
    <mergeCell ref="F101:F112"/>
    <mergeCell ref="F89:F100"/>
    <mergeCell ref="I5:I16"/>
    <mergeCell ref="I113:I124"/>
    <mergeCell ref="C41:C52"/>
    <mergeCell ref="J17:J28"/>
    <mergeCell ref="J29:J40"/>
    <mergeCell ref="G29:G40"/>
    <mergeCell ref="H29:H40"/>
    <mergeCell ref="I29:I40"/>
    <mergeCell ref="G5:G16"/>
    <mergeCell ref="H5:H16"/>
    <mergeCell ref="J101:J112"/>
    <mergeCell ref="J5:J16"/>
    <mergeCell ref="G101:G112"/>
    <mergeCell ref="I17:I28"/>
    <mergeCell ref="G113:G124"/>
    <mergeCell ref="H65:H76"/>
    <mergeCell ref="E5:E16"/>
    <mergeCell ref="H149:H160"/>
    <mergeCell ref="E137:E148"/>
    <mergeCell ref="G161:G172"/>
    <mergeCell ref="F161:F172"/>
    <mergeCell ref="E161:E172"/>
    <mergeCell ref="E149:E160"/>
    <mergeCell ref="F149:F160"/>
    <mergeCell ref="H161:H172"/>
    <mergeCell ref="H137:H148"/>
    <mergeCell ref="G137:G148"/>
    <mergeCell ref="H89:H100"/>
    <mergeCell ref="G89:G100"/>
    <mergeCell ref="G17:G28"/>
    <mergeCell ref="H17:H28"/>
    <mergeCell ref="E53:E64"/>
    <mergeCell ref="H41:H52"/>
    <mergeCell ref="F5:F16"/>
    <mergeCell ref="F137:F148"/>
    <mergeCell ref="E29:E40"/>
    <mergeCell ref="C161:C172"/>
    <mergeCell ref="C185:C196"/>
    <mergeCell ref="C173:C184"/>
    <mergeCell ref="D149:D160"/>
    <mergeCell ref="D161:D172"/>
    <mergeCell ref="D185:D196"/>
    <mergeCell ref="F185:F196"/>
    <mergeCell ref="E185:E196"/>
    <mergeCell ref="F173:F184"/>
    <mergeCell ref="E173:E184"/>
  </mergeCells>
  <phoneticPr fontId="10"/>
  <printOptions horizontalCentered="1"/>
  <pageMargins left="0.70866141732283472" right="0.70866141732283472" top="0.70866141732283472" bottom="0.70866141732283472" header="0.31496062992125984" footer="0.31496062992125984"/>
  <pageSetup paperSize="9" scale="52" fitToHeight="0" orientation="landscape" r:id="rId1"/>
  <rowBreaks count="2" manualBreakCount="2">
    <brk id="64" min="2" max="23" man="1"/>
    <brk id="136" min="2" max="23" man="1"/>
  </rowBreaks>
  <ignoredErrors>
    <ignoredError sqref="L213:X214 L212:W212 X211 X210 X1:X4" formula="1"/>
  </ignoredErrors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AE439"/>
  <sheetViews>
    <sheetView showGridLines="0" zoomScale="80" zoomScaleNormal="80" zoomScaleSheetLayoutView="70" workbookViewId="0">
      <pane xSplit="10" ySplit="4" topLeftCell="K83" activePane="bottomRight" state="frozen"/>
      <selection pane="topRight"/>
      <selection pane="bottomLeft"/>
      <selection pane="bottomRight" activeCell="K6" sqref="K6:K123"/>
    </sheetView>
  </sheetViews>
  <sheetFormatPr defaultRowHeight="12"/>
  <cols>
    <col min="1" max="1" width="9.453125" style="115" bestFit="1" customWidth="1"/>
    <col min="2" max="2" width="12.08984375" style="73" customWidth="1"/>
    <col min="3" max="3" width="4.90625" style="9" customWidth="1"/>
    <col min="4" max="4" width="13.08984375" style="9" bestFit="1" customWidth="1"/>
    <col min="5" max="5" width="5.08984375" style="9" customWidth="1"/>
    <col min="6" max="6" width="9.6328125" style="9" customWidth="1"/>
    <col min="7" max="8" width="11.6328125" style="9" customWidth="1"/>
    <col min="9" max="9" width="8.36328125" style="9" customWidth="1"/>
    <col min="10" max="10" width="14.6328125" style="9" customWidth="1"/>
    <col min="11" max="21" width="13.36328125" style="9" customWidth="1"/>
    <col min="22" max="22" width="13.6328125" style="9" customWidth="1"/>
    <col min="23" max="23" width="16.453125" style="9" customWidth="1"/>
    <col min="24" max="24" width="11" style="227" bestFit="1" customWidth="1"/>
    <col min="25" max="25" width="11" style="2" bestFit="1" customWidth="1"/>
    <col min="26" max="258" width="9" style="2"/>
    <col min="259" max="259" width="9.6328125" style="2" customWidth="1"/>
    <col min="260" max="261" width="5.08984375" style="2" customWidth="1"/>
    <col min="262" max="262" width="9.6328125" style="2" customWidth="1"/>
    <col min="263" max="264" width="11.6328125" style="2" customWidth="1"/>
    <col min="265" max="265" width="15.36328125" style="2" customWidth="1"/>
    <col min="266" max="266" width="10.90625" style="2" customWidth="1"/>
    <col min="267" max="277" width="13.36328125" style="2" customWidth="1"/>
    <col min="278" max="278" width="13.6328125" style="2" customWidth="1"/>
    <col min="279" max="279" width="16.453125" style="2" customWidth="1"/>
    <col min="280" max="514" width="9" style="2"/>
    <col min="515" max="515" width="9.6328125" style="2" customWidth="1"/>
    <col min="516" max="517" width="5.08984375" style="2" customWidth="1"/>
    <col min="518" max="518" width="9.6328125" style="2" customWidth="1"/>
    <col min="519" max="520" width="11.6328125" style="2" customWidth="1"/>
    <col min="521" max="521" width="15.36328125" style="2" customWidth="1"/>
    <col min="522" max="522" width="10.90625" style="2" customWidth="1"/>
    <col min="523" max="533" width="13.36328125" style="2" customWidth="1"/>
    <col min="534" max="534" width="13.6328125" style="2" customWidth="1"/>
    <col min="535" max="535" width="16.453125" style="2" customWidth="1"/>
    <col min="536" max="770" width="9" style="2"/>
    <col min="771" max="771" width="9.6328125" style="2" customWidth="1"/>
    <col min="772" max="773" width="5.08984375" style="2" customWidth="1"/>
    <col min="774" max="774" width="9.6328125" style="2" customWidth="1"/>
    <col min="775" max="776" width="11.6328125" style="2" customWidth="1"/>
    <col min="777" max="777" width="15.36328125" style="2" customWidth="1"/>
    <col min="778" max="778" width="10.90625" style="2" customWidth="1"/>
    <col min="779" max="789" width="13.36328125" style="2" customWidth="1"/>
    <col min="790" max="790" width="13.6328125" style="2" customWidth="1"/>
    <col min="791" max="791" width="16.453125" style="2" customWidth="1"/>
    <col min="792" max="1026" width="9" style="2"/>
    <col min="1027" max="1027" width="9.6328125" style="2" customWidth="1"/>
    <col min="1028" max="1029" width="5.08984375" style="2" customWidth="1"/>
    <col min="1030" max="1030" width="9.6328125" style="2" customWidth="1"/>
    <col min="1031" max="1032" width="11.6328125" style="2" customWidth="1"/>
    <col min="1033" max="1033" width="15.36328125" style="2" customWidth="1"/>
    <col min="1034" max="1034" width="10.90625" style="2" customWidth="1"/>
    <col min="1035" max="1045" width="13.36328125" style="2" customWidth="1"/>
    <col min="1046" max="1046" width="13.6328125" style="2" customWidth="1"/>
    <col min="1047" max="1047" width="16.453125" style="2" customWidth="1"/>
    <col min="1048" max="1282" width="9" style="2"/>
    <col min="1283" max="1283" width="9.6328125" style="2" customWidth="1"/>
    <col min="1284" max="1285" width="5.08984375" style="2" customWidth="1"/>
    <col min="1286" max="1286" width="9.6328125" style="2" customWidth="1"/>
    <col min="1287" max="1288" width="11.6328125" style="2" customWidth="1"/>
    <col min="1289" max="1289" width="15.36328125" style="2" customWidth="1"/>
    <col min="1290" max="1290" width="10.90625" style="2" customWidth="1"/>
    <col min="1291" max="1301" width="13.36328125" style="2" customWidth="1"/>
    <col min="1302" max="1302" width="13.6328125" style="2" customWidth="1"/>
    <col min="1303" max="1303" width="16.453125" style="2" customWidth="1"/>
    <col min="1304" max="1538" width="9" style="2"/>
    <col min="1539" max="1539" width="9.6328125" style="2" customWidth="1"/>
    <col min="1540" max="1541" width="5.08984375" style="2" customWidth="1"/>
    <col min="1542" max="1542" width="9.6328125" style="2" customWidth="1"/>
    <col min="1543" max="1544" width="11.6328125" style="2" customWidth="1"/>
    <col min="1545" max="1545" width="15.36328125" style="2" customWidth="1"/>
    <col min="1546" max="1546" width="10.90625" style="2" customWidth="1"/>
    <col min="1547" max="1557" width="13.36328125" style="2" customWidth="1"/>
    <col min="1558" max="1558" width="13.6328125" style="2" customWidth="1"/>
    <col min="1559" max="1559" width="16.453125" style="2" customWidth="1"/>
    <col min="1560" max="1794" width="9" style="2"/>
    <col min="1795" max="1795" width="9.6328125" style="2" customWidth="1"/>
    <col min="1796" max="1797" width="5.08984375" style="2" customWidth="1"/>
    <col min="1798" max="1798" width="9.6328125" style="2" customWidth="1"/>
    <col min="1799" max="1800" width="11.6328125" style="2" customWidth="1"/>
    <col min="1801" max="1801" width="15.36328125" style="2" customWidth="1"/>
    <col min="1802" max="1802" width="10.90625" style="2" customWidth="1"/>
    <col min="1803" max="1813" width="13.36328125" style="2" customWidth="1"/>
    <col min="1814" max="1814" width="13.6328125" style="2" customWidth="1"/>
    <col min="1815" max="1815" width="16.453125" style="2" customWidth="1"/>
    <col min="1816" max="2050" width="9" style="2"/>
    <col min="2051" max="2051" width="9.6328125" style="2" customWidth="1"/>
    <col min="2052" max="2053" width="5.08984375" style="2" customWidth="1"/>
    <col min="2054" max="2054" width="9.6328125" style="2" customWidth="1"/>
    <col min="2055" max="2056" width="11.6328125" style="2" customWidth="1"/>
    <col min="2057" max="2057" width="15.36328125" style="2" customWidth="1"/>
    <col min="2058" max="2058" width="10.90625" style="2" customWidth="1"/>
    <col min="2059" max="2069" width="13.36328125" style="2" customWidth="1"/>
    <col min="2070" max="2070" width="13.6328125" style="2" customWidth="1"/>
    <col min="2071" max="2071" width="16.453125" style="2" customWidth="1"/>
    <col min="2072" max="2306" width="9" style="2"/>
    <col min="2307" max="2307" width="9.6328125" style="2" customWidth="1"/>
    <col min="2308" max="2309" width="5.08984375" style="2" customWidth="1"/>
    <col min="2310" max="2310" width="9.6328125" style="2" customWidth="1"/>
    <col min="2311" max="2312" width="11.6328125" style="2" customWidth="1"/>
    <col min="2313" max="2313" width="15.36328125" style="2" customWidth="1"/>
    <col min="2314" max="2314" width="10.90625" style="2" customWidth="1"/>
    <col min="2315" max="2325" width="13.36328125" style="2" customWidth="1"/>
    <col min="2326" max="2326" width="13.6328125" style="2" customWidth="1"/>
    <col min="2327" max="2327" width="16.453125" style="2" customWidth="1"/>
    <col min="2328" max="2562" width="9" style="2"/>
    <col min="2563" max="2563" width="9.6328125" style="2" customWidth="1"/>
    <col min="2564" max="2565" width="5.08984375" style="2" customWidth="1"/>
    <col min="2566" max="2566" width="9.6328125" style="2" customWidth="1"/>
    <col min="2567" max="2568" width="11.6328125" style="2" customWidth="1"/>
    <col min="2569" max="2569" width="15.36328125" style="2" customWidth="1"/>
    <col min="2570" max="2570" width="10.90625" style="2" customWidth="1"/>
    <col min="2571" max="2581" width="13.36328125" style="2" customWidth="1"/>
    <col min="2582" max="2582" width="13.6328125" style="2" customWidth="1"/>
    <col min="2583" max="2583" width="16.453125" style="2" customWidth="1"/>
    <col min="2584" max="2818" width="9" style="2"/>
    <col min="2819" max="2819" width="9.6328125" style="2" customWidth="1"/>
    <col min="2820" max="2821" width="5.08984375" style="2" customWidth="1"/>
    <col min="2822" max="2822" width="9.6328125" style="2" customWidth="1"/>
    <col min="2823" max="2824" width="11.6328125" style="2" customWidth="1"/>
    <col min="2825" max="2825" width="15.36328125" style="2" customWidth="1"/>
    <col min="2826" max="2826" width="10.90625" style="2" customWidth="1"/>
    <col min="2827" max="2837" width="13.36328125" style="2" customWidth="1"/>
    <col min="2838" max="2838" width="13.6328125" style="2" customWidth="1"/>
    <col min="2839" max="2839" width="16.453125" style="2" customWidth="1"/>
    <col min="2840" max="3074" width="9" style="2"/>
    <col min="3075" max="3075" width="9.6328125" style="2" customWidth="1"/>
    <col min="3076" max="3077" width="5.08984375" style="2" customWidth="1"/>
    <col min="3078" max="3078" width="9.6328125" style="2" customWidth="1"/>
    <col min="3079" max="3080" width="11.6328125" style="2" customWidth="1"/>
    <col min="3081" max="3081" width="15.36328125" style="2" customWidth="1"/>
    <col min="3082" max="3082" width="10.90625" style="2" customWidth="1"/>
    <col min="3083" max="3093" width="13.36328125" style="2" customWidth="1"/>
    <col min="3094" max="3094" width="13.6328125" style="2" customWidth="1"/>
    <col min="3095" max="3095" width="16.453125" style="2" customWidth="1"/>
    <col min="3096" max="3330" width="9" style="2"/>
    <col min="3331" max="3331" width="9.6328125" style="2" customWidth="1"/>
    <col min="3332" max="3333" width="5.08984375" style="2" customWidth="1"/>
    <col min="3334" max="3334" width="9.6328125" style="2" customWidth="1"/>
    <col min="3335" max="3336" width="11.6328125" style="2" customWidth="1"/>
    <col min="3337" max="3337" width="15.36328125" style="2" customWidth="1"/>
    <col min="3338" max="3338" width="10.90625" style="2" customWidth="1"/>
    <col min="3339" max="3349" width="13.36328125" style="2" customWidth="1"/>
    <col min="3350" max="3350" width="13.6328125" style="2" customWidth="1"/>
    <col min="3351" max="3351" width="16.453125" style="2" customWidth="1"/>
    <col min="3352" max="3586" width="9" style="2"/>
    <col min="3587" max="3587" width="9.6328125" style="2" customWidth="1"/>
    <col min="3588" max="3589" width="5.08984375" style="2" customWidth="1"/>
    <col min="3590" max="3590" width="9.6328125" style="2" customWidth="1"/>
    <col min="3591" max="3592" width="11.6328125" style="2" customWidth="1"/>
    <col min="3593" max="3593" width="15.36328125" style="2" customWidth="1"/>
    <col min="3594" max="3594" width="10.90625" style="2" customWidth="1"/>
    <col min="3595" max="3605" width="13.36328125" style="2" customWidth="1"/>
    <col min="3606" max="3606" width="13.6328125" style="2" customWidth="1"/>
    <col min="3607" max="3607" width="16.453125" style="2" customWidth="1"/>
    <col min="3608" max="3842" width="9" style="2"/>
    <col min="3843" max="3843" width="9.6328125" style="2" customWidth="1"/>
    <col min="3844" max="3845" width="5.08984375" style="2" customWidth="1"/>
    <col min="3846" max="3846" width="9.6328125" style="2" customWidth="1"/>
    <col min="3847" max="3848" width="11.6328125" style="2" customWidth="1"/>
    <col min="3849" max="3849" width="15.36328125" style="2" customWidth="1"/>
    <col min="3850" max="3850" width="10.90625" style="2" customWidth="1"/>
    <col min="3851" max="3861" width="13.36328125" style="2" customWidth="1"/>
    <col min="3862" max="3862" width="13.6328125" style="2" customWidth="1"/>
    <col min="3863" max="3863" width="16.453125" style="2" customWidth="1"/>
    <col min="3864" max="4098" width="9" style="2"/>
    <col min="4099" max="4099" width="9.6328125" style="2" customWidth="1"/>
    <col min="4100" max="4101" width="5.08984375" style="2" customWidth="1"/>
    <col min="4102" max="4102" width="9.6328125" style="2" customWidth="1"/>
    <col min="4103" max="4104" width="11.6328125" style="2" customWidth="1"/>
    <col min="4105" max="4105" width="15.36328125" style="2" customWidth="1"/>
    <col min="4106" max="4106" width="10.90625" style="2" customWidth="1"/>
    <col min="4107" max="4117" width="13.36328125" style="2" customWidth="1"/>
    <col min="4118" max="4118" width="13.6328125" style="2" customWidth="1"/>
    <col min="4119" max="4119" width="16.453125" style="2" customWidth="1"/>
    <col min="4120" max="4354" width="9" style="2"/>
    <col min="4355" max="4355" width="9.6328125" style="2" customWidth="1"/>
    <col min="4356" max="4357" width="5.08984375" style="2" customWidth="1"/>
    <col min="4358" max="4358" width="9.6328125" style="2" customWidth="1"/>
    <col min="4359" max="4360" width="11.6328125" style="2" customWidth="1"/>
    <col min="4361" max="4361" width="15.36328125" style="2" customWidth="1"/>
    <col min="4362" max="4362" width="10.90625" style="2" customWidth="1"/>
    <col min="4363" max="4373" width="13.36328125" style="2" customWidth="1"/>
    <col min="4374" max="4374" width="13.6328125" style="2" customWidth="1"/>
    <col min="4375" max="4375" width="16.453125" style="2" customWidth="1"/>
    <col min="4376" max="4610" width="9" style="2"/>
    <col min="4611" max="4611" width="9.6328125" style="2" customWidth="1"/>
    <col min="4612" max="4613" width="5.08984375" style="2" customWidth="1"/>
    <col min="4614" max="4614" width="9.6328125" style="2" customWidth="1"/>
    <col min="4615" max="4616" width="11.6328125" style="2" customWidth="1"/>
    <col min="4617" max="4617" width="15.36328125" style="2" customWidth="1"/>
    <col min="4618" max="4618" width="10.90625" style="2" customWidth="1"/>
    <col min="4619" max="4629" width="13.36328125" style="2" customWidth="1"/>
    <col min="4630" max="4630" width="13.6328125" style="2" customWidth="1"/>
    <col min="4631" max="4631" width="16.453125" style="2" customWidth="1"/>
    <col min="4632" max="4866" width="9" style="2"/>
    <col min="4867" max="4867" width="9.6328125" style="2" customWidth="1"/>
    <col min="4868" max="4869" width="5.08984375" style="2" customWidth="1"/>
    <col min="4870" max="4870" width="9.6328125" style="2" customWidth="1"/>
    <col min="4871" max="4872" width="11.6328125" style="2" customWidth="1"/>
    <col min="4873" max="4873" width="15.36328125" style="2" customWidth="1"/>
    <col min="4874" max="4874" width="10.90625" style="2" customWidth="1"/>
    <col min="4875" max="4885" width="13.36328125" style="2" customWidth="1"/>
    <col min="4886" max="4886" width="13.6328125" style="2" customWidth="1"/>
    <col min="4887" max="4887" width="16.453125" style="2" customWidth="1"/>
    <col min="4888" max="5122" width="9" style="2"/>
    <col min="5123" max="5123" width="9.6328125" style="2" customWidth="1"/>
    <col min="5124" max="5125" width="5.08984375" style="2" customWidth="1"/>
    <col min="5126" max="5126" width="9.6328125" style="2" customWidth="1"/>
    <col min="5127" max="5128" width="11.6328125" style="2" customWidth="1"/>
    <col min="5129" max="5129" width="15.36328125" style="2" customWidth="1"/>
    <col min="5130" max="5130" width="10.90625" style="2" customWidth="1"/>
    <col min="5131" max="5141" width="13.36328125" style="2" customWidth="1"/>
    <col min="5142" max="5142" width="13.6328125" style="2" customWidth="1"/>
    <col min="5143" max="5143" width="16.453125" style="2" customWidth="1"/>
    <col min="5144" max="5378" width="9" style="2"/>
    <col min="5379" max="5379" width="9.6328125" style="2" customWidth="1"/>
    <col min="5380" max="5381" width="5.08984375" style="2" customWidth="1"/>
    <col min="5382" max="5382" width="9.6328125" style="2" customWidth="1"/>
    <col min="5383" max="5384" width="11.6328125" style="2" customWidth="1"/>
    <col min="5385" max="5385" width="15.36328125" style="2" customWidth="1"/>
    <col min="5386" max="5386" width="10.90625" style="2" customWidth="1"/>
    <col min="5387" max="5397" width="13.36328125" style="2" customWidth="1"/>
    <col min="5398" max="5398" width="13.6328125" style="2" customWidth="1"/>
    <col min="5399" max="5399" width="16.453125" style="2" customWidth="1"/>
    <col min="5400" max="5634" width="9" style="2"/>
    <col min="5635" max="5635" width="9.6328125" style="2" customWidth="1"/>
    <col min="5636" max="5637" width="5.08984375" style="2" customWidth="1"/>
    <col min="5638" max="5638" width="9.6328125" style="2" customWidth="1"/>
    <col min="5639" max="5640" width="11.6328125" style="2" customWidth="1"/>
    <col min="5641" max="5641" width="15.36328125" style="2" customWidth="1"/>
    <col min="5642" max="5642" width="10.90625" style="2" customWidth="1"/>
    <col min="5643" max="5653" width="13.36328125" style="2" customWidth="1"/>
    <col min="5654" max="5654" width="13.6328125" style="2" customWidth="1"/>
    <col min="5655" max="5655" width="16.453125" style="2" customWidth="1"/>
    <col min="5656" max="5890" width="9" style="2"/>
    <col min="5891" max="5891" width="9.6328125" style="2" customWidth="1"/>
    <col min="5892" max="5893" width="5.08984375" style="2" customWidth="1"/>
    <col min="5894" max="5894" width="9.6328125" style="2" customWidth="1"/>
    <col min="5895" max="5896" width="11.6328125" style="2" customWidth="1"/>
    <col min="5897" max="5897" width="15.36328125" style="2" customWidth="1"/>
    <col min="5898" max="5898" width="10.90625" style="2" customWidth="1"/>
    <col min="5899" max="5909" width="13.36328125" style="2" customWidth="1"/>
    <col min="5910" max="5910" width="13.6328125" style="2" customWidth="1"/>
    <col min="5911" max="5911" width="16.453125" style="2" customWidth="1"/>
    <col min="5912" max="6146" width="9" style="2"/>
    <col min="6147" max="6147" width="9.6328125" style="2" customWidth="1"/>
    <col min="6148" max="6149" width="5.08984375" style="2" customWidth="1"/>
    <col min="6150" max="6150" width="9.6328125" style="2" customWidth="1"/>
    <col min="6151" max="6152" width="11.6328125" style="2" customWidth="1"/>
    <col min="6153" max="6153" width="15.36328125" style="2" customWidth="1"/>
    <col min="6154" max="6154" width="10.90625" style="2" customWidth="1"/>
    <col min="6155" max="6165" width="13.36328125" style="2" customWidth="1"/>
    <col min="6166" max="6166" width="13.6328125" style="2" customWidth="1"/>
    <col min="6167" max="6167" width="16.453125" style="2" customWidth="1"/>
    <col min="6168" max="6402" width="9" style="2"/>
    <col min="6403" max="6403" width="9.6328125" style="2" customWidth="1"/>
    <col min="6404" max="6405" width="5.08984375" style="2" customWidth="1"/>
    <col min="6406" max="6406" width="9.6328125" style="2" customWidth="1"/>
    <col min="6407" max="6408" width="11.6328125" style="2" customWidth="1"/>
    <col min="6409" max="6409" width="15.36328125" style="2" customWidth="1"/>
    <col min="6410" max="6410" width="10.90625" style="2" customWidth="1"/>
    <col min="6411" max="6421" width="13.36328125" style="2" customWidth="1"/>
    <col min="6422" max="6422" width="13.6328125" style="2" customWidth="1"/>
    <col min="6423" max="6423" width="16.453125" style="2" customWidth="1"/>
    <col min="6424" max="6658" width="9" style="2"/>
    <col min="6659" max="6659" width="9.6328125" style="2" customWidth="1"/>
    <col min="6660" max="6661" width="5.08984375" style="2" customWidth="1"/>
    <col min="6662" max="6662" width="9.6328125" style="2" customWidth="1"/>
    <col min="6663" max="6664" width="11.6328125" style="2" customWidth="1"/>
    <col min="6665" max="6665" width="15.36328125" style="2" customWidth="1"/>
    <col min="6666" max="6666" width="10.90625" style="2" customWidth="1"/>
    <col min="6667" max="6677" width="13.36328125" style="2" customWidth="1"/>
    <col min="6678" max="6678" width="13.6328125" style="2" customWidth="1"/>
    <col min="6679" max="6679" width="16.453125" style="2" customWidth="1"/>
    <col min="6680" max="6914" width="9" style="2"/>
    <col min="6915" max="6915" width="9.6328125" style="2" customWidth="1"/>
    <col min="6916" max="6917" width="5.08984375" style="2" customWidth="1"/>
    <col min="6918" max="6918" width="9.6328125" style="2" customWidth="1"/>
    <col min="6919" max="6920" width="11.6328125" style="2" customWidth="1"/>
    <col min="6921" max="6921" width="15.36328125" style="2" customWidth="1"/>
    <col min="6922" max="6922" width="10.90625" style="2" customWidth="1"/>
    <col min="6923" max="6933" width="13.36328125" style="2" customWidth="1"/>
    <col min="6934" max="6934" width="13.6328125" style="2" customWidth="1"/>
    <col min="6935" max="6935" width="16.453125" style="2" customWidth="1"/>
    <col min="6936" max="7170" width="9" style="2"/>
    <col min="7171" max="7171" width="9.6328125" style="2" customWidth="1"/>
    <col min="7172" max="7173" width="5.08984375" style="2" customWidth="1"/>
    <col min="7174" max="7174" width="9.6328125" style="2" customWidth="1"/>
    <col min="7175" max="7176" width="11.6328125" style="2" customWidth="1"/>
    <col min="7177" max="7177" width="15.36328125" style="2" customWidth="1"/>
    <col min="7178" max="7178" width="10.90625" style="2" customWidth="1"/>
    <col min="7179" max="7189" width="13.36328125" style="2" customWidth="1"/>
    <col min="7190" max="7190" width="13.6328125" style="2" customWidth="1"/>
    <col min="7191" max="7191" width="16.453125" style="2" customWidth="1"/>
    <col min="7192" max="7426" width="9" style="2"/>
    <col min="7427" max="7427" width="9.6328125" style="2" customWidth="1"/>
    <col min="7428" max="7429" width="5.08984375" style="2" customWidth="1"/>
    <col min="7430" max="7430" width="9.6328125" style="2" customWidth="1"/>
    <col min="7431" max="7432" width="11.6328125" style="2" customWidth="1"/>
    <col min="7433" max="7433" width="15.36328125" style="2" customWidth="1"/>
    <col min="7434" max="7434" width="10.90625" style="2" customWidth="1"/>
    <col min="7435" max="7445" width="13.36328125" style="2" customWidth="1"/>
    <col min="7446" max="7446" width="13.6328125" style="2" customWidth="1"/>
    <col min="7447" max="7447" width="16.453125" style="2" customWidth="1"/>
    <col min="7448" max="7682" width="9" style="2"/>
    <col min="7683" max="7683" width="9.6328125" style="2" customWidth="1"/>
    <col min="7684" max="7685" width="5.08984375" style="2" customWidth="1"/>
    <col min="7686" max="7686" width="9.6328125" style="2" customWidth="1"/>
    <col min="7687" max="7688" width="11.6328125" style="2" customWidth="1"/>
    <col min="7689" max="7689" width="15.36328125" style="2" customWidth="1"/>
    <col min="7690" max="7690" width="10.90625" style="2" customWidth="1"/>
    <col min="7691" max="7701" width="13.36328125" style="2" customWidth="1"/>
    <col min="7702" max="7702" width="13.6328125" style="2" customWidth="1"/>
    <col min="7703" max="7703" width="16.453125" style="2" customWidth="1"/>
    <col min="7704" max="7938" width="9" style="2"/>
    <col min="7939" max="7939" width="9.6328125" style="2" customWidth="1"/>
    <col min="7940" max="7941" width="5.08984375" style="2" customWidth="1"/>
    <col min="7942" max="7942" width="9.6328125" style="2" customWidth="1"/>
    <col min="7943" max="7944" width="11.6328125" style="2" customWidth="1"/>
    <col min="7945" max="7945" width="15.36328125" style="2" customWidth="1"/>
    <col min="7946" max="7946" width="10.90625" style="2" customWidth="1"/>
    <col min="7947" max="7957" width="13.36328125" style="2" customWidth="1"/>
    <col min="7958" max="7958" width="13.6328125" style="2" customWidth="1"/>
    <col min="7959" max="7959" width="16.453125" style="2" customWidth="1"/>
    <col min="7960" max="8194" width="9" style="2"/>
    <col min="8195" max="8195" width="9.6328125" style="2" customWidth="1"/>
    <col min="8196" max="8197" width="5.08984375" style="2" customWidth="1"/>
    <col min="8198" max="8198" width="9.6328125" style="2" customWidth="1"/>
    <col min="8199" max="8200" width="11.6328125" style="2" customWidth="1"/>
    <col min="8201" max="8201" width="15.36328125" style="2" customWidth="1"/>
    <col min="8202" max="8202" width="10.90625" style="2" customWidth="1"/>
    <col min="8203" max="8213" width="13.36328125" style="2" customWidth="1"/>
    <col min="8214" max="8214" width="13.6328125" style="2" customWidth="1"/>
    <col min="8215" max="8215" width="16.453125" style="2" customWidth="1"/>
    <col min="8216" max="8450" width="9" style="2"/>
    <col min="8451" max="8451" width="9.6328125" style="2" customWidth="1"/>
    <col min="8452" max="8453" width="5.08984375" style="2" customWidth="1"/>
    <col min="8454" max="8454" width="9.6328125" style="2" customWidth="1"/>
    <col min="8455" max="8456" width="11.6328125" style="2" customWidth="1"/>
    <col min="8457" max="8457" width="15.36328125" style="2" customWidth="1"/>
    <col min="8458" max="8458" width="10.90625" style="2" customWidth="1"/>
    <col min="8459" max="8469" width="13.36328125" style="2" customWidth="1"/>
    <col min="8470" max="8470" width="13.6328125" style="2" customWidth="1"/>
    <col min="8471" max="8471" width="16.453125" style="2" customWidth="1"/>
    <col min="8472" max="8706" width="9" style="2"/>
    <col min="8707" max="8707" width="9.6328125" style="2" customWidth="1"/>
    <col min="8708" max="8709" width="5.08984375" style="2" customWidth="1"/>
    <col min="8710" max="8710" width="9.6328125" style="2" customWidth="1"/>
    <col min="8711" max="8712" width="11.6328125" style="2" customWidth="1"/>
    <col min="8713" max="8713" width="15.36328125" style="2" customWidth="1"/>
    <col min="8714" max="8714" width="10.90625" style="2" customWidth="1"/>
    <col min="8715" max="8725" width="13.36328125" style="2" customWidth="1"/>
    <col min="8726" max="8726" width="13.6328125" style="2" customWidth="1"/>
    <col min="8727" max="8727" width="16.453125" style="2" customWidth="1"/>
    <col min="8728" max="8962" width="9" style="2"/>
    <col min="8963" max="8963" width="9.6328125" style="2" customWidth="1"/>
    <col min="8964" max="8965" width="5.08984375" style="2" customWidth="1"/>
    <col min="8966" max="8966" width="9.6328125" style="2" customWidth="1"/>
    <col min="8967" max="8968" width="11.6328125" style="2" customWidth="1"/>
    <col min="8969" max="8969" width="15.36328125" style="2" customWidth="1"/>
    <col min="8970" max="8970" width="10.90625" style="2" customWidth="1"/>
    <col min="8971" max="8981" width="13.36328125" style="2" customWidth="1"/>
    <col min="8982" max="8982" width="13.6328125" style="2" customWidth="1"/>
    <col min="8983" max="8983" width="16.453125" style="2" customWidth="1"/>
    <col min="8984" max="9218" width="9" style="2"/>
    <col min="9219" max="9219" width="9.6328125" style="2" customWidth="1"/>
    <col min="9220" max="9221" width="5.08984375" style="2" customWidth="1"/>
    <col min="9222" max="9222" width="9.6328125" style="2" customWidth="1"/>
    <col min="9223" max="9224" width="11.6328125" style="2" customWidth="1"/>
    <col min="9225" max="9225" width="15.36328125" style="2" customWidth="1"/>
    <col min="9226" max="9226" width="10.90625" style="2" customWidth="1"/>
    <col min="9227" max="9237" width="13.36328125" style="2" customWidth="1"/>
    <col min="9238" max="9238" width="13.6328125" style="2" customWidth="1"/>
    <col min="9239" max="9239" width="16.453125" style="2" customWidth="1"/>
    <col min="9240" max="9474" width="9" style="2"/>
    <col min="9475" max="9475" width="9.6328125" style="2" customWidth="1"/>
    <col min="9476" max="9477" width="5.08984375" style="2" customWidth="1"/>
    <col min="9478" max="9478" width="9.6328125" style="2" customWidth="1"/>
    <col min="9479" max="9480" width="11.6328125" style="2" customWidth="1"/>
    <col min="9481" max="9481" width="15.36328125" style="2" customWidth="1"/>
    <col min="9482" max="9482" width="10.90625" style="2" customWidth="1"/>
    <col min="9483" max="9493" width="13.36328125" style="2" customWidth="1"/>
    <col min="9494" max="9494" width="13.6328125" style="2" customWidth="1"/>
    <col min="9495" max="9495" width="16.453125" style="2" customWidth="1"/>
    <col min="9496" max="9730" width="9" style="2"/>
    <col min="9731" max="9731" width="9.6328125" style="2" customWidth="1"/>
    <col min="9732" max="9733" width="5.08984375" style="2" customWidth="1"/>
    <col min="9734" max="9734" width="9.6328125" style="2" customWidth="1"/>
    <col min="9735" max="9736" width="11.6328125" style="2" customWidth="1"/>
    <col min="9737" max="9737" width="15.36328125" style="2" customWidth="1"/>
    <col min="9738" max="9738" width="10.90625" style="2" customWidth="1"/>
    <col min="9739" max="9749" width="13.36328125" style="2" customWidth="1"/>
    <col min="9750" max="9750" width="13.6328125" style="2" customWidth="1"/>
    <col min="9751" max="9751" width="16.453125" style="2" customWidth="1"/>
    <col min="9752" max="9986" width="9" style="2"/>
    <col min="9987" max="9987" width="9.6328125" style="2" customWidth="1"/>
    <col min="9988" max="9989" width="5.08984375" style="2" customWidth="1"/>
    <col min="9990" max="9990" width="9.6328125" style="2" customWidth="1"/>
    <col min="9991" max="9992" width="11.6328125" style="2" customWidth="1"/>
    <col min="9993" max="9993" width="15.36328125" style="2" customWidth="1"/>
    <col min="9994" max="9994" width="10.90625" style="2" customWidth="1"/>
    <col min="9995" max="10005" width="13.36328125" style="2" customWidth="1"/>
    <col min="10006" max="10006" width="13.6328125" style="2" customWidth="1"/>
    <col min="10007" max="10007" width="16.453125" style="2" customWidth="1"/>
    <col min="10008" max="10242" width="9" style="2"/>
    <col min="10243" max="10243" width="9.6328125" style="2" customWidth="1"/>
    <col min="10244" max="10245" width="5.08984375" style="2" customWidth="1"/>
    <col min="10246" max="10246" width="9.6328125" style="2" customWidth="1"/>
    <col min="10247" max="10248" width="11.6328125" style="2" customWidth="1"/>
    <col min="10249" max="10249" width="15.36328125" style="2" customWidth="1"/>
    <col min="10250" max="10250" width="10.90625" style="2" customWidth="1"/>
    <col min="10251" max="10261" width="13.36328125" style="2" customWidth="1"/>
    <col min="10262" max="10262" width="13.6328125" style="2" customWidth="1"/>
    <col min="10263" max="10263" width="16.453125" style="2" customWidth="1"/>
    <col min="10264" max="10498" width="9" style="2"/>
    <col min="10499" max="10499" width="9.6328125" style="2" customWidth="1"/>
    <col min="10500" max="10501" width="5.08984375" style="2" customWidth="1"/>
    <col min="10502" max="10502" width="9.6328125" style="2" customWidth="1"/>
    <col min="10503" max="10504" width="11.6328125" style="2" customWidth="1"/>
    <col min="10505" max="10505" width="15.36328125" style="2" customWidth="1"/>
    <col min="10506" max="10506" width="10.90625" style="2" customWidth="1"/>
    <col min="10507" max="10517" width="13.36328125" style="2" customWidth="1"/>
    <col min="10518" max="10518" width="13.6328125" style="2" customWidth="1"/>
    <col min="10519" max="10519" width="16.453125" style="2" customWidth="1"/>
    <col min="10520" max="10754" width="9" style="2"/>
    <col min="10755" max="10755" width="9.6328125" style="2" customWidth="1"/>
    <col min="10756" max="10757" width="5.08984375" style="2" customWidth="1"/>
    <col min="10758" max="10758" width="9.6328125" style="2" customWidth="1"/>
    <col min="10759" max="10760" width="11.6328125" style="2" customWidth="1"/>
    <col min="10761" max="10761" width="15.36328125" style="2" customWidth="1"/>
    <col min="10762" max="10762" width="10.90625" style="2" customWidth="1"/>
    <col min="10763" max="10773" width="13.36328125" style="2" customWidth="1"/>
    <col min="10774" max="10774" width="13.6328125" style="2" customWidth="1"/>
    <col min="10775" max="10775" width="16.453125" style="2" customWidth="1"/>
    <col min="10776" max="11010" width="9" style="2"/>
    <col min="11011" max="11011" width="9.6328125" style="2" customWidth="1"/>
    <col min="11012" max="11013" width="5.08984375" style="2" customWidth="1"/>
    <col min="11014" max="11014" width="9.6328125" style="2" customWidth="1"/>
    <col min="11015" max="11016" width="11.6328125" style="2" customWidth="1"/>
    <col min="11017" max="11017" width="15.36328125" style="2" customWidth="1"/>
    <col min="11018" max="11018" width="10.90625" style="2" customWidth="1"/>
    <col min="11019" max="11029" width="13.36328125" style="2" customWidth="1"/>
    <col min="11030" max="11030" width="13.6328125" style="2" customWidth="1"/>
    <col min="11031" max="11031" width="16.453125" style="2" customWidth="1"/>
    <col min="11032" max="11266" width="9" style="2"/>
    <col min="11267" max="11267" width="9.6328125" style="2" customWidth="1"/>
    <col min="11268" max="11269" width="5.08984375" style="2" customWidth="1"/>
    <col min="11270" max="11270" width="9.6328125" style="2" customWidth="1"/>
    <col min="11271" max="11272" width="11.6328125" style="2" customWidth="1"/>
    <col min="11273" max="11273" width="15.36328125" style="2" customWidth="1"/>
    <col min="11274" max="11274" width="10.90625" style="2" customWidth="1"/>
    <col min="11275" max="11285" width="13.36328125" style="2" customWidth="1"/>
    <col min="11286" max="11286" width="13.6328125" style="2" customWidth="1"/>
    <col min="11287" max="11287" width="16.453125" style="2" customWidth="1"/>
    <col min="11288" max="11522" width="9" style="2"/>
    <col min="11523" max="11523" width="9.6328125" style="2" customWidth="1"/>
    <col min="11524" max="11525" width="5.08984375" style="2" customWidth="1"/>
    <col min="11526" max="11526" width="9.6328125" style="2" customWidth="1"/>
    <col min="11527" max="11528" width="11.6328125" style="2" customWidth="1"/>
    <col min="11529" max="11529" width="15.36328125" style="2" customWidth="1"/>
    <col min="11530" max="11530" width="10.90625" style="2" customWidth="1"/>
    <col min="11531" max="11541" width="13.36328125" style="2" customWidth="1"/>
    <col min="11542" max="11542" width="13.6328125" style="2" customWidth="1"/>
    <col min="11543" max="11543" width="16.453125" style="2" customWidth="1"/>
    <col min="11544" max="11778" width="9" style="2"/>
    <col min="11779" max="11779" width="9.6328125" style="2" customWidth="1"/>
    <col min="11780" max="11781" width="5.08984375" style="2" customWidth="1"/>
    <col min="11782" max="11782" width="9.6328125" style="2" customWidth="1"/>
    <col min="11783" max="11784" width="11.6328125" style="2" customWidth="1"/>
    <col min="11785" max="11785" width="15.36328125" style="2" customWidth="1"/>
    <col min="11786" max="11786" width="10.90625" style="2" customWidth="1"/>
    <col min="11787" max="11797" width="13.36328125" style="2" customWidth="1"/>
    <col min="11798" max="11798" width="13.6328125" style="2" customWidth="1"/>
    <col min="11799" max="11799" width="16.453125" style="2" customWidth="1"/>
    <col min="11800" max="12034" width="9" style="2"/>
    <col min="12035" max="12035" width="9.6328125" style="2" customWidth="1"/>
    <col min="12036" max="12037" width="5.08984375" style="2" customWidth="1"/>
    <col min="12038" max="12038" width="9.6328125" style="2" customWidth="1"/>
    <col min="12039" max="12040" width="11.6328125" style="2" customWidth="1"/>
    <col min="12041" max="12041" width="15.36328125" style="2" customWidth="1"/>
    <col min="12042" max="12042" width="10.90625" style="2" customWidth="1"/>
    <col min="12043" max="12053" width="13.36328125" style="2" customWidth="1"/>
    <col min="12054" max="12054" width="13.6328125" style="2" customWidth="1"/>
    <col min="12055" max="12055" width="16.453125" style="2" customWidth="1"/>
    <col min="12056" max="12290" width="9" style="2"/>
    <col min="12291" max="12291" width="9.6328125" style="2" customWidth="1"/>
    <col min="12292" max="12293" width="5.08984375" style="2" customWidth="1"/>
    <col min="12294" max="12294" width="9.6328125" style="2" customWidth="1"/>
    <col min="12295" max="12296" width="11.6328125" style="2" customWidth="1"/>
    <col min="12297" max="12297" width="15.36328125" style="2" customWidth="1"/>
    <col min="12298" max="12298" width="10.90625" style="2" customWidth="1"/>
    <col min="12299" max="12309" width="13.36328125" style="2" customWidth="1"/>
    <col min="12310" max="12310" width="13.6328125" style="2" customWidth="1"/>
    <col min="12311" max="12311" width="16.453125" style="2" customWidth="1"/>
    <col min="12312" max="12546" width="9" style="2"/>
    <col min="12547" max="12547" width="9.6328125" style="2" customWidth="1"/>
    <col min="12548" max="12549" width="5.08984375" style="2" customWidth="1"/>
    <col min="12550" max="12550" width="9.6328125" style="2" customWidth="1"/>
    <col min="12551" max="12552" width="11.6328125" style="2" customWidth="1"/>
    <col min="12553" max="12553" width="15.36328125" style="2" customWidth="1"/>
    <col min="12554" max="12554" width="10.90625" style="2" customWidth="1"/>
    <col min="12555" max="12565" width="13.36328125" style="2" customWidth="1"/>
    <col min="12566" max="12566" width="13.6328125" style="2" customWidth="1"/>
    <col min="12567" max="12567" width="16.453125" style="2" customWidth="1"/>
    <col min="12568" max="12802" width="9" style="2"/>
    <col min="12803" max="12803" width="9.6328125" style="2" customWidth="1"/>
    <col min="12804" max="12805" width="5.08984375" style="2" customWidth="1"/>
    <col min="12806" max="12806" width="9.6328125" style="2" customWidth="1"/>
    <col min="12807" max="12808" width="11.6328125" style="2" customWidth="1"/>
    <col min="12809" max="12809" width="15.36328125" style="2" customWidth="1"/>
    <col min="12810" max="12810" width="10.90625" style="2" customWidth="1"/>
    <col min="12811" max="12821" width="13.36328125" style="2" customWidth="1"/>
    <col min="12822" max="12822" width="13.6328125" style="2" customWidth="1"/>
    <col min="12823" max="12823" width="16.453125" style="2" customWidth="1"/>
    <col min="12824" max="13058" width="9" style="2"/>
    <col min="13059" max="13059" width="9.6328125" style="2" customWidth="1"/>
    <col min="13060" max="13061" width="5.08984375" style="2" customWidth="1"/>
    <col min="13062" max="13062" width="9.6328125" style="2" customWidth="1"/>
    <col min="13063" max="13064" width="11.6328125" style="2" customWidth="1"/>
    <col min="13065" max="13065" width="15.36328125" style="2" customWidth="1"/>
    <col min="13066" max="13066" width="10.90625" style="2" customWidth="1"/>
    <col min="13067" max="13077" width="13.36328125" style="2" customWidth="1"/>
    <col min="13078" max="13078" width="13.6328125" style="2" customWidth="1"/>
    <col min="13079" max="13079" width="16.453125" style="2" customWidth="1"/>
    <col min="13080" max="13314" width="9" style="2"/>
    <col min="13315" max="13315" width="9.6328125" style="2" customWidth="1"/>
    <col min="13316" max="13317" width="5.08984375" style="2" customWidth="1"/>
    <col min="13318" max="13318" width="9.6328125" style="2" customWidth="1"/>
    <col min="13319" max="13320" width="11.6328125" style="2" customWidth="1"/>
    <col min="13321" max="13321" width="15.36328125" style="2" customWidth="1"/>
    <col min="13322" max="13322" width="10.90625" style="2" customWidth="1"/>
    <col min="13323" max="13333" width="13.36328125" style="2" customWidth="1"/>
    <col min="13334" max="13334" width="13.6328125" style="2" customWidth="1"/>
    <col min="13335" max="13335" width="16.453125" style="2" customWidth="1"/>
    <col min="13336" max="13570" width="9" style="2"/>
    <col min="13571" max="13571" width="9.6328125" style="2" customWidth="1"/>
    <col min="13572" max="13573" width="5.08984375" style="2" customWidth="1"/>
    <col min="13574" max="13574" width="9.6328125" style="2" customWidth="1"/>
    <col min="13575" max="13576" width="11.6328125" style="2" customWidth="1"/>
    <col min="13577" max="13577" width="15.36328125" style="2" customWidth="1"/>
    <col min="13578" max="13578" width="10.90625" style="2" customWidth="1"/>
    <col min="13579" max="13589" width="13.36328125" style="2" customWidth="1"/>
    <col min="13590" max="13590" width="13.6328125" style="2" customWidth="1"/>
    <col min="13591" max="13591" width="16.453125" style="2" customWidth="1"/>
    <col min="13592" max="13826" width="9" style="2"/>
    <col min="13827" max="13827" width="9.6328125" style="2" customWidth="1"/>
    <col min="13828" max="13829" width="5.08984375" style="2" customWidth="1"/>
    <col min="13830" max="13830" width="9.6328125" style="2" customWidth="1"/>
    <col min="13831" max="13832" width="11.6328125" style="2" customWidth="1"/>
    <col min="13833" max="13833" width="15.36328125" style="2" customWidth="1"/>
    <col min="13834" max="13834" width="10.90625" style="2" customWidth="1"/>
    <col min="13835" max="13845" width="13.36328125" style="2" customWidth="1"/>
    <col min="13846" max="13846" width="13.6328125" style="2" customWidth="1"/>
    <col min="13847" max="13847" width="16.453125" style="2" customWidth="1"/>
    <col min="13848" max="14082" width="9" style="2"/>
    <col min="14083" max="14083" width="9.6328125" style="2" customWidth="1"/>
    <col min="14084" max="14085" width="5.08984375" style="2" customWidth="1"/>
    <col min="14086" max="14086" width="9.6328125" style="2" customWidth="1"/>
    <col min="14087" max="14088" width="11.6328125" style="2" customWidth="1"/>
    <col min="14089" max="14089" width="15.36328125" style="2" customWidth="1"/>
    <col min="14090" max="14090" width="10.90625" style="2" customWidth="1"/>
    <col min="14091" max="14101" width="13.36328125" style="2" customWidth="1"/>
    <col min="14102" max="14102" width="13.6328125" style="2" customWidth="1"/>
    <col min="14103" max="14103" width="16.453125" style="2" customWidth="1"/>
    <col min="14104" max="14338" width="9" style="2"/>
    <col min="14339" max="14339" width="9.6328125" style="2" customWidth="1"/>
    <col min="14340" max="14341" width="5.08984375" style="2" customWidth="1"/>
    <col min="14342" max="14342" width="9.6328125" style="2" customWidth="1"/>
    <col min="14343" max="14344" width="11.6328125" style="2" customWidth="1"/>
    <col min="14345" max="14345" width="15.36328125" style="2" customWidth="1"/>
    <col min="14346" max="14346" width="10.90625" style="2" customWidth="1"/>
    <col min="14347" max="14357" width="13.36328125" style="2" customWidth="1"/>
    <col min="14358" max="14358" width="13.6328125" style="2" customWidth="1"/>
    <col min="14359" max="14359" width="16.453125" style="2" customWidth="1"/>
    <col min="14360" max="14594" width="9" style="2"/>
    <col min="14595" max="14595" width="9.6328125" style="2" customWidth="1"/>
    <col min="14596" max="14597" width="5.08984375" style="2" customWidth="1"/>
    <col min="14598" max="14598" width="9.6328125" style="2" customWidth="1"/>
    <col min="14599" max="14600" width="11.6328125" style="2" customWidth="1"/>
    <col min="14601" max="14601" width="15.36328125" style="2" customWidth="1"/>
    <col min="14602" max="14602" width="10.90625" style="2" customWidth="1"/>
    <col min="14603" max="14613" width="13.36328125" style="2" customWidth="1"/>
    <col min="14614" max="14614" width="13.6328125" style="2" customWidth="1"/>
    <col min="14615" max="14615" width="16.453125" style="2" customWidth="1"/>
    <col min="14616" max="14850" width="9" style="2"/>
    <col min="14851" max="14851" width="9.6328125" style="2" customWidth="1"/>
    <col min="14852" max="14853" width="5.08984375" style="2" customWidth="1"/>
    <col min="14854" max="14854" width="9.6328125" style="2" customWidth="1"/>
    <col min="14855" max="14856" width="11.6328125" style="2" customWidth="1"/>
    <col min="14857" max="14857" width="15.36328125" style="2" customWidth="1"/>
    <col min="14858" max="14858" width="10.90625" style="2" customWidth="1"/>
    <col min="14859" max="14869" width="13.36328125" style="2" customWidth="1"/>
    <col min="14870" max="14870" width="13.6328125" style="2" customWidth="1"/>
    <col min="14871" max="14871" width="16.453125" style="2" customWidth="1"/>
    <col min="14872" max="15106" width="9" style="2"/>
    <col min="15107" max="15107" width="9.6328125" style="2" customWidth="1"/>
    <col min="15108" max="15109" width="5.08984375" style="2" customWidth="1"/>
    <col min="15110" max="15110" width="9.6328125" style="2" customWidth="1"/>
    <col min="15111" max="15112" width="11.6328125" style="2" customWidth="1"/>
    <col min="15113" max="15113" width="15.36328125" style="2" customWidth="1"/>
    <col min="15114" max="15114" width="10.90625" style="2" customWidth="1"/>
    <col min="15115" max="15125" width="13.36328125" style="2" customWidth="1"/>
    <col min="15126" max="15126" width="13.6328125" style="2" customWidth="1"/>
    <col min="15127" max="15127" width="16.453125" style="2" customWidth="1"/>
    <col min="15128" max="15362" width="9" style="2"/>
    <col min="15363" max="15363" width="9.6328125" style="2" customWidth="1"/>
    <col min="15364" max="15365" width="5.08984375" style="2" customWidth="1"/>
    <col min="15366" max="15366" width="9.6328125" style="2" customWidth="1"/>
    <col min="15367" max="15368" width="11.6328125" style="2" customWidth="1"/>
    <col min="15369" max="15369" width="15.36328125" style="2" customWidth="1"/>
    <col min="15370" max="15370" width="10.90625" style="2" customWidth="1"/>
    <col min="15371" max="15381" width="13.36328125" style="2" customWidth="1"/>
    <col min="15382" max="15382" width="13.6328125" style="2" customWidth="1"/>
    <col min="15383" max="15383" width="16.453125" style="2" customWidth="1"/>
    <col min="15384" max="15618" width="9" style="2"/>
    <col min="15619" max="15619" width="9.6328125" style="2" customWidth="1"/>
    <col min="15620" max="15621" width="5.08984375" style="2" customWidth="1"/>
    <col min="15622" max="15622" width="9.6328125" style="2" customWidth="1"/>
    <col min="15623" max="15624" width="11.6328125" style="2" customWidth="1"/>
    <col min="15625" max="15625" width="15.36328125" style="2" customWidth="1"/>
    <col min="15626" max="15626" width="10.90625" style="2" customWidth="1"/>
    <col min="15627" max="15637" width="13.36328125" style="2" customWidth="1"/>
    <col min="15638" max="15638" width="13.6328125" style="2" customWidth="1"/>
    <col min="15639" max="15639" width="16.453125" style="2" customWidth="1"/>
    <col min="15640" max="15874" width="9" style="2"/>
    <col min="15875" max="15875" width="9.6328125" style="2" customWidth="1"/>
    <col min="15876" max="15877" width="5.08984375" style="2" customWidth="1"/>
    <col min="15878" max="15878" width="9.6328125" style="2" customWidth="1"/>
    <col min="15879" max="15880" width="11.6328125" style="2" customWidth="1"/>
    <col min="15881" max="15881" width="15.36328125" style="2" customWidth="1"/>
    <col min="15882" max="15882" width="10.90625" style="2" customWidth="1"/>
    <col min="15883" max="15893" width="13.36328125" style="2" customWidth="1"/>
    <col min="15894" max="15894" width="13.6328125" style="2" customWidth="1"/>
    <col min="15895" max="15895" width="16.453125" style="2" customWidth="1"/>
    <col min="15896" max="16130" width="9" style="2"/>
    <col min="16131" max="16131" width="9.6328125" style="2" customWidth="1"/>
    <col min="16132" max="16133" width="5.08984375" style="2" customWidth="1"/>
    <col min="16134" max="16134" width="9.6328125" style="2" customWidth="1"/>
    <col min="16135" max="16136" width="11.6328125" style="2" customWidth="1"/>
    <col min="16137" max="16137" width="15.36328125" style="2" customWidth="1"/>
    <col min="16138" max="16138" width="10.90625" style="2" customWidth="1"/>
    <col min="16139" max="16149" width="13.36328125" style="2" customWidth="1"/>
    <col min="16150" max="16150" width="13.6328125" style="2" customWidth="1"/>
    <col min="16151" max="16151" width="16.453125" style="2" customWidth="1"/>
    <col min="16152" max="16384" width="9" style="2"/>
  </cols>
  <sheetData>
    <row r="1" spans="1:25" s="127" customFormat="1" ht="36">
      <c r="A1" s="230" t="s">
        <v>83</v>
      </c>
      <c r="B1" s="230" t="s">
        <v>84</v>
      </c>
      <c r="C1" s="133" t="s">
        <v>56</v>
      </c>
      <c r="D1" s="134" t="s">
        <v>0</v>
      </c>
      <c r="E1" s="134" t="s">
        <v>1</v>
      </c>
      <c r="F1" s="135" t="s">
        <v>2</v>
      </c>
      <c r="G1" s="135" t="s">
        <v>3</v>
      </c>
      <c r="H1" s="136" t="s">
        <v>4</v>
      </c>
      <c r="I1" s="137" t="s">
        <v>5</v>
      </c>
      <c r="J1" s="3" t="s">
        <v>6</v>
      </c>
      <c r="K1" s="332" t="s">
        <v>7</v>
      </c>
      <c r="L1" s="238" t="s">
        <v>8</v>
      </c>
      <c r="M1" s="238" t="s">
        <v>9</v>
      </c>
      <c r="N1" s="238" t="s">
        <v>10</v>
      </c>
      <c r="O1" s="238" t="s">
        <v>11</v>
      </c>
      <c r="P1" s="238" t="s">
        <v>12</v>
      </c>
      <c r="Q1" s="238" t="s">
        <v>13</v>
      </c>
      <c r="R1" s="238" t="s">
        <v>14</v>
      </c>
      <c r="S1" s="238" t="s">
        <v>15</v>
      </c>
      <c r="T1" s="238" t="s">
        <v>16</v>
      </c>
      <c r="U1" s="238" t="s">
        <v>17</v>
      </c>
      <c r="V1" s="231" t="s">
        <v>18</v>
      </c>
      <c r="W1" s="138" t="s">
        <v>19</v>
      </c>
      <c r="X1" s="232"/>
    </row>
    <row r="2" spans="1:25" s="1" customFormat="1">
      <c r="A2" s="112"/>
      <c r="B2" s="72"/>
      <c r="C2" s="548" t="s">
        <v>146</v>
      </c>
      <c r="D2" s="549"/>
      <c r="E2" s="549"/>
      <c r="F2" s="549"/>
      <c r="G2" s="549"/>
      <c r="H2" s="549"/>
      <c r="I2" s="550"/>
      <c r="J2" s="206" t="s">
        <v>20</v>
      </c>
      <c r="K2" s="394">
        <f>K125</f>
        <v>4758625</v>
      </c>
      <c r="L2" s="428">
        <f>L125</f>
        <v>4539760</v>
      </c>
      <c r="M2" s="428">
        <f t="shared" ref="M2:V2" si="0">M125</f>
        <v>4685890</v>
      </c>
      <c r="N2" s="428">
        <f t="shared" si="0"/>
        <v>4235550</v>
      </c>
      <c r="O2" s="428">
        <f>O125</f>
        <v>4232000</v>
      </c>
      <c r="P2" s="428">
        <f t="shared" si="0"/>
        <v>4305625</v>
      </c>
      <c r="Q2" s="428">
        <f>Q125</f>
        <v>4286630</v>
      </c>
      <c r="R2" s="428">
        <f>R125</f>
        <v>4035400</v>
      </c>
      <c r="S2" s="428">
        <f>S125</f>
        <v>4249050</v>
      </c>
      <c r="T2" s="428">
        <f>T125</f>
        <v>3773205</v>
      </c>
      <c r="U2" s="428">
        <f t="shared" si="0"/>
        <v>3645155</v>
      </c>
      <c r="V2" s="84">
        <f t="shared" si="0"/>
        <v>3789575</v>
      </c>
      <c r="W2" s="10">
        <f>SUM(K2:V2)</f>
        <v>50536465</v>
      </c>
      <c r="X2" s="226"/>
      <c r="Y2" s="70"/>
    </row>
    <row r="3" spans="1:25" s="1" customFormat="1">
      <c r="A3" s="112"/>
      <c r="B3" s="72"/>
      <c r="C3" s="551"/>
      <c r="D3" s="552"/>
      <c r="E3" s="552"/>
      <c r="F3" s="552"/>
      <c r="G3" s="552"/>
      <c r="H3" s="552"/>
      <c r="I3" s="553"/>
      <c r="J3" s="165" t="s">
        <v>21</v>
      </c>
      <c r="K3" s="386">
        <f>K126</f>
        <v>3409115</v>
      </c>
      <c r="L3" s="429">
        <f>L126</f>
        <v>3360925</v>
      </c>
      <c r="M3" s="429">
        <f t="shared" ref="M3:V3" si="1">M126</f>
        <v>3405027</v>
      </c>
      <c r="N3" s="429">
        <f t="shared" si="1"/>
        <v>2977481</v>
      </c>
      <c r="O3" s="429">
        <f t="shared" si="1"/>
        <v>2953730</v>
      </c>
      <c r="P3" s="429">
        <f t="shared" si="1"/>
        <v>2930924</v>
      </c>
      <c r="Q3" s="429">
        <f t="shared" si="1"/>
        <v>3114891</v>
      </c>
      <c r="R3" s="429">
        <f t="shared" si="1"/>
        <v>2919826</v>
      </c>
      <c r="S3" s="429">
        <f t="shared" si="1"/>
        <v>3012369</v>
      </c>
      <c r="T3" s="429">
        <f t="shared" si="1"/>
        <v>2646234</v>
      </c>
      <c r="U3" s="429">
        <f t="shared" si="1"/>
        <v>2632013</v>
      </c>
      <c r="V3" s="85">
        <f t="shared" si="1"/>
        <v>2676301</v>
      </c>
      <c r="W3" s="11">
        <f>SUM(K3:V3)</f>
        <v>36038836</v>
      </c>
      <c r="X3" s="226"/>
      <c r="Y3" s="70"/>
    </row>
    <row r="4" spans="1:25" s="1" customFormat="1" ht="12.5" thickBot="1">
      <c r="A4" s="112"/>
      <c r="B4" s="72"/>
      <c r="C4" s="551"/>
      <c r="D4" s="552"/>
      <c r="E4" s="552"/>
      <c r="F4" s="552"/>
      <c r="G4" s="552"/>
      <c r="H4" s="552"/>
      <c r="I4" s="553"/>
      <c r="J4" s="166" t="s">
        <v>22</v>
      </c>
      <c r="K4" s="387">
        <f>K2-K3</f>
        <v>1349510</v>
      </c>
      <c r="L4" s="430">
        <f>L2-L3</f>
        <v>1178835</v>
      </c>
      <c r="M4" s="430">
        <f t="shared" ref="M4:V4" si="2">M2-M3</f>
        <v>1280863</v>
      </c>
      <c r="N4" s="430">
        <f t="shared" si="2"/>
        <v>1258069</v>
      </c>
      <c r="O4" s="430">
        <f t="shared" si="2"/>
        <v>1278270</v>
      </c>
      <c r="P4" s="430">
        <f t="shared" si="2"/>
        <v>1374701</v>
      </c>
      <c r="Q4" s="430">
        <f t="shared" si="2"/>
        <v>1171739</v>
      </c>
      <c r="R4" s="430">
        <f t="shared" si="2"/>
        <v>1115574</v>
      </c>
      <c r="S4" s="430">
        <f t="shared" si="2"/>
        <v>1236681</v>
      </c>
      <c r="T4" s="430">
        <f>T2-T3</f>
        <v>1126971</v>
      </c>
      <c r="U4" s="430">
        <f>U2-U3</f>
        <v>1013142</v>
      </c>
      <c r="V4" s="86">
        <f t="shared" si="2"/>
        <v>1113274</v>
      </c>
      <c r="W4" s="12">
        <f>SUM(K4:V4)</f>
        <v>14497629</v>
      </c>
      <c r="X4" s="226"/>
      <c r="Y4" s="70"/>
    </row>
    <row r="5" spans="1:25" ht="12.65" customHeight="1" thickTop="1">
      <c r="A5" s="113">
        <v>2020028</v>
      </c>
      <c r="C5" s="641">
        <v>1</v>
      </c>
      <c r="D5" s="644" t="s">
        <v>59</v>
      </c>
      <c r="E5" s="644"/>
      <c r="F5" s="644"/>
      <c r="G5" s="644" t="s">
        <v>140</v>
      </c>
      <c r="H5" s="644"/>
      <c r="I5" s="700" t="s">
        <v>55</v>
      </c>
      <c r="J5" s="181" t="s">
        <v>23</v>
      </c>
      <c r="K5" s="339">
        <f t="shared" ref="K5:U5" si="3">K6+K7</f>
        <v>570000</v>
      </c>
      <c r="L5" s="406">
        <f t="shared" si="3"/>
        <v>570000</v>
      </c>
      <c r="M5" s="406">
        <f t="shared" si="3"/>
        <v>570000</v>
      </c>
      <c r="N5" s="406">
        <f t="shared" si="3"/>
        <v>570000</v>
      </c>
      <c r="O5" s="406">
        <f t="shared" si="3"/>
        <v>570000</v>
      </c>
      <c r="P5" s="406">
        <f t="shared" si="3"/>
        <v>600000</v>
      </c>
      <c r="Q5" s="406">
        <f t="shared" si="3"/>
        <v>600000</v>
      </c>
      <c r="R5" s="406">
        <f t="shared" si="3"/>
        <v>541875</v>
      </c>
      <c r="S5" s="406">
        <f t="shared" si="3"/>
        <v>581250</v>
      </c>
      <c r="T5" s="406">
        <f t="shared" si="3"/>
        <v>575625</v>
      </c>
      <c r="U5" s="406">
        <f t="shared" si="3"/>
        <v>496875</v>
      </c>
      <c r="V5" s="94">
        <f>V6+V7</f>
        <v>570000</v>
      </c>
      <c r="W5" s="32">
        <f t="shared" ref="W5:W15" si="4">SUM(K5:V5)</f>
        <v>6815625</v>
      </c>
      <c r="Y5" s="69"/>
    </row>
    <row r="6" spans="1:25" ht="12" customHeight="1">
      <c r="A6" s="114">
        <f>+A5</f>
        <v>2020028</v>
      </c>
      <c r="B6" s="74"/>
      <c r="C6" s="642"/>
      <c r="D6" s="645"/>
      <c r="E6" s="645"/>
      <c r="F6" s="645"/>
      <c r="G6" s="645"/>
      <c r="H6" s="645"/>
      <c r="I6" s="701"/>
      <c r="J6" s="168" t="s">
        <v>24</v>
      </c>
      <c r="K6" s="389">
        <v>570000</v>
      </c>
      <c r="L6" s="438">
        <v>570000</v>
      </c>
      <c r="M6" s="438">
        <v>570000</v>
      </c>
      <c r="N6" s="438">
        <v>570000</v>
      </c>
      <c r="O6" s="438">
        <v>570000</v>
      </c>
      <c r="P6" s="438">
        <v>600000</v>
      </c>
      <c r="Q6" s="438">
        <v>600000</v>
      </c>
      <c r="R6" s="438">
        <v>541875</v>
      </c>
      <c r="S6" s="438">
        <v>581250</v>
      </c>
      <c r="T6" s="438">
        <v>575625</v>
      </c>
      <c r="U6" s="438">
        <v>496875</v>
      </c>
      <c r="V6" s="321">
        <v>570000</v>
      </c>
      <c r="W6" s="14">
        <f t="shared" si="4"/>
        <v>6815625</v>
      </c>
      <c r="Y6" s="69"/>
    </row>
    <row r="7" spans="1:25" ht="12" customHeight="1">
      <c r="A7" s="114">
        <f>+A6</f>
        <v>2020028</v>
      </c>
      <c r="B7" s="74"/>
      <c r="C7" s="642"/>
      <c r="D7" s="645"/>
      <c r="E7" s="645"/>
      <c r="F7" s="645"/>
      <c r="G7" s="645"/>
      <c r="H7" s="645"/>
      <c r="I7" s="701"/>
      <c r="J7" s="168" t="s">
        <v>25</v>
      </c>
      <c r="K7" s="389"/>
      <c r="L7" s="410"/>
      <c r="M7" s="410"/>
      <c r="N7" s="410"/>
      <c r="O7" s="410"/>
      <c r="P7" s="410"/>
      <c r="Q7" s="410"/>
      <c r="R7" s="410"/>
      <c r="S7" s="410"/>
      <c r="T7" s="410"/>
      <c r="U7" s="410"/>
      <c r="V7" s="88"/>
      <c r="W7" s="14">
        <f t="shared" si="4"/>
        <v>0</v>
      </c>
      <c r="Y7" s="69"/>
    </row>
    <row r="8" spans="1:25" ht="12" customHeight="1">
      <c r="A8" s="114">
        <f t="shared" ref="A8:A15" si="5">+A7</f>
        <v>2020028</v>
      </c>
      <c r="B8" s="74"/>
      <c r="C8" s="642"/>
      <c r="D8" s="645"/>
      <c r="E8" s="645"/>
      <c r="F8" s="645"/>
      <c r="G8" s="645"/>
      <c r="H8" s="645"/>
      <c r="I8" s="701"/>
      <c r="J8" s="169" t="s">
        <v>26</v>
      </c>
      <c r="K8" s="390">
        <f t="shared" ref="K8:P8" si="6">SUM(K9:K15)</f>
        <v>414440</v>
      </c>
      <c r="L8" s="426">
        <f t="shared" si="6"/>
        <v>411675</v>
      </c>
      <c r="M8" s="426">
        <f t="shared" si="6"/>
        <v>412079</v>
      </c>
      <c r="N8" s="426">
        <f t="shared" si="6"/>
        <v>414440</v>
      </c>
      <c r="O8" s="426">
        <f t="shared" si="6"/>
        <v>411675</v>
      </c>
      <c r="P8" s="426">
        <f t="shared" si="6"/>
        <v>415039</v>
      </c>
      <c r="Q8" s="426">
        <f t="shared" ref="Q8" si="7">SUM(Q9:Q15)</f>
        <v>431005</v>
      </c>
      <c r="R8" s="426">
        <f t="shared" ref="R8:V8" si="8">SUM(R9:R15)</f>
        <v>420971</v>
      </c>
      <c r="S8" s="426">
        <f t="shared" si="8"/>
        <v>429388</v>
      </c>
      <c r="T8" s="426">
        <f t="shared" si="8"/>
        <v>428984</v>
      </c>
      <c r="U8" s="426">
        <f t="shared" si="8"/>
        <v>428358</v>
      </c>
      <c r="V8" s="89">
        <f t="shared" si="8"/>
        <v>414440</v>
      </c>
      <c r="W8" s="15">
        <f t="shared" si="4"/>
        <v>5032494</v>
      </c>
      <c r="Y8" s="69"/>
    </row>
    <row r="9" spans="1:25" ht="12" customHeight="1">
      <c r="A9" s="114">
        <f t="shared" si="5"/>
        <v>2020028</v>
      </c>
      <c r="B9" s="74"/>
      <c r="C9" s="642"/>
      <c r="D9" s="645"/>
      <c r="E9" s="645"/>
      <c r="F9" s="645"/>
      <c r="G9" s="645"/>
      <c r="H9" s="645"/>
      <c r="I9" s="701"/>
      <c r="J9" s="168" t="s">
        <v>27</v>
      </c>
      <c r="K9" s="389">
        <v>358000</v>
      </c>
      <c r="L9" s="438">
        <v>357600</v>
      </c>
      <c r="M9" s="438">
        <v>358000</v>
      </c>
      <c r="N9" s="438">
        <v>358000</v>
      </c>
      <c r="O9" s="438">
        <v>357600</v>
      </c>
      <c r="P9" s="438">
        <v>358000</v>
      </c>
      <c r="Q9" s="438">
        <v>373800</v>
      </c>
      <c r="R9" s="438">
        <v>361535</v>
      </c>
      <c r="S9" s="438">
        <v>372200</v>
      </c>
      <c r="T9" s="438">
        <v>371800</v>
      </c>
      <c r="U9" s="438">
        <v>371000</v>
      </c>
      <c r="V9" s="321">
        <v>358000</v>
      </c>
      <c r="W9" s="14">
        <f t="shared" si="4"/>
        <v>4355535</v>
      </c>
      <c r="Y9" s="69"/>
    </row>
    <row r="10" spans="1:25" ht="12" customHeight="1">
      <c r="A10" s="114">
        <f t="shared" si="5"/>
        <v>2020028</v>
      </c>
      <c r="B10" s="74"/>
      <c r="C10" s="642"/>
      <c r="D10" s="645"/>
      <c r="E10" s="645"/>
      <c r="F10" s="645"/>
      <c r="G10" s="645"/>
      <c r="H10" s="645"/>
      <c r="I10" s="701"/>
      <c r="J10" s="168" t="s">
        <v>34</v>
      </c>
      <c r="K10" s="389"/>
      <c r="L10" s="438"/>
      <c r="M10" s="438"/>
      <c r="N10" s="438"/>
      <c r="O10" s="438"/>
      <c r="P10" s="438"/>
      <c r="Q10" s="438"/>
      <c r="R10" s="438"/>
      <c r="S10" s="438"/>
      <c r="T10" s="438"/>
      <c r="U10" s="438"/>
      <c r="V10" s="321"/>
      <c r="W10" s="14">
        <f t="shared" si="4"/>
        <v>0</v>
      </c>
      <c r="Y10" s="69"/>
    </row>
    <row r="11" spans="1:25" ht="12" customHeight="1">
      <c r="A11" s="114">
        <f t="shared" si="5"/>
        <v>2020028</v>
      </c>
      <c r="B11" s="74"/>
      <c r="C11" s="642"/>
      <c r="D11" s="645"/>
      <c r="E11" s="645"/>
      <c r="F11" s="645"/>
      <c r="G11" s="645"/>
      <c r="H11" s="645"/>
      <c r="I11" s="701"/>
      <c r="J11" s="168" t="s">
        <v>28</v>
      </c>
      <c r="K11" s="389">
        <v>2336</v>
      </c>
      <c r="L11" s="438">
        <v>0</v>
      </c>
      <c r="M11" s="438">
        <v>0</v>
      </c>
      <c r="N11" s="438">
        <v>2336</v>
      </c>
      <c r="O11" s="438">
        <v>0</v>
      </c>
      <c r="P11" s="438">
        <v>0</v>
      </c>
      <c r="Q11" s="438">
        <v>0</v>
      </c>
      <c r="R11" s="438">
        <v>2336</v>
      </c>
      <c r="S11" s="438">
        <v>0</v>
      </c>
      <c r="T11" s="438">
        <v>0</v>
      </c>
      <c r="U11" s="438">
        <v>0</v>
      </c>
      <c r="V11" s="321">
        <v>2336</v>
      </c>
      <c r="W11" s="14">
        <f t="shared" si="4"/>
        <v>9344</v>
      </c>
      <c r="Y11" s="69"/>
    </row>
    <row r="12" spans="1:25" ht="12" customHeight="1">
      <c r="A12" s="114">
        <f t="shared" si="5"/>
        <v>2020028</v>
      </c>
      <c r="B12" s="74"/>
      <c r="C12" s="642"/>
      <c r="D12" s="645"/>
      <c r="E12" s="645"/>
      <c r="F12" s="645"/>
      <c r="G12" s="645"/>
      <c r="H12" s="645"/>
      <c r="I12" s="701"/>
      <c r="J12" s="168" t="s">
        <v>29</v>
      </c>
      <c r="K12" s="389">
        <v>19210</v>
      </c>
      <c r="L12" s="438">
        <v>19210</v>
      </c>
      <c r="M12" s="438">
        <v>19210</v>
      </c>
      <c r="N12" s="438">
        <v>19210</v>
      </c>
      <c r="O12" s="438">
        <v>19210</v>
      </c>
      <c r="P12" s="438">
        <v>20340</v>
      </c>
      <c r="Q12" s="438">
        <v>20340</v>
      </c>
      <c r="R12" s="438">
        <v>20340</v>
      </c>
      <c r="S12" s="438">
        <v>20340</v>
      </c>
      <c r="T12" s="438">
        <v>20340</v>
      </c>
      <c r="U12" s="438">
        <v>20340</v>
      </c>
      <c r="V12" s="321">
        <v>19210</v>
      </c>
      <c r="W12" s="14">
        <f t="shared" si="4"/>
        <v>237300</v>
      </c>
      <c r="Y12" s="69"/>
    </row>
    <row r="13" spans="1:25" ht="12" customHeight="1">
      <c r="A13" s="114">
        <f t="shared" si="5"/>
        <v>2020028</v>
      </c>
      <c r="B13" s="74"/>
      <c r="C13" s="642"/>
      <c r="D13" s="645"/>
      <c r="E13" s="645"/>
      <c r="F13" s="645"/>
      <c r="G13" s="645"/>
      <c r="H13" s="645"/>
      <c r="I13" s="701"/>
      <c r="J13" s="168" t="s">
        <v>30</v>
      </c>
      <c r="K13" s="389">
        <v>31110</v>
      </c>
      <c r="L13" s="438">
        <v>31110</v>
      </c>
      <c r="M13" s="438">
        <v>31110</v>
      </c>
      <c r="N13" s="438">
        <v>31110</v>
      </c>
      <c r="O13" s="438">
        <v>31110</v>
      </c>
      <c r="P13" s="438">
        <v>32940</v>
      </c>
      <c r="Q13" s="438">
        <v>32940</v>
      </c>
      <c r="R13" s="438">
        <v>32940</v>
      </c>
      <c r="S13" s="438">
        <v>32940</v>
      </c>
      <c r="T13" s="438">
        <v>32940</v>
      </c>
      <c r="U13" s="438">
        <v>32940</v>
      </c>
      <c r="V13" s="321">
        <v>31110</v>
      </c>
      <c r="W13" s="14">
        <f t="shared" si="4"/>
        <v>384300</v>
      </c>
      <c r="Y13" s="69"/>
    </row>
    <row r="14" spans="1:25" ht="12" customHeight="1">
      <c r="A14" s="114">
        <f t="shared" si="5"/>
        <v>2020028</v>
      </c>
      <c r="B14" s="74"/>
      <c r="C14" s="642"/>
      <c r="D14" s="645"/>
      <c r="E14" s="645"/>
      <c r="F14" s="645"/>
      <c r="G14" s="645"/>
      <c r="H14" s="645"/>
      <c r="I14" s="701"/>
      <c r="J14" s="168" t="s">
        <v>31</v>
      </c>
      <c r="K14" s="389">
        <v>1802</v>
      </c>
      <c r="L14" s="438">
        <v>1788</v>
      </c>
      <c r="M14" s="438">
        <v>1790</v>
      </c>
      <c r="N14" s="438">
        <v>1802</v>
      </c>
      <c r="O14" s="438">
        <v>1788</v>
      </c>
      <c r="P14" s="438">
        <v>1790</v>
      </c>
      <c r="Q14" s="438">
        <v>1869</v>
      </c>
      <c r="R14" s="438">
        <v>1819</v>
      </c>
      <c r="S14" s="438">
        <v>1861</v>
      </c>
      <c r="T14" s="438">
        <v>1859</v>
      </c>
      <c r="U14" s="438">
        <v>1942</v>
      </c>
      <c r="V14" s="321">
        <v>1802</v>
      </c>
      <c r="W14" s="14">
        <f t="shared" si="4"/>
        <v>21912</v>
      </c>
      <c r="Y14" s="69"/>
    </row>
    <row r="15" spans="1:25" ht="12" customHeight="1">
      <c r="A15" s="114">
        <f t="shared" si="5"/>
        <v>2020028</v>
      </c>
      <c r="B15" s="74"/>
      <c r="C15" s="642"/>
      <c r="D15" s="645"/>
      <c r="E15" s="645"/>
      <c r="F15" s="645"/>
      <c r="G15" s="645"/>
      <c r="H15" s="645"/>
      <c r="I15" s="701"/>
      <c r="J15" s="168" t="s">
        <v>32</v>
      </c>
      <c r="K15" s="389">
        <v>1982</v>
      </c>
      <c r="L15" s="438">
        <v>1967</v>
      </c>
      <c r="M15" s="438">
        <v>1969</v>
      </c>
      <c r="N15" s="438">
        <v>1982</v>
      </c>
      <c r="O15" s="438">
        <v>1967</v>
      </c>
      <c r="P15" s="438">
        <v>1969</v>
      </c>
      <c r="Q15" s="438">
        <v>2056</v>
      </c>
      <c r="R15" s="438">
        <v>2001</v>
      </c>
      <c r="S15" s="438">
        <v>2047</v>
      </c>
      <c r="T15" s="438">
        <v>2045</v>
      </c>
      <c r="U15" s="438">
        <v>2136</v>
      </c>
      <c r="V15" s="321">
        <v>1982</v>
      </c>
      <c r="W15" s="14">
        <f t="shared" si="4"/>
        <v>24103</v>
      </c>
      <c r="Y15" s="69"/>
    </row>
    <row r="16" spans="1:25" ht="12.65" customHeight="1">
      <c r="A16" s="114">
        <f>+A15</f>
        <v>2020028</v>
      </c>
      <c r="B16" s="74"/>
      <c r="C16" s="654"/>
      <c r="D16" s="655"/>
      <c r="E16" s="655"/>
      <c r="F16" s="655"/>
      <c r="G16" s="655"/>
      <c r="H16" s="655"/>
      <c r="I16" s="702"/>
      <c r="J16" s="170" t="s">
        <v>33</v>
      </c>
      <c r="K16" s="338">
        <f t="shared" ref="K16:U16" si="9">K5-K8</f>
        <v>155560</v>
      </c>
      <c r="L16" s="405">
        <f t="shared" si="9"/>
        <v>158325</v>
      </c>
      <c r="M16" s="405">
        <f t="shared" si="9"/>
        <v>157921</v>
      </c>
      <c r="N16" s="405">
        <f t="shared" si="9"/>
        <v>155560</v>
      </c>
      <c r="O16" s="405">
        <f t="shared" si="9"/>
        <v>158325</v>
      </c>
      <c r="P16" s="405">
        <f t="shared" si="9"/>
        <v>184961</v>
      </c>
      <c r="Q16" s="405">
        <f t="shared" si="9"/>
        <v>168995</v>
      </c>
      <c r="R16" s="405">
        <f t="shared" si="9"/>
        <v>120904</v>
      </c>
      <c r="S16" s="405">
        <f t="shared" si="9"/>
        <v>151862</v>
      </c>
      <c r="T16" s="405">
        <f t="shared" si="9"/>
        <v>146641</v>
      </c>
      <c r="U16" s="405">
        <f t="shared" si="9"/>
        <v>68517</v>
      </c>
      <c r="V16" s="90">
        <f>V5-V8</f>
        <v>155560</v>
      </c>
      <c r="W16" s="16">
        <f>W5-W8</f>
        <v>1783131</v>
      </c>
      <c r="Y16" s="69"/>
    </row>
    <row r="17" spans="1:25" ht="12.65" customHeight="1">
      <c r="A17" s="113">
        <v>2019052</v>
      </c>
      <c r="C17" s="642">
        <f>C5+1</f>
        <v>2</v>
      </c>
      <c r="D17" s="645" t="s">
        <v>59</v>
      </c>
      <c r="E17" s="645"/>
      <c r="F17" s="645"/>
      <c r="G17" s="645" t="s">
        <v>140</v>
      </c>
      <c r="H17" s="645"/>
      <c r="I17" s="701" t="s">
        <v>55</v>
      </c>
      <c r="J17" s="167" t="s">
        <v>23</v>
      </c>
      <c r="K17" s="393">
        <f t="shared" ref="K17:U17" si="10">K18+K19</f>
        <v>550000</v>
      </c>
      <c r="L17" s="424">
        <f t="shared" si="10"/>
        <v>550000</v>
      </c>
      <c r="M17" s="424">
        <f t="shared" si="10"/>
        <v>550000</v>
      </c>
      <c r="N17" s="424">
        <f t="shared" si="10"/>
        <v>550000</v>
      </c>
      <c r="O17" s="424">
        <f t="shared" si="10"/>
        <v>550000</v>
      </c>
      <c r="P17" s="424">
        <f t="shared" si="10"/>
        <v>532800</v>
      </c>
      <c r="Q17" s="424">
        <f t="shared" si="10"/>
        <v>550000</v>
      </c>
      <c r="R17" s="424">
        <f t="shared" si="10"/>
        <v>512160</v>
      </c>
      <c r="S17" s="424">
        <f t="shared" si="10"/>
        <v>550000</v>
      </c>
      <c r="T17" s="424">
        <f t="shared" si="10"/>
        <v>550000</v>
      </c>
      <c r="U17" s="424">
        <f t="shared" si="10"/>
        <v>536240</v>
      </c>
      <c r="V17" s="87">
        <f>V18+V19</f>
        <v>550000</v>
      </c>
      <c r="W17" s="13">
        <f t="shared" ref="W17:W27" si="11">SUM(K17:V17)</f>
        <v>6531200</v>
      </c>
      <c r="Y17" s="69"/>
    </row>
    <row r="18" spans="1:25" ht="12" customHeight="1">
      <c r="A18" s="114">
        <f>+A17</f>
        <v>2019052</v>
      </c>
      <c r="B18" s="74"/>
      <c r="C18" s="642"/>
      <c r="D18" s="645"/>
      <c r="E18" s="645"/>
      <c r="F18" s="645"/>
      <c r="G18" s="645"/>
      <c r="H18" s="645"/>
      <c r="I18" s="701"/>
      <c r="J18" s="168" t="s">
        <v>24</v>
      </c>
      <c r="K18" s="389">
        <v>550000</v>
      </c>
      <c r="L18" s="438">
        <v>550000</v>
      </c>
      <c r="M18" s="438">
        <v>550000</v>
      </c>
      <c r="N18" s="438">
        <v>550000</v>
      </c>
      <c r="O18" s="438">
        <v>550000</v>
      </c>
      <c r="P18" s="438">
        <v>532800</v>
      </c>
      <c r="Q18" s="438">
        <v>550000</v>
      </c>
      <c r="R18" s="438">
        <v>512160</v>
      </c>
      <c r="S18" s="438">
        <v>550000</v>
      </c>
      <c r="T18" s="438">
        <v>550000</v>
      </c>
      <c r="U18" s="438">
        <v>536240</v>
      </c>
      <c r="V18" s="321">
        <v>550000</v>
      </c>
      <c r="W18" s="14">
        <f t="shared" si="11"/>
        <v>6531200</v>
      </c>
      <c r="Y18" s="69"/>
    </row>
    <row r="19" spans="1:25" ht="12" customHeight="1">
      <c r="A19" s="114">
        <f>+A18</f>
        <v>2019052</v>
      </c>
      <c r="B19" s="74"/>
      <c r="C19" s="642"/>
      <c r="D19" s="645"/>
      <c r="E19" s="645"/>
      <c r="F19" s="645"/>
      <c r="G19" s="645"/>
      <c r="H19" s="645"/>
      <c r="I19" s="701"/>
      <c r="J19" s="168" t="s">
        <v>25</v>
      </c>
      <c r="K19" s="389"/>
      <c r="L19" s="410"/>
      <c r="M19" s="410"/>
      <c r="N19" s="410"/>
      <c r="O19" s="410"/>
      <c r="P19" s="410"/>
      <c r="Q19" s="410"/>
      <c r="R19" s="410"/>
      <c r="S19" s="410"/>
      <c r="T19" s="410"/>
      <c r="U19" s="410"/>
      <c r="V19" s="88"/>
      <c r="W19" s="14">
        <f t="shared" si="11"/>
        <v>0</v>
      </c>
      <c r="Y19" s="69"/>
    </row>
    <row r="20" spans="1:25" ht="12" customHeight="1">
      <c r="A20" s="114">
        <f t="shared" ref="A20:A27" si="12">+A19</f>
        <v>2019052</v>
      </c>
      <c r="B20" s="74"/>
      <c r="C20" s="642"/>
      <c r="D20" s="645"/>
      <c r="E20" s="645"/>
      <c r="F20" s="645"/>
      <c r="G20" s="645"/>
      <c r="H20" s="645"/>
      <c r="I20" s="701"/>
      <c r="J20" s="169" t="s">
        <v>26</v>
      </c>
      <c r="K20" s="390">
        <f t="shared" ref="K20:V20" si="13">SUM(K21:K27)</f>
        <v>358103</v>
      </c>
      <c r="L20" s="426">
        <f t="shared" si="13"/>
        <v>357699</v>
      </c>
      <c r="M20" s="426">
        <f t="shared" si="13"/>
        <v>358766</v>
      </c>
      <c r="N20" s="426">
        <f t="shared" si="13"/>
        <v>358507</v>
      </c>
      <c r="O20" s="426">
        <f t="shared" si="13"/>
        <v>357699</v>
      </c>
      <c r="P20" s="426">
        <f t="shared" si="13"/>
        <v>356891</v>
      </c>
      <c r="Q20" s="426">
        <f t="shared" ref="Q20" si="14">SUM(Q21:Q27)</f>
        <v>359429</v>
      </c>
      <c r="R20" s="426">
        <f t="shared" si="13"/>
        <v>350402</v>
      </c>
      <c r="S20" s="426">
        <f t="shared" si="13"/>
        <v>357699</v>
      </c>
      <c r="T20" s="426">
        <f t="shared" si="13"/>
        <v>357295</v>
      </c>
      <c r="U20" s="426">
        <f t="shared" si="13"/>
        <v>350731</v>
      </c>
      <c r="V20" s="89">
        <f t="shared" si="13"/>
        <v>358103</v>
      </c>
      <c r="W20" s="15">
        <f t="shared" si="11"/>
        <v>4281324</v>
      </c>
      <c r="Y20" s="69"/>
    </row>
    <row r="21" spans="1:25" ht="12" customHeight="1">
      <c r="A21" s="114">
        <f t="shared" si="12"/>
        <v>2019052</v>
      </c>
      <c r="B21" s="74"/>
      <c r="C21" s="642"/>
      <c r="D21" s="645"/>
      <c r="E21" s="645"/>
      <c r="F21" s="645"/>
      <c r="G21" s="645"/>
      <c r="H21" s="645"/>
      <c r="I21" s="701"/>
      <c r="J21" s="168" t="s">
        <v>27</v>
      </c>
      <c r="K21" s="389">
        <v>338400</v>
      </c>
      <c r="L21" s="438">
        <v>338000</v>
      </c>
      <c r="M21" s="438">
        <v>338000</v>
      </c>
      <c r="N21" s="438">
        <v>338800</v>
      </c>
      <c r="O21" s="438">
        <v>338000</v>
      </c>
      <c r="P21" s="438">
        <v>337200</v>
      </c>
      <c r="Q21" s="438">
        <v>337600</v>
      </c>
      <c r="R21" s="438">
        <v>330779</v>
      </c>
      <c r="S21" s="438">
        <v>338000</v>
      </c>
      <c r="T21" s="438">
        <v>337600</v>
      </c>
      <c r="U21" s="438">
        <v>329887</v>
      </c>
      <c r="V21" s="321">
        <v>338400</v>
      </c>
      <c r="W21" s="14">
        <f t="shared" si="11"/>
        <v>4040666</v>
      </c>
      <c r="Y21" s="69"/>
    </row>
    <row r="22" spans="1:25" ht="12" customHeight="1">
      <c r="A22" s="114">
        <f t="shared" si="12"/>
        <v>2019052</v>
      </c>
      <c r="B22" s="74"/>
      <c r="C22" s="642"/>
      <c r="D22" s="645"/>
      <c r="E22" s="645"/>
      <c r="F22" s="645"/>
      <c r="G22" s="645"/>
      <c r="H22" s="645"/>
      <c r="I22" s="701"/>
      <c r="J22" s="168" t="s">
        <v>34</v>
      </c>
      <c r="K22" s="389"/>
      <c r="L22" s="438"/>
      <c r="M22" s="438"/>
      <c r="N22" s="438"/>
      <c r="O22" s="438"/>
      <c r="P22" s="438"/>
      <c r="Q22" s="438"/>
      <c r="R22" s="438"/>
      <c r="S22" s="438"/>
      <c r="T22" s="438"/>
      <c r="U22" s="438"/>
      <c r="V22" s="321"/>
      <c r="W22" s="14">
        <f t="shared" si="11"/>
        <v>0</v>
      </c>
      <c r="Y22" s="69"/>
    </row>
    <row r="23" spans="1:25" ht="12" customHeight="1">
      <c r="A23" s="114">
        <f t="shared" si="12"/>
        <v>2019052</v>
      </c>
      <c r="B23" s="74"/>
      <c r="C23" s="642"/>
      <c r="D23" s="645"/>
      <c r="E23" s="645"/>
      <c r="F23" s="645"/>
      <c r="G23" s="645"/>
      <c r="H23" s="645"/>
      <c r="I23" s="701"/>
      <c r="J23" s="168" t="s">
        <v>28</v>
      </c>
      <c r="K23" s="389">
        <v>0</v>
      </c>
      <c r="L23" s="438">
        <v>0</v>
      </c>
      <c r="M23" s="438">
        <v>1056</v>
      </c>
      <c r="N23" s="438">
        <v>0</v>
      </c>
      <c r="O23" s="438">
        <v>0</v>
      </c>
      <c r="P23" s="438">
        <v>0</v>
      </c>
      <c r="Q23" s="438">
        <v>2112</v>
      </c>
      <c r="R23" s="438">
        <v>0</v>
      </c>
      <c r="S23" s="438">
        <v>0</v>
      </c>
      <c r="T23" s="438">
        <v>0</v>
      </c>
      <c r="U23" s="438">
        <v>1036</v>
      </c>
      <c r="V23" s="321">
        <v>0</v>
      </c>
      <c r="W23" s="14">
        <f t="shared" si="11"/>
        <v>4204</v>
      </c>
      <c r="Y23" s="69"/>
    </row>
    <row r="24" spans="1:25" ht="12" customHeight="1">
      <c r="A24" s="114">
        <f t="shared" si="12"/>
        <v>2019052</v>
      </c>
      <c r="B24" s="74"/>
      <c r="C24" s="642"/>
      <c r="D24" s="645"/>
      <c r="E24" s="645"/>
      <c r="F24" s="645"/>
      <c r="G24" s="645"/>
      <c r="H24" s="645"/>
      <c r="I24" s="701"/>
      <c r="J24" s="168" t="s">
        <v>29</v>
      </c>
      <c r="K24" s="389">
        <v>16150</v>
      </c>
      <c r="L24" s="438">
        <v>16150</v>
      </c>
      <c r="M24" s="438">
        <v>16150</v>
      </c>
      <c r="N24" s="438">
        <v>16150</v>
      </c>
      <c r="O24" s="438">
        <v>16150</v>
      </c>
      <c r="P24" s="438">
        <v>16150</v>
      </c>
      <c r="Q24" s="438">
        <v>16150</v>
      </c>
      <c r="R24" s="438">
        <v>16150</v>
      </c>
      <c r="S24" s="438">
        <v>16150</v>
      </c>
      <c r="T24" s="438">
        <v>16150</v>
      </c>
      <c r="U24" s="438">
        <v>16150</v>
      </c>
      <c r="V24" s="321">
        <v>16150</v>
      </c>
      <c r="W24" s="14">
        <f t="shared" si="11"/>
        <v>193800</v>
      </c>
      <c r="Y24" s="69"/>
    </row>
    <row r="25" spans="1:25" ht="12" customHeight="1">
      <c r="A25" s="114">
        <f t="shared" si="12"/>
        <v>2019052</v>
      </c>
      <c r="B25" s="74"/>
      <c r="C25" s="642"/>
      <c r="D25" s="645"/>
      <c r="E25" s="645"/>
      <c r="F25" s="645"/>
      <c r="G25" s="645"/>
      <c r="H25" s="645"/>
      <c r="I25" s="701"/>
      <c r="J25" s="168" t="s">
        <v>30</v>
      </c>
      <c r="K25" s="389"/>
      <c r="L25" s="438"/>
      <c r="M25" s="438"/>
      <c r="N25" s="438"/>
      <c r="O25" s="438"/>
      <c r="P25" s="438"/>
      <c r="Q25" s="438"/>
      <c r="R25" s="438"/>
      <c r="S25" s="438"/>
      <c r="T25" s="438"/>
      <c r="U25" s="438"/>
      <c r="V25" s="321"/>
      <c r="W25" s="14">
        <f t="shared" si="11"/>
        <v>0</v>
      </c>
      <c r="Y25" s="69"/>
    </row>
    <row r="26" spans="1:25" ht="12" customHeight="1">
      <c r="A26" s="114">
        <f t="shared" si="12"/>
        <v>2019052</v>
      </c>
      <c r="B26" s="74"/>
      <c r="C26" s="642"/>
      <c r="D26" s="645"/>
      <c r="E26" s="645"/>
      <c r="F26" s="645"/>
      <c r="G26" s="645"/>
      <c r="H26" s="645"/>
      <c r="I26" s="701"/>
      <c r="J26" s="168" t="s">
        <v>31</v>
      </c>
      <c r="K26" s="389">
        <v>1692</v>
      </c>
      <c r="L26" s="438">
        <v>1690</v>
      </c>
      <c r="M26" s="438">
        <v>1695</v>
      </c>
      <c r="N26" s="438">
        <v>1694</v>
      </c>
      <c r="O26" s="438">
        <v>1690</v>
      </c>
      <c r="P26" s="438">
        <v>1686</v>
      </c>
      <c r="Q26" s="438">
        <v>1699</v>
      </c>
      <c r="R26" s="438">
        <v>1654</v>
      </c>
      <c r="S26" s="438">
        <v>1690</v>
      </c>
      <c r="T26" s="438">
        <v>1688</v>
      </c>
      <c r="U26" s="438">
        <v>1742</v>
      </c>
      <c r="V26" s="321">
        <v>1692</v>
      </c>
      <c r="W26" s="14">
        <f t="shared" si="11"/>
        <v>20312</v>
      </c>
      <c r="Y26" s="69"/>
    </row>
    <row r="27" spans="1:25" ht="12" customHeight="1">
      <c r="A27" s="114">
        <f t="shared" si="12"/>
        <v>2019052</v>
      </c>
      <c r="B27" s="74"/>
      <c r="C27" s="642"/>
      <c r="D27" s="645"/>
      <c r="E27" s="645"/>
      <c r="F27" s="645"/>
      <c r="G27" s="645"/>
      <c r="H27" s="645"/>
      <c r="I27" s="701"/>
      <c r="J27" s="168" t="s">
        <v>32</v>
      </c>
      <c r="K27" s="389">
        <v>1861</v>
      </c>
      <c r="L27" s="438">
        <v>1859</v>
      </c>
      <c r="M27" s="438">
        <v>1865</v>
      </c>
      <c r="N27" s="438">
        <v>1863</v>
      </c>
      <c r="O27" s="438">
        <v>1859</v>
      </c>
      <c r="P27" s="438">
        <v>1855</v>
      </c>
      <c r="Q27" s="438">
        <v>1868</v>
      </c>
      <c r="R27" s="438">
        <v>1819</v>
      </c>
      <c r="S27" s="438">
        <v>1859</v>
      </c>
      <c r="T27" s="438">
        <v>1857</v>
      </c>
      <c r="U27" s="438">
        <v>1916</v>
      </c>
      <c r="V27" s="321">
        <v>1861</v>
      </c>
      <c r="W27" s="14">
        <f t="shared" si="11"/>
        <v>22342</v>
      </c>
      <c r="Y27" s="69"/>
    </row>
    <row r="28" spans="1:25" ht="12.65" customHeight="1">
      <c r="A28" s="114">
        <f>+A27</f>
        <v>2019052</v>
      </c>
      <c r="B28" s="74"/>
      <c r="C28" s="654"/>
      <c r="D28" s="655"/>
      <c r="E28" s="655"/>
      <c r="F28" s="655"/>
      <c r="G28" s="655"/>
      <c r="H28" s="655"/>
      <c r="I28" s="702"/>
      <c r="J28" s="170" t="s">
        <v>33</v>
      </c>
      <c r="K28" s="338">
        <f t="shared" ref="K28:U28" si="15">K17-K20</f>
        <v>191897</v>
      </c>
      <c r="L28" s="405">
        <f t="shared" si="15"/>
        <v>192301</v>
      </c>
      <c r="M28" s="405">
        <f t="shared" si="15"/>
        <v>191234</v>
      </c>
      <c r="N28" s="405">
        <f t="shared" si="15"/>
        <v>191493</v>
      </c>
      <c r="O28" s="405">
        <f t="shared" si="15"/>
        <v>192301</v>
      </c>
      <c r="P28" s="405">
        <f t="shared" si="15"/>
        <v>175909</v>
      </c>
      <c r="Q28" s="405">
        <f t="shared" si="15"/>
        <v>190571</v>
      </c>
      <c r="R28" s="405">
        <f t="shared" si="15"/>
        <v>161758</v>
      </c>
      <c r="S28" s="405">
        <f t="shared" si="15"/>
        <v>192301</v>
      </c>
      <c r="T28" s="405">
        <f t="shared" si="15"/>
        <v>192705</v>
      </c>
      <c r="U28" s="405">
        <f t="shared" si="15"/>
        <v>185509</v>
      </c>
      <c r="V28" s="90">
        <f>V17-V20</f>
        <v>191897</v>
      </c>
      <c r="W28" s="16">
        <f>W17-W20</f>
        <v>2249876</v>
      </c>
      <c r="Y28" s="69"/>
    </row>
    <row r="29" spans="1:25" ht="12.65" customHeight="1">
      <c r="A29" s="113">
        <v>2020015</v>
      </c>
      <c r="C29" s="642">
        <f t="shared" ref="C29" si="16">C17+1</f>
        <v>3</v>
      </c>
      <c r="D29" s="645" t="s">
        <v>59</v>
      </c>
      <c r="E29" s="645"/>
      <c r="F29" s="645"/>
      <c r="G29" s="645" t="s">
        <v>140</v>
      </c>
      <c r="H29" s="645"/>
      <c r="I29" s="700" t="s">
        <v>55</v>
      </c>
      <c r="J29" s="167" t="s">
        <v>23</v>
      </c>
      <c r="K29" s="393">
        <f t="shared" ref="K29:U29" si="17">K30+K31</f>
        <v>590000</v>
      </c>
      <c r="L29" s="424">
        <f t="shared" si="17"/>
        <v>590000</v>
      </c>
      <c r="M29" s="424">
        <f t="shared" si="17"/>
        <v>590000</v>
      </c>
      <c r="N29" s="424">
        <f t="shared" si="17"/>
        <v>590000</v>
      </c>
      <c r="O29" s="424">
        <f t="shared" si="17"/>
        <v>590000</v>
      </c>
      <c r="P29" s="424">
        <f t="shared" si="17"/>
        <v>590000</v>
      </c>
      <c r="Q29" s="424">
        <f t="shared" si="17"/>
        <v>590000</v>
      </c>
      <c r="R29" s="424">
        <f t="shared" si="17"/>
        <v>564170</v>
      </c>
      <c r="S29" s="424">
        <f t="shared" si="17"/>
        <v>590000</v>
      </c>
      <c r="T29" s="424">
        <f t="shared" si="17"/>
        <v>590000</v>
      </c>
      <c r="U29" s="424">
        <f t="shared" si="17"/>
        <v>569705</v>
      </c>
      <c r="V29" s="87">
        <f>V30+V31</f>
        <v>590000</v>
      </c>
      <c r="W29" s="13">
        <f t="shared" ref="W29:W39" si="18">SUM(K29:V29)</f>
        <v>7033875</v>
      </c>
      <c r="Y29" s="69"/>
    </row>
    <row r="30" spans="1:25" ht="12" customHeight="1">
      <c r="A30" s="114">
        <f>+A29</f>
        <v>2020015</v>
      </c>
      <c r="B30" s="74"/>
      <c r="C30" s="642"/>
      <c r="D30" s="645"/>
      <c r="E30" s="645"/>
      <c r="F30" s="645"/>
      <c r="G30" s="645"/>
      <c r="H30" s="645"/>
      <c r="I30" s="701"/>
      <c r="J30" s="168" t="s">
        <v>24</v>
      </c>
      <c r="K30" s="389">
        <v>590000</v>
      </c>
      <c r="L30" s="438">
        <v>590000</v>
      </c>
      <c r="M30" s="438">
        <v>590000</v>
      </c>
      <c r="N30" s="438">
        <v>590000</v>
      </c>
      <c r="O30" s="438">
        <v>590000</v>
      </c>
      <c r="P30" s="438">
        <v>590000</v>
      </c>
      <c r="Q30" s="438">
        <v>590000</v>
      </c>
      <c r="R30" s="438">
        <v>564170</v>
      </c>
      <c r="S30" s="438">
        <v>590000</v>
      </c>
      <c r="T30" s="438">
        <v>590000</v>
      </c>
      <c r="U30" s="438">
        <v>569705</v>
      </c>
      <c r="V30" s="321">
        <v>590000</v>
      </c>
      <c r="W30" s="14">
        <f t="shared" si="18"/>
        <v>7033875</v>
      </c>
      <c r="Y30" s="69"/>
    </row>
    <row r="31" spans="1:25" ht="12" customHeight="1">
      <c r="A31" s="114">
        <f>+A30</f>
        <v>2020015</v>
      </c>
      <c r="B31" s="74"/>
      <c r="C31" s="642"/>
      <c r="D31" s="645"/>
      <c r="E31" s="645"/>
      <c r="F31" s="645"/>
      <c r="G31" s="645"/>
      <c r="H31" s="645"/>
      <c r="I31" s="701"/>
      <c r="J31" s="168" t="s">
        <v>25</v>
      </c>
      <c r="K31" s="389"/>
      <c r="L31" s="410"/>
      <c r="M31" s="410"/>
      <c r="N31" s="410"/>
      <c r="O31" s="410"/>
      <c r="P31" s="410"/>
      <c r="Q31" s="410"/>
      <c r="R31" s="410"/>
      <c r="S31" s="410"/>
      <c r="T31" s="410"/>
      <c r="U31" s="410"/>
      <c r="V31" s="88"/>
      <c r="W31" s="14">
        <f t="shared" si="18"/>
        <v>0</v>
      </c>
      <c r="Y31" s="69"/>
    </row>
    <row r="32" spans="1:25" ht="12" customHeight="1">
      <c r="A32" s="114">
        <f t="shared" ref="A32:A39" si="19">+A31</f>
        <v>2020015</v>
      </c>
      <c r="B32" s="74"/>
      <c r="C32" s="642"/>
      <c r="D32" s="645"/>
      <c r="E32" s="645"/>
      <c r="F32" s="645"/>
      <c r="G32" s="645"/>
      <c r="H32" s="645"/>
      <c r="I32" s="701"/>
      <c r="J32" s="169" t="s">
        <v>26</v>
      </c>
      <c r="K32" s="390">
        <f t="shared" ref="K32:P32" si="20">SUM(K33:K39)</f>
        <v>443261</v>
      </c>
      <c r="L32" s="426">
        <f t="shared" si="20"/>
        <v>442857</v>
      </c>
      <c r="M32" s="426">
        <f t="shared" si="20"/>
        <v>444088</v>
      </c>
      <c r="N32" s="426">
        <f t="shared" si="20"/>
        <v>443666</v>
      </c>
      <c r="O32" s="426">
        <f t="shared" si="20"/>
        <v>442453</v>
      </c>
      <c r="P32" s="426">
        <f t="shared" si="20"/>
        <v>442857</v>
      </c>
      <c r="Q32" s="426">
        <f t="shared" ref="Q32" si="21">SUM(Q33:Q39)</f>
        <v>443702</v>
      </c>
      <c r="R32" s="426">
        <f t="shared" ref="R32:V32" si="22">SUM(R33:R39)</f>
        <v>442049</v>
      </c>
      <c r="S32" s="426">
        <f t="shared" si="22"/>
        <v>442453</v>
      </c>
      <c r="T32" s="426">
        <f t="shared" si="22"/>
        <v>442857</v>
      </c>
      <c r="U32" s="426">
        <f t="shared" si="22"/>
        <v>442654</v>
      </c>
      <c r="V32" s="89">
        <f t="shared" si="22"/>
        <v>443261</v>
      </c>
      <c r="W32" s="15">
        <f t="shared" si="18"/>
        <v>5316158</v>
      </c>
      <c r="Y32" s="69"/>
    </row>
    <row r="33" spans="1:25" ht="12" customHeight="1">
      <c r="A33" s="114">
        <f t="shared" si="19"/>
        <v>2020015</v>
      </c>
      <c r="B33" s="74"/>
      <c r="C33" s="642"/>
      <c r="D33" s="645"/>
      <c r="E33" s="645"/>
      <c r="F33" s="645"/>
      <c r="G33" s="645"/>
      <c r="H33" s="645"/>
      <c r="I33" s="701"/>
      <c r="J33" s="168" t="s">
        <v>27</v>
      </c>
      <c r="K33" s="389">
        <v>383000</v>
      </c>
      <c r="L33" s="438">
        <v>382600</v>
      </c>
      <c r="M33" s="438">
        <v>383000</v>
      </c>
      <c r="N33" s="438">
        <v>383400</v>
      </c>
      <c r="O33" s="438">
        <v>382200</v>
      </c>
      <c r="P33" s="438">
        <v>382600</v>
      </c>
      <c r="Q33" s="438">
        <v>381800</v>
      </c>
      <c r="R33" s="438">
        <v>381800</v>
      </c>
      <c r="S33" s="438">
        <v>382200</v>
      </c>
      <c r="T33" s="438">
        <v>382600</v>
      </c>
      <c r="U33" s="438">
        <v>381400</v>
      </c>
      <c r="V33" s="321">
        <v>383000</v>
      </c>
      <c r="W33" s="14">
        <f t="shared" si="18"/>
        <v>4589600</v>
      </c>
      <c r="Y33" s="69"/>
    </row>
    <row r="34" spans="1:25" ht="12" customHeight="1">
      <c r="A34" s="114">
        <f t="shared" si="19"/>
        <v>2020015</v>
      </c>
      <c r="B34" s="74"/>
      <c r="C34" s="642"/>
      <c r="D34" s="645"/>
      <c r="E34" s="645"/>
      <c r="F34" s="645"/>
      <c r="G34" s="645"/>
      <c r="H34" s="645"/>
      <c r="I34" s="701"/>
      <c r="J34" s="168" t="s">
        <v>34</v>
      </c>
      <c r="K34" s="389"/>
      <c r="L34" s="438"/>
      <c r="M34" s="438"/>
      <c r="N34" s="438"/>
      <c r="O34" s="438"/>
      <c r="P34" s="438"/>
      <c r="Q34" s="438"/>
      <c r="R34" s="438"/>
      <c r="S34" s="438"/>
      <c r="T34" s="438"/>
      <c r="U34" s="438"/>
      <c r="V34" s="321"/>
      <c r="W34" s="14">
        <f t="shared" si="18"/>
        <v>0</v>
      </c>
      <c r="Y34" s="69"/>
    </row>
    <row r="35" spans="1:25" ht="12" customHeight="1">
      <c r="A35" s="114">
        <f t="shared" si="19"/>
        <v>2020015</v>
      </c>
      <c r="B35" s="74"/>
      <c r="C35" s="642"/>
      <c r="D35" s="645"/>
      <c r="E35" s="645"/>
      <c r="F35" s="645"/>
      <c r="G35" s="645"/>
      <c r="H35" s="645"/>
      <c r="I35" s="701"/>
      <c r="J35" s="168" t="s">
        <v>28</v>
      </c>
      <c r="K35" s="389">
        <v>0</v>
      </c>
      <c r="L35" s="438">
        <v>0</v>
      </c>
      <c r="M35" s="438">
        <v>818</v>
      </c>
      <c r="N35" s="438">
        <v>0</v>
      </c>
      <c r="O35" s="438">
        <v>0</v>
      </c>
      <c r="P35" s="438">
        <v>0</v>
      </c>
      <c r="Q35" s="438">
        <v>1636</v>
      </c>
      <c r="R35" s="438">
        <v>0</v>
      </c>
      <c r="S35" s="438">
        <v>0</v>
      </c>
      <c r="T35" s="438">
        <v>0</v>
      </c>
      <c r="U35" s="438">
        <v>818</v>
      </c>
      <c r="V35" s="321">
        <v>0</v>
      </c>
      <c r="W35" s="14">
        <f t="shared" si="18"/>
        <v>3272</v>
      </c>
      <c r="Y35" s="69"/>
    </row>
    <row r="36" spans="1:25" ht="12" customHeight="1">
      <c r="A36" s="114">
        <f t="shared" si="19"/>
        <v>2020015</v>
      </c>
      <c r="B36" s="74"/>
      <c r="C36" s="642"/>
      <c r="D36" s="645"/>
      <c r="E36" s="645"/>
      <c r="F36" s="645"/>
      <c r="G36" s="645"/>
      <c r="H36" s="645"/>
      <c r="I36" s="701"/>
      <c r="J36" s="168" t="s">
        <v>29</v>
      </c>
      <c r="K36" s="389">
        <v>21470</v>
      </c>
      <c r="L36" s="438">
        <v>21470</v>
      </c>
      <c r="M36" s="438">
        <v>21470</v>
      </c>
      <c r="N36" s="438">
        <v>21470</v>
      </c>
      <c r="O36" s="438">
        <v>21470</v>
      </c>
      <c r="P36" s="438">
        <v>21470</v>
      </c>
      <c r="Q36" s="438">
        <v>21470</v>
      </c>
      <c r="R36" s="438">
        <v>21470</v>
      </c>
      <c r="S36" s="438">
        <v>21470</v>
      </c>
      <c r="T36" s="438">
        <v>21470</v>
      </c>
      <c r="U36" s="438">
        <v>21470</v>
      </c>
      <c r="V36" s="321">
        <v>21470</v>
      </c>
      <c r="W36" s="14">
        <f t="shared" si="18"/>
        <v>257640</v>
      </c>
      <c r="Y36" s="69"/>
    </row>
    <row r="37" spans="1:25" ht="12" customHeight="1">
      <c r="A37" s="114">
        <f t="shared" si="19"/>
        <v>2020015</v>
      </c>
      <c r="B37" s="74"/>
      <c r="C37" s="642"/>
      <c r="D37" s="645"/>
      <c r="E37" s="645"/>
      <c r="F37" s="645"/>
      <c r="G37" s="645"/>
      <c r="H37" s="645"/>
      <c r="I37" s="701"/>
      <c r="J37" s="168" t="s">
        <v>30</v>
      </c>
      <c r="K37" s="389">
        <v>34770</v>
      </c>
      <c r="L37" s="438">
        <v>34770</v>
      </c>
      <c r="M37" s="438">
        <v>34770</v>
      </c>
      <c r="N37" s="438">
        <v>34770</v>
      </c>
      <c r="O37" s="438">
        <v>34770</v>
      </c>
      <c r="P37" s="438">
        <v>34770</v>
      </c>
      <c r="Q37" s="438">
        <v>34770</v>
      </c>
      <c r="R37" s="438">
        <v>34770</v>
      </c>
      <c r="S37" s="438">
        <v>34770</v>
      </c>
      <c r="T37" s="438">
        <v>34770</v>
      </c>
      <c r="U37" s="438">
        <v>34770</v>
      </c>
      <c r="V37" s="321">
        <v>34770</v>
      </c>
      <c r="W37" s="14">
        <f t="shared" si="18"/>
        <v>417240</v>
      </c>
      <c r="Y37" s="69"/>
    </row>
    <row r="38" spans="1:25" ht="12" customHeight="1">
      <c r="A38" s="114">
        <f t="shared" si="19"/>
        <v>2020015</v>
      </c>
      <c r="B38" s="74"/>
      <c r="C38" s="642"/>
      <c r="D38" s="645"/>
      <c r="E38" s="645"/>
      <c r="F38" s="645"/>
      <c r="G38" s="645"/>
      <c r="H38" s="645"/>
      <c r="I38" s="701"/>
      <c r="J38" s="168" t="s">
        <v>31</v>
      </c>
      <c r="K38" s="389">
        <v>1915</v>
      </c>
      <c r="L38" s="438">
        <v>1913</v>
      </c>
      <c r="M38" s="438">
        <v>1919</v>
      </c>
      <c r="N38" s="438">
        <v>1917</v>
      </c>
      <c r="O38" s="438">
        <v>1911</v>
      </c>
      <c r="P38" s="438">
        <v>1913</v>
      </c>
      <c r="Q38" s="438">
        <v>1917</v>
      </c>
      <c r="R38" s="438">
        <v>1909</v>
      </c>
      <c r="S38" s="438">
        <v>1911</v>
      </c>
      <c r="T38" s="438">
        <v>1913</v>
      </c>
      <c r="U38" s="438">
        <v>1998</v>
      </c>
      <c r="V38" s="321">
        <v>1915</v>
      </c>
      <c r="W38" s="14">
        <f t="shared" si="18"/>
        <v>23051</v>
      </c>
      <c r="Y38" s="69"/>
    </row>
    <row r="39" spans="1:25" ht="12" customHeight="1">
      <c r="A39" s="114">
        <f t="shared" si="19"/>
        <v>2020015</v>
      </c>
      <c r="B39" s="74"/>
      <c r="C39" s="642"/>
      <c r="D39" s="645"/>
      <c r="E39" s="645"/>
      <c r="F39" s="645"/>
      <c r="G39" s="645"/>
      <c r="H39" s="645"/>
      <c r="I39" s="701"/>
      <c r="J39" s="168" t="s">
        <v>32</v>
      </c>
      <c r="K39" s="389">
        <v>2106</v>
      </c>
      <c r="L39" s="438">
        <v>2104</v>
      </c>
      <c r="M39" s="438">
        <v>2111</v>
      </c>
      <c r="N39" s="438">
        <v>2109</v>
      </c>
      <c r="O39" s="438">
        <v>2102</v>
      </c>
      <c r="P39" s="438">
        <v>2104</v>
      </c>
      <c r="Q39" s="438">
        <v>2109</v>
      </c>
      <c r="R39" s="438">
        <v>2100</v>
      </c>
      <c r="S39" s="438">
        <v>2102</v>
      </c>
      <c r="T39" s="438">
        <v>2104</v>
      </c>
      <c r="U39" s="438">
        <v>2198</v>
      </c>
      <c r="V39" s="321">
        <v>2106</v>
      </c>
      <c r="W39" s="14">
        <f t="shared" si="18"/>
        <v>25355</v>
      </c>
      <c r="Y39" s="69"/>
    </row>
    <row r="40" spans="1:25" ht="12.65" customHeight="1">
      <c r="A40" s="114">
        <f>+A39</f>
        <v>2020015</v>
      </c>
      <c r="B40" s="74"/>
      <c r="C40" s="654"/>
      <c r="D40" s="655"/>
      <c r="E40" s="655"/>
      <c r="F40" s="655"/>
      <c r="G40" s="655"/>
      <c r="H40" s="655"/>
      <c r="I40" s="702"/>
      <c r="J40" s="170" t="s">
        <v>33</v>
      </c>
      <c r="K40" s="338">
        <f t="shared" ref="K40:U40" si="23">K29-K32</f>
        <v>146739</v>
      </c>
      <c r="L40" s="405">
        <f t="shared" si="23"/>
        <v>147143</v>
      </c>
      <c r="M40" s="405">
        <f t="shared" si="23"/>
        <v>145912</v>
      </c>
      <c r="N40" s="405">
        <f t="shared" si="23"/>
        <v>146334</v>
      </c>
      <c r="O40" s="405">
        <f t="shared" si="23"/>
        <v>147547</v>
      </c>
      <c r="P40" s="405">
        <f t="shared" si="23"/>
        <v>147143</v>
      </c>
      <c r="Q40" s="405">
        <f t="shared" si="23"/>
        <v>146298</v>
      </c>
      <c r="R40" s="405">
        <f t="shared" si="23"/>
        <v>122121</v>
      </c>
      <c r="S40" s="405">
        <f t="shared" si="23"/>
        <v>147547</v>
      </c>
      <c r="T40" s="405">
        <f t="shared" si="23"/>
        <v>147143</v>
      </c>
      <c r="U40" s="405">
        <f t="shared" si="23"/>
        <v>127051</v>
      </c>
      <c r="V40" s="90">
        <f>V29-V32</f>
        <v>146739</v>
      </c>
      <c r="W40" s="16">
        <f>W29-W32</f>
        <v>1717717</v>
      </c>
      <c r="Y40" s="69"/>
    </row>
    <row r="41" spans="1:25" ht="12.65" customHeight="1">
      <c r="A41" s="113">
        <v>2023027</v>
      </c>
      <c r="C41" s="642">
        <f t="shared" ref="C41" si="24">C29+1</f>
        <v>4</v>
      </c>
      <c r="D41" s="645" t="s">
        <v>59</v>
      </c>
      <c r="E41" s="645" t="s">
        <v>173</v>
      </c>
      <c r="F41" s="645"/>
      <c r="G41" s="645" t="s">
        <v>139</v>
      </c>
      <c r="H41" s="645"/>
      <c r="I41" s="700" t="s">
        <v>55</v>
      </c>
      <c r="J41" s="167" t="s">
        <v>23</v>
      </c>
      <c r="K41" s="393">
        <f t="shared" ref="K41:U41" si="25">K42+K43</f>
        <v>430000</v>
      </c>
      <c r="L41" s="367">
        <f t="shared" si="25"/>
        <v>430000</v>
      </c>
      <c r="M41" s="367">
        <f t="shared" si="25"/>
        <v>430000</v>
      </c>
      <c r="N41" s="367">
        <f t="shared" si="25"/>
        <v>430000</v>
      </c>
      <c r="O41" s="367">
        <f t="shared" si="25"/>
        <v>430000</v>
      </c>
      <c r="P41" s="367">
        <f t="shared" si="25"/>
        <v>450000</v>
      </c>
      <c r="Q41" s="367">
        <f t="shared" si="25"/>
        <v>450000</v>
      </c>
      <c r="R41" s="367">
        <f t="shared" si="25"/>
        <v>427520</v>
      </c>
      <c r="S41" s="367">
        <f t="shared" si="25"/>
        <v>450000</v>
      </c>
      <c r="T41" s="424">
        <f t="shared" si="25"/>
        <v>0</v>
      </c>
      <c r="U41" s="424">
        <f t="shared" si="25"/>
        <v>0</v>
      </c>
      <c r="V41" s="537">
        <f>V42+V43</f>
        <v>0</v>
      </c>
      <c r="W41" s="538">
        <f t="shared" ref="W41:W51" si="26">SUM(K41:V41)</f>
        <v>3927520</v>
      </c>
      <c r="Y41" s="69"/>
    </row>
    <row r="42" spans="1:25" ht="12" customHeight="1">
      <c r="A42" s="114">
        <f>+A41</f>
        <v>2023027</v>
      </c>
      <c r="B42" s="74"/>
      <c r="C42" s="642"/>
      <c r="D42" s="645"/>
      <c r="E42" s="645"/>
      <c r="F42" s="645"/>
      <c r="G42" s="645"/>
      <c r="H42" s="645"/>
      <c r="I42" s="701"/>
      <c r="J42" s="168" t="s">
        <v>24</v>
      </c>
      <c r="K42" s="389">
        <v>430000</v>
      </c>
      <c r="L42" s="389">
        <v>430000</v>
      </c>
      <c r="M42" s="389">
        <v>430000</v>
      </c>
      <c r="N42" s="389">
        <v>430000</v>
      </c>
      <c r="O42" s="389">
        <v>430000</v>
      </c>
      <c r="P42" s="389">
        <v>450000</v>
      </c>
      <c r="Q42" s="389">
        <v>450000</v>
      </c>
      <c r="R42" s="389">
        <v>427520</v>
      </c>
      <c r="S42" s="389">
        <v>450000</v>
      </c>
      <c r="T42" s="438"/>
      <c r="U42" s="438"/>
      <c r="V42" s="389"/>
      <c r="W42" s="494">
        <f t="shared" si="26"/>
        <v>3927520</v>
      </c>
      <c r="Y42" s="69"/>
    </row>
    <row r="43" spans="1:25" ht="12" customHeight="1">
      <c r="A43" s="114">
        <f>+A42</f>
        <v>2023027</v>
      </c>
      <c r="B43" s="74"/>
      <c r="C43" s="642"/>
      <c r="D43" s="645"/>
      <c r="E43" s="645"/>
      <c r="F43" s="645"/>
      <c r="G43" s="645"/>
      <c r="H43" s="645"/>
      <c r="I43" s="701"/>
      <c r="J43" s="168" t="s">
        <v>25</v>
      </c>
      <c r="K43" s="389"/>
      <c r="L43" s="329"/>
      <c r="M43" s="329"/>
      <c r="N43" s="329"/>
      <c r="O43" s="329"/>
      <c r="P43" s="329"/>
      <c r="Q43" s="329"/>
      <c r="R43" s="329"/>
      <c r="S43" s="329"/>
      <c r="T43" s="410"/>
      <c r="U43" s="410"/>
      <c r="V43" s="513"/>
      <c r="W43" s="494">
        <f t="shared" si="26"/>
        <v>0</v>
      </c>
      <c r="Y43" s="69"/>
    </row>
    <row r="44" spans="1:25" ht="12" customHeight="1">
      <c r="A44" s="114">
        <f t="shared" ref="A44:A51" si="27">+A43</f>
        <v>2023027</v>
      </c>
      <c r="B44" s="74"/>
      <c r="C44" s="642"/>
      <c r="D44" s="645"/>
      <c r="E44" s="645"/>
      <c r="F44" s="645"/>
      <c r="G44" s="645"/>
      <c r="H44" s="645"/>
      <c r="I44" s="701"/>
      <c r="J44" s="169" t="s">
        <v>26</v>
      </c>
      <c r="K44" s="390">
        <f t="shared" ref="K44:V44" si="28">SUM(K45:K51)</f>
        <v>294473</v>
      </c>
      <c r="L44" s="330">
        <f t="shared" si="28"/>
        <v>294069</v>
      </c>
      <c r="M44" s="330">
        <f t="shared" si="28"/>
        <v>294473</v>
      </c>
      <c r="N44" s="330">
        <f t="shared" si="28"/>
        <v>294877</v>
      </c>
      <c r="O44" s="330">
        <f t="shared" si="28"/>
        <v>294069</v>
      </c>
      <c r="P44" s="330">
        <f t="shared" si="28"/>
        <v>296445</v>
      </c>
      <c r="Q44" s="330">
        <f t="shared" si="28"/>
        <v>309719</v>
      </c>
      <c r="R44" s="330">
        <f t="shared" si="28"/>
        <v>307698</v>
      </c>
      <c r="S44" s="330">
        <f t="shared" si="28"/>
        <v>308506</v>
      </c>
      <c r="T44" s="426">
        <f t="shared" si="28"/>
        <v>0</v>
      </c>
      <c r="U44" s="426">
        <f t="shared" si="28"/>
        <v>0</v>
      </c>
      <c r="V44" s="495">
        <f t="shared" si="28"/>
        <v>0</v>
      </c>
      <c r="W44" s="496">
        <f t="shared" si="26"/>
        <v>2694329</v>
      </c>
      <c r="Y44" s="69"/>
    </row>
    <row r="45" spans="1:25" ht="12" customHeight="1">
      <c r="A45" s="114">
        <f t="shared" si="27"/>
        <v>2023027</v>
      </c>
      <c r="B45" s="74"/>
      <c r="C45" s="642"/>
      <c r="D45" s="645"/>
      <c r="E45" s="645"/>
      <c r="F45" s="645"/>
      <c r="G45" s="645"/>
      <c r="H45" s="645"/>
      <c r="I45" s="701"/>
      <c r="J45" s="168" t="s">
        <v>27</v>
      </c>
      <c r="K45" s="389">
        <v>258400</v>
      </c>
      <c r="L45" s="389">
        <v>258000</v>
      </c>
      <c r="M45" s="389">
        <v>258400</v>
      </c>
      <c r="N45" s="389">
        <v>258800</v>
      </c>
      <c r="O45" s="389">
        <v>258000</v>
      </c>
      <c r="P45" s="389">
        <v>257600</v>
      </c>
      <c r="Q45" s="389">
        <v>268400</v>
      </c>
      <c r="R45" s="389">
        <v>266400</v>
      </c>
      <c r="S45" s="389">
        <v>267200</v>
      </c>
      <c r="T45" s="438"/>
      <c r="U45" s="438"/>
      <c r="V45" s="389"/>
      <c r="W45" s="494">
        <f t="shared" si="26"/>
        <v>2351200</v>
      </c>
      <c r="Y45" s="69"/>
    </row>
    <row r="46" spans="1:25" ht="12" customHeight="1">
      <c r="A46" s="114">
        <f t="shared" si="27"/>
        <v>2023027</v>
      </c>
      <c r="B46" s="74"/>
      <c r="C46" s="642"/>
      <c r="D46" s="645"/>
      <c r="E46" s="645"/>
      <c r="F46" s="645"/>
      <c r="G46" s="645"/>
      <c r="H46" s="645"/>
      <c r="I46" s="701"/>
      <c r="J46" s="168" t="s">
        <v>34</v>
      </c>
      <c r="K46" s="389"/>
      <c r="L46" s="389"/>
      <c r="M46" s="389"/>
      <c r="N46" s="389"/>
      <c r="O46" s="389"/>
      <c r="P46" s="389"/>
      <c r="Q46" s="389"/>
      <c r="R46" s="389"/>
      <c r="S46" s="389"/>
      <c r="T46" s="438"/>
      <c r="U46" s="438"/>
      <c r="V46" s="389"/>
      <c r="W46" s="494">
        <f t="shared" si="26"/>
        <v>0</v>
      </c>
      <c r="Y46" s="69"/>
    </row>
    <row r="47" spans="1:25" ht="12" customHeight="1">
      <c r="A47" s="114">
        <f t="shared" si="27"/>
        <v>2023027</v>
      </c>
      <c r="B47" s="74"/>
      <c r="C47" s="642"/>
      <c r="D47" s="645"/>
      <c r="E47" s="645"/>
      <c r="F47" s="645"/>
      <c r="G47" s="645"/>
      <c r="H47" s="645"/>
      <c r="I47" s="701"/>
      <c r="J47" s="168" t="s">
        <v>28</v>
      </c>
      <c r="K47" s="389">
        <v>0</v>
      </c>
      <c r="L47" s="389">
        <v>0</v>
      </c>
      <c r="M47" s="389">
        <v>0</v>
      </c>
      <c r="N47" s="389">
        <v>0</v>
      </c>
      <c r="O47" s="389">
        <v>0</v>
      </c>
      <c r="P47" s="389">
        <v>0</v>
      </c>
      <c r="Q47" s="389">
        <v>2336</v>
      </c>
      <c r="R47" s="389">
        <v>2336</v>
      </c>
      <c r="S47" s="389">
        <v>2336</v>
      </c>
      <c r="T47" s="438"/>
      <c r="U47" s="438"/>
      <c r="V47" s="389"/>
      <c r="W47" s="494">
        <f t="shared" si="26"/>
        <v>7008</v>
      </c>
      <c r="Y47" s="69"/>
    </row>
    <row r="48" spans="1:25" ht="12" customHeight="1">
      <c r="A48" s="114">
        <f t="shared" si="27"/>
        <v>2023027</v>
      </c>
      <c r="B48" s="74"/>
      <c r="C48" s="642"/>
      <c r="D48" s="645"/>
      <c r="E48" s="645"/>
      <c r="F48" s="645"/>
      <c r="G48" s="645"/>
      <c r="H48" s="645"/>
      <c r="I48" s="701"/>
      <c r="J48" s="168" t="s">
        <v>29</v>
      </c>
      <c r="K48" s="389">
        <v>11400</v>
      </c>
      <c r="L48" s="389">
        <v>11400</v>
      </c>
      <c r="M48" s="389">
        <v>11400</v>
      </c>
      <c r="N48" s="389">
        <v>11400</v>
      </c>
      <c r="O48" s="389">
        <v>11400</v>
      </c>
      <c r="P48" s="389">
        <v>12350</v>
      </c>
      <c r="Q48" s="389">
        <v>12350</v>
      </c>
      <c r="R48" s="389">
        <v>12350</v>
      </c>
      <c r="S48" s="389">
        <v>12350</v>
      </c>
      <c r="T48" s="438"/>
      <c r="U48" s="438"/>
      <c r="V48" s="389"/>
      <c r="W48" s="494">
        <f t="shared" si="26"/>
        <v>106400</v>
      </c>
      <c r="Y48" s="69"/>
    </row>
    <row r="49" spans="1:31" ht="12" customHeight="1">
      <c r="A49" s="114">
        <f t="shared" si="27"/>
        <v>2023027</v>
      </c>
      <c r="B49" s="74"/>
      <c r="C49" s="642"/>
      <c r="D49" s="645"/>
      <c r="E49" s="645"/>
      <c r="F49" s="645"/>
      <c r="G49" s="645"/>
      <c r="H49" s="645"/>
      <c r="I49" s="701"/>
      <c r="J49" s="168" t="s">
        <v>30</v>
      </c>
      <c r="K49" s="389">
        <v>21960</v>
      </c>
      <c r="L49" s="389">
        <v>21960</v>
      </c>
      <c r="M49" s="389">
        <v>21960</v>
      </c>
      <c r="N49" s="389">
        <v>21960</v>
      </c>
      <c r="O49" s="389">
        <v>21960</v>
      </c>
      <c r="P49" s="389">
        <v>23790</v>
      </c>
      <c r="Q49" s="389">
        <v>23790</v>
      </c>
      <c r="R49" s="389">
        <v>23790</v>
      </c>
      <c r="S49" s="389">
        <v>23790</v>
      </c>
      <c r="T49" s="438"/>
      <c r="U49" s="438"/>
      <c r="V49" s="389"/>
      <c r="W49" s="494">
        <f t="shared" si="26"/>
        <v>204960</v>
      </c>
      <c r="Y49" s="69"/>
    </row>
    <row r="50" spans="1:31" ht="12" customHeight="1">
      <c r="A50" s="114">
        <f t="shared" si="27"/>
        <v>2023027</v>
      </c>
      <c r="B50" s="74"/>
      <c r="C50" s="642"/>
      <c r="D50" s="645"/>
      <c r="E50" s="645"/>
      <c r="F50" s="645"/>
      <c r="G50" s="645"/>
      <c r="H50" s="645"/>
      <c r="I50" s="701"/>
      <c r="J50" s="168" t="s">
        <v>31</v>
      </c>
      <c r="K50" s="389">
        <v>1292</v>
      </c>
      <c r="L50" s="389">
        <v>1290</v>
      </c>
      <c r="M50" s="389">
        <v>1292</v>
      </c>
      <c r="N50" s="389">
        <v>1294</v>
      </c>
      <c r="O50" s="389">
        <v>1290</v>
      </c>
      <c r="P50" s="389">
        <v>1288</v>
      </c>
      <c r="Q50" s="389">
        <v>1354</v>
      </c>
      <c r="R50" s="389">
        <v>1344</v>
      </c>
      <c r="S50" s="389">
        <v>1348</v>
      </c>
      <c r="T50" s="438"/>
      <c r="U50" s="438"/>
      <c r="V50" s="389"/>
      <c r="W50" s="494">
        <f t="shared" si="26"/>
        <v>11792</v>
      </c>
      <c r="Y50" s="69"/>
    </row>
    <row r="51" spans="1:31" ht="12" customHeight="1">
      <c r="A51" s="114">
        <f t="shared" si="27"/>
        <v>2023027</v>
      </c>
      <c r="B51" s="74"/>
      <c r="C51" s="642"/>
      <c r="D51" s="645"/>
      <c r="E51" s="645"/>
      <c r="F51" s="645"/>
      <c r="G51" s="645"/>
      <c r="H51" s="645"/>
      <c r="I51" s="701"/>
      <c r="J51" s="168" t="s">
        <v>32</v>
      </c>
      <c r="K51" s="389">
        <v>1421</v>
      </c>
      <c r="L51" s="389">
        <v>1419</v>
      </c>
      <c r="M51" s="389">
        <v>1421</v>
      </c>
      <c r="N51" s="389">
        <v>1423</v>
      </c>
      <c r="O51" s="389">
        <v>1419</v>
      </c>
      <c r="P51" s="389">
        <v>1417</v>
      </c>
      <c r="Q51" s="389">
        <v>1489</v>
      </c>
      <c r="R51" s="389">
        <v>1478</v>
      </c>
      <c r="S51" s="389">
        <v>1482</v>
      </c>
      <c r="T51" s="438"/>
      <c r="U51" s="438"/>
      <c r="V51" s="389"/>
      <c r="W51" s="494">
        <f t="shared" si="26"/>
        <v>12969</v>
      </c>
      <c r="Y51" s="69"/>
    </row>
    <row r="52" spans="1:31" ht="12.65" customHeight="1">
      <c r="A52" s="114">
        <f>+A51</f>
        <v>2023027</v>
      </c>
      <c r="B52" s="74"/>
      <c r="C52" s="654"/>
      <c r="D52" s="655"/>
      <c r="E52" s="655"/>
      <c r="F52" s="655"/>
      <c r="G52" s="655"/>
      <c r="H52" s="655"/>
      <c r="I52" s="702"/>
      <c r="J52" s="170" t="s">
        <v>33</v>
      </c>
      <c r="K52" s="338">
        <f t="shared" ref="K52:N52" si="29">K41-K44</f>
        <v>135527</v>
      </c>
      <c r="L52" s="331">
        <f t="shared" si="29"/>
        <v>135931</v>
      </c>
      <c r="M52" s="331">
        <f t="shared" si="29"/>
        <v>135527</v>
      </c>
      <c r="N52" s="331">
        <f t="shared" si="29"/>
        <v>135123</v>
      </c>
      <c r="O52" s="331">
        <f>O41-O44</f>
        <v>135931</v>
      </c>
      <c r="P52" s="331">
        <f t="shared" ref="P52:Q52" si="30">P41-P44</f>
        <v>153555</v>
      </c>
      <c r="Q52" s="331">
        <f t="shared" si="30"/>
        <v>140281</v>
      </c>
      <c r="R52" s="331">
        <f>R41-R44</f>
        <v>119822</v>
      </c>
      <c r="S52" s="331">
        <f t="shared" ref="S52:U52" si="31">S41-S44</f>
        <v>141494</v>
      </c>
      <c r="T52" s="405">
        <f t="shared" si="31"/>
        <v>0</v>
      </c>
      <c r="U52" s="405">
        <f t="shared" si="31"/>
        <v>0</v>
      </c>
      <c r="V52" s="484">
        <f>V41-V44</f>
        <v>0</v>
      </c>
      <c r="W52" s="497">
        <f>W41-W44</f>
        <v>1233191</v>
      </c>
      <c r="Y52" s="69"/>
    </row>
    <row r="53" spans="1:31" ht="12.75" customHeight="1">
      <c r="A53" s="113">
        <v>2011012</v>
      </c>
      <c r="C53" s="641">
        <f t="shared" ref="C53" si="32">C41+1</f>
        <v>5</v>
      </c>
      <c r="D53" s="644" t="s">
        <v>60</v>
      </c>
      <c r="E53" s="644"/>
      <c r="F53" s="644"/>
      <c r="G53" s="697" t="s">
        <v>162</v>
      </c>
      <c r="H53" s="647"/>
      <c r="I53" s="628" t="s">
        <v>55</v>
      </c>
      <c r="J53" s="176" t="s">
        <v>23</v>
      </c>
      <c r="K53" s="353">
        <f t="shared" ref="K53:V53" si="33">K54+K55</f>
        <v>650000</v>
      </c>
      <c r="L53" s="409">
        <f t="shared" si="33"/>
        <v>650000</v>
      </c>
      <c r="M53" s="409">
        <f t="shared" si="33"/>
        <v>650000</v>
      </c>
      <c r="N53" s="409">
        <f t="shared" si="33"/>
        <v>650000</v>
      </c>
      <c r="O53" s="409">
        <f t="shared" si="33"/>
        <v>650000</v>
      </c>
      <c r="P53" s="409">
        <f t="shared" si="33"/>
        <v>650000</v>
      </c>
      <c r="Q53" s="409">
        <f t="shared" si="33"/>
        <v>650000</v>
      </c>
      <c r="R53" s="409">
        <f t="shared" si="33"/>
        <v>607370</v>
      </c>
      <c r="S53" s="409">
        <f t="shared" si="33"/>
        <v>650000</v>
      </c>
      <c r="T53" s="409">
        <f t="shared" si="33"/>
        <v>650000</v>
      </c>
      <c r="U53" s="409">
        <f t="shared" si="33"/>
        <v>629700</v>
      </c>
      <c r="V53" s="96">
        <f t="shared" si="33"/>
        <v>650000</v>
      </c>
      <c r="W53" s="117">
        <f t="shared" ref="W53:W63" si="34">SUM(K53:V53)</f>
        <v>7737070</v>
      </c>
      <c r="X53"/>
      <c r="Y53"/>
      <c r="Z53"/>
      <c r="AA53"/>
      <c r="AB53"/>
      <c r="AC53"/>
    </row>
    <row r="54" spans="1:31" ht="13.4" customHeight="1">
      <c r="A54" s="114">
        <f t="shared" ref="A54:A64" si="35">+A53</f>
        <v>2011012</v>
      </c>
      <c r="B54" s="74"/>
      <c r="C54" s="642"/>
      <c r="D54" s="645"/>
      <c r="E54" s="645"/>
      <c r="F54" s="645"/>
      <c r="G54" s="698"/>
      <c r="H54" s="648"/>
      <c r="I54" s="629"/>
      <c r="J54" s="172" t="s">
        <v>24</v>
      </c>
      <c r="K54" s="329">
        <v>650000</v>
      </c>
      <c r="L54" s="410">
        <v>650000</v>
      </c>
      <c r="M54" s="410">
        <v>650000</v>
      </c>
      <c r="N54" s="410">
        <v>650000</v>
      </c>
      <c r="O54" s="410">
        <v>650000</v>
      </c>
      <c r="P54" s="410">
        <v>650000</v>
      </c>
      <c r="Q54" s="410">
        <v>650000</v>
      </c>
      <c r="R54" s="410">
        <v>607370</v>
      </c>
      <c r="S54" s="410">
        <v>650000</v>
      </c>
      <c r="T54" s="410">
        <v>650000</v>
      </c>
      <c r="U54" s="410">
        <v>629700</v>
      </c>
      <c r="V54" s="26">
        <v>650000</v>
      </c>
      <c r="W54" s="49">
        <f t="shared" si="34"/>
        <v>7737070</v>
      </c>
      <c r="X54"/>
      <c r="Y54"/>
      <c r="Z54"/>
      <c r="AA54"/>
      <c r="AB54"/>
      <c r="AC54"/>
      <c r="AD54" s="69"/>
      <c r="AE54" s="69"/>
    </row>
    <row r="55" spans="1:31" ht="13.4" customHeight="1">
      <c r="A55" s="114">
        <f t="shared" si="35"/>
        <v>2011012</v>
      </c>
      <c r="B55" s="74"/>
      <c r="C55" s="642"/>
      <c r="D55" s="645"/>
      <c r="E55" s="645"/>
      <c r="F55" s="645"/>
      <c r="G55" s="698"/>
      <c r="H55" s="648"/>
      <c r="I55" s="629"/>
      <c r="J55" s="172" t="s">
        <v>25</v>
      </c>
      <c r="K55" s="343"/>
      <c r="L55" s="297"/>
      <c r="M55" s="297"/>
      <c r="N55" s="297"/>
      <c r="O55" s="297"/>
      <c r="P55" s="297"/>
      <c r="Q55" s="297"/>
      <c r="R55" s="297"/>
      <c r="S55" s="297"/>
      <c r="T55" s="297"/>
      <c r="U55" s="297"/>
      <c r="V55" s="98"/>
      <c r="W55" s="49">
        <f t="shared" si="34"/>
        <v>0</v>
      </c>
      <c r="X55"/>
      <c r="Y55"/>
      <c r="Z55"/>
      <c r="AA55"/>
      <c r="AB55"/>
      <c r="AC55"/>
    </row>
    <row r="56" spans="1:31" ht="13.4" customHeight="1">
      <c r="A56" s="114">
        <f t="shared" si="35"/>
        <v>2011012</v>
      </c>
      <c r="B56" s="74"/>
      <c r="C56" s="642"/>
      <c r="D56" s="645"/>
      <c r="E56" s="645"/>
      <c r="F56" s="645"/>
      <c r="G56" s="698"/>
      <c r="H56" s="648"/>
      <c r="I56" s="629"/>
      <c r="J56" s="173" t="s">
        <v>26</v>
      </c>
      <c r="K56" s="344">
        <f t="shared" ref="K56:V56" si="36">SUM(K57:K63)</f>
        <v>524565</v>
      </c>
      <c r="L56" s="411">
        <f t="shared" si="36"/>
        <v>523443</v>
      </c>
      <c r="M56" s="411">
        <f t="shared" si="36"/>
        <v>523130</v>
      </c>
      <c r="N56" s="411">
        <f t="shared" si="36"/>
        <v>523130</v>
      </c>
      <c r="O56" s="411">
        <f t="shared" si="36"/>
        <v>509498</v>
      </c>
      <c r="P56" s="411">
        <f t="shared" si="36"/>
        <v>509498</v>
      </c>
      <c r="Q56" s="411">
        <f t="shared" si="36"/>
        <v>560599</v>
      </c>
      <c r="R56" s="411">
        <f t="shared" si="36"/>
        <v>508286</v>
      </c>
      <c r="S56" s="411">
        <f t="shared" si="36"/>
        <v>507659</v>
      </c>
      <c r="T56" s="411">
        <f t="shared" si="36"/>
        <v>509094</v>
      </c>
      <c r="U56" s="411">
        <f t="shared" si="36"/>
        <v>508872</v>
      </c>
      <c r="V56" s="99">
        <f t="shared" si="36"/>
        <v>524565</v>
      </c>
      <c r="W56" s="50">
        <f t="shared" si="34"/>
        <v>6232339</v>
      </c>
      <c r="X56"/>
      <c r="Y56"/>
      <c r="Z56"/>
      <c r="AA56"/>
      <c r="AB56"/>
      <c r="AC56"/>
    </row>
    <row r="57" spans="1:31" ht="13.4" customHeight="1">
      <c r="A57" s="114">
        <f t="shared" si="35"/>
        <v>2011012</v>
      </c>
      <c r="B57" s="74"/>
      <c r="C57" s="642"/>
      <c r="D57" s="645"/>
      <c r="E57" s="645"/>
      <c r="F57" s="645"/>
      <c r="G57" s="698"/>
      <c r="H57" s="648"/>
      <c r="I57" s="629"/>
      <c r="J57" s="174" t="s">
        <v>27</v>
      </c>
      <c r="K57" s="389">
        <v>434000</v>
      </c>
      <c r="L57" s="438">
        <v>434000</v>
      </c>
      <c r="M57" s="438">
        <v>434800</v>
      </c>
      <c r="N57" s="438">
        <v>434800</v>
      </c>
      <c r="O57" s="438">
        <v>434800</v>
      </c>
      <c r="P57" s="438">
        <v>434800</v>
      </c>
      <c r="Q57" s="438">
        <v>483150</v>
      </c>
      <c r="R57" s="438">
        <v>433600</v>
      </c>
      <c r="S57" s="438">
        <v>435200</v>
      </c>
      <c r="T57" s="438">
        <v>434400</v>
      </c>
      <c r="U57" s="438">
        <v>434000</v>
      </c>
      <c r="V57" s="321">
        <v>434000</v>
      </c>
      <c r="W57" s="49">
        <f t="shared" si="34"/>
        <v>5261550</v>
      </c>
      <c r="X57" s="69"/>
      <c r="Y57" s="69"/>
    </row>
    <row r="58" spans="1:31" ht="13.4" customHeight="1">
      <c r="A58" s="114">
        <f t="shared" si="35"/>
        <v>2011012</v>
      </c>
      <c r="B58" s="74"/>
      <c r="C58" s="642"/>
      <c r="D58" s="645"/>
      <c r="E58" s="645"/>
      <c r="F58" s="645"/>
      <c r="G58" s="698"/>
      <c r="H58" s="648"/>
      <c r="I58" s="629"/>
      <c r="J58" s="174" t="s">
        <v>34</v>
      </c>
      <c r="K58" s="391"/>
      <c r="L58" s="439"/>
      <c r="M58" s="439"/>
      <c r="N58" s="439"/>
      <c r="O58" s="439"/>
      <c r="P58" s="439"/>
      <c r="Q58" s="439"/>
      <c r="R58" s="439"/>
      <c r="S58" s="439"/>
      <c r="T58" s="439"/>
      <c r="U58" s="439"/>
      <c r="V58" s="323"/>
      <c r="W58" s="49">
        <f t="shared" si="34"/>
        <v>0</v>
      </c>
      <c r="X58" s="69"/>
      <c r="Y58" s="69"/>
    </row>
    <row r="59" spans="1:31" ht="13.4" customHeight="1">
      <c r="A59" s="114">
        <f t="shared" si="35"/>
        <v>2011012</v>
      </c>
      <c r="B59" s="74"/>
      <c r="C59" s="642"/>
      <c r="D59" s="645"/>
      <c r="E59" s="645"/>
      <c r="F59" s="645"/>
      <c r="G59" s="698"/>
      <c r="H59" s="648"/>
      <c r="I59" s="629"/>
      <c r="J59" s="174" t="s">
        <v>28</v>
      </c>
      <c r="K59" s="329">
        <v>12210</v>
      </c>
      <c r="L59" s="410">
        <v>11100</v>
      </c>
      <c r="M59" s="410">
        <v>9990</v>
      </c>
      <c r="N59" s="410">
        <v>9990</v>
      </c>
      <c r="O59" s="410">
        <v>8880</v>
      </c>
      <c r="P59" s="410">
        <v>8880</v>
      </c>
      <c r="Q59" s="410">
        <v>11100</v>
      </c>
      <c r="R59" s="410">
        <v>8880</v>
      </c>
      <c r="S59" s="410">
        <v>6660</v>
      </c>
      <c r="T59" s="410">
        <v>8880</v>
      </c>
      <c r="U59" s="410">
        <v>8880</v>
      </c>
      <c r="V59" s="26">
        <v>12210</v>
      </c>
      <c r="W59" s="49">
        <f t="shared" si="34"/>
        <v>117660</v>
      </c>
      <c r="X59" s="69"/>
      <c r="Y59" s="69"/>
    </row>
    <row r="60" spans="1:31" ht="13.4" customHeight="1">
      <c r="A60" s="114">
        <f t="shared" si="35"/>
        <v>2011012</v>
      </c>
      <c r="B60" s="74"/>
      <c r="C60" s="642"/>
      <c r="D60" s="645"/>
      <c r="E60" s="645"/>
      <c r="F60" s="645"/>
      <c r="G60" s="698"/>
      <c r="H60" s="648"/>
      <c r="I60" s="629"/>
      <c r="J60" s="174" t="s">
        <v>29</v>
      </c>
      <c r="K60" s="329">
        <v>25175</v>
      </c>
      <c r="L60" s="410">
        <v>25175</v>
      </c>
      <c r="M60" s="410">
        <v>25175</v>
      </c>
      <c r="N60" s="410">
        <v>25175</v>
      </c>
      <c r="O60" s="410">
        <v>20900</v>
      </c>
      <c r="P60" s="410">
        <v>20900</v>
      </c>
      <c r="Q60" s="410">
        <v>20900</v>
      </c>
      <c r="R60" s="410">
        <v>20900</v>
      </c>
      <c r="S60" s="410">
        <v>20900</v>
      </c>
      <c r="T60" s="410">
        <v>20900</v>
      </c>
      <c r="U60" s="410">
        <v>20900</v>
      </c>
      <c r="V60" s="26">
        <v>25175</v>
      </c>
      <c r="W60" s="49">
        <f t="shared" si="34"/>
        <v>272175</v>
      </c>
      <c r="X60" s="69"/>
      <c r="Y60" s="69"/>
    </row>
    <row r="61" spans="1:31" ht="13.4" customHeight="1">
      <c r="A61" s="114">
        <f t="shared" si="35"/>
        <v>2011012</v>
      </c>
      <c r="B61" s="74"/>
      <c r="C61" s="642"/>
      <c r="D61" s="645"/>
      <c r="E61" s="645"/>
      <c r="F61" s="645"/>
      <c r="G61" s="698"/>
      <c r="H61" s="648"/>
      <c r="I61" s="629"/>
      <c r="J61" s="174" t="s">
        <v>30</v>
      </c>
      <c r="K61" s="329">
        <v>48495</v>
      </c>
      <c r="L61" s="410">
        <v>48495</v>
      </c>
      <c r="M61" s="410">
        <v>48495</v>
      </c>
      <c r="N61" s="410">
        <v>48495</v>
      </c>
      <c r="O61" s="410">
        <v>40260</v>
      </c>
      <c r="P61" s="410">
        <v>40260</v>
      </c>
      <c r="Q61" s="410">
        <v>40260</v>
      </c>
      <c r="R61" s="410">
        <v>40260</v>
      </c>
      <c r="S61" s="410">
        <v>40260</v>
      </c>
      <c r="T61" s="410">
        <v>40260</v>
      </c>
      <c r="U61" s="410">
        <v>40260</v>
      </c>
      <c r="V61" s="26">
        <v>48495</v>
      </c>
      <c r="W61" s="49">
        <f t="shared" si="34"/>
        <v>524295</v>
      </c>
      <c r="X61" s="69"/>
      <c r="Y61" s="69"/>
    </row>
    <row r="62" spans="1:31" ht="13.4" customHeight="1">
      <c r="A62" s="114">
        <f t="shared" si="35"/>
        <v>2011012</v>
      </c>
      <c r="B62" s="74"/>
      <c r="C62" s="642"/>
      <c r="D62" s="645"/>
      <c r="E62" s="645"/>
      <c r="F62" s="645"/>
      <c r="G62" s="698"/>
      <c r="H62" s="648"/>
      <c r="I62" s="629"/>
      <c r="J62" s="174" t="s">
        <v>31</v>
      </c>
      <c r="K62" s="329">
        <v>2231</v>
      </c>
      <c r="L62" s="410">
        <v>2225</v>
      </c>
      <c r="M62" s="410">
        <v>2224</v>
      </c>
      <c r="N62" s="410">
        <v>2224</v>
      </c>
      <c r="O62" s="410">
        <v>2218</v>
      </c>
      <c r="P62" s="410">
        <v>2218</v>
      </c>
      <c r="Q62" s="410">
        <v>2471</v>
      </c>
      <c r="R62" s="410">
        <v>2212</v>
      </c>
      <c r="S62" s="410">
        <v>2209</v>
      </c>
      <c r="T62" s="410">
        <v>2216</v>
      </c>
      <c r="U62" s="410">
        <v>2301</v>
      </c>
      <c r="V62" s="26">
        <v>2231</v>
      </c>
      <c r="W62" s="49">
        <f t="shared" si="34"/>
        <v>26980</v>
      </c>
      <c r="X62" s="69"/>
      <c r="Y62" s="69"/>
    </row>
    <row r="63" spans="1:31" ht="13.4" customHeight="1">
      <c r="A63" s="114">
        <f t="shared" si="35"/>
        <v>2011012</v>
      </c>
      <c r="B63" s="74"/>
      <c r="C63" s="642"/>
      <c r="D63" s="645"/>
      <c r="E63" s="645"/>
      <c r="F63" s="645"/>
      <c r="G63" s="698"/>
      <c r="H63" s="648"/>
      <c r="I63" s="629"/>
      <c r="J63" s="174" t="s">
        <v>32</v>
      </c>
      <c r="K63" s="329">
        <v>2454</v>
      </c>
      <c r="L63" s="410">
        <v>2448</v>
      </c>
      <c r="M63" s="410">
        <v>2446</v>
      </c>
      <c r="N63" s="410">
        <v>2446</v>
      </c>
      <c r="O63" s="410">
        <v>2440</v>
      </c>
      <c r="P63" s="410">
        <v>2440</v>
      </c>
      <c r="Q63" s="410">
        <v>2718</v>
      </c>
      <c r="R63" s="410">
        <v>2434</v>
      </c>
      <c r="S63" s="410">
        <v>2430</v>
      </c>
      <c r="T63" s="410">
        <v>2438</v>
      </c>
      <c r="U63" s="410">
        <v>2531</v>
      </c>
      <c r="V63" s="26">
        <v>2454</v>
      </c>
      <c r="W63" s="49">
        <f t="shared" si="34"/>
        <v>29679</v>
      </c>
      <c r="X63" s="69"/>
      <c r="Y63" s="69"/>
    </row>
    <row r="64" spans="1:31" ht="14.15" customHeight="1">
      <c r="A64" s="114">
        <f t="shared" si="35"/>
        <v>2011012</v>
      </c>
      <c r="B64" s="74"/>
      <c r="C64" s="654"/>
      <c r="D64" s="655"/>
      <c r="E64" s="655"/>
      <c r="F64" s="655"/>
      <c r="G64" s="699"/>
      <c r="H64" s="652"/>
      <c r="I64" s="630"/>
      <c r="J64" s="175" t="s">
        <v>33</v>
      </c>
      <c r="K64" s="356">
        <f t="shared" ref="K64:W64" si="37">K53-K56</f>
        <v>125435</v>
      </c>
      <c r="L64" s="412">
        <f t="shared" si="37"/>
        <v>126557</v>
      </c>
      <c r="M64" s="412">
        <f t="shared" si="37"/>
        <v>126870</v>
      </c>
      <c r="N64" s="412">
        <f t="shared" si="37"/>
        <v>126870</v>
      </c>
      <c r="O64" s="412">
        <f t="shared" si="37"/>
        <v>140502</v>
      </c>
      <c r="P64" s="412">
        <f t="shared" si="37"/>
        <v>140502</v>
      </c>
      <c r="Q64" s="412">
        <f t="shared" si="37"/>
        <v>89401</v>
      </c>
      <c r="R64" s="412">
        <f t="shared" si="37"/>
        <v>99084</v>
      </c>
      <c r="S64" s="412">
        <f t="shared" si="37"/>
        <v>142341</v>
      </c>
      <c r="T64" s="412">
        <f t="shared" si="37"/>
        <v>140906</v>
      </c>
      <c r="U64" s="412">
        <f t="shared" si="37"/>
        <v>120828</v>
      </c>
      <c r="V64" s="100">
        <f t="shared" si="37"/>
        <v>125435</v>
      </c>
      <c r="W64" s="51">
        <f t="shared" si="37"/>
        <v>1504731</v>
      </c>
      <c r="X64" s="2"/>
      <c r="Y64" s="69"/>
    </row>
    <row r="65" spans="1:25" ht="12.75" customHeight="1">
      <c r="A65" s="113">
        <v>2024035</v>
      </c>
      <c r="C65" s="642">
        <f>C53+1</f>
        <v>6</v>
      </c>
      <c r="D65" s="644" t="s">
        <v>60</v>
      </c>
      <c r="E65" s="644"/>
      <c r="F65" s="644"/>
      <c r="G65" s="697" t="s">
        <v>162</v>
      </c>
      <c r="H65" s="647"/>
      <c r="I65" s="628" t="s">
        <v>55</v>
      </c>
      <c r="J65" s="176" t="s">
        <v>23</v>
      </c>
      <c r="K65" s="353">
        <f t="shared" ref="K65:V65" si="38">K66+K67</f>
        <v>291100</v>
      </c>
      <c r="L65" s="409">
        <f t="shared" si="38"/>
        <v>195250</v>
      </c>
      <c r="M65" s="409">
        <f t="shared" si="38"/>
        <v>292875</v>
      </c>
      <c r="N65" s="409">
        <f t="shared" si="38"/>
        <v>315950</v>
      </c>
      <c r="O65" s="409">
        <f t="shared" si="38"/>
        <v>291100</v>
      </c>
      <c r="P65" s="409">
        <f t="shared" si="38"/>
        <v>317725</v>
      </c>
      <c r="Q65" s="409">
        <f t="shared" si="38"/>
        <v>312400</v>
      </c>
      <c r="R65" s="409">
        <f t="shared" si="38"/>
        <v>276900</v>
      </c>
      <c r="S65" s="409">
        <f t="shared" si="38"/>
        <v>276900</v>
      </c>
      <c r="T65" s="409">
        <f t="shared" si="38"/>
        <v>276900</v>
      </c>
      <c r="U65" s="409">
        <f t="shared" si="38"/>
        <v>276900</v>
      </c>
      <c r="V65" s="97">
        <f t="shared" si="38"/>
        <v>291100</v>
      </c>
      <c r="W65" s="117">
        <f t="shared" ref="W65:W75" si="39">SUM(K65:V65)</f>
        <v>3415100</v>
      </c>
      <c r="X65" s="2"/>
      <c r="Y65" s="69"/>
    </row>
    <row r="66" spans="1:25" ht="13.4" customHeight="1">
      <c r="A66" s="114">
        <f t="shared" ref="A66:A76" si="40">+A65</f>
        <v>2024035</v>
      </c>
      <c r="B66" s="74"/>
      <c r="C66" s="642"/>
      <c r="D66" s="645"/>
      <c r="E66" s="645"/>
      <c r="F66" s="645"/>
      <c r="G66" s="698"/>
      <c r="H66" s="648"/>
      <c r="I66" s="629"/>
      <c r="J66" s="172" t="s">
        <v>24</v>
      </c>
      <c r="K66" s="329">
        <v>291100</v>
      </c>
      <c r="L66" s="410">
        <v>195250</v>
      </c>
      <c r="M66" s="410">
        <v>292875</v>
      </c>
      <c r="N66" s="410">
        <v>315950</v>
      </c>
      <c r="O66" s="410">
        <v>291100</v>
      </c>
      <c r="P66" s="410">
        <v>317725</v>
      </c>
      <c r="Q66" s="410">
        <v>312400</v>
      </c>
      <c r="R66" s="410">
        <v>276900</v>
      </c>
      <c r="S66" s="410">
        <v>276900</v>
      </c>
      <c r="T66" s="410">
        <v>276900</v>
      </c>
      <c r="U66" s="410">
        <v>276900</v>
      </c>
      <c r="V66" s="26">
        <v>291100</v>
      </c>
      <c r="W66" s="49">
        <f t="shared" si="39"/>
        <v>3415100</v>
      </c>
      <c r="X66" s="69"/>
      <c r="Y66" s="69"/>
    </row>
    <row r="67" spans="1:25" ht="13.4" customHeight="1">
      <c r="A67" s="114">
        <f t="shared" si="40"/>
        <v>2024035</v>
      </c>
      <c r="B67" s="74"/>
      <c r="C67" s="642"/>
      <c r="D67" s="645"/>
      <c r="E67" s="645"/>
      <c r="F67" s="645"/>
      <c r="G67" s="698"/>
      <c r="H67" s="648"/>
      <c r="I67" s="629"/>
      <c r="J67" s="172" t="s">
        <v>25</v>
      </c>
      <c r="K67" s="343"/>
      <c r="L67" s="297"/>
      <c r="M67" s="297"/>
      <c r="N67" s="297"/>
      <c r="O67" s="297"/>
      <c r="P67" s="297"/>
      <c r="Q67" s="297"/>
      <c r="R67" s="297"/>
      <c r="S67" s="297"/>
      <c r="T67" s="297"/>
      <c r="U67" s="297"/>
      <c r="V67" s="98"/>
      <c r="W67" s="49">
        <f t="shared" si="39"/>
        <v>0</v>
      </c>
      <c r="X67" s="2"/>
      <c r="Y67" s="69"/>
    </row>
    <row r="68" spans="1:25" ht="13.4" customHeight="1">
      <c r="A68" s="114">
        <f t="shared" si="40"/>
        <v>2024035</v>
      </c>
      <c r="B68" s="74"/>
      <c r="C68" s="642"/>
      <c r="D68" s="645"/>
      <c r="E68" s="645"/>
      <c r="F68" s="645"/>
      <c r="G68" s="698"/>
      <c r="H68" s="648"/>
      <c r="I68" s="629"/>
      <c r="J68" s="173" t="s">
        <v>26</v>
      </c>
      <c r="K68" s="344">
        <f t="shared" ref="K68:V68" si="41">SUM(K69:K75)</f>
        <v>209599</v>
      </c>
      <c r="L68" s="411">
        <f t="shared" si="41"/>
        <v>213942</v>
      </c>
      <c r="M68" s="411">
        <f t="shared" si="41"/>
        <v>209682</v>
      </c>
      <c r="N68" s="411">
        <f t="shared" si="41"/>
        <v>227122</v>
      </c>
      <c r="O68" s="411">
        <f t="shared" si="41"/>
        <v>209599</v>
      </c>
      <c r="P68" s="411">
        <f t="shared" si="41"/>
        <v>227033</v>
      </c>
      <c r="Q68" s="411">
        <f t="shared" si="41"/>
        <v>224774</v>
      </c>
      <c r="R68" s="411">
        <f t="shared" si="41"/>
        <v>198831</v>
      </c>
      <c r="S68" s="411">
        <f t="shared" si="41"/>
        <v>218217</v>
      </c>
      <c r="T68" s="411">
        <f t="shared" si="41"/>
        <v>198315</v>
      </c>
      <c r="U68" s="411">
        <f t="shared" si="41"/>
        <v>197802</v>
      </c>
      <c r="V68" s="99">
        <f t="shared" si="41"/>
        <v>209599</v>
      </c>
      <c r="W68" s="50">
        <f t="shared" si="39"/>
        <v>2544515</v>
      </c>
      <c r="X68" s="2"/>
      <c r="Y68" s="69"/>
    </row>
    <row r="69" spans="1:25" ht="13.4" customHeight="1">
      <c r="A69" s="114">
        <f t="shared" si="40"/>
        <v>2024035</v>
      </c>
      <c r="B69" s="74"/>
      <c r="C69" s="642"/>
      <c r="D69" s="645"/>
      <c r="E69" s="645"/>
      <c r="F69" s="645"/>
      <c r="G69" s="698"/>
      <c r="H69" s="648"/>
      <c r="I69" s="629"/>
      <c r="J69" s="174" t="s">
        <v>27</v>
      </c>
      <c r="K69" s="343">
        <v>204900</v>
      </c>
      <c r="L69" s="297">
        <v>211050</v>
      </c>
      <c r="M69" s="297">
        <v>207725</v>
      </c>
      <c r="N69" s="297">
        <v>223250</v>
      </c>
      <c r="O69" s="297">
        <v>204900</v>
      </c>
      <c r="P69" s="297">
        <v>224075</v>
      </c>
      <c r="Q69" s="297">
        <v>220000</v>
      </c>
      <c r="R69" s="297">
        <v>195100</v>
      </c>
      <c r="S69" s="297">
        <v>213475</v>
      </c>
      <c r="T69" s="297">
        <v>195500</v>
      </c>
      <c r="U69" s="297">
        <v>193075</v>
      </c>
      <c r="V69" s="91">
        <v>204900</v>
      </c>
      <c r="W69" s="49">
        <f t="shared" si="39"/>
        <v>2497950</v>
      </c>
      <c r="X69" s="69"/>
      <c r="Y69" s="69"/>
    </row>
    <row r="70" spans="1:25" ht="13.4" customHeight="1">
      <c r="A70" s="114">
        <f t="shared" si="40"/>
        <v>2024035</v>
      </c>
      <c r="B70" s="74"/>
      <c r="C70" s="642"/>
      <c r="D70" s="645"/>
      <c r="E70" s="645"/>
      <c r="F70" s="645"/>
      <c r="G70" s="698"/>
      <c r="H70" s="648"/>
      <c r="I70" s="629"/>
      <c r="J70" s="174" t="s">
        <v>34</v>
      </c>
      <c r="K70" s="343"/>
      <c r="L70" s="297"/>
      <c r="M70" s="297"/>
      <c r="N70" s="297"/>
      <c r="O70" s="297"/>
      <c r="P70" s="297"/>
      <c r="Q70" s="297"/>
      <c r="R70" s="297"/>
      <c r="S70" s="297"/>
      <c r="T70" s="297"/>
      <c r="U70" s="297"/>
      <c r="V70" s="91"/>
      <c r="W70" s="49">
        <f t="shared" si="39"/>
        <v>0</v>
      </c>
      <c r="X70" s="69"/>
      <c r="Y70" s="69"/>
    </row>
    <row r="71" spans="1:25" ht="13.4" customHeight="1">
      <c r="A71" s="114">
        <f t="shared" si="40"/>
        <v>2024035</v>
      </c>
      <c r="B71" s="74"/>
      <c r="C71" s="642"/>
      <c r="D71" s="645"/>
      <c r="E71" s="645"/>
      <c r="F71" s="645"/>
      <c r="G71" s="698"/>
      <c r="H71" s="648"/>
      <c r="I71" s="629"/>
      <c r="J71" s="174" t="s">
        <v>28</v>
      </c>
      <c r="K71" s="343">
        <v>3656</v>
      </c>
      <c r="L71" s="297">
        <v>1828</v>
      </c>
      <c r="M71" s="297">
        <v>914</v>
      </c>
      <c r="N71" s="297">
        <v>2742</v>
      </c>
      <c r="O71" s="297">
        <v>3656</v>
      </c>
      <c r="P71" s="297">
        <v>1828</v>
      </c>
      <c r="Q71" s="297">
        <v>3656</v>
      </c>
      <c r="R71" s="297">
        <v>2742</v>
      </c>
      <c r="S71" s="297">
        <v>3656</v>
      </c>
      <c r="T71" s="297">
        <v>1828</v>
      </c>
      <c r="U71" s="297">
        <v>3656</v>
      </c>
      <c r="V71" s="91">
        <v>3656</v>
      </c>
      <c r="W71" s="49">
        <f t="shared" si="39"/>
        <v>33818</v>
      </c>
      <c r="X71" s="69"/>
      <c r="Y71" s="69"/>
    </row>
    <row r="72" spans="1:25" ht="13.4" customHeight="1">
      <c r="A72" s="114">
        <f t="shared" si="40"/>
        <v>2024035</v>
      </c>
      <c r="B72" s="74"/>
      <c r="C72" s="642"/>
      <c r="D72" s="645"/>
      <c r="E72" s="645"/>
      <c r="F72" s="645"/>
      <c r="G72" s="698"/>
      <c r="H72" s="648"/>
      <c r="I72" s="629"/>
      <c r="J72" s="174" t="s">
        <v>29</v>
      </c>
      <c r="K72" s="343"/>
      <c r="L72" s="297"/>
      <c r="M72" s="297"/>
      <c r="N72" s="297"/>
      <c r="O72" s="297"/>
      <c r="P72" s="297"/>
      <c r="Q72" s="297"/>
      <c r="R72" s="297"/>
      <c r="S72" s="297"/>
      <c r="T72" s="297"/>
      <c r="U72" s="297"/>
      <c r="V72" s="91"/>
      <c r="W72" s="49">
        <f t="shared" si="39"/>
        <v>0</v>
      </c>
      <c r="X72" s="69"/>
      <c r="Y72" s="69"/>
    </row>
    <row r="73" spans="1:25" ht="13.4" customHeight="1">
      <c r="A73" s="114">
        <f t="shared" si="40"/>
        <v>2024035</v>
      </c>
      <c r="B73" s="74"/>
      <c r="C73" s="642"/>
      <c r="D73" s="645"/>
      <c r="E73" s="645"/>
      <c r="F73" s="645"/>
      <c r="G73" s="698"/>
      <c r="H73" s="648"/>
      <c r="I73" s="629"/>
      <c r="J73" s="174" t="s">
        <v>30</v>
      </c>
      <c r="K73" s="343"/>
      <c r="L73" s="297"/>
      <c r="M73" s="297"/>
      <c r="N73" s="297"/>
      <c r="O73" s="297"/>
      <c r="P73" s="297"/>
      <c r="Q73" s="297"/>
      <c r="R73" s="297"/>
      <c r="S73" s="297"/>
      <c r="T73" s="297"/>
      <c r="U73" s="297"/>
      <c r="V73" s="91"/>
      <c r="W73" s="49">
        <f t="shared" si="39"/>
        <v>0</v>
      </c>
      <c r="X73" s="69"/>
      <c r="Y73" s="69"/>
    </row>
    <row r="74" spans="1:25" ht="13.4" customHeight="1">
      <c r="A74" s="114">
        <f t="shared" si="40"/>
        <v>2024035</v>
      </c>
      <c r="B74" s="74"/>
      <c r="C74" s="642"/>
      <c r="D74" s="645"/>
      <c r="E74" s="645"/>
      <c r="F74" s="645"/>
      <c r="G74" s="698"/>
      <c r="H74" s="648"/>
      <c r="I74" s="629"/>
      <c r="J74" s="174" t="s">
        <v>31</v>
      </c>
      <c r="K74" s="343">
        <v>1043</v>
      </c>
      <c r="L74" s="297">
        <v>1064</v>
      </c>
      <c r="M74" s="297">
        <v>1043</v>
      </c>
      <c r="N74" s="297">
        <v>1130</v>
      </c>
      <c r="O74" s="297">
        <v>1043</v>
      </c>
      <c r="P74" s="297">
        <v>1130</v>
      </c>
      <c r="Q74" s="297">
        <v>1118</v>
      </c>
      <c r="R74" s="297">
        <v>989</v>
      </c>
      <c r="S74" s="297">
        <v>1086</v>
      </c>
      <c r="T74" s="297">
        <v>987</v>
      </c>
      <c r="U74" s="297">
        <v>1071</v>
      </c>
      <c r="V74" s="91">
        <v>1043</v>
      </c>
      <c r="W74" s="49">
        <f t="shared" si="39"/>
        <v>12747</v>
      </c>
      <c r="X74" s="69"/>
      <c r="Y74" s="69"/>
    </row>
    <row r="75" spans="1:25" ht="13.4" customHeight="1">
      <c r="A75" s="114">
        <f t="shared" si="40"/>
        <v>2024035</v>
      </c>
      <c r="B75" s="74"/>
      <c r="C75" s="642"/>
      <c r="D75" s="645"/>
      <c r="E75" s="645"/>
      <c r="F75" s="645"/>
      <c r="G75" s="698"/>
      <c r="H75" s="648"/>
      <c r="I75" s="629"/>
      <c r="J75" s="174" t="s">
        <v>32</v>
      </c>
      <c r="K75" s="343"/>
      <c r="L75" s="297"/>
      <c r="M75" s="297"/>
      <c r="N75" s="297"/>
      <c r="O75" s="297"/>
      <c r="P75" s="297"/>
      <c r="Q75" s="297"/>
      <c r="R75" s="297"/>
      <c r="S75" s="297"/>
      <c r="T75" s="297"/>
      <c r="U75" s="297"/>
      <c r="V75" s="91"/>
      <c r="W75" s="49">
        <f t="shared" si="39"/>
        <v>0</v>
      </c>
      <c r="X75" s="69"/>
      <c r="Y75" s="69"/>
    </row>
    <row r="76" spans="1:25" ht="14.15" customHeight="1">
      <c r="A76" s="114">
        <f t="shared" si="40"/>
        <v>2024035</v>
      </c>
      <c r="B76" s="74"/>
      <c r="C76" s="654"/>
      <c r="D76" s="655"/>
      <c r="E76" s="655"/>
      <c r="F76" s="655"/>
      <c r="G76" s="699"/>
      <c r="H76" s="652"/>
      <c r="I76" s="630"/>
      <c r="J76" s="175" t="s">
        <v>33</v>
      </c>
      <c r="K76" s="356">
        <f t="shared" ref="K76:W76" si="42">K65-K68</f>
        <v>81501</v>
      </c>
      <c r="L76" s="412">
        <f t="shared" si="42"/>
        <v>-18692</v>
      </c>
      <c r="M76" s="412">
        <f t="shared" si="42"/>
        <v>83193</v>
      </c>
      <c r="N76" s="412">
        <f t="shared" si="42"/>
        <v>88828</v>
      </c>
      <c r="O76" s="412">
        <f t="shared" si="42"/>
        <v>81501</v>
      </c>
      <c r="P76" s="412">
        <f t="shared" si="42"/>
        <v>90692</v>
      </c>
      <c r="Q76" s="412">
        <f t="shared" si="42"/>
        <v>87626</v>
      </c>
      <c r="R76" s="412">
        <f t="shared" si="42"/>
        <v>78069</v>
      </c>
      <c r="S76" s="412">
        <f t="shared" si="42"/>
        <v>58683</v>
      </c>
      <c r="T76" s="412">
        <f t="shared" si="42"/>
        <v>78585</v>
      </c>
      <c r="U76" s="412">
        <f t="shared" si="42"/>
        <v>79098</v>
      </c>
      <c r="V76" s="100">
        <f t="shared" si="42"/>
        <v>81501</v>
      </c>
      <c r="W76" s="51">
        <f t="shared" si="42"/>
        <v>870585</v>
      </c>
      <c r="X76" s="2"/>
      <c r="Y76" s="69"/>
    </row>
    <row r="77" spans="1:25" ht="12.75" customHeight="1">
      <c r="A77" s="113">
        <v>2024039</v>
      </c>
      <c r="C77" s="642">
        <f t="shared" ref="C77" si="43">C65+1</f>
        <v>7</v>
      </c>
      <c r="D77" s="644" t="s">
        <v>60</v>
      </c>
      <c r="E77" s="644"/>
      <c r="F77" s="644"/>
      <c r="G77" s="697" t="s">
        <v>162</v>
      </c>
      <c r="H77" s="647"/>
      <c r="I77" s="628" t="s">
        <v>55</v>
      </c>
      <c r="J77" s="176" t="s">
        <v>23</v>
      </c>
      <c r="K77" s="353">
        <f t="shared" ref="K77:V77" si="44">K78+K79</f>
        <v>303525</v>
      </c>
      <c r="L77" s="409">
        <f t="shared" si="44"/>
        <v>268025</v>
      </c>
      <c r="M77" s="409">
        <f t="shared" si="44"/>
        <v>282225</v>
      </c>
      <c r="N77" s="409">
        <f t="shared" si="44"/>
        <v>255600</v>
      </c>
      <c r="O77" s="409">
        <f t="shared" si="44"/>
        <v>276900</v>
      </c>
      <c r="P77" s="409">
        <f t="shared" si="44"/>
        <v>291100</v>
      </c>
      <c r="Q77" s="409">
        <f t="shared" si="44"/>
        <v>280450</v>
      </c>
      <c r="R77" s="409">
        <f t="shared" si="44"/>
        <v>276900</v>
      </c>
      <c r="S77" s="409">
        <f t="shared" si="44"/>
        <v>276900</v>
      </c>
      <c r="T77" s="409">
        <f t="shared" si="44"/>
        <v>276900</v>
      </c>
      <c r="U77" s="409">
        <f t="shared" si="44"/>
        <v>276900</v>
      </c>
      <c r="V77" s="97">
        <f t="shared" si="44"/>
        <v>264475</v>
      </c>
      <c r="W77" s="117">
        <f t="shared" ref="W77:W87" si="45">SUM(K77:V77)</f>
        <v>3329900</v>
      </c>
      <c r="X77" s="2"/>
      <c r="Y77" s="69"/>
    </row>
    <row r="78" spans="1:25" ht="13.4" customHeight="1">
      <c r="A78" s="114">
        <f t="shared" ref="A78:A88" si="46">+A77</f>
        <v>2024039</v>
      </c>
      <c r="B78" s="74"/>
      <c r="C78" s="642"/>
      <c r="D78" s="645"/>
      <c r="E78" s="645"/>
      <c r="F78" s="645"/>
      <c r="G78" s="698"/>
      <c r="H78" s="648"/>
      <c r="I78" s="629"/>
      <c r="J78" s="172" t="s">
        <v>24</v>
      </c>
      <c r="K78" s="329">
        <v>303525</v>
      </c>
      <c r="L78" s="410">
        <v>268025</v>
      </c>
      <c r="M78" s="410">
        <v>282225</v>
      </c>
      <c r="N78" s="410">
        <v>255600</v>
      </c>
      <c r="O78" s="410">
        <v>276900</v>
      </c>
      <c r="P78" s="410">
        <v>291100</v>
      </c>
      <c r="Q78" s="410">
        <v>280450</v>
      </c>
      <c r="R78" s="410">
        <v>276900</v>
      </c>
      <c r="S78" s="410">
        <v>276900</v>
      </c>
      <c r="T78" s="410">
        <v>276900</v>
      </c>
      <c r="U78" s="410">
        <v>276900</v>
      </c>
      <c r="V78" s="26">
        <v>264475</v>
      </c>
      <c r="W78" s="49">
        <f t="shared" si="45"/>
        <v>3329900</v>
      </c>
      <c r="X78" s="69"/>
      <c r="Y78" s="69"/>
    </row>
    <row r="79" spans="1:25" ht="13.4" customHeight="1">
      <c r="A79" s="114">
        <f t="shared" si="46"/>
        <v>2024039</v>
      </c>
      <c r="B79" s="74"/>
      <c r="C79" s="642"/>
      <c r="D79" s="645"/>
      <c r="E79" s="645"/>
      <c r="F79" s="645"/>
      <c r="G79" s="698"/>
      <c r="H79" s="648"/>
      <c r="I79" s="629"/>
      <c r="J79" s="172" t="s">
        <v>25</v>
      </c>
      <c r="K79" s="343"/>
      <c r="L79" s="297"/>
      <c r="M79" s="297"/>
      <c r="N79" s="297"/>
      <c r="O79" s="297"/>
      <c r="P79" s="297"/>
      <c r="Q79" s="297"/>
      <c r="R79" s="297"/>
      <c r="S79" s="297"/>
      <c r="T79" s="297"/>
      <c r="U79" s="297"/>
      <c r="V79" s="98"/>
      <c r="W79" s="49">
        <f t="shared" si="45"/>
        <v>0</v>
      </c>
      <c r="X79" s="2"/>
      <c r="Y79" s="69"/>
    </row>
    <row r="80" spans="1:25" ht="13.4" customHeight="1">
      <c r="A80" s="114">
        <f t="shared" si="46"/>
        <v>2024039</v>
      </c>
      <c r="B80" s="74"/>
      <c r="C80" s="642"/>
      <c r="D80" s="645"/>
      <c r="E80" s="645"/>
      <c r="F80" s="645"/>
      <c r="G80" s="698"/>
      <c r="H80" s="648"/>
      <c r="I80" s="629"/>
      <c r="J80" s="173" t="s">
        <v>26</v>
      </c>
      <c r="K80" s="344">
        <f t="shared" ref="K80:V80" si="47">SUM(K81:K87)</f>
        <v>219728</v>
      </c>
      <c r="L80" s="411">
        <f t="shared" si="47"/>
        <v>193819</v>
      </c>
      <c r="M80" s="411">
        <f t="shared" si="47"/>
        <v>204756</v>
      </c>
      <c r="N80" s="411">
        <f t="shared" si="47"/>
        <v>184243</v>
      </c>
      <c r="O80" s="411">
        <f t="shared" si="47"/>
        <v>198980</v>
      </c>
      <c r="P80" s="411">
        <f t="shared" si="47"/>
        <v>153019</v>
      </c>
      <c r="Q80" s="411">
        <f t="shared" si="47"/>
        <v>257683</v>
      </c>
      <c r="R80" s="411">
        <f t="shared" si="47"/>
        <v>199820</v>
      </c>
      <c r="S80" s="411">
        <f t="shared" si="47"/>
        <v>218305</v>
      </c>
      <c r="T80" s="411">
        <f t="shared" si="47"/>
        <v>199400</v>
      </c>
      <c r="U80" s="411">
        <f t="shared" si="47"/>
        <v>193751</v>
      </c>
      <c r="V80" s="99">
        <f t="shared" si="47"/>
        <v>192378</v>
      </c>
      <c r="W80" s="50">
        <f t="shared" si="45"/>
        <v>2415882</v>
      </c>
      <c r="X80" s="2"/>
      <c r="Y80" s="69"/>
    </row>
    <row r="81" spans="1:25" ht="13.4" customHeight="1">
      <c r="A81" s="114">
        <f t="shared" si="46"/>
        <v>2024039</v>
      </c>
      <c r="B81" s="74"/>
      <c r="C81" s="642"/>
      <c r="D81" s="645"/>
      <c r="E81" s="645"/>
      <c r="F81" s="645"/>
      <c r="G81" s="698"/>
      <c r="H81" s="648"/>
      <c r="I81" s="629"/>
      <c r="J81" s="174" t="s">
        <v>27</v>
      </c>
      <c r="K81" s="343">
        <v>211075</v>
      </c>
      <c r="L81" s="297">
        <v>186975</v>
      </c>
      <c r="M81" s="297">
        <v>196375</v>
      </c>
      <c r="N81" s="297">
        <v>177600</v>
      </c>
      <c r="O81" s="297">
        <v>193900</v>
      </c>
      <c r="P81" s="297">
        <v>147350</v>
      </c>
      <c r="Q81" s="297">
        <v>250675</v>
      </c>
      <c r="R81" s="297">
        <v>193100</v>
      </c>
      <c r="S81" s="297">
        <v>210675</v>
      </c>
      <c r="T81" s="297">
        <v>193500</v>
      </c>
      <c r="U81" s="297">
        <v>186975</v>
      </c>
      <c r="V81" s="91">
        <v>183725</v>
      </c>
      <c r="W81" s="49">
        <f t="shared" si="45"/>
        <v>2331925</v>
      </c>
      <c r="X81" s="69"/>
      <c r="Y81" s="69"/>
    </row>
    <row r="82" spans="1:25" ht="13.4" customHeight="1">
      <c r="A82" s="114">
        <f t="shared" si="46"/>
        <v>2024039</v>
      </c>
      <c r="B82" s="74"/>
      <c r="C82" s="642"/>
      <c r="D82" s="645"/>
      <c r="E82" s="645"/>
      <c r="F82" s="645"/>
      <c r="G82" s="698"/>
      <c r="H82" s="648"/>
      <c r="I82" s="629"/>
      <c r="J82" s="174" t="s">
        <v>34</v>
      </c>
      <c r="K82" s="343"/>
      <c r="L82" s="297"/>
      <c r="M82" s="297"/>
      <c r="N82" s="297"/>
      <c r="O82" s="297"/>
      <c r="P82" s="297"/>
      <c r="Q82" s="297"/>
      <c r="R82" s="297"/>
      <c r="S82" s="297"/>
      <c r="T82" s="297"/>
      <c r="U82" s="297"/>
      <c r="V82" s="91"/>
      <c r="W82" s="49">
        <f t="shared" si="45"/>
        <v>0</v>
      </c>
      <c r="X82" s="69"/>
      <c r="Y82" s="69"/>
    </row>
    <row r="83" spans="1:25" ht="13.4" customHeight="1">
      <c r="A83" s="114">
        <f t="shared" si="46"/>
        <v>2024039</v>
      </c>
      <c r="B83" s="74"/>
      <c r="C83" s="642"/>
      <c r="D83" s="645"/>
      <c r="E83" s="645"/>
      <c r="F83" s="645"/>
      <c r="G83" s="698"/>
      <c r="H83" s="648"/>
      <c r="I83" s="629"/>
      <c r="J83" s="174" t="s">
        <v>28</v>
      </c>
      <c r="K83" s="343">
        <v>7560</v>
      </c>
      <c r="L83" s="297">
        <v>5880</v>
      </c>
      <c r="M83" s="297">
        <v>7362</v>
      </c>
      <c r="N83" s="297">
        <v>5726</v>
      </c>
      <c r="O83" s="297">
        <v>4090</v>
      </c>
      <c r="P83" s="297">
        <v>4908</v>
      </c>
      <c r="Q83" s="297">
        <v>5726</v>
      </c>
      <c r="R83" s="297">
        <v>5726</v>
      </c>
      <c r="S83" s="297">
        <v>6544</v>
      </c>
      <c r="T83" s="297">
        <v>4908</v>
      </c>
      <c r="U83" s="297">
        <v>5726</v>
      </c>
      <c r="V83" s="91">
        <v>7560</v>
      </c>
      <c r="W83" s="49">
        <f t="shared" si="45"/>
        <v>71716</v>
      </c>
      <c r="X83" s="69"/>
      <c r="Y83" s="69"/>
    </row>
    <row r="84" spans="1:25" ht="13.4" customHeight="1">
      <c r="A84" s="114">
        <f t="shared" si="46"/>
        <v>2024039</v>
      </c>
      <c r="B84" s="74"/>
      <c r="C84" s="642"/>
      <c r="D84" s="645"/>
      <c r="E84" s="645"/>
      <c r="F84" s="645"/>
      <c r="G84" s="698"/>
      <c r="H84" s="648"/>
      <c r="I84" s="629"/>
      <c r="J84" s="174" t="s">
        <v>29</v>
      </c>
      <c r="K84" s="343"/>
      <c r="L84" s="297"/>
      <c r="M84" s="297"/>
      <c r="N84" s="297"/>
      <c r="O84" s="297"/>
      <c r="P84" s="297"/>
      <c r="Q84" s="297"/>
      <c r="R84" s="297"/>
      <c r="S84" s="297"/>
      <c r="T84" s="297"/>
      <c r="U84" s="297"/>
      <c r="V84" s="91"/>
      <c r="W84" s="49">
        <f t="shared" si="45"/>
        <v>0</v>
      </c>
      <c r="X84" s="69"/>
      <c r="Y84" s="69"/>
    </row>
    <row r="85" spans="1:25" ht="13.4" customHeight="1">
      <c r="A85" s="114">
        <f t="shared" si="46"/>
        <v>2024039</v>
      </c>
      <c r="B85" s="74"/>
      <c r="C85" s="642"/>
      <c r="D85" s="645"/>
      <c r="E85" s="645"/>
      <c r="F85" s="645"/>
      <c r="G85" s="698"/>
      <c r="H85" s="648"/>
      <c r="I85" s="629"/>
      <c r="J85" s="174" t="s">
        <v>30</v>
      </c>
      <c r="K85" s="343"/>
      <c r="L85" s="297"/>
      <c r="M85" s="297"/>
      <c r="N85" s="297"/>
      <c r="O85" s="297"/>
      <c r="P85" s="297"/>
      <c r="Q85" s="297"/>
      <c r="R85" s="297"/>
      <c r="S85" s="297"/>
      <c r="T85" s="297"/>
      <c r="U85" s="297"/>
      <c r="V85" s="91"/>
      <c r="W85" s="49">
        <f t="shared" si="45"/>
        <v>0</v>
      </c>
      <c r="X85" s="69"/>
      <c r="Y85" s="69"/>
    </row>
    <row r="86" spans="1:25" ht="13.4" customHeight="1">
      <c r="A86" s="114">
        <f t="shared" si="46"/>
        <v>2024039</v>
      </c>
      <c r="B86" s="74"/>
      <c r="C86" s="642"/>
      <c r="D86" s="645"/>
      <c r="E86" s="645"/>
      <c r="F86" s="645"/>
      <c r="G86" s="698"/>
      <c r="H86" s="648"/>
      <c r="I86" s="629"/>
      <c r="J86" s="174" t="s">
        <v>31</v>
      </c>
      <c r="K86" s="343">
        <v>1093</v>
      </c>
      <c r="L86" s="297">
        <v>964</v>
      </c>
      <c r="M86" s="297">
        <v>1019</v>
      </c>
      <c r="N86" s="297">
        <v>917</v>
      </c>
      <c r="O86" s="297">
        <v>990</v>
      </c>
      <c r="P86" s="297">
        <v>761</v>
      </c>
      <c r="Q86" s="297">
        <v>1282</v>
      </c>
      <c r="R86" s="297">
        <v>994</v>
      </c>
      <c r="S86" s="297">
        <v>1086</v>
      </c>
      <c r="T86" s="297">
        <v>992</v>
      </c>
      <c r="U86" s="297">
        <v>1050</v>
      </c>
      <c r="V86" s="91">
        <v>1093</v>
      </c>
      <c r="W86" s="49">
        <f t="shared" si="45"/>
        <v>12241</v>
      </c>
      <c r="X86" s="69"/>
      <c r="Y86" s="69"/>
    </row>
    <row r="87" spans="1:25" ht="13.4" customHeight="1">
      <c r="A87" s="114">
        <f t="shared" si="46"/>
        <v>2024039</v>
      </c>
      <c r="B87" s="74"/>
      <c r="C87" s="642"/>
      <c r="D87" s="645"/>
      <c r="E87" s="645"/>
      <c r="F87" s="645"/>
      <c r="G87" s="698"/>
      <c r="H87" s="648"/>
      <c r="I87" s="629"/>
      <c r="J87" s="174" t="s">
        <v>32</v>
      </c>
      <c r="K87" s="343"/>
      <c r="L87" s="297"/>
      <c r="M87" s="297"/>
      <c r="N87" s="297"/>
      <c r="O87" s="297"/>
      <c r="P87" s="297"/>
      <c r="Q87" s="297"/>
      <c r="R87" s="297"/>
      <c r="S87" s="297"/>
      <c r="T87" s="297"/>
      <c r="U87" s="297"/>
      <c r="V87" s="91"/>
      <c r="W87" s="49">
        <f t="shared" si="45"/>
        <v>0</v>
      </c>
      <c r="X87" s="69"/>
      <c r="Y87" s="69"/>
    </row>
    <row r="88" spans="1:25" ht="14.15" customHeight="1">
      <c r="A88" s="114">
        <f t="shared" si="46"/>
        <v>2024039</v>
      </c>
      <c r="B88" s="74"/>
      <c r="C88" s="654"/>
      <c r="D88" s="655"/>
      <c r="E88" s="655"/>
      <c r="F88" s="655"/>
      <c r="G88" s="699"/>
      <c r="H88" s="652"/>
      <c r="I88" s="630"/>
      <c r="J88" s="175" t="s">
        <v>33</v>
      </c>
      <c r="K88" s="356">
        <f t="shared" ref="K88:W88" si="48">K77-K80</f>
        <v>83797</v>
      </c>
      <c r="L88" s="412">
        <f t="shared" si="48"/>
        <v>74206</v>
      </c>
      <c r="M88" s="412">
        <f t="shared" si="48"/>
        <v>77469</v>
      </c>
      <c r="N88" s="412">
        <f t="shared" si="48"/>
        <v>71357</v>
      </c>
      <c r="O88" s="412">
        <f t="shared" si="48"/>
        <v>77920</v>
      </c>
      <c r="P88" s="412">
        <f t="shared" si="48"/>
        <v>138081</v>
      </c>
      <c r="Q88" s="412">
        <f t="shared" si="48"/>
        <v>22767</v>
      </c>
      <c r="R88" s="412">
        <f t="shared" si="48"/>
        <v>77080</v>
      </c>
      <c r="S88" s="412">
        <f t="shared" si="48"/>
        <v>58595</v>
      </c>
      <c r="T88" s="412">
        <f t="shared" si="48"/>
        <v>77500</v>
      </c>
      <c r="U88" s="412">
        <f t="shared" si="48"/>
        <v>83149</v>
      </c>
      <c r="V88" s="100">
        <f t="shared" si="48"/>
        <v>72097</v>
      </c>
      <c r="W88" s="51">
        <f t="shared" si="48"/>
        <v>914018</v>
      </c>
      <c r="X88" s="2"/>
      <c r="Y88" s="69"/>
    </row>
    <row r="89" spans="1:25" ht="12.75" customHeight="1">
      <c r="A89" s="113">
        <v>2022019</v>
      </c>
      <c r="C89" s="642">
        <f t="shared" ref="C89" si="49">C77+1</f>
        <v>8</v>
      </c>
      <c r="D89" s="644" t="s">
        <v>60</v>
      </c>
      <c r="E89" s="644"/>
      <c r="F89" s="644"/>
      <c r="G89" s="697" t="s">
        <v>162</v>
      </c>
      <c r="H89" s="647"/>
      <c r="I89" s="628" t="s">
        <v>55</v>
      </c>
      <c r="J89" s="176" t="s">
        <v>23</v>
      </c>
      <c r="K89" s="353">
        <f t="shared" ref="K89:V89" si="50">K90+K91</f>
        <v>550000</v>
      </c>
      <c r="L89" s="409">
        <f t="shared" si="50"/>
        <v>550000</v>
      </c>
      <c r="M89" s="409">
        <f t="shared" si="50"/>
        <v>550000</v>
      </c>
      <c r="N89" s="409">
        <f t="shared" si="50"/>
        <v>550000</v>
      </c>
      <c r="O89" s="409">
        <f t="shared" si="50"/>
        <v>550000</v>
      </c>
      <c r="P89" s="409">
        <f t="shared" si="50"/>
        <v>550000</v>
      </c>
      <c r="Q89" s="409">
        <f t="shared" si="50"/>
        <v>550000</v>
      </c>
      <c r="R89" s="409">
        <f t="shared" si="50"/>
        <v>550000</v>
      </c>
      <c r="S89" s="409">
        <f t="shared" si="50"/>
        <v>550000</v>
      </c>
      <c r="T89" s="409">
        <f t="shared" si="50"/>
        <v>550000</v>
      </c>
      <c r="U89" s="409">
        <f t="shared" si="50"/>
        <v>550000</v>
      </c>
      <c r="V89" s="97">
        <f t="shared" si="50"/>
        <v>550000</v>
      </c>
      <c r="W89" s="117">
        <f t="shared" ref="W89:W99" si="51">SUM(K89:V89)</f>
        <v>6600000</v>
      </c>
      <c r="X89" s="2"/>
      <c r="Y89" s="69"/>
    </row>
    <row r="90" spans="1:25" ht="13.4" customHeight="1">
      <c r="A90" s="114">
        <f t="shared" ref="A90:A100" si="52">+A89</f>
        <v>2022019</v>
      </c>
      <c r="B90" s="74"/>
      <c r="C90" s="642"/>
      <c r="D90" s="645"/>
      <c r="E90" s="645"/>
      <c r="F90" s="645"/>
      <c r="G90" s="698"/>
      <c r="H90" s="648"/>
      <c r="I90" s="629"/>
      <c r="J90" s="172" t="s">
        <v>24</v>
      </c>
      <c r="K90" s="329">
        <v>550000</v>
      </c>
      <c r="L90" s="410">
        <v>550000</v>
      </c>
      <c r="M90" s="410">
        <v>550000</v>
      </c>
      <c r="N90" s="410">
        <v>550000</v>
      </c>
      <c r="O90" s="410">
        <v>550000</v>
      </c>
      <c r="P90" s="410">
        <v>550000</v>
      </c>
      <c r="Q90" s="410">
        <v>550000</v>
      </c>
      <c r="R90" s="410">
        <v>550000</v>
      </c>
      <c r="S90" s="410">
        <v>550000</v>
      </c>
      <c r="T90" s="410">
        <v>550000</v>
      </c>
      <c r="U90" s="410">
        <v>550000</v>
      </c>
      <c r="V90" s="26">
        <v>550000</v>
      </c>
      <c r="W90" s="49">
        <f t="shared" si="51"/>
        <v>6600000</v>
      </c>
      <c r="X90" s="69"/>
      <c r="Y90" s="69"/>
    </row>
    <row r="91" spans="1:25" ht="13.4" customHeight="1">
      <c r="A91" s="114">
        <f t="shared" si="52"/>
        <v>2022019</v>
      </c>
      <c r="B91" s="74"/>
      <c r="C91" s="642"/>
      <c r="D91" s="645"/>
      <c r="E91" s="645"/>
      <c r="F91" s="645"/>
      <c r="G91" s="698"/>
      <c r="H91" s="648"/>
      <c r="I91" s="629"/>
      <c r="J91" s="172" t="s">
        <v>25</v>
      </c>
      <c r="K91" s="343"/>
      <c r="L91" s="297"/>
      <c r="M91" s="297"/>
      <c r="N91" s="297"/>
      <c r="O91" s="297"/>
      <c r="P91" s="297"/>
      <c r="Q91" s="297"/>
      <c r="R91" s="297"/>
      <c r="S91" s="297"/>
      <c r="T91" s="297"/>
      <c r="U91" s="297"/>
      <c r="V91" s="98"/>
      <c r="W91" s="49">
        <f t="shared" si="51"/>
        <v>0</v>
      </c>
      <c r="X91" s="2"/>
      <c r="Y91" s="69"/>
    </row>
    <row r="92" spans="1:25" ht="13.4" customHeight="1">
      <c r="A92" s="114">
        <f t="shared" si="52"/>
        <v>2022019</v>
      </c>
      <c r="B92" s="74"/>
      <c r="C92" s="642"/>
      <c r="D92" s="645"/>
      <c r="E92" s="645"/>
      <c r="F92" s="645"/>
      <c r="G92" s="698"/>
      <c r="H92" s="648"/>
      <c r="I92" s="629"/>
      <c r="J92" s="173" t="s">
        <v>26</v>
      </c>
      <c r="K92" s="344">
        <f t="shared" ref="K92:V92" si="53">SUM(K93:K99)</f>
        <v>303074</v>
      </c>
      <c r="L92" s="411">
        <f t="shared" si="53"/>
        <v>303074</v>
      </c>
      <c r="M92" s="411">
        <f t="shared" si="53"/>
        <v>303688</v>
      </c>
      <c r="N92" s="411">
        <f t="shared" si="53"/>
        <v>303987</v>
      </c>
      <c r="O92" s="411">
        <f t="shared" si="53"/>
        <v>303583</v>
      </c>
      <c r="P92" s="411">
        <f t="shared" si="53"/>
        <v>303583</v>
      </c>
      <c r="Q92" s="411">
        <f t="shared" si="53"/>
        <v>304092</v>
      </c>
      <c r="R92" s="411">
        <f t="shared" si="53"/>
        <v>302564</v>
      </c>
      <c r="S92" s="411">
        <f t="shared" si="53"/>
        <v>303583</v>
      </c>
      <c r="T92" s="411">
        <f t="shared" si="53"/>
        <v>303074</v>
      </c>
      <c r="U92" s="411">
        <f t="shared" si="53"/>
        <v>302448</v>
      </c>
      <c r="V92" s="99">
        <f t="shared" si="53"/>
        <v>303074</v>
      </c>
      <c r="W92" s="50">
        <f t="shared" si="51"/>
        <v>3639824</v>
      </c>
      <c r="X92" s="2"/>
      <c r="Y92" s="69"/>
    </row>
    <row r="93" spans="1:25" ht="13.4" customHeight="1">
      <c r="A93" s="114">
        <f t="shared" si="52"/>
        <v>2022019</v>
      </c>
      <c r="B93" s="74"/>
      <c r="C93" s="642"/>
      <c r="D93" s="645"/>
      <c r="E93" s="645"/>
      <c r="F93" s="645"/>
      <c r="G93" s="698"/>
      <c r="H93" s="648"/>
      <c r="I93" s="629"/>
      <c r="J93" s="174" t="s">
        <v>27</v>
      </c>
      <c r="K93" s="343">
        <v>256600</v>
      </c>
      <c r="L93" s="297">
        <v>256600</v>
      </c>
      <c r="M93" s="297">
        <v>256200</v>
      </c>
      <c r="N93" s="297">
        <v>257000</v>
      </c>
      <c r="O93" s="297">
        <v>256600</v>
      </c>
      <c r="P93" s="297">
        <v>256600</v>
      </c>
      <c r="Q93" s="297">
        <v>256600</v>
      </c>
      <c r="R93" s="297">
        <v>256600</v>
      </c>
      <c r="S93" s="297">
        <v>256600</v>
      </c>
      <c r="T93" s="297">
        <v>256600</v>
      </c>
      <c r="U93" s="297">
        <v>255800</v>
      </c>
      <c r="V93" s="91">
        <v>256600</v>
      </c>
      <c r="W93" s="49">
        <f t="shared" si="51"/>
        <v>3078400</v>
      </c>
      <c r="X93" s="69"/>
      <c r="Y93" s="69"/>
    </row>
    <row r="94" spans="1:25" ht="13.4" customHeight="1">
      <c r="A94" s="114">
        <f t="shared" si="52"/>
        <v>2022019</v>
      </c>
      <c r="B94" s="74"/>
      <c r="C94" s="642"/>
      <c r="D94" s="645"/>
      <c r="E94" s="645"/>
      <c r="F94" s="645"/>
      <c r="G94" s="698"/>
      <c r="H94" s="648"/>
      <c r="I94" s="629"/>
      <c r="J94" s="174" t="s">
        <v>34</v>
      </c>
      <c r="K94" s="343"/>
      <c r="L94" s="297"/>
      <c r="M94" s="297"/>
      <c r="N94" s="297"/>
      <c r="O94" s="297"/>
      <c r="P94" s="297"/>
      <c r="Q94" s="297"/>
      <c r="R94" s="297"/>
      <c r="S94" s="297"/>
      <c r="T94" s="297"/>
      <c r="U94" s="297"/>
      <c r="V94" s="91"/>
      <c r="W94" s="49">
        <f t="shared" si="51"/>
        <v>0</v>
      </c>
      <c r="X94" s="69"/>
      <c r="Y94" s="69"/>
    </row>
    <row r="95" spans="1:25" ht="13.4" customHeight="1">
      <c r="A95" s="114">
        <f t="shared" si="52"/>
        <v>2022019</v>
      </c>
      <c r="B95" s="74"/>
      <c r="C95" s="642"/>
      <c r="D95" s="645"/>
      <c r="E95" s="645"/>
      <c r="F95" s="645"/>
      <c r="G95" s="698"/>
      <c r="H95" s="648"/>
      <c r="I95" s="629"/>
      <c r="J95" s="174" t="s">
        <v>28</v>
      </c>
      <c r="K95" s="343">
        <v>7560</v>
      </c>
      <c r="L95" s="297">
        <v>7560</v>
      </c>
      <c r="M95" s="297">
        <v>8568</v>
      </c>
      <c r="N95" s="297">
        <v>8064</v>
      </c>
      <c r="O95" s="297">
        <v>8064</v>
      </c>
      <c r="P95" s="297">
        <v>8064</v>
      </c>
      <c r="Q95" s="297">
        <v>8568</v>
      </c>
      <c r="R95" s="297">
        <v>7056</v>
      </c>
      <c r="S95" s="297">
        <v>8064</v>
      </c>
      <c r="T95" s="297">
        <v>7560</v>
      </c>
      <c r="U95" s="297">
        <v>7560</v>
      </c>
      <c r="V95" s="91">
        <v>7560</v>
      </c>
      <c r="W95" s="49">
        <f t="shared" si="51"/>
        <v>94248</v>
      </c>
      <c r="X95" s="69"/>
      <c r="Y95" s="69"/>
    </row>
    <row r="96" spans="1:25" ht="13.4" customHeight="1">
      <c r="A96" s="114">
        <f t="shared" si="52"/>
        <v>2022019</v>
      </c>
      <c r="B96" s="74"/>
      <c r="C96" s="642"/>
      <c r="D96" s="645"/>
      <c r="E96" s="645"/>
      <c r="F96" s="645"/>
      <c r="G96" s="698"/>
      <c r="H96" s="648"/>
      <c r="I96" s="629"/>
      <c r="J96" s="174" t="s">
        <v>29</v>
      </c>
      <c r="K96" s="343">
        <v>12350</v>
      </c>
      <c r="L96" s="297">
        <v>12350</v>
      </c>
      <c r="M96" s="297">
        <v>12350</v>
      </c>
      <c r="N96" s="297">
        <v>12350</v>
      </c>
      <c r="O96" s="297">
        <v>12350</v>
      </c>
      <c r="P96" s="297">
        <v>12350</v>
      </c>
      <c r="Q96" s="297">
        <v>12350</v>
      </c>
      <c r="R96" s="297">
        <v>12350</v>
      </c>
      <c r="S96" s="297">
        <v>12350</v>
      </c>
      <c r="T96" s="297">
        <v>12350</v>
      </c>
      <c r="U96" s="297">
        <v>12350</v>
      </c>
      <c r="V96" s="91">
        <v>12350</v>
      </c>
      <c r="W96" s="49">
        <f t="shared" si="51"/>
        <v>148200</v>
      </c>
      <c r="X96" s="69"/>
      <c r="Y96" s="69"/>
    </row>
    <row r="97" spans="1:25" ht="13.4" customHeight="1">
      <c r="A97" s="114">
        <f t="shared" si="52"/>
        <v>2022019</v>
      </c>
      <c r="B97" s="74"/>
      <c r="C97" s="642"/>
      <c r="D97" s="645"/>
      <c r="E97" s="645"/>
      <c r="F97" s="645"/>
      <c r="G97" s="698"/>
      <c r="H97" s="648"/>
      <c r="I97" s="629"/>
      <c r="J97" s="174" t="s">
        <v>30</v>
      </c>
      <c r="K97" s="343">
        <v>23790</v>
      </c>
      <c r="L97" s="297">
        <v>23790</v>
      </c>
      <c r="M97" s="297">
        <v>23790</v>
      </c>
      <c r="N97" s="297">
        <v>23790</v>
      </c>
      <c r="O97" s="297">
        <v>23790</v>
      </c>
      <c r="P97" s="297">
        <v>23790</v>
      </c>
      <c r="Q97" s="297">
        <v>23790</v>
      </c>
      <c r="R97" s="297">
        <v>23790</v>
      </c>
      <c r="S97" s="297">
        <v>23790</v>
      </c>
      <c r="T97" s="297">
        <v>23790</v>
      </c>
      <c r="U97" s="297">
        <v>23790</v>
      </c>
      <c r="V97" s="91">
        <v>23790</v>
      </c>
      <c r="W97" s="49">
        <f t="shared" si="51"/>
        <v>285480</v>
      </c>
      <c r="X97" s="69"/>
      <c r="Y97" s="69"/>
    </row>
    <row r="98" spans="1:25" ht="13.4" customHeight="1">
      <c r="A98" s="114">
        <f t="shared" si="52"/>
        <v>2022019</v>
      </c>
      <c r="B98" s="74"/>
      <c r="C98" s="642"/>
      <c r="D98" s="645"/>
      <c r="E98" s="645"/>
      <c r="F98" s="645"/>
      <c r="G98" s="698"/>
      <c r="H98" s="648"/>
      <c r="I98" s="629"/>
      <c r="J98" s="174" t="s">
        <v>31</v>
      </c>
      <c r="K98" s="343">
        <v>1321</v>
      </c>
      <c r="L98" s="297">
        <v>1321</v>
      </c>
      <c r="M98" s="297">
        <v>1324</v>
      </c>
      <c r="N98" s="297">
        <v>1325</v>
      </c>
      <c r="O98" s="297">
        <v>1323</v>
      </c>
      <c r="P98" s="297">
        <v>1323</v>
      </c>
      <c r="Q98" s="297">
        <v>1326</v>
      </c>
      <c r="R98" s="297">
        <v>1318</v>
      </c>
      <c r="S98" s="297">
        <v>1323</v>
      </c>
      <c r="T98" s="297">
        <v>1321</v>
      </c>
      <c r="U98" s="297">
        <v>1404</v>
      </c>
      <c r="V98" s="91">
        <v>1321</v>
      </c>
      <c r="W98" s="49">
        <f t="shared" si="51"/>
        <v>15950</v>
      </c>
      <c r="X98" s="69"/>
      <c r="Y98" s="69"/>
    </row>
    <row r="99" spans="1:25" ht="13.4" customHeight="1">
      <c r="A99" s="114">
        <f t="shared" si="52"/>
        <v>2022019</v>
      </c>
      <c r="B99" s="74"/>
      <c r="C99" s="642"/>
      <c r="D99" s="645"/>
      <c r="E99" s="645"/>
      <c r="F99" s="645"/>
      <c r="G99" s="698"/>
      <c r="H99" s="648"/>
      <c r="I99" s="629"/>
      <c r="J99" s="174" t="s">
        <v>32</v>
      </c>
      <c r="K99" s="343">
        <v>1453</v>
      </c>
      <c r="L99" s="297">
        <v>1453</v>
      </c>
      <c r="M99" s="297">
        <v>1456</v>
      </c>
      <c r="N99" s="297">
        <v>1458</v>
      </c>
      <c r="O99" s="297">
        <v>1456</v>
      </c>
      <c r="P99" s="297">
        <v>1456</v>
      </c>
      <c r="Q99" s="297">
        <v>1458</v>
      </c>
      <c r="R99" s="297">
        <v>1450</v>
      </c>
      <c r="S99" s="297">
        <v>1456</v>
      </c>
      <c r="T99" s="297">
        <v>1453</v>
      </c>
      <c r="U99" s="297">
        <v>1544</v>
      </c>
      <c r="V99" s="91">
        <v>1453</v>
      </c>
      <c r="W99" s="49">
        <f t="shared" si="51"/>
        <v>17546</v>
      </c>
      <c r="X99" s="69"/>
      <c r="Y99" s="69"/>
    </row>
    <row r="100" spans="1:25" ht="14.15" customHeight="1">
      <c r="A100" s="114">
        <f t="shared" si="52"/>
        <v>2022019</v>
      </c>
      <c r="B100" s="74"/>
      <c r="C100" s="654"/>
      <c r="D100" s="655"/>
      <c r="E100" s="655"/>
      <c r="F100" s="655"/>
      <c r="G100" s="699"/>
      <c r="H100" s="652"/>
      <c r="I100" s="630"/>
      <c r="J100" s="175" t="s">
        <v>33</v>
      </c>
      <c r="K100" s="356">
        <f t="shared" ref="K100:W100" si="54">K89-K92</f>
        <v>246926</v>
      </c>
      <c r="L100" s="412">
        <f t="shared" si="54"/>
        <v>246926</v>
      </c>
      <c r="M100" s="412">
        <f t="shared" si="54"/>
        <v>246312</v>
      </c>
      <c r="N100" s="412">
        <f t="shared" si="54"/>
        <v>246013</v>
      </c>
      <c r="O100" s="412">
        <f t="shared" si="54"/>
        <v>246417</v>
      </c>
      <c r="P100" s="412">
        <f t="shared" si="54"/>
        <v>246417</v>
      </c>
      <c r="Q100" s="412">
        <f t="shared" si="54"/>
        <v>245908</v>
      </c>
      <c r="R100" s="412">
        <f t="shared" si="54"/>
        <v>247436</v>
      </c>
      <c r="S100" s="412">
        <f t="shared" si="54"/>
        <v>246417</v>
      </c>
      <c r="T100" s="412">
        <f t="shared" si="54"/>
        <v>246926</v>
      </c>
      <c r="U100" s="412">
        <f t="shared" si="54"/>
        <v>247552</v>
      </c>
      <c r="V100" s="101">
        <f t="shared" si="54"/>
        <v>246926</v>
      </c>
      <c r="W100" s="51">
        <f t="shared" si="54"/>
        <v>2960176</v>
      </c>
      <c r="X100" s="2"/>
      <c r="Y100" s="69"/>
    </row>
    <row r="101" spans="1:25" ht="12.75" customHeight="1">
      <c r="A101" s="113">
        <v>2020014</v>
      </c>
      <c r="C101" s="642">
        <f t="shared" ref="C101:C113" si="55">C89+1</f>
        <v>9</v>
      </c>
      <c r="D101" s="644" t="s">
        <v>60</v>
      </c>
      <c r="E101" s="644"/>
      <c r="F101" s="644"/>
      <c r="G101" s="697" t="s">
        <v>162</v>
      </c>
      <c r="H101" s="647"/>
      <c r="I101" s="628" t="s">
        <v>55</v>
      </c>
      <c r="J101" s="176" t="s">
        <v>23</v>
      </c>
      <c r="K101" s="353">
        <f t="shared" ref="K101:V101" si="56">K102+K103</f>
        <v>324000</v>
      </c>
      <c r="L101" s="409">
        <f t="shared" si="56"/>
        <v>303780</v>
      </c>
      <c r="M101" s="409">
        <f t="shared" si="56"/>
        <v>324000</v>
      </c>
      <c r="N101" s="409">
        <f t="shared" si="56"/>
        <v>324000</v>
      </c>
      <c r="O101" s="409">
        <f t="shared" si="56"/>
        <v>324000</v>
      </c>
      <c r="P101" s="409">
        <f t="shared" si="56"/>
        <v>324000</v>
      </c>
      <c r="Q101" s="409">
        <f t="shared" si="56"/>
        <v>303780</v>
      </c>
      <c r="R101" s="409">
        <f t="shared" si="56"/>
        <v>278505</v>
      </c>
      <c r="S101" s="409">
        <f t="shared" si="56"/>
        <v>324000</v>
      </c>
      <c r="T101" s="409">
        <f t="shared" si="56"/>
        <v>303780</v>
      </c>
      <c r="U101" s="409">
        <f t="shared" si="56"/>
        <v>308835</v>
      </c>
      <c r="V101" s="97">
        <f t="shared" si="56"/>
        <v>324000</v>
      </c>
      <c r="W101" s="117">
        <f t="shared" ref="W101:W111" si="57">SUM(K101:V101)</f>
        <v>3766680</v>
      </c>
      <c r="X101" s="2"/>
      <c r="Y101" s="69"/>
    </row>
    <row r="102" spans="1:25" ht="12" customHeight="1">
      <c r="A102" s="114">
        <f>+A101</f>
        <v>2020014</v>
      </c>
      <c r="B102" s="74"/>
      <c r="C102" s="642"/>
      <c r="D102" s="645"/>
      <c r="E102" s="645"/>
      <c r="F102" s="645"/>
      <c r="G102" s="698"/>
      <c r="H102" s="648"/>
      <c r="I102" s="629"/>
      <c r="J102" s="172" t="s">
        <v>24</v>
      </c>
      <c r="K102" s="343">
        <v>324000</v>
      </c>
      <c r="L102" s="297">
        <v>303780</v>
      </c>
      <c r="M102" s="297">
        <v>324000</v>
      </c>
      <c r="N102" s="297">
        <v>324000</v>
      </c>
      <c r="O102" s="297">
        <v>324000</v>
      </c>
      <c r="P102" s="297">
        <v>324000</v>
      </c>
      <c r="Q102" s="297">
        <v>303780</v>
      </c>
      <c r="R102" s="297">
        <v>278505</v>
      </c>
      <c r="S102" s="297">
        <v>324000</v>
      </c>
      <c r="T102" s="297">
        <v>303780</v>
      </c>
      <c r="U102" s="297">
        <v>308835</v>
      </c>
      <c r="V102" s="91">
        <v>324000</v>
      </c>
      <c r="W102" s="49">
        <f t="shared" si="57"/>
        <v>3766680</v>
      </c>
      <c r="X102" s="69"/>
      <c r="Y102" s="69"/>
    </row>
    <row r="103" spans="1:25" ht="12" customHeight="1">
      <c r="A103" s="114">
        <f>+A102</f>
        <v>2020014</v>
      </c>
      <c r="B103" s="74"/>
      <c r="C103" s="642"/>
      <c r="D103" s="645"/>
      <c r="E103" s="645"/>
      <c r="F103" s="645"/>
      <c r="G103" s="698"/>
      <c r="H103" s="648"/>
      <c r="I103" s="629"/>
      <c r="J103" s="172" t="s">
        <v>25</v>
      </c>
      <c r="K103" s="343"/>
      <c r="L103" s="297"/>
      <c r="M103" s="297"/>
      <c r="N103" s="297"/>
      <c r="O103" s="297"/>
      <c r="P103" s="297"/>
      <c r="Q103" s="297"/>
      <c r="R103" s="297"/>
      <c r="S103" s="297"/>
      <c r="T103" s="297"/>
      <c r="U103" s="297"/>
      <c r="V103" s="91"/>
      <c r="W103" s="49">
        <f t="shared" si="57"/>
        <v>0</v>
      </c>
      <c r="X103" s="2"/>
      <c r="Y103" s="69"/>
    </row>
    <row r="104" spans="1:25" ht="12" customHeight="1">
      <c r="A104" s="114">
        <f t="shared" ref="A104:A111" si="58">+A103</f>
        <v>2020014</v>
      </c>
      <c r="B104" s="74"/>
      <c r="C104" s="642"/>
      <c r="D104" s="645"/>
      <c r="E104" s="645"/>
      <c r="F104" s="645"/>
      <c r="G104" s="698"/>
      <c r="H104" s="648"/>
      <c r="I104" s="629"/>
      <c r="J104" s="173" t="s">
        <v>26</v>
      </c>
      <c r="K104" s="355">
        <f t="shared" ref="K104:V104" si="59">SUM(K105:K111)</f>
        <v>230881</v>
      </c>
      <c r="L104" s="411">
        <f t="shared" si="59"/>
        <v>210973</v>
      </c>
      <c r="M104" s="411">
        <f t="shared" si="59"/>
        <v>244183</v>
      </c>
      <c r="N104" s="411">
        <f t="shared" si="59"/>
        <v>227509</v>
      </c>
      <c r="O104" s="411">
        <f t="shared" si="59"/>
        <v>226174</v>
      </c>
      <c r="P104" s="411">
        <f t="shared" si="59"/>
        <v>226559</v>
      </c>
      <c r="Q104" s="411">
        <f t="shared" si="59"/>
        <v>223888</v>
      </c>
      <c r="R104" s="411">
        <f t="shared" si="59"/>
        <v>189205</v>
      </c>
      <c r="S104" s="411">
        <f t="shared" si="59"/>
        <v>226559</v>
      </c>
      <c r="T104" s="411">
        <f t="shared" si="59"/>
        <v>207215</v>
      </c>
      <c r="U104" s="411">
        <f t="shared" si="59"/>
        <v>207397</v>
      </c>
      <c r="V104" s="99">
        <f t="shared" si="59"/>
        <v>230881</v>
      </c>
      <c r="W104" s="50">
        <f t="shared" si="57"/>
        <v>2651424</v>
      </c>
      <c r="X104" s="2"/>
      <c r="Y104" s="69"/>
    </row>
    <row r="105" spans="1:25" ht="12" customHeight="1">
      <c r="A105" s="114">
        <f t="shared" si="58"/>
        <v>2020014</v>
      </c>
      <c r="B105" s="74"/>
      <c r="C105" s="642"/>
      <c r="D105" s="645"/>
      <c r="E105" s="645"/>
      <c r="F105" s="645"/>
      <c r="G105" s="698"/>
      <c r="H105" s="648"/>
      <c r="I105" s="629"/>
      <c r="J105" s="174" t="s">
        <v>27</v>
      </c>
      <c r="K105" s="343">
        <v>198000</v>
      </c>
      <c r="L105" s="297">
        <v>181500</v>
      </c>
      <c r="M105" s="297">
        <v>214500</v>
      </c>
      <c r="N105" s="297">
        <v>198000</v>
      </c>
      <c r="O105" s="297">
        <v>198000</v>
      </c>
      <c r="P105" s="297">
        <v>198000</v>
      </c>
      <c r="Q105" s="297">
        <v>198000</v>
      </c>
      <c r="R105" s="297">
        <v>165000</v>
      </c>
      <c r="S105" s="297">
        <v>198000</v>
      </c>
      <c r="T105" s="297">
        <v>181500</v>
      </c>
      <c r="U105" s="297">
        <v>181500</v>
      </c>
      <c r="V105" s="91">
        <v>198000</v>
      </c>
      <c r="W105" s="49">
        <f t="shared" si="57"/>
        <v>2310000</v>
      </c>
      <c r="X105" s="69"/>
      <c r="Y105" s="69"/>
    </row>
    <row r="106" spans="1:25" ht="12" customHeight="1">
      <c r="A106" s="114">
        <f t="shared" si="58"/>
        <v>2020014</v>
      </c>
      <c r="B106" s="74"/>
      <c r="C106" s="642"/>
      <c r="D106" s="645"/>
      <c r="E106" s="645"/>
      <c r="F106" s="645"/>
      <c r="G106" s="698"/>
      <c r="H106" s="648"/>
      <c r="I106" s="629"/>
      <c r="J106" s="174" t="s">
        <v>34</v>
      </c>
      <c r="K106" s="343"/>
      <c r="L106" s="297"/>
      <c r="M106" s="297"/>
      <c r="N106" s="297"/>
      <c r="O106" s="297"/>
      <c r="P106" s="297"/>
      <c r="Q106" s="297"/>
      <c r="R106" s="297"/>
      <c r="S106" s="297"/>
      <c r="T106" s="297"/>
      <c r="U106" s="297"/>
      <c r="V106" s="98"/>
      <c r="W106" s="49">
        <f t="shared" si="57"/>
        <v>0</v>
      </c>
      <c r="X106" s="69"/>
      <c r="Y106" s="69"/>
    </row>
    <row r="107" spans="1:25" ht="12" customHeight="1">
      <c r="A107" s="114">
        <f t="shared" si="58"/>
        <v>2020014</v>
      </c>
      <c r="B107" s="74"/>
      <c r="C107" s="642"/>
      <c r="D107" s="645"/>
      <c r="E107" s="645"/>
      <c r="F107" s="645"/>
      <c r="G107" s="698"/>
      <c r="H107" s="648"/>
      <c r="I107" s="629"/>
      <c r="J107" s="174" t="s">
        <v>28</v>
      </c>
      <c r="K107" s="343">
        <v>19200</v>
      </c>
      <c r="L107" s="297">
        <v>16000</v>
      </c>
      <c r="M107" s="297">
        <v>15864</v>
      </c>
      <c r="N107" s="297">
        <v>15864</v>
      </c>
      <c r="O107" s="297">
        <v>14542</v>
      </c>
      <c r="P107" s="297">
        <v>15864</v>
      </c>
      <c r="Q107" s="297">
        <v>13220</v>
      </c>
      <c r="R107" s="297">
        <v>11898</v>
      </c>
      <c r="S107" s="297">
        <v>15864</v>
      </c>
      <c r="T107" s="297">
        <v>13220</v>
      </c>
      <c r="U107" s="297">
        <v>13220</v>
      </c>
      <c r="V107" s="91">
        <v>19200</v>
      </c>
      <c r="W107" s="49">
        <f t="shared" si="57"/>
        <v>183956</v>
      </c>
      <c r="X107" s="69"/>
      <c r="Y107" s="69"/>
    </row>
    <row r="108" spans="1:25" ht="12" customHeight="1">
      <c r="A108" s="114">
        <f t="shared" si="58"/>
        <v>2020014</v>
      </c>
      <c r="B108" s="74"/>
      <c r="C108" s="642"/>
      <c r="D108" s="645"/>
      <c r="E108" s="645"/>
      <c r="F108" s="645"/>
      <c r="G108" s="698"/>
      <c r="H108" s="648"/>
      <c r="I108" s="629"/>
      <c r="J108" s="174" t="s">
        <v>29</v>
      </c>
      <c r="K108" s="343">
        <v>11400</v>
      </c>
      <c r="L108" s="297">
        <v>11400</v>
      </c>
      <c r="M108" s="297">
        <v>11400</v>
      </c>
      <c r="N108" s="297">
        <v>11400</v>
      </c>
      <c r="O108" s="297">
        <v>11400</v>
      </c>
      <c r="P108" s="297">
        <v>10450</v>
      </c>
      <c r="Q108" s="297">
        <v>10450</v>
      </c>
      <c r="R108" s="297">
        <v>10450</v>
      </c>
      <c r="S108" s="297">
        <v>10450</v>
      </c>
      <c r="T108" s="297">
        <v>10450</v>
      </c>
      <c r="U108" s="297">
        <v>10450</v>
      </c>
      <c r="V108" s="91">
        <v>11400</v>
      </c>
      <c r="W108" s="49">
        <f t="shared" si="57"/>
        <v>131100</v>
      </c>
      <c r="X108" s="69"/>
      <c r="Y108" s="69"/>
    </row>
    <row r="109" spans="1:25" ht="12" customHeight="1">
      <c r="A109" s="114">
        <f t="shared" si="58"/>
        <v>2020014</v>
      </c>
      <c r="B109" s="74"/>
      <c r="C109" s="642"/>
      <c r="D109" s="645"/>
      <c r="E109" s="645"/>
      <c r="F109" s="645"/>
      <c r="G109" s="698"/>
      <c r="H109" s="648"/>
      <c r="I109" s="629"/>
      <c r="J109" s="174" t="s">
        <v>30</v>
      </c>
      <c r="K109" s="343"/>
      <c r="L109" s="297"/>
      <c r="M109" s="297"/>
      <c r="N109" s="297"/>
      <c r="O109" s="297"/>
      <c r="P109" s="297"/>
      <c r="Q109" s="297"/>
      <c r="R109" s="297"/>
      <c r="S109" s="297"/>
      <c r="T109" s="297"/>
      <c r="U109" s="297"/>
      <c r="V109" s="91"/>
      <c r="W109" s="49">
        <f t="shared" si="57"/>
        <v>0</v>
      </c>
      <c r="X109" s="69"/>
      <c r="Y109" s="69"/>
    </row>
    <row r="110" spans="1:25" ht="12" customHeight="1">
      <c r="A110" s="114">
        <f t="shared" si="58"/>
        <v>2020014</v>
      </c>
      <c r="B110" s="74"/>
      <c r="C110" s="642"/>
      <c r="D110" s="645"/>
      <c r="E110" s="645"/>
      <c r="F110" s="645"/>
      <c r="G110" s="698"/>
      <c r="H110" s="648"/>
      <c r="I110" s="629"/>
      <c r="J110" s="174" t="s">
        <v>31</v>
      </c>
      <c r="K110" s="343">
        <v>1086</v>
      </c>
      <c r="L110" s="297">
        <v>987</v>
      </c>
      <c r="M110" s="297">
        <v>1152</v>
      </c>
      <c r="N110" s="297">
        <v>1069</v>
      </c>
      <c r="O110" s="297">
        <v>1063</v>
      </c>
      <c r="P110" s="297">
        <v>1069</v>
      </c>
      <c r="Q110" s="297">
        <v>1056</v>
      </c>
      <c r="R110" s="297">
        <v>884</v>
      </c>
      <c r="S110" s="297">
        <v>1069</v>
      </c>
      <c r="T110" s="297">
        <v>974</v>
      </c>
      <c r="U110" s="297">
        <v>1060</v>
      </c>
      <c r="V110" s="91">
        <v>1086</v>
      </c>
      <c r="W110" s="49">
        <f t="shared" si="57"/>
        <v>12555</v>
      </c>
      <c r="X110" s="69"/>
      <c r="Y110" s="69"/>
    </row>
    <row r="111" spans="1:25" ht="12" customHeight="1">
      <c r="A111" s="114">
        <f t="shared" si="58"/>
        <v>2020014</v>
      </c>
      <c r="B111" s="74"/>
      <c r="C111" s="642"/>
      <c r="D111" s="645"/>
      <c r="E111" s="645"/>
      <c r="F111" s="645"/>
      <c r="G111" s="698"/>
      <c r="H111" s="648"/>
      <c r="I111" s="629"/>
      <c r="J111" s="174" t="s">
        <v>32</v>
      </c>
      <c r="K111" s="343">
        <v>1195</v>
      </c>
      <c r="L111" s="297">
        <v>1086</v>
      </c>
      <c r="M111" s="297">
        <v>1267</v>
      </c>
      <c r="N111" s="297">
        <v>1176</v>
      </c>
      <c r="O111" s="297">
        <v>1169</v>
      </c>
      <c r="P111" s="297">
        <v>1176</v>
      </c>
      <c r="Q111" s="297">
        <v>1162</v>
      </c>
      <c r="R111" s="297">
        <v>973</v>
      </c>
      <c r="S111" s="297">
        <v>1176</v>
      </c>
      <c r="T111" s="297">
        <v>1071</v>
      </c>
      <c r="U111" s="297">
        <v>1167</v>
      </c>
      <c r="V111" s="91">
        <v>1195</v>
      </c>
      <c r="W111" s="49">
        <f t="shared" si="57"/>
        <v>13813</v>
      </c>
      <c r="X111" s="69"/>
      <c r="Y111" s="69"/>
    </row>
    <row r="112" spans="1:25" ht="12" customHeight="1">
      <c r="A112" s="114">
        <f>+A111</f>
        <v>2020014</v>
      </c>
      <c r="B112" s="74"/>
      <c r="C112" s="654"/>
      <c r="D112" s="655"/>
      <c r="E112" s="655"/>
      <c r="F112" s="655"/>
      <c r="G112" s="699"/>
      <c r="H112" s="652"/>
      <c r="I112" s="630"/>
      <c r="J112" s="175" t="s">
        <v>33</v>
      </c>
      <c r="K112" s="356">
        <f t="shared" ref="K112:W112" si="60">K101-K104</f>
        <v>93119</v>
      </c>
      <c r="L112" s="412">
        <f t="shared" si="60"/>
        <v>92807</v>
      </c>
      <c r="M112" s="412">
        <f t="shared" si="60"/>
        <v>79817</v>
      </c>
      <c r="N112" s="412">
        <f t="shared" si="60"/>
        <v>96491</v>
      </c>
      <c r="O112" s="412">
        <f t="shared" si="60"/>
        <v>97826</v>
      </c>
      <c r="P112" s="412">
        <f t="shared" si="60"/>
        <v>97441</v>
      </c>
      <c r="Q112" s="412">
        <f t="shared" si="60"/>
        <v>79892</v>
      </c>
      <c r="R112" s="412">
        <f t="shared" si="60"/>
        <v>89300</v>
      </c>
      <c r="S112" s="412">
        <f t="shared" si="60"/>
        <v>97441</v>
      </c>
      <c r="T112" s="412">
        <f t="shared" si="60"/>
        <v>96565</v>
      </c>
      <c r="U112" s="412">
        <f t="shared" si="60"/>
        <v>101438</v>
      </c>
      <c r="V112" s="101">
        <f t="shared" si="60"/>
        <v>93119</v>
      </c>
      <c r="W112" s="51">
        <f t="shared" si="60"/>
        <v>1115256</v>
      </c>
      <c r="X112" s="2"/>
      <c r="Y112" s="69"/>
    </row>
    <row r="113" spans="1:25" ht="12.75" customHeight="1">
      <c r="A113" s="113">
        <v>2023007</v>
      </c>
      <c r="C113" s="641">
        <f t="shared" si="55"/>
        <v>10</v>
      </c>
      <c r="D113" s="644" t="s">
        <v>60</v>
      </c>
      <c r="E113" s="644" t="s">
        <v>173</v>
      </c>
      <c r="F113" s="644"/>
      <c r="G113" s="697" t="s">
        <v>163</v>
      </c>
      <c r="H113" s="647"/>
      <c r="I113" s="628" t="s">
        <v>55</v>
      </c>
      <c r="J113" s="176" t="s">
        <v>23</v>
      </c>
      <c r="K113" s="353">
        <f t="shared" ref="K113:V113" si="61">K114+K115</f>
        <v>500000</v>
      </c>
      <c r="L113" s="342">
        <f t="shared" si="61"/>
        <v>432705</v>
      </c>
      <c r="M113" s="342">
        <f t="shared" si="61"/>
        <v>446790</v>
      </c>
      <c r="N113" s="409">
        <f t="shared" si="61"/>
        <v>0</v>
      </c>
      <c r="O113" s="409">
        <f t="shared" si="61"/>
        <v>0</v>
      </c>
      <c r="P113" s="409">
        <f t="shared" si="61"/>
        <v>0</v>
      </c>
      <c r="Q113" s="409">
        <f t="shared" si="61"/>
        <v>0</v>
      </c>
      <c r="R113" s="409">
        <f t="shared" si="61"/>
        <v>0</v>
      </c>
      <c r="S113" s="409">
        <f t="shared" si="61"/>
        <v>0</v>
      </c>
      <c r="T113" s="409">
        <f t="shared" si="61"/>
        <v>0</v>
      </c>
      <c r="U113" s="409">
        <f t="shared" si="61"/>
        <v>0</v>
      </c>
      <c r="V113" s="448">
        <f t="shared" si="61"/>
        <v>0</v>
      </c>
      <c r="W113" s="449">
        <f t="shared" ref="W113:W123" si="62">SUM(K113:V113)</f>
        <v>1379495</v>
      </c>
      <c r="X113" s="2"/>
      <c r="Y113" s="69"/>
    </row>
    <row r="114" spans="1:25" ht="13.4" customHeight="1">
      <c r="A114" s="114">
        <f t="shared" ref="A114:A124" si="63">+A113</f>
        <v>2023007</v>
      </c>
      <c r="B114" s="74">
        <f t="shared" ref="B114:B124" si="64">+B113</f>
        <v>0</v>
      </c>
      <c r="C114" s="642"/>
      <c r="D114" s="645"/>
      <c r="E114" s="645"/>
      <c r="F114" s="645"/>
      <c r="G114" s="698"/>
      <c r="H114" s="648"/>
      <c r="I114" s="629"/>
      <c r="J114" s="172" t="s">
        <v>24</v>
      </c>
      <c r="K114" s="329">
        <v>500000</v>
      </c>
      <c r="L114" s="329">
        <v>432705</v>
      </c>
      <c r="M114" s="329">
        <v>446790</v>
      </c>
      <c r="N114" s="410"/>
      <c r="O114" s="410"/>
      <c r="P114" s="410"/>
      <c r="Q114" s="410"/>
      <c r="R114" s="410"/>
      <c r="S114" s="410"/>
      <c r="T114" s="410"/>
      <c r="U114" s="410"/>
      <c r="V114" s="329"/>
      <c r="W114" s="450">
        <f t="shared" si="62"/>
        <v>1379495</v>
      </c>
      <c r="X114" s="69"/>
      <c r="Y114" s="69"/>
    </row>
    <row r="115" spans="1:25" ht="13.4" customHeight="1">
      <c r="A115" s="114">
        <f t="shared" si="63"/>
        <v>2023007</v>
      </c>
      <c r="B115" s="74">
        <f t="shared" si="64"/>
        <v>0</v>
      </c>
      <c r="C115" s="642"/>
      <c r="D115" s="645"/>
      <c r="E115" s="645"/>
      <c r="F115" s="645"/>
      <c r="G115" s="698"/>
      <c r="H115" s="648"/>
      <c r="I115" s="629"/>
      <c r="J115" s="172" t="s">
        <v>25</v>
      </c>
      <c r="K115" s="343"/>
      <c r="L115" s="343"/>
      <c r="M115" s="343"/>
      <c r="N115" s="297"/>
      <c r="O115" s="297"/>
      <c r="P115" s="297"/>
      <c r="Q115" s="297"/>
      <c r="R115" s="297"/>
      <c r="S115" s="297"/>
      <c r="T115" s="297"/>
      <c r="U115" s="297"/>
      <c r="V115" s="451"/>
      <c r="W115" s="450">
        <f t="shared" si="62"/>
        <v>0</v>
      </c>
      <c r="X115" s="2"/>
      <c r="Y115" s="69"/>
    </row>
    <row r="116" spans="1:25" ht="13.4" customHeight="1">
      <c r="A116" s="114">
        <f t="shared" si="63"/>
        <v>2023007</v>
      </c>
      <c r="B116" s="74">
        <f t="shared" si="64"/>
        <v>0</v>
      </c>
      <c r="C116" s="642"/>
      <c r="D116" s="645"/>
      <c r="E116" s="645"/>
      <c r="F116" s="645"/>
      <c r="G116" s="698"/>
      <c r="H116" s="648"/>
      <c r="I116" s="629"/>
      <c r="J116" s="173" t="s">
        <v>26</v>
      </c>
      <c r="K116" s="344">
        <f t="shared" ref="K116:V116" si="65">SUM(K117:K123)</f>
        <v>410991</v>
      </c>
      <c r="L116" s="344">
        <f t="shared" si="65"/>
        <v>409374</v>
      </c>
      <c r="M116" s="344">
        <f t="shared" si="65"/>
        <v>410182</v>
      </c>
      <c r="N116" s="411">
        <f t="shared" si="65"/>
        <v>0</v>
      </c>
      <c r="O116" s="411">
        <f t="shared" si="65"/>
        <v>0</v>
      </c>
      <c r="P116" s="411">
        <f t="shared" si="65"/>
        <v>0</v>
      </c>
      <c r="Q116" s="411">
        <f t="shared" si="65"/>
        <v>0</v>
      </c>
      <c r="R116" s="411">
        <f t="shared" si="65"/>
        <v>0</v>
      </c>
      <c r="S116" s="411">
        <f t="shared" si="65"/>
        <v>0</v>
      </c>
      <c r="T116" s="411">
        <f t="shared" si="65"/>
        <v>0</v>
      </c>
      <c r="U116" s="411">
        <f t="shared" si="65"/>
        <v>0</v>
      </c>
      <c r="V116" s="452">
        <f t="shared" si="65"/>
        <v>0</v>
      </c>
      <c r="W116" s="453">
        <f t="shared" si="62"/>
        <v>1230547</v>
      </c>
      <c r="X116" s="2"/>
      <c r="Y116" s="69"/>
    </row>
    <row r="117" spans="1:25" ht="13.4" customHeight="1">
      <c r="A117" s="114">
        <f t="shared" si="63"/>
        <v>2023007</v>
      </c>
      <c r="B117" s="74">
        <f t="shared" si="64"/>
        <v>0</v>
      </c>
      <c r="C117" s="642"/>
      <c r="D117" s="645"/>
      <c r="E117" s="645"/>
      <c r="F117" s="645"/>
      <c r="G117" s="698"/>
      <c r="H117" s="648"/>
      <c r="I117" s="629"/>
      <c r="J117" s="174" t="s">
        <v>27</v>
      </c>
      <c r="K117" s="343">
        <v>357200</v>
      </c>
      <c r="L117" s="343">
        <v>355600</v>
      </c>
      <c r="M117" s="343">
        <v>356400</v>
      </c>
      <c r="N117" s="297"/>
      <c r="O117" s="297"/>
      <c r="P117" s="297"/>
      <c r="Q117" s="297"/>
      <c r="R117" s="297"/>
      <c r="S117" s="297"/>
      <c r="T117" s="297"/>
      <c r="U117" s="297"/>
      <c r="V117" s="343"/>
      <c r="W117" s="450">
        <f t="shared" si="62"/>
        <v>1069200</v>
      </c>
      <c r="X117" s="69"/>
      <c r="Y117" s="69"/>
    </row>
    <row r="118" spans="1:25" ht="13.4" customHeight="1">
      <c r="A118" s="114">
        <f t="shared" si="63"/>
        <v>2023007</v>
      </c>
      <c r="B118" s="74">
        <f t="shared" si="64"/>
        <v>0</v>
      </c>
      <c r="C118" s="642"/>
      <c r="D118" s="645"/>
      <c r="E118" s="645"/>
      <c r="F118" s="645"/>
      <c r="G118" s="698"/>
      <c r="H118" s="648"/>
      <c r="I118" s="629"/>
      <c r="J118" s="174" t="s">
        <v>34</v>
      </c>
      <c r="K118" s="343"/>
      <c r="L118" s="343"/>
      <c r="M118" s="343"/>
      <c r="N118" s="297"/>
      <c r="O118" s="297"/>
      <c r="P118" s="297"/>
      <c r="Q118" s="297"/>
      <c r="R118" s="297"/>
      <c r="S118" s="297"/>
      <c r="T118" s="297"/>
      <c r="U118" s="297"/>
      <c r="V118" s="451"/>
      <c r="W118" s="450">
        <f t="shared" si="62"/>
        <v>0</v>
      </c>
      <c r="X118" s="69"/>
      <c r="Y118" s="69"/>
    </row>
    <row r="119" spans="1:25" ht="13.4" customHeight="1">
      <c r="A119" s="114">
        <f t="shared" si="63"/>
        <v>2023007</v>
      </c>
      <c r="B119" s="74">
        <f t="shared" si="64"/>
        <v>0</v>
      </c>
      <c r="C119" s="642"/>
      <c r="D119" s="645"/>
      <c r="E119" s="645"/>
      <c r="F119" s="645"/>
      <c r="G119" s="698"/>
      <c r="H119" s="648"/>
      <c r="I119" s="629"/>
      <c r="J119" s="174" t="s">
        <v>28</v>
      </c>
      <c r="K119" s="343">
        <v>0</v>
      </c>
      <c r="L119" s="343">
        <v>0</v>
      </c>
      <c r="M119" s="343">
        <v>0</v>
      </c>
      <c r="N119" s="297"/>
      <c r="O119" s="297"/>
      <c r="P119" s="297"/>
      <c r="Q119" s="297"/>
      <c r="R119" s="297"/>
      <c r="S119" s="297"/>
      <c r="T119" s="297"/>
      <c r="U119" s="297"/>
      <c r="V119" s="343"/>
      <c r="W119" s="450">
        <f t="shared" si="62"/>
        <v>0</v>
      </c>
      <c r="X119" s="69"/>
      <c r="Y119" s="69"/>
    </row>
    <row r="120" spans="1:25" ht="13.4" customHeight="1">
      <c r="A120" s="114">
        <f t="shared" si="63"/>
        <v>2023007</v>
      </c>
      <c r="B120" s="74">
        <f t="shared" si="64"/>
        <v>0</v>
      </c>
      <c r="C120" s="642"/>
      <c r="D120" s="645"/>
      <c r="E120" s="645"/>
      <c r="F120" s="645"/>
      <c r="G120" s="698"/>
      <c r="H120" s="648"/>
      <c r="I120" s="629"/>
      <c r="J120" s="174" t="s">
        <v>29</v>
      </c>
      <c r="K120" s="343">
        <v>17100</v>
      </c>
      <c r="L120" s="343">
        <v>17100</v>
      </c>
      <c r="M120" s="343">
        <v>17100</v>
      </c>
      <c r="N120" s="297"/>
      <c r="O120" s="297"/>
      <c r="P120" s="297"/>
      <c r="Q120" s="297"/>
      <c r="R120" s="297"/>
      <c r="S120" s="297"/>
      <c r="T120" s="297"/>
      <c r="U120" s="297"/>
      <c r="V120" s="343"/>
      <c r="W120" s="450">
        <f t="shared" si="62"/>
        <v>51300</v>
      </c>
      <c r="X120" s="69"/>
      <c r="Y120" s="69"/>
    </row>
    <row r="121" spans="1:25" ht="13.4" customHeight="1">
      <c r="A121" s="114">
        <f t="shared" si="63"/>
        <v>2023007</v>
      </c>
      <c r="B121" s="74">
        <f t="shared" si="64"/>
        <v>0</v>
      </c>
      <c r="C121" s="642"/>
      <c r="D121" s="645"/>
      <c r="E121" s="645"/>
      <c r="F121" s="645"/>
      <c r="G121" s="698"/>
      <c r="H121" s="648"/>
      <c r="I121" s="629"/>
      <c r="J121" s="174" t="s">
        <v>30</v>
      </c>
      <c r="K121" s="343">
        <v>32940</v>
      </c>
      <c r="L121" s="343">
        <v>32940</v>
      </c>
      <c r="M121" s="343">
        <v>32940</v>
      </c>
      <c r="N121" s="297"/>
      <c r="O121" s="297"/>
      <c r="P121" s="297"/>
      <c r="Q121" s="297"/>
      <c r="R121" s="297"/>
      <c r="S121" s="297"/>
      <c r="T121" s="297"/>
      <c r="U121" s="297"/>
      <c r="V121" s="343"/>
      <c r="W121" s="450">
        <f t="shared" si="62"/>
        <v>98820</v>
      </c>
      <c r="X121" s="69"/>
      <c r="Y121" s="69"/>
    </row>
    <row r="122" spans="1:25" ht="13.4" customHeight="1">
      <c r="A122" s="114">
        <f t="shared" si="63"/>
        <v>2023007</v>
      </c>
      <c r="B122" s="74">
        <f t="shared" si="64"/>
        <v>0</v>
      </c>
      <c r="C122" s="642"/>
      <c r="D122" s="645"/>
      <c r="E122" s="645"/>
      <c r="F122" s="645"/>
      <c r="G122" s="698"/>
      <c r="H122" s="648"/>
      <c r="I122" s="629"/>
      <c r="J122" s="174" t="s">
        <v>31</v>
      </c>
      <c r="K122" s="343">
        <v>1786</v>
      </c>
      <c r="L122" s="343">
        <v>1778</v>
      </c>
      <c r="M122" s="343">
        <v>1782</v>
      </c>
      <c r="N122" s="297"/>
      <c r="O122" s="297"/>
      <c r="P122" s="297"/>
      <c r="Q122" s="297"/>
      <c r="R122" s="297"/>
      <c r="S122" s="297"/>
      <c r="T122" s="297"/>
      <c r="U122" s="297"/>
      <c r="V122" s="343"/>
      <c r="W122" s="450">
        <f t="shared" si="62"/>
        <v>5346</v>
      </c>
      <c r="X122" s="69"/>
      <c r="Y122" s="69"/>
    </row>
    <row r="123" spans="1:25" ht="13.4" customHeight="1">
      <c r="A123" s="114">
        <f t="shared" si="63"/>
        <v>2023007</v>
      </c>
      <c r="B123" s="74">
        <f t="shared" si="64"/>
        <v>0</v>
      </c>
      <c r="C123" s="642"/>
      <c r="D123" s="645"/>
      <c r="E123" s="645"/>
      <c r="F123" s="645"/>
      <c r="G123" s="698"/>
      <c r="H123" s="648"/>
      <c r="I123" s="629"/>
      <c r="J123" s="174" t="s">
        <v>32</v>
      </c>
      <c r="K123" s="343">
        <v>1965</v>
      </c>
      <c r="L123" s="343">
        <v>1956</v>
      </c>
      <c r="M123" s="343">
        <v>1960</v>
      </c>
      <c r="N123" s="297"/>
      <c r="O123" s="297"/>
      <c r="P123" s="297"/>
      <c r="Q123" s="297"/>
      <c r="R123" s="297"/>
      <c r="S123" s="297"/>
      <c r="T123" s="297"/>
      <c r="U123" s="297"/>
      <c r="V123" s="343"/>
      <c r="W123" s="450">
        <f t="shared" si="62"/>
        <v>5881</v>
      </c>
      <c r="X123" s="69"/>
      <c r="Y123" s="69"/>
    </row>
    <row r="124" spans="1:25" ht="14.15" customHeight="1" thickBot="1">
      <c r="A124" s="114">
        <f t="shared" si="63"/>
        <v>2023007</v>
      </c>
      <c r="B124" s="74">
        <f t="shared" si="64"/>
        <v>0</v>
      </c>
      <c r="C124" s="643"/>
      <c r="D124" s="646"/>
      <c r="E124" s="646"/>
      <c r="F124" s="646"/>
      <c r="G124" s="703"/>
      <c r="H124" s="649"/>
      <c r="I124" s="631"/>
      <c r="J124" s="178" t="s">
        <v>33</v>
      </c>
      <c r="K124" s="358">
        <f t="shared" ref="K124:W124" si="66">K113-K116</f>
        <v>89009</v>
      </c>
      <c r="L124" s="349">
        <f t="shared" si="66"/>
        <v>23331</v>
      </c>
      <c r="M124" s="349">
        <f t="shared" si="66"/>
        <v>36608</v>
      </c>
      <c r="N124" s="417">
        <f t="shared" si="66"/>
        <v>0</v>
      </c>
      <c r="O124" s="417">
        <f t="shared" si="66"/>
        <v>0</v>
      </c>
      <c r="P124" s="417">
        <f t="shared" si="66"/>
        <v>0</v>
      </c>
      <c r="Q124" s="417">
        <f t="shared" si="66"/>
        <v>0</v>
      </c>
      <c r="R124" s="417">
        <f t="shared" si="66"/>
        <v>0</v>
      </c>
      <c r="S124" s="417">
        <f t="shared" si="66"/>
        <v>0</v>
      </c>
      <c r="T124" s="417">
        <f t="shared" si="66"/>
        <v>0</v>
      </c>
      <c r="U124" s="417">
        <f t="shared" si="66"/>
        <v>0</v>
      </c>
      <c r="V124" s="487">
        <f t="shared" si="66"/>
        <v>0</v>
      </c>
      <c r="W124" s="457">
        <f t="shared" si="66"/>
        <v>148948</v>
      </c>
      <c r="X124" s="2"/>
      <c r="Y124" s="69"/>
    </row>
    <row r="125" spans="1:25" s="1" customFormat="1" ht="12.5" thickTop="1">
      <c r="A125" s="112"/>
      <c r="B125" s="72"/>
      <c r="C125" s="656" t="str">
        <f>C2</f>
        <v>マネージドサービス第二本部</v>
      </c>
      <c r="D125" s="657"/>
      <c r="E125" s="657"/>
      <c r="F125" s="657"/>
      <c r="G125" s="657"/>
      <c r="H125" s="657"/>
      <c r="I125" s="658"/>
      <c r="J125" s="164" t="s">
        <v>20</v>
      </c>
      <c r="K125" s="382">
        <f>K5+K17+K29+K41+K53+K65+K77+K89+K101+K113</f>
        <v>4758625</v>
      </c>
      <c r="L125" s="459">
        <f t="shared" ref="L125:V125" si="67">L5+L17+L29+L41+L53+L65+L77+L89+L101+L113</f>
        <v>4539760</v>
      </c>
      <c r="M125" s="459">
        <f t="shared" si="67"/>
        <v>4685890</v>
      </c>
      <c r="N125" s="459">
        <f t="shared" si="67"/>
        <v>4235550</v>
      </c>
      <c r="O125" s="459">
        <f t="shared" si="67"/>
        <v>4232000</v>
      </c>
      <c r="P125" s="434">
        <f t="shared" si="67"/>
        <v>4305625</v>
      </c>
      <c r="Q125" s="434">
        <f t="shared" si="67"/>
        <v>4286630</v>
      </c>
      <c r="R125" s="434">
        <f t="shared" si="67"/>
        <v>4035400</v>
      </c>
      <c r="S125" s="434">
        <f t="shared" si="67"/>
        <v>4249050</v>
      </c>
      <c r="T125" s="434">
        <f t="shared" si="67"/>
        <v>3773205</v>
      </c>
      <c r="U125" s="434">
        <f t="shared" si="67"/>
        <v>3645155</v>
      </c>
      <c r="V125" s="266">
        <f t="shared" si="67"/>
        <v>3789575</v>
      </c>
      <c r="W125" s="163">
        <f>SUM(K125:V125)</f>
        <v>50536465</v>
      </c>
      <c r="X125" s="227"/>
      <c r="Y125" s="69"/>
    </row>
    <row r="126" spans="1:25" s="1" customFormat="1">
      <c r="A126" s="112"/>
      <c r="B126" s="72"/>
      <c r="C126" s="656"/>
      <c r="D126" s="657"/>
      <c r="E126" s="657"/>
      <c r="F126" s="657"/>
      <c r="G126" s="657"/>
      <c r="H126" s="657"/>
      <c r="I126" s="658"/>
      <c r="J126" s="165" t="s">
        <v>21</v>
      </c>
      <c r="K126" s="383">
        <f>K8+K20+K32+K44+K56+K68+K80+K92+K104+K116</f>
        <v>3409115</v>
      </c>
      <c r="L126" s="460">
        <f t="shared" ref="L126:V126" si="68">L8+L20+L32+L44+L56+L68+L80+L92+L104+L116</f>
        <v>3360925</v>
      </c>
      <c r="M126" s="460">
        <f t="shared" si="68"/>
        <v>3405027</v>
      </c>
      <c r="N126" s="460">
        <f t="shared" si="68"/>
        <v>2977481</v>
      </c>
      <c r="O126" s="460">
        <f t="shared" si="68"/>
        <v>2953730</v>
      </c>
      <c r="P126" s="435">
        <f t="shared" si="68"/>
        <v>2930924</v>
      </c>
      <c r="Q126" s="435">
        <f t="shared" si="68"/>
        <v>3114891</v>
      </c>
      <c r="R126" s="435">
        <f t="shared" si="68"/>
        <v>2919826</v>
      </c>
      <c r="S126" s="435">
        <f t="shared" si="68"/>
        <v>3012369</v>
      </c>
      <c r="T126" s="435">
        <f t="shared" si="68"/>
        <v>2646234</v>
      </c>
      <c r="U126" s="435">
        <f t="shared" si="68"/>
        <v>2632013</v>
      </c>
      <c r="V126" s="276">
        <f t="shared" si="68"/>
        <v>2676301</v>
      </c>
      <c r="W126" s="81">
        <f>SUM(K126:V126)</f>
        <v>36038836</v>
      </c>
      <c r="X126" s="227"/>
      <c r="Y126" s="69"/>
    </row>
    <row r="127" spans="1:25" s="1" customFormat="1" ht="12.65" customHeight="1">
      <c r="A127" s="112"/>
      <c r="B127" s="72"/>
      <c r="C127" s="659"/>
      <c r="D127" s="660"/>
      <c r="E127" s="660"/>
      <c r="F127" s="660"/>
      <c r="G127" s="660"/>
      <c r="H127" s="660"/>
      <c r="I127" s="661"/>
      <c r="J127" s="182" t="s">
        <v>22</v>
      </c>
      <c r="K127" s="384">
        <f>K125-K126</f>
        <v>1349510</v>
      </c>
      <c r="L127" s="441">
        <f t="shared" ref="L127:V127" si="69">L125-L126</f>
        <v>1178835</v>
      </c>
      <c r="M127" s="441">
        <f t="shared" si="69"/>
        <v>1280863</v>
      </c>
      <c r="N127" s="441">
        <f t="shared" si="69"/>
        <v>1258069</v>
      </c>
      <c r="O127" s="441">
        <f t="shared" si="69"/>
        <v>1278270</v>
      </c>
      <c r="P127" s="441">
        <f t="shared" si="69"/>
        <v>1374701</v>
      </c>
      <c r="Q127" s="441">
        <f t="shared" si="69"/>
        <v>1171739</v>
      </c>
      <c r="R127" s="441">
        <f t="shared" si="69"/>
        <v>1115574</v>
      </c>
      <c r="S127" s="441">
        <f t="shared" si="69"/>
        <v>1236681</v>
      </c>
      <c r="T127" s="441">
        <f t="shared" si="69"/>
        <v>1126971</v>
      </c>
      <c r="U127" s="441">
        <f t="shared" si="69"/>
        <v>1013142</v>
      </c>
      <c r="V127" s="228">
        <f t="shared" si="69"/>
        <v>1113274</v>
      </c>
      <c r="W127" s="19">
        <f>SUM(K127:V127)</f>
        <v>14497629</v>
      </c>
      <c r="X127" s="227"/>
      <c r="Y127" s="69"/>
    </row>
    <row r="128" spans="1:25">
      <c r="J128" s="128" t="s">
        <v>74</v>
      </c>
      <c r="K128" s="691">
        <f>SUM(K125:M125)</f>
        <v>13984275</v>
      </c>
      <c r="L128" s="585"/>
      <c r="M128" s="585"/>
      <c r="N128" s="585">
        <f t="shared" ref="N128:N129" si="70">SUM(N125:P125)</f>
        <v>12773175</v>
      </c>
      <c r="O128" s="585"/>
      <c r="P128" s="585"/>
      <c r="Q128" s="585">
        <f t="shared" ref="Q128:Q129" si="71">SUM(Q125:S125)</f>
        <v>12571080</v>
      </c>
      <c r="R128" s="585"/>
      <c r="S128" s="585"/>
      <c r="T128" s="585">
        <f>SUM(T125:V125)</f>
        <v>11207935</v>
      </c>
      <c r="U128" s="585"/>
      <c r="V128" s="662"/>
      <c r="W128" s="20">
        <f>SUM(K128:V128)</f>
        <v>50536465</v>
      </c>
      <c r="Y128" s="69"/>
    </row>
    <row r="129" spans="10:25">
      <c r="J129" s="130" t="s">
        <v>77</v>
      </c>
      <c r="K129" s="695">
        <f>SUM(K126:M126)</f>
        <v>10175067</v>
      </c>
      <c r="L129" s="589"/>
      <c r="M129" s="589"/>
      <c r="N129" s="589">
        <f t="shared" si="70"/>
        <v>8862135</v>
      </c>
      <c r="O129" s="589"/>
      <c r="P129" s="589"/>
      <c r="Q129" s="589">
        <f t="shared" si="71"/>
        <v>9047086</v>
      </c>
      <c r="R129" s="589"/>
      <c r="S129" s="589"/>
      <c r="T129" s="589">
        <f>SUM(T126:V126)</f>
        <v>7954548</v>
      </c>
      <c r="U129" s="589"/>
      <c r="V129" s="664"/>
      <c r="W129" s="21">
        <f t="shared" ref="W129:W130" si="72">SUM(K129:V129)</f>
        <v>36038836</v>
      </c>
      <c r="Y129" s="69"/>
    </row>
    <row r="130" spans="10:25">
      <c r="J130" s="6" t="s">
        <v>75</v>
      </c>
      <c r="K130" s="681">
        <f>SUM(K127:M127)</f>
        <v>3809208</v>
      </c>
      <c r="L130" s="571"/>
      <c r="M130" s="571"/>
      <c r="N130" s="571">
        <f>SUM(N127:P127)</f>
        <v>3911040</v>
      </c>
      <c r="O130" s="571"/>
      <c r="P130" s="571"/>
      <c r="Q130" s="571">
        <f>SUM(Q127:S127)</f>
        <v>3523994</v>
      </c>
      <c r="R130" s="571"/>
      <c r="S130" s="571"/>
      <c r="T130" s="571">
        <f>SUM(T127:V127)</f>
        <v>3253387</v>
      </c>
      <c r="U130" s="571"/>
      <c r="V130" s="663"/>
      <c r="W130" s="22">
        <f t="shared" si="72"/>
        <v>14497629</v>
      </c>
      <c r="Y130" s="69"/>
    </row>
    <row r="131" spans="10:25">
      <c r="Y131" s="69"/>
    </row>
    <row r="132" spans="10:25">
      <c r="Y132" s="69"/>
    </row>
    <row r="133" spans="10:25">
      <c r="Y133" s="69"/>
    </row>
    <row r="134" spans="10:25">
      <c r="Y134" s="69"/>
    </row>
    <row r="135" spans="10:25">
      <c r="Y135" s="69"/>
    </row>
    <row r="136" spans="10:25">
      <c r="Y136" s="69"/>
    </row>
    <row r="137" spans="10:25">
      <c r="Y137" s="69"/>
    </row>
    <row r="138" spans="10:25">
      <c r="Y138" s="69"/>
    </row>
    <row r="139" spans="10:25">
      <c r="Y139" s="69"/>
    </row>
    <row r="140" spans="10:25">
      <c r="Y140" s="69"/>
    </row>
    <row r="141" spans="10:25">
      <c r="Y141" s="69"/>
    </row>
    <row r="142" spans="10:25">
      <c r="Y142" s="69"/>
    </row>
    <row r="143" spans="10:25">
      <c r="Y143" s="69"/>
    </row>
    <row r="144" spans="10:25">
      <c r="Y144" s="69"/>
    </row>
    <row r="145" spans="25:25">
      <c r="Y145" s="69"/>
    </row>
    <row r="146" spans="25:25">
      <c r="Y146" s="69"/>
    </row>
    <row r="147" spans="25:25">
      <c r="Y147" s="69"/>
    </row>
    <row r="148" spans="25:25">
      <c r="Y148" s="69"/>
    </row>
    <row r="149" spans="25:25">
      <c r="Y149" s="69"/>
    </row>
    <row r="150" spans="25:25">
      <c r="Y150" s="69"/>
    </row>
    <row r="151" spans="25:25">
      <c r="Y151" s="69"/>
    </row>
    <row r="152" spans="25:25">
      <c r="Y152" s="69"/>
    </row>
    <row r="153" spans="25:25">
      <c r="Y153" s="69"/>
    </row>
    <row r="154" spans="25:25">
      <c r="Y154" s="69"/>
    </row>
    <row r="155" spans="25:25">
      <c r="Y155" s="69"/>
    </row>
    <row r="156" spans="25:25">
      <c r="Y156" s="69"/>
    </row>
    <row r="157" spans="25:25">
      <c r="Y157" s="69"/>
    </row>
    <row r="158" spans="25:25">
      <c r="Y158" s="69"/>
    </row>
    <row r="159" spans="25:25">
      <c r="Y159" s="69"/>
    </row>
    <row r="160" spans="25:25">
      <c r="Y160" s="69"/>
    </row>
    <row r="161" spans="25:25">
      <c r="Y161" s="69"/>
    </row>
    <row r="162" spans="25:25">
      <c r="Y162" s="69"/>
    </row>
    <row r="163" spans="25:25">
      <c r="Y163" s="69"/>
    </row>
    <row r="164" spans="25:25">
      <c r="Y164" s="69"/>
    </row>
    <row r="165" spans="25:25">
      <c r="Y165" s="69"/>
    </row>
    <row r="166" spans="25:25">
      <c r="Y166" s="69"/>
    </row>
    <row r="167" spans="25:25">
      <c r="Y167" s="69"/>
    </row>
    <row r="168" spans="25:25">
      <c r="Y168" s="69"/>
    </row>
    <row r="169" spans="25:25">
      <c r="Y169" s="69"/>
    </row>
    <row r="170" spans="25:25">
      <c r="Y170" s="69"/>
    </row>
    <row r="171" spans="25:25">
      <c r="Y171" s="69"/>
    </row>
    <row r="172" spans="25:25">
      <c r="Y172" s="69"/>
    </row>
    <row r="173" spans="25:25">
      <c r="Y173" s="69"/>
    </row>
    <row r="174" spans="25:25">
      <c r="Y174" s="69"/>
    </row>
    <row r="175" spans="25:25">
      <c r="Y175" s="69"/>
    </row>
    <row r="176" spans="25:25">
      <c r="Y176" s="69"/>
    </row>
    <row r="177" spans="25:25">
      <c r="Y177" s="69"/>
    </row>
    <row r="178" spans="25:25">
      <c r="Y178" s="69"/>
    </row>
    <row r="179" spans="25:25">
      <c r="Y179" s="69"/>
    </row>
    <row r="180" spans="25:25">
      <c r="Y180" s="69"/>
    </row>
    <row r="181" spans="25:25">
      <c r="Y181" s="69"/>
    </row>
    <row r="182" spans="25:25">
      <c r="Y182" s="69"/>
    </row>
    <row r="183" spans="25:25">
      <c r="Y183" s="69"/>
    </row>
    <row r="184" spans="25:25">
      <c r="Y184" s="69"/>
    </row>
    <row r="185" spans="25:25">
      <c r="Y185" s="69"/>
    </row>
    <row r="186" spans="25:25">
      <c r="Y186" s="69"/>
    </row>
    <row r="187" spans="25:25">
      <c r="Y187" s="69"/>
    </row>
    <row r="188" spans="25:25">
      <c r="Y188" s="69"/>
    </row>
    <row r="189" spans="25:25">
      <c r="Y189" s="69"/>
    </row>
    <row r="190" spans="25:25">
      <c r="Y190" s="69"/>
    </row>
    <row r="191" spans="25:25">
      <c r="Y191" s="69"/>
    </row>
    <row r="192" spans="25:25">
      <c r="Y192" s="69"/>
    </row>
    <row r="193" spans="25:25">
      <c r="Y193" s="69"/>
    </row>
    <row r="194" spans="25:25">
      <c r="Y194" s="69"/>
    </row>
    <row r="195" spans="25:25">
      <c r="Y195" s="69"/>
    </row>
    <row r="196" spans="25:25">
      <c r="Y196" s="69"/>
    </row>
    <row r="197" spans="25:25">
      <c r="Y197" s="69"/>
    </row>
    <row r="198" spans="25:25">
      <c r="Y198" s="69"/>
    </row>
    <row r="199" spans="25:25">
      <c r="Y199" s="69"/>
    </row>
    <row r="200" spans="25:25">
      <c r="Y200" s="69"/>
    </row>
    <row r="201" spans="25:25">
      <c r="Y201" s="69"/>
    </row>
    <row r="202" spans="25:25">
      <c r="Y202" s="69"/>
    </row>
    <row r="203" spans="25:25">
      <c r="Y203" s="69"/>
    </row>
    <row r="204" spans="25:25">
      <c r="Y204" s="69"/>
    </row>
    <row r="205" spans="25:25">
      <c r="Y205" s="69"/>
    </row>
    <row r="206" spans="25:25">
      <c r="Y206" s="69"/>
    </row>
    <row r="207" spans="25:25">
      <c r="Y207" s="69"/>
    </row>
    <row r="208" spans="25:25">
      <c r="Y208" s="69"/>
    </row>
    <row r="209" spans="25:25">
      <c r="Y209" s="69"/>
    </row>
    <row r="210" spans="25:25">
      <c r="Y210" s="69"/>
    </row>
    <row r="211" spans="25:25">
      <c r="Y211" s="69"/>
    </row>
    <row r="212" spans="25:25">
      <c r="Y212" s="69"/>
    </row>
    <row r="213" spans="25:25">
      <c r="Y213" s="69"/>
    </row>
    <row r="214" spans="25:25">
      <c r="Y214" s="69"/>
    </row>
    <row r="215" spans="25:25">
      <c r="Y215" s="69"/>
    </row>
    <row r="216" spans="25:25">
      <c r="Y216" s="69"/>
    </row>
    <row r="217" spans="25:25">
      <c r="Y217" s="69"/>
    </row>
    <row r="218" spans="25:25">
      <c r="Y218" s="69"/>
    </row>
    <row r="219" spans="25:25">
      <c r="Y219" s="69"/>
    </row>
    <row r="220" spans="25:25">
      <c r="Y220" s="69"/>
    </row>
    <row r="221" spans="25:25">
      <c r="Y221" s="69"/>
    </row>
    <row r="222" spans="25:25">
      <c r="Y222" s="69"/>
    </row>
    <row r="223" spans="25:25">
      <c r="Y223" s="69"/>
    </row>
    <row r="224" spans="25:25">
      <c r="Y224" s="69"/>
    </row>
    <row r="225" spans="25:25">
      <c r="Y225" s="69"/>
    </row>
    <row r="226" spans="25:25">
      <c r="Y226" s="69"/>
    </row>
    <row r="227" spans="25:25">
      <c r="Y227" s="69"/>
    </row>
    <row r="228" spans="25:25">
      <c r="Y228" s="69"/>
    </row>
    <row r="229" spans="25:25">
      <c r="Y229" s="69"/>
    </row>
    <row r="230" spans="25:25">
      <c r="Y230" s="69"/>
    </row>
    <row r="231" spans="25:25">
      <c r="Y231" s="69"/>
    </row>
    <row r="232" spans="25:25">
      <c r="Y232" s="69"/>
    </row>
    <row r="233" spans="25:25">
      <c r="Y233" s="69"/>
    </row>
    <row r="234" spans="25:25">
      <c r="Y234" s="69"/>
    </row>
    <row r="235" spans="25:25">
      <c r="Y235" s="69"/>
    </row>
    <row r="236" spans="25:25">
      <c r="Y236" s="69"/>
    </row>
    <row r="237" spans="25:25">
      <c r="Y237" s="69"/>
    </row>
    <row r="238" spans="25:25">
      <c r="Y238" s="69"/>
    </row>
    <row r="239" spans="25:25">
      <c r="Y239" s="69"/>
    </row>
    <row r="240" spans="25:25">
      <c r="Y240" s="69"/>
    </row>
    <row r="241" spans="25:25">
      <c r="Y241" s="69"/>
    </row>
    <row r="242" spans="25:25">
      <c r="Y242" s="69"/>
    </row>
    <row r="243" spans="25:25">
      <c r="Y243" s="69"/>
    </row>
    <row r="244" spans="25:25">
      <c r="Y244" s="69"/>
    </row>
    <row r="245" spans="25:25">
      <c r="Y245" s="69"/>
    </row>
    <row r="246" spans="25:25">
      <c r="Y246" s="69"/>
    </row>
    <row r="247" spans="25:25">
      <c r="Y247" s="69"/>
    </row>
    <row r="248" spans="25:25">
      <c r="Y248" s="69"/>
    </row>
    <row r="249" spans="25:25">
      <c r="Y249" s="69"/>
    </row>
    <row r="250" spans="25:25">
      <c r="Y250" s="69"/>
    </row>
    <row r="251" spans="25:25">
      <c r="Y251" s="69"/>
    </row>
    <row r="252" spans="25:25">
      <c r="Y252" s="69"/>
    </row>
    <row r="253" spans="25:25">
      <c r="Y253" s="69"/>
    </row>
    <row r="254" spans="25:25">
      <c r="Y254" s="69"/>
    </row>
    <row r="255" spans="25:25">
      <c r="Y255" s="69"/>
    </row>
    <row r="256" spans="25:25">
      <c r="Y256" s="69"/>
    </row>
    <row r="257" spans="25:25">
      <c r="Y257" s="69"/>
    </row>
    <row r="258" spans="25:25">
      <c r="Y258" s="69"/>
    </row>
    <row r="259" spans="25:25">
      <c r="Y259" s="69"/>
    </row>
    <row r="260" spans="25:25">
      <c r="Y260" s="69"/>
    </row>
    <row r="261" spans="25:25">
      <c r="Y261" s="69"/>
    </row>
    <row r="262" spans="25:25">
      <c r="Y262" s="69"/>
    </row>
    <row r="263" spans="25:25">
      <c r="Y263" s="69"/>
    </row>
    <row r="264" spans="25:25">
      <c r="Y264" s="69"/>
    </row>
    <row r="265" spans="25:25">
      <c r="Y265" s="69"/>
    </row>
    <row r="266" spans="25:25">
      <c r="Y266" s="69"/>
    </row>
    <row r="267" spans="25:25">
      <c r="Y267" s="69"/>
    </row>
    <row r="268" spans="25:25">
      <c r="Y268" s="69"/>
    </row>
    <row r="269" spans="25:25">
      <c r="Y269" s="69"/>
    </row>
    <row r="270" spans="25:25">
      <c r="Y270" s="69"/>
    </row>
    <row r="271" spans="25:25">
      <c r="Y271" s="69"/>
    </row>
    <row r="272" spans="25:25">
      <c r="Y272" s="69"/>
    </row>
    <row r="273" spans="25:25">
      <c r="Y273" s="69"/>
    </row>
    <row r="274" spans="25:25">
      <c r="Y274" s="69"/>
    </row>
    <row r="275" spans="25:25">
      <c r="Y275" s="69"/>
    </row>
    <row r="276" spans="25:25">
      <c r="Y276" s="69"/>
    </row>
    <row r="277" spans="25:25">
      <c r="Y277" s="69"/>
    </row>
    <row r="278" spans="25:25">
      <c r="Y278" s="69"/>
    </row>
    <row r="279" spans="25:25">
      <c r="Y279" s="69"/>
    </row>
    <row r="280" spans="25:25">
      <c r="Y280" s="69"/>
    </row>
    <row r="281" spans="25:25">
      <c r="Y281" s="69"/>
    </row>
    <row r="282" spans="25:25">
      <c r="Y282" s="69"/>
    </row>
    <row r="283" spans="25:25">
      <c r="Y283" s="69"/>
    </row>
    <row r="284" spans="25:25">
      <c r="Y284" s="69"/>
    </row>
    <row r="285" spans="25:25">
      <c r="Y285" s="69"/>
    </row>
    <row r="286" spans="25:25">
      <c r="Y286" s="69"/>
    </row>
    <row r="287" spans="25:25">
      <c r="Y287" s="69"/>
    </row>
    <row r="288" spans="25:25">
      <c r="Y288" s="69"/>
    </row>
    <row r="289" spans="25:25">
      <c r="Y289" s="69"/>
    </row>
    <row r="290" spans="25:25">
      <c r="Y290" s="69"/>
    </row>
    <row r="291" spans="25:25">
      <c r="Y291" s="69"/>
    </row>
    <row r="292" spans="25:25">
      <c r="Y292" s="69"/>
    </row>
    <row r="293" spans="25:25">
      <c r="Y293" s="69"/>
    </row>
    <row r="294" spans="25:25">
      <c r="Y294" s="69"/>
    </row>
    <row r="295" spans="25:25">
      <c r="Y295" s="69"/>
    </row>
    <row r="296" spans="25:25">
      <c r="Y296" s="69"/>
    </row>
    <row r="297" spans="25:25">
      <c r="Y297" s="69"/>
    </row>
    <row r="298" spans="25:25">
      <c r="Y298" s="69"/>
    </row>
    <row r="299" spans="25:25">
      <c r="Y299" s="69"/>
    </row>
    <row r="300" spans="25:25">
      <c r="Y300" s="69"/>
    </row>
    <row r="301" spans="25:25">
      <c r="Y301" s="69"/>
    </row>
    <row r="302" spans="25:25">
      <c r="Y302" s="69"/>
    </row>
    <row r="303" spans="25:25">
      <c r="Y303" s="69"/>
    </row>
    <row r="304" spans="25:25">
      <c r="Y304" s="69"/>
    </row>
    <row r="305" spans="25:25">
      <c r="Y305" s="69"/>
    </row>
    <row r="306" spans="25:25">
      <c r="Y306" s="69"/>
    </row>
    <row r="307" spans="25:25">
      <c r="Y307" s="69"/>
    </row>
    <row r="308" spans="25:25">
      <c r="Y308" s="69"/>
    </row>
    <row r="309" spans="25:25">
      <c r="Y309" s="69"/>
    </row>
    <row r="310" spans="25:25">
      <c r="Y310" s="69"/>
    </row>
    <row r="311" spans="25:25">
      <c r="Y311" s="69"/>
    </row>
    <row r="312" spans="25:25">
      <c r="Y312" s="69"/>
    </row>
    <row r="313" spans="25:25">
      <c r="Y313" s="69"/>
    </row>
    <row r="314" spans="25:25">
      <c r="Y314" s="69"/>
    </row>
    <row r="315" spans="25:25">
      <c r="Y315" s="69"/>
    </row>
    <row r="316" spans="25:25">
      <c r="Y316" s="69"/>
    </row>
    <row r="317" spans="25:25">
      <c r="Y317" s="69"/>
    </row>
    <row r="318" spans="25:25">
      <c r="Y318" s="69"/>
    </row>
    <row r="319" spans="25:25">
      <c r="Y319" s="69"/>
    </row>
    <row r="320" spans="25:25">
      <c r="Y320" s="69"/>
    </row>
    <row r="321" spans="25:25">
      <c r="Y321" s="69"/>
    </row>
    <row r="322" spans="25:25">
      <c r="Y322" s="69"/>
    </row>
    <row r="323" spans="25:25">
      <c r="Y323" s="69"/>
    </row>
    <row r="324" spans="25:25">
      <c r="Y324" s="69"/>
    </row>
    <row r="325" spans="25:25">
      <c r="Y325" s="69"/>
    </row>
    <row r="326" spans="25:25">
      <c r="Y326" s="69"/>
    </row>
    <row r="327" spans="25:25">
      <c r="Y327" s="69"/>
    </row>
    <row r="328" spans="25:25">
      <c r="Y328" s="69"/>
    </row>
    <row r="329" spans="25:25">
      <c r="Y329" s="69"/>
    </row>
    <row r="330" spans="25:25">
      <c r="Y330" s="69"/>
    </row>
    <row r="331" spans="25:25">
      <c r="Y331" s="69"/>
    </row>
    <row r="332" spans="25:25">
      <c r="Y332" s="69"/>
    </row>
    <row r="333" spans="25:25">
      <c r="Y333" s="69"/>
    </row>
    <row r="334" spans="25:25">
      <c r="Y334" s="69"/>
    </row>
    <row r="335" spans="25:25">
      <c r="Y335" s="69"/>
    </row>
    <row r="336" spans="25:25">
      <c r="Y336" s="69"/>
    </row>
    <row r="337" spans="25:25">
      <c r="Y337" s="69"/>
    </row>
    <row r="338" spans="25:25">
      <c r="Y338" s="69"/>
    </row>
    <row r="339" spans="25:25">
      <c r="Y339" s="69"/>
    </row>
    <row r="340" spans="25:25">
      <c r="Y340" s="69"/>
    </row>
    <row r="341" spans="25:25">
      <c r="Y341" s="69"/>
    </row>
    <row r="342" spans="25:25">
      <c r="Y342" s="69"/>
    </row>
    <row r="343" spans="25:25">
      <c r="Y343" s="69"/>
    </row>
    <row r="344" spans="25:25">
      <c r="Y344" s="69"/>
    </row>
    <row r="345" spans="25:25">
      <c r="Y345" s="69"/>
    </row>
    <row r="346" spans="25:25">
      <c r="Y346" s="69"/>
    </row>
    <row r="347" spans="25:25">
      <c r="Y347" s="69"/>
    </row>
    <row r="348" spans="25:25">
      <c r="Y348" s="69"/>
    </row>
    <row r="349" spans="25:25">
      <c r="Y349" s="69"/>
    </row>
    <row r="350" spans="25:25">
      <c r="Y350" s="69"/>
    </row>
    <row r="351" spans="25:25">
      <c r="Y351" s="69"/>
    </row>
    <row r="352" spans="25:25">
      <c r="Y352" s="69"/>
    </row>
    <row r="353" spans="25:25">
      <c r="Y353" s="69"/>
    </row>
    <row r="354" spans="25:25">
      <c r="Y354" s="69"/>
    </row>
    <row r="355" spans="25:25">
      <c r="Y355" s="69"/>
    </row>
    <row r="356" spans="25:25">
      <c r="Y356" s="69"/>
    </row>
    <row r="357" spans="25:25">
      <c r="Y357" s="69"/>
    </row>
    <row r="358" spans="25:25">
      <c r="Y358" s="69"/>
    </row>
    <row r="359" spans="25:25">
      <c r="Y359" s="69"/>
    </row>
    <row r="360" spans="25:25">
      <c r="Y360" s="69"/>
    </row>
    <row r="361" spans="25:25">
      <c r="Y361" s="69"/>
    </row>
    <row r="362" spans="25:25">
      <c r="Y362" s="69"/>
    </row>
    <row r="363" spans="25:25">
      <c r="Y363" s="69"/>
    </row>
    <row r="364" spans="25:25">
      <c r="Y364" s="69"/>
    </row>
    <row r="365" spans="25:25">
      <c r="Y365" s="69"/>
    </row>
    <row r="366" spans="25:25">
      <c r="Y366" s="69"/>
    </row>
    <row r="367" spans="25:25">
      <c r="Y367" s="69"/>
    </row>
    <row r="368" spans="25:25">
      <c r="Y368" s="69"/>
    </row>
    <row r="369" spans="25:25">
      <c r="Y369" s="69"/>
    </row>
    <row r="370" spans="25:25">
      <c r="Y370" s="69"/>
    </row>
    <row r="371" spans="25:25">
      <c r="Y371" s="69"/>
    </row>
    <row r="372" spans="25:25">
      <c r="Y372" s="69"/>
    </row>
    <row r="373" spans="25:25">
      <c r="Y373" s="69"/>
    </row>
    <row r="374" spans="25:25">
      <c r="Y374" s="69"/>
    </row>
    <row r="375" spans="25:25">
      <c r="Y375" s="69"/>
    </row>
    <row r="376" spans="25:25">
      <c r="Y376" s="69"/>
    </row>
    <row r="377" spans="25:25">
      <c r="Y377" s="69"/>
    </row>
    <row r="378" spans="25:25">
      <c r="Y378" s="69"/>
    </row>
    <row r="379" spans="25:25">
      <c r="Y379" s="69"/>
    </row>
    <row r="380" spans="25:25">
      <c r="Y380" s="69"/>
    </row>
    <row r="381" spans="25:25">
      <c r="Y381" s="69"/>
    </row>
    <row r="382" spans="25:25">
      <c r="Y382" s="69"/>
    </row>
    <row r="383" spans="25:25">
      <c r="Y383" s="69"/>
    </row>
    <row r="384" spans="25:25">
      <c r="Y384" s="69"/>
    </row>
    <row r="385" spans="25:25">
      <c r="Y385" s="69"/>
    </row>
    <row r="386" spans="25:25">
      <c r="Y386" s="69"/>
    </row>
    <row r="387" spans="25:25">
      <c r="Y387" s="69"/>
    </row>
    <row r="388" spans="25:25">
      <c r="Y388" s="69"/>
    </row>
    <row r="389" spans="25:25">
      <c r="Y389" s="69"/>
    </row>
    <row r="390" spans="25:25">
      <c r="Y390" s="69"/>
    </row>
    <row r="391" spans="25:25">
      <c r="Y391" s="69"/>
    </row>
    <row r="392" spans="25:25">
      <c r="Y392" s="69"/>
    </row>
    <row r="393" spans="25:25">
      <c r="Y393" s="69"/>
    </row>
    <row r="394" spans="25:25">
      <c r="Y394" s="69"/>
    </row>
    <row r="395" spans="25:25">
      <c r="Y395" s="69"/>
    </row>
    <row r="396" spans="25:25">
      <c r="Y396" s="69"/>
    </row>
    <row r="397" spans="25:25">
      <c r="Y397" s="69"/>
    </row>
    <row r="398" spans="25:25">
      <c r="Y398" s="69"/>
    </row>
    <row r="399" spans="25:25">
      <c r="Y399" s="69"/>
    </row>
    <row r="400" spans="25:25">
      <c r="Y400" s="69"/>
    </row>
    <row r="401" spans="25:25">
      <c r="Y401" s="69"/>
    </row>
    <row r="402" spans="25:25">
      <c r="Y402" s="69"/>
    </row>
    <row r="403" spans="25:25">
      <c r="Y403" s="69"/>
    </row>
    <row r="404" spans="25:25">
      <c r="Y404" s="69"/>
    </row>
    <row r="405" spans="25:25">
      <c r="Y405" s="69"/>
    </row>
    <row r="406" spans="25:25">
      <c r="Y406" s="69"/>
    </row>
    <row r="407" spans="25:25">
      <c r="Y407" s="69"/>
    </row>
    <row r="408" spans="25:25">
      <c r="Y408" s="69"/>
    </row>
    <row r="409" spans="25:25">
      <c r="Y409" s="69"/>
    </row>
    <row r="410" spans="25:25">
      <c r="Y410" s="69"/>
    </row>
    <row r="411" spans="25:25">
      <c r="Y411" s="69"/>
    </row>
    <row r="412" spans="25:25">
      <c r="Y412" s="69"/>
    </row>
    <row r="413" spans="25:25">
      <c r="Y413" s="69"/>
    </row>
    <row r="414" spans="25:25">
      <c r="Y414" s="69"/>
    </row>
    <row r="415" spans="25:25">
      <c r="Y415" s="69"/>
    </row>
    <row r="416" spans="25:25">
      <c r="Y416" s="69"/>
    </row>
    <row r="417" spans="25:25">
      <c r="Y417" s="69"/>
    </row>
    <row r="418" spans="25:25">
      <c r="Y418" s="69"/>
    </row>
    <row r="419" spans="25:25">
      <c r="Y419" s="69"/>
    </row>
    <row r="420" spans="25:25">
      <c r="Y420" s="69"/>
    </row>
    <row r="421" spans="25:25">
      <c r="Y421" s="69"/>
    </row>
    <row r="422" spans="25:25">
      <c r="Y422" s="69"/>
    </row>
    <row r="423" spans="25:25">
      <c r="Y423" s="69"/>
    </row>
    <row r="424" spans="25:25">
      <c r="Y424" s="69"/>
    </row>
    <row r="425" spans="25:25">
      <c r="Y425" s="69"/>
    </row>
    <row r="426" spans="25:25">
      <c r="Y426" s="69"/>
    </row>
    <row r="427" spans="25:25">
      <c r="Y427" s="69"/>
    </row>
    <row r="428" spans="25:25">
      <c r="Y428" s="69"/>
    </row>
    <row r="429" spans="25:25">
      <c r="Y429" s="69"/>
    </row>
    <row r="430" spans="25:25">
      <c r="Y430" s="69"/>
    </row>
    <row r="431" spans="25:25">
      <c r="Y431" s="69"/>
    </row>
    <row r="432" spans="25:25">
      <c r="Y432" s="69"/>
    </row>
    <row r="433" spans="25:25">
      <c r="Y433" s="69"/>
    </row>
    <row r="434" spans="25:25">
      <c r="Y434" s="69"/>
    </row>
    <row r="435" spans="25:25">
      <c r="Y435" s="69"/>
    </row>
    <row r="436" spans="25:25">
      <c r="Y436" s="69"/>
    </row>
    <row r="437" spans="25:25">
      <c r="Y437" s="69"/>
    </row>
    <row r="438" spans="25:25">
      <c r="Y438" s="69"/>
    </row>
    <row r="439" spans="25:25">
      <c r="Y439" s="69"/>
    </row>
  </sheetData>
  <mergeCells count="84">
    <mergeCell ref="D113:D124"/>
    <mergeCell ref="G113:G124"/>
    <mergeCell ref="H113:H124"/>
    <mergeCell ref="C113:C124"/>
    <mergeCell ref="E113:E124"/>
    <mergeCell ref="F113:F124"/>
    <mergeCell ref="C89:C100"/>
    <mergeCell ref="H89:H100"/>
    <mergeCell ref="I89:I100"/>
    <mergeCell ref="D89:D100"/>
    <mergeCell ref="E89:E100"/>
    <mergeCell ref="F89:F100"/>
    <mergeCell ref="G89:G100"/>
    <mergeCell ref="C77:C88"/>
    <mergeCell ref="D77:D88"/>
    <mergeCell ref="E77:E88"/>
    <mergeCell ref="F77:F88"/>
    <mergeCell ref="G77:G88"/>
    <mergeCell ref="C65:C76"/>
    <mergeCell ref="D65:D76"/>
    <mergeCell ref="E65:E76"/>
    <mergeCell ref="F65:F76"/>
    <mergeCell ref="G65:G76"/>
    <mergeCell ref="C53:C64"/>
    <mergeCell ref="D53:D64"/>
    <mergeCell ref="E53:E64"/>
    <mergeCell ref="F53:F64"/>
    <mergeCell ref="G53:G64"/>
    <mergeCell ref="T129:V129"/>
    <mergeCell ref="C2:I4"/>
    <mergeCell ref="Q130:S130"/>
    <mergeCell ref="T130:V130"/>
    <mergeCell ref="K128:M128"/>
    <mergeCell ref="K130:M130"/>
    <mergeCell ref="N128:P128"/>
    <mergeCell ref="Q128:S128"/>
    <mergeCell ref="T128:V128"/>
    <mergeCell ref="C125:I127"/>
    <mergeCell ref="N130:P130"/>
    <mergeCell ref="E41:E52"/>
    <mergeCell ref="F41:F52"/>
    <mergeCell ref="G41:G52"/>
    <mergeCell ref="G5:G16"/>
    <mergeCell ref="K129:M129"/>
    <mergeCell ref="N129:P129"/>
    <mergeCell ref="Q129:S129"/>
    <mergeCell ref="H17:H28"/>
    <mergeCell ref="I17:I28"/>
    <mergeCell ref="I29:I40"/>
    <mergeCell ref="H65:H76"/>
    <mergeCell ref="I65:I76"/>
    <mergeCell ref="H53:H64"/>
    <mergeCell ref="I53:I64"/>
    <mergeCell ref="H101:H112"/>
    <mergeCell ref="I101:I112"/>
    <mergeCell ref="H77:H88"/>
    <mergeCell ref="I77:I88"/>
    <mergeCell ref="I113:I124"/>
    <mergeCell ref="I5:I16"/>
    <mergeCell ref="H5:H16"/>
    <mergeCell ref="H29:H40"/>
    <mergeCell ref="H41:H52"/>
    <mergeCell ref="I41:I52"/>
    <mergeCell ref="G17:G28"/>
    <mergeCell ref="F29:F40"/>
    <mergeCell ref="G29:G40"/>
    <mergeCell ref="F17:F28"/>
    <mergeCell ref="C5:C16"/>
    <mergeCell ref="D5:D16"/>
    <mergeCell ref="E5:E16"/>
    <mergeCell ref="F5:F16"/>
    <mergeCell ref="C41:C52"/>
    <mergeCell ref="C29:C40"/>
    <mergeCell ref="D29:D40"/>
    <mergeCell ref="E29:E40"/>
    <mergeCell ref="C17:C28"/>
    <mergeCell ref="D17:D28"/>
    <mergeCell ref="E17:E28"/>
    <mergeCell ref="D41:D52"/>
    <mergeCell ref="C101:C112"/>
    <mergeCell ref="D101:D112"/>
    <mergeCell ref="E101:E112"/>
    <mergeCell ref="F101:F112"/>
    <mergeCell ref="G101:G112"/>
  </mergeCells>
  <phoneticPr fontId="10"/>
  <printOptions horizontalCentered="1"/>
  <pageMargins left="0.70866141732283472" right="0.70866141732283472" top="0.70866141732283472" bottom="0.70866141732283472" header="0.31496062992125984" footer="0.31496062992125984"/>
  <pageSetup paperSize="8" scale="77" fitToHeight="0" orientation="landscape" r:id="rId1"/>
  <ignoredErrors>
    <ignoredError sqref="W129:W131 W17:W40" formula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79EC7-21D5-4550-8AF1-774E10E5D2EA}">
  <sheetPr>
    <pageSetUpPr fitToPage="1"/>
  </sheetPr>
  <dimension ref="A1:Z76"/>
  <sheetViews>
    <sheetView showGridLines="0" zoomScale="80" zoomScaleNormal="80" zoomScaleSheetLayoutView="70" workbookViewId="0">
      <pane xSplit="11" ySplit="4" topLeftCell="L5" activePane="bottomRight" state="frozen"/>
      <selection activeCell="O113" sqref="O113"/>
      <selection pane="topRight" activeCell="O113" sqref="O113"/>
      <selection pane="bottomLeft" activeCell="O113" sqref="O113"/>
      <selection pane="bottomRight" activeCell="L6" sqref="L6:L27"/>
    </sheetView>
  </sheetViews>
  <sheetFormatPr defaultRowHeight="12"/>
  <cols>
    <col min="1" max="1" width="9.6328125" style="115" customWidth="1"/>
    <col min="2" max="2" width="11.90625" style="73" customWidth="1"/>
    <col min="3" max="3" width="6.36328125" style="9" customWidth="1"/>
    <col min="4" max="4" width="10.36328125" style="9" customWidth="1"/>
    <col min="5" max="5" width="5.08984375" style="9" customWidth="1"/>
    <col min="6" max="6" width="9.90625" style="171" customWidth="1"/>
    <col min="7" max="9" width="9.90625" style="9" customWidth="1"/>
    <col min="10" max="10" width="8.453125" style="9" customWidth="1"/>
    <col min="11" max="11" width="10.453125" style="9" customWidth="1"/>
    <col min="12" max="23" width="13.08984375" style="9" customWidth="1"/>
    <col min="24" max="24" width="16.453125" style="9" customWidth="1"/>
    <col min="25" max="25" width="9" style="2" customWidth="1"/>
    <col min="26" max="26" width="11" style="2" bestFit="1" customWidth="1"/>
    <col min="27" max="259" width="8.90625" style="2"/>
    <col min="260" max="260" width="9.6328125" style="2" customWidth="1"/>
    <col min="261" max="262" width="5.08984375" style="2" customWidth="1"/>
    <col min="263" max="263" width="9.6328125" style="2" customWidth="1"/>
    <col min="264" max="265" width="11.6328125" style="2" customWidth="1"/>
    <col min="266" max="266" width="15.36328125" style="2" customWidth="1"/>
    <col min="267" max="267" width="10.90625" style="2" customWidth="1"/>
    <col min="268" max="278" width="13.36328125" style="2" customWidth="1"/>
    <col min="279" max="279" width="13.6328125" style="2" customWidth="1"/>
    <col min="280" max="280" width="16.453125" style="2" customWidth="1"/>
    <col min="281" max="515" width="8.90625" style="2"/>
    <col min="516" max="516" width="9.6328125" style="2" customWidth="1"/>
    <col min="517" max="518" width="5.08984375" style="2" customWidth="1"/>
    <col min="519" max="519" width="9.6328125" style="2" customWidth="1"/>
    <col min="520" max="521" width="11.6328125" style="2" customWidth="1"/>
    <col min="522" max="522" width="15.36328125" style="2" customWidth="1"/>
    <col min="523" max="523" width="10.90625" style="2" customWidth="1"/>
    <col min="524" max="534" width="13.36328125" style="2" customWidth="1"/>
    <col min="535" max="535" width="13.6328125" style="2" customWidth="1"/>
    <col min="536" max="536" width="16.453125" style="2" customWidth="1"/>
    <col min="537" max="771" width="8.90625" style="2"/>
    <col min="772" max="772" width="9.6328125" style="2" customWidth="1"/>
    <col min="773" max="774" width="5.08984375" style="2" customWidth="1"/>
    <col min="775" max="775" width="9.6328125" style="2" customWidth="1"/>
    <col min="776" max="777" width="11.6328125" style="2" customWidth="1"/>
    <col min="778" max="778" width="15.36328125" style="2" customWidth="1"/>
    <col min="779" max="779" width="10.90625" style="2" customWidth="1"/>
    <col min="780" max="790" width="13.36328125" style="2" customWidth="1"/>
    <col min="791" max="791" width="13.6328125" style="2" customWidth="1"/>
    <col min="792" max="792" width="16.453125" style="2" customWidth="1"/>
    <col min="793" max="1027" width="8.90625" style="2"/>
    <col min="1028" max="1028" width="9.6328125" style="2" customWidth="1"/>
    <col min="1029" max="1030" width="5.08984375" style="2" customWidth="1"/>
    <col min="1031" max="1031" width="9.6328125" style="2" customWidth="1"/>
    <col min="1032" max="1033" width="11.6328125" style="2" customWidth="1"/>
    <col min="1034" max="1034" width="15.36328125" style="2" customWidth="1"/>
    <col min="1035" max="1035" width="10.90625" style="2" customWidth="1"/>
    <col min="1036" max="1046" width="13.36328125" style="2" customWidth="1"/>
    <col min="1047" max="1047" width="13.6328125" style="2" customWidth="1"/>
    <col min="1048" max="1048" width="16.453125" style="2" customWidth="1"/>
    <col min="1049" max="1283" width="8.90625" style="2"/>
    <col min="1284" max="1284" width="9.6328125" style="2" customWidth="1"/>
    <col min="1285" max="1286" width="5.08984375" style="2" customWidth="1"/>
    <col min="1287" max="1287" width="9.6328125" style="2" customWidth="1"/>
    <col min="1288" max="1289" width="11.6328125" style="2" customWidth="1"/>
    <col min="1290" max="1290" width="15.36328125" style="2" customWidth="1"/>
    <col min="1291" max="1291" width="10.90625" style="2" customWidth="1"/>
    <col min="1292" max="1302" width="13.36328125" style="2" customWidth="1"/>
    <col min="1303" max="1303" width="13.6328125" style="2" customWidth="1"/>
    <col min="1304" max="1304" width="16.453125" style="2" customWidth="1"/>
    <col min="1305" max="1539" width="8.90625" style="2"/>
    <col min="1540" max="1540" width="9.6328125" style="2" customWidth="1"/>
    <col min="1541" max="1542" width="5.08984375" style="2" customWidth="1"/>
    <col min="1543" max="1543" width="9.6328125" style="2" customWidth="1"/>
    <col min="1544" max="1545" width="11.6328125" style="2" customWidth="1"/>
    <col min="1546" max="1546" width="15.36328125" style="2" customWidth="1"/>
    <col min="1547" max="1547" width="10.90625" style="2" customWidth="1"/>
    <col min="1548" max="1558" width="13.36328125" style="2" customWidth="1"/>
    <col min="1559" max="1559" width="13.6328125" style="2" customWidth="1"/>
    <col min="1560" max="1560" width="16.453125" style="2" customWidth="1"/>
    <col min="1561" max="1795" width="8.90625" style="2"/>
    <col min="1796" max="1796" width="9.6328125" style="2" customWidth="1"/>
    <col min="1797" max="1798" width="5.08984375" style="2" customWidth="1"/>
    <col min="1799" max="1799" width="9.6328125" style="2" customWidth="1"/>
    <col min="1800" max="1801" width="11.6328125" style="2" customWidth="1"/>
    <col min="1802" max="1802" width="15.36328125" style="2" customWidth="1"/>
    <col min="1803" max="1803" width="10.90625" style="2" customWidth="1"/>
    <col min="1804" max="1814" width="13.36328125" style="2" customWidth="1"/>
    <col min="1815" max="1815" width="13.6328125" style="2" customWidth="1"/>
    <col min="1816" max="1816" width="16.453125" style="2" customWidth="1"/>
    <col min="1817" max="2051" width="8.90625" style="2"/>
    <col min="2052" max="2052" width="9.6328125" style="2" customWidth="1"/>
    <col min="2053" max="2054" width="5.08984375" style="2" customWidth="1"/>
    <col min="2055" max="2055" width="9.6328125" style="2" customWidth="1"/>
    <col min="2056" max="2057" width="11.6328125" style="2" customWidth="1"/>
    <col min="2058" max="2058" width="15.36328125" style="2" customWidth="1"/>
    <col min="2059" max="2059" width="10.90625" style="2" customWidth="1"/>
    <col min="2060" max="2070" width="13.36328125" style="2" customWidth="1"/>
    <col min="2071" max="2071" width="13.6328125" style="2" customWidth="1"/>
    <col min="2072" max="2072" width="16.453125" style="2" customWidth="1"/>
    <col min="2073" max="2307" width="8.90625" style="2"/>
    <col min="2308" max="2308" width="9.6328125" style="2" customWidth="1"/>
    <col min="2309" max="2310" width="5.08984375" style="2" customWidth="1"/>
    <col min="2311" max="2311" width="9.6328125" style="2" customWidth="1"/>
    <col min="2312" max="2313" width="11.6328125" style="2" customWidth="1"/>
    <col min="2314" max="2314" width="15.36328125" style="2" customWidth="1"/>
    <col min="2315" max="2315" width="10.90625" style="2" customWidth="1"/>
    <col min="2316" max="2326" width="13.36328125" style="2" customWidth="1"/>
    <col min="2327" max="2327" width="13.6328125" style="2" customWidth="1"/>
    <col min="2328" max="2328" width="16.453125" style="2" customWidth="1"/>
    <col min="2329" max="2563" width="8.90625" style="2"/>
    <col min="2564" max="2564" width="9.6328125" style="2" customWidth="1"/>
    <col min="2565" max="2566" width="5.08984375" style="2" customWidth="1"/>
    <col min="2567" max="2567" width="9.6328125" style="2" customWidth="1"/>
    <col min="2568" max="2569" width="11.6328125" style="2" customWidth="1"/>
    <col min="2570" max="2570" width="15.36328125" style="2" customWidth="1"/>
    <col min="2571" max="2571" width="10.90625" style="2" customWidth="1"/>
    <col min="2572" max="2582" width="13.36328125" style="2" customWidth="1"/>
    <col min="2583" max="2583" width="13.6328125" style="2" customWidth="1"/>
    <col min="2584" max="2584" width="16.453125" style="2" customWidth="1"/>
    <col min="2585" max="2819" width="8.90625" style="2"/>
    <col min="2820" max="2820" width="9.6328125" style="2" customWidth="1"/>
    <col min="2821" max="2822" width="5.08984375" style="2" customWidth="1"/>
    <col min="2823" max="2823" width="9.6328125" style="2" customWidth="1"/>
    <col min="2824" max="2825" width="11.6328125" style="2" customWidth="1"/>
    <col min="2826" max="2826" width="15.36328125" style="2" customWidth="1"/>
    <col min="2827" max="2827" width="10.90625" style="2" customWidth="1"/>
    <col min="2828" max="2838" width="13.36328125" style="2" customWidth="1"/>
    <col min="2839" max="2839" width="13.6328125" style="2" customWidth="1"/>
    <col min="2840" max="2840" width="16.453125" style="2" customWidth="1"/>
    <col min="2841" max="3075" width="8.90625" style="2"/>
    <col min="3076" max="3076" width="9.6328125" style="2" customWidth="1"/>
    <col min="3077" max="3078" width="5.08984375" style="2" customWidth="1"/>
    <col min="3079" max="3079" width="9.6328125" style="2" customWidth="1"/>
    <col min="3080" max="3081" width="11.6328125" style="2" customWidth="1"/>
    <col min="3082" max="3082" width="15.36328125" style="2" customWidth="1"/>
    <col min="3083" max="3083" width="10.90625" style="2" customWidth="1"/>
    <col min="3084" max="3094" width="13.36328125" style="2" customWidth="1"/>
    <col min="3095" max="3095" width="13.6328125" style="2" customWidth="1"/>
    <col min="3096" max="3096" width="16.453125" style="2" customWidth="1"/>
    <col min="3097" max="3331" width="8.90625" style="2"/>
    <col min="3332" max="3332" width="9.6328125" style="2" customWidth="1"/>
    <col min="3333" max="3334" width="5.08984375" style="2" customWidth="1"/>
    <col min="3335" max="3335" width="9.6328125" style="2" customWidth="1"/>
    <col min="3336" max="3337" width="11.6328125" style="2" customWidth="1"/>
    <col min="3338" max="3338" width="15.36328125" style="2" customWidth="1"/>
    <col min="3339" max="3339" width="10.90625" style="2" customWidth="1"/>
    <col min="3340" max="3350" width="13.36328125" style="2" customWidth="1"/>
    <col min="3351" max="3351" width="13.6328125" style="2" customWidth="1"/>
    <col min="3352" max="3352" width="16.453125" style="2" customWidth="1"/>
    <col min="3353" max="3587" width="8.90625" style="2"/>
    <col min="3588" max="3588" width="9.6328125" style="2" customWidth="1"/>
    <col min="3589" max="3590" width="5.08984375" style="2" customWidth="1"/>
    <col min="3591" max="3591" width="9.6328125" style="2" customWidth="1"/>
    <col min="3592" max="3593" width="11.6328125" style="2" customWidth="1"/>
    <col min="3594" max="3594" width="15.36328125" style="2" customWidth="1"/>
    <col min="3595" max="3595" width="10.90625" style="2" customWidth="1"/>
    <col min="3596" max="3606" width="13.36328125" style="2" customWidth="1"/>
    <col min="3607" max="3607" width="13.6328125" style="2" customWidth="1"/>
    <col min="3608" max="3608" width="16.453125" style="2" customWidth="1"/>
    <col min="3609" max="3843" width="8.90625" style="2"/>
    <col min="3844" max="3844" width="9.6328125" style="2" customWidth="1"/>
    <col min="3845" max="3846" width="5.08984375" style="2" customWidth="1"/>
    <col min="3847" max="3847" width="9.6328125" style="2" customWidth="1"/>
    <col min="3848" max="3849" width="11.6328125" style="2" customWidth="1"/>
    <col min="3850" max="3850" width="15.36328125" style="2" customWidth="1"/>
    <col min="3851" max="3851" width="10.90625" style="2" customWidth="1"/>
    <col min="3852" max="3862" width="13.36328125" style="2" customWidth="1"/>
    <col min="3863" max="3863" width="13.6328125" style="2" customWidth="1"/>
    <col min="3864" max="3864" width="16.453125" style="2" customWidth="1"/>
    <col min="3865" max="4099" width="8.90625" style="2"/>
    <col min="4100" max="4100" width="9.6328125" style="2" customWidth="1"/>
    <col min="4101" max="4102" width="5.08984375" style="2" customWidth="1"/>
    <col min="4103" max="4103" width="9.6328125" style="2" customWidth="1"/>
    <col min="4104" max="4105" width="11.6328125" style="2" customWidth="1"/>
    <col min="4106" max="4106" width="15.36328125" style="2" customWidth="1"/>
    <col min="4107" max="4107" width="10.90625" style="2" customWidth="1"/>
    <col min="4108" max="4118" width="13.36328125" style="2" customWidth="1"/>
    <col min="4119" max="4119" width="13.6328125" style="2" customWidth="1"/>
    <col min="4120" max="4120" width="16.453125" style="2" customWidth="1"/>
    <col min="4121" max="4355" width="8.90625" style="2"/>
    <col min="4356" max="4356" width="9.6328125" style="2" customWidth="1"/>
    <col min="4357" max="4358" width="5.08984375" style="2" customWidth="1"/>
    <col min="4359" max="4359" width="9.6328125" style="2" customWidth="1"/>
    <col min="4360" max="4361" width="11.6328125" style="2" customWidth="1"/>
    <col min="4362" max="4362" width="15.36328125" style="2" customWidth="1"/>
    <col min="4363" max="4363" width="10.90625" style="2" customWidth="1"/>
    <col min="4364" max="4374" width="13.36328125" style="2" customWidth="1"/>
    <col min="4375" max="4375" width="13.6328125" style="2" customWidth="1"/>
    <col min="4376" max="4376" width="16.453125" style="2" customWidth="1"/>
    <col min="4377" max="4611" width="8.90625" style="2"/>
    <col min="4612" max="4612" width="9.6328125" style="2" customWidth="1"/>
    <col min="4613" max="4614" width="5.08984375" style="2" customWidth="1"/>
    <col min="4615" max="4615" width="9.6328125" style="2" customWidth="1"/>
    <col min="4616" max="4617" width="11.6328125" style="2" customWidth="1"/>
    <col min="4618" max="4618" width="15.36328125" style="2" customWidth="1"/>
    <col min="4619" max="4619" width="10.90625" style="2" customWidth="1"/>
    <col min="4620" max="4630" width="13.36328125" style="2" customWidth="1"/>
    <col min="4631" max="4631" width="13.6328125" style="2" customWidth="1"/>
    <col min="4632" max="4632" width="16.453125" style="2" customWidth="1"/>
    <col min="4633" max="4867" width="8.90625" style="2"/>
    <col min="4868" max="4868" width="9.6328125" style="2" customWidth="1"/>
    <col min="4869" max="4870" width="5.08984375" style="2" customWidth="1"/>
    <col min="4871" max="4871" width="9.6328125" style="2" customWidth="1"/>
    <col min="4872" max="4873" width="11.6328125" style="2" customWidth="1"/>
    <col min="4874" max="4874" width="15.36328125" style="2" customWidth="1"/>
    <col min="4875" max="4875" width="10.90625" style="2" customWidth="1"/>
    <col min="4876" max="4886" width="13.36328125" style="2" customWidth="1"/>
    <col min="4887" max="4887" width="13.6328125" style="2" customWidth="1"/>
    <col min="4888" max="4888" width="16.453125" style="2" customWidth="1"/>
    <col min="4889" max="5123" width="8.90625" style="2"/>
    <col min="5124" max="5124" width="9.6328125" style="2" customWidth="1"/>
    <col min="5125" max="5126" width="5.08984375" style="2" customWidth="1"/>
    <col min="5127" max="5127" width="9.6328125" style="2" customWidth="1"/>
    <col min="5128" max="5129" width="11.6328125" style="2" customWidth="1"/>
    <col min="5130" max="5130" width="15.36328125" style="2" customWidth="1"/>
    <col min="5131" max="5131" width="10.90625" style="2" customWidth="1"/>
    <col min="5132" max="5142" width="13.36328125" style="2" customWidth="1"/>
    <col min="5143" max="5143" width="13.6328125" style="2" customWidth="1"/>
    <col min="5144" max="5144" width="16.453125" style="2" customWidth="1"/>
    <col min="5145" max="5379" width="8.90625" style="2"/>
    <col min="5380" max="5380" width="9.6328125" style="2" customWidth="1"/>
    <col min="5381" max="5382" width="5.08984375" style="2" customWidth="1"/>
    <col min="5383" max="5383" width="9.6328125" style="2" customWidth="1"/>
    <col min="5384" max="5385" width="11.6328125" style="2" customWidth="1"/>
    <col min="5386" max="5386" width="15.36328125" style="2" customWidth="1"/>
    <col min="5387" max="5387" width="10.90625" style="2" customWidth="1"/>
    <col min="5388" max="5398" width="13.36328125" style="2" customWidth="1"/>
    <col min="5399" max="5399" width="13.6328125" style="2" customWidth="1"/>
    <col min="5400" max="5400" width="16.453125" style="2" customWidth="1"/>
    <col min="5401" max="5635" width="8.90625" style="2"/>
    <col min="5636" max="5636" width="9.6328125" style="2" customWidth="1"/>
    <col min="5637" max="5638" width="5.08984375" style="2" customWidth="1"/>
    <col min="5639" max="5639" width="9.6328125" style="2" customWidth="1"/>
    <col min="5640" max="5641" width="11.6328125" style="2" customWidth="1"/>
    <col min="5642" max="5642" width="15.36328125" style="2" customWidth="1"/>
    <col min="5643" max="5643" width="10.90625" style="2" customWidth="1"/>
    <col min="5644" max="5654" width="13.36328125" style="2" customWidth="1"/>
    <col min="5655" max="5655" width="13.6328125" style="2" customWidth="1"/>
    <col min="5656" max="5656" width="16.453125" style="2" customWidth="1"/>
    <col min="5657" max="5891" width="8.90625" style="2"/>
    <col min="5892" max="5892" width="9.6328125" style="2" customWidth="1"/>
    <col min="5893" max="5894" width="5.08984375" style="2" customWidth="1"/>
    <col min="5895" max="5895" width="9.6328125" style="2" customWidth="1"/>
    <col min="5896" max="5897" width="11.6328125" style="2" customWidth="1"/>
    <col min="5898" max="5898" width="15.36328125" style="2" customWidth="1"/>
    <col min="5899" max="5899" width="10.90625" style="2" customWidth="1"/>
    <col min="5900" max="5910" width="13.36328125" style="2" customWidth="1"/>
    <col min="5911" max="5911" width="13.6328125" style="2" customWidth="1"/>
    <col min="5912" max="5912" width="16.453125" style="2" customWidth="1"/>
    <col min="5913" max="6147" width="8.90625" style="2"/>
    <col min="6148" max="6148" width="9.6328125" style="2" customWidth="1"/>
    <col min="6149" max="6150" width="5.08984375" style="2" customWidth="1"/>
    <col min="6151" max="6151" width="9.6328125" style="2" customWidth="1"/>
    <col min="6152" max="6153" width="11.6328125" style="2" customWidth="1"/>
    <col min="6154" max="6154" width="15.36328125" style="2" customWidth="1"/>
    <col min="6155" max="6155" width="10.90625" style="2" customWidth="1"/>
    <col min="6156" max="6166" width="13.36328125" style="2" customWidth="1"/>
    <col min="6167" max="6167" width="13.6328125" style="2" customWidth="1"/>
    <col min="6168" max="6168" width="16.453125" style="2" customWidth="1"/>
    <col min="6169" max="6403" width="8.90625" style="2"/>
    <col min="6404" max="6404" width="9.6328125" style="2" customWidth="1"/>
    <col min="6405" max="6406" width="5.08984375" style="2" customWidth="1"/>
    <col min="6407" max="6407" width="9.6328125" style="2" customWidth="1"/>
    <col min="6408" max="6409" width="11.6328125" style="2" customWidth="1"/>
    <col min="6410" max="6410" width="15.36328125" style="2" customWidth="1"/>
    <col min="6411" max="6411" width="10.90625" style="2" customWidth="1"/>
    <col min="6412" max="6422" width="13.36328125" style="2" customWidth="1"/>
    <col min="6423" max="6423" width="13.6328125" style="2" customWidth="1"/>
    <col min="6424" max="6424" width="16.453125" style="2" customWidth="1"/>
    <col min="6425" max="6659" width="8.90625" style="2"/>
    <col min="6660" max="6660" width="9.6328125" style="2" customWidth="1"/>
    <col min="6661" max="6662" width="5.08984375" style="2" customWidth="1"/>
    <col min="6663" max="6663" width="9.6328125" style="2" customWidth="1"/>
    <col min="6664" max="6665" width="11.6328125" style="2" customWidth="1"/>
    <col min="6666" max="6666" width="15.36328125" style="2" customWidth="1"/>
    <col min="6667" max="6667" width="10.90625" style="2" customWidth="1"/>
    <col min="6668" max="6678" width="13.36328125" style="2" customWidth="1"/>
    <col min="6679" max="6679" width="13.6328125" style="2" customWidth="1"/>
    <col min="6680" max="6680" width="16.453125" style="2" customWidth="1"/>
    <col min="6681" max="6915" width="8.90625" style="2"/>
    <col min="6916" max="6916" width="9.6328125" style="2" customWidth="1"/>
    <col min="6917" max="6918" width="5.08984375" style="2" customWidth="1"/>
    <col min="6919" max="6919" width="9.6328125" style="2" customWidth="1"/>
    <col min="6920" max="6921" width="11.6328125" style="2" customWidth="1"/>
    <col min="6922" max="6922" width="15.36328125" style="2" customWidth="1"/>
    <col min="6923" max="6923" width="10.90625" style="2" customWidth="1"/>
    <col min="6924" max="6934" width="13.36328125" style="2" customWidth="1"/>
    <col min="6935" max="6935" width="13.6328125" style="2" customWidth="1"/>
    <col min="6936" max="6936" width="16.453125" style="2" customWidth="1"/>
    <col min="6937" max="7171" width="8.90625" style="2"/>
    <col min="7172" max="7172" width="9.6328125" style="2" customWidth="1"/>
    <col min="7173" max="7174" width="5.08984375" style="2" customWidth="1"/>
    <col min="7175" max="7175" width="9.6328125" style="2" customWidth="1"/>
    <col min="7176" max="7177" width="11.6328125" style="2" customWidth="1"/>
    <col min="7178" max="7178" width="15.36328125" style="2" customWidth="1"/>
    <col min="7179" max="7179" width="10.90625" style="2" customWidth="1"/>
    <col min="7180" max="7190" width="13.36328125" style="2" customWidth="1"/>
    <col min="7191" max="7191" width="13.6328125" style="2" customWidth="1"/>
    <col min="7192" max="7192" width="16.453125" style="2" customWidth="1"/>
    <col min="7193" max="7427" width="8.90625" style="2"/>
    <col min="7428" max="7428" width="9.6328125" style="2" customWidth="1"/>
    <col min="7429" max="7430" width="5.08984375" style="2" customWidth="1"/>
    <col min="7431" max="7431" width="9.6328125" style="2" customWidth="1"/>
    <col min="7432" max="7433" width="11.6328125" style="2" customWidth="1"/>
    <col min="7434" max="7434" width="15.36328125" style="2" customWidth="1"/>
    <col min="7435" max="7435" width="10.90625" style="2" customWidth="1"/>
    <col min="7436" max="7446" width="13.36328125" style="2" customWidth="1"/>
    <col min="7447" max="7447" width="13.6328125" style="2" customWidth="1"/>
    <col min="7448" max="7448" width="16.453125" style="2" customWidth="1"/>
    <col min="7449" max="7683" width="8.90625" style="2"/>
    <col min="7684" max="7684" width="9.6328125" style="2" customWidth="1"/>
    <col min="7685" max="7686" width="5.08984375" style="2" customWidth="1"/>
    <col min="7687" max="7687" width="9.6328125" style="2" customWidth="1"/>
    <col min="7688" max="7689" width="11.6328125" style="2" customWidth="1"/>
    <col min="7690" max="7690" width="15.36328125" style="2" customWidth="1"/>
    <col min="7691" max="7691" width="10.90625" style="2" customWidth="1"/>
    <col min="7692" max="7702" width="13.36328125" style="2" customWidth="1"/>
    <col min="7703" max="7703" width="13.6328125" style="2" customWidth="1"/>
    <col min="7704" max="7704" width="16.453125" style="2" customWidth="1"/>
    <col min="7705" max="7939" width="8.90625" style="2"/>
    <col min="7940" max="7940" width="9.6328125" style="2" customWidth="1"/>
    <col min="7941" max="7942" width="5.08984375" style="2" customWidth="1"/>
    <col min="7943" max="7943" width="9.6328125" style="2" customWidth="1"/>
    <col min="7944" max="7945" width="11.6328125" style="2" customWidth="1"/>
    <col min="7946" max="7946" width="15.36328125" style="2" customWidth="1"/>
    <col min="7947" max="7947" width="10.90625" style="2" customWidth="1"/>
    <col min="7948" max="7958" width="13.36328125" style="2" customWidth="1"/>
    <col min="7959" max="7959" width="13.6328125" style="2" customWidth="1"/>
    <col min="7960" max="7960" width="16.453125" style="2" customWidth="1"/>
    <col min="7961" max="8195" width="8.90625" style="2"/>
    <col min="8196" max="8196" width="9.6328125" style="2" customWidth="1"/>
    <col min="8197" max="8198" width="5.08984375" style="2" customWidth="1"/>
    <col min="8199" max="8199" width="9.6328125" style="2" customWidth="1"/>
    <col min="8200" max="8201" width="11.6328125" style="2" customWidth="1"/>
    <col min="8202" max="8202" width="15.36328125" style="2" customWidth="1"/>
    <col min="8203" max="8203" width="10.90625" style="2" customWidth="1"/>
    <col min="8204" max="8214" width="13.36328125" style="2" customWidth="1"/>
    <col min="8215" max="8215" width="13.6328125" style="2" customWidth="1"/>
    <col min="8216" max="8216" width="16.453125" style="2" customWidth="1"/>
    <col min="8217" max="8451" width="8.90625" style="2"/>
    <col min="8452" max="8452" width="9.6328125" style="2" customWidth="1"/>
    <col min="8453" max="8454" width="5.08984375" style="2" customWidth="1"/>
    <col min="8455" max="8455" width="9.6328125" style="2" customWidth="1"/>
    <col min="8456" max="8457" width="11.6328125" style="2" customWidth="1"/>
    <col min="8458" max="8458" width="15.36328125" style="2" customWidth="1"/>
    <col min="8459" max="8459" width="10.90625" style="2" customWidth="1"/>
    <col min="8460" max="8470" width="13.36328125" style="2" customWidth="1"/>
    <col min="8471" max="8471" width="13.6328125" style="2" customWidth="1"/>
    <col min="8472" max="8472" width="16.453125" style="2" customWidth="1"/>
    <col min="8473" max="8707" width="8.90625" style="2"/>
    <col min="8708" max="8708" width="9.6328125" style="2" customWidth="1"/>
    <col min="8709" max="8710" width="5.08984375" style="2" customWidth="1"/>
    <col min="8711" max="8711" width="9.6328125" style="2" customWidth="1"/>
    <col min="8712" max="8713" width="11.6328125" style="2" customWidth="1"/>
    <col min="8714" max="8714" width="15.36328125" style="2" customWidth="1"/>
    <col min="8715" max="8715" width="10.90625" style="2" customWidth="1"/>
    <col min="8716" max="8726" width="13.36328125" style="2" customWidth="1"/>
    <col min="8727" max="8727" width="13.6328125" style="2" customWidth="1"/>
    <col min="8728" max="8728" width="16.453125" style="2" customWidth="1"/>
    <col min="8729" max="8963" width="8.90625" style="2"/>
    <col min="8964" max="8964" width="9.6328125" style="2" customWidth="1"/>
    <col min="8965" max="8966" width="5.08984375" style="2" customWidth="1"/>
    <col min="8967" max="8967" width="9.6328125" style="2" customWidth="1"/>
    <col min="8968" max="8969" width="11.6328125" style="2" customWidth="1"/>
    <col min="8970" max="8970" width="15.36328125" style="2" customWidth="1"/>
    <col min="8971" max="8971" width="10.90625" style="2" customWidth="1"/>
    <col min="8972" max="8982" width="13.36328125" style="2" customWidth="1"/>
    <col min="8983" max="8983" width="13.6328125" style="2" customWidth="1"/>
    <col min="8984" max="8984" width="16.453125" style="2" customWidth="1"/>
    <col min="8985" max="9219" width="8.90625" style="2"/>
    <col min="9220" max="9220" width="9.6328125" style="2" customWidth="1"/>
    <col min="9221" max="9222" width="5.08984375" style="2" customWidth="1"/>
    <col min="9223" max="9223" width="9.6328125" style="2" customWidth="1"/>
    <col min="9224" max="9225" width="11.6328125" style="2" customWidth="1"/>
    <col min="9226" max="9226" width="15.36328125" style="2" customWidth="1"/>
    <col min="9227" max="9227" width="10.90625" style="2" customWidth="1"/>
    <col min="9228" max="9238" width="13.36328125" style="2" customWidth="1"/>
    <col min="9239" max="9239" width="13.6328125" style="2" customWidth="1"/>
    <col min="9240" max="9240" width="16.453125" style="2" customWidth="1"/>
    <col min="9241" max="9475" width="8.90625" style="2"/>
    <col min="9476" max="9476" width="9.6328125" style="2" customWidth="1"/>
    <col min="9477" max="9478" width="5.08984375" style="2" customWidth="1"/>
    <col min="9479" max="9479" width="9.6328125" style="2" customWidth="1"/>
    <col min="9480" max="9481" width="11.6328125" style="2" customWidth="1"/>
    <col min="9482" max="9482" width="15.36328125" style="2" customWidth="1"/>
    <col min="9483" max="9483" width="10.90625" style="2" customWidth="1"/>
    <col min="9484" max="9494" width="13.36328125" style="2" customWidth="1"/>
    <col min="9495" max="9495" width="13.6328125" style="2" customWidth="1"/>
    <col min="9496" max="9496" width="16.453125" style="2" customWidth="1"/>
    <col min="9497" max="9731" width="8.90625" style="2"/>
    <col min="9732" max="9732" width="9.6328125" style="2" customWidth="1"/>
    <col min="9733" max="9734" width="5.08984375" style="2" customWidth="1"/>
    <col min="9735" max="9735" width="9.6328125" style="2" customWidth="1"/>
    <col min="9736" max="9737" width="11.6328125" style="2" customWidth="1"/>
    <col min="9738" max="9738" width="15.36328125" style="2" customWidth="1"/>
    <col min="9739" max="9739" width="10.90625" style="2" customWidth="1"/>
    <col min="9740" max="9750" width="13.36328125" style="2" customWidth="1"/>
    <col min="9751" max="9751" width="13.6328125" style="2" customWidth="1"/>
    <col min="9752" max="9752" width="16.453125" style="2" customWidth="1"/>
    <col min="9753" max="9987" width="8.90625" style="2"/>
    <col min="9988" max="9988" width="9.6328125" style="2" customWidth="1"/>
    <col min="9989" max="9990" width="5.08984375" style="2" customWidth="1"/>
    <col min="9991" max="9991" width="9.6328125" style="2" customWidth="1"/>
    <col min="9992" max="9993" width="11.6328125" style="2" customWidth="1"/>
    <col min="9994" max="9994" width="15.36328125" style="2" customWidth="1"/>
    <col min="9995" max="9995" width="10.90625" style="2" customWidth="1"/>
    <col min="9996" max="10006" width="13.36328125" style="2" customWidth="1"/>
    <col min="10007" max="10007" width="13.6328125" style="2" customWidth="1"/>
    <col min="10008" max="10008" width="16.453125" style="2" customWidth="1"/>
    <col min="10009" max="10243" width="8.90625" style="2"/>
    <col min="10244" max="10244" width="9.6328125" style="2" customWidth="1"/>
    <col min="10245" max="10246" width="5.08984375" style="2" customWidth="1"/>
    <col min="10247" max="10247" width="9.6328125" style="2" customWidth="1"/>
    <col min="10248" max="10249" width="11.6328125" style="2" customWidth="1"/>
    <col min="10250" max="10250" width="15.36328125" style="2" customWidth="1"/>
    <col min="10251" max="10251" width="10.90625" style="2" customWidth="1"/>
    <col min="10252" max="10262" width="13.36328125" style="2" customWidth="1"/>
    <col min="10263" max="10263" width="13.6328125" style="2" customWidth="1"/>
    <col min="10264" max="10264" width="16.453125" style="2" customWidth="1"/>
    <col min="10265" max="10499" width="8.90625" style="2"/>
    <col min="10500" max="10500" width="9.6328125" style="2" customWidth="1"/>
    <col min="10501" max="10502" width="5.08984375" style="2" customWidth="1"/>
    <col min="10503" max="10503" width="9.6328125" style="2" customWidth="1"/>
    <col min="10504" max="10505" width="11.6328125" style="2" customWidth="1"/>
    <col min="10506" max="10506" width="15.36328125" style="2" customWidth="1"/>
    <col min="10507" max="10507" width="10.90625" style="2" customWidth="1"/>
    <col min="10508" max="10518" width="13.36328125" style="2" customWidth="1"/>
    <col min="10519" max="10519" width="13.6328125" style="2" customWidth="1"/>
    <col min="10520" max="10520" width="16.453125" style="2" customWidth="1"/>
    <col min="10521" max="10755" width="8.90625" style="2"/>
    <col min="10756" max="10756" width="9.6328125" style="2" customWidth="1"/>
    <col min="10757" max="10758" width="5.08984375" style="2" customWidth="1"/>
    <col min="10759" max="10759" width="9.6328125" style="2" customWidth="1"/>
    <col min="10760" max="10761" width="11.6328125" style="2" customWidth="1"/>
    <col min="10762" max="10762" width="15.36328125" style="2" customWidth="1"/>
    <col min="10763" max="10763" width="10.90625" style="2" customWidth="1"/>
    <col min="10764" max="10774" width="13.36328125" style="2" customWidth="1"/>
    <col min="10775" max="10775" width="13.6328125" style="2" customWidth="1"/>
    <col min="10776" max="10776" width="16.453125" style="2" customWidth="1"/>
    <col min="10777" max="11011" width="8.90625" style="2"/>
    <col min="11012" max="11012" width="9.6328125" style="2" customWidth="1"/>
    <col min="11013" max="11014" width="5.08984375" style="2" customWidth="1"/>
    <col min="11015" max="11015" width="9.6328125" style="2" customWidth="1"/>
    <col min="11016" max="11017" width="11.6328125" style="2" customWidth="1"/>
    <col min="11018" max="11018" width="15.36328125" style="2" customWidth="1"/>
    <col min="11019" max="11019" width="10.90625" style="2" customWidth="1"/>
    <col min="11020" max="11030" width="13.36328125" style="2" customWidth="1"/>
    <col min="11031" max="11031" width="13.6328125" style="2" customWidth="1"/>
    <col min="11032" max="11032" width="16.453125" style="2" customWidth="1"/>
    <col min="11033" max="11267" width="8.90625" style="2"/>
    <col min="11268" max="11268" width="9.6328125" style="2" customWidth="1"/>
    <col min="11269" max="11270" width="5.08984375" style="2" customWidth="1"/>
    <col min="11271" max="11271" width="9.6328125" style="2" customWidth="1"/>
    <col min="11272" max="11273" width="11.6328125" style="2" customWidth="1"/>
    <col min="11274" max="11274" width="15.36328125" style="2" customWidth="1"/>
    <col min="11275" max="11275" width="10.90625" style="2" customWidth="1"/>
    <col min="11276" max="11286" width="13.36328125" style="2" customWidth="1"/>
    <col min="11287" max="11287" width="13.6328125" style="2" customWidth="1"/>
    <col min="11288" max="11288" width="16.453125" style="2" customWidth="1"/>
    <col min="11289" max="11523" width="8.90625" style="2"/>
    <col min="11524" max="11524" width="9.6328125" style="2" customWidth="1"/>
    <col min="11525" max="11526" width="5.08984375" style="2" customWidth="1"/>
    <col min="11527" max="11527" width="9.6328125" style="2" customWidth="1"/>
    <col min="11528" max="11529" width="11.6328125" style="2" customWidth="1"/>
    <col min="11530" max="11530" width="15.36328125" style="2" customWidth="1"/>
    <col min="11531" max="11531" width="10.90625" style="2" customWidth="1"/>
    <col min="11532" max="11542" width="13.36328125" style="2" customWidth="1"/>
    <col min="11543" max="11543" width="13.6328125" style="2" customWidth="1"/>
    <col min="11544" max="11544" width="16.453125" style="2" customWidth="1"/>
    <col min="11545" max="11779" width="8.90625" style="2"/>
    <col min="11780" max="11780" width="9.6328125" style="2" customWidth="1"/>
    <col min="11781" max="11782" width="5.08984375" style="2" customWidth="1"/>
    <col min="11783" max="11783" width="9.6328125" style="2" customWidth="1"/>
    <col min="11784" max="11785" width="11.6328125" style="2" customWidth="1"/>
    <col min="11786" max="11786" width="15.36328125" style="2" customWidth="1"/>
    <col min="11787" max="11787" width="10.90625" style="2" customWidth="1"/>
    <col min="11788" max="11798" width="13.36328125" style="2" customWidth="1"/>
    <col min="11799" max="11799" width="13.6328125" style="2" customWidth="1"/>
    <col min="11800" max="11800" width="16.453125" style="2" customWidth="1"/>
    <col min="11801" max="12035" width="8.90625" style="2"/>
    <col min="12036" max="12036" width="9.6328125" style="2" customWidth="1"/>
    <col min="12037" max="12038" width="5.08984375" style="2" customWidth="1"/>
    <col min="12039" max="12039" width="9.6328125" style="2" customWidth="1"/>
    <col min="12040" max="12041" width="11.6328125" style="2" customWidth="1"/>
    <col min="12042" max="12042" width="15.36328125" style="2" customWidth="1"/>
    <col min="12043" max="12043" width="10.90625" style="2" customWidth="1"/>
    <col min="12044" max="12054" width="13.36328125" style="2" customWidth="1"/>
    <col min="12055" max="12055" width="13.6328125" style="2" customWidth="1"/>
    <col min="12056" max="12056" width="16.453125" style="2" customWidth="1"/>
    <col min="12057" max="12291" width="8.90625" style="2"/>
    <col min="12292" max="12292" width="9.6328125" style="2" customWidth="1"/>
    <col min="12293" max="12294" width="5.08984375" style="2" customWidth="1"/>
    <col min="12295" max="12295" width="9.6328125" style="2" customWidth="1"/>
    <col min="12296" max="12297" width="11.6328125" style="2" customWidth="1"/>
    <col min="12298" max="12298" width="15.36328125" style="2" customWidth="1"/>
    <col min="12299" max="12299" width="10.90625" style="2" customWidth="1"/>
    <col min="12300" max="12310" width="13.36328125" style="2" customWidth="1"/>
    <col min="12311" max="12311" width="13.6328125" style="2" customWidth="1"/>
    <col min="12312" max="12312" width="16.453125" style="2" customWidth="1"/>
    <col min="12313" max="12547" width="8.90625" style="2"/>
    <col min="12548" max="12548" width="9.6328125" style="2" customWidth="1"/>
    <col min="12549" max="12550" width="5.08984375" style="2" customWidth="1"/>
    <col min="12551" max="12551" width="9.6328125" style="2" customWidth="1"/>
    <col min="12552" max="12553" width="11.6328125" style="2" customWidth="1"/>
    <col min="12554" max="12554" width="15.36328125" style="2" customWidth="1"/>
    <col min="12555" max="12555" width="10.90625" style="2" customWidth="1"/>
    <col min="12556" max="12566" width="13.36328125" style="2" customWidth="1"/>
    <col min="12567" max="12567" width="13.6328125" style="2" customWidth="1"/>
    <col min="12568" max="12568" width="16.453125" style="2" customWidth="1"/>
    <col min="12569" max="12803" width="8.90625" style="2"/>
    <col min="12804" max="12804" width="9.6328125" style="2" customWidth="1"/>
    <col min="12805" max="12806" width="5.08984375" style="2" customWidth="1"/>
    <col min="12807" max="12807" width="9.6328125" style="2" customWidth="1"/>
    <col min="12808" max="12809" width="11.6328125" style="2" customWidth="1"/>
    <col min="12810" max="12810" width="15.36328125" style="2" customWidth="1"/>
    <col min="12811" max="12811" width="10.90625" style="2" customWidth="1"/>
    <col min="12812" max="12822" width="13.36328125" style="2" customWidth="1"/>
    <col min="12823" max="12823" width="13.6328125" style="2" customWidth="1"/>
    <col min="12824" max="12824" width="16.453125" style="2" customWidth="1"/>
    <col min="12825" max="13059" width="8.90625" style="2"/>
    <col min="13060" max="13060" width="9.6328125" style="2" customWidth="1"/>
    <col min="13061" max="13062" width="5.08984375" style="2" customWidth="1"/>
    <col min="13063" max="13063" width="9.6328125" style="2" customWidth="1"/>
    <col min="13064" max="13065" width="11.6328125" style="2" customWidth="1"/>
    <col min="13066" max="13066" width="15.36328125" style="2" customWidth="1"/>
    <col min="13067" max="13067" width="10.90625" style="2" customWidth="1"/>
    <col min="13068" max="13078" width="13.36328125" style="2" customWidth="1"/>
    <col min="13079" max="13079" width="13.6328125" style="2" customWidth="1"/>
    <col min="13080" max="13080" width="16.453125" style="2" customWidth="1"/>
    <col min="13081" max="13315" width="8.90625" style="2"/>
    <col min="13316" max="13316" width="9.6328125" style="2" customWidth="1"/>
    <col min="13317" max="13318" width="5.08984375" style="2" customWidth="1"/>
    <col min="13319" max="13319" width="9.6328125" style="2" customWidth="1"/>
    <col min="13320" max="13321" width="11.6328125" style="2" customWidth="1"/>
    <col min="13322" max="13322" width="15.36328125" style="2" customWidth="1"/>
    <col min="13323" max="13323" width="10.90625" style="2" customWidth="1"/>
    <col min="13324" max="13334" width="13.36328125" style="2" customWidth="1"/>
    <col min="13335" max="13335" width="13.6328125" style="2" customWidth="1"/>
    <col min="13336" max="13336" width="16.453125" style="2" customWidth="1"/>
    <col min="13337" max="13571" width="8.90625" style="2"/>
    <col min="13572" max="13572" width="9.6328125" style="2" customWidth="1"/>
    <col min="13573" max="13574" width="5.08984375" style="2" customWidth="1"/>
    <col min="13575" max="13575" width="9.6328125" style="2" customWidth="1"/>
    <col min="13576" max="13577" width="11.6328125" style="2" customWidth="1"/>
    <col min="13578" max="13578" width="15.36328125" style="2" customWidth="1"/>
    <col min="13579" max="13579" width="10.90625" style="2" customWidth="1"/>
    <col min="13580" max="13590" width="13.36328125" style="2" customWidth="1"/>
    <col min="13591" max="13591" width="13.6328125" style="2" customWidth="1"/>
    <col min="13592" max="13592" width="16.453125" style="2" customWidth="1"/>
    <col min="13593" max="13827" width="8.90625" style="2"/>
    <col min="13828" max="13828" width="9.6328125" style="2" customWidth="1"/>
    <col min="13829" max="13830" width="5.08984375" style="2" customWidth="1"/>
    <col min="13831" max="13831" width="9.6328125" style="2" customWidth="1"/>
    <col min="13832" max="13833" width="11.6328125" style="2" customWidth="1"/>
    <col min="13834" max="13834" width="15.36328125" style="2" customWidth="1"/>
    <col min="13835" max="13835" width="10.90625" style="2" customWidth="1"/>
    <col min="13836" max="13846" width="13.36328125" style="2" customWidth="1"/>
    <col min="13847" max="13847" width="13.6328125" style="2" customWidth="1"/>
    <col min="13848" max="13848" width="16.453125" style="2" customWidth="1"/>
    <col min="13849" max="14083" width="8.90625" style="2"/>
    <col min="14084" max="14084" width="9.6328125" style="2" customWidth="1"/>
    <col min="14085" max="14086" width="5.08984375" style="2" customWidth="1"/>
    <col min="14087" max="14087" width="9.6328125" style="2" customWidth="1"/>
    <col min="14088" max="14089" width="11.6328125" style="2" customWidth="1"/>
    <col min="14090" max="14090" width="15.36328125" style="2" customWidth="1"/>
    <col min="14091" max="14091" width="10.90625" style="2" customWidth="1"/>
    <col min="14092" max="14102" width="13.36328125" style="2" customWidth="1"/>
    <col min="14103" max="14103" width="13.6328125" style="2" customWidth="1"/>
    <col min="14104" max="14104" width="16.453125" style="2" customWidth="1"/>
    <col min="14105" max="14339" width="8.90625" style="2"/>
    <col min="14340" max="14340" width="9.6328125" style="2" customWidth="1"/>
    <col min="14341" max="14342" width="5.08984375" style="2" customWidth="1"/>
    <col min="14343" max="14343" width="9.6328125" style="2" customWidth="1"/>
    <col min="14344" max="14345" width="11.6328125" style="2" customWidth="1"/>
    <col min="14346" max="14346" width="15.36328125" style="2" customWidth="1"/>
    <col min="14347" max="14347" width="10.90625" style="2" customWidth="1"/>
    <col min="14348" max="14358" width="13.36328125" style="2" customWidth="1"/>
    <col min="14359" max="14359" width="13.6328125" style="2" customWidth="1"/>
    <col min="14360" max="14360" width="16.453125" style="2" customWidth="1"/>
    <col min="14361" max="14595" width="8.90625" style="2"/>
    <col min="14596" max="14596" width="9.6328125" style="2" customWidth="1"/>
    <col min="14597" max="14598" width="5.08984375" style="2" customWidth="1"/>
    <col min="14599" max="14599" width="9.6328125" style="2" customWidth="1"/>
    <col min="14600" max="14601" width="11.6328125" style="2" customWidth="1"/>
    <col min="14602" max="14602" width="15.36328125" style="2" customWidth="1"/>
    <col min="14603" max="14603" width="10.90625" style="2" customWidth="1"/>
    <col min="14604" max="14614" width="13.36328125" style="2" customWidth="1"/>
    <col min="14615" max="14615" width="13.6328125" style="2" customWidth="1"/>
    <col min="14616" max="14616" width="16.453125" style="2" customWidth="1"/>
    <col min="14617" max="14851" width="8.90625" style="2"/>
    <col min="14852" max="14852" width="9.6328125" style="2" customWidth="1"/>
    <col min="14853" max="14854" width="5.08984375" style="2" customWidth="1"/>
    <col min="14855" max="14855" width="9.6328125" style="2" customWidth="1"/>
    <col min="14856" max="14857" width="11.6328125" style="2" customWidth="1"/>
    <col min="14858" max="14858" width="15.36328125" style="2" customWidth="1"/>
    <col min="14859" max="14859" width="10.90625" style="2" customWidth="1"/>
    <col min="14860" max="14870" width="13.36328125" style="2" customWidth="1"/>
    <col min="14871" max="14871" width="13.6328125" style="2" customWidth="1"/>
    <col min="14872" max="14872" width="16.453125" style="2" customWidth="1"/>
    <col min="14873" max="15107" width="8.90625" style="2"/>
    <col min="15108" max="15108" width="9.6328125" style="2" customWidth="1"/>
    <col min="15109" max="15110" width="5.08984375" style="2" customWidth="1"/>
    <col min="15111" max="15111" width="9.6328125" style="2" customWidth="1"/>
    <col min="15112" max="15113" width="11.6328125" style="2" customWidth="1"/>
    <col min="15114" max="15114" width="15.36328125" style="2" customWidth="1"/>
    <col min="15115" max="15115" width="10.90625" style="2" customWidth="1"/>
    <col min="15116" max="15126" width="13.36328125" style="2" customWidth="1"/>
    <col min="15127" max="15127" width="13.6328125" style="2" customWidth="1"/>
    <col min="15128" max="15128" width="16.453125" style="2" customWidth="1"/>
    <col min="15129" max="15363" width="8.90625" style="2"/>
    <col min="15364" max="15364" width="9.6328125" style="2" customWidth="1"/>
    <col min="15365" max="15366" width="5.08984375" style="2" customWidth="1"/>
    <col min="15367" max="15367" width="9.6328125" style="2" customWidth="1"/>
    <col min="15368" max="15369" width="11.6328125" style="2" customWidth="1"/>
    <col min="15370" max="15370" width="15.36328125" style="2" customWidth="1"/>
    <col min="15371" max="15371" width="10.90625" style="2" customWidth="1"/>
    <col min="15372" max="15382" width="13.36328125" style="2" customWidth="1"/>
    <col min="15383" max="15383" width="13.6328125" style="2" customWidth="1"/>
    <col min="15384" max="15384" width="16.453125" style="2" customWidth="1"/>
    <col min="15385" max="15619" width="8.90625" style="2"/>
    <col min="15620" max="15620" width="9.6328125" style="2" customWidth="1"/>
    <col min="15621" max="15622" width="5.08984375" style="2" customWidth="1"/>
    <col min="15623" max="15623" width="9.6328125" style="2" customWidth="1"/>
    <col min="15624" max="15625" width="11.6328125" style="2" customWidth="1"/>
    <col min="15626" max="15626" width="15.36328125" style="2" customWidth="1"/>
    <col min="15627" max="15627" width="10.90625" style="2" customWidth="1"/>
    <col min="15628" max="15638" width="13.36328125" style="2" customWidth="1"/>
    <col min="15639" max="15639" width="13.6328125" style="2" customWidth="1"/>
    <col min="15640" max="15640" width="16.453125" style="2" customWidth="1"/>
    <col min="15641" max="15875" width="8.90625" style="2"/>
    <col min="15876" max="15876" width="9.6328125" style="2" customWidth="1"/>
    <col min="15877" max="15878" width="5.08984375" style="2" customWidth="1"/>
    <col min="15879" max="15879" width="9.6328125" style="2" customWidth="1"/>
    <col min="15880" max="15881" width="11.6328125" style="2" customWidth="1"/>
    <col min="15882" max="15882" width="15.36328125" style="2" customWidth="1"/>
    <col min="15883" max="15883" width="10.90625" style="2" customWidth="1"/>
    <col min="15884" max="15894" width="13.36328125" style="2" customWidth="1"/>
    <col min="15895" max="15895" width="13.6328125" style="2" customWidth="1"/>
    <col min="15896" max="15896" width="16.453125" style="2" customWidth="1"/>
    <col min="15897" max="16131" width="8.90625" style="2"/>
    <col min="16132" max="16132" width="9.6328125" style="2" customWidth="1"/>
    <col min="16133" max="16134" width="5.08984375" style="2" customWidth="1"/>
    <col min="16135" max="16135" width="9.6328125" style="2" customWidth="1"/>
    <col min="16136" max="16137" width="11.6328125" style="2" customWidth="1"/>
    <col min="16138" max="16138" width="15.36328125" style="2" customWidth="1"/>
    <col min="16139" max="16139" width="10.90625" style="2" customWidth="1"/>
    <col min="16140" max="16150" width="13.36328125" style="2" customWidth="1"/>
    <col min="16151" max="16151" width="13.6328125" style="2" customWidth="1"/>
    <col min="16152" max="16152" width="16.453125" style="2" customWidth="1"/>
    <col min="16153" max="16383" width="8.90625" style="2"/>
    <col min="16384" max="16384" width="9" style="2" customWidth="1"/>
  </cols>
  <sheetData>
    <row r="1" spans="1:26" s="127" customFormat="1" ht="36">
      <c r="A1" s="230" t="s">
        <v>83</v>
      </c>
      <c r="B1" s="230" t="s">
        <v>84</v>
      </c>
      <c r="C1" s="133" t="s">
        <v>56</v>
      </c>
      <c r="D1" s="134" t="s">
        <v>0</v>
      </c>
      <c r="E1" s="134" t="s">
        <v>1</v>
      </c>
      <c r="F1" s="135" t="s">
        <v>2</v>
      </c>
      <c r="G1" s="135" t="s">
        <v>58</v>
      </c>
      <c r="H1" s="135" t="s">
        <v>3</v>
      </c>
      <c r="I1" s="136" t="s">
        <v>4</v>
      </c>
      <c r="J1" s="137" t="s">
        <v>5</v>
      </c>
      <c r="K1" s="3" t="s">
        <v>6</v>
      </c>
      <c r="L1" s="352" t="s">
        <v>7</v>
      </c>
      <c r="M1" s="238" t="s">
        <v>8</v>
      </c>
      <c r="N1" s="238" t="s">
        <v>9</v>
      </c>
      <c r="O1" s="238" t="s">
        <v>10</v>
      </c>
      <c r="P1" s="238" t="s">
        <v>11</v>
      </c>
      <c r="Q1" s="238" t="s">
        <v>12</v>
      </c>
      <c r="R1" s="238" t="s">
        <v>13</v>
      </c>
      <c r="S1" s="238" t="s">
        <v>14</v>
      </c>
      <c r="T1" s="238" t="s">
        <v>15</v>
      </c>
      <c r="U1" s="238" t="s">
        <v>16</v>
      </c>
      <c r="V1" s="238" t="s">
        <v>17</v>
      </c>
      <c r="W1" s="141" t="s">
        <v>18</v>
      </c>
      <c r="X1" s="142" t="s">
        <v>19</v>
      </c>
    </row>
    <row r="2" spans="1:26" s="1" customFormat="1">
      <c r="A2" s="112"/>
      <c r="B2" s="72"/>
      <c r="C2" s="548" t="s">
        <v>169</v>
      </c>
      <c r="D2" s="549"/>
      <c r="E2" s="549"/>
      <c r="F2" s="549"/>
      <c r="G2" s="549"/>
      <c r="H2" s="549"/>
      <c r="I2" s="549"/>
      <c r="J2" s="550"/>
      <c r="K2" s="206" t="s">
        <v>20</v>
      </c>
      <c r="L2" s="372">
        <f t="shared" ref="L2:W3" si="0">L29</f>
        <v>600000</v>
      </c>
      <c r="M2" s="428">
        <f t="shared" si="0"/>
        <v>625250</v>
      </c>
      <c r="N2" s="428">
        <f t="shared" si="0"/>
        <v>590400</v>
      </c>
      <c r="O2" s="428">
        <f t="shared" si="0"/>
        <v>606800</v>
      </c>
      <c r="P2" s="428">
        <f t="shared" si="0"/>
        <v>1265200</v>
      </c>
      <c r="Q2" s="428">
        <f t="shared" si="0"/>
        <v>1389350</v>
      </c>
      <c r="R2" s="428">
        <f t="shared" si="0"/>
        <v>1634100</v>
      </c>
      <c r="S2" s="428">
        <f t="shared" si="0"/>
        <v>1353450</v>
      </c>
      <c r="T2" s="428">
        <f t="shared" si="0"/>
        <v>1492150</v>
      </c>
      <c r="U2" s="428">
        <f t="shared" si="0"/>
        <v>1424650</v>
      </c>
      <c r="V2" s="428">
        <f t="shared" si="0"/>
        <v>1428450</v>
      </c>
      <c r="W2" s="280">
        <f t="shared" si="0"/>
        <v>1545000</v>
      </c>
      <c r="X2" s="10">
        <f t="shared" ref="X2:X15" si="1">SUM(L2:W2)</f>
        <v>13954800</v>
      </c>
      <c r="Z2" s="70"/>
    </row>
    <row r="3" spans="1:26" s="1" customFormat="1">
      <c r="A3" s="112"/>
      <c r="B3" s="72"/>
      <c r="C3" s="551"/>
      <c r="D3" s="552"/>
      <c r="E3" s="552"/>
      <c r="F3" s="552"/>
      <c r="G3" s="552"/>
      <c r="H3" s="552"/>
      <c r="I3" s="552"/>
      <c r="J3" s="553"/>
      <c r="K3" s="165" t="s">
        <v>21</v>
      </c>
      <c r="L3" s="373">
        <f t="shared" si="0"/>
        <v>523561</v>
      </c>
      <c r="M3" s="429">
        <f t="shared" si="0"/>
        <v>492359</v>
      </c>
      <c r="N3" s="429">
        <f t="shared" si="0"/>
        <v>510393</v>
      </c>
      <c r="O3" s="429">
        <f t="shared" si="0"/>
        <v>518204</v>
      </c>
      <c r="P3" s="429">
        <f t="shared" si="0"/>
        <v>1212862</v>
      </c>
      <c r="Q3" s="429">
        <f t="shared" si="0"/>
        <v>1231190</v>
      </c>
      <c r="R3" s="429">
        <f t="shared" si="0"/>
        <v>1280192</v>
      </c>
      <c r="S3" s="429">
        <f t="shared" si="0"/>
        <v>1172634</v>
      </c>
      <c r="T3" s="429">
        <f t="shared" si="0"/>
        <v>1260720</v>
      </c>
      <c r="U3" s="429">
        <f t="shared" si="0"/>
        <v>1211592</v>
      </c>
      <c r="V3" s="429">
        <f t="shared" si="0"/>
        <v>1231705</v>
      </c>
      <c r="W3" s="23">
        <f t="shared" si="0"/>
        <v>1283957</v>
      </c>
      <c r="X3" s="11">
        <f t="shared" si="1"/>
        <v>11929369</v>
      </c>
      <c r="Z3" s="70"/>
    </row>
    <row r="4" spans="1:26" s="1" customFormat="1" ht="12.5" thickBot="1">
      <c r="A4" s="112"/>
      <c r="B4" s="72"/>
      <c r="C4" s="554"/>
      <c r="D4" s="555"/>
      <c r="E4" s="555"/>
      <c r="F4" s="555"/>
      <c r="G4" s="555"/>
      <c r="H4" s="555"/>
      <c r="I4" s="555"/>
      <c r="J4" s="556"/>
      <c r="K4" s="166" t="s">
        <v>22</v>
      </c>
      <c r="L4" s="374">
        <f t="shared" ref="L4:W4" si="2">L2-L3</f>
        <v>76439</v>
      </c>
      <c r="M4" s="430">
        <f t="shared" si="2"/>
        <v>132891</v>
      </c>
      <c r="N4" s="430">
        <f t="shared" si="2"/>
        <v>80007</v>
      </c>
      <c r="O4" s="430">
        <f t="shared" si="2"/>
        <v>88596</v>
      </c>
      <c r="P4" s="430">
        <f t="shared" si="2"/>
        <v>52338</v>
      </c>
      <c r="Q4" s="430">
        <f t="shared" si="2"/>
        <v>158160</v>
      </c>
      <c r="R4" s="430">
        <f t="shared" si="2"/>
        <v>353908</v>
      </c>
      <c r="S4" s="430">
        <f t="shared" si="2"/>
        <v>180816</v>
      </c>
      <c r="T4" s="430">
        <f t="shared" si="2"/>
        <v>231430</v>
      </c>
      <c r="U4" s="430">
        <f t="shared" si="2"/>
        <v>213058</v>
      </c>
      <c r="V4" s="430">
        <f t="shared" si="2"/>
        <v>196745</v>
      </c>
      <c r="W4" s="24">
        <f t="shared" si="2"/>
        <v>261043</v>
      </c>
      <c r="X4" s="12">
        <f t="shared" si="1"/>
        <v>2025431</v>
      </c>
      <c r="Z4" s="70"/>
    </row>
    <row r="5" spans="1:26" ht="12.75" customHeight="1" thickTop="1">
      <c r="A5" s="113">
        <v>2008002</v>
      </c>
      <c r="C5" s="642">
        <v>1</v>
      </c>
      <c r="D5" s="645" t="s">
        <v>59</v>
      </c>
      <c r="E5" s="645"/>
      <c r="F5" s="645"/>
      <c r="G5" s="645" t="s">
        <v>164</v>
      </c>
      <c r="H5" s="645" t="s">
        <v>45</v>
      </c>
      <c r="I5" s="648" t="s">
        <v>46</v>
      </c>
      <c r="J5" s="629" t="s">
        <v>65</v>
      </c>
      <c r="K5" s="177" t="s">
        <v>23</v>
      </c>
      <c r="L5" s="357">
        <f t="shared" ref="L5:W5" si="3">L7+L6</f>
        <v>600000</v>
      </c>
      <c r="M5" s="413">
        <f t="shared" si="3"/>
        <v>625250</v>
      </c>
      <c r="N5" s="413">
        <f t="shared" si="3"/>
        <v>590400</v>
      </c>
      <c r="O5" s="413">
        <f t="shared" si="3"/>
        <v>606800</v>
      </c>
      <c r="P5" s="413">
        <f t="shared" si="3"/>
        <v>389500</v>
      </c>
      <c r="Q5" s="413">
        <f t="shared" si="3"/>
        <v>551450</v>
      </c>
      <c r="R5" s="413">
        <f t="shared" si="3"/>
        <v>676500</v>
      </c>
      <c r="S5" s="413">
        <f t="shared" si="3"/>
        <v>559650</v>
      </c>
      <c r="T5" s="413">
        <f t="shared" si="3"/>
        <v>641650</v>
      </c>
      <c r="U5" s="413">
        <f t="shared" si="3"/>
        <v>567850</v>
      </c>
      <c r="V5" s="413">
        <f t="shared" si="3"/>
        <v>584250</v>
      </c>
      <c r="W5" s="103">
        <f t="shared" si="3"/>
        <v>600000</v>
      </c>
      <c r="X5" s="52">
        <f t="shared" si="1"/>
        <v>6993300</v>
      </c>
      <c r="Z5" s="69"/>
    </row>
    <row r="6" spans="1:26">
      <c r="A6" s="114">
        <f t="shared" ref="A6:A16" si="4">+A5</f>
        <v>2008002</v>
      </c>
      <c r="B6" s="74"/>
      <c r="C6" s="642"/>
      <c r="D6" s="645"/>
      <c r="E6" s="645"/>
      <c r="F6" s="645"/>
      <c r="G6" s="645"/>
      <c r="H6" s="645"/>
      <c r="I6" s="648"/>
      <c r="J6" s="629"/>
      <c r="K6" s="172" t="s">
        <v>24</v>
      </c>
      <c r="L6" s="362">
        <v>600000</v>
      </c>
      <c r="M6" s="301">
        <v>625250</v>
      </c>
      <c r="N6" s="301">
        <v>590400</v>
      </c>
      <c r="O6" s="301">
        <v>606800</v>
      </c>
      <c r="P6" s="301">
        <v>389500</v>
      </c>
      <c r="Q6" s="301">
        <v>551450</v>
      </c>
      <c r="R6" s="301">
        <v>676500</v>
      </c>
      <c r="S6" s="301">
        <v>559650</v>
      </c>
      <c r="T6" s="301">
        <v>641650</v>
      </c>
      <c r="U6" s="301">
        <v>567850</v>
      </c>
      <c r="V6" s="301">
        <v>584250</v>
      </c>
      <c r="W6" s="102">
        <v>600000</v>
      </c>
      <c r="X6" s="49">
        <f t="shared" si="1"/>
        <v>6993300</v>
      </c>
      <c r="Y6" s="69"/>
      <c r="Z6" s="69"/>
    </row>
    <row r="7" spans="1:26">
      <c r="A7" s="114">
        <f t="shared" si="4"/>
        <v>2008002</v>
      </c>
      <c r="B7" s="74"/>
      <c r="C7" s="642"/>
      <c r="D7" s="645"/>
      <c r="E7" s="645"/>
      <c r="F7" s="645"/>
      <c r="G7" s="645"/>
      <c r="H7" s="645"/>
      <c r="I7" s="648"/>
      <c r="J7" s="629"/>
      <c r="K7" s="172" t="s">
        <v>25</v>
      </c>
      <c r="L7" s="392"/>
      <c r="M7" s="297"/>
      <c r="N7" s="297"/>
      <c r="O7" s="297"/>
      <c r="P7" s="297"/>
      <c r="Q7" s="297"/>
      <c r="R7" s="297"/>
      <c r="S7" s="297"/>
      <c r="T7" s="297"/>
      <c r="U7" s="297"/>
      <c r="V7" s="297"/>
      <c r="W7" s="91"/>
      <c r="X7" s="49">
        <f t="shared" si="1"/>
        <v>0</v>
      </c>
      <c r="Z7" s="69"/>
    </row>
    <row r="8" spans="1:26">
      <c r="A8" s="114">
        <f t="shared" si="4"/>
        <v>2008002</v>
      </c>
      <c r="B8" s="74"/>
      <c r="C8" s="642"/>
      <c r="D8" s="645"/>
      <c r="E8" s="645"/>
      <c r="F8" s="645"/>
      <c r="G8" s="645"/>
      <c r="H8" s="645"/>
      <c r="I8" s="648"/>
      <c r="J8" s="629"/>
      <c r="K8" s="173" t="s">
        <v>26</v>
      </c>
      <c r="L8" s="355">
        <f t="shared" ref="L8:W8" si="5">SUM(L9:L15)</f>
        <v>523561</v>
      </c>
      <c r="M8" s="411">
        <f t="shared" si="5"/>
        <v>492359</v>
      </c>
      <c r="N8" s="411">
        <f t="shared" si="5"/>
        <v>510393</v>
      </c>
      <c r="O8" s="411">
        <f t="shared" si="5"/>
        <v>518204</v>
      </c>
      <c r="P8" s="411">
        <f t="shared" si="5"/>
        <v>460953</v>
      </c>
      <c r="Q8" s="411">
        <f t="shared" si="5"/>
        <v>505064</v>
      </c>
      <c r="R8" s="411">
        <f t="shared" si="5"/>
        <v>528784</v>
      </c>
      <c r="S8" s="411">
        <f t="shared" si="5"/>
        <v>471791</v>
      </c>
      <c r="T8" s="411">
        <f t="shared" si="5"/>
        <v>527569</v>
      </c>
      <c r="U8" s="411">
        <f t="shared" si="5"/>
        <v>474945</v>
      </c>
      <c r="V8" s="411">
        <f t="shared" si="5"/>
        <v>499213</v>
      </c>
      <c r="W8" s="99">
        <f t="shared" si="5"/>
        <v>523561</v>
      </c>
      <c r="X8" s="50">
        <f t="shared" si="1"/>
        <v>6036397</v>
      </c>
      <c r="Z8" s="69"/>
    </row>
    <row r="9" spans="1:26">
      <c r="A9" s="114">
        <f t="shared" si="4"/>
        <v>2008002</v>
      </c>
      <c r="B9" s="74"/>
      <c r="C9" s="642"/>
      <c r="D9" s="645"/>
      <c r="E9" s="645"/>
      <c r="F9" s="645"/>
      <c r="G9" s="645"/>
      <c r="H9" s="645"/>
      <c r="I9" s="648"/>
      <c r="J9" s="629"/>
      <c r="K9" s="174" t="s">
        <v>27</v>
      </c>
      <c r="L9" s="343">
        <v>450780</v>
      </c>
      <c r="M9" s="297">
        <v>422800</v>
      </c>
      <c r="N9" s="297">
        <v>439680</v>
      </c>
      <c r="O9" s="297">
        <v>448376</v>
      </c>
      <c r="P9" s="297">
        <v>391720</v>
      </c>
      <c r="Q9" s="297">
        <v>433440</v>
      </c>
      <c r="R9" s="297">
        <v>457880</v>
      </c>
      <c r="S9" s="297">
        <v>401480</v>
      </c>
      <c r="T9" s="297">
        <v>453780</v>
      </c>
      <c r="U9" s="297">
        <v>404600</v>
      </c>
      <c r="V9" s="297">
        <v>426504</v>
      </c>
      <c r="W9" s="91">
        <v>450780</v>
      </c>
      <c r="X9" s="49">
        <f t="shared" si="1"/>
        <v>5181820</v>
      </c>
      <c r="Y9" s="69"/>
      <c r="Z9" s="69"/>
    </row>
    <row r="10" spans="1:26">
      <c r="A10" s="114">
        <f t="shared" si="4"/>
        <v>2008002</v>
      </c>
      <c r="B10" s="74"/>
      <c r="C10" s="642"/>
      <c r="D10" s="645"/>
      <c r="E10" s="645"/>
      <c r="F10" s="645"/>
      <c r="G10" s="645"/>
      <c r="H10" s="645"/>
      <c r="I10" s="648"/>
      <c r="J10" s="629"/>
      <c r="K10" s="174" t="s">
        <v>34</v>
      </c>
      <c r="L10" s="343"/>
      <c r="M10" s="297"/>
      <c r="N10" s="297"/>
      <c r="O10" s="297"/>
      <c r="P10" s="297"/>
      <c r="Q10" s="297"/>
      <c r="R10" s="297"/>
      <c r="S10" s="297"/>
      <c r="T10" s="297"/>
      <c r="U10" s="297"/>
      <c r="V10" s="297"/>
      <c r="W10" s="91"/>
      <c r="X10" s="49">
        <f t="shared" si="1"/>
        <v>0</v>
      </c>
      <c r="Y10" s="69"/>
      <c r="Z10" s="69"/>
    </row>
    <row r="11" spans="1:26">
      <c r="A11" s="114">
        <f t="shared" si="4"/>
        <v>2008002</v>
      </c>
      <c r="B11" s="74"/>
      <c r="C11" s="642"/>
      <c r="D11" s="645"/>
      <c r="E11" s="645"/>
      <c r="F11" s="645"/>
      <c r="G11" s="645"/>
      <c r="H11" s="645"/>
      <c r="I11" s="648"/>
      <c r="J11" s="629"/>
      <c r="K11" s="174" t="s">
        <v>28</v>
      </c>
      <c r="L11" s="343">
        <v>2898</v>
      </c>
      <c r="M11" s="297">
        <v>0</v>
      </c>
      <c r="N11" s="297">
        <v>966</v>
      </c>
      <c r="O11" s="297">
        <v>0</v>
      </c>
      <c r="P11" s="297">
        <v>0</v>
      </c>
      <c r="Q11" s="297">
        <v>1932</v>
      </c>
      <c r="R11" s="297">
        <v>966</v>
      </c>
      <c r="S11" s="297">
        <v>966</v>
      </c>
      <c r="T11" s="297">
        <v>3864</v>
      </c>
      <c r="U11" s="297">
        <v>966</v>
      </c>
      <c r="V11" s="297">
        <v>2898</v>
      </c>
      <c r="W11" s="91">
        <v>2898</v>
      </c>
      <c r="X11" s="49">
        <f t="shared" si="1"/>
        <v>18354</v>
      </c>
      <c r="Y11" s="69"/>
      <c r="Z11" s="69"/>
    </row>
    <row r="12" spans="1:26">
      <c r="A12" s="114">
        <f t="shared" si="4"/>
        <v>2008002</v>
      </c>
      <c r="B12" s="74"/>
      <c r="C12" s="642"/>
      <c r="D12" s="645"/>
      <c r="E12" s="645"/>
      <c r="F12" s="645"/>
      <c r="G12" s="645"/>
      <c r="H12" s="645"/>
      <c r="I12" s="648"/>
      <c r="J12" s="629"/>
      <c r="K12" s="174" t="s">
        <v>29</v>
      </c>
      <c r="L12" s="343">
        <v>24860</v>
      </c>
      <c r="M12" s="297">
        <v>24860</v>
      </c>
      <c r="N12" s="297">
        <v>24860</v>
      </c>
      <c r="O12" s="297">
        <v>24860</v>
      </c>
      <c r="P12" s="297">
        <v>24860</v>
      </c>
      <c r="Q12" s="297">
        <v>24860</v>
      </c>
      <c r="R12" s="297">
        <v>24860</v>
      </c>
      <c r="S12" s="297">
        <v>24860</v>
      </c>
      <c r="T12" s="297">
        <v>24860</v>
      </c>
      <c r="U12" s="297">
        <v>24860</v>
      </c>
      <c r="V12" s="297">
        <v>24860</v>
      </c>
      <c r="W12" s="91">
        <v>24860</v>
      </c>
      <c r="X12" s="49">
        <f t="shared" si="1"/>
        <v>298320</v>
      </c>
      <c r="Y12" s="69"/>
      <c r="Z12" s="69"/>
    </row>
    <row r="13" spans="1:26">
      <c r="A13" s="114">
        <f t="shared" si="4"/>
        <v>2008002</v>
      </c>
      <c r="B13" s="74"/>
      <c r="C13" s="642"/>
      <c r="D13" s="645"/>
      <c r="E13" s="645"/>
      <c r="F13" s="645"/>
      <c r="G13" s="645"/>
      <c r="H13" s="645"/>
      <c r="I13" s="648"/>
      <c r="J13" s="629"/>
      <c r="K13" s="174" t="s">
        <v>30</v>
      </c>
      <c r="L13" s="343">
        <v>40260</v>
      </c>
      <c r="M13" s="297">
        <v>40260</v>
      </c>
      <c r="N13" s="297">
        <v>40260</v>
      </c>
      <c r="O13" s="297">
        <v>40260</v>
      </c>
      <c r="P13" s="297">
        <v>40260</v>
      </c>
      <c r="Q13" s="297">
        <v>40260</v>
      </c>
      <c r="R13" s="297">
        <v>40260</v>
      </c>
      <c r="S13" s="297">
        <v>40260</v>
      </c>
      <c r="T13" s="297">
        <v>40260</v>
      </c>
      <c r="U13" s="297">
        <v>40260</v>
      </c>
      <c r="V13" s="297">
        <v>40260</v>
      </c>
      <c r="W13" s="91">
        <v>40260</v>
      </c>
      <c r="X13" s="49">
        <f t="shared" si="1"/>
        <v>483120</v>
      </c>
      <c r="Y13" s="69"/>
      <c r="Z13" s="69"/>
    </row>
    <row r="14" spans="1:26">
      <c r="A14" s="114">
        <f t="shared" si="4"/>
        <v>2008002</v>
      </c>
      <c r="B14" s="74"/>
      <c r="C14" s="642"/>
      <c r="D14" s="645"/>
      <c r="E14" s="645"/>
      <c r="F14" s="645"/>
      <c r="G14" s="645"/>
      <c r="H14" s="645"/>
      <c r="I14" s="648"/>
      <c r="J14" s="629"/>
      <c r="K14" s="174" t="s">
        <v>31</v>
      </c>
      <c r="L14" s="343">
        <v>2268</v>
      </c>
      <c r="M14" s="297">
        <v>2114</v>
      </c>
      <c r="N14" s="297">
        <v>2203</v>
      </c>
      <c r="O14" s="297">
        <v>2242</v>
      </c>
      <c r="P14" s="297">
        <v>1959</v>
      </c>
      <c r="Q14" s="297">
        <v>2177</v>
      </c>
      <c r="R14" s="297">
        <v>2294</v>
      </c>
      <c r="S14" s="297">
        <v>2012</v>
      </c>
      <c r="T14" s="297">
        <v>2288</v>
      </c>
      <c r="U14" s="297">
        <v>2028</v>
      </c>
      <c r="V14" s="297">
        <v>2234</v>
      </c>
      <c r="W14" s="91">
        <v>2268</v>
      </c>
      <c r="X14" s="49">
        <f t="shared" si="1"/>
        <v>26087</v>
      </c>
      <c r="Y14" s="69"/>
      <c r="Z14" s="69"/>
    </row>
    <row r="15" spans="1:26">
      <c r="A15" s="114">
        <f t="shared" si="4"/>
        <v>2008002</v>
      </c>
      <c r="B15" s="74"/>
      <c r="C15" s="642"/>
      <c r="D15" s="645"/>
      <c r="E15" s="645"/>
      <c r="F15" s="645"/>
      <c r="G15" s="645"/>
      <c r="H15" s="645"/>
      <c r="I15" s="648"/>
      <c r="J15" s="629"/>
      <c r="K15" s="210" t="s">
        <v>32</v>
      </c>
      <c r="L15" s="343">
        <v>2495</v>
      </c>
      <c r="M15" s="297">
        <v>2325</v>
      </c>
      <c r="N15" s="297">
        <v>2424</v>
      </c>
      <c r="O15" s="297">
        <v>2466</v>
      </c>
      <c r="P15" s="297">
        <v>2154</v>
      </c>
      <c r="Q15" s="297">
        <v>2395</v>
      </c>
      <c r="R15" s="297">
        <v>2524</v>
      </c>
      <c r="S15" s="297">
        <v>2213</v>
      </c>
      <c r="T15" s="297">
        <v>2517</v>
      </c>
      <c r="U15" s="297">
        <v>2231</v>
      </c>
      <c r="V15" s="297">
        <v>2457</v>
      </c>
      <c r="W15" s="91">
        <v>2495</v>
      </c>
      <c r="X15" s="49">
        <f t="shared" si="1"/>
        <v>28696</v>
      </c>
      <c r="Y15" s="69"/>
      <c r="Z15" s="69"/>
    </row>
    <row r="16" spans="1:26">
      <c r="A16" s="114">
        <f t="shared" si="4"/>
        <v>2008002</v>
      </c>
      <c r="B16" s="74"/>
      <c r="C16" s="654"/>
      <c r="D16" s="655"/>
      <c r="E16" s="655"/>
      <c r="F16" s="655"/>
      <c r="G16" s="655"/>
      <c r="H16" s="655"/>
      <c r="I16" s="652"/>
      <c r="J16" s="630"/>
      <c r="K16" s="170" t="s">
        <v>33</v>
      </c>
      <c r="L16" s="379">
        <f t="shared" ref="L16:X16" si="6">L5-L8</f>
        <v>76439</v>
      </c>
      <c r="M16" s="405">
        <f t="shared" si="6"/>
        <v>132891</v>
      </c>
      <c r="N16" s="405">
        <f t="shared" si="6"/>
        <v>80007</v>
      </c>
      <c r="O16" s="405">
        <f t="shared" si="6"/>
        <v>88596</v>
      </c>
      <c r="P16" s="405">
        <f t="shared" si="6"/>
        <v>-71453</v>
      </c>
      <c r="Q16" s="405">
        <f t="shared" si="6"/>
        <v>46386</v>
      </c>
      <c r="R16" s="405">
        <f t="shared" si="6"/>
        <v>147716</v>
      </c>
      <c r="S16" s="405">
        <f t="shared" si="6"/>
        <v>87859</v>
      </c>
      <c r="T16" s="405">
        <f t="shared" si="6"/>
        <v>114081</v>
      </c>
      <c r="U16" s="405">
        <f t="shared" si="6"/>
        <v>92905</v>
      </c>
      <c r="V16" s="405">
        <f t="shared" si="6"/>
        <v>85037</v>
      </c>
      <c r="W16" s="212">
        <f t="shared" si="6"/>
        <v>76439</v>
      </c>
      <c r="X16" s="51">
        <f t="shared" si="6"/>
        <v>956903</v>
      </c>
      <c r="Z16" s="69"/>
    </row>
    <row r="17" spans="1:26" ht="12.75" customHeight="1">
      <c r="A17" s="113">
        <v>2023014</v>
      </c>
      <c r="C17" s="641">
        <f>C5+1</f>
        <v>2</v>
      </c>
      <c r="D17" s="644" t="s">
        <v>59</v>
      </c>
      <c r="E17" s="644"/>
      <c r="F17" s="644"/>
      <c r="G17" s="644" t="s">
        <v>165</v>
      </c>
      <c r="H17" s="644"/>
      <c r="I17" s="647"/>
      <c r="J17" s="628" t="s">
        <v>65</v>
      </c>
      <c r="K17" s="176" t="s">
        <v>23</v>
      </c>
      <c r="L17" s="353">
        <f t="shared" ref="L17:W17" si="7">L18+L19</f>
        <v>0</v>
      </c>
      <c r="M17" s="342">
        <f t="shared" si="7"/>
        <v>0</v>
      </c>
      <c r="N17" s="409">
        <f t="shared" si="7"/>
        <v>0</v>
      </c>
      <c r="O17" s="409">
        <f t="shared" si="7"/>
        <v>0</v>
      </c>
      <c r="P17" s="409">
        <f t="shared" si="7"/>
        <v>875700</v>
      </c>
      <c r="Q17" s="409">
        <f t="shared" si="7"/>
        <v>837900</v>
      </c>
      <c r="R17" s="409">
        <f>R18+R19</f>
        <v>957600</v>
      </c>
      <c r="S17" s="409">
        <f>S18+S19</f>
        <v>793800</v>
      </c>
      <c r="T17" s="409">
        <f t="shared" si="7"/>
        <v>850500</v>
      </c>
      <c r="U17" s="409">
        <f t="shared" si="7"/>
        <v>856800</v>
      </c>
      <c r="V17" s="409">
        <f t="shared" si="7"/>
        <v>844200</v>
      </c>
      <c r="W17" s="97">
        <f t="shared" si="7"/>
        <v>945000</v>
      </c>
      <c r="X17" s="117">
        <f t="shared" ref="X17:X27" si="8">SUM(L17:W17)</f>
        <v>6961500</v>
      </c>
      <c r="Z17" s="69"/>
    </row>
    <row r="18" spans="1:26">
      <c r="A18" s="114">
        <f>+A17</f>
        <v>2023014</v>
      </c>
      <c r="B18" s="74">
        <f>+B17</f>
        <v>0</v>
      </c>
      <c r="C18" s="642"/>
      <c r="D18" s="645"/>
      <c r="E18" s="645"/>
      <c r="F18" s="645"/>
      <c r="G18" s="645"/>
      <c r="H18" s="645"/>
      <c r="I18" s="648"/>
      <c r="J18" s="629"/>
      <c r="K18" s="172" t="s">
        <v>24</v>
      </c>
      <c r="L18" s="362"/>
      <c r="M18" s="362"/>
      <c r="N18" s="301"/>
      <c r="O18" s="301"/>
      <c r="P18" s="301">
        <v>875700</v>
      </c>
      <c r="Q18" s="301">
        <v>837900</v>
      </c>
      <c r="R18" s="301">
        <v>957600</v>
      </c>
      <c r="S18" s="301">
        <v>793800</v>
      </c>
      <c r="T18" s="301">
        <v>850500</v>
      </c>
      <c r="U18" s="301">
        <v>856800</v>
      </c>
      <c r="V18" s="301">
        <v>844200</v>
      </c>
      <c r="W18" s="102">
        <f t="shared" ref="W18" si="9">6300*150</f>
        <v>945000</v>
      </c>
      <c r="X18" s="49">
        <f t="shared" si="8"/>
        <v>6961500</v>
      </c>
      <c r="Z18" s="69"/>
    </row>
    <row r="19" spans="1:26">
      <c r="A19" s="114">
        <f>+A18</f>
        <v>2023014</v>
      </c>
      <c r="B19" s="74">
        <f t="shared" ref="B19:B27" si="10">+B18</f>
        <v>0</v>
      </c>
      <c r="C19" s="642"/>
      <c r="D19" s="645"/>
      <c r="E19" s="645"/>
      <c r="F19" s="645"/>
      <c r="G19" s="645"/>
      <c r="H19" s="645"/>
      <c r="I19" s="648"/>
      <c r="J19" s="629"/>
      <c r="K19" s="172" t="s">
        <v>25</v>
      </c>
      <c r="L19" s="392"/>
      <c r="M19" s="343"/>
      <c r="N19" s="297"/>
      <c r="O19" s="297"/>
      <c r="P19" s="297"/>
      <c r="Q19" s="297"/>
      <c r="R19" s="297"/>
      <c r="S19" s="297"/>
      <c r="T19" s="297"/>
      <c r="U19" s="297"/>
      <c r="V19" s="297"/>
      <c r="W19" s="91"/>
      <c r="X19" s="49">
        <f t="shared" si="8"/>
        <v>0</v>
      </c>
      <c r="Z19" s="69"/>
    </row>
    <row r="20" spans="1:26">
      <c r="A20" s="114">
        <f t="shared" ref="A20:A27" si="11">+A19</f>
        <v>2023014</v>
      </c>
      <c r="B20" s="74">
        <f t="shared" si="10"/>
        <v>0</v>
      </c>
      <c r="C20" s="642"/>
      <c r="D20" s="645"/>
      <c r="E20" s="645"/>
      <c r="F20" s="645"/>
      <c r="G20" s="645"/>
      <c r="H20" s="645"/>
      <c r="I20" s="648"/>
      <c r="J20" s="629"/>
      <c r="K20" s="173" t="s">
        <v>26</v>
      </c>
      <c r="L20" s="355">
        <f t="shared" ref="L20:W20" si="12">SUM(L21:L27)</f>
        <v>0</v>
      </c>
      <c r="M20" s="344">
        <f t="shared" si="12"/>
        <v>0</v>
      </c>
      <c r="N20" s="411">
        <f t="shared" si="12"/>
        <v>0</v>
      </c>
      <c r="O20" s="411">
        <f t="shared" si="12"/>
        <v>0</v>
      </c>
      <c r="P20" s="411">
        <f t="shared" si="12"/>
        <v>751909</v>
      </c>
      <c r="Q20" s="411">
        <f t="shared" si="12"/>
        <v>726126</v>
      </c>
      <c r="R20" s="411">
        <f t="shared" si="12"/>
        <v>751408</v>
      </c>
      <c r="S20" s="411">
        <f t="shared" si="12"/>
        <v>700843</v>
      </c>
      <c r="T20" s="411">
        <f t="shared" si="12"/>
        <v>733151</v>
      </c>
      <c r="U20" s="411">
        <f t="shared" si="12"/>
        <v>736647</v>
      </c>
      <c r="V20" s="411">
        <f t="shared" si="12"/>
        <v>732492</v>
      </c>
      <c r="W20" s="99">
        <f t="shared" si="12"/>
        <v>760396</v>
      </c>
      <c r="X20" s="50">
        <f t="shared" si="8"/>
        <v>5892972</v>
      </c>
      <c r="Z20" s="69"/>
    </row>
    <row r="21" spans="1:26">
      <c r="A21" s="114">
        <f t="shared" si="11"/>
        <v>2023014</v>
      </c>
      <c r="B21" s="74">
        <f t="shared" si="10"/>
        <v>0</v>
      </c>
      <c r="C21" s="642"/>
      <c r="D21" s="645"/>
      <c r="E21" s="645"/>
      <c r="F21" s="645"/>
      <c r="G21" s="645"/>
      <c r="H21" s="645"/>
      <c r="I21" s="648"/>
      <c r="J21" s="629"/>
      <c r="K21" s="174" t="s">
        <v>27</v>
      </c>
      <c r="L21" s="343"/>
      <c r="M21" s="343"/>
      <c r="N21" s="297"/>
      <c r="O21" s="297"/>
      <c r="P21" s="501">
        <v>647200</v>
      </c>
      <c r="Q21" s="501">
        <v>623380</v>
      </c>
      <c r="R21" s="501">
        <v>648400</v>
      </c>
      <c r="S21" s="501">
        <v>598360</v>
      </c>
      <c r="T21" s="501">
        <v>630332</v>
      </c>
      <c r="U21" s="501">
        <v>633792</v>
      </c>
      <c r="V21" s="501">
        <v>629500</v>
      </c>
      <c r="W21" s="472">
        <v>648000</v>
      </c>
      <c r="X21" s="49">
        <f t="shared" si="8"/>
        <v>5058964</v>
      </c>
      <c r="Z21" s="69"/>
    </row>
    <row r="22" spans="1:26">
      <c r="A22" s="114">
        <f t="shared" si="11"/>
        <v>2023014</v>
      </c>
      <c r="B22" s="74">
        <f t="shared" si="10"/>
        <v>0</v>
      </c>
      <c r="C22" s="642"/>
      <c r="D22" s="645"/>
      <c r="E22" s="645"/>
      <c r="F22" s="645"/>
      <c r="G22" s="645"/>
      <c r="H22" s="645"/>
      <c r="I22" s="648"/>
      <c r="J22" s="629"/>
      <c r="K22" s="174" t="s">
        <v>34</v>
      </c>
      <c r="L22" s="343"/>
      <c r="M22" s="343"/>
      <c r="N22" s="297"/>
      <c r="O22" s="297"/>
      <c r="P22" s="501"/>
      <c r="Q22" s="501"/>
      <c r="R22" s="501"/>
      <c r="S22" s="501"/>
      <c r="T22" s="501"/>
      <c r="U22" s="501"/>
      <c r="V22" s="501"/>
      <c r="W22" s="472"/>
      <c r="X22" s="49">
        <f t="shared" si="8"/>
        <v>0</v>
      </c>
      <c r="Z22" s="69"/>
    </row>
    <row r="23" spans="1:26">
      <c r="A23" s="114">
        <f t="shared" si="11"/>
        <v>2023014</v>
      </c>
      <c r="B23" s="74">
        <f t="shared" si="10"/>
        <v>0</v>
      </c>
      <c r="C23" s="642"/>
      <c r="D23" s="645"/>
      <c r="E23" s="645"/>
      <c r="F23" s="645"/>
      <c r="G23" s="645"/>
      <c r="H23" s="645"/>
      <c r="I23" s="648"/>
      <c r="J23" s="629"/>
      <c r="K23" s="174" t="s">
        <v>28</v>
      </c>
      <c r="L23" s="343"/>
      <c r="M23" s="343"/>
      <c r="N23" s="297"/>
      <c r="O23" s="297"/>
      <c r="P23" s="501">
        <v>1696</v>
      </c>
      <c r="Q23" s="501">
        <v>0</v>
      </c>
      <c r="R23" s="501">
        <v>0</v>
      </c>
      <c r="S23" s="501">
        <v>0</v>
      </c>
      <c r="T23" s="501">
        <v>0</v>
      </c>
      <c r="U23" s="501">
        <v>0</v>
      </c>
      <c r="V23" s="501">
        <v>0</v>
      </c>
      <c r="W23" s="472">
        <v>8400</v>
      </c>
      <c r="X23" s="49">
        <f t="shared" si="8"/>
        <v>10096</v>
      </c>
      <c r="Z23" s="69"/>
    </row>
    <row r="24" spans="1:26">
      <c r="A24" s="114">
        <f t="shared" si="11"/>
        <v>2023014</v>
      </c>
      <c r="B24" s="74">
        <f t="shared" si="10"/>
        <v>0</v>
      </c>
      <c r="C24" s="642"/>
      <c r="D24" s="645"/>
      <c r="E24" s="645"/>
      <c r="F24" s="645"/>
      <c r="G24" s="645"/>
      <c r="H24" s="645"/>
      <c r="I24" s="648"/>
      <c r="J24" s="629"/>
      <c r="K24" s="174" t="s">
        <v>29</v>
      </c>
      <c r="L24" s="343"/>
      <c r="M24" s="343"/>
      <c r="N24" s="297"/>
      <c r="O24" s="297"/>
      <c r="P24" s="501">
        <v>36725</v>
      </c>
      <c r="Q24" s="501">
        <v>36725</v>
      </c>
      <c r="R24" s="501">
        <v>36725</v>
      </c>
      <c r="S24" s="501">
        <v>36725</v>
      </c>
      <c r="T24" s="501">
        <v>36725</v>
      </c>
      <c r="U24" s="501">
        <v>36725</v>
      </c>
      <c r="V24" s="501">
        <v>36725</v>
      </c>
      <c r="W24" s="472">
        <v>37375</v>
      </c>
      <c r="X24" s="49">
        <f t="shared" si="8"/>
        <v>294450</v>
      </c>
      <c r="Z24" s="69"/>
    </row>
    <row r="25" spans="1:26">
      <c r="A25" s="114">
        <f t="shared" si="11"/>
        <v>2023014</v>
      </c>
      <c r="B25" s="74">
        <f t="shared" si="10"/>
        <v>0</v>
      </c>
      <c r="C25" s="642"/>
      <c r="D25" s="645"/>
      <c r="E25" s="645"/>
      <c r="F25" s="645"/>
      <c r="G25" s="645"/>
      <c r="H25" s="645"/>
      <c r="I25" s="648"/>
      <c r="J25" s="629"/>
      <c r="K25" s="174" t="s">
        <v>30</v>
      </c>
      <c r="L25" s="343"/>
      <c r="M25" s="343"/>
      <c r="N25" s="297"/>
      <c r="O25" s="297"/>
      <c r="P25" s="501">
        <v>59475</v>
      </c>
      <c r="Q25" s="501">
        <v>59475</v>
      </c>
      <c r="R25" s="501">
        <v>59475</v>
      </c>
      <c r="S25" s="501">
        <v>59475</v>
      </c>
      <c r="T25" s="501">
        <v>59475</v>
      </c>
      <c r="U25" s="501">
        <v>59475</v>
      </c>
      <c r="V25" s="501">
        <v>59475</v>
      </c>
      <c r="W25" s="472">
        <v>59475</v>
      </c>
      <c r="X25" s="49">
        <f t="shared" si="8"/>
        <v>475800</v>
      </c>
      <c r="Z25" s="69"/>
    </row>
    <row r="26" spans="1:26">
      <c r="A26" s="114">
        <f t="shared" si="11"/>
        <v>2023014</v>
      </c>
      <c r="B26" s="74">
        <f t="shared" si="10"/>
        <v>0</v>
      </c>
      <c r="C26" s="642"/>
      <c r="D26" s="645"/>
      <c r="E26" s="645"/>
      <c r="F26" s="645"/>
      <c r="G26" s="645"/>
      <c r="H26" s="645"/>
      <c r="I26" s="648"/>
      <c r="J26" s="629"/>
      <c r="K26" s="174" t="s">
        <v>31</v>
      </c>
      <c r="L26" s="343"/>
      <c r="M26" s="343"/>
      <c r="N26" s="297"/>
      <c r="O26" s="297"/>
      <c r="P26" s="501">
        <v>3244</v>
      </c>
      <c r="Q26" s="501">
        <v>3117</v>
      </c>
      <c r="R26" s="501">
        <v>3242</v>
      </c>
      <c r="S26" s="501">
        <v>2992</v>
      </c>
      <c r="T26" s="501">
        <v>3152</v>
      </c>
      <c r="U26" s="501">
        <v>3169</v>
      </c>
      <c r="V26" s="501">
        <v>3234</v>
      </c>
      <c r="W26" s="472">
        <v>3248</v>
      </c>
      <c r="X26" s="49">
        <f t="shared" si="8"/>
        <v>25398</v>
      </c>
      <c r="Z26" s="69"/>
    </row>
    <row r="27" spans="1:26">
      <c r="A27" s="114">
        <f t="shared" si="11"/>
        <v>2023014</v>
      </c>
      <c r="B27" s="74">
        <f t="shared" si="10"/>
        <v>0</v>
      </c>
      <c r="C27" s="642"/>
      <c r="D27" s="645"/>
      <c r="E27" s="645"/>
      <c r="F27" s="645"/>
      <c r="G27" s="645"/>
      <c r="H27" s="645"/>
      <c r="I27" s="648"/>
      <c r="J27" s="629"/>
      <c r="K27" s="210" t="s">
        <v>32</v>
      </c>
      <c r="L27" s="343"/>
      <c r="M27" s="343"/>
      <c r="N27" s="297"/>
      <c r="O27" s="297"/>
      <c r="P27" s="501">
        <v>3569</v>
      </c>
      <c r="Q27" s="501">
        <v>3429</v>
      </c>
      <c r="R27" s="501">
        <v>3566</v>
      </c>
      <c r="S27" s="501">
        <v>3291</v>
      </c>
      <c r="T27" s="501">
        <v>3467</v>
      </c>
      <c r="U27" s="501">
        <v>3486</v>
      </c>
      <c r="V27" s="501">
        <v>3558</v>
      </c>
      <c r="W27" s="472">
        <v>3898</v>
      </c>
      <c r="X27" s="49">
        <f t="shared" si="8"/>
        <v>28264</v>
      </c>
      <c r="Z27" s="69"/>
    </row>
    <row r="28" spans="1:26" ht="12.5" thickBot="1">
      <c r="A28" s="114">
        <f>+A27</f>
        <v>2023014</v>
      </c>
      <c r="B28" s="74">
        <f>+B27</f>
        <v>0</v>
      </c>
      <c r="C28" s="643"/>
      <c r="D28" s="646"/>
      <c r="E28" s="646"/>
      <c r="F28" s="646"/>
      <c r="G28" s="646"/>
      <c r="H28" s="646"/>
      <c r="I28" s="649"/>
      <c r="J28" s="631"/>
      <c r="K28" s="179" t="s">
        <v>33</v>
      </c>
      <c r="L28" s="380">
        <f t="shared" ref="L28:X28" si="13">L17-L20</f>
        <v>0</v>
      </c>
      <c r="M28" s="456">
        <f t="shared" si="13"/>
        <v>0</v>
      </c>
      <c r="N28" s="407">
        <f t="shared" si="13"/>
        <v>0</v>
      </c>
      <c r="O28" s="407">
        <f t="shared" si="13"/>
        <v>0</v>
      </c>
      <c r="P28" s="407">
        <f t="shared" si="13"/>
        <v>123791</v>
      </c>
      <c r="Q28" s="407">
        <f t="shared" si="13"/>
        <v>111774</v>
      </c>
      <c r="R28" s="407">
        <f>R17-R20</f>
        <v>206192</v>
      </c>
      <c r="S28" s="407">
        <f>S17-S20</f>
        <v>92957</v>
      </c>
      <c r="T28" s="407">
        <f t="shared" si="13"/>
        <v>117349</v>
      </c>
      <c r="U28" s="407">
        <f t="shared" si="13"/>
        <v>120153</v>
      </c>
      <c r="V28" s="407">
        <f t="shared" si="13"/>
        <v>111708</v>
      </c>
      <c r="W28" s="211">
        <f t="shared" si="13"/>
        <v>184604</v>
      </c>
      <c r="X28" s="55">
        <f t="shared" si="13"/>
        <v>1068528</v>
      </c>
      <c r="Z28" s="69"/>
    </row>
    <row r="29" spans="1:26" s="1" customFormat="1" ht="12" customHeight="1" thickTop="1">
      <c r="A29" s="112"/>
      <c r="B29" s="72"/>
      <c r="C29" s="683" t="str">
        <f>C2</f>
        <v>セキュリティサービス本部</v>
      </c>
      <c r="D29" s="684"/>
      <c r="E29" s="684"/>
      <c r="F29" s="684"/>
      <c r="G29" s="684"/>
      <c r="H29" s="684"/>
      <c r="I29" s="684"/>
      <c r="J29" s="685"/>
      <c r="K29" s="143" t="s">
        <v>20</v>
      </c>
      <c r="L29" s="382">
        <f>L5+L17</f>
        <v>600000</v>
      </c>
      <c r="M29" s="459">
        <f t="shared" ref="M29:W29" si="14">M5+M17</f>
        <v>625250</v>
      </c>
      <c r="N29" s="459">
        <f t="shared" si="14"/>
        <v>590400</v>
      </c>
      <c r="O29" s="459">
        <f t="shared" si="14"/>
        <v>606800</v>
      </c>
      <c r="P29" s="459">
        <f t="shared" si="14"/>
        <v>1265200</v>
      </c>
      <c r="Q29" s="434">
        <f t="shared" si="14"/>
        <v>1389350</v>
      </c>
      <c r="R29" s="434">
        <f t="shared" si="14"/>
        <v>1634100</v>
      </c>
      <c r="S29" s="434">
        <f t="shared" si="14"/>
        <v>1353450</v>
      </c>
      <c r="T29" s="434">
        <f t="shared" si="14"/>
        <v>1492150</v>
      </c>
      <c r="U29" s="434">
        <f t="shared" si="14"/>
        <v>1424650</v>
      </c>
      <c r="V29" s="434">
        <f t="shared" si="14"/>
        <v>1428450</v>
      </c>
      <c r="W29" s="266">
        <f t="shared" si="14"/>
        <v>1545000</v>
      </c>
      <c r="X29" s="77">
        <f>SUM(L29:W29)</f>
        <v>13954800</v>
      </c>
      <c r="Z29" s="69"/>
    </row>
    <row r="30" spans="1:26" s="1" customFormat="1">
      <c r="A30" s="112"/>
      <c r="B30" s="72"/>
      <c r="C30" s="683"/>
      <c r="D30" s="684"/>
      <c r="E30" s="684"/>
      <c r="F30" s="684"/>
      <c r="G30" s="684"/>
      <c r="H30" s="684"/>
      <c r="I30" s="684"/>
      <c r="J30" s="685"/>
      <c r="K30" s="144" t="s">
        <v>21</v>
      </c>
      <c r="L30" s="365">
        <f>L8+L20</f>
        <v>523561</v>
      </c>
      <c r="M30" s="502">
        <f t="shared" ref="M30:W30" si="15">M8+M20</f>
        <v>492359</v>
      </c>
      <c r="N30" s="502">
        <f t="shared" si="15"/>
        <v>510393</v>
      </c>
      <c r="O30" s="502">
        <f t="shared" si="15"/>
        <v>518204</v>
      </c>
      <c r="P30" s="502">
        <f t="shared" si="15"/>
        <v>1212862</v>
      </c>
      <c r="Q30" s="421">
        <f t="shared" si="15"/>
        <v>1231190</v>
      </c>
      <c r="R30" s="421">
        <f t="shared" si="15"/>
        <v>1280192</v>
      </c>
      <c r="S30" s="421">
        <f t="shared" si="15"/>
        <v>1172634</v>
      </c>
      <c r="T30" s="421">
        <f t="shared" si="15"/>
        <v>1260720</v>
      </c>
      <c r="U30" s="421">
        <f t="shared" si="15"/>
        <v>1211592</v>
      </c>
      <c r="V30" s="421">
        <f t="shared" si="15"/>
        <v>1231705</v>
      </c>
      <c r="W30" s="267">
        <f t="shared" si="15"/>
        <v>1283957</v>
      </c>
      <c r="X30" s="44">
        <f>SUM(L30:W30)</f>
        <v>11929369</v>
      </c>
      <c r="Z30" s="69"/>
    </row>
    <row r="31" spans="1:26" s="1" customFormat="1">
      <c r="A31" s="112"/>
      <c r="B31" s="72"/>
      <c r="C31" s="686"/>
      <c r="D31" s="687"/>
      <c r="E31" s="687"/>
      <c r="F31" s="687"/>
      <c r="G31" s="687"/>
      <c r="H31" s="687"/>
      <c r="I31" s="687"/>
      <c r="J31" s="688"/>
      <c r="K31" s="153" t="s">
        <v>22</v>
      </c>
      <c r="L31" s="361">
        <f>L29-L30</f>
        <v>76439</v>
      </c>
      <c r="M31" s="420">
        <f t="shared" ref="M31:W31" si="16">M29-M30</f>
        <v>132891</v>
      </c>
      <c r="N31" s="420">
        <f t="shared" si="16"/>
        <v>80007</v>
      </c>
      <c r="O31" s="420">
        <f>O29-O30</f>
        <v>88596</v>
      </c>
      <c r="P31" s="420">
        <f>P29-P30</f>
        <v>52338</v>
      </c>
      <c r="Q31" s="420">
        <f t="shared" si="16"/>
        <v>158160</v>
      </c>
      <c r="R31" s="420">
        <f t="shared" si="16"/>
        <v>353908</v>
      </c>
      <c r="S31" s="420">
        <f t="shared" si="16"/>
        <v>180816</v>
      </c>
      <c r="T31" s="420">
        <f t="shared" si="16"/>
        <v>231430</v>
      </c>
      <c r="U31" s="420">
        <f t="shared" si="16"/>
        <v>213058</v>
      </c>
      <c r="V31" s="420">
        <f t="shared" si="16"/>
        <v>196745</v>
      </c>
      <c r="W31" s="82">
        <f t="shared" si="16"/>
        <v>261043</v>
      </c>
      <c r="X31" s="45">
        <f>SUM(L31:W31)</f>
        <v>2025431</v>
      </c>
      <c r="Z31" s="69"/>
    </row>
    <row r="32" spans="1:26">
      <c r="F32" s="127"/>
      <c r="K32" s="128" t="s">
        <v>74</v>
      </c>
      <c r="L32" s="689">
        <f>SUM(L29:N29)</f>
        <v>1815650</v>
      </c>
      <c r="M32" s="690"/>
      <c r="N32" s="691"/>
      <c r="O32" s="662">
        <f>SUM(O29:Q29)</f>
        <v>3261350</v>
      </c>
      <c r="P32" s="690"/>
      <c r="Q32" s="691"/>
      <c r="R32" s="662">
        <f t="shared" ref="R32:R33" si="17">SUM(R29:T29)</f>
        <v>4479700</v>
      </c>
      <c r="S32" s="690"/>
      <c r="T32" s="691"/>
      <c r="U32" s="662">
        <f t="shared" ref="U32:U33" si="18">SUM(U29:W29)</f>
        <v>4398100</v>
      </c>
      <c r="V32" s="690"/>
      <c r="W32" s="692"/>
      <c r="X32" s="34">
        <f>X29</f>
        <v>13954800</v>
      </c>
      <c r="Z32" s="69"/>
    </row>
    <row r="33" spans="6:26">
      <c r="F33" s="127"/>
      <c r="K33" s="130" t="s">
        <v>77</v>
      </c>
      <c r="L33" s="693">
        <f>SUM(L30:N30)</f>
        <v>1526313</v>
      </c>
      <c r="M33" s="694"/>
      <c r="N33" s="695"/>
      <c r="O33" s="664">
        <f t="shared" ref="O33" si="19">SUM(O30:Q30)</f>
        <v>2962256</v>
      </c>
      <c r="P33" s="694"/>
      <c r="Q33" s="695"/>
      <c r="R33" s="664">
        <f t="shared" si="17"/>
        <v>3713546</v>
      </c>
      <c r="S33" s="694"/>
      <c r="T33" s="695"/>
      <c r="U33" s="664">
        <f t="shared" si="18"/>
        <v>3727254</v>
      </c>
      <c r="V33" s="694"/>
      <c r="W33" s="696"/>
      <c r="X33" s="35">
        <f t="shared" ref="X33:X34" si="20">X30</f>
        <v>11929369</v>
      </c>
      <c r="Z33" s="69"/>
    </row>
    <row r="34" spans="6:26">
      <c r="F34" s="127"/>
      <c r="K34" s="6" t="s">
        <v>75</v>
      </c>
      <c r="L34" s="679">
        <f>SUM(L31:N31)</f>
        <v>289337</v>
      </c>
      <c r="M34" s="680"/>
      <c r="N34" s="681"/>
      <c r="O34" s="663">
        <f>SUM(O31:Q31)</f>
        <v>299094</v>
      </c>
      <c r="P34" s="680"/>
      <c r="Q34" s="681"/>
      <c r="R34" s="663">
        <f>SUM(R31:T31)</f>
        <v>766154</v>
      </c>
      <c r="S34" s="680"/>
      <c r="T34" s="681"/>
      <c r="U34" s="663">
        <f>SUM(U31:W31)</f>
        <v>670846</v>
      </c>
      <c r="V34" s="680"/>
      <c r="W34" s="682"/>
      <c r="X34" s="36">
        <f t="shared" si="20"/>
        <v>2025431</v>
      </c>
      <c r="Z34" s="69"/>
    </row>
    <row r="35" spans="6:26">
      <c r="Z35" s="69"/>
    </row>
    <row r="36" spans="6:26">
      <c r="Z36" s="69"/>
    </row>
    <row r="37" spans="6:26">
      <c r="Z37" s="69"/>
    </row>
    <row r="38" spans="6:26">
      <c r="Z38" s="69"/>
    </row>
    <row r="39" spans="6:26">
      <c r="Z39" s="69"/>
    </row>
    <row r="40" spans="6:26">
      <c r="Z40" s="69"/>
    </row>
    <row r="41" spans="6:26">
      <c r="Z41" s="69"/>
    </row>
    <row r="42" spans="6:26">
      <c r="Z42" s="69"/>
    </row>
    <row r="43" spans="6:26">
      <c r="Z43" s="69"/>
    </row>
    <row r="44" spans="6:26">
      <c r="Z44" s="69"/>
    </row>
    <row r="45" spans="6:26">
      <c r="Z45" s="69"/>
    </row>
    <row r="46" spans="6:26">
      <c r="Z46" s="69"/>
    </row>
    <row r="47" spans="6:26">
      <c r="Z47" s="69"/>
    </row>
    <row r="48" spans="6:26">
      <c r="Z48" s="69"/>
    </row>
    <row r="49" spans="26:26">
      <c r="Z49" s="69"/>
    </row>
    <row r="50" spans="26:26">
      <c r="Z50" s="69"/>
    </row>
    <row r="51" spans="26:26">
      <c r="Z51" s="69"/>
    </row>
    <row r="52" spans="26:26">
      <c r="Z52" s="69"/>
    </row>
    <row r="53" spans="26:26">
      <c r="Z53" s="69"/>
    </row>
    <row r="54" spans="26:26">
      <c r="Z54" s="69"/>
    </row>
    <row r="55" spans="26:26">
      <c r="Z55" s="69"/>
    </row>
    <row r="56" spans="26:26">
      <c r="Z56" s="69"/>
    </row>
    <row r="57" spans="26:26">
      <c r="Z57" s="69"/>
    </row>
    <row r="58" spans="26:26">
      <c r="Z58" s="69"/>
    </row>
    <row r="59" spans="26:26">
      <c r="Z59" s="69"/>
    </row>
    <row r="60" spans="26:26">
      <c r="Z60" s="69"/>
    </row>
    <row r="61" spans="26:26">
      <c r="Z61" s="69"/>
    </row>
    <row r="62" spans="26:26">
      <c r="Z62" s="69"/>
    </row>
    <row r="63" spans="26:26">
      <c r="Z63" s="69"/>
    </row>
    <row r="64" spans="26:26">
      <c r="Z64" s="69"/>
    </row>
    <row r="65" spans="26:26">
      <c r="Z65" s="69"/>
    </row>
    <row r="66" spans="26:26">
      <c r="Z66" s="69"/>
    </row>
    <row r="67" spans="26:26">
      <c r="Z67" s="69"/>
    </row>
    <row r="68" spans="26:26">
      <c r="Z68" s="69"/>
    </row>
    <row r="69" spans="26:26">
      <c r="Z69" s="69"/>
    </row>
    <row r="70" spans="26:26">
      <c r="Z70" s="69"/>
    </row>
    <row r="71" spans="26:26">
      <c r="Z71" s="69"/>
    </row>
    <row r="72" spans="26:26">
      <c r="Z72" s="69"/>
    </row>
    <row r="73" spans="26:26">
      <c r="Z73" s="69"/>
    </row>
    <row r="74" spans="26:26">
      <c r="Z74" s="69"/>
    </row>
    <row r="75" spans="26:26">
      <c r="Z75" s="69"/>
    </row>
    <row r="76" spans="26:26">
      <c r="Z76" s="69"/>
    </row>
  </sheetData>
  <mergeCells count="30">
    <mergeCell ref="J5:J16"/>
    <mergeCell ref="L34:N34"/>
    <mergeCell ref="O34:Q34"/>
    <mergeCell ref="R34:T34"/>
    <mergeCell ref="U34:W34"/>
    <mergeCell ref="C29:J31"/>
    <mergeCell ref="L32:N32"/>
    <mergeCell ref="O32:Q32"/>
    <mergeCell ref="R32:T32"/>
    <mergeCell ref="U32:W32"/>
    <mergeCell ref="L33:N33"/>
    <mergeCell ref="O33:Q33"/>
    <mergeCell ref="R33:T33"/>
    <mergeCell ref="U33:W33"/>
    <mergeCell ref="C2:J4"/>
    <mergeCell ref="C17:C28"/>
    <mergeCell ref="D17:D28"/>
    <mergeCell ref="E17:E28"/>
    <mergeCell ref="F17:F28"/>
    <mergeCell ref="G17:G28"/>
    <mergeCell ref="H17:H28"/>
    <mergeCell ref="I17:I28"/>
    <mergeCell ref="J17:J28"/>
    <mergeCell ref="C5:C16"/>
    <mergeCell ref="D5:D16"/>
    <mergeCell ref="E5:E16"/>
    <mergeCell ref="F5:F16"/>
    <mergeCell ref="G5:G16"/>
    <mergeCell ref="H5:H16"/>
    <mergeCell ref="I5:I16"/>
  </mergeCells>
  <phoneticPr fontId="10"/>
  <printOptions horizontalCentered="1"/>
  <pageMargins left="0.70866141732283472" right="0.70866141732283472" top="0.70866141732283472" bottom="0.70866141732283472" header="0.31496062992125984" footer="0.31496062992125984"/>
  <pageSetup paperSize="9" scale="52" fitToHeight="0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C36242-3F73-4503-8E49-294FA9D18DE0}">
  <sheetPr>
    <pageSetUpPr fitToPage="1"/>
  </sheetPr>
  <dimension ref="A1:Z187"/>
  <sheetViews>
    <sheetView showGridLines="0" zoomScale="80" zoomScaleNormal="80" zoomScaleSheetLayoutView="70" workbookViewId="0">
      <pane xSplit="11" ySplit="4" topLeftCell="L69" activePane="bottomRight" state="frozen"/>
      <selection pane="topRight"/>
      <selection pane="bottomLeft"/>
      <selection pane="bottomRight" activeCell="L6" sqref="L6:L111"/>
    </sheetView>
  </sheetViews>
  <sheetFormatPr defaultRowHeight="12"/>
  <cols>
    <col min="1" max="1" width="9.6328125" style="115" customWidth="1"/>
    <col min="2" max="2" width="11.90625" style="73" customWidth="1"/>
    <col min="3" max="3" width="6.36328125" style="9" customWidth="1"/>
    <col min="4" max="4" width="10.36328125" style="9" customWidth="1"/>
    <col min="5" max="5" width="5.08984375" style="9" customWidth="1"/>
    <col min="6" max="6" width="9.90625" style="171" customWidth="1"/>
    <col min="7" max="9" width="9.90625" style="9" customWidth="1"/>
    <col min="10" max="10" width="8.453125" style="9" customWidth="1"/>
    <col min="11" max="11" width="10.453125" style="9" customWidth="1"/>
    <col min="12" max="23" width="13.08984375" style="9" customWidth="1"/>
    <col min="24" max="24" width="16.453125" style="9" customWidth="1"/>
    <col min="25" max="25" width="9" style="2" customWidth="1"/>
    <col min="26" max="26" width="11" style="2" bestFit="1" customWidth="1"/>
    <col min="27" max="259" width="8.90625" style="2"/>
    <col min="260" max="260" width="9.6328125" style="2" customWidth="1"/>
    <col min="261" max="262" width="5.08984375" style="2" customWidth="1"/>
    <col min="263" max="263" width="9.6328125" style="2" customWidth="1"/>
    <col min="264" max="265" width="11.6328125" style="2" customWidth="1"/>
    <col min="266" max="266" width="15.36328125" style="2" customWidth="1"/>
    <col min="267" max="267" width="10.90625" style="2" customWidth="1"/>
    <col min="268" max="278" width="13.36328125" style="2" customWidth="1"/>
    <col min="279" max="279" width="13.6328125" style="2" customWidth="1"/>
    <col min="280" max="280" width="16.453125" style="2" customWidth="1"/>
    <col min="281" max="515" width="8.90625" style="2"/>
    <col min="516" max="516" width="9.6328125" style="2" customWidth="1"/>
    <col min="517" max="518" width="5.08984375" style="2" customWidth="1"/>
    <col min="519" max="519" width="9.6328125" style="2" customWidth="1"/>
    <col min="520" max="521" width="11.6328125" style="2" customWidth="1"/>
    <col min="522" max="522" width="15.36328125" style="2" customWidth="1"/>
    <col min="523" max="523" width="10.90625" style="2" customWidth="1"/>
    <col min="524" max="534" width="13.36328125" style="2" customWidth="1"/>
    <col min="535" max="535" width="13.6328125" style="2" customWidth="1"/>
    <col min="536" max="536" width="16.453125" style="2" customWidth="1"/>
    <col min="537" max="771" width="8.90625" style="2"/>
    <col min="772" max="772" width="9.6328125" style="2" customWidth="1"/>
    <col min="773" max="774" width="5.08984375" style="2" customWidth="1"/>
    <col min="775" max="775" width="9.6328125" style="2" customWidth="1"/>
    <col min="776" max="777" width="11.6328125" style="2" customWidth="1"/>
    <col min="778" max="778" width="15.36328125" style="2" customWidth="1"/>
    <col min="779" max="779" width="10.90625" style="2" customWidth="1"/>
    <col min="780" max="790" width="13.36328125" style="2" customWidth="1"/>
    <col min="791" max="791" width="13.6328125" style="2" customWidth="1"/>
    <col min="792" max="792" width="16.453125" style="2" customWidth="1"/>
    <col min="793" max="1027" width="8.90625" style="2"/>
    <col min="1028" max="1028" width="9.6328125" style="2" customWidth="1"/>
    <col min="1029" max="1030" width="5.08984375" style="2" customWidth="1"/>
    <col min="1031" max="1031" width="9.6328125" style="2" customWidth="1"/>
    <col min="1032" max="1033" width="11.6328125" style="2" customWidth="1"/>
    <col min="1034" max="1034" width="15.36328125" style="2" customWidth="1"/>
    <col min="1035" max="1035" width="10.90625" style="2" customWidth="1"/>
    <col min="1036" max="1046" width="13.36328125" style="2" customWidth="1"/>
    <col min="1047" max="1047" width="13.6328125" style="2" customWidth="1"/>
    <col min="1048" max="1048" width="16.453125" style="2" customWidth="1"/>
    <col min="1049" max="1283" width="8.90625" style="2"/>
    <col min="1284" max="1284" width="9.6328125" style="2" customWidth="1"/>
    <col min="1285" max="1286" width="5.08984375" style="2" customWidth="1"/>
    <col min="1287" max="1287" width="9.6328125" style="2" customWidth="1"/>
    <col min="1288" max="1289" width="11.6328125" style="2" customWidth="1"/>
    <col min="1290" max="1290" width="15.36328125" style="2" customWidth="1"/>
    <col min="1291" max="1291" width="10.90625" style="2" customWidth="1"/>
    <col min="1292" max="1302" width="13.36328125" style="2" customWidth="1"/>
    <col min="1303" max="1303" width="13.6328125" style="2" customWidth="1"/>
    <col min="1304" max="1304" width="16.453125" style="2" customWidth="1"/>
    <col min="1305" max="1539" width="8.90625" style="2"/>
    <col min="1540" max="1540" width="9.6328125" style="2" customWidth="1"/>
    <col min="1541" max="1542" width="5.08984375" style="2" customWidth="1"/>
    <col min="1543" max="1543" width="9.6328125" style="2" customWidth="1"/>
    <col min="1544" max="1545" width="11.6328125" style="2" customWidth="1"/>
    <col min="1546" max="1546" width="15.36328125" style="2" customWidth="1"/>
    <col min="1547" max="1547" width="10.90625" style="2" customWidth="1"/>
    <col min="1548" max="1558" width="13.36328125" style="2" customWidth="1"/>
    <col min="1559" max="1559" width="13.6328125" style="2" customWidth="1"/>
    <col min="1560" max="1560" width="16.453125" style="2" customWidth="1"/>
    <col min="1561" max="1795" width="8.90625" style="2"/>
    <col min="1796" max="1796" width="9.6328125" style="2" customWidth="1"/>
    <col min="1797" max="1798" width="5.08984375" style="2" customWidth="1"/>
    <col min="1799" max="1799" width="9.6328125" style="2" customWidth="1"/>
    <col min="1800" max="1801" width="11.6328125" style="2" customWidth="1"/>
    <col min="1802" max="1802" width="15.36328125" style="2" customWidth="1"/>
    <col min="1803" max="1803" width="10.90625" style="2" customWidth="1"/>
    <col min="1804" max="1814" width="13.36328125" style="2" customWidth="1"/>
    <col min="1815" max="1815" width="13.6328125" style="2" customWidth="1"/>
    <col min="1816" max="1816" width="16.453125" style="2" customWidth="1"/>
    <col min="1817" max="2051" width="8.90625" style="2"/>
    <col min="2052" max="2052" width="9.6328125" style="2" customWidth="1"/>
    <col min="2053" max="2054" width="5.08984375" style="2" customWidth="1"/>
    <col min="2055" max="2055" width="9.6328125" style="2" customWidth="1"/>
    <col min="2056" max="2057" width="11.6328125" style="2" customWidth="1"/>
    <col min="2058" max="2058" width="15.36328125" style="2" customWidth="1"/>
    <col min="2059" max="2059" width="10.90625" style="2" customWidth="1"/>
    <col min="2060" max="2070" width="13.36328125" style="2" customWidth="1"/>
    <col min="2071" max="2071" width="13.6328125" style="2" customWidth="1"/>
    <col min="2072" max="2072" width="16.453125" style="2" customWidth="1"/>
    <col min="2073" max="2307" width="8.90625" style="2"/>
    <col min="2308" max="2308" width="9.6328125" style="2" customWidth="1"/>
    <col min="2309" max="2310" width="5.08984375" style="2" customWidth="1"/>
    <col min="2311" max="2311" width="9.6328125" style="2" customWidth="1"/>
    <col min="2312" max="2313" width="11.6328125" style="2" customWidth="1"/>
    <col min="2314" max="2314" width="15.36328125" style="2" customWidth="1"/>
    <col min="2315" max="2315" width="10.90625" style="2" customWidth="1"/>
    <col min="2316" max="2326" width="13.36328125" style="2" customWidth="1"/>
    <col min="2327" max="2327" width="13.6328125" style="2" customWidth="1"/>
    <col min="2328" max="2328" width="16.453125" style="2" customWidth="1"/>
    <col min="2329" max="2563" width="8.90625" style="2"/>
    <col min="2564" max="2564" width="9.6328125" style="2" customWidth="1"/>
    <col min="2565" max="2566" width="5.08984375" style="2" customWidth="1"/>
    <col min="2567" max="2567" width="9.6328125" style="2" customWidth="1"/>
    <col min="2568" max="2569" width="11.6328125" style="2" customWidth="1"/>
    <col min="2570" max="2570" width="15.36328125" style="2" customWidth="1"/>
    <col min="2571" max="2571" width="10.90625" style="2" customWidth="1"/>
    <col min="2572" max="2582" width="13.36328125" style="2" customWidth="1"/>
    <col min="2583" max="2583" width="13.6328125" style="2" customWidth="1"/>
    <col min="2584" max="2584" width="16.453125" style="2" customWidth="1"/>
    <col min="2585" max="2819" width="8.90625" style="2"/>
    <col min="2820" max="2820" width="9.6328125" style="2" customWidth="1"/>
    <col min="2821" max="2822" width="5.08984375" style="2" customWidth="1"/>
    <col min="2823" max="2823" width="9.6328125" style="2" customWidth="1"/>
    <col min="2824" max="2825" width="11.6328125" style="2" customWidth="1"/>
    <col min="2826" max="2826" width="15.36328125" style="2" customWidth="1"/>
    <col min="2827" max="2827" width="10.90625" style="2" customWidth="1"/>
    <col min="2828" max="2838" width="13.36328125" style="2" customWidth="1"/>
    <col min="2839" max="2839" width="13.6328125" style="2" customWidth="1"/>
    <col min="2840" max="2840" width="16.453125" style="2" customWidth="1"/>
    <col min="2841" max="3075" width="8.90625" style="2"/>
    <col min="3076" max="3076" width="9.6328125" style="2" customWidth="1"/>
    <col min="3077" max="3078" width="5.08984375" style="2" customWidth="1"/>
    <col min="3079" max="3079" width="9.6328125" style="2" customWidth="1"/>
    <col min="3080" max="3081" width="11.6328125" style="2" customWidth="1"/>
    <col min="3082" max="3082" width="15.36328125" style="2" customWidth="1"/>
    <col min="3083" max="3083" width="10.90625" style="2" customWidth="1"/>
    <col min="3084" max="3094" width="13.36328125" style="2" customWidth="1"/>
    <col min="3095" max="3095" width="13.6328125" style="2" customWidth="1"/>
    <col min="3096" max="3096" width="16.453125" style="2" customWidth="1"/>
    <col min="3097" max="3331" width="8.90625" style="2"/>
    <col min="3332" max="3332" width="9.6328125" style="2" customWidth="1"/>
    <col min="3333" max="3334" width="5.08984375" style="2" customWidth="1"/>
    <col min="3335" max="3335" width="9.6328125" style="2" customWidth="1"/>
    <col min="3336" max="3337" width="11.6328125" style="2" customWidth="1"/>
    <col min="3338" max="3338" width="15.36328125" style="2" customWidth="1"/>
    <col min="3339" max="3339" width="10.90625" style="2" customWidth="1"/>
    <col min="3340" max="3350" width="13.36328125" style="2" customWidth="1"/>
    <col min="3351" max="3351" width="13.6328125" style="2" customWidth="1"/>
    <col min="3352" max="3352" width="16.453125" style="2" customWidth="1"/>
    <col min="3353" max="3587" width="8.90625" style="2"/>
    <col min="3588" max="3588" width="9.6328125" style="2" customWidth="1"/>
    <col min="3589" max="3590" width="5.08984375" style="2" customWidth="1"/>
    <col min="3591" max="3591" width="9.6328125" style="2" customWidth="1"/>
    <col min="3592" max="3593" width="11.6328125" style="2" customWidth="1"/>
    <col min="3594" max="3594" width="15.36328125" style="2" customWidth="1"/>
    <col min="3595" max="3595" width="10.90625" style="2" customWidth="1"/>
    <col min="3596" max="3606" width="13.36328125" style="2" customWidth="1"/>
    <col min="3607" max="3607" width="13.6328125" style="2" customWidth="1"/>
    <col min="3608" max="3608" width="16.453125" style="2" customWidth="1"/>
    <col min="3609" max="3843" width="8.90625" style="2"/>
    <col min="3844" max="3844" width="9.6328125" style="2" customWidth="1"/>
    <col min="3845" max="3846" width="5.08984375" style="2" customWidth="1"/>
    <col min="3847" max="3847" width="9.6328125" style="2" customWidth="1"/>
    <col min="3848" max="3849" width="11.6328125" style="2" customWidth="1"/>
    <col min="3850" max="3850" width="15.36328125" style="2" customWidth="1"/>
    <col min="3851" max="3851" width="10.90625" style="2" customWidth="1"/>
    <col min="3852" max="3862" width="13.36328125" style="2" customWidth="1"/>
    <col min="3863" max="3863" width="13.6328125" style="2" customWidth="1"/>
    <col min="3864" max="3864" width="16.453125" style="2" customWidth="1"/>
    <col min="3865" max="4099" width="8.90625" style="2"/>
    <col min="4100" max="4100" width="9.6328125" style="2" customWidth="1"/>
    <col min="4101" max="4102" width="5.08984375" style="2" customWidth="1"/>
    <col min="4103" max="4103" width="9.6328125" style="2" customWidth="1"/>
    <col min="4104" max="4105" width="11.6328125" style="2" customWidth="1"/>
    <col min="4106" max="4106" width="15.36328125" style="2" customWidth="1"/>
    <col min="4107" max="4107" width="10.90625" style="2" customWidth="1"/>
    <col min="4108" max="4118" width="13.36328125" style="2" customWidth="1"/>
    <col min="4119" max="4119" width="13.6328125" style="2" customWidth="1"/>
    <col min="4120" max="4120" width="16.453125" style="2" customWidth="1"/>
    <col min="4121" max="4355" width="8.90625" style="2"/>
    <col min="4356" max="4356" width="9.6328125" style="2" customWidth="1"/>
    <col min="4357" max="4358" width="5.08984375" style="2" customWidth="1"/>
    <col min="4359" max="4359" width="9.6328125" style="2" customWidth="1"/>
    <col min="4360" max="4361" width="11.6328125" style="2" customWidth="1"/>
    <col min="4362" max="4362" width="15.36328125" style="2" customWidth="1"/>
    <col min="4363" max="4363" width="10.90625" style="2" customWidth="1"/>
    <col min="4364" max="4374" width="13.36328125" style="2" customWidth="1"/>
    <col min="4375" max="4375" width="13.6328125" style="2" customWidth="1"/>
    <col min="4376" max="4376" width="16.453125" style="2" customWidth="1"/>
    <col min="4377" max="4611" width="8.90625" style="2"/>
    <col min="4612" max="4612" width="9.6328125" style="2" customWidth="1"/>
    <col min="4613" max="4614" width="5.08984375" style="2" customWidth="1"/>
    <col min="4615" max="4615" width="9.6328125" style="2" customWidth="1"/>
    <col min="4616" max="4617" width="11.6328125" style="2" customWidth="1"/>
    <col min="4618" max="4618" width="15.36328125" style="2" customWidth="1"/>
    <col min="4619" max="4619" width="10.90625" style="2" customWidth="1"/>
    <col min="4620" max="4630" width="13.36328125" style="2" customWidth="1"/>
    <col min="4631" max="4631" width="13.6328125" style="2" customWidth="1"/>
    <col min="4632" max="4632" width="16.453125" style="2" customWidth="1"/>
    <col min="4633" max="4867" width="8.90625" style="2"/>
    <col min="4868" max="4868" width="9.6328125" style="2" customWidth="1"/>
    <col min="4869" max="4870" width="5.08984375" style="2" customWidth="1"/>
    <col min="4871" max="4871" width="9.6328125" style="2" customWidth="1"/>
    <col min="4872" max="4873" width="11.6328125" style="2" customWidth="1"/>
    <col min="4874" max="4874" width="15.36328125" style="2" customWidth="1"/>
    <col min="4875" max="4875" width="10.90625" style="2" customWidth="1"/>
    <col min="4876" max="4886" width="13.36328125" style="2" customWidth="1"/>
    <col min="4887" max="4887" width="13.6328125" style="2" customWidth="1"/>
    <col min="4888" max="4888" width="16.453125" style="2" customWidth="1"/>
    <col min="4889" max="5123" width="8.90625" style="2"/>
    <col min="5124" max="5124" width="9.6328125" style="2" customWidth="1"/>
    <col min="5125" max="5126" width="5.08984375" style="2" customWidth="1"/>
    <col min="5127" max="5127" width="9.6328125" style="2" customWidth="1"/>
    <col min="5128" max="5129" width="11.6328125" style="2" customWidth="1"/>
    <col min="5130" max="5130" width="15.36328125" style="2" customWidth="1"/>
    <col min="5131" max="5131" width="10.90625" style="2" customWidth="1"/>
    <col min="5132" max="5142" width="13.36328125" style="2" customWidth="1"/>
    <col min="5143" max="5143" width="13.6328125" style="2" customWidth="1"/>
    <col min="5144" max="5144" width="16.453125" style="2" customWidth="1"/>
    <col min="5145" max="5379" width="8.90625" style="2"/>
    <col min="5380" max="5380" width="9.6328125" style="2" customWidth="1"/>
    <col min="5381" max="5382" width="5.08984375" style="2" customWidth="1"/>
    <col min="5383" max="5383" width="9.6328125" style="2" customWidth="1"/>
    <col min="5384" max="5385" width="11.6328125" style="2" customWidth="1"/>
    <col min="5386" max="5386" width="15.36328125" style="2" customWidth="1"/>
    <col min="5387" max="5387" width="10.90625" style="2" customWidth="1"/>
    <col min="5388" max="5398" width="13.36328125" style="2" customWidth="1"/>
    <col min="5399" max="5399" width="13.6328125" style="2" customWidth="1"/>
    <col min="5400" max="5400" width="16.453125" style="2" customWidth="1"/>
    <col min="5401" max="5635" width="8.90625" style="2"/>
    <col min="5636" max="5636" width="9.6328125" style="2" customWidth="1"/>
    <col min="5637" max="5638" width="5.08984375" style="2" customWidth="1"/>
    <col min="5639" max="5639" width="9.6328125" style="2" customWidth="1"/>
    <col min="5640" max="5641" width="11.6328125" style="2" customWidth="1"/>
    <col min="5642" max="5642" width="15.36328125" style="2" customWidth="1"/>
    <col min="5643" max="5643" width="10.90625" style="2" customWidth="1"/>
    <col min="5644" max="5654" width="13.36328125" style="2" customWidth="1"/>
    <col min="5655" max="5655" width="13.6328125" style="2" customWidth="1"/>
    <col min="5656" max="5656" width="16.453125" style="2" customWidth="1"/>
    <col min="5657" max="5891" width="8.90625" style="2"/>
    <col min="5892" max="5892" width="9.6328125" style="2" customWidth="1"/>
    <col min="5893" max="5894" width="5.08984375" style="2" customWidth="1"/>
    <col min="5895" max="5895" width="9.6328125" style="2" customWidth="1"/>
    <col min="5896" max="5897" width="11.6328125" style="2" customWidth="1"/>
    <col min="5898" max="5898" width="15.36328125" style="2" customWidth="1"/>
    <col min="5899" max="5899" width="10.90625" style="2" customWidth="1"/>
    <col min="5900" max="5910" width="13.36328125" style="2" customWidth="1"/>
    <col min="5911" max="5911" width="13.6328125" style="2" customWidth="1"/>
    <col min="5912" max="5912" width="16.453125" style="2" customWidth="1"/>
    <col min="5913" max="6147" width="8.90625" style="2"/>
    <col min="6148" max="6148" width="9.6328125" style="2" customWidth="1"/>
    <col min="6149" max="6150" width="5.08984375" style="2" customWidth="1"/>
    <col min="6151" max="6151" width="9.6328125" style="2" customWidth="1"/>
    <col min="6152" max="6153" width="11.6328125" style="2" customWidth="1"/>
    <col min="6154" max="6154" width="15.36328125" style="2" customWidth="1"/>
    <col min="6155" max="6155" width="10.90625" style="2" customWidth="1"/>
    <col min="6156" max="6166" width="13.36328125" style="2" customWidth="1"/>
    <col min="6167" max="6167" width="13.6328125" style="2" customWidth="1"/>
    <col min="6168" max="6168" width="16.453125" style="2" customWidth="1"/>
    <col min="6169" max="6403" width="8.90625" style="2"/>
    <col min="6404" max="6404" width="9.6328125" style="2" customWidth="1"/>
    <col min="6405" max="6406" width="5.08984375" style="2" customWidth="1"/>
    <col min="6407" max="6407" width="9.6328125" style="2" customWidth="1"/>
    <col min="6408" max="6409" width="11.6328125" style="2" customWidth="1"/>
    <col min="6410" max="6410" width="15.36328125" style="2" customWidth="1"/>
    <col min="6411" max="6411" width="10.90625" style="2" customWidth="1"/>
    <col min="6412" max="6422" width="13.36328125" style="2" customWidth="1"/>
    <col min="6423" max="6423" width="13.6328125" style="2" customWidth="1"/>
    <col min="6424" max="6424" width="16.453125" style="2" customWidth="1"/>
    <col min="6425" max="6659" width="8.90625" style="2"/>
    <col min="6660" max="6660" width="9.6328125" style="2" customWidth="1"/>
    <col min="6661" max="6662" width="5.08984375" style="2" customWidth="1"/>
    <col min="6663" max="6663" width="9.6328125" style="2" customWidth="1"/>
    <col min="6664" max="6665" width="11.6328125" style="2" customWidth="1"/>
    <col min="6666" max="6666" width="15.36328125" style="2" customWidth="1"/>
    <col min="6667" max="6667" width="10.90625" style="2" customWidth="1"/>
    <col min="6668" max="6678" width="13.36328125" style="2" customWidth="1"/>
    <col min="6679" max="6679" width="13.6328125" style="2" customWidth="1"/>
    <col min="6680" max="6680" width="16.453125" style="2" customWidth="1"/>
    <col min="6681" max="6915" width="8.90625" style="2"/>
    <col min="6916" max="6916" width="9.6328125" style="2" customWidth="1"/>
    <col min="6917" max="6918" width="5.08984375" style="2" customWidth="1"/>
    <col min="6919" max="6919" width="9.6328125" style="2" customWidth="1"/>
    <col min="6920" max="6921" width="11.6328125" style="2" customWidth="1"/>
    <col min="6922" max="6922" width="15.36328125" style="2" customWidth="1"/>
    <col min="6923" max="6923" width="10.90625" style="2" customWidth="1"/>
    <col min="6924" max="6934" width="13.36328125" style="2" customWidth="1"/>
    <col min="6935" max="6935" width="13.6328125" style="2" customWidth="1"/>
    <col min="6936" max="6936" width="16.453125" style="2" customWidth="1"/>
    <col min="6937" max="7171" width="8.90625" style="2"/>
    <col min="7172" max="7172" width="9.6328125" style="2" customWidth="1"/>
    <col min="7173" max="7174" width="5.08984375" style="2" customWidth="1"/>
    <col min="7175" max="7175" width="9.6328125" style="2" customWidth="1"/>
    <col min="7176" max="7177" width="11.6328125" style="2" customWidth="1"/>
    <col min="7178" max="7178" width="15.36328125" style="2" customWidth="1"/>
    <col min="7179" max="7179" width="10.90625" style="2" customWidth="1"/>
    <col min="7180" max="7190" width="13.36328125" style="2" customWidth="1"/>
    <col min="7191" max="7191" width="13.6328125" style="2" customWidth="1"/>
    <col min="7192" max="7192" width="16.453125" style="2" customWidth="1"/>
    <col min="7193" max="7427" width="8.90625" style="2"/>
    <col min="7428" max="7428" width="9.6328125" style="2" customWidth="1"/>
    <col min="7429" max="7430" width="5.08984375" style="2" customWidth="1"/>
    <col min="7431" max="7431" width="9.6328125" style="2" customWidth="1"/>
    <col min="7432" max="7433" width="11.6328125" style="2" customWidth="1"/>
    <col min="7434" max="7434" width="15.36328125" style="2" customWidth="1"/>
    <col min="7435" max="7435" width="10.90625" style="2" customWidth="1"/>
    <col min="7436" max="7446" width="13.36328125" style="2" customWidth="1"/>
    <col min="7447" max="7447" width="13.6328125" style="2" customWidth="1"/>
    <col min="7448" max="7448" width="16.453125" style="2" customWidth="1"/>
    <col min="7449" max="7683" width="8.90625" style="2"/>
    <col min="7684" max="7684" width="9.6328125" style="2" customWidth="1"/>
    <col min="7685" max="7686" width="5.08984375" style="2" customWidth="1"/>
    <col min="7687" max="7687" width="9.6328125" style="2" customWidth="1"/>
    <col min="7688" max="7689" width="11.6328125" style="2" customWidth="1"/>
    <col min="7690" max="7690" width="15.36328125" style="2" customWidth="1"/>
    <col min="7691" max="7691" width="10.90625" style="2" customWidth="1"/>
    <col min="7692" max="7702" width="13.36328125" style="2" customWidth="1"/>
    <col min="7703" max="7703" width="13.6328125" style="2" customWidth="1"/>
    <col min="7704" max="7704" width="16.453125" style="2" customWidth="1"/>
    <col min="7705" max="7939" width="8.90625" style="2"/>
    <col min="7940" max="7940" width="9.6328125" style="2" customWidth="1"/>
    <col min="7941" max="7942" width="5.08984375" style="2" customWidth="1"/>
    <col min="7943" max="7943" width="9.6328125" style="2" customWidth="1"/>
    <col min="7944" max="7945" width="11.6328125" style="2" customWidth="1"/>
    <col min="7946" max="7946" width="15.36328125" style="2" customWidth="1"/>
    <col min="7947" max="7947" width="10.90625" style="2" customWidth="1"/>
    <col min="7948" max="7958" width="13.36328125" style="2" customWidth="1"/>
    <col min="7959" max="7959" width="13.6328125" style="2" customWidth="1"/>
    <col min="7960" max="7960" width="16.453125" style="2" customWidth="1"/>
    <col min="7961" max="8195" width="8.90625" style="2"/>
    <col min="8196" max="8196" width="9.6328125" style="2" customWidth="1"/>
    <col min="8197" max="8198" width="5.08984375" style="2" customWidth="1"/>
    <col min="8199" max="8199" width="9.6328125" style="2" customWidth="1"/>
    <col min="8200" max="8201" width="11.6328125" style="2" customWidth="1"/>
    <col min="8202" max="8202" width="15.36328125" style="2" customWidth="1"/>
    <col min="8203" max="8203" width="10.90625" style="2" customWidth="1"/>
    <col min="8204" max="8214" width="13.36328125" style="2" customWidth="1"/>
    <col min="8215" max="8215" width="13.6328125" style="2" customWidth="1"/>
    <col min="8216" max="8216" width="16.453125" style="2" customWidth="1"/>
    <col min="8217" max="8451" width="8.90625" style="2"/>
    <col min="8452" max="8452" width="9.6328125" style="2" customWidth="1"/>
    <col min="8453" max="8454" width="5.08984375" style="2" customWidth="1"/>
    <col min="8455" max="8455" width="9.6328125" style="2" customWidth="1"/>
    <col min="8456" max="8457" width="11.6328125" style="2" customWidth="1"/>
    <col min="8458" max="8458" width="15.36328125" style="2" customWidth="1"/>
    <col min="8459" max="8459" width="10.90625" style="2" customWidth="1"/>
    <col min="8460" max="8470" width="13.36328125" style="2" customWidth="1"/>
    <col min="8471" max="8471" width="13.6328125" style="2" customWidth="1"/>
    <col min="8472" max="8472" width="16.453125" style="2" customWidth="1"/>
    <col min="8473" max="8707" width="8.90625" style="2"/>
    <col min="8708" max="8708" width="9.6328125" style="2" customWidth="1"/>
    <col min="8709" max="8710" width="5.08984375" style="2" customWidth="1"/>
    <col min="8711" max="8711" width="9.6328125" style="2" customWidth="1"/>
    <col min="8712" max="8713" width="11.6328125" style="2" customWidth="1"/>
    <col min="8714" max="8714" width="15.36328125" style="2" customWidth="1"/>
    <col min="8715" max="8715" width="10.90625" style="2" customWidth="1"/>
    <col min="8716" max="8726" width="13.36328125" style="2" customWidth="1"/>
    <col min="8727" max="8727" width="13.6328125" style="2" customWidth="1"/>
    <col min="8728" max="8728" width="16.453125" style="2" customWidth="1"/>
    <col min="8729" max="8963" width="8.90625" style="2"/>
    <col min="8964" max="8964" width="9.6328125" style="2" customWidth="1"/>
    <col min="8965" max="8966" width="5.08984375" style="2" customWidth="1"/>
    <col min="8967" max="8967" width="9.6328125" style="2" customWidth="1"/>
    <col min="8968" max="8969" width="11.6328125" style="2" customWidth="1"/>
    <col min="8970" max="8970" width="15.36328125" style="2" customWidth="1"/>
    <col min="8971" max="8971" width="10.90625" style="2" customWidth="1"/>
    <col min="8972" max="8982" width="13.36328125" style="2" customWidth="1"/>
    <col min="8983" max="8983" width="13.6328125" style="2" customWidth="1"/>
    <col min="8984" max="8984" width="16.453125" style="2" customWidth="1"/>
    <col min="8985" max="9219" width="8.90625" style="2"/>
    <col min="9220" max="9220" width="9.6328125" style="2" customWidth="1"/>
    <col min="9221" max="9222" width="5.08984375" style="2" customWidth="1"/>
    <col min="9223" max="9223" width="9.6328125" style="2" customWidth="1"/>
    <col min="9224" max="9225" width="11.6328125" style="2" customWidth="1"/>
    <col min="9226" max="9226" width="15.36328125" style="2" customWidth="1"/>
    <col min="9227" max="9227" width="10.90625" style="2" customWidth="1"/>
    <col min="9228" max="9238" width="13.36328125" style="2" customWidth="1"/>
    <col min="9239" max="9239" width="13.6328125" style="2" customWidth="1"/>
    <col min="9240" max="9240" width="16.453125" style="2" customWidth="1"/>
    <col min="9241" max="9475" width="8.90625" style="2"/>
    <col min="9476" max="9476" width="9.6328125" style="2" customWidth="1"/>
    <col min="9477" max="9478" width="5.08984375" style="2" customWidth="1"/>
    <col min="9479" max="9479" width="9.6328125" style="2" customWidth="1"/>
    <col min="9480" max="9481" width="11.6328125" style="2" customWidth="1"/>
    <col min="9482" max="9482" width="15.36328125" style="2" customWidth="1"/>
    <col min="9483" max="9483" width="10.90625" style="2" customWidth="1"/>
    <col min="9484" max="9494" width="13.36328125" style="2" customWidth="1"/>
    <col min="9495" max="9495" width="13.6328125" style="2" customWidth="1"/>
    <col min="9496" max="9496" width="16.453125" style="2" customWidth="1"/>
    <col min="9497" max="9731" width="8.90625" style="2"/>
    <col min="9732" max="9732" width="9.6328125" style="2" customWidth="1"/>
    <col min="9733" max="9734" width="5.08984375" style="2" customWidth="1"/>
    <col min="9735" max="9735" width="9.6328125" style="2" customWidth="1"/>
    <col min="9736" max="9737" width="11.6328125" style="2" customWidth="1"/>
    <col min="9738" max="9738" width="15.36328125" style="2" customWidth="1"/>
    <col min="9739" max="9739" width="10.90625" style="2" customWidth="1"/>
    <col min="9740" max="9750" width="13.36328125" style="2" customWidth="1"/>
    <col min="9751" max="9751" width="13.6328125" style="2" customWidth="1"/>
    <col min="9752" max="9752" width="16.453125" style="2" customWidth="1"/>
    <col min="9753" max="9987" width="8.90625" style="2"/>
    <col min="9988" max="9988" width="9.6328125" style="2" customWidth="1"/>
    <col min="9989" max="9990" width="5.08984375" style="2" customWidth="1"/>
    <col min="9991" max="9991" width="9.6328125" style="2" customWidth="1"/>
    <col min="9992" max="9993" width="11.6328125" style="2" customWidth="1"/>
    <col min="9994" max="9994" width="15.36328125" style="2" customWidth="1"/>
    <col min="9995" max="9995" width="10.90625" style="2" customWidth="1"/>
    <col min="9996" max="10006" width="13.36328125" style="2" customWidth="1"/>
    <col min="10007" max="10007" width="13.6328125" style="2" customWidth="1"/>
    <col min="10008" max="10008" width="16.453125" style="2" customWidth="1"/>
    <col min="10009" max="10243" width="8.90625" style="2"/>
    <col min="10244" max="10244" width="9.6328125" style="2" customWidth="1"/>
    <col min="10245" max="10246" width="5.08984375" style="2" customWidth="1"/>
    <col min="10247" max="10247" width="9.6328125" style="2" customWidth="1"/>
    <col min="10248" max="10249" width="11.6328125" style="2" customWidth="1"/>
    <col min="10250" max="10250" width="15.36328125" style="2" customWidth="1"/>
    <col min="10251" max="10251" width="10.90625" style="2" customWidth="1"/>
    <col min="10252" max="10262" width="13.36328125" style="2" customWidth="1"/>
    <col min="10263" max="10263" width="13.6328125" style="2" customWidth="1"/>
    <col min="10264" max="10264" width="16.453125" style="2" customWidth="1"/>
    <col min="10265" max="10499" width="8.90625" style="2"/>
    <col min="10500" max="10500" width="9.6328125" style="2" customWidth="1"/>
    <col min="10501" max="10502" width="5.08984375" style="2" customWidth="1"/>
    <col min="10503" max="10503" width="9.6328125" style="2" customWidth="1"/>
    <col min="10504" max="10505" width="11.6328125" style="2" customWidth="1"/>
    <col min="10506" max="10506" width="15.36328125" style="2" customWidth="1"/>
    <col min="10507" max="10507" width="10.90625" style="2" customWidth="1"/>
    <col min="10508" max="10518" width="13.36328125" style="2" customWidth="1"/>
    <col min="10519" max="10519" width="13.6328125" style="2" customWidth="1"/>
    <col min="10520" max="10520" width="16.453125" style="2" customWidth="1"/>
    <col min="10521" max="10755" width="8.90625" style="2"/>
    <col min="10756" max="10756" width="9.6328125" style="2" customWidth="1"/>
    <col min="10757" max="10758" width="5.08984375" style="2" customWidth="1"/>
    <col min="10759" max="10759" width="9.6328125" style="2" customWidth="1"/>
    <col min="10760" max="10761" width="11.6328125" style="2" customWidth="1"/>
    <col min="10762" max="10762" width="15.36328125" style="2" customWidth="1"/>
    <col min="10763" max="10763" width="10.90625" style="2" customWidth="1"/>
    <col min="10764" max="10774" width="13.36328125" style="2" customWidth="1"/>
    <col min="10775" max="10775" width="13.6328125" style="2" customWidth="1"/>
    <col min="10776" max="10776" width="16.453125" style="2" customWidth="1"/>
    <col min="10777" max="11011" width="8.90625" style="2"/>
    <col min="11012" max="11012" width="9.6328125" style="2" customWidth="1"/>
    <col min="11013" max="11014" width="5.08984375" style="2" customWidth="1"/>
    <col min="11015" max="11015" width="9.6328125" style="2" customWidth="1"/>
    <col min="11016" max="11017" width="11.6328125" style="2" customWidth="1"/>
    <col min="11018" max="11018" width="15.36328125" style="2" customWidth="1"/>
    <col min="11019" max="11019" width="10.90625" style="2" customWidth="1"/>
    <col min="11020" max="11030" width="13.36328125" style="2" customWidth="1"/>
    <col min="11031" max="11031" width="13.6328125" style="2" customWidth="1"/>
    <col min="11032" max="11032" width="16.453125" style="2" customWidth="1"/>
    <col min="11033" max="11267" width="8.90625" style="2"/>
    <col min="11268" max="11268" width="9.6328125" style="2" customWidth="1"/>
    <col min="11269" max="11270" width="5.08984375" style="2" customWidth="1"/>
    <col min="11271" max="11271" width="9.6328125" style="2" customWidth="1"/>
    <col min="11272" max="11273" width="11.6328125" style="2" customWidth="1"/>
    <col min="11274" max="11274" width="15.36328125" style="2" customWidth="1"/>
    <col min="11275" max="11275" width="10.90625" style="2" customWidth="1"/>
    <col min="11276" max="11286" width="13.36328125" style="2" customWidth="1"/>
    <col min="11287" max="11287" width="13.6328125" style="2" customWidth="1"/>
    <col min="11288" max="11288" width="16.453125" style="2" customWidth="1"/>
    <col min="11289" max="11523" width="8.90625" style="2"/>
    <col min="11524" max="11524" width="9.6328125" style="2" customWidth="1"/>
    <col min="11525" max="11526" width="5.08984375" style="2" customWidth="1"/>
    <col min="11527" max="11527" width="9.6328125" style="2" customWidth="1"/>
    <col min="11528" max="11529" width="11.6328125" style="2" customWidth="1"/>
    <col min="11530" max="11530" width="15.36328125" style="2" customWidth="1"/>
    <col min="11531" max="11531" width="10.90625" style="2" customWidth="1"/>
    <col min="11532" max="11542" width="13.36328125" style="2" customWidth="1"/>
    <col min="11543" max="11543" width="13.6328125" style="2" customWidth="1"/>
    <col min="11544" max="11544" width="16.453125" style="2" customWidth="1"/>
    <col min="11545" max="11779" width="8.90625" style="2"/>
    <col min="11780" max="11780" width="9.6328125" style="2" customWidth="1"/>
    <col min="11781" max="11782" width="5.08984375" style="2" customWidth="1"/>
    <col min="11783" max="11783" width="9.6328125" style="2" customWidth="1"/>
    <col min="11784" max="11785" width="11.6328125" style="2" customWidth="1"/>
    <col min="11786" max="11786" width="15.36328125" style="2" customWidth="1"/>
    <col min="11787" max="11787" width="10.90625" style="2" customWidth="1"/>
    <col min="11788" max="11798" width="13.36328125" style="2" customWidth="1"/>
    <col min="11799" max="11799" width="13.6328125" style="2" customWidth="1"/>
    <col min="11800" max="11800" width="16.453125" style="2" customWidth="1"/>
    <col min="11801" max="12035" width="8.90625" style="2"/>
    <col min="12036" max="12036" width="9.6328125" style="2" customWidth="1"/>
    <col min="12037" max="12038" width="5.08984375" style="2" customWidth="1"/>
    <col min="12039" max="12039" width="9.6328125" style="2" customWidth="1"/>
    <col min="12040" max="12041" width="11.6328125" style="2" customWidth="1"/>
    <col min="12042" max="12042" width="15.36328125" style="2" customWidth="1"/>
    <col min="12043" max="12043" width="10.90625" style="2" customWidth="1"/>
    <col min="12044" max="12054" width="13.36328125" style="2" customWidth="1"/>
    <col min="12055" max="12055" width="13.6328125" style="2" customWidth="1"/>
    <col min="12056" max="12056" width="16.453125" style="2" customWidth="1"/>
    <col min="12057" max="12291" width="8.90625" style="2"/>
    <col min="12292" max="12292" width="9.6328125" style="2" customWidth="1"/>
    <col min="12293" max="12294" width="5.08984375" style="2" customWidth="1"/>
    <col min="12295" max="12295" width="9.6328125" style="2" customWidth="1"/>
    <col min="12296" max="12297" width="11.6328125" style="2" customWidth="1"/>
    <col min="12298" max="12298" width="15.36328125" style="2" customWidth="1"/>
    <col min="12299" max="12299" width="10.90625" style="2" customWidth="1"/>
    <col min="12300" max="12310" width="13.36328125" style="2" customWidth="1"/>
    <col min="12311" max="12311" width="13.6328125" style="2" customWidth="1"/>
    <col min="12312" max="12312" width="16.453125" style="2" customWidth="1"/>
    <col min="12313" max="12547" width="8.90625" style="2"/>
    <col min="12548" max="12548" width="9.6328125" style="2" customWidth="1"/>
    <col min="12549" max="12550" width="5.08984375" style="2" customWidth="1"/>
    <col min="12551" max="12551" width="9.6328125" style="2" customWidth="1"/>
    <col min="12552" max="12553" width="11.6328125" style="2" customWidth="1"/>
    <col min="12554" max="12554" width="15.36328125" style="2" customWidth="1"/>
    <col min="12555" max="12555" width="10.90625" style="2" customWidth="1"/>
    <col min="12556" max="12566" width="13.36328125" style="2" customWidth="1"/>
    <col min="12567" max="12567" width="13.6328125" style="2" customWidth="1"/>
    <col min="12568" max="12568" width="16.453125" style="2" customWidth="1"/>
    <col min="12569" max="12803" width="8.90625" style="2"/>
    <col min="12804" max="12804" width="9.6328125" style="2" customWidth="1"/>
    <col min="12805" max="12806" width="5.08984375" style="2" customWidth="1"/>
    <col min="12807" max="12807" width="9.6328125" style="2" customWidth="1"/>
    <col min="12808" max="12809" width="11.6328125" style="2" customWidth="1"/>
    <col min="12810" max="12810" width="15.36328125" style="2" customWidth="1"/>
    <col min="12811" max="12811" width="10.90625" style="2" customWidth="1"/>
    <col min="12812" max="12822" width="13.36328125" style="2" customWidth="1"/>
    <col min="12823" max="12823" width="13.6328125" style="2" customWidth="1"/>
    <col min="12824" max="12824" width="16.453125" style="2" customWidth="1"/>
    <col min="12825" max="13059" width="8.90625" style="2"/>
    <col min="13060" max="13060" width="9.6328125" style="2" customWidth="1"/>
    <col min="13061" max="13062" width="5.08984375" style="2" customWidth="1"/>
    <col min="13063" max="13063" width="9.6328125" style="2" customWidth="1"/>
    <col min="13064" max="13065" width="11.6328125" style="2" customWidth="1"/>
    <col min="13066" max="13066" width="15.36328125" style="2" customWidth="1"/>
    <col min="13067" max="13067" width="10.90625" style="2" customWidth="1"/>
    <col min="13068" max="13078" width="13.36328125" style="2" customWidth="1"/>
    <col min="13079" max="13079" width="13.6328125" style="2" customWidth="1"/>
    <col min="13080" max="13080" width="16.453125" style="2" customWidth="1"/>
    <col min="13081" max="13315" width="8.90625" style="2"/>
    <col min="13316" max="13316" width="9.6328125" style="2" customWidth="1"/>
    <col min="13317" max="13318" width="5.08984375" style="2" customWidth="1"/>
    <col min="13319" max="13319" width="9.6328125" style="2" customWidth="1"/>
    <col min="13320" max="13321" width="11.6328125" style="2" customWidth="1"/>
    <col min="13322" max="13322" width="15.36328125" style="2" customWidth="1"/>
    <col min="13323" max="13323" width="10.90625" style="2" customWidth="1"/>
    <col min="13324" max="13334" width="13.36328125" style="2" customWidth="1"/>
    <col min="13335" max="13335" width="13.6328125" style="2" customWidth="1"/>
    <col min="13336" max="13336" width="16.453125" style="2" customWidth="1"/>
    <col min="13337" max="13571" width="8.90625" style="2"/>
    <col min="13572" max="13572" width="9.6328125" style="2" customWidth="1"/>
    <col min="13573" max="13574" width="5.08984375" style="2" customWidth="1"/>
    <col min="13575" max="13575" width="9.6328125" style="2" customWidth="1"/>
    <col min="13576" max="13577" width="11.6328125" style="2" customWidth="1"/>
    <col min="13578" max="13578" width="15.36328125" style="2" customWidth="1"/>
    <col min="13579" max="13579" width="10.90625" style="2" customWidth="1"/>
    <col min="13580" max="13590" width="13.36328125" style="2" customWidth="1"/>
    <col min="13591" max="13591" width="13.6328125" style="2" customWidth="1"/>
    <col min="13592" max="13592" width="16.453125" style="2" customWidth="1"/>
    <col min="13593" max="13827" width="8.90625" style="2"/>
    <col min="13828" max="13828" width="9.6328125" style="2" customWidth="1"/>
    <col min="13829" max="13830" width="5.08984375" style="2" customWidth="1"/>
    <col min="13831" max="13831" width="9.6328125" style="2" customWidth="1"/>
    <col min="13832" max="13833" width="11.6328125" style="2" customWidth="1"/>
    <col min="13834" max="13834" width="15.36328125" style="2" customWidth="1"/>
    <col min="13835" max="13835" width="10.90625" style="2" customWidth="1"/>
    <col min="13836" max="13846" width="13.36328125" style="2" customWidth="1"/>
    <col min="13847" max="13847" width="13.6328125" style="2" customWidth="1"/>
    <col min="13848" max="13848" width="16.453125" style="2" customWidth="1"/>
    <col min="13849" max="14083" width="8.90625" style="2"/>
    <col min="14084" max="14084" width="9.6328125" style="2" customWidth="1"/>
    <col min="14085" max="14086" width="5.08984375" style="2" customWidth="1"/>
    <col min="14087" max="14087" width="9.6328125" style="2" customWidth="1"/>
    <col min="14088" max="14089" width="11.6328125" style="2" customWidth="1"/>
    <col min="14090" max="14090" width="15.36328125" style="2" customWidth="1"/>
    <col min="14091" max="14091" width="10.90625" style="2" customWidth="1"/>
    <col min="14092" max="14102" width="13.36328125" style="2" customWidth="1"/>
    <col min="14103" max="14103" width="13.6328125" style="2" customWidth="1"/>
    <col min="14104" max="14104" width="16.453125" style="2" customWidth="1"/>
    <col min="14105" max="14339" width="8.90625" style="2"/>
    <col min="14340" max="14340" width="9.6328125" style="2" customWidth="1"/>
    <col min="14341" max="14342" width="5.08984375" style="2" customWidth="1"/>
    <col min="14343" max="14343" width="9.6328125" style="2" customWidth="1"/>
    <col min="14344" max="14345" width="11.6328125" style="2" customWidth="1"/>
    <col min="14346" max="14346" width="15.36328125" style="2" customWidth="1"/>
    <col min="14347" max="14347" width="10.90625" style="2" customWidth="1"/>
    <col min="14348" max="14358" width="13.36328125" style="2" customWidth="1"/>
    <col min="14359" max="14359" width="13.6328125" style="2" customWidth="1"/>
    <col min="14360" max="14360" width="16.453125" style="2" customWidth="1"/>
    <col min="14361" max="14595" width="8.90625" style="2"/>
    <col min="14596" max="14596" width="9.6328125" style="2" customWidth="1"/>
    <col min="14597" max="14598" width="5.08984375" style="2" customWidth="1"/>
    <col min="14599" max="14599" width="9.6328125" style="2" customWidth="1"/>
    <col min="14600" max="14601" width="11.6328125" style="2" customWidth="1"/>
    <col min="14602" max="14602" width="15.36328125" style="2" customWidth="1"/>
    <col min="14603" max="14603" width="10.90625" style="2" customWidth="1"/>
    <col min="14604" max="14614" width="13.36328125" style="2" customWidth="1"/>
    <col min="14615" max="14615" width="13.6328125" style="2" customWidth="1"/>
    <col min="14616" max="14616" width="16.453125" style="2" customWidth="1"/>
    <col min="14617" max="14851" width="8.90625" style="2"/>
    <col min="14852" max="14852" width="9.6328125" style="2" customWidth="1"/>
    <col min="14853" max="14854" width="5.08984375" style="2" customWidth="1"/>
    <col min="14855" max="14855" width="9.6328125" style="2" customWidth="1"/>
    <col min="14856" max="14857" width="11.6328125" style="2" customWidth="1"/>
    <col min="14858" max="14858" width="15.36328125" style="2" customWidth="1"/>
    <col min="14859" max="14859" width="10.90625" style="2" customWidth="1"/>
    <col min="14860" max="14870" width="13.36328125" style="2" customWidth="1"/>
    <col min="14871" max="14871" width="13.6328125" style="2" customWidth="1"/>
    <col min="14872" max="14872" width="16.453125" style="2" customWidth="1"/>
    <col min="14873" max="15107" width="8.90625" style="2"/>
    <col min="15108" max="15108" width="9.6328125" style="2" customWidth="1"/>
    <col min="15109" max="15110" width="5.08984375" style="2" customWidth="1"/>
    <col min="15111" max="15111" width="9.6328125" style="2" customWidth="1"/>
    <col min="15112" max="15113" width="11.6328125" style="2" customWidth="1"/>
    <col min="15114" max="15114" width="15.36328125" style="2" customWidth="1"/>
    <col min="15115" max="15115" width="10.90625" style="2" customWidth="1"/>
    <col min="15116" max="15126" width="13.36328125" style="2" customWidth="1"/>
    <col min="15127" max="15127" width="13.6328125" style="2" customWidth="1"/>
    <col min="15128" max="15128" width="16.453125" style="2" customWidth="1"/>
    <col min="15129" max="15363" width="8.90625" style="2"/>
    <col min="15364" max="15364" width="9.6328125" style="2" customWidth="1"/>
    <col min="15365" max="15366" width="5.08984375" style="2" customWidth="1"/>
    <col min="15367" max="15367" width="9.6328125" style="2" customWidth="1"/>
    <col min="15368" max="15369" width="11.6328125" style="2" customWidth="1"/>
    <col min="15370" max="15370" width="15.36328125" style="2" customWidth="1"/>
    <col min="15371" max="15371" width="10.90625" style="2" customWidth="1"/>
    <col min="15372" max="15382" width="13.36328125" style="2" customWidth="1"/>
    <col min="15383" max="15383" width="13.6328125" style="2" customWidth="1"/>
    <col min="15384" max="15384" width="16.453125" style="2" customWidth="1"/>
    <col min="15385" max="15619" width="8.90625" style="2"/>
    <col min="15620" max="15620" width="9.6328125" style="2" customWidth="1"/>
    <col min="15621" max="15622" width="5.08984375" style="2" customWidth="1"/>
    <col min="15623" max="15623" width="9.6328125" style="2" customWidth="1"/>
    <col min="15624" max="15625" width="11.6328125" style="2" customWidth="1"/>
    <col min="15626" max="15626" width="15.36328125" style="2" customWidth="1"/>
    <col min="15627" max="15627" width="10.90625" style="2" customWidth="1"/>
    <col min="15628" max="15638" width="13.36328125" style="2" customWidth="1"/>
    <col min="15639" max="15639" width="13.6328125" style="2" customWidth="1"/>
    <col min="15640" max="15640" width="16.453125" style="2" customWidth="1"/>
    <col min="15641" max="15875" width="8.90625" style="2"/>
    <col min="15876" max="15876" width="9.6328125" style="2" customWidth="1"/>
    <col min="15877" max="15878" width="5.08984375" style="2" customWidth="1"/>
    <col min="15879" max="15879" width="9.6328125" style="2" customWidth="1"/>
    <col min="15880" max="15881" width="11.6328125" style="2" customWidth="1"/>
    <col min="15882" max="15882" width="15.36328125" style="2" customWidth="1"/>
    <col min="15883" max="15883" width="10.90625" style="2" customWidth="1"/>
    <col min="15884" max="15894" width="13.36328125" style="2" customWidth="1"/>
    <col min="15895" max="15895" width="13.6328125" style="2" customWidth="1"/>
    <col min="15896" max="15896" width="16.453125" style="2" customWidth="1"/>
    <col min="15897" max="16131" width="8.90625" style="2"/>
    <col min="16132" max="16132" width="9.6328125" style="2" customWidth="1"/>
    <col min="16133" max="16134" width="5.08984375" style="2" customWidth="1"/>
    <col min="16135" max="16135" width="9.6328125" style="2" customWidth="1"/>
    <col min="16136" max="16137" width="11.6328125" style="2" customWidth="1"/>
    <col min="16138" max="16138" width="15.36328125" style="2" customWidth="1"/>
    <col min="16139" max="16139" width="10.90625" style="2" customWidth="1"/>
    <col min="16140" max="16150" width="13.36328125" style="2" customWidth="1"/>
    <col min="16151" max="16151" width="13.6328125" style="2" customWidth="1"/>
    <col min="16152" max="16152" width="16.453125" style="2" customWidth="1"/>
    <col min="16153" max="16383" width="8.90625" style="2"/>
    <col min="16384" max="16384" width="9" style="2" customWidth="1"/>
  </cols>
  <sheetData>
    <row r="1" spans="1:26" s="127" customFormat="1" ht="36">
      <c r="A1" s="230" t="s">
        <v>83</v>
      </c>
      <c r="B1" s="230" t="s">
        <v>84</v>
      </c>
      <c r="C1" s="133" t="s">
        <v>56</v>
      </c>
      <c r="D1" s="134" t="s">
        <v>0</v>
      </c>
      <c r="E1" s="134" t="s">
        <v>1</v>
      </c>
      <c r="F1" s="135" t="s">
        <v>2</v>
      </c>
      <c r="G1" s="135" t="s">
        <v>58</v>
      </c>
      <c r="H1" s="135" t="s">
        <v>3</v>
      </c>
      <c r="I1" s="136" t="s">
        <v>4</v>
      </c>
      <c r="J1" s="137" t="s">
        <v>5</v>
      </c>
      <c r="K1" s="3" t="s">
        <v>6</v>
      </c>
      <c r="L1" s="352" t="s">
        <v>7</v>
      </c>
      <c r="M1" s="238" t="s">
        <v>8</v>
      </c>
      <c r="N1" s="238" t="s">
        <v>9</v>
      </c>
      <c r="O1" s="238" t="s">
        <v>10</v>
      </c>
      <c r="P1" s="238" t="s">
        <v>11</v>
      </c>
      <c r="Q1" s="238" t="s">
        <v>12</v>
      </c>
      <c r="R1" s="238" t="s">
        <v>13</v>
      </c>
      <c r="S1" s="238" t="s">
        <v>14</v>
      </c>
      <c r="T1" s="238" t="s">
        <v>15</v>
      </c>
      <c r="U1" s="238" t="s">
        <v>16</v>
      </c>
      <c r="V1" s="238" t="s">
        <v>17</v>
      </c>
      <c r="W1" s="141" t="s">
        <v>18</v>
      </c>
      <c r="X1" s="142" t="s">
        <v>19</v>
      </c>
    </row>
    <row r="2" spans="1:26" s="1" customFormat="1">
      <c r="A2" s="112"/>
      <c r="B2" s="72"/>
      <c r="C2" s="548" t="s">
        <v>98</v>
      </c>
      <c r="D2" s="549"/>
      <c r="E2" s="549"/>
      <c r="F2" s="549"/>
      <c r="G2" s="549"/>
      <c r="H2" s="549"/>
      <c r="I2" s="549"/>
      <c r="J2" s="550"/>
      <c r="K2" s="164" t="s">
        <v>20</v>
      </c>
      <c r="L2" s="396">
        <f>L113</f>
        <v>4175455</v>
      </c>
      <c r="M2" s="436">
        <f t="shared" ref="M2:W3" si="0">M113</f>
        <v>4198670</v>
      </c>
      <c r="N2" s="436">
        <f t="shared" si="0"/>
        <v>4160580</v>
      </c>
      <c r="O2" s="436">
        <f t="shared" si="0"/>
        <v>3795580</v>
      </c>
      <c r="P2" s="436">
        <f t="shared" si="0"/>
        <v>3728995</v>
      </c>
      <c r="Q2" s="436">
        <f t="shared" si="0"/>
        <v>3753690</v>
      </c>
      <c r="R2" s="436">
        <f>R113</f>
        <v>3798640</v>
      </c>
      <c r="S2" s="436">
        <f t="shared" si="0"/>
        <v>3544465</v>
      </c>
      <c r="T2" s="436">
        <f t="shared" si="0"/>
        <v>3736610</v>
      </c>
      <c r="U2" s="436">
        <f t="shared" si="0"/>
        <v>3616300</v>
      </c>
      <c r="V2" s="436">
        <f t="shared" si="0"/>
        <v>3543090</v>
      </c>
      <c r="W2" s="119">
        <f t="shared" si="0"/>
        <v>3791427.222222222</v>
      </c>
      <c r="X2" s="38">
        <f>SUM(L2:W2)</f>
        <v>45843502.222222224</v>
      </c>
      <c r="Z2" s="70"/>
    </row>
    <row r="3" spans="1:26" s="1" customFormat="1">
      <c r="A3" s="112"/>
      <c r="B3" s="72"/>
      <c r="C3" s="551"/>
      <c r="D3" s="552"/>
      <c r="E3" s="552"/>
      <c r="F3" s="552"/>
      <c r="G3" s="552"/>
      <c r="H3" s="552"/>
      <c r="I3" s="552"/>
      <c r="J3" s="553"/>
      <c r="K3" s="165" t="s">
        <v>21</v>
      </c>
      <c r="L3" s="373">
        <f>L114</f>
        <v>3353049</v>
      </c>
      <c r="M3" s="429">
        <f t="shared" si="0"/>
        <v>3349200</v>
      </c>
      <c r="N3" s="429">
        <f t="shared" si="0"/>
        <v>3352503</v>
      </c>
      <c r="O3" s="429">
        <f t="shared" si="0"/>
        <v>3078132</v>
      </c>
      <c r="P3" s="429">
        <f t="shared" si="0"/>
        <v>3033272</v>
      </c>
      <c r="Q3" s="429">
        <f t="shared" si="0"/>
        <v>3086778</v>
      </c>
      <c r="R3" s="429">
        <f>R114</f>
        <v>3094674</v>
      </c>
      <c r="S3" s="429">
        <f t="shared" si="0"/>
        <v>3029065</v>
      </c>
      <c r="T3" s="429">
        <f t="shared" si="0"/>
        <v>3060899</v>
      </c>
      <c r="U3" s="429">
        <f t="shared" si="0"/>
        <v>3054276</v>
      </c>
      <c r="V3" s="429">
        <f t="shared" si="0"/>
        <v>3030569</v>
      </c>
      <c r="W3" s="23">
        <f t="shared" si="0"/>
        <v>3061101</v>
      </c>
      <c r="X3" s="11">
        <f>SUM(L3:W3)</f>
        <v>37583518</v>
      </c>
      <c r="Z3" s="70"/>
    </row>
    <row r="4" spans="1:26" s="1" customFormat="1">
      <c r="A4" s="112"/>
      <c r="B4" s="72"/>
      <c r="C4" s="551"/>
      <c r="D4" s="552"/>
      <c r="E4" s="552"/>
      <c r="F4" s="552"/>
      <c r="G4" s="552"/>
      <c r="H4" s="552"/>
      <c r="I4" s="552"/>
      <c r="J4" s="553"/>
      <c r="K4" s="281" t="s">
        <v>22</v>
      </c>
      <c r="L4" s="397">
        <f>L2-L3</f>
        <v>822406</v>
      </c>
      <c r="M4" s="442">
        <f>M2-M3</f>
        <v>849470</v>
      </c>
      <c r="N4" s="442">
        <f t="shared" ref="N4:W4" si="1">N2-N3</f>
        <v>808077</v>
      </c>
      <c r="O4" s="442">
        <f t="shared" si="1"/>
        <v>717448</v>
      </c>
      <c r="P4" s="442">
        <f t="shared" si="1"/>
        <v>695723</v>
      </c>
      <c r="Q4" s="442">
        <f t="shared" si="1"/>
        <v>666912</v>
      </c>
      <c r="R4" s="442">
        <f t="shared" si="1"/>
        <v>703966</v>
      </c>
      <c r="S4" s="442">
        <f t="shared" si="1"/>
        <v>515400</v>
      </c>
      <c r="T4" s="442">
        <f t="shared" si="1"/>
        <v>675711</v>
      </c>
      <c r="U4" s="442">
        <f>U2-U3</f>
        <v>562024</v>
      </c>
      <c r="V4" s="442">
        <f>V2-V3</f>
        <v>512521</v>
      </c>
      <c r="W4" s="282">
        <f t="shared" si="1"/>
        <v>730326.22222222202</v>
      </c>
      <c r="X4" s="283">
        <f>SUM(L4:W4)</f>
        <v>8259984.222222222</v>
      </c>
      <c r="Z4" s="70"/>
    </row>
    <row r="5" spans="1:26" ht="12.75" customHeight="1">
      <c r="A5" s="113">
        <v>2020002</v>
      </c>
      <c r="C5" s="641">
        <v>1</v>
      </c>
      <c r="D5" s="644" t="s">
        <v>60</v>
      </c>
      <c r="E5" s="644"/>
      <c r="F5" s="644"/>
      <c r="G5" s="644" t="s">
        <v>166</v>
      </c>
      <c r="H5" s="644"/>
      <c r="I5" s="647"/>
      <c r="J5" s="628" t="s">
        <v>65</v>
      </c>
      <c r="K5" s="176" t="s">
        <v>23</v>
      </c>
      <c r="L5" s="353">
        <f t="shared" ref="L5:W5" si="2">L6+L7</f>
        <v>530000</v>
      </c>
      <c r="M5" s="409">
        <f t="shared" si="2"/>
        <v>532500</v>
      </c>
      <c r="N5" s="409">
        <f t="shared" si="2"/>
        <v>530000</v>
      </c>
      <c r="O5" s="409">
        <f t="shared" si="2"/>
        <v>533750</v>
      </c>
      <c r="P5" s="409">
        <f t="shared" si="2"/>
        <v>533750</v>
      </c>
      <c r="Q5" s="409">
        <f t="shared" si="2"/>
        <v>531250</v>
      </c>
      <c r="R5" s="409">
        <f t="shared" si="2"/>
        <v>530000</v>
      </c>
      <c r="S5" s="409">
        <f t="shared" si="2"/>
        <v>516760</v>
      </c>
      <c r="T5" s="409">
        <f t="shared" si="2"/>
        <v>531250</v>
      </c>
      <c r="U5" s="409">
        <f t="shared" si="2"/>
        <v>513450</v>
      </c>
      <c r="V5" s="409">
        <f t="shared" si="2"/>
        <v>516760</v>
      </c>
      <c r="W5" s="97">
        <f t="shared" si="2"/>
        <v>531111.11111111112</v>
      </c>
      <c r="X5" s="117">
        <f t="shared" ref="X5:X15" si="3">SUM(L5:W5)</f>
        <v>6330581.111111111</v>
      </c>
      <c r="Y5" s="69"/>
      <c r="Z5" s="69"/>
    </row>
    <row r="6" spans="1:26">
      <c r="A6" s="114">
        <f>+A5</f>
        <v>2020002</v>
      </c>
      <c r="B6" s="74"/>
      <c r="C6" s="642"/>
      <c r="D6" s="645"/>
      <c r="E6" s="645"/>
      <c r="F6" s="645"/>
      <c r="G6" s="645"/>
      <c r="H6" s="645"/>
      <c r="I6" s="648"/>
      <c r="J6" s="629"/>
      <c r="K6" s="172" t="s">
        <v>24</v>
      </c>
      <c r="L6" s="362">
        <v>530000</v>
      </c>
      <c r="M6" s="301">
        <v>530000</v>
      </c>
      <c r="N6" s="301">
        <v>530000</v>
      </c>
      <c r="O6" s="301">
        <v>530000</v>
      </c>
      <c r="P6" s="301">
        <v>530000</v>
      </c>
      <c r="Q6" s="301">
        <v>530000</v>
      </c>
      <c r="R6" s="301">
        <v>530000</v>
      </c>
      <c r="S6" s="301">
        <v>516760</v>
      </c>
      <c r="T6" s="301">
        <v>530000</v>
      </c>
      <c r="U6" s="301">
        <v>513450</v>
      </c>
      <c r="V6" s="301">
        <v>516760</v>
      </c>
      <c r="W6" s="102">
        <v>530000</v>
      </c>
      <c r="X6" s="49">
        <f t="shared" si="3"/>
        <v>6316970</v>
      </c>
      <c r="Y6" s="69"/>
      <c r="Z6" s="69"/>
    </row>
    <row r="7" spans="1:26">
      <c r="A7" s="114">
        <f>+A6</f>
        <v>2020002</v>
      </c>
      <c r="B7" s="74"/>
      <c r="C7" s="642"/>
      <c r="D7" s="645"/>
      <c r="E7" s="645"/>
      <c r="F7" s="645"/>
      <c r="G7" s="645"/>
      <c r="H7" s="645"/>
      <c r="I7" s="648"/>
      <c r="J7" s="629"/>
      <c r="K7" s="146" t="s">
        <v>96</v>
      </c>
      <c r="L7" s="517">
        <v>0</v>
      </c>
      <c r="M7" s="518">
        <v>2500</v>
      </c>
      <c r="N7" s="518">
        <v>0</v>
      </c>
      <c r="O7" s="518">
        <v>3750</v>
      </c>
      <c r="P7" s="518">
        <v>3750</v>
      </c>
      <c r="Q7" s="518">
        <v>1250</v>
      </c>
      <c r="R7" s="518">
        <v>0</v>
      </c>
      <c r="S7" s="518">
        <v>0</v>
      </c>
      <c r="T7" s="518">
        <v>1250</v>
      </c>
      <c r="U7" s="518">
        <v>0</v>
      </c>
      <c r="V7" s="518">
        <v>0</v>
      </c>
      <c r="W7" s="520">
        <v>1111.1111111111111</v>
      </c>
      <c r="X7" s="49">
        <f t="shared" si="3"/>
        <v>13611.111111111111</v>
      </c>
      <c r="Y7" s="69"/>
      <c r="Z7" s="69"/>
    </row>
    <row r="8" spans="1:26">
      <c r="A8" s="114">
        <f t="shared" ref="A8:A15" si="4">+A7</f>
        <v>2020002</v>
      </c>
      <c r="B8" s="74"/>
      <c r="C8" s="642"/>
      <c r="D8" s="645"/>
      <c r="E8" s="645"/>
      <c r="F8" s="645"/>
      <c r="G8" s="645"/>
      <c r="H8" s="645"/>
      <c r="I8" s="648"/>
      <c r="J8" s="629"/>
      <c r="K8" s="173" t="s">
        <v>26</v>
      </c>
      <c r="L8" s="355">
        <f t="shared" ref="L8:W8" si="5">SUM(L9:L15)</f>
        <v>417130</v>
      </c>
      <c r="M8" s="411">
        <f t="shared" si="5"/>
        <v>419657</v>
      </c>
      <c r="N8" s="411">
        <f t="shared" si="5"/>
        <v>417747</v>
      </c>
      <c r="O8" s="411">
        <f t="shared" si="5"/>
        <v>419283</v>
      </c>
      <c r="P8" s="411">
        <f t="shared" si="5"/>
        <v>415413</v>
      </c>
      <c r="Q8" s="411">
        <f t="shared" si="5"/>
        <v>415967</v>
      </c>
      <c r="R8" s="411">
        <f t="shared" si="5"/>
        <v>416514</v>
      </c>
      <c r="S8" s="411">
        <f t="shared" si="5"/>
        <v>413260</v>
      </c>
      <c r="T8" s="411">
        <f t="shared" si="5"/>
        <v>415332</v>
      </c>
      <c r="U8" s="411">
        <f t="shared" si="5"/>
        <v>413260</v>
      </c>
      <c r="V8" s="411">
        <f t="shared" si="5"/>
        <v>405905</v>
      </c>
      <c r="W8" s="99">
        <f t="shared" si="5"/>
        <v>417130</v>
      </c>
      <c r="X8" s="50">
        <f t="shared" si="3"/>
        <v>4986598</v>
      </c>
      <c r="Y8" s="69"/>
      <c r="Z8" s="69"/>
    </row>
    <row r="9" spans="1:26">
      <c r="A9" s="114">
        <f t="shared" si="4"/>
        <v>2020002</v>
      </c>
      <c r="B9" s="74"/>
      <c r="C9" s="642"/>
      <c r="D9" s="645"/>
      <c r="E9" s="645"/>
      <c r="F9" s="645"/>
      <c r="G9" s="645"/>
      <c r="H9" s="645"/>
      <c r="I9" s="648"/>
      <c r="J9" s="629"/>
      <c r="K9" s="174" t="s">
        <v>27</v>
      </c>
      <c r="L9" s="343">
        <v>350200</v>
      </c>
      <c r="M9" s="297">
        <v>352700</v>
      </c>
      <c r="N9" s="297">
        <v>349400</v>
      </c>
      <c r="O9" s="297">
        <v>355150</v>
      </c>
      <c r="P9" s="297">
        <v>355550</v>
      </c>
      <c r="Q9" s="297">
        <v>351450</v>
      </c>
      <c r="R9" s="297">
        <v>351000</v>
      </c>
      <c r="S9" s="297">
        <v>350600</v>
      </c>
      <c r="T9" s="297">
        <v>352650</v>
      </c>
      <c r="U9" s="297">
        <v>350600</v>
      </c>
      <c r="V9" s="297">
        <v>343140</v>
      </c>
      <c r="W9" s="91">
        <v>350200</v>
      </c>
      <c r="X9" s="49">
        <f t="shared" si="3"/>
        <v>4212640</v>
      </c>
      <c r="Y9" s="69"/>
      <c r="Z9" s="69"/>
    </row>
    <row r="10" spans="1:26">
      <c r="A10" s="114">
        <f t="shared" si="4"/>
        <v>2020002</v>
      </c>
      <c r="B10" s="74"/>
      <c r="C10" s="642"/>
      <c r="D10" s="645"/>
      <c r="E10" s="645"/>
      <c r="F10" s="645"/>
      <c r="G10" s="645"/>
      <c r="H10" s="645"/>
      <c r="I10" s="648"/>
      <c r="J10" s="629"/>
      <c r="K10" s="174" t="s">
        <v>34</v>
      </c>
      <c r="L10" s="343"/>
      <c r="M10" s="297"/>
      <c r="N10" s="297"/>
      <c r="O10" s="297"/>
      <c r="P10" s="297"/>
      <c r="Q10" s="297"/>
      <c r="R10" s="297"/>
      <c r="S10" s="297"/>
      <c r="T10" s="297"/>
      <c r="U10" s="297"/>
      <c r="V10" s="297"/>
      <c r="W10" s="91"/>
      <c r="X10" s="49">
        <f t="shared" si="3"/>
        <v>0</v>
      </c>
      <c r="Y10" s="69"/>
      <c r="Z10" s="69"/>
    </row>
    <row r="11" spans="1:26">
      <c r="A11" s="114">
        <f t="shared" si="4"/>
        <v>2020002</v>
      </c>
      <c r="B11" s="74"/>
      <c r="C11" s="642"/>
      <c r="D11" s="645"/>
      <c r="E11" s="645"/>
      <c r="F11" s="645"/>
      <c r="G11" s="645"/>
      <c r="H11" s="645"/>
      <c r="I11" s="648"/>
      <c r="J11" s="629"/>
      <c r="K11" s="174" t="s">
        <v>28</v>
      </c>
      <c r="L11" s="343">
        <v>9870</v>
      </c>
      <c r="M11" s="297">
        <v>9870</v>
      </c>
      <c r="N11" s="297">
        <v>11280</v>
      </c>
      <c r="O11" s="297">
        <v>7050</v>
      </c>
      <c r="P11" s="297">
        <v>2820</v>
      </c>
      <c r="Q11" s="297">
        <v>7468</v>
      </c>
      <c r="R11" s="297">
        <v>8460</v>
      </c>
      <c r="S11" s="297">
        <v>5640</v>
      </c>
      <c r="T11" s="297">
        <v>5640</v>
      </c>
      <c r="U11" s="297">
        <v>5640</v>
      </c>
      <c r="V11" s="297">
        <v>5640</v>
      </c>
      <c r="W11" s="91">
        <v>9870</v>
      </c>
      <c r="X11" s="49">
        <f t="shared" si="3"/>
        <v>89248</v>
      </c>
      <c r="Y11" s="69"/>
      <c r="Z11" s="69"/>
    </row>
    <row r="12" spans="1:26">
      <c r="A12" s="114">
        <f t="shared" si="4"/>
        <v>2020002</v>
      </c>
      <c r="B12" s="74"/>
      <c r="C12" s="642"/>
      <c r="D12" s="645"/>
      <c r="E12" s="645"/>
      <c r="F12" s="645"/>
      <c r="G12" s="645"/>
      <c r="H12" s="645"/>
      <c r="I12" s="648"/>
      <c r="J12" s="629"/>
      <c r="K12" s="174" t="s">
        <v>29</v>
      </c>
      <c r="L12" s="329">
        <v>20340</v>
      </c>
      <c r="M12" s="410">
        <v>20340</v>
      </c>
      <c r="N12" s="410">
        <v>20340</v>
      </c>
      <c r="O12" s="410">
        <v>20340</v>
      </c>
      <c r="P12" s="410">
        <v>20340</v>
      </c>
      <c r="Q12" s="410">
        <v>20340</v>
      </c>
      <c r="R12" s="410">
        <v>20340</v>
      </c>
      <c r="S12" s="410">
        <v>20340</v>
      </c>
      <c r="T12" s="410">
        <v>20340</v>
      </c>
      <c r="U12" s="410">
        <v>20340</v>
      </c>
      <c r="V12" s="410">
        <v>20340</v>
      </c>
      <c r="W12" s="26">
        <v>20340</v>
      </c>
      <c r="X12" s="49">
        <f t="shared" si="3"/>
        <v>244080</v>
      </c>
      <c r="Y12" s="69"/>
      <c r="Z12" s="69"/>
    </row>
    <row r="13" spans="1:26">
      <c r="A13" s="114">
        <f t="shared" si="4"/>
        <v>2020002</v>
      </c>
      <c r="B13" s="74"/>
      <c r="C13" s="642"/>
      <c r="D13" s="645"/>
      <c r="E13" s="645"/>
      <c r="F13" s="645"/>
      <c r="G13" s="645"/>
      <c r="H13" s="645"/>
      <c r="I13" s="648"/>
      <c r="J13" s="629"/>
      <c r="K13" s="174" t="s">
        <v>30</v>
      </c>
      <c r="L13" s="329">
        <v>32940</v>
      </c>
      <c r="M13" s="410">
        <v>32940</v>
      </c>
      <c r="N13" s="410">
        <v>32940</v>
      </c>
      <c r="O13" s="410">
        <v>32940</v>
      </c>
      <c r="P13" s="410">
        <v>32940</v>
      </c>
      <c r="Q13" s="410">
        <v>32940</v>
      </c>
      <c r="R13" s="410">
        <v>32940</v>
      </c>
      <c r="S13" s="410">
        <v>32940</v>
      </c>
      <c r="T13" s="410">
        <v>32940</v>
      </c>
      <c r="U13" s="410">
        <v>32940</v>
      </c>
      <c r="V13" s="410">
        <v>32940</v>
      </c>
      <c r="W13" s="26">
        <v>32940</v>
      </c>
      <c r="X13" s="49">
        <f t="shared" si="3"/>
        <v>395280</v>
      </c>
      <c r="Y13" s="69"/>
      <c r="Z13" s="69"/>
    </row>
    <row r="14" spans="1:26">
      <c r="A14" s="114">
        <f t="shared" si="4"/>
        <v>2020002</v>
      </c>
      <c r="B14" s="74"/>
      <c r="C14" s="642"/>
      <c r="D14" s="645"/>
      <c r="E14" s="645"/>
      <c r="F14" s="645"/>
      <c r="G14" s="645"/>
      <c r="H14" s="645"/>
      <c r="I14" s="648"/>
      <c r="J14" s="629"/>
      <c r="K14" s="174" t="s">
        <v>31</v>
      </c>
      <c r="L14" s="329">
        <v>1800</v>
      </c>
      <c r="M14" s="410">
        <v>1813</v>
      </c>
      <c r="N14" s="410">
        <v>1803</v>
      </c>
      <c r="O14" s="410">
        <v>1811</v>
      </c>
      <c r="P14" s="410">
        <v>1792</v>
      </c>
      <c r="Q14" s="410">
        <v>1795</v>
      </c>
      <c r="R14" s="410">
        <v>1797</v>
      </c>
      <c r="S14" s="410">
        <v>1781</v>
      </c>
      <c r="T14" s="410">
        <v>1791</v>
      </c>
      <c r="U14" s="410">
        <v>1781</v>
      </c>
      <c r="V14" s="410">
        <v>1831</v>
      </c>
      <c r="W14" s="26">
        <v>1800</v>
      </c>
      <c r="X14" s="49">
        <f t="shared" si="3"/>
        <v>21595</v>
      </c>
      <c r="Y14" s="69"/>
      <c r="Z14" s="69"/>
    </row>
    <row r="15" spans="1:26">
      <c r="A15" s="114">
        <f t="shared" si="4"/>
        <v>2020002</v>
      </c>
      <c r="B15" s="74"/>
      <c r="C15" s="642"/>
      <c r="D15" s="645"/>
      <c r="E15" s="645"/>
      <c r="F15" s="645"/>
      <c r="G15" s="645"/>
      <c r="H15" s="645"/>
      <c r="I15" s="648"/>
      <c r="J15" s="629"/>
      <c r="K15" s="174" t="s">
        <v>32</v>
      </c>
      <c r="L15" s="395">
        <v>1980</v>
      </c>
      <c r="M15" s="443">
        <v>1994</v>
      </c>
      <c r="N15" s="443">
        <v>1984</v>
      </c>
      <c r="O15" s="443">
        <v>1992</v>
      </c>
      <c r="P15" s="443">
        <v>1971</v>
      </c>
      <c r="Q15" s="443">
        <v>1974</v>
      </c>
      <c r="R15" s="443">
        <v>1977</v>
      </c>
      <c r="S15" s="443">
        <v>1959</v>
      </c>
      <c r="T15" s="443">
        <v>1971</v>
      </c>
      <c r="U15" s="443">
        <v>1959</v>
      </c>
      <c r="V15" s="443">
        <v>2014</v>
      </c>
      <c r="W15" s="221">
        <v>1980</v>
      </c>
      <c r="X15" s="49">
        <f t="shared" si="3"/>
        <v>23755</v>
      </c>
      <c r="Y15" s="69"/>
      <c r="Z15" s="69"/>
    </row>
    <row r="16" spans="1:26">
      <c r="A16" s="114">
        <f>+A15</f>
        <v>2020002</v>
      </c>
      <c r="B16" s="74"/>
      <c r="C16" s="654"/>
      <c r="D16" s="655"/>
      <c r="E16" s="655"/>
      <c r="F16" s="655"/>
      <c r="G16" s="655"/>
      <c r="H16" s="655"/>
      <c r="I16" s="652"/>
      <c r="J16" s="630"/>
      <c r="K16" s="175" t="s">
        <v>33</v>
      </c>
      <c r="L16" s="356">
        <f t="shared" ref="L16:X16" si="6">L5-L8</f>
        <v>112870</v>
      </c>
      <c r="M16" s="412">
        <f t="shared" si="6"/>
        <v>112843</v>
      </c>
      <c r="N16" s="412">
        <f t="shared" si="6"/>
        <v>112253</v>
      </c>
      <c r="O16" s="412">
        <f t="shared" si="6"/>
        <v>114467</v>
      </c>
      <c r="P16" s="412">
        <f t="shared" si="6"/>
        <v>118337</v>
      </c>
      <c r="Q16" s="412">
        <f t="shared" si="6"/>
        <v>115283</v>
      </c>
      <c r="R16" s="412">
        <f t="shared" si="6"/>
        <v>113486</v>
      </c>
      <c r="S16" s="412">
        <f t="shared" si="6"/>
        <v>103500</v>
      </c>
      <c r="T16" s="412">
        <f t="shared" si="6"/>
        <v>115918</v>
      </c>
      <c r="U16" s="412">
        <f t="shared" si="6"/>
        <v>100190</v>
      </c>
      <c r="V16" s="412">
        <f t="shared" si="6"/>
        <v>110855</v>
      </c>
      <c r="W16" s="101">
        <f t="shared" si="6"/>
        <v>113981.11111111112</v>
      </c>
      <c r="X16" s="51">
        <f t="shared" si="6"/>
        <v>1343983.111111111</v>
      </c>
      <c r="Y16" s="69"/>
      <c r="Z16" s="69"/>
    </row>
    <row r="17" spans="1:26" ht="12.75" customHeight="1">
      <c r="A17" s="113">
        <v>2018044</v>
      </c>
      <c r="C17" s="641">
        <f>C5+1</f>
        <v>2</v>
      </c>
      <c r="D17" s="644" t="s">
        <v>59</v>
      </c>
      <c r="E17" s="644"/>
      <c r="F17" s="644"/>
      <c r="G17" s="644" t="s">
        <v>166</v>
      </c>
      <c r="H17" s="644"/>
      <c r="I17" s="647"/>
      <c r="J17" s="628" t="s">
        <v>65</v>
      </c>
      <c r="K17" s="176" t="s">
        <v>23</v>
      </c>
      <c r="L17" s="353">
        <f t="shared" ref="L17:W17" si="7">L18+L19</f>
        <v>329705</v>
      </c>
      <c r="M17" s="409">
        <f t="shared" si="7"/>
        <v>313845</v>
      </c>
      <c r="N17" s="409">
        <f t="shared" si="7"/>
        <v>319640</v>
      </c>
      <c r="O17" s="409">
        <f t="shared" si="7"/>
        <v>333365</v>
      </c>
      <c r="P17" s="409">
        <f t="shared" si="7"/>
        <v>300120</v>
      </c>
      <c r="Q17" s="409">
        <f t="shared" si="7"/>
        <v>307440</v>
      </c>
      <c r="R17" s="409">
        <f t="shared" si="7"/>
        <v>337940</v>
      </c>
      <c r="S17" s="409">
        <f t="shared" si="7"/>
        <v>237595</v>
      </c>
      <c r="T17" s="409">
        <f t="shared" si="7"/>
        <v>264740</v>
      </c>
      <c r="U17" s="409">
        <f t="shared" si="7"/>
        <v>251320</v>
      </c>
      <c r="V17" s="409">
        <f t="shared" si="7"/>
        <v>200080</v>
      </c>
      <c r="W17" s="97">
        <f t="shared" si="7"/>
        <v>329705</v>
      </c>
      <c r="X17" s="117">
        <f t="shared" ref="X17:X27" si="8">SUM(L17:W17)</f>
        <v>3525495</v>
      </c>
      <c r="Y17" s="69"/>
      <c r="Z17" s="69"/>
    </row>
    <row r="18" spans="1:26">
      <c r="A18" s="114">
        <f>+A17</f>
        <v>2018044</v>
      </c>
      <c r="B18" s="74"/>
      <c r="C18" s="642"/>
      <c r="D18" s="645"/>
      <c r="E18" s="645"/>
      <c r="F18" s="645"/>
      <c r="G18" s="645"/>
      <c r="H18" s="645"/>
      <c r="I18" s="648"/>
      <c r="J18" s="629"/>
      <c r="K18" s="172" t="s">
        <v>24</v>
      </c>
      <c r="L18" s="362">
        <v>329705</v>
      </c>
      <c r="M18" s="301">
        <v>313845</v>
      </c>
      <c r="N18" s="301">
        <v>319640</v>
      </c>
      <c r="O18" s="301">
        <v>333365</v>
      </c>
      <c r="P18" s="301">
        <v>300120</v>
      </c>
      <c r="Q18" s="301">
        <v>307440</v>
      </c>
      <c r="R18" s="301">
        <v>337940</v>
      </c>
      <c r="S18" s="301">
        <v>237595</v>
      </c>
      <c r="T18" s="301">
        <v>264740</v>
      </c>
      <c r="U18" s="301">
        <v>251320</v>
      </c>
      <c r="V18" s="301">
        <v>200080</v>
      </c>
      <c r="W18" s="102">
        <v>329705</v>
      </c>
      <c r="X18" s="49">
        <f t="shared" si="8"/>
        <v>3525495</v>
      </c>
      <c r="Y18" s="69"/>
      <c r="Z18" s="69"/>
    </row>
    <row r="19" spans="1:26">
      <c r="A19" s="114">
        <f>+A18</f>
        <v>2018044</v>
      </c>
      <c r="B19" s="74"/>
      <c r="C19" s="642"/>
      <c r="D19" s="645"/>
      <c r="E19" s="645"/>
      <c r="F19" s="645"/>
      <c r="G19" s="645"/>
      <c r="H19" s="645"/>
      <c r="I19" s="648"/>
      <c r="J19" s="629"/>
      <c r="K19" s="172" t="s">
        <v>25</v>
      </c>
      <c r="L19" s="354"/>
      <c r="M19" s="297"/>
      <c r="N19" s="297"/>
      <c r="O19" s="297"/>
      <c r="P19" s="297"/>
      <c r="Q19" s="297"/>
      <c r="R19" s="297"/>
      <c r="S19" s="297"/>
      <c r="T19" s="297"/>
      <c r="U19" s="297"/>
      <c r="V19" s="297"/>
      <c r="W19" s="98"/>
      <c r="X19" s="49">
        <f t="shared" si="8"/>
        <v>0</v>
      </c>
      <c r="Y19" s="69"/>
      <c r="Z19" s="69"/>
    </row>
    <row r="20" spans="1:26">
      <c r="A20" s="114">
        <f t="shared" ref="A20:A27" si="9">+A19</f>
        <v>2018044</v>
      </c>
      <c r="B20" s="74"/>
      <c r="C20" s="642"/>
      <c r="D20" s="645"/>
      <c r="E20" s="645"/>
      <c r="F20" s="645"/>
      <c r="G20" s="645"/>
      <c r="H20" s="645"/>
      <c r="I20" s="648"/>
      <c r="J20" s="629"/>
      <c r="K20" s="173" t="s">
        <v>26</v>
      </c>
      <c r="L20" s="355">
        <f t="shared" ref="L20:W20" si="10">SUM(L21:L27)</f>
        <v>284193</v>
      </c>
      <c r="M20" s="411">
        <f t="shared" si="10"/>
        <v>274473</v>
      </c>
      <c r="N20" s="411">
        <f t="shared" si="10"/>
        <v>277191</v>
      </c>
      <c r="O20" s="411">
        <f t="shared" si="10"/>
        <v>286781</v>
      </c>
      <c r="P20" s="411">
        <f t="shared" si="10"/>
        <v>264903</v>
      </c>
      <c r="Q20" s="411">
        <f t="shared" si="10"/>
        <v>270845</v>
      </c>
      <c r="R20" s="411">
        <f t="shared" si="10"/>
        <v>290348</v>
      </c>
      <c r="S20" s="411">
        <f t="shared" si="10"/>
        <v>257112</v>
      </c>
      <c r="T20" s="411">
        <f t="shared" si="10"/>
        <v>270482</v>
      </c>
      <c r="U20" s="411">
        <f t="shared" si="10"/>
        <v>260740</v>
      </c>
      <c r="V20" s="411">
        <f t="shared" si="10"/>
        <v>255890</v>
      </c>
      <c r="W20" s="99">
        <f t="shared" si="10"/>
        <v>284193</v>
      </c>
      <c r="X20" s="50">
        <f t="shared" si="8"/>
        <v>3277151</v>
      </c>
      <c r="Y20" s="69"/>
      <c r="Z20" s="69"/>
    </row>
    <row r="21" spans="1:26">
      <c r="A21" s="114">
        <f t="shared" si="9"/>
        <v>2018044</v>
      </c>
      <c r="B21" s="74"/>
      <c r="C21" s="642"/>
      <c r="D21" s="645"/>
      <c r="E21" s="645"/>
      <c r="F21" s="645"/>
      <c r="G21" s="645"/>
      <c r="H21" s="645"/>
      <c r="I21" s="648"/>
      <c r="J21" s="629"/>
      <c r="K21" s="174" t="s">
        <v>27</v>
      </c>
      <c r="L21" s="343">
        <v>242730</v>
      </c>
      <c r="M21" s="297">
        <v>232690</v>
      </c>
      <c r="N21" s="297">
        <v>235800</v>
      </c>
      <c r="O21" s="297">
        <v>244450</v>
      </c>
      <c r="P21" s="297">
        <v>223640</v>
      </c>
      <c r="Q21" s="297">
        <v>229520</v>
      </c>
      <c r="R21" s="297">
        <v>248400</v>
      </c>
      <c r="S21" s="297">
        <v>216770</v>
      </c>
      <c r="T21" s="297">
        <v>229160</v>
      </c>
      <c r="U21" s="297">
        <v>219520</v>
      </c>
      <c r="V21" s="297">
        <v>214540</v>
      </c>
      <c r="W21" s="91">
        <v>242730</v>
      </c>
      <c r="X21" s="49">
        <f t="shared" si="8"/>
        <v>2779950</v>
      </c>
      <c r="Y21" s="69"/>
      <c r="Z21" s="69"/>
    </row>
    <row r="22" spans="1:26">
      <c r="A22" s="114">
        <f t="shared" si="9"/>
        <v>2018044</v>
      </c>
      <c r="B22" s="74"/>
      <c r="C22" s="642"/>
      <c r="D22" s="645"/>
      <c r="E22" s="645"/>
      <c r="F22" s="645"/>
      <c r="G22" s="645"/>
      <c r="H22" s="645"/>
      <c r="I22" s="648"/>
      <c r="J22" s="629"/>
      <c r="K22" s="174" t="s">
        <v>34</v>
      </c>
      <c r="L22" s="343"/>
      <c r="M22" s="297"/>
      <c r="N22" s="297"/>
      <c r="O22" s="297"/>
      <c r="P22" s="297"/>
      <c r="Q22" s="297"/>
      <c r="R22" s="297"/>
      <c r="S22" s="297"/>
      <c r="T22" s="297"/>
      <c r="U22" s="297"/>
      <c r="V22" s="297"/>
      <c r="W22" s="91"/>
      <c r="X22" s="49">
        <f t="shared" si="8"/>
        <v>0</v>
      </c>
      <c r="Y22" s="69"/>
      <c r="Z22" s="69"/>
    </row>
    <row r="23" spans="1:26">
      <c r="A23" s="114">
        <f t="shared" si="9"/>
        <v>2018044</v>
      </c>
      <c r="B23" s="74"/>
      <c r="C23" s="642"/>
      <c r="D23" s="645"/>
      <c r="E23" s="645"/>
      <c r="F23" s="645"/>
      <c r="G23" s="645"/>
      <c r="H23" s="645"/>
      <c r="I23" s="648"/>
      <c r="J23" s="629"/>
      <c r="K23" s="174" t="s">
        <v>28</v>
      </c>
      <c r="L23" s="343">
        <v>3360</v>
      </c>
      <c r="M23" s="297">
        <v>3780</v>
      </c>
      <c r="N23" s="297">
        <v>3360</v>
      </c>
      <c r="O23" s="297">
        <v>4200</v>
      </c>
      <c r="P23" s="297">
        <v>3360</v>
      </c>
      <c r="Q23" s="297">
        <v>3360</v>
      </c>
      <c r="R23" s="297">
        <v>3780</v>
      </c>
      <c r="S23" s="297">
        <v>2520</v>
      </c>
      <c r="T23" s="297">
        <v>3360</v>
      </c>
      <c r="U23" s="297">
        <v>3360</v>
      </c>
      <c r="V23" s="297">
        <v>3360</v>
      </c>
      <c r="W23" s="91">
        <v>3360</v>
      </c>
      <c r="X23" s="49">
        <f t="shared" si="8"/>
        <v>41160</v>
      </c>
      <c r="Y23" s="69"/>
      <c r="Z23" s="69"/>
    </row>
    <row r="24" spans="1:26">
      <c r="A24" s="114">
        <f t="shared" si="9"/>
        <v>2018044</v>
      </c>
      <c r="B24" s="74"/>
      <c r="C24" s="642"/>
      <c r="D24" s="645"/>
      <c r="E24" s="645"/>
      <c r="F24" s="645"/>
      <c r="G24" s="645"/>
      <c r="H24" s="645"/>
      <c r="I24" s="648"/>
      <c r="J24" s="629"/>
      <c r="K24" s="174" t="s">
        <v>29</v>
      </c>
      <c r="L24" s="329">
        <v>13560</v>
      </c>
      <c r="M24" s="410">
        <v>13560</v>
      </c>
      <c r="N24" s="410">
        <v>13560</v>
      </c>
      <c r="O24" s="410">
        <v>13560</v>
      </c>
      <c r="P24" s="410">
        <v>13560</v>
      </c>
      <c r="Q24" s="410">
        <v>13560</v>
      </c>
      <c r="R24" s="410">
        <v>13560</v>
      </c>
      <c r="S24" s="410">
        <v>13560</v>
      </c>
      <c r="T24" s="410">
        <v>13560</v>
      </c>
      <c r="U24" s="410">
        <v>13560</v>
      </c>
      <c r="V24" s="410">
        <v>13560</v>
      </c>
      <c r="W24" s="26">
        <v>13560</v>
      </c>
      <c r="X24" s="49">
        <f t="shared" si="8"/>
        <v>162720</v>
      </c>
      <c r="Y24" s="69"/>
      <c r="Z24" s="69"/>
    </row>
    <row r="25" spans="1:26">
      <c r="A25" s="114">
        <f t="shared" si="9"/>
        <v>2018044</v>
      </c>
      <c r="B25" s="74"/>
      <c r="C25" s="642"/>
      <c r="D25" s="645"/>
      <c r="E25" s="645"/>
      <c r="F25" s="645"/>
      <c r="G25" s="645"/>
      <c r="H25" s="645"/>
      <c r="I25" s="648"/>
      <c r="J25" s="629"/>
      <c r="K25" s="174" t="s">
        <v>30</v>
      </c>
      <c r="L25" s="329">
        <v>21960</v>
      </c>
      <c r="M25" s="410">
        <v>21960</v>
      </c>
      <c r="N25" s="410">
        <v>21960</v>
      </c>
      <c r="O25" s="410">
        <v>21960</v>
      </c>
      <c r="P25" s="410">
        <v>21960</v>
      </c>
      <c r="Q25" s="410">
        <v>21960</v>
      </c>
      <c r="R25" s="410">
        <v>21960</v>
      </c>
      <c r="S25" s="410">
        <v>21960</v>
      </c>
      <c r="T25" s="410">
        <v>21960</v>
      </c>
      <c r="U25" s="410">
        <v>21960</v>
      </c>
      <c r="V25" s="410">
        <v>21960</v>
      </c>
      <c r="W25" s="26">
        <v>21960</v>
      </c>
      <c r="X25" s="49">
        <f t="shared" si="8"/>
        <v>263520</v>
      </c>
      <c r="Y25" s="69"/>
      <c r="Z25" s="69"/>
    </row>
    <row r="26" spans="1:26">
      <c r="A26" s="114">
        <f t="shared" si="9"/>
        <v>2018044</v>
      </c>
      <c r="B26" s="74"/>
      <c r="C26" s="642"/>
      <c r="D26" s="645"/>
      <c r="E26" s="645"/>
      <c r="F26" s="645"/>
      <c r="G26" s="645"/>
      <c r="H26" s="645"/>
      <c r="I26" s="648"/>
      <c r="J26" s="629"/>
      <c r="K26" s="174" t="s">
        <v>31</v>
      </c>
      <c r="L26" s="329">
        <v>1230</v>
      </c>
      <c r="M26" s="410">
        <v>1182</v>
      </c>
      <c r="N26" s="410">
        <v>1196</v>
      </c>
      <c r="O26" s="410">
        <v>1243</v>
      </c>
      <c r="P26" s="410">
        <v>1135</v>
      </c>
      <c r="Q26" s="410">
        <v>1164</v>
      </c>
      <c r="R26" s="410">
        <v>1261</v>
      </c>
      <c r="S26" s="410">
        <v>1096</v>
      </c>
      <c r="T26" s="410">
        <v>1163</v>
      </c>
      <c r="U26" s="410">
        <v>1114</v>
      </c>
      <c r="V26" s="410">
        <v>1176</v>
      </c>
      <c r="W26" s="26">
        <v>1230</v>
      </c>
      <c r="X26" s="49">
        <f t="shared" si="8"/>
        <v>14190</v>
      </c>
      <c r="Y26" s="69"/>
      <c r="Z26" s="69"/>
    </row>
    <row r="27" spans="1:26">
      <c r="A27" s="114">
        <f t="shared" si="9"/>
        <v>2018044</v>
      </c>
      <c r="B27" s="74"/>
      <c r="C27" s="642"/>
      <c r="D27" s="645"/>
      <c r="E27" s="645"/>
      <c r="F27" s="645"/>
      <c r="G27" s="645"/>
      <c r="H27" s="645"/>
      <c r="I27" s="648"/>
      <c r="J27" s="629"/>
      <c r="K27" s="174" t="s">
        <v>32</v>
      </c>
      <c r="L27" s="395">
        <v>1353</v>
      </c>
      <c r="M27" s="443">
        <v>1301</v>
      </c>
      <c r="N27" s="443">
        <v>1315</v>
      </c>
      <c r="O27" s="443">
        <v>1368</v>
      </c>
      <c r="P27" s="443">
        <v>1248</v>
      </c>
      <c r="Q27" s="443">
        <v>1281</v>
      </c>
      <c r="R27" s="443">
        <v>1387</v>
      </c>
      <c r="S27" s="443">
        <v>1206</v>
      </c>
      <c r="T27" s="443">
        <v>1279</v>
      </c>
      <c r="U27" s="443">
        <v>1226</v>
      </c>
      <c r="V27" s="443">
        <v>1294</v>
      </c>
      <c r="W27" s="221">
        <v>1353</v>
      </c>
      <c r="X27" s="49">
        <f t="shared" si="8"/>
        <v>15611</v>
      </c>
      <c r="Y27" s="69"/>
      <c r="Z27" s="69"/>
    </row>
    <row r="28" spans="1:26">
      <c r="A28" s="114">
        <f>+A27</f>
        <v>2018044</v>
      </c>
      <c r="B28" s="74"/>
      <c r="C28" s="654"/>
      <c r="D28" s="655"/>
      <c r="E28" s="655"/>
      <c r="F28" s="655"/>
      <c r="G28" s="655"/>
      <c r="H28" s="655"/>
      <c r="I28" s="652"/>
      <c r="J28" s="630"/>
      <c r="K28" s="175" t="s">
        <v>33</v>
      </c>
      <c r="L28" s="356">
        <f t="shared" ref="L28:X28" si="11">L17-L20</f>
        <v>45512</v>
      </c>
      <c r="M28" s="412">
        <f t="shared" si="11"/>
        <v>39372</v>
      </c>
      <c r="N28" s="412">
        <f t="shared" si="11"/>
        <v>42449</v>
      </c>
      <c r="O28" s="412">
        <f t="shared" si="11"/>
        <v>46584</v>
      </c>
      <c r="P28" s="412">
        <f t="shared" si="11"/>
        <v>35217</v>
      </c>
      <c r="Q28" s="412">
        <f t="shared" si="11"/>
        <v>36595</v>
      </c>
      <c r="R28" s="412">
        <f t="shared" si="11"/>
        <v>47592</v>
      </c>
      <c r="S28" s="412">
        <f t="shared" si="11"/>
        <v>-19517</v>
      </c>
      <c r="T28" s="412">
        <f t="shared" si="11"/>
        <v>-5742</v>
      </c>
      <c r="U28" s="412">
        <f t="shared" si="11"/>
        <v>-9420</v>
      </c>
      <c r="V28" s="412">
        <f t="shared" si="11"/>
        <v>-55810</v>
      </c>
      <c r="W28" s="101">
        <f t="shared" si="11"/>
        <v>45512</v>
      </c>
      <c r="X28" s="51">
        <f t="shared" si="11"/>
        <v>248344</v>
      </c>
      <c r="Y28" s="69"/>
      <c r="Z28" s="69"/>
    </row>
    <row r="29" spans="1:26" ht="12.75" customHeight="1">
      <c r="A29" s="113">
        <v>2018027</v>
      </c>
      <c r="C29" s="641">
        <f t="shared" ref="C29" si="12">C17+1</f>
        <v>3</v>
      </c>
      <c r="D29" s="644" t="s">
        <v>94</v>
      </c>
      <c r="E29" s="644"/>
      <c r="F29" s="644"/>
      <c r="G29" s="644" t="s">
        <v>166</v>
      </c>
      <c r="H29" s="644"/>
      <c r="I29" s="647"/>
      <c r="J29" s="628" t="s">
        <v>65</v>
      </c>
      <c r="K29" s="176" t="s">
        <v>23</v>
      </c>
      <c r="L29" s="353">
        <f t="shared" ref="L29:W29" si="13">L30+L31</f>
        <v>470000</v>
      </c>
      <c r="M29" s="409">
        <f t="shared" si="13"/>
        <v>470000</v>
      </c>
      <c r="N29" s="409">
        <f t="shared" si="13"/>
        <v>471250</v>
      </c>
      <c r="O29" s="409">
        <f t="shared" si="13"/>
        <v>471250</v>
      </c>
      <c r="P29" s="409">
        <f t="shared" si="13"/>
        <v>471250</v>
      </c>
      <c r="Q29" s="409">
        <f t="shared" si="13"/>
        <v>470000</v>
      </c>
      <c r="R29" s="409">
        <f t="shared" si="13"/>
        <v>470000</v>
      </c>
      <c r="S29" s="409">
        <f t="shared" si="13"/>
        <v>471250</v>
      </c>
      <c r="T29" s="409">
        <f t="shared" si="13"/>
        <v>470000</v>
      </c>
      <c r="U29" s="409">
        <f t="shared" si="13"/>
        <v>470000</v>
      </c>
      <c r="V29" s="409">
        <f t="shared" si="13"/>
        <v>465370</v>
      </c>
      <c r="W29" s="97">
        <f t="shared" si="13"/>
        <v>471111.11111111112</v>
      </c>
      <c r="X29" s="117">
        <f t="shared" ref="X29:X39" si="14">SUM(L29:W29)</f>
        <v>5641481.111111111</v>
      </c>
      <c r="Y29" s="69"/>
      <c r="Z29" s="69"/>
    </row>
    <row r="30" spans="1:26">
      <c r="A30" s="114">
        <f>+A29</f>
        <v>2018027</v>
      </c>
      <c r="B30" s="74"/>
      <c r="C30" s="642"/>
      <c r="D30" s="645"/>
      <c r="E30" s="645"/>
      <c r="F30" s="645"/>
      <c r="G30" s="645"/>
      <c r="H30" s="645"/>
      <c r="I30" s="648"/>
      <c r="J30" s="629"/>
      <c r="K30" s="172" t="s">
        <v>24</v>
      </c>
      <c r="L30" s="362">
        <v>470000</v>
      </c>
      <c r="M30" s="301">
        <v>470000</v>
      </c>
      <c r="N30" s="301">
        <v>470000</v>
      </c>
      <c r="O30" s="301">
        <v>470000</v>
      </c>
      <c r="P30" s="301">
        <v>470000</v>
      </c>
      <c r="Q30" s="301">
        <v>470000</v>
      </c>
      <c r="R30" s="301">
        <v>470000</v>
      </c>
      <c r="S30" s="301">
        <v>470000</v>
      </c>
      <c r="T30" s="301">
        <v>470000</v>
      </c>
      <c r="U30" s="301">
        <v>470000</v>
      </c>
      <c r="V30" s="301">
        <v>464120</v>
      </c>
      <c r="W30" s="102">
        <v>470000</v>
      </c>
      <c r="X30" s="49">
        <f t="shared" si="14"/>
        <v>5634120</v>
      </c>
      <c r="Y30" s="69"/>
      <c r="Z30" s="69"/>
    </row>
    <row r="31" spans="1:26">
      <c r="A31" s="114">
        <f>+A30</f>
        <v>2018027</v>
      </c>
      <c r="B31" s="74"/>
      <c r="C31" s="642"/>
      <c r="D31" s="645"/>
      <c r="E31" s="645"/>
      <c r="F31" s="645"/>
      <c r="G31" s="645"/>
      <c r="H31" s="645"/>
      <c r="I31" s="648"/>
      <c r="J31" s="629"/>
      <c r="K31" s="146" t="s">
        <v>96</v>
      </c>
      <c r="L31" s="517">
        <v>0</v>
      </c>
      <c r="M31" s="518">
        <v>0</v>
      </c>
      <c r="N31" s="518">
        <v>1250</v>
      </c>
      <c r="O31" s="518">
        <v>1250</v>
      </c>
      <c r="P31" s="518">
        <v>1250</v>
      </c>
      <c r="Q31" s="518">
        <v>0</v>
      </c>
      <c r="R31" s="518">
        <v>0</v>
      </c>
      <c r="S31" s="518">
        <v>1250</v>
      </c>
      <c r="T31" s="518">
        <v>0</v>
      </c>
      <c r="U31" s="518">
        <v>0</v>
      </c>
      <c r="V31" s="518">
        <v>1250</v>
      </c>
      <c r="W31" s="519">
        <v>1111.1111111111111</v>
      </c>
      <c r="X31" s="49">
        <f t="shared" si="14"/>
        <v>7361.1111111111113</v>
      </c>
      <c r="Y31" s="69"/>
      <c r="Z31" s="69"/>
    </row>
    <row r="32" spans="1:26">
      <c r="A32" s="114">
        <f t="shared" ref="A32:A39" si="15">+A31</f>
        <v>2018027</v>
      </c>
      <c r="B32" s="74"/>
      <c r="C32" s="642"/>
      <c r="D32" s="645"/>
      <c r="E32" s="645"/>
      <c r="F32" s="645"/>
      <c r="G32" s="645"/>
      <c r="H32" s="645"/>
      <c r="I32" s="648"/>
      <c r="J32" s="629"/>
      <c r="K32" s="173" t="s">
        <v>26</v>
      </c>
      <c r="L32" s="355">
        <f t="shared" ref="L32:W32" si="16">SUM(L33:L39)</f>
        <v>395787</v>
      </c>
      <c r="M32" s="411">
        <f t="shared" si="16"/>
        <v>394961</v>
      </c>
      <c r="N32" s="411">
        <f t="shared" si="16"/>
        <v>397820</v>
      </c>
      <c r="O32" s="411">
        <f t="shared" si="16"/>
        <v>395457</v>
      </c>
      <c r="P32" s="411">
        <f t="shared" si="16"/>
        <v>393072</v>
      </c>
      <c r="Q32" s="411">
        <f t="shared" si="16"/>
        <v>394191</v>
      </c>
      <c r="R32" s="411">
        <f t="shared" si="16"/>
        <v>394193</v>
      </c>
      <c r="S32" s="411">
        <f t="shared" si="16"/>
        <v>392667</v>
      </c>
      <c r="T32" s="411">
        <f t="shared" si="16"/>
        <v>393001</v>
      </c>
      <c r="U32" s="411">
        <f t="shared" si="16"/>
        <v>392597</v>
      </c>
      <c r="V32" s="411">
        <f t="shared" si="16"/>
        <v>393638</v>
      </c>
      <c r="W32" s="99">
        <f t="shared" si="16"/>
        <v>395787</v>
      </c>
      <c r="X32" s="50">
        <f t="shared" si="14"/>
        <v>4733171</v>
      </c>
      <c r="Y32" s="69"/>
      <c r="Z32" s="69"/>
    </row>
    <row r="33" spans="1:26">
      <c r="A33" s="114">
        <f t="shared" si="15"/>
        <v>2018027</v>
      </c>
      <c r="B33" s="74"/>
      <c r="C33" s="642"/>
      <c r="D33" s="645"/>
      <c r="E33" s="645"/>
      <c r="F33" s="645"/>
      <c r="G33" s="645"/>
      <c r="H33" s="645"/>
      <c r="I33" s="648"/>
      <c r="J33" s="629"/>
      <c r="K33" s="174" t="s">
        <v>27</v>
      </c>
      <c r="L33" s="343">
        <v>333200</v>
      </c>
      <c r="M33" s="297">
        <v>332800</v>
      </c>
      <c r="N33" s="297">
        <v>334450</v>
      </c>
      <c r="O33" s="297">
        <v>335650</v>
      </c>
      <c r="P33" s="297">
        <v>335650</v>
      </c>
      <c r="Q33" s="297">
        <v>332800</v>
      </c>
      <c r="R33" s="297">
        <v>334400</v>
      </c>
      <c r="S33" s="297">
        <v>335250</v>
      </c>
      <c r="T33" s="297">
        <v>334400</v>
      </c>
      <c r="U33" s="297">
        <v>334000</v>
      </c>
      <c r="V33" s="297">
        <v>334850</v>
      </c>
      <c r="W33" s="91">
        <v>333200</v>
      </c>
      <c r="X33" s="49">
        <f t="shared" si="14"/>
        <v>4010650</v>
      </c>
      <c r="Y33" s="69"/>
      <c r="Z33" s="69"/>
    </row>
    <row r="34" spans="1:26">
      <c r="A34" s="114">
        <f t="shared" si="15"/>
        <v>2018027</v>
      </c>
      <c r="B34" s="74"/>
      <c r="C34" s="642"/>
      <c r="D34" s="645"/>
      <c r="E34" s="645"/>
      <c r="F34" s="645"/>
      <c r="G34" s="645"/>
      <c r="H34" s="645"/>
      <c r="I34" s="648"/>
      <c r="J34" s="629"/>
      <c r="K34" s="174" t="s">
        <v>34</v>
      </c>
      <c r="L34" s="343"/>
      <c r="M34" s="297"/>
      <c r="N34" s="297"/>
      <c r="O34" s="297"/>
      <c r="P34" s="297"/>
      <c r="Q34" s="297"/>
      <c r="R34" s="297"/>
      <c r="S34" s="297"/>
      <c r="T34" s="297"/>
      <c r="U34" s="297"/>
      <c r="V34" s="297"/>
      <c r="W34" s="91"/>
      <c r="X34" s="49">
        <f t="shared" si="14"/>
        <v>0</v>
      </c>
      <c r="Y34" s="69"/>
      <c r="Z34" s="69"/>
    </row>
    <row r="35" spans="1:26">
      <c r="A35" s="114">
        <f t="shared" si="15"/>
        <v>2018027</v>
      </c>
      <c r="B35" s="74"/>
      <c r="C35" s="642"/>
      <c r="D35" s="645"/>
      <c r="E35" s="645"/>
      <c r="F35" s="645"/>
      <c r="G35" s="645"/>
      <c r="H35" s="645"/>
      <c r="I35" s="648"/>
      <c r="J35" s="629"/>
      <c r="K35" s="174" t="s">
        <v>28</v>
      </c>
      <c r="L35" s="343">
        <v>8678</v>
      </c>
      <c r="M35" s="297">
        <v>8260</v>
      </c>
      <c r="N35" s="297">
        <v>9440</v>
      </c>
      <c r="O35" s="297">
        <v>5900</v>
      </c>
      <c r="P35" s="297">
        <v>3540</v>
      </c>
      <c r="Q35" s="297">
        <v>7498</v>
      </c>
      <c r="R35" s="297">
        <v>5900</v>
      </c>
      <c r="S35" s="297">
        <v>3540</v>
      </c>
      <c r="T35" s="297">
        <v>4720</v>
      </c>
      <c r="U35" s="297">
        <v>4720</v>
      </c>
      <c r="V35" s="297">
        <v>4720</v>
      </c>
      <c r="W35" s="91">
        <v>8678</v>
      </c>
      <c r="X35" s="49">
        <f t="shared" si="14"/>
        <v>75594</v>
      </c>
      <c r="Y35" s="69"/>
      <c r="Z35" s="69"/>
    </row>
    <row r="36" spans="1:26">
      <c r="A36" s="114">
        <f t="shared" si="15"/>
        <v>2018027</v>
      </c>
      <c r="B36" s="74"/>
      <c r="C36" s="642"/>
      <c r="D36" s="645"/>
      <c r="E36" s="645"/>
      <c r="F36" s="645"/>
      <c r="G36" s="645"/>
      <c r="H36" s="645"/>
      <c r="I36" s="648"/>
      <c r="J36" s="629"/>
      <c r="K36" s="174" t="s">
        <v>29</v>
      </c>
      <c r="L36" s="329">
        <v>19210</v>
      </c>
      <c r="M36" s="410">
        <v>19210</v>
      </c>
      <c r="N36" s="410">
        <v>19210</v>
      </c>
      <c r="O36" s="410">
        <v>19210</v>
      </c>
      <c r="P36" s="410">
        <v>19210</v>
      </c>
      <c r="Q36" s="410">
        <v>19210</v>
      </c>
      <c r="R36" s="410">
        <v>19210</v>
      </c>
      <c r="S36" s="410">
        <v>19210</v>
      </c>
      <c r="T36" s="410">
        <v>19210</v>
      </c>
      <c r="U36" s="410">
        <v>19210</v>
      </c>
      <c r="V36" s="410">
        <v>19210</v>
      </c>
      <c r="W36" s="26">
        <v>19210</v>
      </c>
      <c r="X36" s="49">
        <f t="shared" si="14"/>
        <v>230520</v>
      </c>
      <c r="Y36" s="69"/>
      <c r="Z36" s="69"/>
    </row>
    <row r="37" spans="1:26">
      <c r="A37" s="114">
        <f t="shared" si="15"/>
        <v>2018027</v>
      </c>
      <c r="B37" s="74"/>
      <c r="C37" s="642"/>
      <c r="D37" s="645"/>
      <c r="E37" s="645"/>
      <c r="F37" s="645"/>
      <c r="G37" s="645"/>
      <c r="H37" s="645"/>
      <c r="I37" s="648"/>
      <c r="J37" s="629"/>
      <c r="K37" s="174" t="s">
        <v>30</v>
      </c>
      <c r="L37" s="329">
        <v>31110</v>
      </c>
      <c r="M37" s="410">
        <v>31110</v>
      </c>
      <c r="N37" s="410">
        <v>31110</v>
      </c>
      <c r="O37" s="410">
        <v>31110</v>
      </c>
      <c r="P37" s="410">
        <v>31110</v>
      </c>
      <c r="Q37" s="410">
        <v>31110</v>
      </c>
      <c r="R37" s="410">
        <v>31110</v>
      </c>
      <c r="S37" s="410">
        <v>31110</v>
      </c>
      <c r="T37" s="410">
        <v>31110</v>
      </c>
      <c r="U37" s="410">
        <v>31110</v>
      </c>
      <c r="V37" s="410">
        <v>31110</v>
      </c>
      <c r="W37" s="26">
        <v>31110</v>
      </c>
      <c r="X37" s="49">
        <f t="shared" si="14"/>
        <v>373320</v>
      </c>
      <c r="Y37" s="69"/>
      <c r="Z37" s="69"/>
    </row>
    <row r="38" spans="1:26">
      <c r="A38" s="114">
        <f t="shared" si="15"/>
        <v>2018027</v>
      </c>
      <c r="B38" s="74"/>
      <c r="C38" s="642"/>
      <c r="D38" s="645"/>
      <c r="E38" s="645"/>
      <c r="F38" s="645"/>
      <c r="G38" s="645"/>
      <c r="H38" s="645"/>
      <c r="I38" s="648"/>
      <c r="J38" s="629"/>
      <c r="K38" s="174" t="s">
        <v>31</v>
      </c>
      <c r="L38" s="329">
        <v>1709</v>
      </c>
      <c r="M38" s="410">
        <v>1705</v>
      </c>
      <c r="N38" s="410">
        <v>1719</v>
      </c>
      <c r="O38" s="410">
        <v>1708</v>
      </c>
      <c r="P38" s="410">
        <v>1696</v>
      </c>
      <c r="Q38" s="410">
        <v>1701</v>
      </c>
      <c r="R38" s="410">
        <v>1701</v>
      </c>
      <c r="S38" s="410">
        <v>1694</v>
      </c>
      <c r="T38" s="410">
        <v>1696</v>
      </c>
      <c r="U38" s="410">
        <v>1694</v>
      </c>
      <c r="V38" s="410">
        <v>1785</v>
      </c>
      <c r="W38" s="26">
        <v>1709</v>
      </c>
      <c r="X38" s="49">
        <f t="shared" si="14"/>
        <v>20517</v>
      </c>
      <c r="Y38" s="69"/>
      <c r="Z38" s="69"/>
    </row>
    <row r="39" spans="1:26">
      <c r="A39" s="114">
        <f t="shared" si="15"/>
        <v>2018027</v>
      </c>
      <c r="B39" s="74"/>
      <c r="C39" s="642"/>
      <c r="D39" s="645"/>
      <c r="E39" s="645"/>
      <c r="F39" s="645"/>
      <c r="G39" s="645"/>
      <c r="H39" s="645"/>
      <c r="I39" s="648"/>
      <c r="J39" s="629"/>
      <c r="K39" s="174" t="s">
        <v>32</v>
      </c>
      <c r="L39" s="395">
        <v>1880</v>
      </c>
      <c r="M39" s="443">
        <v>1876</v>
      </c>
      <c r="N39" s="443">
        <v>1891</v>
      </c>
      <c r="O39" s="443">
        <v>1879</v>
      </c>
      <c r="P39" s="443">
        <v>1866</v>
      </c>
      <c r="Q39" s="443">
        <v>1872</v>
      </c>
      <c r="R39" s="443">
        <v>1872</v>
      </c>
      <c r="S39" s="443">
        <v>1863</v>
      </c>
      <c r="T39" s="443">
        <v>1865</v>
      </c>
      <c r="U39" s="443">
        <v>1863</v>
      </c>
      <c r="V39" s="443">
        <v>1963</v>
      </c>
      <c r="W39" s="221">
        <v>1880</v>
      </c>
      <c r="X39" s="49">
        <f t="shared" si="14"/>
        <v>22570</v>
      </c>
      <c r="Y39" s="69"/>
      <c r="Z39" s="69"/>
    </row>
    <row r="40" spans="1:26">
      <c r="A40" s="114">
        <f>+A39</f>
        <v>2018027</v>
      </c>
      <c r="B40" s="74"/>
      <c r="C40" s="654"/>
      <c r="D40" s="655"/>
      <c r="E40" s="655"/>
      <c r="F40" s="655"/>
      <c r="G40" s="655"/>
      <c r="H40" s="655"/>
      <c r="I40" s="652"/>
      <c r="J40" s="630"/>
      <c r="K40" s="175" t="s">
        <v>33</v>
      </c>
      <c r="L40" s="356">
        <f t="shared" ref="L40:X40" si="17">L29-L32</f>
        <v>74213</v>
      </c>
      <c r="M40" s="412">
        <f t="shared" si="17"/>
        <v>75039</v>
      </c>
      <c r="N40" s="412">
        <f t="shared" si="17"/>
        <v>73430</v>
      </c>
      <c r="O40" s="412">
        <f t="shared" si="17"/>
        <v>75793</v>
      </c>
      <c r="P40" s="412">
        <f t="shared" si="17"/>
        <v>78178</v>
      </c>
      <c r="Q40" s="412">
        <f t="shared" si="17"/>
        <v>75809</v>
      </c>
      <c r="R40" s="412">
        <f t="shared" si="17"/>
        <v>75807</v>
      </c>
      <c r="S40" s="412">
        <f t="shared" si="17"/>
        <v>78583</v>
      </c>
      <c r="T40" s="412">
        <f t="shared" si="17"/>
        <v>76999</v>
      </c>
      <c r="U40" s="412">
        <f t="shared" si="17"/>
        <v>77403</v>
      </c>
      <c r="V40" s="412">
        <f t="shared" si="17"/>
        <v>71732</v>
      </c>
      <c r="W40" s="101">
        <f t="shared" si="17"/>
        <v>75324.111111111124</v>
      </c>
      <c r="X40" s="51">
        <f t="shared" si="17"/>
        <v>908310.11111111101</v>
      </c>
      <c r="Y40" s="69"/>
      <c r="Z40" s="69"/>
    </row>
    <row r="41" spans="1:26" ht="12.75" customHeight="1">
      <c r="A41" s="113">
        <v>2017007</v>
      </c>
      <c r="C41" s="641">
        <f t="shared" ref="C41" si="18">C29+1</f>
        <v>4</v>
      </c>
      <c r="D41" s="644" t="s">
        <v>94</v>
      </c>
      <c r="E41" s="644"/>
      <c r="F41" s="644"/>
      <c r="G41" s="644" t="s">
        <v>167</v>
      </c>
      <c r="H41" s="644"/>
      <c r="I41" s="647"/>
      <c r="J41" s="628" t="s">
        <v>65</v>
      </c>
      <c r="K41" s="176" t="s">
        <v>23</v>
      </c>
      <c r="L41" s="353">
        <f t="shared" ref="L41:Q41" si="19">L42+L43</f>
        <v>536250</v>
      </c>
      <c r="M41" s="409">
        <f t="shared" si="19"/>
        <v>583125</v>
      </c>
      <c r="N41" s="409">
        <f t="shared" si="19"/>
        <v>581250</v>
      </c>
      <c r="O41" s="409">
        <f t="shared" si="19"/>
        <v>600000</v>
      </c>
      <c r="P41" s="409">
        <f t="shared" si="19"/>
        <v>576875</v>
      </c>
      <c r="Q41" s="409">
        <f t="shared" si="19"/>
        <v>620000</v>
      </c>
      <c r="R41" s="409">
        <f>R42+R43</f>
        <v>615000</v>
      </c>
      <c r="S41" s="409">
        <f t="shared" ref="S41:W41" si="20">S42+S43</f>
        <v>578125</v>
      </c>
      <c r="T41" s="409">
        <f t="shared" si="20"/>
        <v>612500</v>
      </c>
      <c r="U41" s="409">
        <f t="shared" si="20"/>
        <v>597500</v>
      </c>
      <c r="V41" s="409">
        <f t="shared" si="20"/>
        <v>568750</v>
      </c>
      <c r="W41" s="97">
        <f t="shared" si="20"/>
        <v>600000</v>
      </c>
      <c r="X41" s="117">
        <f t="shared" ref="X41:X42" si="21">SUM(L41:W41)</f>
        <v>7069375</v>
      </c>
      <c r="Y41" s="69"/>
      <c r="Z41" s="69"/>
    </row>
    <row r="42" spans="1:26">
      <c r="A42" s="114">
        <f>+A41</f>
        <v>2017007</v>
      </c>
      <c r="B42" s="74"/>
      <c r="C42" s="642"/>
      <c r="D42" s="645"/>
      <c r="E42" s="645"/>
      <c r="F42" s="645"/>
      <c r="G42" s="645"/>
      <c r="H42" s="645"/>
      <c r="I42" s="648"/>
      <c r="J42" s="629"/>
      <c r="K42" s="172" t="s">
        <v>24</v>
      </c>
      <c r="L42" s="362">
        <v>536250</v>
      </c>
      <c r="M42" s="301">
        <v>583125</v>
      </c>
      <c r="N42" s="301">
        <v>581250</v>
      </c>
      <c r="O42" s="301">
        <v>600000</v>
      </c>
      <c r="P42" s="301">
        <v>571875</v>
      </c>
      <c r="Q42" s="301">
        <v>600000</v>
      </c>
      <c r="R42" s="301">
        <v>600000</v>
      </c>
      <c r="S42" s="301">
        <v>560625</v>
      </c>
      <c r="T42" s="301">
        <v>600000</v>
      </c>
      <c r="U42" s="301">
        <v>585000</v>
      </c>
      <c r="V42" s="301">
        <v>558750</v>
      </c>
      <c r="W42" s="102">
        <v>600000</v>
      </c>
      <c r="X42" s="49">
        <f t="shared" si="21"/>
        <v>6976875</v>
      </c>
      <c r="Y42" s="69"/>
      <c r="Z42" s="69"/>
    </row>
    <row r="43" spans="1:26">
      <c r="A43" s="114">
        <f>+A42</f>
        <v>2017007</v>
      </c>
      <c r="B43" s="74"/>
      <c r="C43" s="642"/>
      <c r="D43" s="645"/>
      <c r="E43" s="645"/>
      <c r="F43" s="645"/>
      <c r="G43" s="645"/>
      <c r="H43" s="645"/>
      <c r="I43" s="648"/>
      <c r="J43" s="629"/>
      <c r="K43" s="172" t="s">
        <v>96</v>
      </c>
      <c r="L43" s="517">
        <v>0</v>
      </c>
      <c r="M43" s="518">
        <v>0</v>
      </c>
      <c r="N43" s="518">
        <v>0</v>
      </c>
      <c r="O43" s="518">
        <v>0</v>
      </c>
      <c r="P43" s="518">
        <v>5000</v>
      </c>
      <c r="Q43" s="518">
        <v>20000</v>
      </c>
      <c r="R43" s="518">
        <v>15000</v>
      </c>
      <c r="S43" s="518">
        <v>17500</v>
      </c>
      <c r="T43" s="518">
        <v>12500</v>
      </c>
      <c r="U43" s="518">
        <v>12500</v>
      </c>
      <c r="V43" s="518">
        <v>10000</v>
      </c>
      <c r="W43" s="519">
        <v>0</v>
      </c>
      <c r="X43" s="49">
        <f>SUM(L43:W43)</f>
        <v>92500</v>
      </c>
      <c r="Y43" s="69"/>
      <c r="Z43" s="69"/>
    </row>
    <row r="44" spans="1:26">
      <c r="A44" s="114">
        <f t="shared" ref="A44:A51" si="22">+A43</f>
        <v>2017007</v>
      </c>
      <c r="B44" s="74"/>
      <c r="C44" s="642"/>
      <c r="D44" s="645"/>
      <c r="E44" s="645"/>
      <c r="F44" s="645"/>
      <c r="G44" s="645"/>
      <c r="H44" s="645"/>
      <c r="I44" s="648"/>
      <c r="J44" s="629"/>
      <c r="K44" s="173" t="s">
        <v>26</v>
      </c>
      <c r="L44" s="355">
        <f t="shared" ref="L44:W44" si="23">SUM(L45:L51)</f>
        <v>438063</v>
      </c>
      <c r="M44" s="411">
        <f t="shared" si="23"/>
        <v>429923</v>
      </c>
      <c r="N44" s="411">
        <f t="shared" si="23"/>
        <v>434369</v>
      </c>
      <c r="O44" s="411">
        <f t="shared" si="23"/>
        <v>434773</v>
      </c>
      <c r="P44" s="411">
        <f t="shared" si="23"/>
        <v>434571</v>
      </c>
      <c r="Q44" s="411">
        <f t="shared" si="23"/>
        <v>452154</v>
      </c>
      <c r="R44" s="411">
        <f t="shared" si="23"/>
        <v>445889</v>
      </c>
      <c r="S44" s="411">
        <f t="shared" si="23"/>
        <v>442987</v>
      </c>
      <c r="T44" s="411">
        <f t="shared" si="23"/>
        <v>442958</v>
      </c>
      <c r="U44" s="411">
        <f t="shared" si="23"/>
        <v>444575</v>
      </c>
      <c r="V44" s="411">
        <f t="shared" si="23"/>
        <v>440210</v>
      </c>
      <c r="W44" s="99">
        <f t="shared" si="23"/>
        <v>433263</v>
      </c>
      <c r="X44" s="50">
        <f t="shared" ref="X44:X51" si="24">SUM(L44:W44)</f>
        <v>5273735</v>
      </c>
      <c r="Y44" s="69"/>
      <c r="Z44" s="69"/>
    </row>
    <row r="45" spans="1:26">
      <c r="A45" s="114">
        <f t="shared" si="22"/>
        <v>2017007</v>
      </c>
      <c r="B45" s="74"/>
      <c r="C45" s="642"/>
      <c r="D45" s="645"/>
      <c r="E45" s="645"/>
      <c r="F45" s="645"/>
      <c r="G45" s="645"/>
      <c r="H45" s="645"/>
      <c r="I45" s="648"/>
      <c r="J45" s="629"/>
      <c r="K45" s="174" t="s">
        <v>27</v>
      </c>
      <c r="L45" s="343">
        <v>367800</v>
      </c>
      <c r="M45" s="297">
        <v>369800</v>
      </c>
      <c r="N45" s="297">
        <v>374200</v>
      </c>
      <c r="O45" s="297">
        <v>365000</v>
      </c>
      <c r="P45" s="297">
        <v>374400</v>
      </c>
      <c r="Q45" s="297">
        <v>389400</v>
      </c>
      <c r="R45" s="297">
        <v>385600</v>
      </c>
      <c r="S45" s="297">
        <v>382728</v>
      </c>
      <c r="T45" s="297">
        <v>382700</v>
      </c>
      <c r="U45" s="297">
        <v>381900</v>
      </c>
      <c r="V45" s="297">
        <v>379800</v>
      </c>
      <c r="W45" s="91">
        <v>363000</v>
      </c>
      <c r="X45" s="49">
        <f t="shared" si="24"/>
        <v>4516328</v>
      </c>
      <c r="Y45" s="69"/>
      <c r="Z45" s="69"/>
    </row>
    <row r="46" spans="1:26">
      <c r="A46" s="114">
        <f t="shared" si="22"/>
        <v>2017007</v>
      </c>
      <c r="B46" s="74"/>
      <c r="C46" s="642"/>
      <c r="D46" s="645"/>
      <c r="E46" s="645"/>
      <c r="F46" s="645"/>
      <c r="G46" s="645"/>
      <c r="H46" s="645"/>
      <c r="I46" s="648"/>
      <c r="J46" s="629"/>
      <c r="K46" s="174" t="s">
        <v>34</v>
      </c>
      <c r="L46" s="398"/>
      <c r="M46" s="444"/>
      <c r="N46" s="444"/>
      <c r="O46" s="444"/>
      <c r="P46" s="444"/>
      <c r="Q46" s="444"/>
      <c r="R46" s="444"/>
      <c r="S46" s="444"/>
      <c r="T46" s="444"/>
      <c r="U46" s="444"/>
      <c r="V46" s="444"/>
      <c r="W46" s="121"/>
      <c r="X46" s="49">
        <f t="shared" si="24"/>
        <v>0</v>
      </c>
      <c r="Y46" s="69"/>
      <c r="Z46" s="69"/>
    </row>
    <row r="47" spans="1:26">
      <c r="A47" s="114">
        <f t="shared" si="22"/>
        <v>2017007</v>
      </c>
      <c r="B47" s="74"/>
      <c r="C47" s="642"/>
      <c r="D47" s="645"/>
      <c r="E47" s="645"/>
      <c r="F47" s="645"/>
      <c r="G47" s="645"/>
      <c r="H47" s="645"/>
      <c r="I47" s="648"/>
      <c r="J47" s="629"/>
      <c r="K47" s="174" t="s">
        <v>28</v>
      </c>
      <c r="L47" s="343">
        <v>10056</v>
      </c>
      <c r="M47" s="297">
        <v>0</v>
      </c>
      <c r="N47" s="297">
        <v>0</v>
      </c>
      <c r="O47" s="297">
        <v>9600</v>
      </c>
      <c r="P47" s="297">
        <v>0</v>
      </c>
      <c r="Q47" s="297">
        <v>2400</v>
      </c>
      <c r="R47" s="297">
        <v>0</v>
      </c>
      <c r="S47" s="297">
        <v>0</v>
      </c>
      <c r="T47" s="297">
        <v>0</v>
      </c>
      <c r="U47" s="297">
        <v>2400</v>
      </c>
      <c r="V47" s="297">
        <v>0</v>
      </c>
      <c r="W47" s="91">
        <v>10056</v>
      </c>
      <c r="X47" s="49">
        <f t="shared" si="24"/>
        <v>34512</v>
      </c>
      <c r="Y47" s="69"/>
      <c r="Z47" s="69"/>
    </row>
    <row r="48" spans="1:26">
      <c r="A48" s="114">
        <f t="shared" si="22"/>
        <v>2017007</v>
      </c>
      <c r="B48" s="74"/>
      <c r="C48" s="642"/>
      <c r="D48" s="645"/>
      <c r="E48" s="645"/>
      <c r="F48" s="645"/>
      <c r="G48" s="645"/>
      <c r="H48" s="645"/>
      <c r="I48" s="648"/>
      <c r="J48" s="629"/>
      <c r="K48" s="174" t="s">
        <v>29</v>
      </c>
      <c r="L48" s="329">
        <v>21470</v>
      </c>
      <c r="M48" s="410">
        <v>21470</v>
      </c>
      <c r="N48" s="410">
        <v>21470</v>
      </c>
      <c r="O48" s="410">
        <v>21470</v>
      </c>
      <c r="P48" s="410">
        <v>21470</v>
      </c>
      <c r="Q48" s="410">
        <v>21470</v>
      </c>
      <c r="R48" s="410">
        <v>21470</v>
      </c>
      <c r="S48" s="410">
        <v>21470</v>
      </c>
      <c r="T48" s="410">
        <v>21470</v>
      </c>
      <c r="U48" s="410">
        <v>21470</v>
      </c>
      <c r="V48" s="410">
        <v>21470</v>
      </c>
      <c r="W48" s="26">
        <v>21470</v>
      </c>
      <c r="X48" s="49">
        <f t="shared" si="24"/>
        <v>257640</v>
      </c>
      <c r="Y48" s="69"/>
      <c r="Z48" s="69"/>
    </row>
    <row r="49" spans="1:26">
      <c r="A49" s="114">
        <f t="shared" si="22"/>
        <v>2017007</v>
      </c>
      <c r="B49" s="74"/>
      <c r="C49" s="642"/>
      <c r="D49" s="645"/>
      <c r="E49" s="645"/>
      <c r="F49" s="645"/>
      <c r="G49" s="645"/>
      <c r="H49" s="645"/>
      <c r="I49" s="648"/>
      <c r="J49" s="629"/>
      <c r="K49" s="174" t="s">
        <v>30</v>
      </c>
      <c r="L49" s="329">
        <v>34770</v>
      </c>
      <c r="M49" s="410">
        <v>34770</v>
      </c>
      <c r="N49" s="410">
        <v>34770</v>
      </c>
      <c r="O49" s="410">
        <v>34770</v>
      </c>
      <c r="P49" s="410">
        <v>34770</v>
      </c>
      <c r="Q49" s="410">
        <v>34770</v>
      </c>
      <c r="R49" s="410">
        <v>34770</v>
      </c>
      <c r="S49" s="410">
        <v>34770</v>
      </c>
      <c r="T49" s="410">
        <v>34770</v>
      </c>
      <c r="U49" s="410">
        <v>34770</v>
      </c>
      <c r="V49" s="410">
        <v>34770</v>
      </c>
      <c r="W49" s="26">
        <v>34770</v>
      </c>
      <c r="X49" s="49">
        <f t="shared" si="24"/>
        <v>417240</v>
      </c>
      <c r="Y49" s="69"/>
      <c r="Z49" s="69"/>
    </row>
    <row r="50" spans="1:26">
      <c r="A50" s="114">
        <f t="shared" si="22"/>
        <v>2017007</v>
      </c>
      <c r="B50" s="74"/>
      <c r="C50" s="642"/>
      <c r="D50" s="645"/>
      <c r="E50" s="645"/>
      <c r="F50" s="645"/>
      <c r="G50" s="645"/>
      <c r="H50" s="645"/>
      <c r="I50" s="648"/>
      <c r="J50" s="629"/>
      <c r="K50" s="174" t="s">
        <v>31</v>
      </c>
      <c r="L50" s="329">
        <v>1889</v>
      </c>
      <c r="M50" s="410">
        <v>1849</v>
      </c>
      <c r="N50" s="410">
        <v>1871</v>
      </c>
      <c r="O50" s="410">
        <v>1873</v>
      </c>
      <c r="P50" s="410">
        <v>1872</v>
      </c>
      <c r="Q50" s="410">
        <v>1959</v>
      </c>
      <c r="R50" s="410">
        <v>1928</v>
      </c>
      <c r="S50" s="410">
        <v>1914</v>
      </c>
      <c r="T50" s="410">
        <v>1913</v>
      </c>
      <c r="U50" s="410">
        <v>1921</v>
      </c>
      <c r="V50" s="410">
        <v>1986</v>
      </c>
      <c r="W50" s="26">
        <v>1889</v>
      </c>
      <c r="X50" s="49">
        <f t="shared" si="24"/>
        <v>22864</v>
      </c>
      <c r="Y50" s="69"/>
      <c r="Z50" s="69"/>
    </row>
    <row r="51" spans="1:26">
      <c r="A51" s="114">
        <f t="shared" si="22"/>
        <v>2017007</v>
      </c>
      <c r="B51" s="74"/>
      <c r="C51" s="642"/>
      <c r="D51" s="645"/>
      <c r="E51" s="645"/>
      <c r="F51" s="645"/>
      <c r="G51" s="645"/>
      <c r="H51" s="645"/>
      <c r="I51" s="648"/>
      <c r="J51" s="629"/>
      <c r="K51" s="174" t="s">
        <v>32</v>
      </c>
      <c r="L51" s="395">
        <v>2078</v>
      </c>
      <c r="M51" s="443">
        <v>2034</v>
      </c>
      <c r="N51" s="443">
        <v>2058</v>
      </c>
      <c r="O51" s="443">
        <v>2060</v>
      </c>
      <c r="P51" s="443">
        <v>2059</v>
      </c>
      <c r="Q51" s="443">
        <v>2155</v>
      </c>
      <c r="R51" s="443">
        <v>2121</v>
      </c>
      <c r="S51" s="443">
        <v>2105</v>
      </c>
      <c r="T51" s="443">
        <v>2105</v>
      </c>
      <c r="U51" s="443">
        <v>2114</v>
      </c>
      <c r="V51" s="443">
        <v>2184</v>
      </c>
      <c r="W51" s="221">
        <v>2078</v>
      </c>
      <c r="X51" s="49">
        <f t="shared" si="24"/>
        <v>25151</v>
      </c>
      <c r="Y51" s="69"/>
      <c r="Z51" s="69"/>
    </row>
    <row r="52" spans="1:26">
      <c r="A52" s="114">
        <f>+A51</f>
        <v>2017007</v>
      </c>
      <c r="B52" s="74"/>
      <c r="C52" s="654"/>
      <c r="D52" s="645"/>
      <c r="E52" s="645"/>
      <c r="F52" s="645"/>
      <c r="G52" s="645"/>
      <c r="H52" s="645"/>
      <c r="I52" s="648"/>
      <c r="J52" s="629"/>
      <c r="K52" s="239" t="s">
        <v>33</v>
      </c>
      <c r="L52" s="399">
        <f>L41-L44</f>
        <v>98187</v>
      </c>
      <c r="M52" s="445">
        <f t="shared" ref="M52:W52" si="25">M41-M44</f>
        <v>153202</v>
      </c>
      <c r="N52" s="445">
        <f t="shared" si="25"/>
        <v>146881</v>
      </c>
      <c r="O52" s="445">
        <f t="shared" si="25"/>
        <v>165227</v>
      </c>
      <c r="P52" s="445">
        <f t="shared" si="25"/>
        <v>142304</v>
      </c>
      <c r="Q52" s="445">
        <f t="shared" si="25"/>
        <v>167846</v>
      </c>
      <c r="R52" s="445">
        <f t="shared" si="25"/>
        <v>169111</v>
      </c>
      <c r="S52" s="445">
        <f t="shared" si="25"/>
        <v>135138</v>
      </c>
      <c r="T52" s="445">
        <f t="shared" si="25"/>
        <v>169542</v>
      </c>
      <c r="U52" s="445">
        <f t="shared" si="25"/>
        <v>152925</v>
      </c>
      <c r="V52" s="445">
        <f t="shared" si="25"/>
        <v>128540</v>
      </c>
      <c r="W52" s="240">
        <f t="shared" si="25"/>
        <v>166737</v>
      </c>
      <c r="X52" s="241">
        <f>X41-X44</f>
        <v>1795640</v>
      </c>
      <c r="Y52" s="69"/>
      <c r="Z52" s="69"/>
    </row>
    <row r="53" spans="1:26" ht="12" customHeight="1">
      <c r="A53" s="116">
        <v>2024027</v>
      </c>
      <c r="C53" s="641">
        <f t="shared" ref="C53" si="26">C41+1</f>
        <v>5</v>
      </c>
      <c r="D53" s="644" t="s">
        <v>94</v>
      </c>
      <c r="E53" s="644" t="s">
        <v>173</v>
      </c>
      <c r="F53" s="644"/>
      <c r="G53" s="644" t="s">
        <v>167</v>
      </c>
      <c r="H53" s="644"/>
      <c r="I53" s="647"/>
      <c r="J53" s="628" t="s">
        <v>65</v>
      </c>
      <c r="K53" s="176" t="s">
        <v>23</v>
      </c>
      <c r="L53" s="353">
        <f t="shared" ref="L53:Q53" si="27">L54+L55</f>
        <v>450000</v>
      </c>
      <c r="M53" s="342">
        <f t="shared" si="27"/>
        <v>450000</v>
      </c>
      <c r="N53" s="342">
        <f t="shared" si="27"/>
        <v>450000</v>
      </c>
      <c r="O53" s="409">
        <f t="shared" si="27"/>
        <v>0</v>
      </c>
      <c r="P53" s="409">
        <f t="shared" si="27"/>
        <v>0</v>
      </c>
      <c r="Q53" s="409">
        <f t="shared" si="27"/>
        <v>0</v>
      </c>
      <c r="R53" s="409">
        <f>R54+R55</f>
        <v>0</v>
      </c>
      <c r="S53" s="409">
        <f t="shared" ref="S53:W53" si="28">S54+S55</f>
        <v>0</v>
      </c>
      <c r="T53" s="409">
        <f t="shared" si="28"/>
        <v>0</v>
      </c>
      <c r="U53" s="409">
        <f t="shared" si="28"/>
        <v>0</v>
      </c>
      <c r="V53" s="409">
        <f t="shared" si="28"/>
        <v>0</v>
      </c>
      <c r="W53" s="448">
        <f t="shared" si="28"/>
        <v>0</v>
      </c>
      <c r="X53" s="449">
        <f t="shared" ref="X53:X54" si="29">SUM(L53:W53)</f>
        <v>1350000</v>
      </c>
      <c r="Y53" s="69"/>
      <c r="Z53" s="69"/>
    </row>
    <row r="54" spans="1:26">
      <c r="A54" s="114">
        <f>+A53</f>
        <v>2024027</v>
      </c>
      <c r="B54" s="74"/>
      <c r="C54" s="642"/>
      <c r="D54" s="645"/>
      <c r="E54" s="645"/>
      <c r="F54" s="645"/>
      <c r="G54" s="645"/>
      <c r="H54" s="645"/>
      <c r="I54" s="648"/>
      <c r="J54" s="629"/>
      <c r="K54" s="172" t="s">
        <v>24</v>
      </c>
      <c r="L54" s="362">
        <v>450000</v>
      </c>
      <c r="M54" s="362">
        <v>450000</v>
      </c>
      <c r="N54" s="362">
        <v>450000</v>
      </c>
      <c r="O54" s="301"/>
      <c r="P54" s="301"/>
      <c r="Q54" s="301"/>
      <c r="R54" s="301"/>
      <c r="S54" s="301"/>
      <c r="T54" s="301"/>
      <c r="U54" s="301"/>
      <c r="V54" s="301"/>
      <c r="W54" s="362"/>
      <c r="X54" s="450">
        <f t="shared" si="29"/>
        <v>1350000</v>
      </c>
      <c r="Y54" s="69"/>
      <c r="Z54" s="69"/>
    </row>
    <row r="55" spans="1:26">
      <c r="A55" s="114">
        <f>+A54</f>
        <v>2024027</v>
      </c>
      <c r="B55" s="74"/>
      <c r="C55" s="642"/>
      <c r="D55" s="645"/>
      <c r="E55" s="645"/>
      <c r="F55" s="645"/>
      <c r="G55" s="645"/>
      <c r="H55" s="645"/>
      <c r="I55" s="648"/>
      <c r="J55" s="629"/>
      <c r="K55" s="146" t="s">
        <v>96</v>
      </c>
      <c r="L55" s="392"/>
      <c r="M55" s="362"/>
      <c r="N55" s="362"/>
      <c r="O55" s="301"/>
      <c r="P55" s="301"/>
      <c r="Q55" s="301"/>
      <c r="R55" s="301"/>
      <c r="S55" s="301"/>
      <c r="T55" s="301"/>
      <c r="U55" s="301"/>
      <c r="V55" s="301"/>
      <c r="W55" s="362"/>
      <c r="X55" s="450">
        <f>SUM(L55:W55)</f>
        <v>0</v>
      </c>
      <c r="Y55" s="69"/>
      <c r="Z55" s="69"/>
    </row>
    <row r="56" spans="1:26">
      <c r="A56" s="114">
        <f t="shared" ref="A56:A63" si="30">+A55</f>
        <v>2024027</v>
      </c>
      <c r="B56" s="74"/>
      <c r="C56" s="642"/>
      <c r="D56" s="645"/>
      <c r="E56" s="645"/>
      <c r="F56" s="645"/>
      <c r="G56" s="645"/>
      <c r="H56" s="645"/>
      <c r="I56" s="648"/>
      <c r="J56" s="629"/>
      <c r="K56" s="173" t="s">
        <v>26</v>
      </c>
      <c r="L56" s="355">
        <f t="shared" ref="L56:W56" si="31">SUM(L57:L63)</f>
        <v>287148</v>
      </c>
      <c r="M56" s="344">
        <f t="shared" si="31"/>
        <v>286744</v>
      </c>
      <c r="N56" s="344">
        <f t="shared" si="31"/>
        <v>290004</v>
      </c>
      <c r="O56" s="411">
        <f t="shared" si="31"/>
        <v>0</v>
      </c>
      <c r="P56" s="411">
        <f t="shared" si="31"/>
        <v>0</v>
      </c>
      <c r="Q56" s="411">
        <f t="shared" si="31"/>
        <v>0</v>
      </c>
      <c r="R56" s="411">
        <f t="shared" si="31"/>
        <v>0</v>
      </c>
      <c r="S56" s="411">
        <f t="shared" si="31"/>
        <v>0</v>
      </c>
      <c r="T56" s="411">
        <f t="shared" si="31"/>
        <v>0</v>
      </c>
      <c r="U56" s="411">
        <f t="shared" si="31"/>
        <v>0</v>
      </c>
      <c r="V56" s="411">
        <f t="shared" si="31"/>
        <v>0</v>
      </c>
      <c r="W56" s="452">
        <f t="shared" si="31"/>
        <v>0</v>
      </c>
      <c r="X56" s="453">
        <f t="shared" ref="X56:X63" si="32">SUM(L56:W56)</f>
        <v>863896</v>
      </c>
      <c r="Y56" s="69"/>
      <c r="Z56" s="69"/>
    </row>
    <row r="57" spans="1:26">
      <c r="A57" s="114">
        <f t="shared" si="30"/>
        <v>2024027</v>
      </c>
      <c r="B57" s="74"/>
      <c r="C57" s="642"/>
      <c r="D57" s="645"/>
      <c r="E57" s="645"/>
      <c r="F57" s="645"/>
      <c r="G57" s="645"/>
      <c r="H57" s="645"/>
      <c r="I57" s="648"/>
      <c r="J57" s="629"/>
      <c r="K57" s="174" t="s">
        <v>27</v>
      </c>
      <c r="L57" s="343">
        <v>248400</v>
      </c>
      <c r="M57" s="343">
        <v>248000</v>
      </c>
      <c r="N57" s="329">
        <v>248400</v>
      </c>
      <c r="O57" s="297"/>
      <c r="P57" s="297"/>
      <c r="Q57" s="297"/>
      <c r="R57" s="297"/>
      <c r="S57" s="297"/>
      <c r="T57" s="297"/>
      <c r="U57" s="297"/>
      <c r="V57" s="297"/>
      <c r="W57" s="343"/>
      <c r="X57" s="450">
        <f t="shared" si="32"/>
        <v>744800</v>
      </c>
      <c r="Y57" s="69"/>
      <c r="Z57" s="69"/>
    </row>
    <row r="58" spans="1:26">
      <c r="A58" s="114">
        <f t="shared" si="30"/>
        <v>2024027</v>
      </c>
      <c r="B58" s="74"/>
      <c r="C58" s="642"/>
      <c r="D58" s="645"/>
      <c r="E58" s="645"/>
      <c r="F58" s="645"/>
      <c r="G58" s="645"/>
      <c r="H58" s="645"/>
      <c r="I58" s="648"/>
      <c r="J58" s="629"/>
      <c r="K58" s="174" t="s">
        <v>34</v>
      </c>
      <c r="L58" s="398"/>
      <c r="M58" s="488"/>
      <c r="N58" s="489"/>
      <c r="O58" s="444"/>
      <c r="P58" s="444"/>
      <c r="Q58" s="444"/>
      <c r="R58" s="444"/>
      <c r="S58" s="444"/>
      <c r="T58" s="444"/>
      <c r="U58" s="444"/>
      <c r="V58" s="444"/>
      <c r="W58" s="488"/>
      <c r="X58" s="450">
        <f t="shared" si="32"/>
        <v>0</v>
      </c>
      <c r="Y58" s="69"/>
      <c r="Z58" s="69"/>
    </row>
    <row r="59" spans="1:26">
      <c r="A59" s="114">
        <f t="shared" si="30"/>
        <v>2024027</v>
      </c>
      <c r="B59" s="74"/>
      <c r="C59" s="642"/>
      <c r="D59" s="645"/>
      <c r="E59" s="645"/>
      <c r="F59" s="645"/>
      <c r="G59" s="645"/>
      <c r="H59" s="645"/>
      <c r="I59" s="648"/>
      <c r="J59" s="629"/>
      <c r="K59" s="174" t="s">
        <v>28</v>
      </c>
      <c r="L59" s="343">
        <v>0</v>
      </c>
      <c r="M59" s="343">
        <v>0</v>
      </c>
      <c r="N59" s="329">
        <v>2826</v>
      </c>
      <c r="O59" s="297"/>
      <c r="P59" s="297"/>
      <c r="Q59" s="297"/>
      <c r="R59" s="297"/>
      <c r="S59" s="297"/>
      <c r="T59" s="297"/>
      <c r="U59" s="297"/>
      <c r="V59" s="297"/>
      <c r="W59" s="343"/>
      <c r="X59" s="450">
        <f t="shared" si="32"/>
        <v>2826</v>
      </c>
      <c r="Y59" s="69"/>
      <c r="Z59" s="69"/>
    </row>
    <row r="60" spans="1:26">
      <c r="A60" s="114">
        <f t="shared" si="30"/>
        <v>2024027</v>
      </c>
      <c r="B60" s="74"/>
      <c r="C60" s="642"/>
      <c r="D60" s="645"/>
      <c r="E60" s="645"/>
      <c r="F60" s="645"/>
      <c r="G60" s="645"/>
      <c r="H60" s="645"/>
      <c r="I60" s="648"/>
      <c r="J60" s="629"/>
      <c r="K60" s="174" t="s">
        <v>29</v>
      </c>
      <c r="L60" s="329">
        <v>12350</v>
      </c>
      <c r="M60" s="329">
        <v>12350</v>
      </c>
      <c r="N60" s="329">
        <v>12350</v>
      </c>
      <c r="O60" s="410"/>
      <c r="P60" s="410"/>
      <c r="Q60" s="410"/>
      <c r="R60" s="410"/>
      <c r="S60" s="410"/>
      <c r="T60" s="410"/>
      <c r="U60" s="410"/>
      <c r="V60" s="410"/>
      <c r="W60" s="329"/>
      <c r="X60" s="450">
        <f t="shared" si="32"/>
        <v>37050</v>
      </c>
      <c r="Y60" s="69"/>
      <c r="Z60" s="69"/>
    </row>
    <row r="61" spans="1:26">
      <c r="A61" s="114">
        <f t="shared" si="30"/>
        <v>2024027</v>
      </c>
      <c r="B61" s="74"/>
      <c r="C61" s="642"/>
      <c r="D61" s="645"/>
      <c r="E61" s="645"/>
      <c r="F61" s="645"/>
      <c r="G61" s="645"/>
      <c r="H61" s="645"/>
      <c r="I61" s="648"/>
      <c r="J61" s="629"/>
      <c r="K61" s="174" t="s">
        <v>30</v>
      </c>
      <c r="L61" s="329">
        <v>23790</v>
      </c>
      <c r="M61" s="329">
        <v>23790</v>
      </c>
      <c r="N61" s="329">
        <v>23790</v>
      </c>
      <c r="O61" s="410"/>
      <c r="P61" s="410"/>
      <c r="Q61" s="410"/>
      <c r="R61" s="410"/>
      <c r="S61" s="410"/>
      <c r="T61" s="410"/>
      <c r="U61" s="410"/>
      <c r="V61" s="410"/>
      <c r="W61" s="329"/>
      <c r="X61" s="450">
        <f t="shared" si="32"/>
        <v>71370</v>
      </c>
      <c r="Y61" s="69"/>
      <c r="Z61" s="69"/>
    </row>
    <row r="62" spans="1:26">
      <c r="A62" s="114">
        <f t="shared" si="30"/>
        <v>2024027</v>
      </c>
      <c r="B62" s="74"/>
      <c r="C62" s="642"/>
      <c r="D62" s="645"/>
      <c r="E62" s="645"/>
      <c r="F62" s="645"/>
      <c r="G62" s="645"/>
      <c r="H62" s="645"/>
      <c r="I62" s="648"/>
      <c r="J62" s="629"/>
      <c r="K62" s="174" t="s">
        <v>31</v>
      </c>
      <c r="L62" s="329">
        <v>1242</v>
      </c>
      <c r="M62" s="329">
        <v>1240</v>
      </c>
      <c r="N62" s="329">
        <v>1256</v>
      </c>
      <c r="O62" s="410"/>
      <c r="P62" s="410"/>
      <c r="Q62" s="410"/>
      <c r="R62" s="410"/>
      <c r="S62" s="410"/>
      <c r="T62" s="410"/>
      <c r="U62" s="410"/>
      <c r="V62" s="410"/>
      <c r="W62" s="329"/>
      <c r="X62" s="450">
        <f t="shared" si="32"/>
        <v>3738</v>
      </c>
      <c r="Y62" s="69"/>
      <c r="Z62" s="69"/>
    </row>
    <row r="63" spans="1:26">
      <c r="A63" s="114">
        <f t="shared" si="30"/>
        <v>2024027</v>
      </c>
      <c r="B63" s="74"/>
      <c r="C63" s="642"/>
      <c r="D63" s="645"/>
      <c r="E63" s="645"/>
      <c r="F63" s="645"/>
      <c r="G63" s="645"/>
      <c r="H63" s="645"/>
      <c r="I63" s="648"/>
      <c r="J63" s="629"/>
      <c r="K63" s="174" t="s">
        <v>32</v>
      </c>
      <c r="L63" s="395">
        <v>1366</v>
      </c>
      <c r="M63" s="395">
        <v>1364</v>
      </c>
      <c r="N63" s="329">
        <v>1382</v>
      </c>
      <c r="O63" s="443"/>
      <c r="P63" s="443"/>
      <c r="Q63" s="443"/>
      <c r="R63" s="443"/>
      <c r="S63" s="443"/>
      <c r="T63" s="443"/>
      <c r="U63" s="443"/>
      <c r="V63" s="443"/>
      <c r="W63" s="395"/>
      <c r="X63" s="450">
        <f t="shared" si="32"/>
        <v>4112</v>
      </c>
      <c r="Y63" s="69"/>
      <c r="Z63" s="69"/>
    </row>
    <row r="64" spans="1:26">
      <c r="A64" s="114">
        <f>+A63</f>
        <v>2024027</v>
      </c>
      <c r="B64" s="74"/>
      <c r="C64" s="654"/>
      <c r="D64" s="655"/>
      <c r="E64" s="655"/>
      <c r="F64" s="655"/>
      <c r="G64" s="655"/>
      <c r="H64" s="655"/>
      <c r="I64" s="652"/>
      <c r="J64" s="630"/>
      <c r="K64" s="175" t="s">
        <v>33</v>
      </c>
      <c r="L64" s="356">
        <f>L53-L56</f>
        <v>162852</v>
      </c>
      <c r="M64" s="345">
        <f t="shared" ref="M64:W64" si="33">M53-M56</f>
        <v>163256</v>
      </c>
      <c r="N64" s="345">
        <f t="shared" si="33"/>
        <v>159996</v>
      </c>
      <c r="O64" s="412">
        <f t="shared" si="33"/>
        <v>0</v>
      </c>
      <c r="P64" s="412">
        <f t="shared" si="33"/>
        <v>0</v>
      </c>
      <c r="Q64" s="412">
        <f t="shared" si="33"/>
        <v>0</v>
      </c>
      <c r="R64" s="412">
        <f t="shared" si="33"/>
        <v>0</v>
      </c>
      <c r="S64" s="412">
        <f t="shared" si="33"/>
        <v>0</v>
      </c>
      <c r="T64" s="412">
        <f t="shared" si="33"/>
        <v>0</v>
      </c>
      <c r="U64" s="412">
        <f t="shared" si="33"/>
        <v>0</v>
      </c>
      <c r="V64" s="412">
        <f t="shared" si="33"/>
        <v>0</v>
      </c>
      <c r="W64" s="454">
        <f t="shared" si="33"/>
        <v>0</v>
      </c>
      <c r="X64" s="455">
        <f>X53-X56</f>
        <v>486104</v>
      </c>
      <c r="Y64" s="69"/>
      <c r="Z64" s="69"/>
    </row>
    <row r="65" spans="1:26" ht="12.75" customHeight="1">
      <c r="A65" s="113">
        <v>2012008</v>
      </c>
      <c r="C65" s="641">
        <f t="shared" ref="C65" si="34">C53+1</f>
        <v>6</v>
      </c>
      <c r="D65" s="644" t="s">
        <v>59</v>
      </c>
      <c r="E65" s="644"/>
      <c r="F65" s="644"/>
      <c r="G65" s="644" t="s">
        <v>167</v>
      </c>
      <c r="H65" s="644"/>
      <c r="I65" s="647" t="s">
        <v>53</v>
      </c>
      <c r="J65" s="628" t="s">
        <v>65</v>
      </c>
      <c r="K65" s="176" t="s">
        <v>23</v>
      </c>
      <c r="L65" s="353">
        <f>L66+L67</f>
        <v>670000</v>
      </c>
      <c r="M65" s="409">
        <f t="shared" ref="M65:W65" si="35">M66+M67</f>
        <v>675000</v>
      </c>
      <c r="N65" s="409">
        <f t="shared" si="35"/>
        <v>670000</v>
      </c>
      <c r="O65" s="409">
        <f t="shared" si="35"/>
        <v>672500</v>
      </c>
      <c r="P65" s="409">
        <f t="shared" si="35"/>
        <v>680000</v>
      </c>
      <c r="Q65" s="409">
        <f t="shared" si="35"/>
        <v>670000</v>
      </c>
      <c r="R65" s="409">
        <f>R66+R67</f>
        <v>670000</v>
      </c>
      <c r="S65" s="409">
        <f t="shared" si="35"/>
        <v>667500</v>
      </c>
      <c r="T65" s="409">
        <f t="shared" si="35"/>
        <v>675000</v>
      </c>
      <c r="U65" s="409">
        <f t="shared" si="35"/>
        <v>680000</v>
      </c>
      <c r="V65" s="409">
        <f t="shared" si="35"/>
        <v>667820</v>
      </c>
      <c r="W65" s="97">
        <f t="shared" si="35"/>
        <v>670000</v>
      </c>
      <c r="X65" s="117">
        <f t="shared" ref="X65:X75" si="36">SUM(L65:W65)</f>
        <v>8067820</v>
      </c>
      <c r="Y65" s="69"/>
      <c r="Z65" s="69"/>
    </row>
    <row r="66" spans="1:26">
      <c r="A66" s="114">
        <f>+A65</f>
        <v>2012008</v>
      </c>
      <c r="B66" s="74"/>
      <c r="C66" s="642"/>
      <c r="D66" s="645"/>
      <c r="E66" s="645"/>
      <c r="F66" s="645"/>
      <c r="G66" s="645"/>
      <c r="H66" s="645"/>
      <c r="I66" s="648"/>
      <c r="J66" s="629"/>
      <c r="K66" s="172" t="s">
        <v>24</v>
      </c>
      <c r="L66" s="362">
        <v>650000</v>
      </c>
      <c r="M66" s="301">
        <v>650000</v>
      </c>
      <c r="N66" s="301">
        <v>650000</v>
      </c>
      <c r="O66" s="301">
        <v>650000</v>
      </c>
      <c r="P66" s="301">
        <v>650000</v>
      </c>
      <c r="Q66" s="301">
        <v>650000</v>
      </c>
      <c r="R66" s="301">
        <v>650000</v>
      </c>
      <c r="S66" s="301">
        <v>650000</v>
      </c>
      <c r="T66" s="301">
        <v>650000</v>
      </c>
      <c r="U66" s="301">
        <v>650000</v>
      </c>
      <c r="V66" s="301">
        <v>637820</v>
      </c>
      <c r="W66" s="102">
        <v>650000</v>
      </c>
      <c r="X66" s="49">
        <f>SUM(L66:W66)</f>
        <v>7787820</v>
      </c>
      <c r="Y66" s="69"/>
      <c r="Z66" s="69"/>
    </row>
    <row r="67" spans="1:26">
      <c r="A67" s="114">
        <f>+A66</f>
        <v>2012008</v>
      </c>
      <c r="B67" s="74"/>
      <c r="C67" s="642"/>
      <c r="D67" s="645"/>
      <c r="E67" s="645"/>
      <c r="F67" s="645"/>
      <c r="G67" s="645"/>
      <c r="H67" s="645"/>
      <c r="I67" s="648"/>
      <c r="J67" s="629"/>
      <c r="K67" s="146" t="s">
        <v>96</v>
      </c>
      <c r="L67" s="517">
        <v>20000</v>
      </c>
      <c r="M67" s="518">
        <v>25000</v>
      </c>
      <c r="N67" s="518">
        <v>20000</v>
      </c>
      <c r="O67" s="518">
        <v>22500</v>
      </c>
      <c r="P67" s="518">
        <v>30000</v>
      </c>
      <c r="Q67" s="518">
        <v>20000</v>
      </c>
      <c r="R67" s="518">
        <v>20000</v>
      </c>
      <c r="S67" s="518">
        <v>17500</v>
      </c>
      <c r="T67" s="518">
        <v>25000</v>
      </c>
      <c r="U67" s="518">
        <v>30000</v>
      </c>
      <c r="V67" s="518">
        <v>30000</v>
      </c>
      <c r="W67" s="520">
        <v>20000</v>
      </c>
      <c r="X67" s="49">
        <f t="shared" si="36"/>
        <v>280000</v>
      </c>
      <c r="Y67" s="69"/>
      <c r="Z67" s="69"/>
    </row>
    <row r="68" spans="1:26">
      <c r="A68" s="114">
        <f t="shared" ref="A68:A75" si="37">+A67</f>
        <v>2012008</v>
      </c>
      <c r="B68" s="74"/>
      <c r="C68" s="642"/>
      <c r="D68" s="645"/>
      <c r="E68" s="645"/>
      <c r="F68" s="645"/>
      <c r="G68" s="645"/>
      <c r="H68" s="645"/>
      <c r="I68" s="648"/>
      <c r="J68" s="629"/>
      <c r="K68" s="173" t="s">
        <v>26</v>
      </c>
      <c r="L68" s="355">
        <f t="shared" ref="L68:V68" si="38">SUM(L69:L75)</f>
        <v>602283</v>
      </c>
      <c r="M68" s="411">
        <f t="shared" si="38"/>
        <v>606931</v>
      </c>
      <c r="N68" s="411">
        <f t="shared" si="38"/>
        <v>601879</v>
      </c>
      <c r="O68" s="411">
        <f t="shared" si="38"/>
        <v>605697</v>
      </c>
      <c r="P68" s="411">
        <f t="shared" si="38"/>
        <v>611984</v>
      </c>
      <c r="Q68" s="411">
        <f t="shared" si="38"/>
        <v>602362</v>
      </c>
      <c r="R68" s="411">
        <f t="shared" si="38"/>
        <v>615476</v>
      </c>
      <c r="S68" s="411">
        <f t="shared" si="38"/>
        <v>599027</v>
      </c>
      <c r="T68" s="411">
        <f t="shared" si="38"/>
        <v>606931</v>
      </c>
      <c r="U68" s="411">
        <f t="shared" si="38"/>
        <v>612467</v>
      </c>
      <c r="V68" s="411">
        <f t="shared" si="38"/>
        <v>611358</v>
      </c>
      <c r="W68" s="99">
        <f>SUM(W69:W75)</f>
        <v>602283</v>
      </c>
      <c r="X68" s="50">
        <f t="shared" si="36"/>
        <v>7278678</v>
      </c>
      <c r="Y68" s="69"/>
      <c r="Z68" s="69"/>
    </row>
    <row r="69" spans="1:26">
      <c r="A69" s="114">
        <f t="shared" si="37"/>
        <v>2012008</v>
      </c>
      <c r="B69" s="74"/>
      <c r="C69" s="642"/>
      <c r="D69" s="645"/>
      <c r="E69" s="645"/>
      <c r="F69" s="645"/>
      <c r="G69" s="645"/>
      <c r="H69" s="645"/>
      <c r="I69" s="648"/>
      <c r="J69" s="629"/>
      <c r="K69" s="174" t="s">
        <v>27</v>
      </c>
      <c r="L69" s="343">
        <v>518400</v>
      </c>
      <c r="M69" s="297">
        <v>523000</v>
      </c>
      <c r="N69" s="297">
        <v>518000</v>
      </c>
      <c r="O69" s="297">
        <v>520500</v>
      </c>
      <c r="P69" s="297">
        <v>528000</v>
      </c>
      <c r="Q69" s="297">
        <v>517200</v>
      </c>
      <c r="R69" s="297">
        <v>518400</v>
      </c>
      <c r="S69" s="297">
        <v>513900</v>
      </c>
      <c r="T69" s="297">
        <v>523000</v>
      </c>
      <c r="U69" s="297">
        <v>527200</v>
      </c>
      <c r="V69" s="297">
        <v>527200</v>
      </c>
      <c r="W69" s="91">
        <v>518400</v>
      </c>
      <c r="X69" s="49">
        <f t="shared" si="36"/>
        <v>6253200</v>
      </c>
      <c r="Y69" s="69"/>
      <c r="Z69" s="69"/>
    </row>
    <row r="70" spans="1:26">
      <c r="A70" s="114">
        <f t="shared" si="37"/>
        <v>2012008</v>
      </c>
      <c r="B70" s="74"/>
      <c r="C70" s="642"/>
      <c r="D70" s="645"/>
      <c r="E70" s="645"/>
      <c r="F70" s="645"/>
      <c r="G70" s="645"/>
      <c r="H70" s="645"/>
      <c r="I70" s="648"/>
      <c r="J70" s="629"/>
      <c r="K70" s="174" t="s">
        <v>34</v>
      </c>
      <c r="L70" s="343"/>
      <c r="M70" s="297"/>
      <c r="N70" s="297"/>
      <c r="O70" s="297"/>
      <c r="P70" s="297"/>
      <c r="Q70" s="297"/>
      <c r="R70" s="297"/>
      <c r="S70" s="297"/>
      <c r="T70" s="297"/>
      <c r="U70" s="297"/>
      <c r="V70" s="297"/>
      <c r="W70" s="91"/>
      <c r="X70" s="49">
        <f t="shared" si="36"/>
        <v>0</v>
      </c>
      <c r="Y70" s="69"/>
      <c r="Z70" s="69"/>
    </row>
    <row r="71" spans="1:26">
      <c r="A71" s="114">
        <f t="shared" si="37"/>
        <v>2012008</v>
      </c>
      <c r="B71" s="74"/>
      <c r="C71" s="642"/>
      <c r="D71" s="645"/>
      <c r="E71" s="645"/>
      <c r="F71" s="645"/>
      <c r="G71" s="645"/>
      <c r="H71" s="645"/>
      <c r="I71" s="648"/>
      <c r="J71" s="629"/>
      <c r="K71" s="174" t="s">
        <v>28</v>
      </c>
      <c r="L71" s="343">
        <v>0</v>
      </c>
      <c r="M71" s="297">
        <v>0</v>
      </c>
      <c r="N71" s="297">
        <v>0</v>
      </c>
      <c r="O71" s="297">
        <v>1278</v>
      </c>
      <c r="P71" s="297">
        <v>0</v>
      </c>
      <c r="Q71" s="297">
        <v>1278</v>
      </c>
      <c r="R71" s="297">
        <v>13056</v>
      </c>
      <c r="S71" s="297">
        <v>1278</v>
      </c>
      <c r="T71" s="297">
        <v>0</v>
      </c>
      <c r="U71" s="297">
        <v>1278</v>
      </c>
      <c r="V71" s="297">
        <v>0</v>
      </c>
      <c r="W71" s="91">
        <v>0</v>
      </c>
      <c r="X71" s="49">
        <f t="shared" si="36"/>
        <v>18168</v>
      </c>
      <c r="Y71" s="69"/>
      <c r="Z71" s="69"/>
    </row>
    <row r="72" spans="1:26">
      <c r="A72" s="114">
        <f t="shared" si="37"/>
        <v>2012008</v>
      </c>
      <c r="B72" s="74"/>
      <c r="C72" s="642"/>
      <c r="D72" s="645"/>
      <c r="E72" s="645"/>
      <c r="F72" s="645"/>
      <c r="G72" s="645"/>
      <c r="H72" s="645"/>
      <c r="I72" s="648"/>
      <c r="J72" s="629"/>
      <c r="K72" s="174" t="s">
        <v>29</v>
      </c>
      <c r="L72" s="329">
        <v>29945</v>
      </c>
      <c r="M72" s="410">
        <v>29945</v>
      </c>
      <c r="N72" s="410">
        <v>29945</v>
      </c>
      <c r="O72" s="410">
        <v>29945</v>
      </c>
      <c r="P72" s="410">
        <v>29945</v>
      </c>
      <c r="Q72" s="410">
        <v>29945</v>
      </c>
      <c r="R72" s="410">
        <v>29945</v>
      </c>
      <c r="S72" s="410">
        <v>29945</v>
      </c>
      <c r="T72" s="410">
        <v>29945</v>
      </c>
      <c r="U72" s="410">
        <v>29945</v>
      </c>
      <c r="V72" s="410">
        <v>29945</v>
      </c>
      <c r="W72" s="26">
        <v>29945</v>
      </c>
      <c r="X72" s="49">
        <f t="shared" si="36"/>
        <v>359340</v>
      </c>
      <c r="Y72" s="69"/>
      <c r="Z72" s="69"/>
    </row>
    <row r="73" spans="1:26">
      <c r="A73" s="114">
        <f t="shared" si="37"/>
        <v>2012008</v>
      </c>
      <c r="B73" s="74"/>
      <c r="C73" s="642"/>
      <c r="D73" s="645"/>
      <c r="E73" s="645"/>
      <c r="F73" s="645"/>
      <c r="G73" s="645"/>
      <c r="H73" s="645"/>
      <c r="I73" s="648"/>
      <c r="J73" s="629"/>
      <c r="K73" s="174" t="s">
        <v>30</v>
      </c>
      <c r="L73" s="329">
        <v>48495</v>
      </c>
      <c r="M73" s="410">
        <v>48495</v>
      </c>
      <c r="N73" s="410">
        <v>48495</v>
      </c>
      <c r="O73" s="410">
        <v>48495</v>
      </c>
      <c r="P73" s="410">
        <v>48495</v>
      </c>
      <c r="Q73" s="410">
        <v>48495</v>
      </c>
      <c r="R73" s="410">
        <v>48495</v>
      </c>
      <c r="S73" s="410">
        <v>48495</v>
      </c>
      <c r="T73" s="410">
        <v>48495</v>
      </c>
      <c r="U73" s="410">
        <v>48495</v>
      </c>
      <c r="V73" s="410">
        <v>48495</v>
      </c>
      <c r="W73" s="26">
        <v>48495</v>
      </c>
      <c r="X73" s="49">
        <f t="shared" si="36"/>
        <v>581940</v>
      </c>
      <c r="Y73" s="69"/>
      <c r="Z73" s="69"/>
    </row>
    <row r="74" spans="1:26">
      <c r="A74" s="114">
        <f t="shared" si="37"/>
        <v>2012008</v>
      </c>
      <c r="B74" s="74"/>
      <c r="C74" s="642"/>
      <c r="D74" s="645"/>
      <c r="E74" s="645"/>
      <c r="F74" s="645"/>
      <c r="G74" s="645"/>
      <c r="H74" s="645"/>
      <c r="I74" s="648"/>
      <c r="J74" s="629"/>
      <c r="K74" s="174" t="s">
        <v>31</v>
      </c>
      <c r="L74" s="329">
        <v>2592</v>
      </c>
      <c r="M74" s="410">
        <v>2615</v>
      </c>
      <c r="N74" s="410">
        <v>2590</v>
      </c>
      <c r="O74" s="410">
        <v>2609</v>
      </c>
      <c r="P74" s="410">
        <v>2640</v>
      </c>
      <c r="Q74" s="410">
        <v>2592</v>
      </c>
      <c r="R74" s="410">
        <v>2657</v>
      </c>
      <c r="S74" s="410">
        <v>2576</v>
      </c>
      <c r="T74" s="410">
        <v>2615</v>
      </c>
      <c r="U74" s="410">
        <v>2642</v>
      </c>
      <c r="V74" s="410">
        <v>2723</v>
      </c>
      <c r="W74" s="26">
        <v>2592</v>
      </c>
      <c r="X74" s="49">
        <f t="shared" si="36"/>
        <v>31443</v>
      </c>
      <c r="Y74" s="69"/>
      <c r="Z74" s="69"/>
    </row>
    <row r="75" spans="1:26">
      <c r="A75" s="114">
        <f t="shared" si="37"/>
        <v>2012008</v>
      </c>
      <c r="B75" s="74"/>
      <c r="C75" s="642"/>
      <c r="D75" s="645"/>
      <c r="E75" s="645"/>
      <c r="F75" s="645"/>
      <c r="G75" s="645"/>
      <c r="H75" s="645"/>
      <c r="I75" s="648"/>
      <c r="J75" s="629"/>
      <c r="K75" s="174" t="s">
        <v>32</v>
      </c>
      <c r="L75" s="395">
        <v>2851</v>
      </c>
      <c r="M75" s="443">
        <v>2876</v>
      </c>
      <c r="N75" s="443">
        <v>2849</v>
      </c>
      <c r="O75" s="443">
        <v>2870</v>
      </c>
      <c r="P75" s="443">
        <v>2904</v>
      </c>
      <c r="Q75" s="443">
        <v>2852</v>
      </c>
      <c r="R75" s="443">
        <v>2923</v>
      </c>
      <c r="S75" s="443">
        <v>2833</v>
      </c>
      <c r="T75" s="443">
        <v>2876</v>
      </c>
      <c r="U75" s="443">
        <v>2907</v>
      </c>
      <c r="V75" s="443">
        <v>2995</v>
      </c>
      <c r="W75" s="221">
        <v>2851</v>
      </c>
      <c r="X75" s="49">
        <f t="shared" si="36"/>
        <v>34587</v>
      </c>
      <c r="Y75" s="69"/>
      <c r="Z75" s="69"/>
    </row>
    <row r="76" spans="1:26">
      <c r="A76" s="114">
        <f>+A75</f>
        <v>2012008</v>
      </c>
      <c r="B76" s="74"/>
      <c r="C76" s="654"/>
      <c r="D76" s="655"/>
      <c r="E76" s="655"/>
      <c r="F76" s="655"/>
      <c r="G76" s="655"/>
      <c r="H76" s="655"/>
      <c r="I76" s="652"/>
      <c r="J76" s="630"/>
      <c r="K76" s="175" t="s">
        <v>33</v>
      </c>
      <c r="L76" s="356">
        <f t="shared" ref="L76:X76" si="39">L65-L68</f>
        <v>67717</v>
      </c>
      <c r="M76" s="412">
        <f t="shared" si="39"/>
        <v>68069</v>
      </c>
      <c r="N76" s="412">
        <f t="shared" si="39"/>
        <v>68121</v>
      </c>
      <c r="O76" s="412">
        <f t="shared" si="39"/>
        <v>66803</v>
      </c>
      <c r="P76" s="412">
        <f t="shared" si="39"/>
        <v>68016</v>
      </c>
      <c r="Q76" s="412">
        <f t="shared" si="39"/>
        <v>67638</v>
      </c>
      <c r="R76" s="412">
        <f t="shared" si="39"/>
        <v>54524</v>
      </c>
      <c r="S76" s="412">
        <f t="shared" si="39"/>
        <v>68473</v>
      </c>
      <c r="T76" s="412">
        <f t="shared" si="39"/>
        <v>68069</v>
      </c>
      <c r="U76" s="412">
        <f t="shared" si="39"/>
        <v>67533</v>
      </c>
      <c r="V76" s="412">
        <f t="shared" si="39"/>
        <v>56462</v>
      </c>
      <c r="W76" s="101">
        <f t="shared" si="39"/>
        <v>67717</v>
      </c>
      <c r="X76" s="51">
        <f t="shared" si="39"/>
        <v>789142</v>
      </c>
      <c r="Y76" s="69"/>
      <c r="Z76" s="69"/>
    </row>
    <row r="77" spans="1:26" ht="12.75" customHeight="1">
      <c r="A77" s="113">
        <v>2023023</v>
      </c>
      <c r="C77" s="641">
        <f t="shared" ref="C77" si="40">C65+1</f>
        <v>7</v>
      </c>
      <c r="D77" s="644" t="s">
        <v>59</v>
      </c>
      <c r="E77" s="644"/>
      <c r="F77" s="644"/>
      <c r="G77" s="644" t="s">
        <v>168</v>
      </c>
      <c r="H77" s="644"/>
      <c r="I77" s="647"/>
      <c r="J77" s="628" t="s">
        <v>65</v>
      </c>
      <c r="K77" s="176" t="s">
        <v>23</v>
      </c>
      <c r="L77" s="353">
        <f t="shared" ref="L77:W77" si="41">L78+L79</f>
        <v>238500</v>
      </c>
      <c r="M77" s="409">
        <f t="shared" si="41"/>
        <v>237000</v>
      </c>
      <c r="N77" s="409">
        <f t="shared" si="41"/>
        <v>238500</v>
      </c>
      <c r="O77" s="409">
        <f t="shared" si="41"/>
        <v>238500</v>
      </c>
      <c r="P77" s="409">
        <f t="shared" si="41"/>
        <v>216000</v>
      </c>
      <c r="Q77" s="409">
        <f t="shared" si="41"/>
        <v>238500</v>
      </c>
      <c r="R77" s="409">
        <f t="shared" si="41"/>
        <v>238500</v>
      </c>
      <c r="S77" s="409">
        <f t="shared" si="41"/>
        <v>216000</v>
      </c>
      <c r="T77" s="409">
        <f t="shared" si="41"/>
        <v>238500</v>
      </c>
      <c r="U77" s="409">
        <f t="shared" si="41"/>
        <v>238500</v>
      </c>
      <c r="V77" s="409">
        <f t="shared" si="41"/>
        <v>216000</v>
      </c>
      <c r="W77" s="97">
        <f t="shared" si="41"/>
        <v>238500</v>
      </c>
      <c r="X77" s="117">
        <f t="shared" ref="X77:X87" si="42">SUM(L77:W77)</f>
        <v>2793000</v>
      </c>
      <c r="Z77" s="69"/>
    </row>
    <row r="78" spans="1:26">
      <c r="A78" s="114">
        <f t="shared" ref="A78:A88" si="43">+A77</f>
        <v>2023023</v>
      </c>
      <c r="B78" s="74"/>
      <c r="C78" s="642"/>
      <c r="D78" s="645"/>
      <c r="E78" s="645"/>
      <c r="F78" s="645"/>
      <c r="G78" s="645"/>
      <c r="H78" s="645"/>
      <c r="I78" s="648"/>
      <c r="J78" s="629"/>
      <c r="K78" s="172" t="s">
        <v>24</v>
      </c>
      <c r="L78" s="362">
        <v>238500</v>
      </c>
      <c r="M78" s="301">
        <v>237000</v>
      </c>
      <c r="N78" s="301">
        <v>238500</v>
      </c>
      <c r="O78" s="301">
        <v>238500</v>
      </c>
      <c r="P78" s="301">
        <v>216000</v>
      </c>
      <c r="Q78" s="301">
        <v>238500</v>
      </c>
      <c r="R78" s="301">
        <v>238500</v>
      </c>
      <c r="S78" s="301">
        <v>216000</v>
      </c>
      <c r="T78" s="301">
        <v>238500</v>
      </c>
      <c r="U78" s="301">
        <v>238500</v>
      </c>
      <c r="V78" s="301">
        <v>216000</v>
      </c>
      <c r="W78" s="102">
        <v>238500</v>
      </c>
      <c r="X78" s="49">
        <f t="shared" si="42"/>
        <v>2793000</v>
      </c>
      <c r="Y78" s="69"/>
      <c r="Z78" s="69"/>
    </row>
    <row r="79" spans="1:26">
      <c r="A79" s="114">
        <f t="shared" si="43"/>
        <v>2023023</v>
      </c>
      <c r="B79" s="74"/>
      <c r="C79" s="642"/>
      <c r="D79" s="645"/>
      <c r="E79" s="645"/>
      <c r="F79" s="645"/>
      <c r="G79" s="645"/>
      <c r="H79" s="645"/>
      <c r="I79" s="648"/>
      <c r="J79" s="629"/>
      <c r="K79" s="172" t="s">
        <v>25</v>
      </c>
      <c r="L79" s="392"/>
      <c r="M79" s="297"/>
      <c r="N79" s="297"/>
      <c r="O79" s="297"/>
      <c r="P79" s="297"/>
      <c r="Q79" s="297"/>
      <c r="R79" s="297"/>
      <c r="S79" s="297"/>
      <c r="T79" s="297"/>
      <c r="U79" s="297"/>
      <c r="V79" s="297"/>
      <c r="W79" s="91"/>
      <c r="X79" s="49">
        <f t="shared" si="42"/>
        <v>0</v>
      </c>
      <c r="Z79" s="69"/>
    </row>
    <row r="80" spans="1:26">
      <c r="A80" s="114">
        <f t="shared" si="43"/>
        <v>2023023</v>
      </c>
      <c r="B80" s="74"/>
      <c r="C80" s="642"/>
      <c r="D80" s="645"/>
      <c r="E80" s="645"/>
      <c r="F80" s="645"/>
      <c r="G80" s="645"/>
      <c r="H80" s="645"/>
      <c r="I80" s="648"/>
      <c r="J80" s="629"/>
      <c r="K80" s="173" t="s">
        <v>26</v>
      </c>
      <c r="L80" s="355">
        <f t="shared" ref="L80:W80" si="44">SUM(L81:L87)</f>
        <v>168614</v>
      </c>
      <c r="M80" s="411">
        <f t="shared" si="44"/>
        <v>177893</v>
      </c>
      <c r="N80" s="411">
        <f t="shared" si="44"/>
        <v>174026</v>
      </c>
      <c r="O80" s="411">
        <f t="shared" si="44"/>
        <v>175057</v>
      </c>
      <c r="P80" s="411">
        <f t="shared" si="44"/>
        <v>153276</v>
      </c>
      <c r="Q80" s="411">
        <f t="shared" si="44"/>
        <v>189478</v>
      </c>
      <c r="R80" s="411">
        <f t="shared" si="44"/>
        <v>168614</v>
      </c>
      <c r="S80" s="411">
        <f t="shared" si="44"/>
        <v>168212</v>
      </c>
      <c r="T80" s="411">
        <f t="shared" si="44"/>
        <v>168212</v>
      </c>
      <c r="U80" s="411">
        <f t="shared" si="44"/>
        <v>168614</v>
      </c>
      <c r="V80" s="411">
        <f t="shared" si="44"/>
        <v>168299</v>
      </c>
      <c r="W80" s="99">
        <f t="shared" si="44"/>
        <v>168614</v>
      </c>
      <c r="X80" s="50">
        <f t="shared" si="42"/>
        <v>2048909</v>
      </c>
      <c r="Z80" s="69"/>
    </row>
    <row r="81" spans="1:26">
      <c r="A81" s="114">
        <f t="shared" si="43"/>
        <v>2023023</v>
      </c>
      <c r="B81" s="74"/>
      <c r="C81" s="642"/>
      <c r="D81" s="645"/>
      <c r="E81" s="645"/>
      <c r="F81" s="645"/>
      <c r="G81" s="645"/>
      <c r="H81" s="645"/>
      <c r="I81" s="648"/>
      <c r="J81" s="629"/>
      <c r="K81" s="174" t="s">
        <v>27</v>
      </c>
      <c r="L81" s="343">
        <v>167775</v>
      </c>
      <c r="M81" s="297">
        <v>177008</v>
      </c>
      <c r="N81" s="297">
        <v>173160</v>
      </c>
      <c r="O81" s="297">
        <v>174186</v>
      </c>
      <c r="P81" s="297">
        <v>152513</v>
      </c>
      <c r="Q81" s="297">
        <v>188535</v>
      </c>
      <c r="R81" s="297">
        <v>167775</v>
      </c>
      <c r="S81" s="297">
        <v>167375</v>
      </c>
      <c r="T81" s="297">
        <v>167375</v>
      </c>
      <c r="U81" s="297">
        <v>167775</v>
      </c>
      <c r="V81" s="297">
        <v>167375</v>
      </c>
      <c r="W81" s="91">
        <v>167775</v>
      </c>
      <c r="X81" s="49">
        <f t="shared" si="42"/>
        <v>2038627</v>
      </c>
      <c r="Y81" s="69"/>
      <c r="Z81" s="69"/>
    </row>
    <row r="82" spans="1:26">
      <c r="A82" s="114">
        <f t="shared" si="43"/>
        <v>2023023</v>
      </c>
      <c r="B82" s="74"/>
      <c r="C82" s="642"/>
      <c r="D82" s="645"/>
      <c r="E82" s="645"/>
      <c r="F82" s="645"/>
      <c r="G82" s="645"/>
      <c r="H82" s="645"/>
      <c r="I82" s="648"/>
      <c r="J82" s="629"/>
      <c r="K82" s="174" t="s">
        <v>34</v>
      </c>
      <c r="L82" s="343"/>
      <c r="M82" s="297"/>
      <c r="N82" s="297"/>
      <c r="O82" s="297"/>
      <c r="P82" s="297"/>
      <c r="Q82" s="297"/>
      <c r="R82" s="297"/>
      <c r="S82" s="297"/>
      <c r="T82" s="297"/>
      <c r="U82" s="297"/>
      <c r="V82" s="297"/>
      <c r="W82" s="91"/>
      <c r="X82" s="49">
        <f t="shared" si="42"/>
        <v>0</v>
      </c>
      <c r="Y82" s="69"/>
      <c r="Z82" s="69"/>
    </row>
    <row r="83" spans="1:26">
      <c r="A83" s="114">
        <f t="shared" si="43"/>
        <v>2023023</v>
      </c>
      <c r="B83" s="74"/>
      <c r="C83" s="642"/>
      <c r="D83" s="645"/>
      <c r="E83" s="645"/>
      <c r="F83" s="645"/>
      <c r="G83" s="645"/>
      <c r="H83" s="645"/>
      <c r="I83" s="648"/>
      <c r="J83" s="629"/>
      <c r="K83" s="174" t="s">
        <v>28</v>
      </c>
      <c r="L83" s="343"/>
      <c r="M83" s="297"/>
      <c r="N83" s="297"/>
      <c r="O83" s="297"/>
      <c r="P83" s="297"/>
      <c r="Q83" s="297"/>
      <c r="R83" s="297"/>
      <c r="S83" s="297"/>
      <c r="T83" s="297"/>
      <c r="U83" s="297"/>
      <c r="V83" s="297"/>
      <c r="W83" s="91"/>
      <c r="X83" s="49">
        <f t="shared" si="42"/>
        <v>0</v>
      </c>
      <c r="Y83" s="69"/>
      <c r="Z83" s="69"/>
    </row>
    <row r="84" spans="1:26">
      <c r="A84" s="114">
        <f t="shared" si="43"/>
        <v>2023023</v>
      </c>
      <c r="B84" s="74"/>
      <c r="C84" s="642"/>
      <c r="D84" s="645"/>
      <c r="E84" s="645"/>
      <c r="F84" s="645"/>
      <c r="G84" s="645"/>
      <c r="H84" s="645"/>
      <c r="I84" s="648"/>
      <c r="J84" s="629"/>
      <c r="K84" s="174" t="s">
        <v>29</v>
      </c>
      <c r="L84" s="343"/>
      <c r="M84" s="297"/>
      <c r="N84" s="297"/>
      <c r="O84" s="297"/>
      <c r="P84" s="297"/>
      <c r="Q84" s="297"/>
      <c r="R84" s="297"/>
      <c r="S84" s="297"/>
      <c r="T84" s="297"/>
      <c r="U84" s="297"/>
      <c r="V84" s="297"/>
      <c r="W84" s="91"/>
      <c r="X84" s="49">
        <f t="shared" si="42"/>
        <v>0</v>
      </c>
      <c r="Y84" s="69"/>
      <c r="Z84" s="69"/>
    </row>
    <row r="85" spans="1:26">
      <c r="A85" s="114">
        <f t="shared" si="43"/>
        <v>2023023</v>
      </c>
      <c r="B85" s="74"/>
      <c r="C85" s="642"/>
      <c r="D85" s="645"/>
      <c r="E85" s="645"/>
      <c r="F85" s="645"/>
      <c r="G85" s="645"/>
      <c r="H85" s="645"/>
      <c r="I85" s="648"/>
      <c r="J85" s="629"/>
      <c r="K85" s="174" t="s">
        <v>30</v>
      </c>
      <c r="L85" s="343"/>
      <c r="M85" s="297"/>
      <c r="N85" s="297"/>
      <c r="O85" s="297"/>
      <c r="P85" s="297"/>
      <c r="Q85" s="297"/>
      <c r="R85" s="297"/>
      <c r="S85" s="297"/>
      <c r="T85" s="297"/>
      <c r="U85" s="297"/>
      <c r="V85" s="297"/>
      <c r="W85" s="91"/>
      <c r="X85" s="49">
        <f t="shared" si="42"/>
        <v>0</v>
      </c>
      <c r="Y85" s="69"/>
      <c r="Z85" s="69"/>
    </row>
    <row r="86" spans="1:26">
      <c r="A86" s="114">
        <f t="shared" si="43"/>
        <v>2023023</v>
      </c>
      <c r="B86" s="74"/>
      <c r="C86" s="642"/>
      <c r="D86" s="645"/>
      <c r="E86" s="645"/>
      <c r="F86" s="645"/>
      <c r="G86" s="645"/>
      <c r="H86" s="645"/>
      <c r="I86" s="648"/>
      <c r="J86" s="629"/>
      <c r="K86" s="174" t="s">
        <v>31</v>
      </c>
      <c r="L86" s="343">
        <v>839</v>
      </c>
      <c r="M86" s="297">
        <v>885</v>
      </c>
      <c r="N86" s="297">
        <v>866</v>
      </c>
      <c r="O86" s="297">
        <v>871</v>
      </c>
      <c r="P86" s="297">
        <v>763</v>
      </c>
      <c r="Q86" s="297">
        <v>943</v>
      </c>
      <c r="R86" s="297">
        <v>839</v>
      </c>
      <c r="S86" s="297">
        <v>837</v>
      </c>
      <c r="T86" s="297">
        <v>837</v>
      </c>
      <c r="U86" s="297">
        <v>839</v>
      </c>
      <c r="V86" s="297">
        <v>924</v>
      </c>
      <c r="W86" s="91">
        <v>839</v>
      </c>
      <c r="X86" s="49">
        <f t="shared" si="42"/>
        <v>10282</v>
      </c>
      <c r="Y86" s="69"/>
      <c r="Z86" s="69"/>
    </row>
    <row r="87" spans="1:26">
      <c r="A87" s="114">
        <f t="shared" si="43"/>
        <v>2023023</v>
      </c>
      <c r="B87" s="74"/>
      <c r="C87" s="642"/>
      <c r="D87" s="645"/>
      <c r="E87" s="645"/>
      <c r="F87" s="645"/>
      <c r="G87" s="645"/>
      <c r="H87" s="645"/>
      <c r="I87" s="648"/>
      <c r="J87" s="629"/>
      <c r="K87" s="210" t="s">
        <v>32</v>
      </c>
      <c r="L87" s="343"/>
      <c r="M87" s="297"/>
      <c r="N87" s="297"/>
      <c r="O87" s="297"/>
      <c r="P87" s="297"/>
      <c r="Q87" s="297"/>
      <c r="R87" s="297"/>
      <c r="S87" s="297"/>
      <c r="T87" s="297"/>
      <c r="U87" s="297"/>
      <c r="V87" s="297"/>
      <c r="W87" s="91"/>
      <c r="X87" s="49">
        <f t="shared" si="42"/>
        <v>0</v>
      </c>
      <c r="Y87" s="69"/>
      <c r="Z87" s="69"/>
    </row>
    <row r="88" spans="1:26">
      <c r="A88" s="114">
        <f t="shared" si="43"/>
        <v>2023023</v>
      </c>
      <c r="B88" s="74"/>
      <c r="C88" s="654"/>
      <c r="D88" s="655"/>
      <c r="E88" s="655"/>
      <c r="F88" s="655"/>
      <c r="G88" s="655"/>
      <c r="H88" s="655"/>
      <c r="I88" s="652"/>
      <c r="J88" s="630"/>
      <c r="K88" s="170" t="s">
        <v>33</v>
      </c>
      <c r="L88" s="379">
        <f t="shared" ref="L88:X88" si="45">L77-L80</f>
        <v>69886</v>
      </c>
      <c r="M88" s="405">
        <f t="shared" si="45"/>
        <v>59107</v>
      </c>
      <c r="N88" s="405">
        <f t="shared" si="45"/>
        <v>64474</v>
      </c>
      <c r="O88" s="405">
        <f t="shared" si="45"/>
        <v>63443</v>
      </c>
      <c r="P88" s="405">
        <f t="shared" si="45"/>
        <v>62724</v>
      </c>
      <c r="Q88" s="405">
        <f t="shared" si="45"/>
        <v>49022</v>
      </c>
      <c r="R88" s="405">
        <f t="shared" si="45"/>
        <v>69886</v>
      </c>
      <c r="S88" s="405">
        <f t="shared" si="45"/>
        <v>47788</v>
      </c>
      <c r="T88" s="405">
        <f t="shared" si="45"/>
        <v>70288</v>
      </c>
      <c r="U88" s="405">
        <f t="shared" si="45"/>
        <v>69886</v>
      </c>
      <c r="V88" s="405">
        <f t="shared" si="45"/>
        <v>47701</v>
      </c>
      <c r="W88" s="212">
        <f t="shared" si="45"/>
        <v>69886</v>
      </c>
      <c r="X88" s="51">
        <f t="shared" si="45"/>
        <v>744091</v>
      </c>
      <c r="Z88" s="69"/>
    </row>
    <row r="89" spans="1:26" ht="12.75" customHeight="1">
      <c r="A89" s="113">
        <v>2018028</v>
      </c>
      <c r="C89" s="641">
        <f t="shared" ref="C89" si="46">C77+1</f>
        <v>8</v>
      </c>
      <c r="D89" s="644" t="s">
        <v>59</v>
      </c>
      <c r="E89" s="644"/>
      <c r="F89" s="644"/>
      <c r="G89" s="644" t="s">
        <v>168</v>
      </c>
      <c r="H89" s="644"/>
      <c r="I89" s="647"/>
      <c r="J89" s="628" t="s">
        <v>65</v>
      </c>
      <c r="K89" s="176" t="s">
        <v>23</v>
      </c>
      <c r="L89" s="353">
        <f t="shared" ref="L89:W89" si="47">L90+L91</f>
        <v>441000</v>
      </c>
      <c r="M89" s="409">
        <f t="shared" si="47"/>
        <v>427200</v>
      </c>
      <c r="N89" s="409">
        <f t="shared" si="47"/>
        <v>389940</v>
      </c>
      <c r="O89" s="409">
        <f t="shared" si="47"/>
        <v>441000</v>
      </c>
      <c r="P89" s="409">
        <f t="shared" si="47"/>
        <v>441000</v>
      </c>
      <c r="Q89" s="409">
        <f t="shared" si="47"/>
        <v>406500</v>
      </c>
      <c r="R89" s="409">
        <f t="shared" si="47"/>
        <v>427200</v>
      </c>
      <c r="S89" s="409">
        <f t="shared" si="47"/>
        <v>428580</v>
      </c>
      <c r="T89" s="409">
        <f t="shared" si="47"/>
        <v>441000</v>
      </c>
      <c r="U89" s="409">
        <f t="shared" si="47"/>
        <v>365100</v>
      </c>
      <c r="V89" s="409">
        <f t="shared" si="47"/>
        <v>407880</v>
      </c>
      <c r="W89" s="97">
        <f t="shared" si="47"/>
        <v>441000</v>
      </c>
      <c r="X89" s="117">
        <f t="shared" ref="X89:X99" si="48">SUM(L89:W89)</f>
        <v>5057400</v>
      </c>
      <c r="Y89" s="69"/>
      <c r="Z89" s="69"/>
    </row>
    <row r="90" spans="1:26">
      <c r="A90" s="114">
        <f>+A89</f>
        <v>2018028</v>
      </c>
      <c r="B90" s="74"/>
      <c r="C90" s="642"/>
      <c r="D90" s="645"/>
      <c r="E90" s="645"/>
      <c r="F90" s="645"/>
      <c r="G90" s="645"/>
      <c r="H90" s="645"/>
      <c r="I90" s="648"/>
      <c r="J90" s="629"/>
      <c r="K90" s="172" t="s">
        <v>24</v>
      </c>
      <c r="L90" s="362">
        <v>441000</v>
      </c>
      <c r="M90" s="301">
        <v>427200</v>
      </c>
      <c r="N90" s="301">
        <v>389940</v>
      </c>
      <c r="O90" s="301">
        <v>441000</v>
      </c>
      <c r="P90" s="301">
        <v>441000</v>
      </c>
      <c r="Q90" s="301">
        <v>406500</v>
      </c>
      <c r="R90" s="301">
        <v>427200</v>
      </c>
      <c r="S90" s="301">
        <v>428580</v>
      </c>
      <c r="T90" s="301">
        <v>441000</v>
      </c>
      <c r="U90" s="301">
        <v>365100</v>
      </c>
      <c r="V90" s="301">
        <v>407880</v>
      </c>
      <c r="W90" s="102">
        <v>441000</v>
      </c>
      <c r="X90" s="49">
        <f t="shared" si="48"/>
        <v>5057400</v>
      </c>
      <c r="Y90" s="69"/>
      <c r="Z90" s="69"/>
    </row>
    <row r="91" spans="1:26">
      <c r="A91" s="114">
        <f>+A90</f>
        <v>2018028</v>
      </c>
      <c r="B91" s="74"/>
      <c r="C91" s="642"/>
      <c r="D91" s="645"/>
      <c r="E91" s="645"/>
      <c r="F91" s="645"/>
      <c r="G91" s="645"/>
      <c r="H91" s="645"/>
      <c r="I91" s="648"/>
      <c r="J91" s="629"/>
      <c r="K91" s="172" t="s">
        <v>25</v>
      </c>
      <c r="L91" s="354"/>
      <c r="M91" s="297"/>
      <c r="N91" s="297"/>
      <c r="O91" s="297"/>
      <c r="P91" s="297"/>
      <c r="Q91" s="297"/>
      <c r="R91" s="297"/>
      <c r="S91" s="297"/>
      <c r="T91" s="297"/>
      <c r="U91" s="297"/>
      <c r="V91" s="297"/>
      <c r="W91" s="98"/>
      <c r="X91" s="49">
        <f t="shared" si="48"/>
        <v>0</v>
      </c>
      <c r="Y91" s="69"/>
      <c r="Z91" s="69"/>
    </row>
    <row r="92" spans="1:26">
      <c r="A92" s="114">
        <f t="shared" ref="A92:A99" si="49">+A91</f>
        <v>2018028</v>
      </c>
      <c r="B92" s="74"/>
      <c r="C92" s="642"/>
      <c r="D92" s="645"/>
      <c r="E92" s="645"/>
      <c r="F92" s="645"/>
      <c r="G92" s="645"/>
      <c r="H92" s="645"/>
      <c r="I92" s="648"/>
      <c r="J92" s="629"/>
      <c r="K92" s="173" t="s">
        <v>26</v>
      </c>
      <c r="L92" s="355">
        <f t="shared" ref="L92:W92" si="50">SUM(L93:L99)</f>
        <v>339537</v>
      </c>
      <c r="M92" s="411">
        <f t="shared" si="50"/>
        <v>338729</v>
      </c>
      <c r="N92" s="411">
        <f t="shared" si="50"/>
        <v>338365</v>
      </c>
      <c r="O92" s="411">
        <f t="shared" si="50"/>
        <v>340386</v>
      </c>
      <c r="P92" s="411">
        <f t="shared" si="50"/>
        <v>339537</v>
      </c>
      <c r="Q92" s="411">
        <f t="shared" si="50"/>
        <v>341285</v>
      </c>
      <c r="R92" s="411">
        <f t="shared" si="50"/>
        <v>342134</v>
      </c>
      <c r="S92" s="411">
        <f t="shared" si="50"/>
        <v>341689</v>
      </c>
      <c r="T92" s="411">
        <f t="shared" si="50"/>
        <v>342497</v>
      </c>
      <c r="U92" s="411">
        <f t="shared" si="50"/>
        <v>340921</v>
      </c>
      <c r="V92" s="411">
        <f t="shared" si="50"/>
        <v>339115</v>
      </c>
      <c r="W92" s="99">
        <f t="shared" si="50"/>
        <v>339537</v>
      </c>
      <c r="X92" s="50">
        <f t="shared" si="48"/>
        <v>4083732</v>
      </c>
      <c r="Y92" s="69"/>
      <c r="Z92" s="69"/>
    </row>
    <row r="93" spans="1:26">
      <c r="A93" s="114">
        <f t="shared" si="49"/>
        <v>2018028</v>
      </c>
      <c r="B93" s="74"/>
      <c r="C93" s="642"/>
      <c r="D93" s="645"/>
      <c r="E93" s="645"/>
      <c r="F93" s="645"/>
      <c r="G93" s="645"/>
      <c r="H93" s="645"/>
      <c r="I93" s="648"/>
      <c r="J93" s="629"/>
      <c r="K93" s="174" t="s">
        <v>27</v>
      </c>
      <c r="L93" s="343">
        <v>295000</v>
      </c>
      <c r="M93" s="297">
        <v>294200</v>
      </c>
      <c r="N93" s="297">
        <v>293000</v>
      </c>
      <c r="O93" s="297">
        <v>295000</v>
      </c>
      <c r="P93" s="297">
        <v>295000</v>
      </c>
      <c r="Q93" s="297">
        <v>293800</v>
      </c>
      <c r="R93" s="297">
        <v>293800</v>
      </c>
      <c r="S93" s="297">
        <v>294200</v>
      </c>
      <c r="T93" s="297">
        <v>295000</v>
      </c>
      <c r="U93" s="297">
        <v>292600</v>
      </c>
      <c r="V93" s="297">
        <v>291472</v>
      </c>
      <c r="W93" s="91">
        <v>295000</v>
      </c>
      <c r="X93" s="49">
        <f t="shared" si="48"/>
        <v>3528072</v>
      </c>
      <c r="Y93" s="69"/>
      <c r="Z93" s="69"/>
    </row>
    <row r="94" spans="1:26">
      <c r="A94" s="114">
        <f t="shared" si="49"/>
        <v>2018028</v>
      </c>
      <c r="B94" s="74"/>
      <c r="C94" s="642"/>
      <c r="D94" s="645"/>
      <c r="E94" s="645"/>
      <c r="F94" s="645"/>
      <c r="G94" s="645"/>
      <c r="H94" s="645"/>
      <c r="I94" s="648"/>
      <c r="J94" s="629"/>
      <c r="K94" s="174" t="s">
        <v>34</v>
      </c>
      <c r="L94" s="343"/>
      <c r="M94" s="297"/>
      <c r="N94" s="297"/>
      <c r="O94" s="297"/>
      <c r="P94" s="297"/>
      <c r="Q94" s="297"/>
      <c r="R94" s="297"/>
      <c r="S94" s="297"/>
      <c r="T94" s="297"/>
      <c r="U94" s="297"/>
      <c r="V94" s="297"/>
      <c r="W94" s="91"/>
      <c r="X94" s="49">
        <f t="shared" si="48"/>
        <v>0</v>
      </c>
      <c r="Y94" s="69"/>
      <c r="Z94" s="69"/>
    </row>
    <row r="95" spans="1:26">
      <c r="A95" s="114">
        <f t="shared" si="49"/>
        <v>2018028</v>
      </c>
      <c r="B95" s="74"/>
      <c r="C95" s="642"/>
      <c r="D95" s="645"/>
      <c r="E95" s="645"/>
      <c r="F95" s="645"/>
      <c r="G95" s="645"/>
      <c r="H95" s="645"/>
      <c r="I95" s="648"/>
      <c r="J95" s="629"/>
      <c r="K95" s="174" t="s">
        <v>28</v>
      </c>
      <c r="L95" s="343">
        <v>0</v>
      </c>
      <c r="M95" s="297">
        <v>0</v>
      </c>
      <c r="N95" s="297">
        <v>840</v>
      </c>
      <c r="O95" s="297">
        <v>840</v>
      </c>
      <c r="P95" s="297">
        <v>0</v>
      </c>
      <c r="Q95" s="297">
        <v>0</v>
      </c>
      <c r="R95" s="297">
        <v>840</v>
      </c>
      <c r="S95" s="297">
        <v>0</v>
      </c>
      <c r="T95" s="297">
        <v>0</v>
      </c>
      <c r="U95" s="297">
        <v>840</v>
      </c>
      <c r="V95" s="297">
        <v>0</v>
      </c>
      <c r="W95" s="91">
        <v>0</v>
      </c>
      <c r="X95" s="49">
        <f t="shared" si="48"/>
        <v>3360</v>
      </c>
      <c r="Y95" s="69"/>
      <c r="Z95" s="69"/>
    </row>
    <row r="96" spans="1:26">
      <c r="A96" s="114">
        <f t="shared" si="49"/>
        <v>2018028</v>
      </c>
      <c r="B96" s="74"/>
      <c r="C96" s="642"/>
      <c r="D96" s="645"/>
      <c r="E96" s="645"/>
      <c r="F96" s="645"/>
      <c r="G96" s="645"/>
      <c r="H96" s="645"/>
      <c r="I96" s="648"/>
      <c r="J96" s="629"/>
      <c r="K96" s="174" t="s">
        <v>29</v>
      </c>
      <c r="L96" s="329">
        <v>15820</v>
      </c>
      <c r="M96" s="410">
        <v>15820</v>
      </c>
      <c r="N96" s="410">
        <v>15820</v>
      </c>
      <c r="O96" s="410">
        <v>15820</v>
      </c>
      <c r="P96" s="410">
        <v>15820</v>
      </c>
      <c r="Q96" s="410">
        <v>16950</v>
      </c>
      <c r="R96" s="410">
        <v>16950</v>
      </c>
      <c r="S96" s="410">
        <v>16950</v>
      </c>
      <c r="T96" s="410">
        <v>16950</v>
      </c>
      <c r="U96" s="410">
        <v>16950</v>
      </c>
      <c r="V96" s="410">
        <v>16950</v>
      </c>
      <c r="W96" s="26">
        <v>15820</v>
      </c>
      <c r="X96" s="49">
        <f t="shared" si="48"/>
        <v>196620</v>
      </c>
      <c r="Y96" s="69"/>
      <c r="Z96" s="69"/>
    </row>
    <row r="97" spans="1:26">
      <c r="A97" s="114">
        <f t="shared" si="49"/>
        <v>2018028</v>
      </c>
      <c r="B97" s="74"/>
      <c r="C97" s="642"/>
      <c r="D97" s="645"/>
      <c r="E97" s="645"/>
      <c r="F97" s="645"/>
      <c r="G97" s="645"/>
      <c r="H97" s="645"/>
      <c r="I97" s="648"/>
      <c r="J97" s="629"/>
      <c r="K97" s="174" t="s">
        <v>30</v>
      </c>
      <c r="L97" s="329">
        <v>25620</v>
      </c>
      <c r="M97" s="410">
        <v>25620</v>
      </c>
      <c r="N97" s="410">
        <v>25620</v>
      </c>
      <c r="O97" s="410">
        <v>25620</v>
      </c>
      <c r="P97" s="410">
        <v>25620</v>
      </c>
      <c r="Q97" s="410">
        <v>27450</v>
      </c>
      <c r="R97" s="410">
        <v>27450</v>
      </c>
      <c r="S97" s="410">
        <v>27450</v>
      </c>
      <c r="T97" s="410">
        <v>27450</v>
      </c>
      <c r="U97" s="410">
        <v>27450</v>
      </c>
      <c r="V97" s="410">
        <v>27450</v>
      </c>
      <c r="W97" s="26">
        <v>25620</v>
      </c>
      <c r="X97" s="49">
        <f t="shared" si="48"/>
        <v>318420</v>
      </c>
      <c r="Y97" s="69"/>
      <c r="Z97" s="69"/>
    </row>
    <row r="98" spans="1:26">
      <c r="A98" s="114">
        <f t="shared" si="49"/>
        <v>2018028</v>
      </c>
      <c r="B98" s="74"/>
      <c r="C98" s="642"/>
      <c r="D98" s="645"/>
      <c r="E98" s="645"/>
      <c r="F98" s="645"/>
      <c r="G98" s="645"/>
      <c r="H98" s="645"/>
      <c r="I98" s="648"/>
      <c r="J98" s="629"/>
      <c r="K98" s="174" t="s">
        <v>31</v>
      </c>
      <c r="L98" s="329">
        <v>1475</v>
      </c>
      <c r="M98" s="410">
        <v>1471</v>
      </c>
      <c r="N98" s="410">
        <v>1469</v>
      </c>
      <c r="O98" s="410">
        <v>1479</v>
      </c>
      <c r="P98" s="410">
        <v>1475</v>
      </c>
      <c r="Q98" s="410">
        <v>1469</v>
      </c>
      <c r="R98" s="410">
        <v>1473</v>
      </c>
      <c r="S98" s="410">
        <v>1471</v>
      </c>
      <c r="T98" s="410">
        <v>1475</v>
      </c>
      <c r="U98" s="410">
        <v>1467</v>
      </c>
      <c r="V98" s="410">
        <v>1544</v>
      </c>
      <c r="W98" s="26">
        <v>1475</v>
      </c>
      <c r="X98" s="49">
        <f t="shared" si="48"/>
        <v>17743</v>
      </c>
      <c r="Y98" s="69"/>
      <c r="Z98" s="69"/>
    </row>
    <row r="99" spans="1:26">
      <c r="A99" s="114">
        <f t="shared" si="49"/>
        <v>2018028</v>
      </c>
      <c r="B99" s="74"/>
      <c r="C99" s="642"/>
      <c r="D99" s="645"/>
      <c r="E99" s="645"/>
      <c r="F99" s="645"/>
      <c r="G99" s="645"/>
      <c r="H99" s="645"/>
      <c r="I99" s="648"/>
      <c r="J99" s="629"/>
      <c r="K99" s="174" t="s">
        <v>32</v>
      </c>
      <c r="L99" s="395">
        <v>1622</v>
      </c>
      <c r="M99" s="443">
        <v>1618</v>
      </c>
      <c r="N99" s="443">
        <v>1616</v>
      </c>
      <c r="O99" s="443">
        <v>1627</v>
      </c>
      <c r="P99" s="443">
        <v>1622</v>
      </c>
      <c r="Q99" s="443">
        <v>1616</v>
      </c>
      <c r="R99" s="443">
        <v>1621</v>
      </c>
      <c r="S99" s="443">
        <v>1618</v>
      </c>
      <c r="T99" s="443">
        <v>1622</v>
      </c>
      <c r="U99" s="443">
        <v>1614</v>
      </c>
      <c r="V99" s="443">
        <v>1699</v>
      </c>
      <c r="W99" s="221">
        <v>1622</v>
      </c>
      <c r="X99" s="49">
        <f t="shared" si="48"/>
        <v>19517</v>
      </c>
      <c r="Y99" s="69"/>
      <c r="Z99" s="69"/>
    </row>
    <row r="100" spans="1:26">
      <c r="A100" s="114">
        <f>+A99</f>
        <v>2018028</v>
      </c>
      <c r="B100" s="74"/>
      <c r="C100" s="654"/>
      <c r="D100" s="655"/>
      <c r="E100" s="655"/>
      <c r="F100" s="655"/>
      <c r="G100" s="655"/>
      <c r="H100" s="655"/>
      <c r="I100" s="652"/>
      <c r="J100" s="630"/>
      <c r="K100" s="175" t="s">
        <v>33</v>
      </c>
      <c r="L100" s="356">
        <f t="shared" ref="L100:X100" si="51">L89-L92</f>
        <v>101463</v>
      </c>
      <c r="M100" s="412">
        <f t="shared" si="51"/>
        <v>88471</v>
      </c>
      <c r="N100" s="412">
        <f t="shared" si="51"/>
        <v>51575</v>
      </c>
      <c r="O100" s="412">
        <f t="shared" si="51"/>
        <v>100614</v>
      </c>
      <c r="P100" s="412">
        <f t="shared" si="51"/>
        <v>101463</v>
      </c>
      <c r="Q100" s="412">
        <f t="shared" si="51"/>
        <v>65215</v>
      </c>
      <c r="R100" s="412">
        <f t="shared" si="51"/>
        <v>85066</v>
      </c>
      <c r="S100" s="412">
        <f t="shared" si="51"/>
        <v>86891</v>
      </c>
      <c r="T100" s="412">
        <f t="shared" si="51"/>
        <v>98503</v>
      </c>
      <c r="U100" s="412">
        <f t="shared" si="51"/>
        <v>24179</v>
      </c>
      <c r="V100" s="412">
        <f t="shared" si="51"/>
        <v>68765</v>
      </c>
      <c r="W100" s="101">
        <f t="shared" si="51"/>
        <v>101463</v>
      </c>
      <c r="X100" s="51">
        <f t="shared" si="51"/>
        <v>973668</v>
      </c>
      <c r="Y100" s="69"/>
      <c r="Z100" s="69"/>
    </row>
    <row r="101" spans="1:26" ht="12.75" customHeight="1">
      <c r="A101" s="113">
        <v>2018031</v>
      </c>
      <c r="C101" s="641">
        <f t="shared" ref="C101" si="52">C89+1</f>
        <v>9</v>
      </c>
      <c r="D101" s="644" t="s">
        <v>94</v>
      </c>
      <c r="E101" s="644"/>
      <c r="F101" s="644"/>
      <c r="G101" s="644" t="s">
        <v>168</v>
      </c>
      <c r="H101" s="644"/>
      <c r="I101" s="647"/>
      <c r="J101" s="628" t="s">
        <v>65</v>
      </c>
      <c r="K101" s="176" t="s">
        <v>23</v>
      </c>
      <c r="L101" s="353">
        <f t="shared" ref="L101:W101" si="53">L102+L103</f>
        <v>510000</v>
      </c>
      <c r="M101" s="409">
        <f t="shared" si="53"/>
        <v>510000</v>
      </c>
      <c r="N101" s="409">
        <f t="shared" si="53"/>
        <v>510000</v>
      </c>
      <c r="O101" s="409">
        <f t="shared" si="53"/>
        <v>505215</v>
      </c>
      <c r="P101" s="409">
        <f t="shared" si="53"/>
        <v>510000</v>
      </c>
      <c r="Q101" s="409">
        <f t="shared" si="53"/>
        <v>510000</v>
      </c>
      <c r="R101" s="409">
        <f t="shared" si="53"/>
        <v>510000</v>
      </c>
      <c r="S101" s="409">
        <f t="shared" si="53"/>
        <v>428655</v>
      </c>
      <c r="T101" s="409">
        <f t="shared" si="53"/>
        <v>503620</v>
      </c>
      <c r="U101" s="409">
        <f t="shared" si="53"/>
        <v>500430</v>
      </c>
      <c r="V101" s="409">
        <f t="shared" si="53"/>
        <v>500430</v>
      </c>
      <c r="W101" s="97">
        <f t="shared" si="53"/>
        <v>510000</v>
      </c>
      <c r="X101" s="117">
        <f t="shared" ref="X101:X111" si="54">SUM(L101:W101)</f>
        <v>6008350</v>
      </c>
      <c r="Z101" s="69"/>
    </row>
    <row r="102" spans="1:26">
      <c r="A102" s="114">
        <f t="shared" ref="A102:A112" si="55">+A101</f>
        <v>2018031</v>
      </c>
      <c r="B102" s="74">
        <f t="shared" ref="B102:B112" si="56">+B101</f>
        <v>0</v>
      </c>
      <c r="C102" s="642"/>
      <c r="D102" s="645"/>
      <c r="E102" s="645"/>
      <c r="F102" s="645"/>
      <c r="G102" s="645"/>
      <c r="H102" s="645"/>
      <c r="I102" s="648"/>
      <c r="J102" s="629"/>
      <c r="K102" s="172" t="s">
        <v>24</v>
      </c>
      <c r="L102" s="362">
        <v>510000</v>
      </c>
      <c r="M102" s="301">
        <v>510000</v>
      </c>
      <c r="N102" s="301">
        <v>510000</v>
      </c>
      <c r="O102" s="301">
        <v>505215</v>
      </c>
      <c r="P102" s="301">
        <v>510000</v>
      </c>
      <c r="Q102" s="301">
        <v>510000</v>
      </c>
      <c r="R102" s="301">
        <v>510000</v>
      </c>
      <c r="S102" s="301">
        <v>428655</v>
      </c>
      <c r="T102" s="301">
        <v>503620</v>
      </c>
      <c r="U102" s="301">
        <v>500430</v>
      </c>
      <c r="V102" s="301">
        <v>500430</v>
      </c>
      <c r="W102" s="102">
        <v>510000</v>
      </c>
      <c r="X102" s="49">
        <f t="shared" si="54"/>
        <v>6008350</v>
      </c>
      <c r="Y102" s="69"/>
      <c r="Z102" s="69"/>
    </row>
    <row r="103" spans="1:26">
      <c r="A103" s="114">
        <f t="shared" si="55"/>
        <v>2018031</v>
      </c>
      <c r="B103" s="74">
        <f t="shared" si="56"/>
        <v>0</v>
      </c>
      <c r="C103" s="642"/>
      <c r="D103" s="645"/>
      <c r="E103" s="645"/>
      <c r="F103" s="645"/>
      <c r="G103" s="645"/>
      <c r="H103" s="645"/>
      <c r="I103" s="648"/>
      <c r="J103" s="629"/>
      <c r="K103" s="172" t="s">
        <v>25</v>
      </c>
      <c r="L103" s="392"/>
      <c r="M103" s="297"/>
      <c r="N103" s="297"/>
      <c r="O103" s="297"/>
      <c r="P103" s="297"/>
      <c r="Q103" s="297"/>
      <c r="R103" s="297"/>
      <c r="S103" s="297"/>
      <c r="T103" s="297"/>
      <c r="U103" s="297"/>
      <c r="V103" s="297"/>
      <c r="W103" s="91"/>
      <c r="X103" s="49">
        <f t="shared" si="54"/>
        <v>0</v>
      </c>
      <c r="Z103" s="69"/>
    </row>
    <row r="104" spans="1:26">
      <c r="A104" s="114">
        <f t="shared" si="55"/>
        <v>2018031</v>
      </c>
      <c r="B104" s="74">
        <f t="shared" si="56"/>
        <v>0</v>
      </c>
      <c r="C104" s="642"/>
      <c r="D104" s="645"/>
      <c r="E104" s="645"/>
      <c r="F104" s="645"/>
      <c r="G104" s="645"/>
      <c r="H104" s="645"/>
      <c r="I104" s="648"/>
      <c r="J104" s="629"/>
      <c r="K104" s="173" t="s">
        <v>26</v>
      </c>
      <c r="L104" s="355">
        <f t="shared" ref="L104:W104" si="57">SUM(L105:L111)</f>
        <v>420294</v>
      </c>
      <c r="M104" s="411">
        <f t="shared" si="57"/>
        <v>419889</v>
      </c>
      <c r="N104" s="411">
        <f t="shared" si="57"/>
        <v>421102</v>
      </c>
      <c r="O104" s="411">
        <f t="shared" si="57"/>
        <v>420698</v>
      </c>
      <c r="P104" s="411">
        <f t="shared" si="57"/>
        <v>420516</v>
      </c>
      <c r="Q104" s="411">
        <f t="shared" si="57"/>
        <v>420496</v>
      </c>
      <c r="R104" s="411">
        <f t="shared" si="57"/>
        <v>421506</v>
      </c>
      <c r="S104" s="411">
        <f t="shared" si="57"/>
        <v>414111</v>
      </c>
      <c r="T104" s="411">
        <f t="shared" si="57"/>
        <v>421486</v>
      </c>
      <c r="U104" s="411">
        <f t="shared" si="57"/>
        <v>421102</v>
      </c>
      <c r="V104" s="411">
        <f t="shared" si="57"/>
        <v>416154</v>
      </c>
      <c r="W104" s="99">
        <f t="shared" si="57"/>
        <v>420294</v>
      </c>
      <c r="X104" s="50">
        <f t="shared" si="54"/>
        <v>5037648</v>
      </c>
      <c r="Z104" s="69"/>
    </row>
    <row r="105" spans="1:26">
      <c r="A105" s="114">
        <f t="shared" si="55"/>
        <v>2018031</v>
      </c>
      <c r="B105" s="74">
        <f t="shared" si="56"/>
        <v>0</v>
      </c>
      <c r="C105" s="642"/>
      <c r="D105" s="645"/>
      <c r="E105" s="645"/>
      <c r="F105" s="645"/>
      <c r="G105" s="645"/>
      <c r="H105" s="645"/>
      <c r="I105" s="648"/>
      <c r="J105" s="629"/>
      <c r="K105" s="174" t="s">
        <v>27</v>
      </c>
      <c r="L105" s="343">
        <v>360200</v>
      </c>
      <c r="M105" s="297">
        <v>362200</v>
      </c>
      <c r="N105" s="297">
        <v>362200</v>
      </c>
      <c r="O105" s="297">
        <v>361800</v>
      </c>
      <c r="P105" s="297">
        <v>363000</v>
      </c>
      <c r="Q105" s="297">
        <v>361000</v>
      </c>
      <c r="R105" s="297">
        <v>362600</v>
      </c>
      <c r="S105" s="297">
        <v>354682</v>
      </c>
      <c r="T105" s="297">
        <v>361000</v>
      </c>
      <c r="U105" s="297">
        <v>362200</v>
      </c>
      <c r="V105" s="297">
        <v>356522</v>
      </c>
      <c r="W105" s="91">
        <v>360200</v>
      </c>
      <c r="X105" s="49">
        <f t="shared" si="54"/>
        <v>4327604</v>
      </c>
      <c r="Y105" s="69"/>
      <c r="Z105" s="69"/>
    </row>
    <row r="106" spans="1:26">
      <c r="A106" s="114">
        <f t="shared" si="55"/>
        <v>2018031</v>
      </c>
      <c r="B106" s="74">
        <f t="shared" si="56"/>
        <v>0</v>
      </c>
      <c r="C106" s="642"/>
      <c r="D106" s="645"/>
      <c r="E106" s="645"/>
      <c r="F106" s="645"/>
      <c r="G106" s="645"/>
      <c r="H106" s="645"/>
      <c r="I106" s="648"/>
      <c r="J106" s="629"/>
      <c r="K106" s="174" t="s">
        <v>34</v>
      </c>
      <c r="L106" s="343"/>
      <c r="M106" s="297"/>
      <c r="N106" s="297"/>
      <c r="O106" s="297"/>
      <c r="P106" s="297"/>
      <c r="Q106" s="297"/>
      <c r="R106" s="297"/>
      <c r="S106" s="297"/>
      <c r="T106" s="297"/>
      <c r="U106" s="297"/>
      <c r="V106" s="297"/>
      <c r="W106" s="91"/>
      <c r="X106" s="49">
        <f t="shared" si="54"/>
        <v>0</v>
      </c>
      <c r="Y106" s="69"/>
      <c r="Z106" s="69"/>
    </row>
    <row r="107" spans="1:26">
      <c r="A107" s="114">
        <f t="shared" si="55"/>
        <v>2018031</v>
      </c>
      <c r="B107" s="74">
        <f t="shared" si="56"/>
        <v>0</v>
      </c>
      <c r="C107" s="642"/>
      <c r="D107" s="645"/>
      <c r="E107" s="645"/>
      <c r="F107" s="645"/>
      <c r="G107" s="645"/>
      <c r="H107" s="645"/>
      <c r="I107" s="648"/>
      <c r="J107" s="629"/>
      <c r="K107" s="174" t="s">
        <v>28</v>
      </c>
      <c r="L107" s="343">
        <v>3000</v>
      </c>
      <c r="M107" s="297">
        <v>600</v>
      </c>
      <c r="N107" s="297">
        <v>1800</v>
      </c>
      <c r="O107" s="297">
        <v>1800</v>
      </c>
      <c r="P107" s="297">
        <v>420</v>
      </c>
      <c r="Q107" s="297">
        <v>2400</v>
      </c>
      <c r="R107" s="297">
        <v>1800</v>
      </c>
      <c r="S107" s="297">
        <v>2400</v>
      </c>
      <c r="T107" s="297">
        <v>3380</v>
      </c>
      <c r="U107" s="297">
        <v>1800</v>
      </c>
      <c r="V107" s="297">
        <v>2400</v>
      </c>
      <c r="W107" s="91">
        <v>3000</v>
      </c>
      <c r="X107" s="49">
        <f t="shared" si="54"/>
        <v>24800</v>
      </c>
      <c r="Y107" s="69"/>
      <c r="Z107" s="69"/>
    </row>
    <row r="108" spans="1:26">
      <c r="A108" s="114">
        <f t="shared" si="55"/>
        <v>2018031</v>
      </c>
      <c r="B108" s="74">
        <f t="shared" si="56"/>
        <v>0</v>
      </c>
      <c r="C108" s="642"/>
      <c r="D108" s="645"/>
      <c r="E108" s="645"/>
      <c r="F108" s="645"/>
      <c r="G108" s="645"/>
      <c r="H108" s="645"/>
      <c r="I108" s="648"/>
      <c r="J108" s="629"/>
      <c r="K108" s="174" t="s">
        <v>29</v>
      </c>
      <c r="L108" s="343">
        <v>20340</v>
      </c>
      <c r="M108" s="297">
        <v>20340</v>
      </c>
      <c r="N108" s="297">
        <v>20340</v>
      </c>
      <c r="O108" s="297">
        <v>20340</v>
      </c>
      <c r="P108" s="297">
        <v>20340</v>
      </c>
      <c r="Q108" s="297">
        <v>20340</v>
      </c>
      <c r="R108" s="297">
        <v>20340</v>
      </c>
      <c r="S108" s="297">
        <v>20340</v>
      </c>
      <c r="T108" s="297">
        <v>20340</v>
      </c>
      <c r="U108" s="297">
        <v>20340</v>
      </c>
      <c r="V108" s="297">
        <v>20340</v>
      </c>
      <c r="W108" s="91">
        <v>20340</v>
      </c>
      <c r="X108" s="49">
        <f t="shared" si="54"/>
        <v>244080</v>
      </c>
      <c r="Y108" s="69"/>
      <c r="Z108" s="69"/>
    </row>
    <row r="109" spans="1:26">
      <c r="A109" s="114">
        <f t="shared" si="55"/>
        <v>2018031</v>
      </c>
      <c r="B109" s="74">
        <f t="shared" si="56"/>
        <v>0</v>
      </c>
      <c r="C109" s="642"/>
      <c r="D109" s="645"/>
      <c r="E109" s="645"/>
      <c r="F109" s="645"/>
      <c r="G109" s="645"/>
      <c r="H109" s="645"/>
      <c r="I109" s="648"/>
      <c r="J109" s="629"/>
      <c r="K109" s="174" t="s">
        <v>30</v>
      </c>
      <c r="L109" s="343">
        <v>32940</v>
      </c>
      <c r="M109" s="297">
        <v>32940</v>
      </c>
      <c r="N109" s="297">
        <v>32940</v>
      </c>
      <c r="O109" s="297">
        <v>32940</v>
      </c>
      <c r="P109" s="297">
        <v>32940</v>
      </c>
      <c r="Q109" s="297">
        <v>32940</v>
      </c>
      <c r="R109" s="297">
        <v>32940</v>
      </c>
      <c r="S109" s="297">
        <v>32940</v>
      </c>
      <c r="T109" s="297">
        <v>32940</v>
      </c>
      <c r="U109" s="297">
        <v>32940</v>
      </c>
      <c r="V109" s="297">
        <v>32940</v>
      </c>
      <c r="W109" s="91">
        <v>32940</v>
      </c>
      <c r="X109" s="49">
        <f t="shared" si="54"/>
        <v>395280</v>
      </c>
      <c r="Y109" s="69"/>
      <c r="Z109" s="69"/>
    </row>
    <row r="110" spans="1:26">
      <c r="A110" s="114">
        <f t="shared" si="55"/>
        <v>2018031</v>
      </c>
      <c r="B110" s="74">
        <f t="shared" si="56"/>
        <v>0</v>
      </c>
      <c r="C110" s="642"/>
      <c r="D110" s="645"/>
      <c r="E110" s="645"/>
      <c r="F110" s="645"/>
      <c r="G110" s="645"/>
      <c r="H110" s="645"/>
      <c r="I110" s="648"/>
      <c r="J110" s="629"/>
      <c r="K110" s="174" t="s">
        <v>31</v>
      </c>
      <c r="L110" s="343">
        <v>1816</v>
      </c>
      <c r="M110" s="297">
        <v>1814</v>
      </c>
      <c r="N110" s="297">
        <v>1820</v>
      </c>
      <c r="O110" s="297">
        <v>1818</v>
      </c>
      <c r="P110" s="297">
        <v>1817</v>
      </c>
      <c r="Q110" s="297">
        <v>1817</v>
      </c>
      <c r="R110" s="297">
        <v>1822</v>
      </c>
      <c r="S110" s="297">
        <v>1785</v>
      </c>
      <c r="T110" s="297">
        <v>1822</v>
      </c>
      <c r="U110" s="297">
        <v>1820</v>
      </c>
      <c r="V110" s="297">
        <v>1882</v>
      </c>
      <c r="W110" s="91">
        <v>1816</v>
      </c>
      <c r="X110" s="49">
        <f t="shared" si="54"/>
        <v>21849</v>
      </c>
      <c r="Y110" s="69"/>
      <c r="Z110" s="69"/>
    </row>
    <row r="111" spans="1:26">
      <c r="A111" s="114">
        <f t="shared" si="55"/>
        <v>2018031</v>
      </c>
      <c r="B111" s="74">
        <f t="shared" si="56"/>
        <v>0</v>
      </c>
      <c r="C111" s="642"/>
      <c r="D111" s="645"/>
      <c r="E111" s="645"/>
      <c r="F111" s="645"/>
      <c r="G111" s="645"/>
      <c r="H111" s="645"/>
      <c r="I111" s="648"/>
      <c r="J111" s="629"/>
      <c r="K111" s="210" t="s">
        <v>32</v>
      </c>
      <c r="L111" s="343">
        <v>1998</v>
      </c>
      <c r="M111" s="297">
        <v>1995</v>
      </c>
      <c r="N111" s="297">
        <v>2002</v>
      </c>
      <c r="O111" s="297">
        <v>2000</v>
      </c>
      <c r="P111" s="297">
        <v>1999</v>
      </c>
      <c r="Q111" s="297">
        <v>1999</v>
      </c>
      <c r="R111" s="297">
        <v>2004</v>
      </c>
      <c r="S111" s="297">
        <v>1964</v>
      </c>
      <c r="T111" s="297">
        <v>2004</v>
      </c>
      <c r="U111" s="297">
        <v>2002</v>
      </c>
      <c r="V111" s="297">
        <v>2070</v>
      </c>
      <c r="W111" s="91">
        <v>1998</v>
      </c>
      <c r="X111" s="49">
        <f t="shared" si="54"/>
        <v>24035</v>
      </c>
      <c r="Y111" s="69"/>
      <c r="Z111" s="69"/>
    </row>
    <row r="112" spans="1:26" ht="12.5" thickBot="1">
      <c r="A112" s="114">
        <f t="shared" si="55"/>
        <v>2018031</v>
      </c>
      <c r="B112" s="74">
        <f t="shared" si="56"/>
        <v>0</v>
      </c>
      <c r="C112" s="643"/>
      <c r="D112" s="646"/>
      <c r="E112" s="646"/>
      <c r="F112" s="646"/>
      <c r="G112" s="646"/>
      <c r="H112" s="646"/>
      <c r="I112" s="649"/>
      <c r="J112" s="631"/>
      <c r="K112" s="179" t="s">
        <v>33</v>
      </c>
      <c r="L112" s="380">
        <f t="shared" ref="L112:X112" si="58">L101-L104</f>
        <v>89706</v>
      </c>
      <c r="M112" s="407">
        <f t="shared" si="58"/>
        <v>90111</v>
      </c>
      <c r="N112" s="407">
        <f t="shared" si="58"/>
        <v>88898</v>
      </c>
      <c r="O112" s="407">
        <f t="shared" si="58"/>
        <v>84517</v>
      </c>
      <c r="P112" s="407">
        <f t="shared" si="58"/>
        <v>89484</v>
      </c>
      <c r="Q112" s="407">
        <f t="shared" si="58"/>
        <v>89504</v>
      </c>
      <c r="R112" s="407">
        <f t="shared" si="58"/>
        <v>88494</v>
      </c>
      <c r="S112" s="407">
        <f t="shared" si="58"/>
        <v>14544</v>
      </c>
      <c r="T112" s="407">
        <f t="shared" si="58"/>
        <v>82134</v>
      </c>
      <c r="U112" s="407">
        <f t="shared" si="58"/>
        <v>79328</v>
      </c>
      <c r="V112" s="407">
        <f t="shared" si="58"/>
        <v>84276</v>
      </c>
      <c r="W112" s="211">
        <f t="shared" si="58"/>
        <v>89706</v>
      </c>
      <c r="X112" s="55">
        <f t="shared" si="58"/>
        <v>970702</v>
      </c>
      <c r="Z112" s="69"/>
    </row>
    <row r="113" spans="1:26" s="1" customFormat="1" ht="12.5" thickTop="1">
      <c r="A113" s="112"/>
      <c r="B113" s="72"/>
      <c r="C113" s="633" t="str">
        <f>C2</f>
        <v>カスタマーリレーション本部</v>
      </c>
      <c r="D113" s="634"/>
      <c r="E113" s="634"/>
      <c r="F113" s="634"/>
      <c r="G113" s="634"/>
      <c r="H113" s="634"/>
      <c r="I113" s="634"/>
      <c r="J113" s="635"/>
      <c r="K113" s="143" t="s">
        <v>20</v>
      </c>
      <c r="L113" s="359">
        <f>L5+L17+L29+L41+L53+L65+L77+L89+L101</f>
        <v>4175455</v>
      </c>
      <c r="M113" s="462">
        <f t="shared" ref="M113:W113" si="59">M5+M17+M29+M41+M53+M65+M77+M89+M101</f>
        <v>4198670</v>
      </c>
      <c r="N113" s="462">
        <f t="shared" si="59"/>
        <v>4160580</v>
      </c>
      <c r="O113" s="462">
        <f t="shared" si="59"/>
        <v>3795580</v>
      </c>
      <c r="P113" s="462">
        <f t="shared" si="59"/>
        <v>3728995</v>
      </c>
      <c r="Q113" s="418">
        <f t="shared" si="59"/>
        <v>3753690</v>
      </c>
      <c r="R113" s="418">
        <f t="shared" si="59"/>
        <v>3798640</v>
      </c>
      <c r="S113" s="418">
        <f t="shared" si="59"/>
        <v>3544465</v>
      </c>
      <c r="T113" s="418">
        <f t="shared" si="59"/>
        <v>3736610</v>
      </c>
      <c r="U113" s="418">
        <f t="shared" si="59"/>
        <v>3616300</v>
      </c>
      <c r="V113" s="418">
        <f t="shared" si="59"/>
        <v>3543090</v>
      </c>
      <c r="W113" s="260">
        <f t="shared" si="59"/>
        <v>3791427.222222222</v>
      </c>
      <c r="X113" s="77">
        <f>SUM(L113:W113)</f>
        <v>45843502.222222224</v>
      </c>
      <c r="Y113" s="69"/>
      <c r="Z113" s="69"/>
    </row>
    <row r="114" spans="1:26" s="1" customFormat="1">
      <c r="A114" s="112"/>
      <c r="B114" s="72"/>
      <c r="C114" s="633"/>
      <c r="D114" s="634"/>
      <c r="E114" s="634"/>
      <c r="F114" s="634"/>
      <c r="G114" s="634"/>
      <c r="H114" s="634"/>
      <c r="I114" s="634"/>
      <c r="J114" s="635"/>
      <c r="K114" s="144" t="s">
        <v>21</v>
      </c>
      <c r="L114" s="360">
        <f>L8+L20+L32+L44+L56+L68+L80+L92+L104</f>
        <v>3353049</v>
      </c>
      <c r="M114" s="350">
        <f t="shared" ref="M114:W114" si="60">M8+M20+M32+M44+M56+M68+M80+M92+M104</f>
        <v>3349200</v>
      </c>
      <c r="N114" s="350">
        <f t="shared" si="60"/>
        <v>3352503</v>
      </c>
      <c r="O114" s="350">
        <f t="shared" si="60"/>
        <v>3078132</v>
      </c>
      <c r="P114" s="350">
        <f t="shared" si="60"/>
        <v>3033272</v>
      </c>
      <c r="Q114" s="419">
        <f t="shared" si="60"/>
        <v>3086778</v>
      </c>
      <c r="R114" s="419">
        <f t="shared" si="60"/>
        <v>3094674</v>
      </c>
      <c r="S114" s="419">
        <f t="shared" si="60"/>
        <v>3029065</v>
      </c>
      <c r="T114" s="419">
        <f t="shared" si="60"/>
        <v>3060899</v>
      </c>
      <c r="U114" s="419">
        <f t="shared" si="60"/>
        <v>3054276</v>
      </c>
      <c r="V114" s="419">
        <f t="shared" si="60"/>
        <v>3030569</v>
      </c>
      <c r="W114" s="261">
        <f t="shared" si="60"/>
        <v>3061101</v>
      </c>
      <c r="X114" s="44">
        <f>SUM(L114:W114)</f>
        <v>37583518</v>
      </c>
      <c r="Y114" s="69"/>
      <c r="Z114" s="69"/>
    </row>
    <row r="115" spans="1:26" s="1" customFormat="1">
      <c r="A115" s="112"/>
      <c r="B115" s="72"/>
      <c r="C115" s="636"/>
      <c r="D115" s="637"/>
      <c r="E115" s="637"/>
      <c r="F115" s="637"/>
      <c r="G115" s="637"/>
      <c r="H115" s="637"/>
      <c r="I115" s="637"/>
      <c r="J115" s="638"/>
      <c r="K115" s="153" t="s">
        <v>22</v>
      </c>
      <c r="L115" s="361">
        <f>L113-L114</f>
        <v>822406</v>
      </c>
      <c r="M115" s="420">
        <f t="shared" ref="M115:W115" si="61">M113-M114</f>
        <v>849470</v>
      </c>
      <c r="N115" s="420">
        <f t="shared" si="61"/>
        <v>808077</v>
      </c>
      <c r="O115" s="420">
        <f t="shared" si="61"/>
        <v>717448</v>
      </c>
      <c r="P115" s="420">
        <f t="shared" si="61"/>
        <v>695723</v>
      </c>
      <c r="Q115" s="420">
        <f t="shared" si="61"/>
        <v>666912</v>
      </c>
      <c r="R115" s="420">
        <f t="shared" si="61"/>
        <v>703966</v>
      </c>
      <c r="S115" s="420">
        <f t="shared" si="61"/>
        <v>515400</v>
      </c>
      <c r="T115" s="420">
        <f t="shared" si="61"/>
        <v>675711</v>
      </c>
      <c r="U115" s="420">
        <f t="shared" si="61"/>
        <v>562024</v>
      </c>
      <c r="V115" s="420">
        <f t="shared" si="61"/>
        <v>512521</v>
      </c>
      <c r="W115" s="82">
        <f t="shared" si="61"/>
        <v>730326.22222222202</v>
      </c>
      <c r="X115" s="45">
        <f>SUM(L115:W115)</f>
        <v>8259984.222222222</v>
      </c>
      <c r="Y115" s="69"/>
      <c r="Z115" s="69"/>
    </row>
    <row r="116" spans="1:26">
      <c r="F116" s="127"/>
      <c r="K116" s="128" t="s">
        <v>74</v>
      </c>
      <c r="L116" s="639">
        <f>SUM(L113:N113)</f>
        <v>12534705</v>
      </c>
      <c r="M116" s="585"/>
      <c r="N116" s="585"/>
      <c r="O116" s="585">
        <f>SUM(O113:Q113)</f>
        <v>11278265</v>
      </c>
      <c r="P116" s="585"/>
      <c r="Q116" s="585"/>
      <c r="R116" s="585">
        <f t="shared" ref="R116:R117" si="62">SUM(R113:T113)</f>
        <v>11079715</v>
      </c>
      <c r="S116" s="585"/>
      <c r="T116" s="585"/>
      <c r="U116" s="585">
        <f>SUM(U113:W113)</f>
        <v>10950817.222222222</v>
      </c>
      <c r="V116" s="585"/>
      <c r="W116" s="586"/>
      <c r="X116" s="34">
        <f>X113</f>
        <v>45843502.222222224</v>
      </c>
      <c r="Y116" s="69"/>
      <c r="Z116" s="69"/>
    </row>
    <row r="117" spans="1:26">
      <c r="F117" s="127"/>
      <c r="K117" s="130" t="s">
        <v>77</v>
      </c>
      <c r="L117" s="640">
        <f>SUM(L114:N114)</f>
        <v>10054752</v>
      </c>
      <c r="M117" s="589"/>
      <c r="N117" s="589"/>
      <c r="O117" s="589">
        <f t="shared" ref="O117" si="63">SUM(O114:Q114)</f>
        <v>9198182</v>
      </c>
      <c r="P117" s="589"/>
      <c r="Q117" s="589"/>
      <c r="R117" s="589">
        <f t="shared" si="62"/>
        <v>9184638</v>
      </c>
      <c r="S117" s="589"/>
      <c r="T117" s="589"/>
      <c r="U117" s="589">
        <f t="shared" ref="U117" si="64">SUM(U114:W114)</f>
        <v>9145946</v>
      </c>
      <c r="V117" s="589"/>
      <c r="W117" s="590"/>
      <c r="X117" s="35">
        <f t="shared" ref="X117:X118" si="65">X114</f>
        <v>37583518</v>
      </c>
      <c r="Y117" s="69"/>
      <c r="Z117" s="69"/>
    </row>
    <row r="118" spans="1:26">
      <c r="F118" s="127"/>
      <c r="K118" s="6" t="s">
        <v>75</v>
      </c>
      <c r="L118" s="632">
        <f>SUM(L115:N115)</f>
        <v>2479953</v>
      </c>
      <c r="M118" s="571"/>
      <c r="N118" s="571"/>
      <c r="O118" s="571">
        <f>SUM(O115:Q115)</f>
        <v>2080083</v>
      </c>
      <c r="P118" s="571"/>
      <c r="Q118" s="571"/>
      <c r="R118" s="571">
        <f>SUM(R115:T115)</f>
        <v>1895077</v>
      </c>
      <c r="S118" s="571"/>
      <c r="T118" s="571"/>
      <c r="U118" s="571">
        <f>SUM(U115:W115)</f>
        <v>1804871.222222222</v>
      </c>
      <c r="V118" s="571"/>
      <c r="W118" s="582"/>
      <c r="X118" s="36">
        <f t="shared" si="65"/>
        <v>8259984.222222222</v>
      </c>
      <c r="Z118" s="69"/>
    </row>
    <row r="119" spans="1:26">
      <c r="Z119" s="69"/>
    </row>
    <row r="120" spans="1:26">
      <c r="Z120" s="69"/>
    </row>
    <row r="121" spans="1:26">
      <c r="Z121" s="69"/>
    </row>
    <row r="122" spans="1:26">
      <c r="Z122" s="69"/>
    </row>
    <row r="123" spans="1:26">
      <c r="Z123" s="69"/>
    </row>
    <row r="124" spans="1:26">
      <c r="Z124" s="69"/>
    </row>
    <row r="125" spans="1:26">
      <c r="Z125" s="69"/>
    </row>
    <row r="126" spans="1:26">
      <c r="Z126" s="69"/>
    </row>
    <row r="127" spans="1:26">
      <c r="Z127" s="69"/>
    </row>
    <row r="128" spans="1:26">
      <c r="Z128" s="69"/>
    </row>
    <row r="129" spans="26:26">
      <c r="Z129" s="69"/>
    </row>
    <row r="130" spans="26:26">
      <c r="Z130" s="69"/>
    </row>
    <row r="131" spans="26:26">
      <c r="Z131" s="69"/>
    </row>
    <row r="132" spans="26:26">
      <c r="Z132" s="69"/>
    </row>
    <row r="133" spans="26:26">
      <c r="Z133" s="69"/>
    </row>
    <row r="134" spans="26:26">
      <c r="Z134" s="69"/>
    </row>
    <row r="135" spans="26:26">
      <c r="Z135" s="69"/>
    </row>
    <row r="136" spans="26:26">
      <c r="Z136" s="69"/>
    </row>
    <row r="137" spans="26:26">
      <c r="Z137" s="69"/>
    </row>
    <row r="138" spans="26:26">
      <c r="Z138" s="69"/>
    </row>
    <row r="139" spans="26:26">
      <c r="Z139" s="69"/>
    </row>
    <row r="140" spans="26:26">
      <c r="Z140" s="69"/>
    </row>
    <row r="141" spans="26:26">
      <c r="Z141" s="69"/>
    </row>
    <row r="142" spans="26:26">
      <c r="Z142" s="69"/>
    </row>
    <row r="143" spans="26:26">
      <c r="Z143" s="69"/>
    </row>
    <row r="144" spans="26:26">
      <c r="Z144" s="69"/>
    </row>
    <row r="145" spans="26:26">
      <c r="Z145" s="69"/>
    </row>
    <row r="146" spans="26:26">
      <c r="Z146" s="69"/>
    </row>
    <row r="147" spans="26:26">
      <c r="Z147" s="69"/>
    </row>
    <row r="148" spans="26:26">
      <c r="Z148" s="69"/>
    </row>
    <row r="149" spans="26:26">
      <c r="Z149" s="69"/>
    </row>
    <row r="150" spans="26:26">
      <c r="Z150" s="69"/>
    </row>
    <row r="151" spans="26:26">
      <c r="Z151" s="69"/>
    </row>
    <row r="152" spans="26:26">
      <c r="Z152" s="69"/>
    </row>
    <row r="153" spans="26:26">
      <c r="Z153" s="69"/>
    </row>
    <row r="154" spans="26:26">
      <c r="Z154" s="69"/>
    </row>
    <row r="155" spans="26:26">
      <c r="Z155" s="69"/>
    </row>
    <row r="156" spans="26:26">
      <c r="Z156" s="69"/>
    </row>
    <row r="157" spans="26:26">
      <c r="Z157" s="69"/>
    </row>
    <row r="158" spans="26:26">
      <c r="Z158" s="69"/>
    </row>
    <row r="159" spans="26:26">
      <c r="Z159" s="69"/>
    </row>
    <row r="160" spans="26:26">
      <c r="Z160" s="69"/>
    </row>
    <row r="161" spans="26:26">
      <c r="Z161" s="69"/>
    </row>
    <row r="162" spans="26:26">
      <c r="Z162" s="69"/>
    </row>
    <row r="163" spans="26:26">
      <c r="Z163" s="69"/>
    </row>
    <row r="164" spans="26:26">
      <c r="Z164" s="69"/>
    </row>
    <row r="165" spans="26:26">
      <c r="Z165" s="69"/>
    </row>
    <row r="166" spans="26:26">
      <c r="Z166" s="69"/>
    </row>
    <row r="167" spans="26:26">
      <c r="Z167" s="69"/>
    </row>
    <row r="168" spans="26:26">
      <c r="Z168" s="69"/>
    </row>
    <row r="169" spans="26:26">
      <c r="Z169" s="69"/>
    </row>
    <row r="170" spans="26:26">
      <c r="Z170" s="69"/>
    </row>
    <row r="171" spans="26:26">
      <c r="Z171" s="69"/>
    </row>
    <row r="172" spans="26:26">
      <c r="Z172" s="69"/>
    </row>
    <row r="173" spans="26:26">
      <c r="Z173" s="69"/>
    </row>
    <row r="174" spans="26:26">
      <c r="Z174" s="69"/>
    </row>
    <row r="175" spans="26:26">
      <c r="Z175" s="69"/>
    </row>
    <row r="176" spans="26:26">
      <c r="Z176" s="69"/>
    </row>
    <row r="177" spans="26:26">
      <c r="Z177" s="69"/>
    </row>
    <row r="178" spans="26:26">
      <c r="Z178" s="69"/>
    </row>
    <row r="179" spans="26:26">
      <c r="Z179" s="69"/>
    </row>
    <row r="180" spans="26:26">
      <c r="Z180" s="69"/>
    </row>
    <row r="181" spans="26:26">
      <c r="Z181" s="69"/>
    </row>
    <row r="182" spans="26:26">
      <c r="Z182" s="69"/>
    </row>
    <row r="183" spans="26:26">
      <c r="Z183" s="69"/>
    </row>
    <row r="184" spans="26:26">
      <c r="Z184" s="69"/>
    </row>
    <row r="185" spans="26:26">
      <c r="Z185" s="69"/>
    </row>
    <row r="186" spans="26:26">
      <c r="Z186" s="69"/>
    </row>
    <row r="187" spans="26:26">
      <c r="Z187" s="69"/>
    </row>
  </sheetData>
  <mergeCells count="86">
    <mergeCell ref="D101:D112"/>
    <mergeCell ref="C101:C112"/>
    <mergeCell ref="G101:G112"/>
    <mergeCell ref="H101:H112"/>
    <mergeCell ref="J101:J112"/>
    <mergeCell ref="F101:F112"/>
    <mergeCell ref="E101:E112"/>
    <mergeCell ref="I101:I112"/>
    <mergeCell ref="J77:J88"/>
    <mergeCell ref="I77:I88"/>
    <mergeCell ref="H77:H88"/>
    <mergeCell ref="C77:C88"/>
    <mergeCell ref="G77:G88"/>
    <mergeCell ref="D77:D88"/>
    <mergeCell ref="F77:F88"/>
    <mergeCell ref="E77:E88"/>
    <mergeCell ref="I41:I52"/>
    <mergeCell ref="J41:J52"/>
    <mergeCell ref="C41:C52"/>
    <mergeCell ref="D41:D52"/>
    <mergeCell ref="E41:E52"/>
    <mergeCell ref="F41:F52"/>
    <mergeCell ref="G41:G52"/>
    <mergeCell ref="G17:G28"/>
    <mergeCell ref="G5:G16"/>
    <mergeCell ref="C2:J4"/>
    <mergeCell ref="I17:I28"/>
    <mergeCell ref="J17:J28"/>
    <mergeCell ref="I5:I16"/>
    <mergeCell ref="J5:J16"/>
    <mergeCell ref="H5:H16"/>
    <mergeCell ref="C5:C16"/>
    <mergeCell ref="D5:D16"/>
    <mergeCell ref="E5:E16"/>
    <mergeCell ref="F5:F16"/>
    <mergeCell ref="C89:C100"/>
    <mergeCell ref="D89:D100"/>
    <mergeCell ref="E89:E100"/>
    <mergeCell ref="F89:F100"/>
    <mergeCell ref="G89:G100"/>
    <mergeCell ref="H89:H100"/>
    <mergeCell ref="I89:I100"/>
    <mergeCell ref="J89:J100"/>
    <mergeCell ref="C17:C28"/>
    <mergeCell ref="D17:D28"/>
    <mergeCell ref="E17:E28"/>
    <mergeCell ref="F17:F28"/>
    <mergeCell ref="I65:I76"/>
    <mergeCell ref="J65:J76"/>
    <mergeCell ref="H17:H28"/>
    <mergeCell ref="H29:H40"/>
    <mergeCell ref="I29:I40"/>
    <mergeCell ref="J29:J40"/>
    <mergeCell ref="C65:C76"/>
    <mergeCell ref="D65:D76"/>
    <mergeCell ref="E65:E76"/>
    <mergeCell ref="F65:F76"/>
    <mergeCell ref="G65:G76"/>
    <mergeCell ref="H65:H76"/>
    <mergeCell ref="C29:C40"/>
    <mergeCell ref="D29:D40"/>
    <mergeCell ref="E29:E40"/>
    <mergeCell ref="F29:F40"/>
    <mergeCell ref="G29:G40"/>
    <mergeCell ref="H41:H52"/>
    <mergeCell ref="H53:H64"/>
    <mergeCell ref="L118:N118"/>
    <mergeCell ref="O118:Q118"/>
    <mergeCell ref="R118:T118"/>
    <mergeCell ref="U118:W118"/>
    <mergeCell ref="C113:J115"/>
    <mergeCell ref="L116:N116"/>
    <mergeCell ref="O116:Q116"/>
    <mergeCell ref="R116:T116"/>
    <mergeCell ref="U116:W116"/>
    <mergeCell ref="L117:N117"/>
    <mergeCell ref="O117:Q117"/>
    <mergeCell ref="R117:T117"/>
    <mergeCell ref="U117:W117"/>
    <mergeCell ref="I53:I64"/>
    <mergeCell ref="J53:J64"/>
    <mergeCell ref="C53:C64"/>
    <mergeCell ref="D53:D64"/>
    <mergeCell ref="E53:E64"/>
    <mergeCell ref="F53:F64"/>
    <mergeCell ref="G53:G64"/>
  </mergeCells>
  <phoneticPr fontId="10"/>
  <printOptions horizontalCentered="1"/>
  <pageMargins left="0.70866141732283472" right="0.70866141732283472" top="0.70866141732283472" bottom="0.70866141732283472" header="0.31496062992125984" footer="0.31496062992125984"/>
  <pageSetup paperSize="9" scale="52" fitToHeight="0" orientation="landscape" r:id="rId1"/>
  <rowBreaks count="1" manualBreakCount="1">
    <brk id="76" min="2" max="23" man="1"/>
  </row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Z391"/>
  <sheetViews>
    <sheetView showGridLines="0" zoomScale="80" zoomScaleNormal="80" zoomScaleSheetLayoutView="70" workbookViewId="0">
      <pane xSplit="11" ySplit="4" topLeftCell="L32" activePane="bottomRight" state="frozen"/>
      <selection pane="topRight"/>
      <selection pane="bottomLeft"/>
      <selection pane="bottomRight" activeCell="L6" sqref="L6:L75"/>
    </sheetView>
  </sheetViews>
  <sheetFormatPr defaultRowHeight="12"/>
  <cols>
    <col min="1" max="1" width="9.6328125" style="115" customWidth="1"/>
    <col min="2" max="2" width="11.90625" style="73" customWidth="1"/>
    <col min="3" max="3" width="6.36328125" style="9" customWidth="1"/>
    <col min="4" max="4" width="10.36328125" style="9" customWidth="1"/>
    <col min="5" max="5" width="5.08984375" style="9" customWidth="1"/>
    <col min="6" max="9" width="9.90625" style="9" customWidth="1"/>
    <col min="10" max="10" width="8.453125" style="9" customWidth="1"/>
    <col min="11" max="11" width="10.453125" style="9" customWidth="1"/>
    <col min="12" max="23" width="13.08984375" style="9" customWidth="1"/>
    <col min="24" max="24" width="16.453125" style="9" customWidth="1"/>
    <col min="25" max="25" width="9" style="2"/>
    <col min="26" max="26" width="11" style="2" bestFit="1" customWidth="1"/>
    <col min="27" max="259" width="9" style="2"/>
    <col min="260" max="260" width="9.6328125" style="2" customWidth="1"/>
    <col min="261" max="262" width="5.08984375" style="2" customWidth="1"/>
    <col min="263" max="263" width="9.6328125" style="2" customWidth="1"/>
    <col min="264" max="265" width="11.6328125" style="2" customWidth="1"/>
    <col min="266" max="266" width="15.36328125" style="2" customWidth="1"/>
    <col min="267" max="267" width="10.90625" style="2" customWidth="1"/>
    <col min="268" max="278" width="13.36328125" style="2" customWidth="1"/>
    <col min="279" max="279" width="13.6328125" style="2" customWidth="1"/>
    <col min="280" max="280" width="16.453125" style="2" customWidth="1"/>
    <col min="281" max="515" width="9" style="2"/>
    <col min="516" max="516" width="9.6328125" style="2" customWidth="1"/>
    <col min="517" max="518" width="5.08984375" style="2" customWidth="1"/>
    <col min="519" max="519" width="9.6328125" style="2" customWidth="1"/>
    <col min="520" max="521" width="11.6328125" style="2" customWidth="1"/>
    <col min="522" max="522" width="15.36328125" style="2" customWidth="1"/>
    <col min="523" max="523" width="10.90625" style="2" customWidth="1"/>
    <col min="524" max="534" width="13.36328125" style="2" customWidth="1"/>
    <col min="535" max="535" width="13.6328125" style="2" customWidth="1"/>
    <col min="536" max="536" width="16.453125" style="2" customWidth="1"/>
    <col min="537" max="771" width="9" style="2"/>
    <col min="772" max="772" width="9.6328125" style="2" customWidth="1"/>
    <col min="773" max="774" width="5.08984375" style="2" customWidth="1"/>
    <col min="775" max="775" width="9.6328125" style="2" customWidth="1"/>
    <col min="776" max="777" width="11.6328125" style="2" customWidth="1"/>
    <col min="778" max="778" width="15.36328125" style="2" customWidth="1"/>
    <col min="779" max="779" width="10.90625" style="2" customWidth="1"/>
    <col min="780" max="790" width="13.36328125" style="2" customWidth="1"/>
    <col min="791" max="791" width="13.6328125" style="2" customWidth="1"/>
    <col min="792" max="792" width="16.453125" style="2" customWidth="1"/>
    <col min="793" max="1027" width="9" style="2"/>
    <col min="1028" max="1028" width="9.6328125" style="2" customWidth="1"/>
    <col min="1029" max="1030" width="5.08984375" style="2" customWidth="1"/>
    <col min="1031" max="1031" width="9.6328125" style="2" customWidth="1"/>
    <col min="1032" max="1033" width="11.6328125" style="2" customWidth="1"/>
    <col min="1034" max="1034" width="15.36328125" style="2" customWidth="1"/>
    <col min="1035" max="1035" width="10.90625" style="2" customWidth="1"/>
    <col min="1036" max="1046" width="13.36328125" style="2" customWidth="1"/>
    <col min="1047" max="1047" width="13.6328125" style="2" customWidth="1"/>
    <col min="1048" max="1048" width="16.453125" style="2" customWidth="1"/>
    <col min="1049" max="1283" width="9" style="2"/>
    <col min="1284" max="1284" width="9.6328125" style="2" customWidth="1"/>
    <col min="1285" max="1286" width="5.08984375" style="2" customWidth="1"/>
    <col min="1287" max="1287" width="9.6328125" style="2" customWidth="1"/>
    <col min="1288" max="1289" width="11.6328125" style="2" customWidth="1"/>
    <col min="1290" max="1290" width="15.36328125" style="2" customWidth="1"/>
    <col min="1291" max="1291" width="10.90625" style="2" customWidth="1"/>
    <col min="1292" max="1302" width="13.36328125" style="2" customWidth="1"/>
    <col min="1303" max="1303" width="13.6328125" style="2" customWidth="1"/>
    <col min="1304" max="1304" width="16.453125" style="2" customWidth="1"/>
    <col min="1305" max="1539" width="9" style="2"/>
    <col min="1540" max="1540" width="9.6328125" style="2" customWidth="1"/>
    <col min="1541" max="1542" width="5.08984375" style="2" customWidth="1"/>
    <col min="1543" max="1543" width="9.6328125" style="2" customWidth="1"/>
    <col min="1544" max="1545" width="11.6328125" style="2" customWidth="1"/>
    <col min="1546" max="1546" width="15.36328125" style="2" customWidth="1"/>
    <col min="1547" max="1547" width="10.90625" style="2" customWidth="1"/>
    <col min="1548" max="1558" width="13.36328125" style="2" customWidth="1"/>
    <col min="1559" max="1559" width="13.6328125" style="2" customWidth="1"/>
    <col min="1560" max="1560" width="16.453125" style="2" customWidth="1"/>
    <col min="1561" max="1795" width="9" style="2"/>
    <col min="1796" max="1796" width="9.6328125" style="2" customWidth="1"/>
    <col min="1797" max="1798" width="5.08984375" style="2" customWidth="1"/>
    <col min="1799" max="1799" width="9.6328125" style="2" customWidth="1"/>
    <col min="1800" max="1801" width="11.6328125" style="2" customWidth="1"/>
    <col min="1802" max="1802" width="15.36328125" style="2" customWidth="1"/>
    <col min="1803" max="1803" width="10.90625" style="2" customWidth="1"/>
    <col min="1804" max="1814" width="13.36328125" style="2" customWidth="1"/>
    <col min="1815" max="1815" width="13.6328125" style="2" customWidth="1"/>
    <col min="1816" max="1816" width="16.453125" style="2" customWidth="1"/>
    <col min="1817" max="2051" width="9" style="2"/>
    <col min="2052" max="2052" width="9.6328125" style="2" customWidth="1"/>
    <col min="2053" max="2054" width="5.08984375" style="2" customWidth="1"/>
    <col min="2055" max="2055" width="9.6328125" style="2" customWidth="1"/>
    <col min="2056" max="2057" width="11.6328125" style="2" customWidth="1"/>
    <col min="2058" max="2058" width="15.36328125" style="2" customWidth="1"/>
    <col min="2059" max="2059" width="10.90625" style="2" customWidth="1"/>
    <col min="2060" max="2070" width="13.36328125" style="2" customWidth="1"/>
    <col min="2071" max="2071" width="13.6328125" style="2" customWidth="1"/>
    <col min="2072" max="2072" width="16.453125" style="2" customWidth="1"/>
    <col min="2073" max="2307" width="9" style="2"/>
    <col min="2308" max="2308" width="9.6328125" style="2" customWidth="1"/>
    <col min="2309" max="2310" width="5.08984375" style="2" customWidth="1"/>
    <col min="2311" max="2311" width="9.6328125" style="2" customWidth="1"/>
    <col min="2312" max="2313" width="11.6328125" style="2" customWidth="1"/>
    <col min="2314" max="2314" width="15.36328125" style="2" customWidth="1"/>
    <col min="2315" max="2315" width="10.90625" style="2" customWidth="1"/>
    <col min="2316" max="2326" width="13.36328125" style="2" customWidth="1"/>
    <col min="2327" max="2327" width="13.6328125" style="2" customWidth="1"/>
    <col min="2328" max="2328" width="16.453125" style="2" customWidth="1"/>
    <col min="2329" max="2563" width="9" style="2"/>
    <col min="2564" max="2564" width="9.6328125" style="2" customWidth="1"/>
    <col min="2565" max="2566" width="5.08984375" style="2" customWidth="1"/>
    <col min="2567" max="2567" width="9.6328125" style="2" customWidth="1"/>
    <col min="2568" max="2569" width="11.6328125" style="2" customWidth="1"/>
    <col min="2570" max="2570" width="15.36328125" style="2" customWidth="1"/>
    <col min="2571" max="2571" width="10.90625" style="2" customWidth="1"/>
    <col min="2572" max="2582" width="13.36328125" style="2" customWidth="1"/>
    <col min="2583" max="2583" width="13.6328125" style="2" customWidth="1"/>
    <col min="2584" max="2584" width="16.453125" style="2" customWidth="1"/>
    <col min="2585" max="2819" width="9" style="2"/>
    <col min="2820" max="2820" width="9.6328125" style="2" customWidth="1"/>
    <col min="2821" max="2822" width="5.08984375" style="2" customWidth="1"/>
    <col min="2823" max="2823" width="9.6328125" style="2" customWidth="1"/>
    <col min="2824" max="2825" width="11.6328125" style="2" customWidth="1"/>
    <col min="2826" max="2826" width="15.36328125" style="2" customWidth="1"/>
    <col min="2827" max="2827" width="10.90625" style="2" customWidth="1"/>
    <col min="2828" max="2838" width="13.36328125" style="2" customWidth="1"/>
    <col min="2839" max="2839" width="13.6328125" style="2" customWidth="1"/>
    <col min="2840" max="2840" width="16.453125" style="2" customWidth="1"/>
    <col min="2841" max="3075" width="9" style="2"/>
    <col min="3076" max="3076" width="9.6328125" style="2" customWidth="1"/>
    <col min="3077" max="3078" width="5.08984375" style="2" customWidth="1"/>
    <col min="3079" max="3079" width="9.6328125" style="2" customWidth="1"/>
    <col min="3080" max="3081" width="11.6328125" style="2" customWidth="1"/>
    <col min="3082" max="3082" width="15.36328125" style="2" customWidth="1"/>
    <col min="3083" max="3083" width="10.90625" style="2" customWidth="1"/>
    <col min="3084" max="3094" width="13.36328125" style="2" customWidth="1"/>
    <col min="3095" max="3095" width="13.6328125" style="2" customWidth="1"/>
    <col min="3096" max="3096" width="16.453125" style="2" customWidth="1"/>
    <col min="3097" max="3331" width="9" style="2"/>
    <col min="3332" max="3332" width="9.6328125" style="2" customWidth="1"/>
    <col min="3333" max="3334" width="5.08984375" style="2" customWidth="1"/>
    <col min="3335" max="3335" width="9.6328125" style="2" customWidth="1"/>
    <col min="3336" max="3337" width="11.6328125" style="2" customWidth="1"/>
    <col min="3338" max="3338" width="15.36328125" style="2" customWidth="1"/>
    <col min="3339" max="3339" width="10.90625" style="2" customWidth="1"/>
    <col min="3340" max="3350" width="13.36328125" style="2" customWidth="1"/>
    <col min="3351" max="3351" width="13.6328125" style="2" customWidth="1"/>
    <col min="3352" max="3352" width="16.453125" style="2" customWidth="1"/>
    <col min="3353" max="3587" width="9" style="2"/>
    <col min="3588" max="3588" width="9.6328125" style="2" customWidth="1"/>
    <col min="3589" max="3590" width="5.08984375" style="2" customWidth="1"/>
    <col min="3591" max="3591" width="9.6328125" style="2" customWidth="1"/>
    <col min="3592" max="3593" width="11.6328125" style="2" customWidth="1"/>
    <col min="3594" max="3594" width="15.36328125" style="2" customWidth="1"/>
    <col min="3595" max="3595" width="10.90625" style="2" customWidth="1"/>
    <col min="3596" max="3606" width="13.36328125" style="2" customWidth="1"/>
    <col min="3607" max="3607" width="13.6328125" style="2" customWidth="1"/>
    <col min="3608" max="3608" width="16.453125" style="2" customWidth="1"/>
    <col min="3609" max="3843" width="9" style="2"/>
    <col min="3844" max="3844" width="9.6328125" style="2" customWidth="1"/>
    <col min="3845" max="3846" width="5.08984375" style="2" customWidth="1"/>
    <col min="3847" max="3847" width="9.6328125" style="2" customWidth="1"/>
    <col min="3848" max="3849" width="11.6328125" style="2" customWidth="1"/>
    <col min="3850" max="3850" width="15.36328125" style="2" customWidth="1"/>
    <col min="3851" max="3851" width="10.90625" style="2" customWidth="1"/>
    <col min="3852" max="3862" width="13.36328125" style="2" customWidth="1"/>
    <col min="3863" max="3863" width="13.6328125" style="2" customWidth="1"/>
    <col min="3864" max="3864" width="16.453125" style="2" customWidth="1"/>
    <col min="3865" max="4099" width="9" style="2"/>
    <col min="4100" max="4100" width="9.6328125" style="2" customWidth="1"/>
    <col min="4101" max="4102" width="5.08984375" style="2" customWidth="1"/>
    <col min="4103" max="4103" width="9.6328125" style="2" customWidth="1"/>
    <col min="4104" max="4105" width="11.6328125" style="2" customWidth="1"/>
    <col min="4106" max="4106" width="15.36328125" style="2" customWidth="1"/>
    <col min="4107" max="4107" width="10.90625" style="2" customWidth="1"/>
    <col min="4108" max="4118" width="13.36328125" style="2" customWidth="1"/>
    <col min="4119" max="4119" width="13.6328125" style="2" customWidth="1"/>
    <col min="4120" max="4120" width="16.453125" style="2" customWidth="1"/>
    <col min="4121" max="4355" width="9" style="2"/>
    <col min="4356" max="4356" width="9.6328125" style="2" customWidth="1"/>
    <col min="4357" max="4358" width="5.08984375" style="2" customWidth="1"/>
    <col min="4359" max="4359" width="9.6328125" style="2" customWidth="1"/>
    <col min="4360" max="4361" width="11.6328125" style="2" customWidth="1"/>
    <col min="4362" max="4362" width="15.36328125" style="2" customWidth="1"/>
    <col min="4363" max="4363" width="10.90625" style="2" customWidth="1"/>
    <col min="4364" max="4374" width="13.36328125" style="2" customWidth="1"/>
    <col min="4375" max="4375" width="13.6328125" style="2" customWidth="1"/>
    <col min="4376" max="4376" width="16.453125" style="2" customWidth="1"/>
    <col min="4377" max="4611" width="9" style="2"/>
    <col min="4612" max="4612" width="9.6328125" style="2" customWidth="1"/>
    <col min="4613" max="4614" width="5.08984375" style="2" customWidth="1"/>
    <col min="4615" max="4615" width="9.6328125" style="2" customWidth="1"/>
    <col min="4616" max="4617" width="11.6328125" style="2" customWidth="1"/>
    <col min="4618" max="4618" width="15.36328125" style="2" customWidth="1"/>
    <col min="4619" max="4619" width="10.90625" style="2" customWidth="1"/>
    <col min="4620" max="4630" width="13.36328125" style="2" customWidth="1"/>
    <col min="4631" max="4631" width="13.6328125" style="2" customWidth="1"/>
    <col min="4632" max="4632" width="16.453125" style="2" customWidth="1"/>
    <col min="4633" max="4867" width="9" style="2"/>
    <col min="4868" max="4868" width="9.6328125" style="2" customWidth="1"/>
    <col min="4869" max="4870" width="5.08984375" style="2" customWidth="1"/>
    <col min="4871" max="4871" width="9.6328125" style="2" customWidth="1"/>
    <col min="4872" max="4873" width="11.6328125" style="2" customWidth="1"/>
    <col min="4874" max="4874" width="15.36328125" style="2" customWidth="1"/>
    <col min="4875" max="4875" width="10.90625" style="2" customWidth="1"/>
    <col min="4876" max="4886" width="13.36328125" style="2" customWidth="1"/>
    <col min="4887" max="4887" width="13.6328125" style="2" customWidth="1"/>
    <col min="4888" max="4888" width="16.453125" style="2" customWidth="1"/>
    <col min="4889" max="5123" width="9" style="2"/>
    <col min="5124" max="5124" width="9.6328125" style="2" customWidth="1"/>
    <col min="5125" max="5126" width="5.08984375" style="2" customWidth="1"/>
    <col min="5127" max="5127" width="9.6328125" style="2" customWidth="1"/>
    <col min="5128" max="5129" width="11.6328125" style="2" customWidth="1"/>
    <col min="5130" max="5130" width="15.36328125" style="2" customWidth="1"/>
    <col min="5131" max="5131" width="10.90625" style="2" customWidth="1"/>
    <col min="5132" max="5142" width="13.36328125" style="2" customWidth="1"/>
    <col min="5143" max="5143" width="13.6328125" style="2" customWidth="1"/>
    <col min="5144" max="5144" width="16.453125" style="2" customWidth="1"/>
    <col min="5145" max="5379" width="9" style="2"/>
    <col min="5380" max="5380" width="9.6328125" style="2" customWidth="1"/>
    <col min="5381" max="5382" width="5.08984375" style="2" customWidth="1"/>
    <col min="5383" max="5383" width="9.6328125" style="2" customWidth="1"/>
    <col min="5384" max="5385" width="11.6328125" style="2" customWidth="1"/>
    <col min="5386" max="5386" width="15.36328125" style="2" customWidth="1"/>
    <col min="5387" max="5387" width="10.90625" style="2" customWidth="1"/>
    <col min="5388" max="5398" width="13.36328125" style="2" customWidth="1"/>
    <col min="5399" max="5399" width="13.6328125" style="2" customWidth="1"/>
    <col min="5400" max="5400" width="16.453125" style="2" customWidth="1"/>
    <col min="5401" max="5635" width="9" style="2"/>
    <col min="5636" max="5636" width="9.6328125" style="2" customWidth="1"/>
    <col min="5637" max="5638" width="5.08984375" style="2" customWidth="1"/>
    <col min="5639" max="5639" width="9.6328125" style="2" customWidth="1"/>
    <col min="5640" max="5641" width="11.6328125" style="2" customWidth="1"/>
    <col min="5642" max="5642" width="15.36328125" style="2" customWidth="1"/>
    <col min="5643" max="5643" width="10.90625" style="2" customWidth="1"/>
    <col min="5644" max="5654" width="13.36328125" style="2" customWidth="1"/>
    <col min="5655" max="5655" width="13.6328125" style="2" customWidth="1"/>
    <col min="5656" max="5656" width="16.453125" style="2" customWidth="1"/>
    <col min="5657" max="5891" width="9" style="2"/>
    <col min="5892" max="5892" width="9.6328125" style="2" customWidth="1"/>
    <col min="5893" max="5894" width="5.08984375" style="2" customWidth="1"/>
    <col min="5895" max="5895" width="9.6328125" style="2" customWidth="1"/>
    <col min="5896" max="5897" width="11.6328125" style="2" customWidth="1"/>
    <col min="5898" max="5898" width="15.36328125" style="2" customWidth="1"/>
    <col min="5899" max="5899" width="10.90625" style="2" customWidth="1"/>
    <col min="5900" max="5910" width="13.36328125" style="2" customWidth="1"/>
    <col min="5911" max="5911" width="13.6328125" style="2" customWidth="1"/>
    <col min="5912" max="5912" width="16.453125" style="2" customWidth="1"/>
    <col min="5913" max="6147" width="9" style="2"/>
    <col min="6148" max="6148" width="9.6328125" style="2" customWidth="1"/>
    <col min="6149" max="6150" width="5.08984375" style="2" customWidth="1"/>
    <col min="6151" max="6151" width="9.6328125" style="2" customWidth="1"/>
    <col min="6152" max="6153" width="11.6328125" style="2" customWidth="1"/>
    <col min="6154" max="6154" width="15.36328125" style="2" customWidth="1"/>
    <col min="6155" max="6155" width="10.90625" style="2" customWidth="1"/>
    <col min="6156" max="6166" width="13.36328125" style="2" customWidth="1"/>
    <col min="6167" max="6167" width="13.6328125" style="2" customWidth="1"/>
    <col min="6168" max="6168" width="16.453125" style="2" customWidth="1"/>
    <col min="6169" max="6403" width="9" style="2"/>
    <col min="6404" max="6404" width="9.6328125" style="2" customWidth="1"/>
    <col min="6405" max="6406" width="5.08984375" style="2" customWidth="1"/>
    <col min="6407" max="6407" width="9.6328125" style="2" customWidth="1"/>
    <col min="6408" max="6409" width="11.6328125" style="2" customWidth="1"/>
    <col min="6410" max="6410" width="15.36328125" style="2" customWidth="1"/>
    <col min="6411" max="6411" width="10.90625" style="2" customWidth="1"/>
    <col min="6412" max="6422" width="13.36328125" style="2" customWidth="1"/>
    <col min="6423" max="6423" width="13.6328125" style="2" customWidth="1"/>
    <col min="6424" max="6424" width="16.453125" style="2" customWidth="1"/>
    <col min="6425" max="6659" width="9" style="2"/>
    <col min="6660" max="6660" width="9.6328125" style="2" customWidth="1"/>
    <col min="6661" max="6662" width="5.08984375" style="2" customWidth="1"/>
    <col min="6663" max="6663" width="9.6328125" style="2" customWidth="1"/>
    <col min="6664" max="6665" width="11.6328125" style="2" customWidth="1"/>
    <col min="6666" max="6666" width="15.36328125" style="2" customWidth="1"/>
    <col min="6667" max="6667" width="10.90625" style="2" customWidth="1"/>
    <col min="6668" max="6678" width="13.36328125" style="2" customWidth="1"/>
    <col min="6679" max="6679" width="13.6328125" style="2" customWidth="1"/>
    <col min="6680" max="6680" width="16.453125" style="2" customWidth="1"/>
    <col min="6681" max="6915" width="9" style="2"/>
    <col min="6916" max="6916" width="9.6328125" style="2" customWidth="1"/>
    <col min="6917" max="6918" width="5.08984375" style="2" customWidth="1"/>
    <col min="6919" max="6919" width="9.6328125" style="2" customWidth="1"/>
    <col min="6920" max="6921" width="11.6328125" style="2" customWidth="1"/>
    <col min="6922" max="6922" width="15.36328125" style="2" customWidth="1"/>
    <col min="6923" max="6923" width="10.90625" style="2" customWidth="1"/>
    <col min="6924" max="6934" width="13.36328125" style="2" customWidth="1"/>
    <col min="6935" max="6935" width="13.6328125" style="2" customWidth="1"/>
    <col min="6936" max="6936" width="16.453125" style="2" customWidth="1"/>
    <col min="6937" max="7171" width="9" style="2"/>
    <col min="7172" max="7172" width="9.6328125" style="2" customWidth="1"/>
    <col min="7173" max="7174" width="5.08984375" style="2" customWidth="1"/>
    <col min="7175" max="7175" width="9.6328125" style="2" customWidth="1"/>
    <col min="7176" max="7177" width="11.6328125" style="2" customWidth="1"/>
    <col min="7178" max="7178" width="15.36328125" style="2" customWidth="1"/>
    <col min="7179" max="7179" width="10.90625" style="2" customWidth="1"/>
    <col min="7180" max="7190" width="13.36328125" style="2" customWidth="1"/>
    <col min="7191" max="7191" width="13.6328125" style="2" customWidth="1"/>
    <col min="7192" max="7192" width="16.453125" style="2" customWidth="1"/>
    <col min="7193" max="7427" width="9" style="2"/>
    <col min="7428" max="7428" width="9.6328125" style="2" customWidth="1"/>
    <col min="7429" max="7430" width="5.08984375" style="2" customWidth="1"/>
    <col min="7431" max="7431" width="9.6328125" style="2" customWidth="1"/>
    <col min="7432" max="7433" width="11.6328125" style="2" customWidth="1"/>
    <col min="7434" max="7434" width="15.36328125" style="2" customWidth="1"/>
    <col min="7435" max="7435" width="10.90625" style="2" customWidth="1"/>
    <col min="7436" max="7446" width="13.36328125" style="2" customWidth="1"/>
    <col min="7447" max="7447" width="13.6328125" style="2" customWidth="1"/>
    <col min="7448" max="7448" width="16.453125" style="2" customWidth="1"/>
    <col min="7449" max="7683" width="9" style="2"/>
    <col min="7684" max="7684" width="9.6328125" style="2" customWidth="1"/>
    <col min="7685" max="7686" width="5.08984375" style="2" customWidth="1"/>
    <col min="7687" max="7687" width="9.6328125" style="2" customWidth="1"/>
    <col min="7688" max="7689" width="11.6328125" style="2" customWidth="1"/>
    <col min="7690" max="7690" width="15.36328125" style="2" customWidth="1"/>
    <col min="7691" max="7691" width="10.90625" style="2" customWidth="1"/>
    <col min="7692" max="7702" width="13.36328125" style="2" customWidth="1"/>
    <col min="7703" max="7703" width="13.6328125" style="2" customWidth="1"/>
    <col min="7704" max="7704" width="16.453125" style="2" customWidth="1"/>
    <col min="7705" max="7939" width="9" style="2"/>
    <col min="7940" max="7940" width="9.6328125" style="2" customWidth="1"/>
    <col min="7941" max="7942" width="5.08984375" style="2" customWidth="1"/>
    <col min="7943" max="7943" width="9.6328125" style="2" customWidth="1"/>
    <col min="7944" max="7945" width="11.6328125" style="2" customWidth="1"/>
    <col min="7946" max="7946" width="15.36328125" style="2" customWidth="1"/>
    <col min="7947" max="7947" width="10.90625" style="2" customWidth="1"/>
    <col min="7948" max="7958" width="13.36328125" style="2" customWidth="1"/>
    <col min="7959" max="7959" width="13.6328125" style="2" customWidth="1"/>
    <col min="7960" max="7960" width="16.453125" style="2" customWidth="1"/>
    <col min="7961" max="8195" width="9" style="2"/>
    <col min="8196" max="8196" width="9.6328125" style="2" customWidth="1"/>
    <col min="8197" max="8198" width="5.08984375" style="2" customWidth="1"/>
    <col min="8199" max="8199" width="9.6328125" style="2" customWidth="1"/>
    <col min="8200" max="8201" width="11.6328125" style="2" customWidth="1"/>
    <col min="8202" max="8202" width="15.36328125" style="2" customWidth="1"/>
    <col min="8203" max="8203" width="10.90625" style="2" customWidth="1"/>
    <col min="8204" max="8214" width="13.36328125" style="2" customWidth="1"/>
    <col min="8215" max="8215" width="13.6328125" style="2" customWidth="1"/>
    <col min="8216" max="8216" width="16.453125" style="2" customWidth="1"/>
    <col min="8217" max="8451" width="9" style="2"/>
    <col min="8452" max="8452" width="9.6328125" style="2" customWidth="1"/>
    <col min="8453" max="8454" width="5.08984375" style="2" customWidth="1"/>
    <col min="8455" max="8455" width="9.6328125" style="2" customWidth="1"/>
    <col min="8456" max="8457" width="11.6328125" style="2" customWidth="1"/>
    <col min="8458" max="8458" width="15.36328125" style="2" customWidth="1"/>
    <col min="8459" max="8459" width="10.90625" style="2" customWidth="1"/>
    <col min="8460" max="8470" width="13.36328125" style="2" customWidth="1"/>
    <col min="8471" max="8471" width="13.6328125" style="2" customWidth="1"/>
    <col min="8472" max="8472" width="16.453125" style="2" customWidth="1"/>
    <col min="8473" max="8707" width="9" style="2"/>
    <col min="8708" max="8708" width="9.6328125" style="2" customWidth="1"/>
    <col min="8709" max="8710" width="5.08984375" style="2" customWidth="1"/>
    <col min="8711" max="8711" width="9.6328125" style="2" customWidth="1"/>
    <col min="8712" max="8713" width="11.6328125" style="2" customWidth="1"/>
    <col min="8714" max="8714" width="15.36328125" style="2" customWidth="1"/>
    <col min="8715" max="8715" width="10.90625" style="2" customWidth="1"/>
    <col min="8716" max="8726" width="13.36328125" style="2" customWidth="1"/>
    <col min="8727" max="8727" width="13.6328125" style="2" customWidth="1"/>
    <col min="8728" max="8728" width="16.453125" style="2" customWidth="1"/>
    <col min="8729" max="8963" width="9" style="2"/>
    <col min="8964" max="8964" width="9.6328125" style="2" customWidth="1"/>
    <col min="8965" max="8966" width="5.08984375" style="2" customWidth="1"/>
    <col min="8967" max="8967" width="9.6328125" style="2" customWidth="1"/>
    <col min="8968" max="8969" width="11.6328125" style="2" customWidth="1"/>
    <col min="8970" max="8970" width="15.36328125" style="2" customWidth="1"/>
    <col min="8971" max="8971" width="10.90625" style="2" customWidth="1"/>
    <col min="8972" max="8982" width="13.36328125" style="2" customWidth="1"/>
    <col min="8983" max="8983" width="13.6328125" style="2" customWidth="1"/>
    <col min="8984" max="8984" width="16.453125" style="2" customWidth="1"/>
    <col min="8985" max="9219" width="9" style="2"/>
    <col min="9220" max="9220" width="9.6328125" style="2" customWidth="1"/>
    <col min="9221" max="9222" width="5.08984375" style="2" customWidth="1"/>
    <col min="9223" max="9223" width="9.6328125" style="2" customWidth="1"/>
    <col min="9224" max="9225" width="11.6328125" style="2" customWidth="1"/>
    <col min="9226" max="9226" width="15.36328125" style="2" customWidth="1"/>
    <col min="9227" max="9227" width="10.90625" style="2" customWidth="1"/>
    <col min="9228" max="9238" width="13.36328125" style="2" customWidth="1"/>
    <col min="9239" max="9239" width="13.6328125" style="2" customWidth="1"/>
    <col min="9240" max="9240" width="16.453125" style="2" customWidth="1"/>
    <col min="9241" max="9475" width="9" style="2"/>
    <col min="9476" max="9476" width="9.6328125" style="2" customWidth="1"/>
    <col min="9477" max="9478" width="5.08984375" style="2" customWidth="1"/>
    <col min="9479" max="9479" width="9.6328125" style="2" customWidth="1"/>
    <col min="9480" max="9481" width="11.6328125" style="2" customWidth="1"/>
    <col min="9482" max="9482" width="15.36328125" style="2" customWidth="1"/>
    <col min="9483" max="9483" width="10.90625" style="2" customWidth="1"/>
    <col min="9484" max="9494" width="13.36328125" style="2" customWidth="1"/>
    <col min="9495" max="9495" width="13.6328125" style="2" customWidth="1"/>
    <col min="9496" max="9496" width="16.453125" style="2" customWidth="1"/>
    <col min="9497" max="9731" width="9" style="2"/>
    <col min="9732" max="9732" width="9.6328125" style="2" customWidth="1"/>
    <col min="9733" max="9734" width="5.08984375" style="2" customWidth="1"/>
    <col min="9735" max="9735" width="9.6328125" style="2" customWidth="1"/>
    <col min="9736" max="9737" width="11.6328125" style="2" customWidth="1"/>
    <col min="9738" max="9738" width="15.36328125" style="2" customWidth="1"/>
    <col min="9739" max="9739" width="10.90625" style="2" customWidth="1"/>
    <col min="9740" max="9750" width="13.36328125" style="2" customWidth="1"/>
    <col min="9751" max="9751" width="13.6328125" style="2" customWidth="1"/>
    <col min="9752" max="9752" width="16.453125" style="2" customWidth="1"/>
    <col min="9753" max="9987" width="9" style="2"/>
    <col min="9988" max="9988" width="9.6328125" style="2" customWidth="1"/>
    <col min="9989" max="9990" width="5.08984375" style="2" customWidth="1"/>
    <col min="9991" max="9991" width="9.6328125" style="2" customWidth="1"/>
    <col min="9992" max="9993" width="11.6328125" style="2" customWidth="1"/>
    <col min="9994" max="9994" width="15.36328125" style="2" customWidth="1"/>
    <col min="9995" max="9995" width="10.90625" style="2" customWidth="1"/>
    <col min="9996" max="10006" width="13.36328125" style="2" customWidth="1"/>
    <col min="10007" max="10007" width="13.6328125" style="2" customWidth="1"/>
    <col min="10008" max="10008" width="16.453125" style="2" customWidth="1"/>
    <col min="10009" max="10243" width="9" style="2"/>
    <col min="10244" max="10244" width="9.6328125" style="2" customWidth="1"/>
    <col min="10245" max="10246" width="5.08984375" style="2" customWidth="1"/>
    <col min="10247" max="10247" width="9.6328125" style="2" customWidth="1"/>
    <col min="10248" max="10249" width="11.6328125" style="2" customWidth="1"/>
    <col min="10250" max="10250" width="15.36328125" style="2" customWidth="1"/>
    <col min="10251" max="10251" width="10.90625" style="2" customWidth="1"/>
    <col min="10252" max="10262" width="13.36328125" style="2" customWidth="1"/>
    <col min="10263" max="10263" width="13.6328125" style="2" customWidth="1"/>
    <col min="10264" max="10264" width="16.453125" style="2" customWidth="1"/>
    <col min="10265" max="10499" width="9" style="2"/>
    <col min="10500" max="10500" width="9.6328125" style="2" customWidth="1"/>
    <col min="10501" max="10502" width="5.08984375" style="2" customWidth="1"/>
    <col min="10503" max="10503" width="9.6328125" style="2" customWidth="1"/>
    <col min="10504" max="10505" width="11.6328125" style="2" customWidth="1"/>
    <col min="10506" max="10506" width="15.36328125" style="2" customWidth="1"/>
    <col min="10507" max="10507" width="10.90625" style="2" customWidth="1"/>
    <col min="10508" max="10518" width="13.36328125" style="2" customWidth="1"/>
    <col min="10519" max="10519" width="13.6328125" style="2" customWidth="1"/>
    <col min="10520" max="10520" width="16.453125" style="2" customWidth="1"/>
    <col min="10521" max="10755" width="9" style="2"/>
    <col min="10756" max="10756" width="9.6328125" style="2" customWidth="1"/>
    <col min="10757" max="10758" width="5.08984375" style="2" customWidth="1"/>
    <col min="10759" max="10759" width="9.6328125" style="2" customWidth="1"/>
    <col min="10760" max="10761" width="11.6328125" style="2" customWidth="1"/>
    <col min="10762" max="10762" width="15.36328125" style="2" customWidth="1"/>
    <col min="10763" max="10763" width="10.90625" style="2" customWidth="1"/>
    <col min="10764" max="10774" width="13.36328125" style="2" customWidth="1"/>
    <col min="10775" max="10775" width="13.6328125" style="2" customWidth="1"/>
    <col min="10776" max="10776" width="16.453125" style="2" customWidth="1"/>
    <col min="10777" max="11011" width="9" style="2"/>
    <col min="11012" max="11012" width="9.6328125" style="2" customWidth="1"/>
    <col min="11013" max="11014" width="5.08984375" style="2" customWidth="1"/>
    <col min="11015" max="11015" width="9.6328125" style="2" customWidth="1"/>
    <col min="11016" max="11017" width="11.6328125" style="2" customWidth="1"/>
    <col min="11018" max="11018" width="15.36328125" style="2" customWidth="1"/>
    <col min="11019" max="11019" width="10.90625" style="2" customWidth="1"/>
    <col min="11020" max="11030" width="13.36328125" style="2" customWidth="1"/>
    <col min="11031" max="11031" width="13.6328125" style="2" customWidth="1"/>
    <col min="11032" max="11032" width="16.453125" style="2" customWidth="1"/>
    <col min="11033" max="11267" width="9" style="2"/>
    <col min="11268" max="11268" width="9.6328125" style="2" customWidth="1"/>
    <col min="11269" max="11270" width="5.08984375" style="2" customWidth="1"/>
    <col min="11271" max="11271" width="9.6328125" style="2" customWidth="1"/>
    <col min="11272" max="11273" width="11.6328125" style="2" customWidth="1"/>
    <col min="11274" max="11274" width="15.36328125" style="2" customWidth="1"/>
    <col min="11275" max="11275" width="10.90625" style="2" customWidth="1"/>
    <col min="11276" max="11286" width="13.36328125" style="2" customWidth="1"/>
    <col min="11287" max="11287" width="13.6328125" style="2" customWidth="1"/>
    <col min="11288" max="11288" width="16.453125" style="2" customWidth="1"/>
    <col min="11289" max="11523" width="9" style="2"/>
    <col min="11524" max="11524" width="9.6328125" style="2" customWidth="1"/>
    <col min="11525" max="11526" width="5.08984375" style="2" customWidth="1"/>
    <col min="11527" max="11527" width="9.6328125" style="2" customWidth="1"/>
    <col min="11528" max="11529" width="11.6328125" style="2" customWidth="1"/>
    <col min="11530" max="11530" width="15.36328125" style="2" customWidth="1"/>
    <col min="11531" max="11531" width="10.90625" style="2" customWidth="1"/>
    <col min="11532" max="11542" width="13.36328125" style="2" customWidth="1"/>
    <col min="11543" max="11543" width="13.6328125" style="2" customWidth="1"/>
    <col min="11544" max="11544" width="16.453125" style="2" customWidth="1"/>
    <col min="11545" max="11779" width="9" style="2"/>
    <col min="11780" max="11780" width="9.6328125" style="2" customWidth="1"/>
    <col min="11781" max="11782" width="5.08984375" style="2" customWidth="1"/>
    <col min="11783" max="11783" width="9.6328125" style="2" customWidth="1"/>
    <col min="11784" max="11785" width="11.6328125" style="2" customWidth="1"/>
    <col min="11786" max="11786" width="15.36328125" style="2" customWidth="1"/>
    <col min="11787" max="11787" width="10.90625" style="2" customWidth="1"/>
    <col min="11788" max="11798" width="13.36328125" style="2" customWidth="1"/>
    <col min="11799" max="11799" width="13.6328125" style="2" customWidth="1"/>
    <col min="11800" max="11800" width="16.453125" style="2" customWidth="1"/>
    <col min="11801" max="12035" width="9" style="2"/>
    <col min="12036" max="12036" width="9.6328125" style="2" customWidth="1"/>
    <col min="12037" max="12038" width="5.08984375" style="2" customWidth="1"/>
    <col min="12039" max="12039" width="9.6328125" style="2" customWidth="1"/>
    <col min="12040" max="12041" width="11.6328125" style="2" customWidth="1"/>
    <col min="12042" max="12042" width="15.36328125" style="2" customWidth="1"/>
    <col min="12043" max="12043" width="10.90625" style="2" customWidth="1"/>
    <col min="12044" max="12054" width="13.36328125" style="2" customWidth="1"/>
    <col min="12055" max="12055" width="13.6328125" style="2" customWidth="1"/>
    <col min="12056" max="12056" width="16.453125" style="2" customWidth="1"/>
    <col min="12057" max="12291" width="9" style="2"/>
    <col min="12292" max="12292" width="9.6328125" style="2" customWidth="1"/>
    <col min="12293" max="12294" width="5.08984375" style="2" customWidth="1"/>
    <col min="12295" max="12295" width="9.6328125" style="2" customWidth="1"/>
    <col min="12296" max="12297" width="11.6328125" style="2" customWidth="1"/>
    <col min="12298" max="12298" width="15.36328125" style="2" customWidth="1"/>
    <col min="12299" max="12299" width="10.90625" style="2" customWidth="1"/>
    <col min="12300" max="12310" width="13.36328125" style="2" customWidth="1"/>
    <col min="12311" max="12311" width="13.6328125" style="2" customWidth="1"/>
    <col min="12312" max="12312" width="16.453125" style="2" customWidth="1"/>
    <col min="12313" max="12547" width="9" style="2"/>
    <col min="12548" max="12548" width="9.6328125" style="2" customWidth="1"/>
    <col min="12549" max="12550" width="5.08984375" style="2" customWidth="1"/>
    <col min="12551" max="12551" width="9.6328125" style="2" customWidth="1"/>
    <col min="12552" max="12553" width="11.6328125" style="2" customWidth="1"/>
    <col min="12554" max="12554" width="15.36328125" style="2" customWidth="1"/>
    <col min="12555" max="12555" width="10.90625" style="2" customWidth="1"/>
    <col min="12556" max="12566" width="13.36328125" style="2" customWidth="1"/>
    <col min="12567" max="12567" width="13.6328125" style="2" customWidth="1"/>
    <col min="12568" max="12568" width="16.453125" style="2" customWidth="1"/>
    <col min="12569" max="12803" width="9" style="2"/>
    <col min="12804" max="12804" width="9.6328125" style="2" customWidth="1"/>
    <col min="12805" max="12806" width="5.08984375" style="2" customWidth="1"/>
    <col min="12807" max="12807" width="9.6328125" style="2" customWidth="1"/>
    <col min="12808" max="12809" width="11.6328125" style="2" customWidth="1"/>
    <col min="12810" max="12810" width="15.36328125" style="2" customWidth="1"/>
    <col min="12811" max="12811" width="10.90625" style="2" customWidth="1"/>
    <col min="12812" max="12822" width="13.36328125" style="2" customWidth="1"/>
    <col min="12823" max="12823" width="13.6328125" style="2" customWidth="1"/>
    <col min="12824" max="12824" width="16.453125" style="2" customWidth="1"/>
    <col min="12825" max="13059" width="9" style="2"/>
    <col min="13060" max="13060" width="9.6328125" style="2" customWidth="1"/>
    <col min="13061" max="13062" width="5.08984375" style="2" customWidth="1"/>
    <col min="13063" max="13063" width="9.6328125" style="2" customWidth="1"/>
    <col min="13064" max="13065" width="11.6328125" style="2" customWidth="1"/>
    <col min="13066" max="13066" width="15.36328125" style="2" customWidth="1"/>
    <col min="13067" max="13067" width="10.90625" style="2" customWidth="1"/>
    <col min="13068" max="13078" width="13.36328125" style="2" customWidth="1"/>
    <col min="13079" max="13079" width="13.6328125" style="2" customWidth="1"/>
    <col min="13080" max="13080" width="16.453125" style="2" customWidth="1"/>
    <col min="13081" max="13315" width="9" style="2"/>
    <col min="13316" max="13316" width="9.6328125" style="2" customWidth="1"/>
    <col min="13317" max="13318" width="5.08984375" style="2" customWidth="1"/>
    <col min="13319" max="13319" width="9.6328125" style="2" customWidth="1"/>
    <col min="13320" max="13321" width="11.6328125" style="2" customWidth="1"/>
    <col min="13322" max="13322" width="15.36328125" style="2" customWidth="1"/>
    <col min="13323" max="13323" width="10.90625" style="2" customWidth="1"/>
    <col min="13324" max="13334" width="13.36328125" style="2" customWidth="1"/>
    <col min="13335" max="13335" width="13.6328125" style="2" customWidth="1"/>
    <col min="13336" max="13336" width="16.453125" style="2" customWidth="1"/>
    <col min="13337" max="13571" width="9" style="2"/>
    <col min="13572" max="13572" width="9.6328125" style="2" customWidth="1"/>
    <col min="13573" max="13574" width="5.08984375" style="2" customWidth="1"/>
    <col min="13575" max="13575" width="9.6328125" style="2" customWidth="1"/>
    <col min="13576" max="13577" width="11.6328125" style="2" customWidth="1"/>
    <col min="13578" max="13578" width="15.36328125" style="2" customWidth="1"/>
    <col min="13579" max="13579" width="10.90625" style="2" customWidth="1"/>
    <col min="13580" max="13590" width="13.36328125" style="2" customWidth="1"/>
    <col min="13591" max="13591" width="13.6328125" style="2" customWidth="1"/>
    <col min="13592" max="13592" width="16.453125" style="2" customWidth="1"/>
    <col min="13593" max="13827" width="9" style="2"/>
    <col min="13828" max="13828" width="9.6328125" style="2" customWidth="1"/>
    <col min="13829" max="13830" width="5.08984375" style="2" customWidth="1"/>
    <col min="13831" max="13831" width="9.6328125" style="2" customWidth="1"/>
    <col min="13832" max="13833" width="11.6328125" style="2" customWidth="1"/>
    <col min="13834" max="13834" width="15.36328125" style="2" customWidth="1"/>
    <col min="13835" max="13835" width="10.90625" style="2" customWidth="1"/>
    <col min="13836" max="13846" width="13.36328125" style="2" customWidth="1"/>
    <col min="13847" max="13847" width="13.6328125" style="2" customWidth="1"/>
    <col min="13848" max="13848" width="16.453125" style="2" customWidth="1"/>
    <col min="13849" max="14083" width="9" style="2"/>
    <col min="14084" max="14084" width="9.6328125" style="2" customWidth="1"/>
    <col min="14085" max="14086" width="5.08984375" style="2" customWidth="1"/>
    <col min="14087" max="14087" width="9.6328125" style="2" customWidth="1"/>
    <col min="14088" max="14089" width="11.6328125" style="2" customWidth="1"/>
    <col min="14090" max="14090" width="15.36328125" style="2" customWidth="1"/>
    <col min="14091" max="14091" width="10.90625" style="2" customWidth="1"/>
    <col min="14092" max="14102" width="13.36328125" style="2" customWidth="1"/>
    <col min="14103" max="14103" width="13.6328125" style="2" customWidth="1"/>
    <col min="14104" max="14104" width="16.453125" style="2" customWidth="1"/>
    <col min="14105" max="14339" width="9" style="2"/>
    <col min="14340" max="14340" width="9.6328125" style="2" customWidth="1"/>
    <col min="14341" max="14342" width="5.08984375" style="2" customWidth="1"/>
    <col min="14343" max="14343" width="9.6328125" style="2" customWidth="1"/>
    <col min="14344" max="14345" width="11.6328125" style="2" customWidth="1"/>
    <col min="14346" max="14346" width="15.36328125" style="2" customWidth="1"/>
    <col min="14347" max="14347" width="10.90625" style="2" customWidth="1"/>
    <col min="14348" max="14358" width="13.36328125" style="2" customWidth="1"/>
    <col min="14359" max="14359" width="13.6328125" style="2" customWidth="1"/>
    <col min="14360" max="14360" width="16.453125" style="2" customWidth="1"/>
    <col min="14361" max="14595" width="9" style="2"/>
    <col min="14596" max="14596" width="9.6328125" style="2" customWidth="1"/>
    <col min="14597" max="14598" width="5.08984375" style="2" customWidth="1"/>
    <col min="14599" max="14599" width="9.6328125" style="2" customWidth="1"/>
    <col min="14600" max="14601" width="11.6328125" style="2" customWidth="1"/>
    <col min="14602" max="14602" width="15.36328125" style="2" customWidth="1"/>
    <col min="14603" max="14603" width="10.90625" style="2" customWidth="1"/>
    <col min="14604" max="14614" width="13.36328125" style="2" customWidth="1"/>
    <col min="14615" max="14615" width="13.6328125" style="2" customWidth="1"/>
    <col min="14616" max="14616" width="16.453125" style="2" customWidth="1"/>
    <col min="14617" max="14851" width="9" style="2"/>
    <col min="14852" max="14852" width="9.6328125" style="2" customWidth="1"/>
    <col min="14853" max="14854" width="5.08984375" style="2" customWidth="1"/>
    <col min="14855" max="14855" width="9.6328125" style="2" customWidth="1"/>
    <col min="14856" max="14857" width="11.6328125" style="2" customWidth="1"/>
    <col min="14858" max="14858" width="15.36328125" style="2" customWidth="1"/>
    <col min="14859" max="14859" width="10.90625" style="2" customWidth="1"/>
    <col min="14860" max="14870" width="13.36328125" style="2" customWidth="1"/>
    <col min="14871" max="14871" width="13.6328125" style="2" customWidth="1"/>
    <col min="14872" max="14872" width="16.453125" style="2" customWidth="1"/>
    <col min="14873" max="15107" width="9" style="2"/>
    <col min="15108" max="15108" width="9.6328125" style="2" customWidth="1"/>
    <col min="15109" max="15110" width="5.08984375" style="2" customWidth="1"/>
    <col min="15111" max="15111" width="9.6328125" style="2" customWidth="1"/>
    <col min="15112" max="15113" width="11.6328125" style="2" customWidth="1"/>
    <col min="15114" max="15114" width="15.36328125" style="2" customWidth="1"/>
    <col min="15115" max="15115" width="10.90625" style="2" customWidth="1"/>
    <col min="15116" max="15126" width="13.36328125" style="2" customWidth="1"/>
    <col min="15127" max="15127" width="13.6328125" style="2" customWidth="1"/>
    <col min="15128" max="15128" width="16.453125" style="2" customWidth="1"/>
    <col min="15129" max="15363" width="9" style="2"/>
    <col min="15364" max="15364" width="9.6328125" style="2" customWidth="1"/>
    <col min="15365" max="15366" width="5.08984375" style="2" customWidth="1"/>
    <col min="15367" max="15367" width="9.6328125" style="2" customWidth="1"/>
    <col min="15368" max="15369" width="11.6328125" style="2" customWidth="1"/>
    <col min="15370" max="15370" width="15.36328125" style="2" customWidth="1"/>
    <col min="15371" max="15371" width="10.90625" style="2" customWidth="1"/>
    <col min="15372" max="15382" width="13.36328125" style="2" customWidth="1"/>
    <col min="15383" max="15383" width="13.6328125" style="2" customWidth="1"/>
    <col min="15384" max="15384" width="16.453125" style="2" customWidth="1"/>
    <col min="15385" max="15619" width="9" style="2"/>
    <col min="15620" max="15620" width="9.6328125" style="2" customWidth="1"/>
    <col min="15621" max="15622" width="5.08984375" style="2" customWidth="1"/>
    <col min="15623" max="15623" width="9.6328125" style="2" customWidth="1"/>
    <col min="15624" max="15625" width="11.6328125" style="2" customWidth="1"/>
    <col min="15626" max="15626" width="15.36328125" style="2" customWidth="1"/>
    <col min="15627" max="15627" width="10.90625" style="2" customWidth="1"/>
    <col min="15628" max="15638" width="13.36328125" style="2" customWidth="1"/>
    <col min="15639" max="15639" width="13.6328125" style="2" customWidth="1"/>
    <col min="15640" max="15640" width="16.453125" style="2" customWidth="1"/>
    <col min="15641" max="15875" width="9" style="2"/>
    <col min="15876" max="15876" width="9.6328125" style="2" customWidth="1"/>
    <col min="15877" max="15878" width="5.08984375" style="2" customWidth="1"/>
    <col min="15879" max="15879" width="9.6328125" style="2" customWidth="1"/>
    <col min="15880" max="15881" width="11.6328125" style="2" customWidth="1"/>
    <col min="15882" max="15882" width="15.36328125" style="2" customWidth="1"/>
    <col min="15883" max="15883" width="10.90625" style="2" customWidth="1"/>
    <col min="15884" max="15894" width="13.36328125" style="2" customWidth="1"/>
    <col min="15895" max="15895" width="13.6328125" style="2" customWidth="1"/>
    <col min="15896" max="15896" width="16.453125" style="2" customWidth="1"/>
    <col min="15897" max="16131" width="9" style="2"/>
    <col min="16132" max="16132" width="9.6328125" style="2" customWidth="1"/>
    <col min="16133" max="16134" width="5.08984375" style="2" customWidth="1"/>
    <col min="16135" max="16135" width="9.6328125" style="2" customWidth="1"/>
    <col min="16136" max="16137" width="11.6328125" style="2" customWidth="1"/>
    <col min="16138" max="16138" width="15.36328125" style="2" customWidth="1"/>
    <col min="16139" max="16139" width="10.90625" style="2" customWidth="1"/>
    <col min="16140" max="16150" width="13.36328125" style="2" customWidth="1"/>
    <col min="16151" max="16151" width="13.6328125" style="2" customWidth="1"/>
    <col min="16152" max="16152" width="16.453125" style="2" customWidth="1"/>
    <col min="16153" max="16384" width="9" style="2"/>
  </cols>
  <sheetData>
    <row r="1" spans="1:26" s="127" customFormat="1" ht="36">
      <c r="A1" s="230" t="s">
        <v>83</v>
      </c>
      <c r="B1" s="230" t="s">
        <v>84</v>
      </c>
      <c r="C1" s="133" t="s">
        <v>56</v>
      </c>
      <c r="D1" s="134" t="s">
        <v>0</v>
      </c>
      <c r="E1" s="134" t="s">
        <v>1</v>
      </c>
      <c r="F1" s="135" t="s">
        <v>2</v>
      </c>
      <c r="G1" s="135" t="s">
        <v>58</v>
      </c>
      <c r="H1" s="135" t="s">
        <v>3</v>
      </c>
      <c r="I1" s="136" t="s">
        <v>4</v>
      </c>
      <c r="J1" s="137" t="s">
        <v>5</v>
      </c>
      <c r="K1" s="140" t="s">
        <v>6</v>
      </c>
      <c r="L1" s="352" t="s">
        <v>7</v>
      </c>
      <c r="M1" s="238" t="s">
        <v>8</v>
      </c>
      <c r="N1" s="238" t="s">
        <v>9</v>
      </c>
      <c r="O1" s="238" t="s">
        <v>10</v>
      </c>
      <c r="P1" s="238" t="s">
        <v>11</v>
      </c>
      <c r="Q1" s="238" t="s">
        <v>12</v>
      </c>
      <c r="R1" s="238" t="s">
        <v>13</v>
      </c>
      <c r="S1" s="238" t="s">
        <v>14</v>
      </c>
      <c r="T1" s="238" t="s">
        <v>15</v>
      </c>
      <c r="U1" s="238" t="s">
        <v>16</v>
      </c>
      <c r="V1" s="238" t="s">
        <v>17</v>
      </c>
      <c r="W1" s="141" t="s">
        <v>18</v>
      </c>
      <c r="X1" s="220" t="s">
        <v>19</v>
      </c>
    </row>
    <row r="2" spans="1:26" s="1" customFormat="1">
      <c r="A2" s="112"/>
      <c r="B2" s="72"/>
      <c r="C2" s="548" t="s">
        <v>73</v>
      </c>
      <c r="D2" s="549"/>
      <c r="E2" s="549"/>
      <c r="F2" s="549"/>
      <c r="G2" s="549"/>
      <c r="H2" s="549"/>
      <c r="I2" s="549"/>
      <c r="J2" s="550"/>
      <c r="K2" s="143" t="s">
        <v>20</v>
      </c>
      <c r="L2" s="400">
        <f>L77</f>
        <v>1698395</v>
      </c>
      <c r="M2" s="446">
        <f t="shared" ref="M2:W3" si="0">M77</f>
        <v>1685881</v>
      </c>
      <c r="N2" s="446">
        <f t="shared" si="0"/>
        <v>1455725</v>
      </c>
      <c r="O2" s="446">
        <f t="shared" si="0"/>
        <v>1459990</v>
      </c>
      <c r="P2" s="446">
        <f t="shared" si="0"/>
        <v>1491335</v>
      </c>
      <c r="Q2" s="446">
        <f t="shared" si="0"/>
        <v>1675136</v>
      </c>
      <c r="R2" s="446">
        <f t="shared" si="0"/>
        <v>1792152</v>
      </c>
      <c r="S2" s="446">
        <f t="shared" si="0"/>
        <v>1446616</v>
      </c>
      <c r="T2" s="446">
        <f t="shared" si="0"/>
        <v>1458667</v>
      </c>
      <c r="U2" s="446">
        <f t="shared" si="0"/>
        <v>1425246</v>
      </c>
      <c r="V2" s="446">
        <f t="shared" si="0"/>
        <v>1347760</v>
      </c>
      <c r="W2" s="213">
        <f t="shared" si="0"/>
        <v>1672645</v>
      </c>
      <c r="X2" s="39">
        <f>SUM(L2:W2)</f>
        <v>18609548</v>
      </c>
      <c r="Z2" s="70"/>
    </row>
    <row r="3" spans="1:26" s="1" customFormat="1">
      <c r="A3" s="112"/>
      <c r="B3" s="72"/>
      <c r="C3" s="551"/>
      <c r="D3" s="552"/>
      <c r="E3" s="552"/>
      <c r="F3" s="552"/>
      <c r="G3" s="552"/>
      <c r="H3" s="552"/>
      <c r="I3" s="552"/>
      <c r="J3" s="553"/>
      <c r="K3" s="144" t="s">
        <v>21</v>
      </c>
      <c r="L3" s="334">
        <f>L78</f>
        <v>1446665</v>
      </c>
      <c r="M3" s="403">
        <f t="shared" si="0"/>
        <v>1376574</v>
      </c>
      <c r="N3" s="403">
        <f t="shared" si="0"/>
        <v>1396151</v>
      </c>
      <c r="O3" s="403">
        <f t="shared" si="0"/>
        <v>1256122</v>
      </c>
      <c r="P3" s="403">
        <f t="shared" si="0"/>
        <v>1320368</v>
      </c>
      <c r="Q3" s="403">
        <f t="shared" si="0"/>
        <v>1381883</v>
      </c>
      <c r="R3" s="403">
        <f t="shared" si="0"/>
        <v>1487191</v>
      </c>
      <c r="S3" s="403">
        <f t="shared" si="0"/>
        <v>1288499</v>
      </c>
      <c r="T3" s="403">
        <f t="shared" si="0"/>
        <v>1298874</v>
      </c>
      <c r="U3" s="403">
        <f t="shared" si="0"/>
        <v>1190887</v>
      </c>
      <c r="V3" s="403">
        <f t="shared" si="0"/>
        <v>1167168</v>
      </c>
      <c r="W3" s="214">
        <f t="shared" si="0"/>
        <v>1410043</v>
      </c>
      <c r="X3" s="40">
        <f>SUM(L3:W3)</f>
        <v>16020425</v>
      </c>
      <c r="Z3" s="70"/>
    </row>
    <row r="4" spans="1:26" s="1" customFormat="1" ht="12.5" thickBot="1">
      <c r="A4" s="112"/>
      <c r="B4" s="72"/>
      <c r="C4" s="676"/>
      <c r="D4" s="677"/>
      <c r="E4" s="677"/>
      <c r="F4" s="677"/>
      <c r="G4" s="677"/>
      <c r="H4" s="677"/>
      <c r="I4" s="677"/>
      <c r="J4" s="678"/>
      <c r="K4" s="145" t="s">
        <v>22</v>
      </c>
      <c r="L4" s="401">
        <f t="shared" ref="L4:W4" si="1">L2-L3</f>
        <v>251730</v>
      </c>
      <c r="M4" s="447">
        <f t="shared" si="1"/>
        <v>309307</v>
      </c>
      <c r="N4" s="447">
        <f t="shared" si="1"/>
        <v>59574</v>
      </c>
      <c r="O4" s="447">
        <f t="shared" si="1"/>
        <v>203868</v>
      </c>
      <c r="P4" s="447">
        <f t="shared" si="1"/>
        <v>170967</v>
      </c>
      <c r="Q4" s="447">
        <f t="shared" si="1"/>
        <v>293253</v>
      </c>
      <c r="R4" s="447">
        <f t="shared" si="1"/>
        <v>304961</v>
      </c>
      <c r="S4" s="447">
        <f t="shared" si="1"/>
        <v>158117</v>
      </c>
      <c r="T4" s="447">
        <f t="shared" si="1"/>
        <v>159793</v>
      </c>
      <c r="U4" s="447">
        <f t="shared" si="1"/>
        <v>234359</v>
      </c>
      <c r="V4" s="447">
        <f t="shared" si="1"/>
        <v>180592</v>
      </c>
      <c r="W4" s="215">
        <f t="shared" si="1"/>
        <v>262602</v>
      </c>
      <c r="X4" s="57">
        <f>SUM(L4:W4)</f>
        <v>2589123</v>
      </c>
      <c r="Z4" s="70"/>
    </row>
    <row r="5" spans="1:26" ht="12.75" customHeight="1" thickTop="1">
      <c r="A5" s="113">
        <v>2019014</v>
      </c>
      <c r="C5" s="641">
        <v>1</v>
      </c>
      <c r="D5" s="644" t="s">
        <v>60</v>
      </c>
      <c r="E5" s="644"/>
      <c r="F5" s="645"/>
      <c r="G5" s="644" t="s">
        <v>127</v>
      </c>
      <c r="H5" s="647"/>
      <c r="I5" s="647"/>
      <c r="J5" s="628" t="s">
        <v>65</v>
      </c>
      <c r="K5" s="207" t="s">
        <v>23</v>
      </c>
      <c r="L5" s="353">
        <f t="shared" ref="L5:V5" si="2">L6+L7</f>
        <v>289500</v>
      </c>
      <c r="M5" s="409">
        <f t="shared" si="2"/>
        <v>288000</v>
      </c>
      <c r="N5" s="409">
        <f t="shared" si="2"/>
        <v>306000</v>
      </c>
      <c r="O5" s="409">
        <f t="shared" si="2"/>
        <v>324000</v>
      </c>
      <c r="P5" s="409">
        <f t="shared" si="2"/>
        <v>234000</v>
      </c>
      <c r="Q5" s="409">
        <f t="shared" si="2"/>
        <v>288000</v>
      </c>
      <c r="R5" s="409">
        <f t="shared" si="2"/>
        <v>274500</v>
      </c>
      <c r="S5" s="409">
        <f t="shared" si="2"/>
        <v>198000</v>
      </c>
      <c r="T5" s="409">
        <f t="shared" si="2"/>
        <v>189000</v>
      </c>
      <c r="U5" s="409">
        <f t="shared" si="2"/>
        <v>126000</v>
      </c>
      <c r="V5" s="409">
        <f t="shared" si="2"/>
        <v>90000</v>
      </c>
      <c r="W5" s="216">
        <f t="shared" ref="W5" si="3">W6+W7</f>
        <v>289500</v>
      </c>
      <c r="X5" s="122">
        <f t="shared" ref="X5:X15" si="4">SUM(L5:W5)</f>
        <v>2896500</v>
      </c>
      <c r="Z5" s="69"/>
    </row>
    <row r="6" spans="1:26">
      <c r="A6" s="114">
        <f>+A5</f>
        <v>2019014</v>
      </c>
      <c r="B6" s="74"/>
      <c r="C6" s="642"/>
      <c r="D6" s="645"/>
      <c r="E6" s="645"/>
      <c r="F6" s="645"/>
      <c r="G6" s="645"/>
      <c r="H6" s="648"/>
      <c r="I6" s="648"/>
      <c r="J6" s="629"/>
      <c r="K6" s="151" t="s">
        <v>24</v>
      </c>
      <c r="L6" s="343">
        <v>289500</v>
      </c>
      <c r="M6" s="297">
        <v>288000</v>
      </c>
      <c r="N6" s="297">
        <v>306000</v>
      </c>
      <c r="O6" s="297">
        <v>324000</v>
      </c>
      <c r="P6" s="297">
        <v>234000</v>
      </c>
      <c r="Q6" s="297">
        <v>288000</v>
      </c>
      <c r="R6" s="297">
        <v>274500</v>
      </c>
      <c r="S6" s="297">
        <v>198000</v>
      </c>
      <c r="T6" s="297">
        <v>189000</v>
      </c>
      <c r="U6" s="297">
        <v>126000</v>
      </c>
      <c r="V6" s="297">
        <v>90000</v>
      </c>
      <c r="W6" s="91">
        <v>289500</v>
      </c>
      <c r="X6" s="58">
        <f t="shared" si="4"/>
        <v>2896500</v>
      </c>
      <c r="Y6" s="69"/>
      <c r="Z6" s="69"/>
    </row>
    <row r="7" spans="1:26">
      <c r="A7" s="114">
        <f>+A6</f>
        <v>2019014</v>
      </c>
      <c r="B7" s="74"/>
      <c r="C7" s="642"/>
      <c r="D7" s="645"/>
      <c r="E7" s="645"/>
      <c r="F7" s="645"/>
      <c r="G7" s="645"/>
      <c r="H7" s="648"/>
      <c r="I7" s="648"/>
      <c r="J7" s="629"/>
      <c r="K7" s="151" t="s">
        <v>25</v>
      </c>
      <c r="L7" s="354"/>
      <c r="M7" s="297"/>
      <c r="N7" s="297"/>
      <c r="O7" s="297"/>
      <c r="P7" s="297"/>
      <c r="Q7" s="297"/>
      <c r="R7" s="297"/>
      <c r="S7" s="297"/>
      <c r="T7" s="297"/>
      <c r="U7" s="297"/>
      <c r="V7" s="297"/>
      <c r="W7" s="217"/>
      <c r="X7" s="58">
        <f t="shared" si="4"/>
        <v>0</v>
      </c>
      <c r="Y7" s="69"/>
      <c r="Z7" s="69"/>
    </row>
    <row r="8" spans="1:26">
      <c r="A8" s="114">
        <f t="shared" ref="A8:A15" si="5">+A7</f>
        <v>2019014</v>
      </c>
      <c r="B8" s="74"/>
      <c r="C8" s="642"/>
      <c r="D8" s="645"/>
      <c r="E8" s="645"/>
      <c r="F8" s="645"/>
      <c r="G8" s="645"/>
      <c r="H8" s="648"/>
      <c r="I8" s="648"/>
      <c r="J8" s="629"/>
      <c r="K8" s="183" t="s">
        <v>26</v>
      </c>
      <c r="L8" s="355">
        <f t="shared" ref="L8:V8" si="6">SUM(L9:L15)</f>
        <v>259073</v>
      </c>
      <c r="M8" s="411">
        <f t="shared" si="6"/>
        <v>231285</v>
      </c>
      <c r="N8" s="411">
        <f t="shared" si="6"/>
        <v>245028</v>
      </c>
      <c r="O8" s="411">
        <f t="shared" si="6"/>
        <v>258770</v>
      </c>
      <c r="P8" s="411">
        <f t="shared" si="6"/>
        <v>243007</v>
      </c>
      <c r="Q8" s="411">
        <f t="shared" si="6"/>
        <v>244219</v>
      </c>
      <c r="R8" s="411">
        <f t="shared" si="6"/>
        <v>233811</v>
      </c>
      <c r="S8" s="411">
        <f t="shared" si="6"/>
        <v>212186</v>
      </c>
      <c r="T8" s="411">
        <f t="shared" si="6"/>
        <v>182174</v>
      </c>
      <c r="U8" s="411">
        <f t="shared" si="6"/>
        <v>107600</v>
      </c>
      <c r="V8" s="411">
        <f t="shared" si="6"/>
        <v>120312</v>
      </c>
      <c r="W8" s="218">
        <f t="shared" ref="W8" si="7">SUM(W9:W15)</f>
        <v>259073</v>
      </c>
      <c r="X8" s="59">
        <f t="shared" si="4"/>
        <v>2596538</v>
      </c>
      <c r="Y8" s="69"/>
      <c r="Z8" s="69"/>
    </row>
    <row r="9" spans="1:26">
      <c r="A9" s="114">
        <f t="shared" si="5"/>
        <v>2019014</v>
      </c>
      <c r="B9" s="74"/>
      <c r="C9" s="642"/>
      <c r="D9" s="645"/>
      <c r="E9" s="645"/>
      <c r="F9" s="645"/>
      <c r="G9" s="645"/>
      <c r="H9" s="648"/>
      <c r="I9" s="648"/>
      <c r="J9" s="629"/>
      <c r="K9" s="184" t="s">
        <v>27</v>
      </c>
      <c r="L9" s="343">
        <v>245100</v>
      </c>
      <c r="M9" s="297">
        <v>217600</v>
      </c>
      <c r="N9" s="297">
        <v>231200</v>
      </c>
      <c r="O9" s="297">
        <v>244800</v>
      </c>
      <c r="P9" s="297">
        <v>229200</v>
      </c>
      <c r="Q9" s="297">
        <v>230400</v>
      </c>
      <c r="R9" s="297">
        <v>220100</v>
      </c>
      <c r="S9" s="297">
        <v>198700</v>
      </c>
      <c r="T9" s="297">
        <v>169000</v>
      </c>
      <c r="U9" s="297">
        <v>95200</v>
      </c>
      <c r="V9" s="297">
        <v>107600</v>
      </c>
      <c r="W9" s="91">
        <v>245100</v>
      </c>
      <c r="X9" s="58">
        <f t="shared" si="4"/>
        <v>2434000</v>
      </c>
      <c r="Y9" s="69"/>
      <c r="Z9" s="69"/>
    </row>
    <row r="10" spans="1:26">
      <c r="A10" s="114">
        <f t="shared" si="5"/>
        <v>2019014</v>
      </c>
      <c r="B10" s="74"/>
      <c r="C10" s="642"/>
      <c r="D10" s="645"/>
      <c r="E10" s="645"/>
      <c r="F10" s="645"/>
      <c r="G10" s="645"/>
      <c r="H10" s="648"/>
      <c r="I10" s="648"/>
      <c r="J10" s="629"/>
      <c r="K10" s="148" t="s">
        <v>34</v>
      </c>
      <c r="L10" s="343"/>
      <c r="M10" s="297"/>
      <c r="N10" s="297"/>
      <c r="O10" s="297"/>
      <c r="P10" s="297"/>
      <c r="Q10" s="297"/>
      <c r="R10" s="297"/>
      <c r="S10" s="297"/>
      <c r="T10" s="297"/>
      <c r="U10" s="297"/>
      <c r="V10" s="297"/>
      <c r="W10" s="91"/>
      <c r="X10" s="58">
        <f t="shared" si="4"/>
        <v>0</v>
      </c>
      <c r="Y10" s="69"/>
      <c r="Z10" s="69"/>
    </row>
    <row r="11" spans="1:26">
      <c r="A11" s="114">
        <f t="shared" si="5"/>
        <v>2019014</v>
      </c>
      <c r="B11" s="74"/>
      <c r="C11" s="642"/>
      <c r="D11" s="645"/>
      <c r="E11" s="645"/>
      <c r="F11" s="645"/>
      <c r="G11" s="645"/>
      <c r="H11" s="648"/>
      <c r="I11" s="648"/>
      <c r="J11" s="629"/>
      <c r="K11" s="184" t="s">
        <v>28</v>
      </c>
      <c r="L11" s="343"/>
      <c r="M11" s="297"/>
      <c r="N11" s="297"/>
      <c r="O11" s="297"/>
      <c r="P11" s="297"/>
      <c r="Q11" s="297"/>
      <c r="R11" s="297"/>
      <c r="S11" s="297"/>
      <c r="T11" s="297"/>
      <c r="U11" s="297"/>
      <c r="V11" s="297"/>
      <c r="W11" s="91"/>
      <c r="X11" s="58">
        <f t="shared" si="4"/>
        <v>0</v>
      </c>
      <c r="Y11" s="69"/>
      <c r="Z11" s="69"/>
    </row>
    <row r="12" spans="1:26">
      <c r="A12" s="114">
        <f t="shared" si="5"/>
        <v>2019014</v>
      </c>
      <c r="B12" s="74"/>
      <c r="C12" s="642"/>
      <c r="D12" s="645"/>
      <c r="E12" s="645"/>
      <c r="F12" s="645"/>
      <c r="G12" s="645"/>
      <c r="H12" s="648"/>
      <c r="I12" s="648"/>
      <c r="J12" s="629"/>
      <c r="K12" s="184" t="s">
        <v>29</v>
      </c>
      <c r="L12" s="343">
        <v>11400</v>
      </c>
      <c r="M12" s="297">
        <v>11400</v>
      </c>
      <c r="N12" s="297">
        <v>11400</v>
      </c>
      <c r="O12" s="297">
        <v>11400</v>
      </c>
      <c r="P12" s="297">
        <v>11400</v>
      </c>
      <c r="Q12" s="297">
        <v>11400</v>
      </c>
      <c r="R12" s="297">
        <v>11400</v>
      </c>
      <c r="S12" s="297">
        <v>11400</v>
      </c>
      <c r="T12" s="297">
        <v>11400</v>
      </c>
      <c r="U12" s="297">
        <v>11400</v>
      </c>
      <c r="V12" s="297">
        <v>11400</v>
      </c>
      <c r="W12" s="91">
        <v>11400</v>
      </c>
      <c r="X12" s="58">
        <f t="shared" si="4"/>
        <v>136800</v>
      </c>
      <c r="Y12" s="69"/>
      <c r="Z12" s="69"/>
    </row>
    <row r="13" spans="1:26">
      <c r="A13" s="114">
        <f t="shared" si="5"/>
        <v>2019014</v>
      </c>
      <c r="B13" s="74"/>
      <c r="C13" s="642"/>
      <c r="D13" s="645"/>
      <c r="E13" s="645"/>
      <c r="F13" s="645"/>
      <c r="G13" s="645"/>
      <c r="H13" s="648"/>
      <c r="I13" s="648"/>
      <c r="J13" s="629"/>
      <c r="K13" s="184" t="s">
        <v>30</v>
      </c>
      <c r="L13" s="343"/>
      <c r="M13" s="297"/>
      <c r="N13" s="297"/>
      <c r="O13" s="297"/>
      <c r="P13" s="297"/>
      <c r="Q13" s="297"/>
      <c r="R13" s="297"/>
      <c r="S13" s="297"/>
      <c r="T13" s="297"/>
      <c r="U13" s="297"/>
      <c r="V13" s="297"/>
      <c r="W13" s="91"/>
      <c r="X13" s="58">
        <f t="shared" si="4"/>
        <v>0</v>
      </c>
      <c r="Y13" s="69"/>
      <c r="Z13" s="69"/>
    </row>
    <row r="14" spans="1:26">
      <c r="A14" s="114">
        <f t="shared" si="5"/>
        <v>2019014</v>
      </c>
      <c r="B14" s="74"/>
      <c r="C14" s="642"/>
      <c r="D14" s="645"/>
      <c r="E14" s="645"/>
      <c r="F14" s="645"/>
      <c r="G14" s="645"/>
      <c r="H14" s="648"/>
      <c r="I14" s="648"/>
      <c r="J14" s="629"/>
      <c r="K14" s="184" t="s">
        <v>31</v>
      </c>
      <c r="L14" s="343">
        <v>1225</v>
      </c>
      <c r="M14" s="297">
        <v>1088</v>
      </c>
      <c r="N14" s="297">
        <v>1156</v>
      </c>
      <c r="O14" s="297">
        <v>1224</v>
      </c>
      <c r="P14" s="297">
        <v>1146</v>
      </c>
      <c r="Q14" s="297">
        <v>1152</v>
      </c>
      <c r="R14" s="297">
        <v>1100</v>
      </c>
      <c r="S14" s="297">
        <v>993</v>
      </c>
      <c r="T14" s="297">
        <v>845</v>
      </c>
      <c r="U14" s="297">
        <v>476</v>
      </c>
      <c r="V14" s="297">
        <v>625</v>
      </c>
      <c r="W14" s="91">
        <v>1225</v>
      </c>
      <c r="X14" s="58">
        <f t="shared" si="4"/>
        <v>12255</v>
      </c>
      <c r="Y14" s="69"/>
      <c r="Z14" s="69"/>
    </row>
    <row r="15" spans="1:26">
      <c r="A15" s="114">
        <f t="shared" si="5"/>
        <v>2019014</v>
      </c>
      <c r="B15" s="74"/>
      <c r="C15" s="642"/>
      <c r="D15" s="645"/>
      <c r="E15" s="645"/>
      <c r="F15" s="645"/>
      <c r="G15" s="645"/>
      <c r="H15" s="648"/>
      <c r="I15" s="648"/>
      <c r="J15" s="629"/>
      <c r="K15" s="184" t="s">
        <v>32</v>
      </c>
      <c r="L15" s="343">
        <v>1348</v>
      </c>
      <c r="M15" s="297">
        <v>1197</v>
      </c>
      <c r="N15" s="297">
        <v>1272</v>
      </c>
      <c r="O15" s="297">
        <v>1346</v>
      </c>
      <c r="P15" s="297">
        <v>1261</v>
      </c>
      <c r="Q15" s="297">
        <v>1267</v>
      </c>
      <c r="R15" s="297">
        <v>1211</v>
      </c>
      <c r="S15" s="297">
        <v>1093</v>
      </c>
      <c r="T15" s="297">
        <v>929</v>
      </c>
      <c r="U15" s="297">
        <v>524</v>
      </c>
      <c r="V15" s="297">
        <v>687</v>
      </c>
      <c r="W15" s="91">
        <v>1348</v>
      </c>
      <c r="X15" s="58">
        <f t="shared" si="4"/>
        <v>13483</v>
      </c>
      <c r="Y15" s="69"/>
      <c r="Z15" s="69"/>
    </row>
    <row r="16" spans="1:26">
      <c r="A16" s="114">
        <f>+A15</f>
        <v>2019014</v>
      </c>
      <c r="B16" s="74"/>
      <c r="C16" s="654"/>
      <c r="D16" s="655"/>
      <c r="E16" s="655"/>
      <c r="F16" s="655"/>
      <c r="G16" s="655"/>
      <c r="H16" s="652"/>
      <c r="I16" s="652"/>
      <c r="J16" s="630"/>
      <c r="K16" s="152" t="s">
        <v>33</v>
      </c>
      <c r="L16" s="356">
        <f t="shared" ref="L16:V16" si="8">L5-L8</f>
        <v>30427</v>
      </c>
      <c r="M16" s="412">
        <f t="shared" si="8"/>
        <v>56715</v>
      </c>
      <c r="N16" s="412">
        <f t="shared" si="8"/>
        <v>60972</v>
      </c>
      <c r="O16" s="412">
        <f t="shared" si="8"/>
        <v>65230</v>
      </c>
      <c r="P16" s="412">
        <f t="shared" si="8"/>
        <v>-9007</v>
      </c>
      <c r="Q16" s="412">
        <f t="shared" si="8"/>
        <v>43781</v>
      </c>
      <c r="R16" s="412">
        <f t="shared" si="8"/>
        <v>40689</v>
      </c>
      <c r="S16" s="412">
        <f t="shared" si="8"/>
        <v>-14186</v>
      </c>
      <c r="T16" s="412">
        <f t="shared" si="8"/>
        <v>6826</v>
      </c>
      <c r="U16" s="412">
        <f t="shared" si="8"/>
        <v>18400</v>
      </c>
      <c r="V16" s="412">
        <f t="shared" si="8"/>
        <v>-30312</v>
      </c>
      <c r="W16" s="219">
        <f t="shared" ref="W16:X16" si="9">W5-W8</f>
        <v>30427</v>
      </c>
      <c r="X16" s="43">
        <f t="shared" si="9"/>
        <v>299962</v>
      </c>
      <c r="Y16" s="69"/>
      <c r="Z16" s="69"/>
    </row>
    <row r="17" spans="1:26" ht="12.75" customHeight="1">
      <c r="A17" s="113">
        <v>2021015</v>
      </c>
      <c r="C17" s="641">
        <f>C5+1</f>
        <v>2</v>
      </c>
      <c r="D17" s="644" t="s">
        <v>94</v>
      </c>
      <c r="E17" s="644" t="s">
        <v>173</v>
      </c>
      <c r="F17" s="645"/>
      <c r="G17" s="644" t="s">
        <v>128</v>
      </c>
      <c r="H17" s="647"/>
      <c r="I17" s="647" t="s">
        <v>92</v>
      </c>
      <c r="J17" s="628" t="s">
        <v>65</v>
      </c>
      <c r="K17" s="207" t="s">
        <v>23</v>
      </c>
      <c r="L17" s="353">
        <f t="shared" ref="L17:W17" si="10">L18+L19</f>
        <v>265750</v>
      </c>
      <c r="M17" s="342">
        <f t="shared" si="10"/>
        <v>289000</v>
      </c>
      <c r="N17" s="342">
        <f t="shared" si="10"/>
        <v>77250</v>
      </c>
      <c r="O17" s="342">
        <f t="shared" si="10"/>
        <v>0</v>
      </c>
      <c r="P17" s="342">
        <f t="shared" si="10"/>
        <v>0</v>
      </c>
      <c r="Q17" s="342">
        <f t="shared" si="10"/>
        <v>0</v>
      </c>
      <c r="R17" s="409">
        <f t="shared" si="10"/>
        <v>0</v>
      </c>
      <c r="S17" s="409">
        <f t="shared" si="10"/>
        <v>0</v>
      </c>
      <c r="T17" s="409">
        <f t="shared" si="10"/>
        <v>0</v>
      </c>
      <c r="U17" s="409">
        <f t="shared" si="10"/>
        <v>0</v>
      </c>
      <c r="V17" s="409">
        <f t="shared" si="10"/>
        <v>0</v>
      </c>
      <c r="W17" s="522">
        <f t="shared" si="10"/>
        <v>0</v>
      </c>
      <c r="X17" s="479">
        <f t="shared" ref="X17:X27" si="11">SUM(L17:W17)</f>
        <v>632000</v>
      </c>
      <c r="Z17" s="69"/>
    </row>
    <row r="18" spans="1:26">
      <c r="A18" s="114">
        <f>+A17</f>
        <v>2021015</v>
      </c>
      <c r="B18" s="74"/>
      <c r="C18" s="642"/>
      <c r="D18" s="645"/>
      <c r="E18" s="645"/>
      <c r="F18" s="645"/>
      <c r="G18" s="645"/>
      <c r="H18" s="648"/>
      <c r="I18" s="648"/>
      <c r="J18" s="629"/>
      <c r="K18" s="151" t="s">
        <v>24</v>
      </c>
      <c r="L18" s="343">
        <v>255750</v>
      </c>
      <c r="M18" s="343">
        <v>279000</v>
      </c>
      <c r="N18" s="343">
        <v>69750</v>
      </c>
      <c r="O18" s="343"/>
      <c r="P18" s="343"/>
      <c r="Q18" s="343"/>
      <c r="R18" s="297"/>
      <c r="S18" s="297"/>
      <c r="T18" s="297"/>
      <c r="U18" s="297"/>
      <c r="V18" s="297"/>
      <c r="W18" s="343"/>
      <c r="X18" s="480">
        <f t="shared" si="11"/>
        <v>604500</v>
      </c>
      <c r="Y18" s="69"/>
      <c r="Z18" s="69"/>
    </row>
    <row r="19" spans="1:26">
      <c r="A19" s="114">
        <f>+A18</f>
        <v>2021015</v>
      </c>
      <c r="B19" s="74"/>
      <c r="C19" s="642"/>
      <c r="D19" s="645"/>
      <c r="E19" s="645"/>
      <c r="F19" s="645"/>
      <c r="G19" s="645"/>
      <c r="H19" s="648"/>
      <c r="I19" s="648"/>
      <c r="J19" s="629"/>
      <c r="K19" s="146" t="s">
        <v>96</v>
      </c>
      <c r="L19" s="517">
        <v>10000</v>
      </c>
      <c r="M19" s="521">
        <v>10000</v>
      </c>
      <c r="N19" s="521">
        <v>7500</v>
      </c>
      <c r="O19" s="362"/>
      <c r="P19" s="362"/>
      <c r="Q19" s="362"/>
      <c r="R19" s="301"/>
      <c r="S19" s="301"/>
      <c r="T19" s="301"/>
      <c r="U19" s="301"/>
      <c r="V19" s="301"/>
      <c r="W19" s="362"/>
      <c r="X19" s="480">
        <f t="shared" si="11"/>
        <v>27500</v>
      </c>
      <c r="Y19" s="69"/>
      <c r="Z19" s="69"/>
    </row>
    <row r="20" spans="1:26">
      <c r="A20" s="114">
        <f t="shared" ref="A20:A27" si="12">+A19</f>
        <v>2021015</v>
      </c>
      <c r="B20" s="74"/>
      <c r="C20" s="642"/>
      <c r="D20" s="645"/>
      <c r="E20" s="645"/>
      <c r="F20" s="645"/>
      <c r="G20" s="645"/>
      <c r="H20" s="648"/>
      <c r="I20" s="648"/>
      <c r="J20" s="629"/>
      <c r="K20" s="183" t="s">
        <v>26</v>
      </c>
      <c r="L20" s="355">
        <f t="shared" ref="L20:W20" si="13">SUM(L21:L27)</f>
        <v>207412</v>
      </c>
      <c r="M20" s="344">
        <f t="shared" si="13"/>
        <v>217170</v>
      </c>
      <c r="N20" s="344">
        <f t="shared" si="13"/>
        <v>192809</v>
      </c>
      <c r="O20" s="344">
        <f t="shared" si="13"/>
        <v>0</v>
      </c>
      <c r="P20" s="344">
        <f t="shared" si="13"/>
        <v>0</v>
      </c>
      <c r="Q20" s="344">
        <f t="shared" si="13"/>
        <v>0</v>
      </c>
      <c r="R20" s="411">
        <f t="shared" si="13"/>
        <v>0</v>
      </c>
      <c r="S20" s="411">
        <f t="shared" si="13"/>
        <v>0</v>
      </c>
      <c r="T20" s="411">
        <f t="shared" si="13"/>
        <v>0</v>
      </c>
      <c r="U20" s="411">
        <f t="shared" si="13"/>
        <v>0</v>
      </c>
      <c r="V20" s="411">
        <f t="shared" si="13"/>
        <v>0</v>
      </c>
      <c r="W20" s="523">
        <f t="shared" si="13"/>
        <v>0</v>
      </c>
      <c r="X20" s="483">
        <f t="shared" si="11"/>
        <v>617391</v>
      </c>
      <c r="Y20" s="69"/>
      <c r="Z20" s="69"/>
    </row>
    <row r="21" spans="1:26">
      <c r="A21" s="114">
        <f t="shared" si="12"/>
        <v>2021015</v>
      </c>
      <c r="B21" s="74"/>
      <c r="C21" s="642"/>
      <c r="D21" s="645"/>
      <c r="E21" s="645"/>
      <c r="F21" s="645"/>
      <c r="G21" s="645"/>
      <c r="H21" s="648"/>
      <c r="I21" s="648"/>
      <c r="J21" s="629"/>
      <c r="K21" s="184" t="s">
        <v>27</v>
      </c>
      <c r="L21" s="343">
        <v>191500</v>
      </c>
      <c r="M21" s="343">
        <v>210000</v>
      </c>
      <c r="N21" s="343">
        <v>189000</v>
      </c>
      <c r="O21" s="343"/>
      <c r="P21" s="343"/>
      <c r="Q21" s="343"/>
      <c r="R21" s="297"/>
      <c r="S21" s="297"/>
      <c r="T21" s="297"/>
      <c r="U21" s="297"/>
      <c r="V21" s="297"/>
      <c r="W21" s="343"/>
      <c r="X21" s="480">
        <f t="shared" si="11"/>
        <v>590500</v>
      </c>
      <c r="Y21" s="69"/>
      <c r="Z21" s="69"/>
    </row>
    <row r="22" spans="1:26">
      <c r="A22" s="114">
        <f t="shared" si="12"/>
        <v>2021015</v>
      </c>
      <c r="B22" s="74"/>
      <c r="C22" s="642"/>
      <c r="D22" s="645"/>
      <c r="E22" s="645"/>
      <c r="F22" s="645"/>
      <c r="G22" s="645"/>
      <c r="H22" s="648"/>
      <c r="I22" s="648"/>
      <c r="J22" s="629"/>
      <c r="K22" s="148" t="s">
        <v>86</v>
      </c>
      <c r="L22" s="343"/>
      <c r="M22" s="343"/>
      <c r="N22" s="343"/>
      <c r="O22" s="343"/>
      <c r="P22" s="343"/>
      <c r="Q22" s="343"/>
      <c r="R22" s="297"/>
      <c r="S22" s="297"/>
      <c r="T22" s="297"/>
      <c r="U22" s="297"/>
      <c r="V22" s="297"/>
      <c r="W22" s="343"/>
      <c r="X22" s="480">
        <f t="shared" si="11"/>
        <v>0</v>
      </c>
      <c r="Y22" s="69"/>
      <c r="Z22" s="69"/>
    </row>
    <row r="23" spans="1:26">
      <c r="A23" s="114">
        <f t="shared" si="12"/>
        <v>2021015</v>
      </c>
      <c r="B23" s="74"/>
      <c r="C23" s="642"/>
      <c r="D23" s="645"/>
      <c r="E23" s="645"/>
      <c r="F23" s="645"/>
      <c r="G23" s="645"/>
      <c r="H23" s="648"/>
      <c r="I23" s="648"/>
      <c r="J23" s="629"/>
      <c r="K23" s="184" t="s">
        <v>28</v>
      </c>
      <c r="L23" s="343">
        <v>14880</v>
      </c>
      <c r="M23" s="343">
        <v>6090</v>
      </c>
      <c r="N23" s="343">
        <v>2850</v>
      </c>
      <c r="O23" s="343"/>
      <c r="P23" s="343"/>
      <c r="Q23" s="343"/>
      <c r="R23" s="297"/>
      <c r="S23" s="297"/>
      <c r="T23" s="297"/>
      <c r="U23" s="297"/>
      <c r="V23" s="297"/>
      <c r="W23" s="343"/>
      <c r="X23" s="480">
        <f t="shared" si="11"/>
        <v>23820</v>
      </c>
      <c r="Y23" s="69"/>
      <c r="Z23" s="69"/>
    </row>
    <row r="24" spans="1:26">
      <c r="A24" s="114">
        <f t="shared" si="12"/>
        <v>2021015</v>
      </c>
      <c r="B24" s="74"/>
      <c r="C24" s="642"/>
      <c r="D24" s="645"/>
      <c r="E24" s="645"/>
      <c r="F24" s="645"/>
      <c r="G24" s="645"/>
      <c r="H24" s="648"/>
      <c r="I24" s="648"/>
      <c r="J24" s="629"/>
      <c r="K24" s="184" t="s">
        <v>29</v>
      </c>
      <c r="L24" s="343"/>
      <c r="M24" s="343"/>
      <c r="N24" s="343"/>
      <c r="O24" s="343"/>
      <c r="P24" s="343"/>
      <c r="Q24" s="343"/>
      <c r="R24" s="297"/>
      <c r="S24" s="297"/>
      <c r="T24" s="297"/>
      <c r="U24" s="297"/>
      <c r="V24" s="297"/>
      <c r="W24" s="343"/>
      <c r="X24" s="480">
        <f t="shared" si="11"/>
        <v>0</v>
      </c>
      <c r="Y24" s="69"/>
      <c r="Z24" s="69"/>
    </row>
    <row r="25" spans="1:26">
      <c r="A25" s="114">
        <f t="shared" si="12"/>
        <v>2021015</v>
      </c>
      <c r="B25" s="74"/>
      <c r="C25" s="642"/>
      <c r="D25" s="645"/>
      <c r="E25" s="645"/>
      <c r="F25" s="645"/>
      <c r="G25" s="645"/>
      <c r="H25" s="648"/>
      <c r="I25" s="648"/>
      <c r="J25" s="629"/>
      <c r="K25" s="184" t="s">
        <v>30</v>
      </c>
      <c r="L25" s="343"/>
      <c r="M25" s="343"/>
      <c r="N25" s="343"/>
      <c r="O25" s="343"/>
      <c r="P25" s="343"/>
      <c r="Q25" s="343"/>
      <c r="R25" s="297"/>
      <c r="S25" s="297"/>
      <c r="T25" s="297"/>
      <c r="U25" s="297"/>
      <c r="V25" s="297"/>
      <c r="W25" s="343"/>
      <c r="X25" s="480">
        <f t="shared" si="11"/>
        <v>0</v>
      </c>
      <c r="Y25" s="69"/>
      <c r="Z25" s="69"/>
    </row>
    <row r="26" spans="1:26">
      <c r="A26" s="114">
        <f t="shared" si="12"/>
        <v>2021015</v>
      </c>
      <c r="B26" s="74"/>
      <c r="C26" s="642"/>
      <c r="D26" s="645"/>
      <c r="E26" s="645"/>
      <c r="F26" s="645"/>
      <c r="G26" s="645"/>
      <c r="H26" s="648"/>
      <c r="I26" s="648"/>
      <c r="J26" s="629"/>
      <c r="K26" s="184" t="s">
        <v>31</v>
      </c>
      <c r="L26" s="343">
        <v>1032</v>
      </c>
      <c r="M26" s="343">
        <v>1080</v>
      </c>
      <c r="N26" s="343">
        <v>959</v>
      </c>
      <c r="O26" s="343"/>
      <c r="P26" s="343"/>
      <c r="Q26" s="343"/>
      <c r="R26" s="297"/>
      <c r="S26" s="301"/>
      <c r="T26" s="297"/>
      <c r="U26" s="297"/>
      <c r="V26" s="297"/>
      <c r="W26" s="343"/>
      <c r="X26" s="480">
        <f t="shared" si="11"/>
        <v>3071</v>
      </c>
      <c r="Y26" s="69"/>
      <c r="Z26" s="69"/>
    </row>
    <row r="27" spans="1:26">
      <c r="A27" s="114">
        <f t="shared" si="12"/>
        <v>2021015</v>
      </c>
      <c r="B27" s="74"/>
      <c r="C27" s="642"/>
      <c r="D27" s="645"/>
      <c r="E27" s="645"/>
      <c r="F27" s="645"/>
      <c r="G27" s="645"/>
      <c r="H27" s="648"/>
      <c r="I27" s="648"/>
      <c r="J27" s="629"/>
      <c r="K27" s="184" t="s">
        <v>32</v>
      </c>
      <c r="L27" s="343"/>
      <c r="M27" s="343"/>
      <c r="N27" s="343"/>
      <c r="O27" s="343"/>
      <c r="P27" s="343"/>
      <c r="Q27" s="343"/>
      <c r="R27" s="297"/>
      <c r="S27" s="297"/>
      <c r="T27" s="297"/>
      <c r="U27" s="297"/>
      <c r="V27" s="297"/>
      <c r="W27" s="343"/>
      <c r="X27" s="480">
        <f t="shared" si="11"/>
        <v>0</v>
      </c>
      <c r="Y27" s="69"/>
      <c r="Z27" s="69"/>
    </row>
    <row r="28" spans="1:26">
      <c r="A28" s="114">
        <f>+A27</f>
        <v>2021015</v>
      </c>
      <c r="B28" s="74"/>
      <c r="C28" s="654"/>
      <c r="D28" s="655"/>
      <c r="E28" s="655"/>
      <c r="F28" s="655"/>
      <c r="G28" s="655"/>
      <c r="H28" s="652"/>
      <c r="I28" s="652"/>
      <c r="J28" s="630"/>
      <c r="K28" s="152" t="s">
        <v>33</v>
      </c>
      <c r="L28" s="356">
        <f t="shared" ref="L28:X28" si="14">L17-L20</f>
        <v>58338</v>
      </c>
      <c r="M28" s="345">
        <f t="shared" si="14"/>
        <v>71830</v>
      </c>
      <c r="N28" s="345">
        <f t="shared" si="14"/>
        <v>-115559</v>
      </c>
      <c r="O28" s="345">
        <f t="shared" si="14"/>
        <v>0</v>
      </c>
      <c r="P28" s="345">
        <f t="shared" si="14"/>
        <v>0</v>
      </c>
      <c r="Q28" s="345">
        <f t="shared" si="14"/>
        <v>0</v>
      </c>
      <c r="R28" s="412">
        <f t="shared" si="14"/>
        <v>0</v>
      </c>
      <c r="S28" s="412">
        <f t="shared" si="14"/>
        <v>0</v>
      </c>
      <c r="T28" s="412">
        <f t="shared" si="14"/>
        <v>0</v>
      </c>
      <c r="U28" s="412">
        <f t="shared" si="14"/>
        <v>0</v>
      </c>
      <c r="V28" s="412">
        <f t="shared" si="14"/>
        <v>0</v>
      </c>
      <c r="W28" s="524">
        <f t="shared" si="14"/>
        <v>0</v>
      </c>
      <c r="X28" s="485">
        <f t="shared" si="14"/>
        <v>14609</v>
      </c>
      <c r="Y28" s="69"/>
      <c r="Z28" s="69"/>
    </row>
    <row r="29" spans="1:26" ht="12.75" customHeight="1">
      <c r="A29" s="113">
        <v>2020001</v>
      </c>
      <c r="C29" s="641">
        <f t="shared" ref="C29" si="15">C17+1</f>
        <v>3</v>
      </c>
      <c r="D29" s="644" t="s">
        <v>94</v>
      </c>
      <c r="E29" s="644"/>
      <c r="F29" s="645"/>
      <c r="G29" s="644" t="s">
        <v>99</v>
      </c>
      <c r="H29" s="647"/>
      <c r="I29" s="647" t="s">
        <v>81</v>
      </c>
      <c r="J29" s="628" t="s">
        <v>65</v>
      </c>
      <c r="K29" s="207" t="s">
        <v>23</v>
      </c>
      <c r="L29" s="353">
        <f t="shared" ref="L29:W29" si="16">L30+L31</f>
        <v>394215</v>
      </c>
      <c r="M29" s="409">
        <f t="shared" si="16"/>
        <v>412356</v>
      </c>
      <c r="N29" s="409">
        <f t="shared" si="16"/>
        <v>336405</v>
      </c>
      <c r="O29" s="409">
        <f t="shared" si="16"/>
        <v>360390</v>
      </c>
      <c r="P29" s="409">
        <f t="shared" si="16"/>
        <v>332100</v>
      </c>
      <c r="Q29" s="409">
        <f t="shared" si="16"/>
        <v>363156</v>
      </c>
      <c r="R29" s="409">
        <f t="shared" si="16"/>
        <v>357622</v>
      </c>
      <c r="S29" s="409">
        <f t="shared" si="16"/>
        <v>338556</v>
      </c>
      <c r="T29" s="409">
        <f t="shared" si="16"/>
        <v>393292</v>
      </c>
      <c r="U29" s="409">
        <f t="shared" si="16"/>
        <v>354546</v>
      </c>
      <c r="V29" s="409">
        <f t="shared" si="16"/>
        <v>329640</v>
      </c>
      <c r="W29" s="216">
        <f t="shared" si="16"/>
        <v>394215</v>
      </c>
      <c r="X29" s="122">
        <f t="shared" ref="X29:X39" si="17">SUM(L29:W29)</f>
        <v>4366493</v>
      </c>
      <c r="Z29" s="69"/>
    </row>
    <row r="30" spans="1:26">
      <c r="A30" s="114">
        <f>+A29</f>
        <v>2020001</v>
      </c>
      <c r="B30" s="74"/>
      <c r="C30" s="642"/>
      <c r="D30" s="645"/>
      <c r="E30" s="645"/>
      <c r="F30" s="645"/>
      <c r="G30" s="645"/>
      <c r="H30" s="648"/>
      <c r="I30" s="648"/>
      <c r="J30" s="629"/>
      <c r="K30" s="151" t="s">
        <v>24</v>
      </c>
      <c r="L30" s="343">
        <v>394215</v>
      </c>
      <c r="M30" s="297">
        <v>412356</v>
      </c>
      <c r="N30" s="297">
        <v>336405</v>
      </c>
      <c r="O30" s="297">
        <v>360390</v>
      </c>
      <c r="P30" s="297">
        <v>332100</v>
      </c>
      <c r="Q30" s="297">
        <v>363156</v>
      </c>
      <c r="R30" s="297">
        <v>357622</v>
      </c>
      <c r="S30" s="297">
        <v>338556</v>
      </c>
      <c r="T30" s="297">
        <v>393292</v>
      </c>
      <c r="U30" s="297">
        <v>354546</v>
      </c>
      <c r="V30" s="297">
        <v>329640</v>
      </c>
      <c r="W30" s="91">
        <v>394215</v>
      </c>
      <c r="X30" s="58">
        <f t="shared" si="17"/>
        <v>4366493</v>
      </c>
      <c r="Y30" s="69"/>
      <c r="Z30" s="69"/>
    </row>
    <row r="31" spans="1:26">
      <c r="A31" s="114">
        <f>+A30</f>
        <v>2020001</v>
      </c>
      <c r="B31" s="74"/>
      <c r="C31" s="642"/>
      <c r="D31" s="645"/>
      <c r="E31" s="645"/>
      <c r="F31" s="645"/>
      <c r="G31" s="645"/>
      <c r="H31" s="648"/>
      <c r="I31" s="648"/>
      <c r="J31" s="629"/>
      <c r="K31" s="151" t="s">
        <v>25</v>
      </c>
      <c r="L31" s="354"/>
      <c r="M31" s="297"/>
      <c r="N31" s="297"/>
      <c r="O31" s="297"/>
      <c r="P31" s="297"/>
      <c r="Q31" s="297"/>
      <c r="R31" s="297"/>
      <c r="S31" s="297"/>
      <c r="T31" s="297"/>
      <c r="U31" s="297"/>
      <c r="V31" s="297"/>
      <c r="W31" s="217"/>
      <c r="X31" s="58">
        <f t="shared" si="17"/>
        <v>0</v>
      </c>
      <c r="Y31" s="69"/>
      <c r="Z31" s="69"/>
    </row>
    <row r="32" spans="1:26">
      <c r="A32" s="114">
        <f t="shared" ref="A32:A39" si="18">+A31</f>
        <v>2020001</v>
      </c>
      <c r="B32" s="74"/>
      <c r="C32" s="642"/>
      <c r="D32" s="645"/>
      <c r="E32" s="645"/>
      <c r="F32" s="645"/>
      <c r="G32" s="645"/>
      <c r="H32" s="648"/>
      <c r="I32" s="648"/>
      <c r="J32" s="629"/>
      <c r="K32" s="183" t="s">
        <v>26</v>
      </c>
      <c r="L32" s="355">
        <f t="shared" ref="L32:W32" si="19">SUM(L33:L39)</f>
        <v>319685</v>
      </c>
      <c r="M32" s="411">
        <f t="shared" si="19"/>
        <v>318688</v>
      </c>
      <c r="N32" s="411">
        <f t="shared" si="19"/>
        <v>299750</v>
      </c>
      <c r="O32" s="411">
        <f t="shared" si="19"/>
        <v>320858</v>
      </c>
      <c r="P32" s="411">
        <f t="shared" si="19"/>
        <v>293589</v>
      </c>
      <c r="Q32" s="411">
        <f t="shared" si="19"/>
        <v>301217</v>
      </c>
      <c r="R32" s="411">
        <f t="shared" si="19"/>
        <v>330569</v>
      </c>
      <c r="S32" s="411">
        <f t="shared" si="19"/>
        <v>289933</v>
      </c>
      <c r="T32" s="411">
        <f t="shared" si="19"/>
        <v>342373</v>
      </c>
      <c r="U32" s="411">
        <f t="shared" si="19"/>
        <v>318751</v>
      </c>
      <c r="V32" s="411">
        <f t="shared" si="19"/>
        <v>286116</v>
      </c>
      <c r="W32" s="218">
        <f t="shared" si="19"/>
        <v>319685</v>
      </c>
      <c r="X32" s="59">
        <f t="shared" si="17"/>
        <v>3741214</v>
      </c>
      <c r="Y32" s="69"/>
      <c r="Z32" s="69"/>
    </row>
    <row r="33" spans="1:26">
      <c r="A33" s="114">
        <f t="shared" si="18"/>
        <v>2020001</v>
      </c>
      <c r="B33" s="74"/>
      <c r="C33" s="642"/>
      <c r="D33" s="645"/>
      <c r="E33" s="645"/>
      <c r="F33" s="645"/>
      <c r="G33" s="645"/>
      <c r="H33" s="648"/>
      <c r="I33" s="648"/>
      <c r="J33" s="629"/>
      <c r="K33" s="184" t="s">
        <v>27</v>
      </c>
      <c r="L33" s="343">
        <v>268563</v>
      </c>
      <c r="M33" s="297">
        <v>267577</v>
      </c>
      <c r="N33" s="297">
        <v>252075</v>
      </c>
      <c r="O33" s="297">
        <v>268644</v>
      </c>
      <c r="P33" s="297">
        <v>243818</v>
      </c>
      <c r="Q33" s="297">
        <v>247358</v>
      </c>
      <c r="R33" s="297">
        <v>276404</v>
      </c>
      <c r="S33" s="297">
        <v>238350</v>
      </c>
      <c r="T33" s="297">
        <v>289166</v>
      </c>
      <c r="U33" s="297">
        <v>265790</v>
      </c>
      <c r="V33" s="297">
        <v>234393</v>
      </c>
      <c r="W33" s="91">
        <v>268563</v>
      </c>
      <c r="X33" s="58">
        <f t="shared" si="17"/>
        <v>3120701</v>
      </c>
      <c r="Y33" s="69"/>
      <c r="Z33" s="69"/>
    </row>
    <row r="34" spans="1:26">
      <c r="A34" s="114">
        <f t="shared" si="18"/>
        <v>2020001</v>
      </c>
      <c r="B34" s="74"/>
      <c r="C34" s="642"/>
      <c r="D34" s="645"/>
      <c r="E34" s="645"/>
      <c r="F34" s="645"/>
      <c r="G34" s="645"/>
      <c r="H34" s="648"/>
      <c r="I34" s="648"/>
      <c r="J34" s="629"/>
      <c r="K34" s="148" t="s">
        <v>86</v>
      </c>
      <c r="L34" s="343"/>
      <c r="M34" s="297"/>
      <c r="N34" s="297"/>
      <c r="O34" s="297"/>
      <c r="P34" s="297"/>
      <c r="Q34" s="297"/>
      <c r="R34" s="297"/>
      <c r="S34" s="297"/>
      <c r="T34" s="297"/>
      <c r="U34" s="297"/>
      <c r="V34" s="297"/>
      <c r="W34" s="91"/>
      <c r="X34" s="58">
        <f t="shared" si="17"/>
        <v>0</v>
      </c>
      <c r="Y34" s="69"/>
      <c r="Z34" s="69"/>
    </row>
    <row r="35" spans="1:26">
      <c r="A35" s="114">
        <f t="shared" si="18"/>
        <v>2020001</v>
      </c>
      <c r="B35" s="74"/>
      <c r="C35" s="642"/>
      <c r="D35" s="645"/>
      <c r="E35" s="645"/>
      <c r="F35" s="645"/>
      <c r="G35" s="645"/>
      <c r="H35" s="648"/>
      <c r="I35" s="648"/>
      <c r="J35" s="629"/>
      <c r="K35" s="184" t="s">
        <v>28</v>
      </c>
      <c r="L35" s="343">
        <v>9720</v>
      </c>
      <c r="M35" s="297">
        <v>9720</v>
      </c>
      <c r="N35" s="297">
        <v>6480</v>
      </c>
      <c r="O35" s="297">
        <v>10800</v>
      </c>
      <c r="P35" s="297">
        <v>8640</v>
      </c>
      <c r="Q35" s="297">
        <v>9720</v>
      </c>
      <c r="R35" s="297">
        <v>9720</v>
      </c>
      <c r="S35" s="297">
        <v>7560</v>
      </c>
      <c r="T35" s="297">
        <v>8640</v>
      </c>
      <c r="U35" s="297">
        <v>8640</v>
      </c>
      <c r="V35" s="297">
        <v>7560</v>
      </c>
      <c r="W35" s="91">
        <v>9720</v>
      </c>
      <c r="X35" s="58">
        <f t="shared" si="17"/>
        <v>106920</v>
      </c>
      <c r="Y35" s="69"/>
      <c r="Z35" s="69"/>
    </row>
    <row r="36" spans="1:26">
      <c r="A36" s="114">
        <f t="shared" si="18"/>
        <v>2020001</v>
      </c>
      <c r="B36" s="74"/>
      <c r="C36" s="642"/>
      <c r="D36" s="645"/>
      <c r="E36" s="645"/>
      <c r="F36" s="645"/>
      <c r="G36" s="645"/>
      <c r="H36" s="648"/>
      <c r="I36" s="648"/>
      <c r="J36" s="629"/>
      <c r="K36" s="184" t="s">
        <v>29</v>
      </c>
      <c r="L36" s="343">
        <v>14690</v>
      </c>
      <c r="M36" s="297">
        <v>14690</v>
      </c>
      <c r="N36" s="297">
        <v>14690</v>
      </c>
      <c r="O36" s="297">
        <v>14690</v>
      </c>
      <c r="P36" s="297">
        <v>14690</v>
      </c>
      <c r="Q36" s="297">
        <v>15820</v>
      </c>
      <c r="R36" s="297">
        <v>15820</v>
      </c>
      <c r="S36" s="297">
        <v>15820</v>
      </c>
      <c r="T36" s="297">
        <v>15820</v>
      </c>
      <c r="U36" s="297">
        <v>15820</v>
      </c>
      <c r="V36" s="297">
        <v>15820</v>
      </c>
      <c r="W36" s="91">
        <v>14690</v>
      </c>
      <c r="X36" s="58">
        <f t="shared" si="17"/>
        <v>183060</v>
      </c>
      <c r="Y36" s="69"/>
      <c r="Z36" s="69"/>
    </row>
    <row r="37" spans="1:26">
      <c r="A37" s="114">
        <f t="shared" si="18"/>
        <v>2020001</v>
      </c>
      <c r="B37" s="74"/>
      <c r="C37" s="642"/>
      <c r="D37" s="645"/>
      <c r="E37" s="645"/>
      <c r="F37" s="645"/>
      <c r="G37" s="645"/>
      <c r="H37" s="648"/>
      <c r="I37" s="648"/>
      <c r="J37" s="629"/>
      <c r="K37" s="184" t="s">
        <v>30</v>
      </c>
      <c r="L37" s="343">
        <v>23790</v>
      </c>
      <c r="M37" s="297">
        <v>23790</v>
      </c>
      <c r="N37" s="297">
        <v>23790</v>
      </c>
      <c r="O37" s="297">
        <v>23790</v>
      </c>
      <c r="P37" s="297">
        <v>23790</v>
      </c>
      <c r="Q37" s="297">
        <v>25620</v>
      </c>
      <c r="R37" s="297">
        <v>25620</v>
      </c>
      <c r="S37" s="297">
        <v>25620</v>
      </c>
      <c r="T37" s="297">
        <v>25620</v>
      </c>
      <c r="U37" s="297">
        <v>25620</v>
      </c>
      <c r="V37" s="297">
        <v>25620</v>
      </c>
      <c r="W37" s="91">
        <v>23790</v>
      </c>
      <c r="X37" s="58">
        <f t="shared" si="17"/>
        <v>296460</v>
      </c>
      <c r="Y37" s="69"/>
      <c r="Z37" s="69"/>
    </row>
    <row r="38" spans="1:26">
      <c r="A38" s="114">
        <f t="shared" si="18"/>
        <v>2020001</v>
      </c>
      <c r="B38" s="74"/>
      <c r="C38" s="642"/>
      <c r="D38" s="645"/>
      <c r="E38" s="645"/>
      <c r="F38" s="645"/>
      <c r="G38" s="645"/>
      <c r="H38" s="648"/>
      <c r="I38" s="648"/>
      <c r="J38" s="629"/>
      <c r="K38" s="184" t="s">
        <v>31</v>
      </c>
      <c r="L38" s="343">
        <v>1391</v>
      </c>
      <c r="M38" s="297">
        <v>1386</v>
      </c>
      <c r="N38" s="297">
        <v>1293</v>
      </c>
      <c r="O38" s="297">
        <v>1397</v>
      </c>
      <c r="P38" s="297">
        <v>1262</v>
      </c>
      <c r="Q38" s="297">
        <v>1285</v>
      </c>
      <c r="R38" s="297">
        <v>1431</v>
      </c>
      <c r="S38" s="297">
        <v>1230</v>
      </c>
      <c r="T38" s="297">
        <v>1489</v>
      </c>
      <c r="U38" s="297">
        <v>1372</v>
      </c>
      <c r="V38" s="297">
        <v>1297</v>
      </c>
      <c r="W38" s="91">
        <v>1391</v>
      </c>
      <c r="X38" s="58">
        <f t="shared" si="17"/>
        <v>16224</v>
      </c>
      <c r="Y38" s="69"/>
      <c r="Z38" s="69"/>
    </row>
    <row r="39" spans="1:26">
      <c r="A39" s="114">
        <f t="shared" si="18"/>
        <v>2020001</v>
      </c>
      <c r="B39" s="74"/>
      <c r="C39" s="642"/>
      <c r="D39" s="645"/>
      <c r="E39" s="645"/>
      <c r="F39" s="645"/>
      <c r="G39" s="645"/>
      <c r="H39" s="648"/>
      <c r="I39" s="648"/>
      <c r="J39" s="629"/>
      <c r="K39" s="184" t="s">
        <v>32</v>
      </c>
      <c r="L39" s="343">
        <v>1531</v>
      </c>
      <c r="M39" s="297">
        <v>1525</v>
      </c>
      <c r="N39" s="297">
        <v>1422</v>
      </c>
      <c r="O39" s="297">
        <v>1537</v>
      </c>
      <c r="P39" s="297">
        <v>1389</v>
      </c>
      <c r="Q39" s="297">
        <v>1414</v>
      </c>
      <c r="R39" s="297">
        <v>1574</v>
      </c>
      <c r="S39" s="297">
        <v>1353</v>
      </c>
      <c r="T39" s="297">
        <v>1638</v>
      </c>
      <c r="U39" s="297">
        <v>1509</v>
      </c>
      <c r="V39" s="297">
        <v>1426</v>
      </c>
      <c r="W39" s="91">
        <v>1531</v>
      </c>
      <c r="X39" s="58">
        <f t="shared" si="17"/>
        <v>17849</v>
      </c>
      <c r="Y39" s="69"/>
      <c r="Z39" s="69"/>
    </row>
    <row r="40" spans="1:26">
      <c r="A40" s="114">
        <f>+A39</f>
        <v>2020001</v>
      </c>
      <c r="B40" s="74"/>
      <c r="C40" s="654"/>
      <c r="D40" s="655"/>
      <c r="E40" s="655"/>
      <c r="F40" s="655"/>
      <c r="G40" s="655"/>
      <c r="H40" s="652"/>
      <c r="I40" s="652"/>
      <c r="J40" s="630"/>
      <c r="K40" s="152" t="s">
        <v>33</v>
      </c>
      <c r="L40" s="356">
        <f t="shared" ref="L40:X40" si="20">L29-L32</f>
        <v>74530</v>
      </c>
      <c r="M40" s="412">
        <f t="shared" si="20"/>
        <v>93668</v>
      </c>
      <c r="N40" s="412">
        <f t="shared" si="20"/>
        <v>36655</v>
      </c>
      <c r="O40" s="412">
        <f t="shared" si="20"/>
        <v>39532</v>
      </c>
      <c r="P40" s="412">
        <f t="shared" si="20"/>
        <v>38511</v>
      </c>
      <c r="Q40" s="412">
        <f t="shared" si="20"/>
        <v>61939</v>
      </c>
      <c r="R40" s="412">
        <f t="shared" si="20"/>
        <v>27053</v>
      </c>
      <c r="S40" s="412">
        <f t="shared" si="20"/>
        <v>48623</v>
      </c>
      <c r="T40" s="412">
        <f t="shared" si="20"/>
        <v>50919</v>
      </c>
      <c r="U40" s="412">
        <f t="shared" si="20"/>
        <v>35795</v>
      </c>
      <c r="V40" s="412">
        <f t="shared" si="20"/>
        <v>43524</v>
      </c>
      <c r="W40" s="219">
        <f t="shared" si="20"/>
        <v>74530</v>
      </c>
      <c r="X40" s="43">
        <f t="shared" si="20"/>
        <v>625279</v>
      </c>
      <c r="Y40" s="69"/>
      <c r="Z40" s="69"/>
    </row>
    <row r="41" spans="1:26" ht="12.75" customHeight="1">
      <c r="A41" s="113">
        <v>2018046</v>
      </c>
      <c r="C41" s="641">
        <f t="shared" ref="C41" si="21">C29+1</f>
        <v>4</v>
      </c>
      <c r="D41" s="644" t="s">
        <v>94</v>
      </c>
      <c r="E41" s="644"/>
      <c r="F41" s="645"/>
      <c r="G41" s="644" t="s">
        <v>99</v>
      </c>
      <c r="H41" s="647"/>
      <c r="I41" s="647" t="s">
        <v>81</v>
      </c>
      <c r="J41" s="628" t="s">
        <v>65</v>
      </c>
      <c r="K41" s="207" t="s">
        <v>23</v>
      </c>
      <c r="L41" s="353">
        <f t="shared" ref="L41:W41" si="22">L42+L43</f>
        <v>379325</v>
      </c>
      <c r="M41" s="409">
        <f t="shared" si="22"/>
        <v>357675</v>
      </c>
      <c r="N41" s="409">
        <f t="shared" si="22"/>
        <v>376500</v>
      </c>
      <c r="O41" s="409">
        <f t="shared" si="22"/>
        <v>395325</v>
      </c>
      <c r="P41" s="409">
        <f t="shared" si="22"/>
        <v>365210</v>
      </c>
      <c r="Q41" s="409">
        <f t="shared" si="22"/>
        <v>375570</v>
      </c>
      <c r="R41" s="409">
        <f t="shared" si="22"/>
        <v>395325</v>
      </c>
      <c r="S41" s="409">
        <f t="shared" si="22"/>
        <v>327560</v>
      </c>
      <c r="T41" s="409">
        <f t="shared" si="22"/>
        <v>372430</v>
      </c>
      <c r="U41" s="409">
        <f t="shared" si="22"/>
        <v>338850</v>
      </c>
      <c r="V41" s="409">
        <f t="shared" si="22"/>
        <v>342630</v>
      </c>
      <c r="W41" s="216">
        <f t="shared" si="22"/>
        <v>379325</v>
      </c>
      <c r="X41" s="122">
        <f t="shared" ref="X41:X51" si="23">SUM(L41:W41)</f>
        <v>4405725</v>
      </c>
      <c r="Z41" s="69"/>
    </row>
    <row r="42" spans="1:26">
      <c r="A42" s="114">
        <f>+A41</f>
        <v>2018046</v>
      </c>
      <c r="B42" s="74"/>
      <c r="C42" s="642"/>
      <c r="D42" s="645"/>
      <c r="E42" s="645"/>
      <c r="F42" s="645"/>
      <c r="G42" s="645"/>
      <c r="H42" s="648"/>
      <c r="I42" s="648"/>
      <c r="J42" s="629"/>
      <c r="K42" s="151" t="s">
        <v>24</v>
      </c>
      <c r="L42" s="343">
        <v>379325</v>
      </c>
      <c r="M42" s="297">
        <v>357675</v>
      </c>
      <c r="N42" s="297">
        <v>376500</v>
      </c>
      <c r="O42" s="297">
        <v>395325</v>
      </c>
      <c r="P42" s="297">
        <v>365210</v>
      </c>
      <c r="Q42" s="297">
        <v>375570</v>
      </c>
      <c r="R42" s="297">
        <v>395325</v>
      </c>
      <c r="S42" s="297">
        <v>327560</v>
      </c>
      <c r="T42" s="297">
        <v>372430</v>
      </c>
      <c r="U42" s="297">
        <v>338850</v>
      </c>
      <c r="V42" s="297">
        <v>342630</v>
      </c>
      <c r="W42" s="91">
        <v>379325</v>
      </c>
      <c r="X42" s="58">
        <f t="shared" si="23"/>
        <v>4405725</v>
      </c>
      <c r="Y42" s="69"/>
      <c r="Z42" s="69"/>
    </row>
    <row r="43" spans="1:26">
      <c r="A43" s="114">
        <f>+A42</f>
        <v>2018046</v>
      </c>
      <c r="B43" s="74"/>
      <c r="C43" s="642"/>
      <c r="D43" s="645"/>
      <c r="E43" s="645"/>
      <c r="F43" s="645"/>
      <c r="G43" s="645"/>
      <c r="H43" s="648"/>
      <c r="I43" s="648"/>
      <c r="J43" s="629"/>
      <c r="K43" s="151" t="s">
        <v>25</v>
      </c>
      <c r="L43" s="354"/>
      <c r="M43" s="297"/>
      <c r="N43" s="297"/>
      <c r="O43" s="297"/>
      <c r="P43" s="297"/>
      <c r="Q43" s="297"/>
      <c r="R43" s="297"/>
      <c r="S43" s="297"/>
      <c r="T43" s="297"/>
      <c r="U43" s="297"/>
      <c r="V43" s="297"/>
      <c r="W43" s="217"/>
      <c r="X43" s="58">
        <f t="shared" si="23"/>
        <v>0</v>
      </c>
      <c r="Y43" s="69"/>
      <c r="Z43" s="69"/>
    </row>
    <row r="44" spans="1:26">
      <c r="A44" s="114">
        <f t="shared" ref="A44:A51" si="24">+A43</f>
        <v>2018046</v>
      </c>
      <c r="B44" s="74"/>
      <c r="C44" s="642"/>
      <c r="D44" s="645"/>
      <c r="E44" s="645"/>
      <c r="F44" s="645"/>
      <c r="G44" s="645"/>
      <c r="H44" s="648"/>
      <c r="I44" s="648"/>
      <c r="J44" s="629"/>
      <c r="K44" s="183" t="s">
        <v>26</v>
      </c>
      <c r="L44" s="355">
        <f t="shared" ref="L44:W44" si="25">SUM(L45:L51)</f>
        <v>314639</v>
      </c>
      <c r="M44" s="411">
        <f t="shared" si="25"/>
        <v>286457</v>
      </c>
      <c r="N44" s="411">
        <f t="shared" si="25"/>
        <v>312325</v>
      </c>
      <c r="O44" s="411">
        <f t="shared" si="25"/>
        <v>325058</v>
      </c>
      <c r="P44" s="411">
        <f t="shared" si="25"/>
        <v>305899</v>
      </c>
      <c r="Q44" s="411">
        <f t="shared" si="25"/>
        <v>311285</v>
      </c>
      <c r="R44" s="411">
        <f t="shared" si="25"/>
        <v>325058</v>
      </c>
      <c r="S44" s="411">
        <f t="shared" si="25"/>
        <v>278009</v>
      </c>
      <c r="T44" s="411">
        <f t="shared" si="25"/>
        <v>321895</v>
      </c>
      <c r="U44" s="411">
        <f t="shared" si="25"/>
        <v>285648</v>
      </c>
      <c r="V44" s="411">
        <f t="shared" si="25"/>
        <v>288377</v>
      </c>
      <c r="W44" s="218">
        <f t="shared" si="25"/>
        <v>314639</v>
      </c>
      <c r="X44" s="59">
        <f t="shared" si="23"/>
        <v>3669289</v>
      </c>
      <c r="Y44" s="69"/>
      <c r="Z44" s="69"/>
    </row>
    <row r="45" spans="1:26">
      <c r="A45" s="114">
        <f t="shared" si="24"/>
        <v>2018046</v>
      </c>
      <c r="B45" s="74"/>
      <c r="C45" s="642"/>
      <c r="D45" s="645"/>
      <c r="E45" s="645"/>
      <c r="F45" s="645"/>
      <c r="G45" s="645"/>
      <c r="H45" s="648"/>
      <c r="I45" s="648"/>
      <c r="J45" s="629"/>
      <c r="K45" s="184" t="s">
        <v>27</v>
      </c>
      <c r="L45" s="343">
        <v>273290</v>
      </c>
      <c r="M45" s="297">
        <v>245400</v>
      </c>
      <c r="N45" s="297">
        <v>271000</v>
      </c>
      <c r="O45" s="297">
        <v>283600</v>
      </c>
      <c r="P45" s="297">
        <v>264640</v>
      </c>
      <c r="Q45" s="297">
        <v>269970</v>
      </c>
      <c r="R45" s="297">
        <v>283600</v>
      </c>
      <c r="S45" s="297">
        <v>237040</v>
      </c>
      <c r="T45" s="297">
        <v>280470</v>
      </c>
      <c r="U45" s="297">
        <v>244600</v>
      </c>
      <c r="V45" s="297">
        <v>247120</v>
      </c>
      <c r="W45" s="91">
        <v>273290</v>
      </c>
      <c r="X45" s="58">
        <f t="shared" si="23"/>
        <v>3174020</v>
      </c>
      <c r="Y45" s="69"/>
      <c r="Z45" s="69"/>
    </row>
    <row r="46" spans="1:26">
      <c r="A46" s="114">
        <f t="shared" si="24"/>
        <v>2018046</v>
      </c>
      <c r="B46" s="74"/>
      <c r="C46" s="642"/>
      <c r="D46" s="645"/>
      <c r="E46" s="645"/>
      <c r="F46" s="645"/>
      <c r="G46" s="645"/>
      <c r="H46" s="648"/>
      <c r="I46" s="648"/>
      <c r="J46" s="629"/>
      <c r="K46" s="148" t="s">
        <v>34</v>
      </c>
      <c r="L46" s="343"/>
      <c r="M46" s="297"/>
      <c r="N46" s="297"/>
      <c r="O46" s="297"/>
      <c r="P46" s="297"/>
      <c r="Q46" s="297"/>
      <c r="R46" s="297"/>
      <c r="S46" s="297"/>
      <c r="T46" s="297"/>
      <c r="U46" s="297"/>
      <c r="V46" s="297"/>
      <c r="W46" s="91"/>
      <c r="X46" s="58">
        <f t="shared" si="23"/>
        <v>0</v>
      </c>
      <c r="Y46" s="69"/>
      <c r="Z46" s="69"/>
    </row>
    <row r="47" spans="1:26">
      <c r="A47" s="114">
        <f t="shared" si="24"/>
        <v>2018046</v>
      </c>
      <c r="B47" s="74"/>
      <c r="C47" s="642"/>
      <c r="D47" s="645"/>
      <c r="E47" s="645"/>
      <c r="F47" s="645"/>
      <c r="G47" s="645"/>
      <c r="H47" s="648"/>
      <c r="I47" s="648"/>
      <c r="J47" s="629"/>
      <c r="K47" s="184" t="s">
        <v>28</v>
      </c>
      <c r="L47" s="343">
        <v>0</v>
      </c>
      <c r="M47" s="297">
        <v>0</v>
      </c>
      <c r="N47" s="297">
        <v>0</v>
      </c>
      <c r="O47" s="297">
        <v>0</v>
      </c>
      <c r="P47" s="297">
        <v>0</v>
      </c>
      <c r="Q47" s="297">
        <v>0</v>
      </c>
      <c r="R47" s="297">
        <v>0</v>
      </c>
      <c r="S47" s="297">
        <v>0</v>
      </c>
      <c r="T47" s="297">
        <v>0</v>
      </c>
      <c r="U47" s="297">
        <v>0</v>
      </c>
      <c r="V47" s="297">
        <v>0</v>
      </c>
      <c r="W47" s="91">
        <v>0</v>
      </c>
      <c r="X47" s="58">
        <f t="shared" si="23"/>
        <v>0</v>
      </c>
      <c r="Y47" s="69"/>
      <c r="Z47" s="69"/>
    </row>
    <row r="48" spans="1:26">
      <c r="A48" s="114">
        <f t="shared" si="24"/>
        <v>2018046</v>
      </c>
      <c r="B48" s="74"/>
      <c r="C48" s="642"/>
      <c r="D48" s="645"/>
      <c r="E48" s="645"/>
      <c r="F48" s="645"/>
      <c r="G48" s="645"/>
      <c r="H48" s="648"/>
      <c r="I48" s="648"/>
      <c r="J48" s="629"/>
      <c r="K48" s="184" t="s">
        <v>29</v>
      </c>
      <c r="L48" s="343">
        <v>14690</v>
      </c>
      <c r="M48" s="297">
        <v>14690</v>
      </c>
      <c r="N48" s="297">
        <v>14690</v>
      </c>
      <c r="O48" s="297">
        <v>14690</v>
      </c>
      <c r="P48" s="297">
        <v>14690</v>
      </c>
      <c r="Q48" s="297">
        <v>14690</v>
      </c>
      <c r="R48" s="297">
        <v>14690</v>
      </c>
      <c r="S48" s="297">
        <v>14690</v>
      </c>
      <c r="T48" s="297">
        <v>14690</v>
      </c>
      <c r="U48" s="297">
        <v>14690</v>
      </c>
      <c r="V48" s="297">
        <v>14690</v>
      </c>
      <c r="W48" s="91">
        <v>14690</v>
      </c>
      <c r="X48" s="58">
        <f t="shared" si="23"/>
        <v>176280</v>
      </c>
      <c r="Y48" s="69"/>
      <c r="Z48" s="69"/>
    </row>
    <row r="49" spans="1:26">
      <c r="A49" s="114">
        <f t="shared" si="24"/>
        <v>2018046</v>
      </c>
      <c r="B49" s="74"/>
      <c r="C49" s="642"/>
      <c r="D49" s="645"/>
      <c r="E49" s="645"/>
      <c r="F49" s="645"/>
      <c r="G49" s="645"/>
      <c r="H49" s="648"/>
      <c r="I49" s="648"/>
      <c r="J49" s="629"/>
      <c r="K49" s="184" t="s">
        <v>30</v>
      </c>
      <c r="L49" s="343">
        <v>23790</v>
      </c>
      <c r="M49" s="297">
        <v>23790</v>
      </c>
      <c r="N49" s="297">
        <v>23790</v>
      </c>
      <c r="O49" s="297">
        <v>23790</v>
      </c>
      <c r="P49" s="297">
        <v>23790</v>
      </c>
      <c r="Q49" s="297">
        <v>23790</v>
      </c>
      <c r="R49" s="297">
        <v>23790</v>
      </c>
      <c r="S49" s="297">
        <v>23790</v>
      </c>
      <c r="T49" s="297">
        <v>23790</v>
      </c>
      <c r="U49" s="297">
        <v>23790</v>
      </c>
      <c r="V49" s="297">
        <v>23790</v>
      </c>
      <c r="W49" s="91">
        <v>23790</v>
      </c>
      <c r="X49" s="58">
        <f t="shared" si="23"/>
        <v>285480</v>
      </c>
      <c r="Y49" s="69"/>
      <c r="Z49" s="69"/>
    </row>
    <row r="50" spans="1:26">
      <c r="A50" s="114">
        <f t="shared" si="24"/>
        <v>2018046</v>
      </c>
      <c r="B50" s="74"/>
      <c r="C50" s="642"/>
      <c r="D50" s="645"/>
      <c r="E50" s="645"/>
      <c r="F50" s="645"/>
      <c r="G50" s="645"/>
      <c r="H50" s="648"/>
      <c r="I50" s="648"/>
      <c r="J50" s="629"/>
      <c r="K50" s="184" t="s">
        <v>31</v>
      </c>
      <c r="L50" s="343">
        <v>1366</v>
      </c>
      <c r="M50" s="297">
        <v>1227</v>
      </c>
      <c r="N50" s="297">
        <v>1355</v>
      </c>
      <c r="O50" s="297">
        <v>1418</v>
      </c>
      <c r="P50" s="297">
        <v>1323</v>
      </c>
      <c r="Q50" s="297">
        <v>1350</v>
      </c>
      <c r="R50" s="297">
        <v>1418</v>
      </c>
      <c r="S50" s="297">
        <v>1185</v>
      </c>
      <c r="T50" s="297">
        <v>1402</v>
      </c>
      <c r="U50" s="297">
        <v>1223</v>
      </c>
      <c r="V50" s="297">
        <v>1322</v>
      </c>
      <c r="W50" s="91">
        <v>1366</v>
      </c>
      <c r="X50" s="58">
        <f t="shared" si="23"/>
        <v>15955</v>
      </c>
      <c r="Y50" s="69"/>
      <c r="Z50" s="69"/>
    </row>
    <row r="51" spans="1:26">
      <c r="A51" s="114">
        <f t="shared" si="24"/>
        <v>2018046</v>
      </c>
      <c r="B51" s="74"/>
      <c r="C51" s="642"/>
      <c r="D51" s="645"/>
      <c r="E51" s="645"/>
      <c r="F51" s="645"/>
      <c r="G51" s="645"/>
      <c r="H51" s="648"/>
      <c r="I51" s="648"/>
      <c r="J51" s="629"/>
      <c r="K51" s="184" t="s">
        <v>32</v>
      </c>
      <c r="L51" s="343">
        <v>1503</v>
      </c>
      <c r="M51" s="297">
        <v>1350</v>
      </c>
      <c r="N51" s="297">
        <v>1490</v>
      </c>
      <c r="O51" s="297">
        <v>1560</v>
      </c>
      <c r="P51" s="297">
        <v>1456</v>
      </c>
      <c r="Q51" s="297">
        <v>1485</v>
      </c>
      <c r="R51" s="297">
        <v>1560</v>
      </c>
      <c r="S51" s="297">
        <v>1304</v>
      </c>
      <c r="T51" s="297">
        <v>1543</v>
      </c>
      <c r="U51" s="297">
        <v>1345</v>
      </c>
      <c r="V51" s="297">
        <v>1455</v>
      </c>
      <c r="W51" s="91">
        <v>1503</v>
      </c>
      <c r="X51" s="58">
        <f t="shared" si="23"/>
        <v>17554</v>
      </c>
      <c r="Y51" s="69"/>
      <c r="Z51" s="69"/>
    </row>
    <row r="52" spans="1:26">
      <c r="A52" s="114">
        <f>+A51</f>
        <v>2018046</v>
      </c>
      <c r="B52" s="74"/>
      <c r="C52" s="654"/>
      <c r="D52" s="655"/>
      <c r="E52" s="655"/>
      <c r="F52" s="655"/>
      <c r="G52" s="655"/>
      <c r="H52" s="652"/>
      <c r="I52" s="652"/>
      <c r="J52" s="630"/>
      <c r="K52" s="152" t="s">
        <v>33</v>
      </c>
      <c r="L52" s="356">
        <f t="shared" ref="L52:X52" si="26">L41-L44</f>
        <v>64686</v>
      </c>
      <c r="M52" s="412">
        <f t="shared" si="26"/>
        <v>71218</v>
      </c>
      <c r="N52" s="412">
        <f t="shared" si="26"/>
        <v>64175</v>
      </c>
      <c r="O52" s="412">
        <f t="shared" si="26"/>
        <v>70267</v>
      </c>
      <c r="P52" s="412">
        <f t="shared" si="26"/>
        <v>59311</v>
      </c>
      <c r="Q52" s="412">
        <f t="shared" si="26"/>
        <v>64285</v>
      </c>
      <c r="R52" s="412">
        <f t="shared" si="26"/>
        <v>70267</v>
      </c>
      <c r="S52" s="412">
        <f t="shared" si="26"/>
        <v>49551</v>
      </c>
      <c r="T52" s="412">
        <f t="shared" si="26"/>
        <v>50535</v>
      </c>
      <c r="U52" s="412">
        <f t="shared" si="26"/>
        <v>53202</v>
      </c>
      <c r="V52" s="412">
        <f t="shared" si="26"/>
        <v>54253</v>
      </c>
      <c r="W52" s="219">
        <f t="shared" si="26"/>
        <v>64686</v>
      </c>
      <c r="X52" s="43">
        <f t="shared" si="26"/>
        <v>736436</v>
      </c>
      <c r="Y52" s="69"/>
      <c r="Z52" s="69"/>
    </row>
    <row r="53" spans="1:26" ht="12.75" customHeight="1">
      <c r="A53" s="113">
        <v>2018002</v>
      </c>
      <c r="C53" s="641">
        <f t="shared" ref="C53" si="27">C41+1</f>
        <v>5</v>
      </c>
      <c r="D53" s="644" t="s">
        <v>94</v>
      </c>
      <c r="E53" s="644"/>
      <c r="F53" s="644"/>
      <c r="G53" s="644" t="s">
        <v>99</v>
      </c>
      <c r="H53" s="647"/>
      <c r="I53" s="647" t="s">
        <v>81</v>
      </c>
      <c r="J53" s="628" t="s">
        <v>65</v>
      </c>
      <c r="K53" s="207" t="s">
        <v>23</v>
      </c>
      <c r="L53" s="353">
        <f t="shared" ref="L53:W53" si="28">L54+L55</f>
        <v>369605</v>
      </c>
      <c r="M53" s="409">
        <f t="shared" si="28"/>
        <v>338850</v>
      </c>
      <c r="N53" s="409">
        <f t="shared" si="28"/>
        <v>359570</v>
      </c>
      <c r="O53" s="409">
        <f t="shared" si="28"/>
        <v>380275</v>
      </c>
      <c r="P53" s="409">
        <f t="shared" si="28"/>
        <v>320025</v>
      </c>
      <c r="Q53" s="409">
        <f t="shared" si="28"/>
        <v>378410</v>
      </c>
      <c r="R53" s="409">
        <f t="shared" si="28"/>
        <v>486705</v>
      </c>
      <c r="S53" s="409">
        <f t="shared" si="28"/>
        <v>302500</v>
      </c>
      <c r="T53" s="409">
        <f t="shared" si="28"/>
        <v>353945</v>
      </c>
      <c r="U53" s="409">
        <f t="shared" si="28"/>
        <v>365850</v>
      </c>
      <c r="V53" s="409">
        <f t="shared" si="28"/>
        <v>339490</v>
      </c>
      <c r="W53" s="216">
        <f t="shared" si="28"/>
        <v>369605</v>
      </c>
      <c r="X53" s="122">
        <f t="shared" ref="X53:X63" si="29">SUM(L53:W53)</f>
        <v>4364830</v>
      </c>
      <c r="Z53" s="69"/>
    </row>
    <row r="54" spans="1:26">
      <c r="A54" s="114">
        <f>+A53</f>
        <v>2018002</v>
      </c>
      <c r="B54" s="74"/>
      <c r="C54" s="642"/>
      <c r="D54" s="645"/>
      <c r="E54" s="645"/>
      <c r="F54" s="645"/>
      <c r="G54" s="645"/>
      <c r="H54" s="648"/>
      <c r="I54" s="648"/>
      <c r="J54" s="629"/>
      <c r="K54" s="151" t="s">
        <v>24</v>
      </c>
      <c r="L54" s="343">
        <v>369605</v>
      </c>
      <c r="M54" s="297">
        <v>338850</v>
      </c>
      <c r="N54" s="297">
        <v>359570</v>
      </c>
      <c r="O54" s="297">
        <v>380275</v>
      </c>
      <c r="P54" s="297">
        <v>320025</v>
      </c>
      <c r="Q54" s="297">
        <v>378410</v>
      </c>
      <c r="R54" s="297">
        <v>486705</v>
      </c>
      <c r="S54" s="297">
        <v>302500</v>
      </c>
      <c r="T54" s="297">
        <v>353945</v>
      </c>
      <c r="U54" s="297">
        <v>365850</v>
      </c>
      <c r="V54" s="297">
        <v>339490</v>
      </c>
      <c r="W54" s="91">
        <v>369605</v>
      </c>
      <c r="X54" s="58">
        <f t="shared" si="29"/>
        <v>4364830</v>
      </c>
      <c r="Y54" s="69"/>
      <c r="Z54" s="69"/>
    </row>
    <row r="55" spans="1:26">
      <c r="A55" s="114">
        <f>+A54</f>
        <v>2018002</v>
      </c>
      <c r="B55" s="74"/>
      <c r="C55" s="642"/>
      <c r="D55" s="645"/>
      <c r="E55" s="645"/>
      <c r="F55" s="645"/>
      <c r="G55" s="645"/>
      <c r="H55" s="648"/>
      <c r="I55" s="648"/>
      <c r="J55" s="629"/>
      <c r="K55" s="151" t="s">
        <v>25</v>
      </c>
      <c r="L55" s="354"/>
      <c r="M55" s="297"/>
      <c r="N55" s="297"/>
      <c r="O55" s="297"/>
      <c r="P55" s="297"/>
      <c r="Q55" s="297"/>
      <c r="R55" s="297"/>
      <c r="S55" s="297"/>
      <c r="T55" s="297"/>
      <c r="U55" s="297"/>
      <c r="V55" s="297"/>
      <c r="W55" s="217"/>
      <c r="X55" s="58">
        <f t="shared" si="29"/>
        <v>0</v>
      </c>
      <c r="Y55" s="69"/>
      <c r="Z55" s="69"/>
    </row>
    <row r="56" spans="1:26">
      <c r="A56" s="114">
        <f t="shared" ref="A56:A63" si="30">+A55</f>
        <v>2018002</v>
      </c>
      <c r="B56" s="74"/>
      <c r="C56" s="642"/>
      <c r="D56" s="645"/>
      <c r="E56" s="645"/>
      <c r="F56" s="645"/>
      <c r="G56" s="645"/>
      <c r="H56" s="648"/>
      <c r="I56" s="648"/>
      <c r="J56" s="629"/>
      <c r="K56" s="183" t="s">
        <v>26</v>
      </c>
      <c r="L56" s="355">
        <f t="shared" ref="L56:W56" si="31">SUM(L57:L63)</f>
        <v>345856</v>
      </c>
      <c r="M56" s="411">
        <f t="shared" si="31"/>
        <v>322974</v>
      </c>
      <c r="N56" s="411">
        <f t="shared" si="31"/>
        <v>346239</v>
      </c>
      <c r="O56" s="411">
        <f t="shared" si="31"/>
        <v>351436</v>
      </c>
      <c r="P56" s="411">
        <f t="shared" si="31"/>
        <v>319013</v>
      </c>
      <c r="Q56" s="411">
        <f t="shared" si="31"/>
        <v>344455</v>
      </c>
      <c r="R56" s="411">
        <f t="shared" si="31"/>
        <v>417536</v>
      </c>
      <c r="S56" s="411">
        <f t="shared" si="31"/>
        <v>325727</v>
      </c>
      <c r="T56" s="411">
        <f t="shared" si="31"/>
        <v>351416</v>
      </c>
      <c r="U56" s="411">
        <f t="shared" si="31"/>
        <v>323168</v>
      </c>
      <c r="V56" s="411">
        <f t="shared" si="31"/>
        <v>316345</v>
      </c>
      <c r="W56" s="218">
        <f t="shared" si="31"/>
        <v>345856</v>
      </c>
      <c r="X56" s="59">
        <f t="shared" si="29"/>
        <v>4110021</v>
      </c>
      <c r="Y56" s="69"/>
      <c r="Z56" s="69"/>
    </row>
    <row r="57" spans="1:26">
      <c r="A57" s="114">
        <f t="shared" si="30"/>
        <v>2018002</v>
      </c>
      <c r="B57" s="74"/>
      <c r="C57" s="642"/>
      <c r="D57" s="645"/>
      <c r="E57" s="645"/>
      <c r="F57" s="645"/>
      <c r="G57" s="645"/>
      <c r="H57" s="648"/>
      <c r="I57" s="648"/>
      <c r="J57" s="629"/>
      <c r="K57" s="184" t="s">
        <v>27</v>
      </c>
      <c r="L57" s="343">
        <v>277394</v>
      </c>
      <c r="M57" s="297">
        <v>256750</v>
      </c>
      <c r="N57" s="297">
        <v>283293</v>
      </c>
      <c r="O57" s="297">
        <v>283756</v>
      </c>
      <c r="P57" s="297">
        <v>256350</v>
      </c>
      <c r="Q57" s="297">
        <v>282897</v>
      </c>
      <c r="R57" s="297">
        <v>356779</v>
      </c>
      <c r="S57" s="297">
        <v>269044</v>
      </c>
      <c r="T57" s="297">
        <v>291346</v>
      </c>
      <c r="U57" s="297">
        <v>261832</v>
      </c>
      <c r="V57" s="297">
        <v>258018</v>
      </c>
      <c r="W57" s="91">
        <v>277394</v>
      </c>
      <c r="X57" s="58">
        <f t="shared" si="29"/>
        <v>3354853</v>
      </c>
      <c r="Y57" s="69"/>
      <c r="Z57" s="69"/>
    </row>
    <row r="58" spans="1:26">
      <c r="A58" s="114">
        <f t="shared" si="30"/>
        <v>2018002</v>
      </c>
      <c r="B58" s="74"/>
      <c r="C58" s="642"/>
      <c r="D58" s="645"/>
      <c r="E58" s="645"/>
      <c r="F58" s="645"/>
      <c r="G58" s="645"/>
      <c r="H58" s="648"/>
      <c r="I58" s="648"/>
      <c r="J58" s="629"/>
      <c r="K58" s="148" t="s">
        <v>34</v>
      </c>
      <c r="L58" s="343"/>
      <c r="M58" s="297"/>
      <c r="N58" s="297"/>
      <c r="O58" s="297"/>
      <c r="P58" s="297"/>
      <c r="Q58" s="297"/>
      <c r="R58" s="297"/>
      <c r="S58" s="297"/>
      <c r="T58" s="297"/>
      <c r="U58" s="297"/>
      <c r="V58" s="297"/>
      <c r="W58" s="91"/>
      <c r="X58" s="58">
        <f t="shared" si="29"/>
        <v>0</v>
      </c>
      <c r="Y58" s="69"/>
      <c r="Z58" s="69"/>
    </row>
    <row r="59" spans="1:26">
      <c r="A59" s="114">
        <f t="shared" si="30"/>
        <v>2018002</v>
      </c>
      <c r="B59" s="74"/>
      <c r="C59" s="642"/>
      <c r="D59" s="645"/>
      <c r="E59" s="645"/>
      <c r="F59" s="645"/>
      <c r="G59" s="645"/>
      <c r="H59" s="648"/>
      <c r="I59" s="648"/>
      <c r="J59" s="629"/>
      <c r="K59" s="184" t="s">
        <v>28</v>
      </c>
      <c r="L59" s="343">
        <v>18000</v>
      </c>
      <c r="M59" s="297">
        <v>16000</v>
      </c>
      <c r="N59" s="297">
        <v>12480</v>
      </c>
      <c r="O59" s="297">
        <v>17160</v>
      </c>
      <c r="P59" s="297">
        <v>12480</v>
      </c>
      <c r="Q59" s="297">
        <v>14040</v>
      </c>
      <c r="R59" s="297">
        <v>12480</v>
      </c>
      <c r="S59" s="297">
        <v>9360</v>
      </c>
      <c r="T59" s="297">
        <v>12480</v>
      </c>
      <c r="U59" s="297">
        <v>14040</v>
      </c>
      <c r="V59" s="297">
        <v>10920</v>
      </c>
      <c r="W59" s="91">
        <v>18000</v>
      </c>
      <c r="X59" s="58">
        <f t="shared" si="29"/>
        <v>167440</v>
      </c>
      <c r="Y59" s="69"/>
      <c r="Z59" s="69"/>
    </row>
    <row r="60" spans="1:26">
      <c r="A60" s="114">
        <f t="shared" si="30"/>
        <v>2018002</v>
      </c>
      <c r="B60" s="74"/>
      <c r="C60" s="642"/>
      <c r="D60" s="645"/>
      <c r="E60" s="645"/>
      <c r="F60" s="645"/>
      <c r="G60" s="645"/>
      <c r="H60" s="648"/>
      <c r="I60" s="648"/>
      <c r="J60" s="629"/>
      <c r="K60" s="184" t="s">
        <v>29</v>
      </c>
      <c r="L60" s="343">
        <v>18080</v>
      </c>
      <c r="M60" s="297">
        <v>18080</v>
      </c>
      <c r="N60" s="297">
        <v>18080</v>
      </c>
      <c r="O60" s="297">
        <v>18080</v>
      </c>
      <c r="P60" s="297">
        <v>18080</v>
      </c>
      <c r="Q60" s="297">
        <v>16950</v>
      </c>
      <c r="R60" s="297">
        <v>16950</v>
      </c>
      <c r="S60" s="297">
        <v>16950</v>
      </c>
      <c r="T60" s="297">
        <v>16950</v>
      </c>
      <c r="U60" s="297">
        <v>16950</v>
      </c>
      <c r="V60" s="297">
        <v>16950</v>
      </c>
      <c r="W60" s="91">
        <v>18080</v>
      </c>
      <c r="X60" s="58">
        <f t="shared" si="29"/>
        <v>210180</v>
      </c>
      <c r="Y60" s="69"/>
      <c r="Z60" s="69"/>
    </row>
    <row r="61" spans="1:26">
      <c r="A61" s="114">
        <f t="shared" si="30"/>
        <v>2018002</v>
      </c>
      <c r="B61" s="74"/>
      <c r="C61" s="642"/>
      <c r="D61" s="645"/>
      <c r="E61" s="645"/>
      <c r="F61" s="645"/>
      <c r="G61" s="645"/>
      <c r="H61" s="648"/>
      <c r="I61" s="648"/>
      <c r="J61" s="629"/>
      <c r="K61" s="184" t="s">
        <v>30</v>
      </c>
      <c r="L61" s="343">
        <v>29280</v>
      </c>
      <c r="M61" s="297">
        <v>29280</v>
      </c>
      <c r="N61" s="297">
        <v>29280</v>
      </c>
      <c r="O61" s="297">
        <v>29280</v>
      </c>
      <c r="P61" s="297">
        <v>29280</v>
      </c>
      <c r="Q61" s="297">
        <v>27450</v>
      </c>
      <c r="R61" s="297">
        <v>27450</v>
      </c>
      <c r="S61" s="297">
        <v>27450</v>
      </c>
      <c r="T61" s="297">
        <v>27450</v>
      </c>
      <c r="U61" s="297">
        <v>27450</v>
      </c>
      <c r="V61" s="297">
        <v>27450</v>
      </c>
      <c r="W61" s="91">
        <v>29280</v>
      </c>
      <c r="X61" s="58">
        <f t="shared" si="29"/>
        <v>340380</v>
      </c>
      <c r="Y61" s="69"/>
      <c r="Z61" s="69"/>
    </row>
    <row r="62" spans="1:26">
      <c r="A62" s="114">
        <f t="shared" si="30"/>
        <v>2018002</v>
      </c>
      <c r="B62" s="74"/>
      <c r="C62" s="642"/>
      <c r="D62" s="645"/>
      <c r="E62" s="645"/>
      <c r="F62" s="645"/>
      <c r="G62" s="645"/>
      <c r="H62" s="648"/>
      <c r="I62" s="648"/>
      <c r="J62" s="629"/>
      <c r="K62" s="184" t="s">
        <v>31</v>
      </c>
      <c r="L62" s="343">
        <v>1477</v>
      </c>
      <c r="M62" s="297">
        <v>1364</v>
      </c>
      <c r="N62" s="297">
        <v>1479</v>
      </c>
      <c r="O62" s="297">
        <v>1505</v>
      </c>
      <c r="P62" s="297">
        <v>1344</v>
      </c>
      <c r="Q62" s="297">
        <v>1485</v>
      </c>
      <c r="R62" s="297">
        <v>1846</v>
      </c>
      <c r="S62" s="297">
        <v>1392</v>
      </c>
      <c r="T62" s="297">
        <v>1519</v>
      </c>
      <c r="U62" s="297">
        <v>1379</v>
      </c>
      <c r="V62" s="297">
        <v>1432</v>
      </c>
      <c r="W62" s="91">
        <v>1477</v>
      </c>
      <c r="X62" s="58">
        <f t="shared" si="29"/>
        <v>17699</v>
      </c>
      <c r="Y62" s="69"/>
      <c r="Z62" s="69"/>
    </row>
    <row r="63" spans="1:26">
      <c r="A63" s="114">
        <f t="shared" si="30"/>
        <v>2018002</v>
      </c>
      <c r="B63" s="74"/>
      <c r="C63" s="642"/>
      <c r="D63" s="645"/>
      <c r="E63" s="645"/>
      <c r="F63" s="645"/>
      <c r="G63" s="645"/>
      <c r="H63" s="648"/>
      <c r="I63" s="648"/>
      <c r="J63" s="629"/>
      <c r="K63" s="184" t="s">
        <v>32</v>
      </c>
      <c r="L63" s="343">
        <v>1625</v>
      </c>
      <c r="M63" s="297">
        <v>1500</v>
      </c>
      <c r="N63" s="297">
        <v>1627</v>
      </c>
      <c r="O63" s="297">
        <v>1655</v>
      </c>
      <c r="P63" s="297">
        <v>1479</v>
      </c>
      <c r="Q63" s="297">
        <v>1633</v>
      </c>
      <c r="R63" s="297">
        <v>2031</v>
      </c>
      <c r="S63" s="297">
        <v>1531</v>
      </c>
      <c r="T63" s="297">
        <v>1671</v>
      </c>
      <c r="U63" s="297">
        <v>1517</v>
      </c>
      <c r="V63" s="297">
        <v>1575</v>
      </c>
      <c r="W63" s="91">
        <v>1625</v>
      </c>
      <c r="X63" s="58">
        <f t="shared" si="29"/>
        <v>19469</v>
      </c>
      <c r="Y63" s="69"/>
      <c r="Z63" s="69"/>
    </row>
    <row r="64" spans="1:26">
      <c r="A64" s="114">
        <f>+A63</f>
        <v>2018002</v>
      </c>
      <c r="B64" s="74"/>
      <c r="C64" s="654"/>
      <c r="D64" s="655"/>
      <c r="E64" s="655"/>
      <c r="F64" s="655"/>
      <c r="G64" s="655"/>
      <c r="H64" s="652"/>
      <c r="I64" s="652"/>
      <c r="J64" s="630"/>
      <c r="K64" s="152" t="s">
        <v>33</v>
      </c>
      <c r="L64" s="356">
        <f t="shared" ref="L64:X64" si="32">L53-L56</f>
        <v>23749</v>
      </c>
      <c r="M64" s="412">
        <f t="shared" si="32"/>
        <v>15876</v>
      </c>
      <c r="N64" s="412">
        <f t="shared" si="32"/>
        <v>13331</v>
      </c>
      <c r="O64" s="412">
        <f t="shared" si="32"/>
        <v>28839</v>
      </c>
      <c r="P64" s="412">
        <f t="shared" si="32"/>
        <v>1012</v>
      </c>
      <c r="Q64" s="412">
        <f t="shared" si="32"/>
        <v>33955</v>
      </c>
      <c r="R64" s="412">
        <f t="shared" si="32"/>
        <v>69169</v>
      </c>
      <c r="S64" s="412">
        <f t="shared" si="32"/>
        <v>-23227</v>
      </c>
      <c r="T64" s="412">
        <f t="shared" si="32"/>
        <v>2529</v>
      </c>
      <c r="U64" s="412">
        <f t="shared" si="32"/>
        <v>42682</v>
      </c>
      <c r="V64" s="412">
        <f t="shared" si="32"/>
        <v>23145</v>
      </c>
      <c r="W64" s="219">
        <f t="shared" si="32"/>
        <v>23749</v>
      </c>
      <c r="X64" s="43">
        <f t="shared" si="32"/>
        <v>254809</v>
      </c>
      <c r="Y64" s="69"/>
      <c r="Z64" s="69"/>
    </row>
    <row r="65" spans="1:26" ht="12.75" customHeight="1">
      <c r="A65" s="113">
        <v>2025011</v>
      </c>
      <c r="C65" s="642">
        <f t="shared" ref="C65" si="33">C53+1</f>
        <v>6</v>
      </c>
      <c r="D65" s="645" t="s">
        <v>94</v>
      </c>
      <c r="E65" s="645"/>
      <c r="F65" s="645"/>
      <c r="G65" s="645" t="s">
        <v>99</v>
      </c>
      <c r="H65" s="648"/>
      <c r="I65" s="648" t="s">
        <v>81</v>
      </c>
      <c r="J65" s="629" t="s">
        <v>174</v>
      </c>
      <c r="K65" s="490" t="s">
        <v>23</v>
      </c>
      <c r="L65" s="357">
        <f t="shared" ref="L65:W65" si="34">L66+L67</f>
        <v>0</v>
      </c>
      <c r="M65" s="413">
        <f t="shared" si="34"/>
        <v>0</v>
      </c>
      <c r="N65" s="413">
        <f t="shared" si="34"/>
        <v>0</v>
      </c>
      <c r="O65" s="413">
        <f t="shared" si="34"/>
        <v>0</v>
      </c>
      <c r="P65" s="413">
        <f t="shared" si="34"/>
        <v>240000</v>
      </c>
      <c r="Q65" s="413">
        <f t="shared" si="34"/>
        <v>270000</v>
      </c>
      <c r="R65" s="413">
        <f t="shared" si="34"/>
        <v>278000</v>
      </c>
      <c r="S65" s="413">
        <f t="shared" si="34"/>
        <v>280000</v>
      </c>
      <c r="T65" s="413">
        <f t="shared" si="34"/>
        <v>150000</v>
      </c>
      <c r="U65" s="413">
        <f t="shared" si="34"/>
        <v>240000</v>
      </c>
      <c r="V65" s="413">
        <f t="shared" si="34"/>
        <v>246000</v>
      </c>
      <c r="W65" s="491">
        <f t="shared" si="34"/>
        <v>240000</v>
      </c>
      <c r="X65" s="42">
        <f t="shared" ref="X65:X75" si="35">SUM(L65:W65)</f>
        <v>1944000</v>
      </c>
      <c r="Z65" s="69"/>
    </row>
    <row r="66" spans="1:26">
      <c r="A66" s="114">
        <f>+A65</f>
        <v>2025011</v>
      </c>
      <c r="B66" s="74">
        <f>+B65</f>
        <v>0</v>
      </c>
      <c r="C66" s="642"/>
      <c r="D66" s="645"/>
      <c r="E66" s="645"/>
      <c r="F66" s="645"/>
      <c r="G66" s="645"/>
      <c r="H66" s="648"/>
      <c r="I66" s="648"/>
      <c r="J66" s="629"/>
      <c r="K66" s="151" t="s">
        <v>24</v>
      </c>
      <c r="L66" s="343"/>
      <c r="M66" s="297"/>
      <c r="N66" s="297"/>
      <c r="O66" s="297"/>
      <c r="P66" s="297">
        <v>240000</v>
      </c>
      <c r="Q66" s="297">
        <v>270000</v>
      </c>
      <c r="R66" s="297">
        <v>278000</v>
      </c>
      <c r="S66" s="297">
        <v>280000</v>
      </c>
      <c r="T66" s="297">
        <v>150000</v>
      </c>
      <c r="U66" s="297">
        <v>240000</v>
      </c>
      <c r="V66" s="297">
        <v>246000</v>
      </c>
      <c r="W66" s="91">
        <f t="shared" ref="W66" si="36">4000*60</f>
        <v>240000</v>
      </c>
      <c r="X66" s="58">
        <f t="shared" si="35"/>
        <v>1944000</v>
      </c>
      <c r="Y66" s="69"/>
      <c r="Z66" s="69"/>
    </row>
    <row r="67" spans="1:26">
      <c r="A67" s="114">
        <f>+A66</f>
        <v>2025011</v>
      </c>
      <c r="B67" s="74">
        <f t="shared" ref="B67:B75" si="37">+B66</f>
        <v>0</v>
      </c>
      <c r="C67" s="642"/>
      <c r="D67" s="645"/>
      <c r="E67" s="645"/>
      <c r="F67" s="645"/>
      <c r="G67" s="645"/>
      <c r="H67" s="648"/>
      <c r="I67" s="648"/>
      <c r="J67" s="629"/>
      <c r="K67" s="151" t="s">
        <v>25</v>
      </c>
      <c r="L67" s="354"/>
      <c r="M67" s="297"/>
      <c r="N67" s="297"/>
      <c r="O67" s="297"/>
      <c r="P67" s="297"/>
      <c r="Q67" s="297"/>
      <c r="R67" s="297"/>
      <c r="S67" s="297"/>
      <c r="T67" s="297"/>
      <c r="U67" s="297"/>
      <c r="V67" s="297"/>
      <c r="W67" s="217"/>
      <c r="X67" s="58">
        <f t="shared" si="35"/>
        <v>0</v>
      </c>
      <c r="Y67" s="69"/>
      <c r="Z67" s="69"/>
    </row>
    <row r="68" spans="1:26">
      <c r="A68" s="114">
        <f t="shared" ref="A68:A75" si="38">+A67</f>
        <v>2025011</v>
      </c>
      <c r="B68" s="74">
        <f t="shared" si="37"/>
        <v>0</v>
      </c>
      <c r="C68" s="642"/>
      <c r="D68" s="645"/>
      <c r="E68" s="645"/>
      <c r="F68" s="645"/>
      <c r="G68" s="645"/>
      <c r="H68" s="648"/>
      <c r="I68" s="648"/>
      <c r="J68" s="629"/>
      <c r="K68" s="183" t="s">
        <v>26</v>
      </c>
      <c r="L68" s="355">
        <f t="shared" ref="L68:W68" si="39">SUM(L69:L75)</f>
        <v>0</v>
      </c>
      <c r="M68" s="411">
        <f t="shared" si="39"/>
        <v>0</v>
      </c>
      <c r="N68" s="411">
        <f t="shared" si="39"/>
        <v>0</v>
      </c>
      <c r="O68" s="411">
        <f t="shared" si="39"/>
        <v>0</v>
      </c>
      <c r="P68" s="411">
        <f t="shared" si="39"/>
        <v>158860</v>
      </c>
      <c r="Q68" s="411">
        <f t="shared" si="39"/>
        <v>180707</v>
      </c>
      <c r="R68" s="411">
        <f t="shared" si="39"/>
        <v>180217</v>
      </c>
      <c r="S68" s="411">
        <f t="shared" si="39"/>
        <v>182644</v>
      </c>
      <c r="T68" s="411">
        <f t="shared" si="39"/>
        <v>101016</v>
      </c>
      <c r="U68" s="411">
        <f t="shared" si="39"/>
        <v>155720</v>
      </c>
      <c r="V68" s="411">
        <f t="shared" si="39"/>
        <v>156018</v>
      </c>
      <c r="W68" s="218">
        <f t="shared" si="39"/>
        <v>170790</v>
      </c>
      <c r="X68" s="59">
        <f t="shared" si="35"/>
        <v>1285972</v>
      </c>
      <c r="Y68" s="69"/>
      <c r="Z68" s="69"/>
    </row>
    <row r="69" spans="1:26">
      <c r="A69" s="114">
        <f t="shared" si="38"/>
        <v>2025011</v>
      </c>
      <c r="B69" s="74">
        <f t="shared" si="37"/>
        <v>0</v>
      </c>
      <c r="C69" s="642"/>
      <c r="D69" s="645"/>
      <c r="E69" s="645"/>
      <c r="F69" s="645"/>
      <c r="G69" s="645"/>
      <c r="H69" s="648"/>
      <c r="I69" s="648"/>
      <c r="J69" s="629"/>
      <c r="K69" s="184" t="s">
        <v>27</v>
      </c>
      <c r="L69" s="343"/>
      <c r="M69" s="297"/>
      <c r="N69" s="297"/>
      <c r="O69" s="297"/>
      <c r="P69" s="297">
        <v>153750</v>
      </c>
      <c r="Q69" s="297">
        <v>175488</v>
      </c>
      <c r="R69" s="297">
        <v>175000</v>
      </c>
      <c r="S69" s="297">
        <v>176875</v>
      </c>
      <c r="T69" s="297">
        <v>97813</v>
      </c>
      <c r="U69" s="297">
        <v>150625</v>
      </c>
      <c r="V69" s="297">
        <v>151375</v>
      </c>
      <c r="W69" s="91">
        <f t="shared" ref="W69" si="40">2500*60</f>
        <v>150000</v>
      </c>
      <c r="X69" s="58">
        <f t="shared" si="35"/>
        <v>1230926</v>
      </c>
      <c r="Y69" s="69"/>
      <c r="Z69" s="69"/>
    </row>
    <row r="70" spans="1:26">
      <c r="A70" s="114">
        <f t="shared" si="38"/>
        <v>2025011</v>
      </c>
      <c r="B70" s="74">
        <f t="shared" si="37"/>
        <v>0</v>
      </c>
      <c r="C70" s="642"/>
      <c r="D70" s="645"/>
      <c r="E70" s="645"/>
      <c r="F70" s="645"/>
      <c r="G70" s="645"/>
      <c r="H70" s="648"/>
      <c r="I70" s="648"/>
      <c r="J70" s="629"/>
      <c r="K70" s="148" t="s">
        <v>34</v>
      </c>
      <c r="L70" s="343"/>
      <c r="M70" s="297"/>
      <c r="N70" s="297"/>
      <c r="O70" s="297"/>
      <c r="P70" s="297"/>
      <c r="Q70" s="297"/>
      <c r="R70" s="297"/>
      <c r="S70" s="297"/>
      <c r="T70" s="297"/>
      <c r="U70" s="297"/>
      <c r="V70" s="297"/>
      <c r="W70" s="91"/>
      <c r="X70" s="58">
        <f t="shared" si="35"/>
        <v>0</v>
      </c>
      <c r="Y70" s="69"/>
      <c r="Z70" s="69"/>
    </row>
    <row r="71" spans="1:26">
      <c r="A71" s="114">
        <f t="shared" si="38"/>
        <v>2025011</v>
      </c>
      <c r="B71" s="74">
        <f t="shared" si="37"/>
        <v>0</v>
      </c>
      <c r="C71" s="642"/>
      <c r="D71" s="645"/>
      <c r="E71" s="645"/>
      <c r="F71" s="645"/>
      <c r="G71" s="645"/>
      <c r="H71" s="648"/>
      <c r="I71" s="648"/>
      <c r="J71" s="629"/>
      <c r="K71" s="184" t="s">
        <v>28</v>
      </c>
      <c r="L71" s="343"/>
      <c r="M71" s="297"/>
      <c r="N71" s="297"/>
      <c r="O71" s="297"/>
      <c r="P71" s="297">
        <v>4320</v>
      </c>
      <c r="Q71" s="297">
        <v>4320</v>
      </c>
      <c r="R71" s="297">
        <v>4320</v>
      </c>
      <c r="S71" s="297">
        <v>4860</v>
      </c>
      <c r="T71" s="297">
        <v>2700</v>
      </c>
      <c r="U71" s="297">
        <v>4320</v>
      </c>
      <c r="V71" s="297">
        <v>3780</v>
      </c>
      <c r="W71" s="91">
        <v>20000</v>
      </c>
      <c r="X71" s="58">
        <f t="shared" si="35"/>
        <v>48620</v>
      </c>
      <c r="Y71" s="69"/>
      <c r="Z71" s="69"/>
    </row>
    <row r="72" spans="1:26">
      <c r="A72" s="114">
        <f t="shared" si="38"/>
        <v>2025011</v>
      </c>
      <c r="B72" s="74">
        <f t="shared" si="37"/>
        <v>0</v>
      </c>
      <c r="C72" s="642"/>
      <c r="D72" s="645"/>
      <c r="E72" s="645"/>
      <c r="F72" s="645"/>
      <c r="G72" s="645"/>
      <c r="H72" s="648"/>
      <c r="I72" s="648"/>
      <c r="J72" s="629"/>
      <c r="K72" s="184" t="s">
        <v>29</v>
      </c>
      <c r="L72" s="343"/>
      <c r="M72" s="297"/>
      <c r="N72" s="297"/>
      <c r="O72" s="297"/>
      <c r="P72" s="297"/>
      <c r="Q72" s="297"/>
      <c r="R72" s="297"/>
      <c r="S72" s="297"/>
      <c r="T72" s="297"/>
      <c r="U72" s="297"/>
      <c r="V72" s="297"/>
      <c r="W72" s="91"/>
      <c r="X72" s="58">
        <f t="shared" si="35"/>
        <v>0</v>
      </c>
      <c r="Y72" s="69"/>
      <c r="Z72" s="69"/>
    </row>
    <row r="73" spans="1:26">
      <c r="A73" s="114">
        <f t="shared" si="38"/>
        <v>2025011</v>
      </c>
      <c r="B73" s="74">
        <f t="shared" si="37"/>
        <v>0</v>
      </c>
      <c r="C73" s="642"/>
      <c r="D73" s="645"/>
      <c r="E73" s="645"/>
      <c r="F73" s="645"/>
      <c r="G73" s="645"/>
      <c r="H73" s="648"/>
      <c r="I73" s="648"/>
      <c r="J73" s="629"/>
      <c r="K73" s="184" t="s">
        <v>30</v>
      </c>
      <c r="L73" s="343"/>
      <c r="M73" s="297"/>
      <c r="N73" s="297"/>
      <c r="O73" s="297"/>
      <c r="P73" s="297"/>
      <c r="Q73" s="297"/>
      <c r="R73" s="297"/>
      <c r="S73" s="297"/>
      <c r="T73" s="297"/>
      <c r="U73" s="297"/>
      <c r="V73" s="297"/>
      <c r="W73" s="91"/>
      <c r="X73" s="58">
        <f t="shared" si="35"/>
        <v>0</v>
      </c>
      <c r="Y73" s="69"/>
      <c r="Z73" s="69"/>
    </row>
    <row r="74" spans="1:26">
      <c r="A74" s="114">
        <f t="shared" si="38"/>
        <v>2025011</v>
      </c>
      <c r="B74" s="74">
        <f t="shared" si="37"/>
        <v>0</v>
      </c>
      <c r="C74" s="642"/>
      <c r="D74" s="645"/>
      <c r="E74" s="645"/>
      <c r="F74" s="645"/>
      <c r="G74" s="645"/>
      <c r="H74" s="648"/>
      <c r="I74" s="648"/>
      <c r="J74" s="629"/>
      <c r="K74" s="184" t="s">
        <v>31</v>
      </c>
      <c r="L74" s="343"/>
      <c r="M74" s="297"/>
      <c r="N74" s="297"/>
      <c r="O74" s="297"/>
      <c r="P74" s="297">
        <v>790</v>
      </c>
      <c r="Q74" s="297">
        <v>899</v>
      </c>
      <c r="R74" s="297">
        <v>897</v>
      </c>
      <c r="S74" s="297">
        <v>909</v>
      </c>
      <c r="T74" s="297">
        <v>503</v>
      </c>
      <c r="U74" s="297">
        <v>775</v>
      </c>
      <c r="V74" s="297">
        <v>863</v>
      </c>
      <c r="W74" s="91">
        <v>790</v>
      </c>
      <c r="X74" s="58">
        <f t="shared" si="35"/>
        <v>6426</v>
      </c>
      <c r="Y74" s="69"/>
      <c r="Z74" s="69"/>
    </row>
    <row r="75" spans="1:26">
      <c r="A75" s="114">
        <f t="shared" si="38"/>
        <v>2025011</v>
      </c>
      <c r="B75" s="74">
        <f t="shared" si="37"/>
        <v>0</v>
      </c>
      <c r="C75" s="642"/>
      <c r="D75" s="645"/>
      <c r="E75" s="645"/>
      <c r="F75" s="645"/>
      <c r="G75" s="645"/>
      <c r="H75" s="648"/>
      <c r="I75" s="648"/>
      <c r="J75" s="629"/>
      <c r="K75" s="184" t="s">
        <v>32</v>
      </c>
      <c r="L75" s="343"/>
      <c r="M75" s="297"/>
      <c r="N75" s="297"/>
      <c r="O75" s="297"/>
      <c r="P75" s="297"/>
      <c r="Q75" s="297"/>
      <c r="R75" s="297"/>
      <c r="S75" s="297"/>
      <c r="T75" s="297"/>
      <c r="U75" s="297"/>
      <c r="V75" s="297"/>
      <c r="W75" s="91"/>
      <c r="X75" s="58">
        <f t="shared" si="35"/>
        <v>0</v>
      </c>
      <c r="Y75" s="69"/>
      <c r="Z75" s="69"/>
    </row>
    <row r="76" spans="1:26" ht="12.5" thickBot="1">
      <c r="A76" s="114">
        <f>+A75</f>
        <v>2025011</v>
      </c>
      <c r="B76" s="74">
        <f>+B75</f>
        <v>0</v>
      </c>
      <c r="C76" s="643"/>
      <c r="D76" s="646"/>
      <c r="E76" s="646"/>
      <c r="F76" s="646"/>
      <c r="G76" s="646"/>
      <c r="H76" s="649"/>
      <c r="I76" s="649"/>
      <c r="J76" s="631"/>
      <c r="K76" s="236" t="s">
        <v>33</v>
      </c>
      <c r="L76" s="358">
        <f t="shared" ref="L76:X76" si="41">L65-L68</f>
        <v>0</v>
      </c>
      <c r="M76" s="417">
        <f t="shared" si="41"/>
        <v>0</v>
      </c>
      <c r="N76" s="417">
        <f t="shared" si="41"/>
        <v>0</v>
      </c>
      <c r="O76" s="417">
        <f t="shared" si="41"/>
        <v>0</v>
      </c>
      <c r="P76" s="417">
        <f t="shared" si="41"/>
        <v>81140</v>
      </c>
      <c r="Q76" s="417">
        <f t="shared" si="41"/>
        <v>89293</v>
      </c>
      <c r="R76" s="417">
        <f t="shared" si="41"/>
        <v>97783</v>
      </c>
      <c r="S76" s="417">
        <f t="shared" si="41"/>
        <v>97356</v>
      </c>
      <c r="T76" s="417">
        <f t="shared" si="41"/>
        <v>48984</v>
      </c>
      <c r="U76" s="417">
        <f t="shared" si="41"/>
        <v>84280</v>
      </c>
      <c r="V76" s="417">
        <f t="shared" si="41"/>
        <v>89982</v>
      </c>
      <c r="W76" s="224">
        <f t="shared" si="41"/>
        <v>69210</v>
      </c>
      <c r="X76" s="78">
        <f t="shared" si="41"/>
        <v>658028</v>
      </c>
      <c r="Y76" s="69"/>
      <c r="Z76" s="69"/>
    </row>
    <row r="77" spans="1:26" s="1" customFormat="1" ht="12.5" thickTop="1">
      <c r="A77" s="112"/>
      <c r="B77" s="72"/>
      <c r="C77" s="656" t="str">
        <f>C2</f>
        <v>中部支店</v>
      </c>
      <c r="D77" s="657"/>
      <c r="E77" s="657"/>
      <c r="F77" s="657"/>
      <c r="G77" s="657"/>
      <c r="H77" s="657"/>
      <c r="I77" s="657"/>
      <c r="J77" s="658"/>
      <c r="K77" s="143" t="s">
        <v>20</v>
      </c>
      <c r="L77" s="359">
        <f>L5+L17+L29+L41+L53+L65</f>
        <v>1698395</v>
      </c>
      <c r="M77" s="462">
        <f t="shared" ref="M77:W77" si="42">M5+M17+M29+M41+M53+M65</f>
        <v>1685881</v>
      </c>
      <c r="N77" s="462">
        <f t="shared" si="42"/>
        <v>1455725</v>
      </c>
      <c r="O77" s="462">
        <f t="shared" si="42"/>
        <v>1459990</v>
      </c>
      <c r="P77" s="462">
        <f t="shared" si="42"/>
        <v>1491335</v>
      </c>
      <c r="Q77" s="418">
        <f t="shared" si="42"/>
        <v>1675136</v>
      </c>
      <c r="R77" s="418">
        <f t="shared" si="42"/>
        <v>1792152</v>
      </c>
      <c r="S77" s="418">
        <f t="shared" si="42"/>
        <v>1446616</v>
      </c>
      <c r="T77" s="418">
        <f t="shared" si="42"/>
        <v>1458667</v>
      </c>
      <c r="U77" s="418">
        <f t="shared" si="42"/>
        <v>1425246</v>
      </c>
      <c r="V77" s="418">
        <f t="shared" si="42"/>
        <v>1347760</v>
      </c>
      <c r="W77" s="260">
        <f t="shared" si="42"/>
        <v>1672645</v>
      </c>
      <c r="X77" s="77">
        <f t="shared" ref="X77:X82" si="43">SUM(L77:W77)</f>
        <v>18609548</v>
      </c>
      <c r="Y77" s="69"/>
      <c r="Z77" s="69"/>
    </row>
    <row r="78" spans="1:26" s="1" customFormat="1">
      <c r="A78" s="112"/>
      <c r="B78" s="72"/>
      <c r="C78" s="656"/>
      <c r="D78" s="657"/>
      <c r="E78" s="657"/>
      <c r="F78" s="657"/>
      <c r="G78" s="657"/>
      <c r="H78" s="657"/>
      <c r="I78" s="657"/>
      <c r="J78" s="658"/>
      <c r="K78" s="144" t="s">
        <v>21</v>
      </c>
      <c r="L78" s="360">
        <f>L8+L20+L32+L44+L56+L68</f>
        <v>1446665</v>
      </c>
      <c r="M78" s="350">
        <f t="shared" ref="M78:W78" si="44">M8+M20+M32+M44+M56+M68</f>
        <v>1376574</v>
      </c>
      <c r="N78" s="350">
        <f t="shared" si="44"/>
        <v>1396151</v>
      </c>
      <c r="O78" s="350">
        <f t="shared" si="44"/>
        <v>1256122</v>
      </c>
      <c r="P78" s="350">
        <f t="shared" si="44"/>
        <v>1320368</v>
      </c>
      <c r="Q78" s="419">
        <f t="shared" si="44"/>
        <v>1381883</v>
      </c>
      <c r="R78" s="419">
        <f t="shared" si="44"/>
        <v>1487191</v>
      </c>
      <c r="S78" s="419">
        <f t="shared" si="44"/>
        <v>1288499</v>
      </c>
      <c r="T78" s="419">
        <f t="shared" si="44"/>
        <v>1298874</v>
      </c>
      <c r="U78" s="419">
        <f t="shared" si="44"/>
        <v>1190887</v>
      </c>
      <c r="V78" s="419">
        <f t="shared" si="44"/>
        <v>1167168</v>
      </c>
      <c r="W78" s="261">
        <f t="shared" si="44"/>
        <v>1410043</v>
      </c>
      <c r="X78" s="44">
        <f t="shared" si="43"/>
        <v>16020425</v>
      </c>
      <c r="Y78" s="69"/>
      <c r="Z78" s="69"/>
    </row>
    <row r="79" spans="1:26" s="1" customFormat="1">
      <c r="A79" s="112"/>
      <c r="B79" s="72"/>
      <c r="C79" s="659"/>
      <c r="D79" s="660"/>
      <c r="E79" s="660"/>
      <c r="F79" s="660"/>
      <c r="G79" s="660"/>
      <c r="H79" s="660"/>
      <c r="I79" s="660"/>
      <c r="J79" s="661"/>
      <c r="K79" s="153" t="s">
        <v>22</v>
      </c>
      <c r="L79" s="361">
        <f>L77-L78</f>
        <v>251730</v>
      </c>
      <c r="M79" s="420">
        <f t="shared" ref="M79:W79" si="45">M77-M78</f>
        <v>309307</v>
      </c>
      <c r="N79" s="422">
        <f t="shared" si="45"/>
        <v>59574</v>
      </c>
      <c r="O79" s="420">
        <f t="shared" si="45"/>
        <v>203868</v>
      </c>
      <c r="P79" s="420">
        <f t="shared" si="45"/>
        <v>170967</v>
      </c>
      <c r="Q79" s="420">
        <f t="shared" si="45"/>
        <v>293253</v>
      </c>
      <c r="R79" s="420">
        <f t="shared" si="45"/>
        <v>304961</v>
      </c>
      <c r="S79" s="420">
        <f t="shared" si="45"/>
        <v>158117</v>
      </c>
      <c r="T79" s="420">
        <f t="shared" si="45"/>
        <v>159793</v>
      </c>
      <c r="U79" s="420">
        <f t="shared" si="45"/>
        <v>234359</v>
      </c>
      <c r="V79" s="420">
        <f t="shared" si="45"/>
        <v>180592</v>
      </c>
      <c r="W79" s="82">
        <f t="shared" si="45"/>
        <v>262602</v>
      </c>
      <c r="X79" s="45">
        <f t="shared" si="43"/>
        <v>2589123</v>
      </c>
      <c r="Y79" s="69"/>
      <c r="Z79" s="69"/>
    </row>
    <row r="80" spans="1:26">
      <c r="F80" s="127"/>
      <c r="K80" s="128" t="s">
        <v>74</v>
      </c>
      <c r="L80" s="639">
        <f>SUM(L77:N77)</f>
        <v>4840001</v>
      </c>
      <c r="M80" s="585"/>
      <c r="N80" s="585"/>
      <c r="O80" s="585">
        <f t="shared" ref="O80:O81" si="46">SUM(O77:Q77)</f>
        <v>4626461</v>
      </c>
      <c r="P80" s="585"/>
      <c r="Q80" s="585"/>
      <c r="R80" s="585">
        <f t="shared" ref="R80:R81" si="47">SUM(R77:T77)</f>
        <v>4697435</v>
      </c>
      <c r="S80" s="585"/>
      <c r="T80" s="585"/>
      <c r="U80" s="585">
        <f t="shared" ref="U80:U81" si="48">SUM(U77:W77)</f>
        <v>4445651</v>
      </c>
      <c r="V80" s="585"/>
      <c r="W80" s="662"/>
      <c r="X80" s="34">
        <f t="shared" si="43"/>
        <v>18609548</v>
      </c>
      <c r="Y80" s="69"/>
      <c r="Z80" s="69"/>
    </row>
    <row r="81" spans="6:26">
      <c r="F81" s="127"/>
      <c r="K81" s="130" t="s">
        <v>77</v>
      </c>
      <c r="L81" s="640">
        <f>SUM(L78:N78)</f>
        <v>4219390</v>
      </c>
      <c r="M81" s="589"/>
      <c r="N81" s="589"/>
      <c r="O81" s="589">
        <f t="shared" si="46"/>
        <v>3958373</v>
      </c>
      <c r="P81" s="589"/>
      <c r="Q81" s="589"/>
      <c r="R81" s="589">
        <f t="shared" si="47"/>
        <v>4074564</v>
      </c>
      <c r="S81" s="589"/>
      <c r="T81" s="589"/>
      <c r="U81" s="589">
        <f t="shared" si="48"/>
        <v>3768098</v>
      </c>
      <c r="V81" s="589"/>
      <c r="W81" s="664"/>
      <c r="X81" s="35">
        <f t="shared" si="43"/>
        <v>16020425</v>
      </c>
      <c r="Y81" s="69"/>
      <c r="Z81" s="69"/>
    </row>
    <row r="82" spans="6:26">
      <c r="F82" s="127"/>
      <c r="K82" s="6" t="s">
        <v>75</v>
      </c>
      <c r="L82" s="632">
        <f>SUM(L79:N79)</f>
        <v>620611</v>
      </c>
      <c r="M82" s="571"/>
      <c r="N82" s="571"/>
      <c r="O82" s="571">
        <f>SUM(O79:Q79)</f>
        <v>668088</v>
      </c>
      <c r="P82" s="571"/>
      <c r="Q82" s="571"/>
      <c r="R82" s="571">
        <f>SUM(R79:T79)</f>
        <v>622871</v>
      </c>
      <c r="S82" s="571"/>
      <c r="T82" s="571"/>
      <c r="U82" s="571">
        <f>SUM(U79:W79)</f>
        <v>677553</v>
      </c>
      <c r="V82" s="571"/>
      <c r="W82" s="663"/>
      <c r="X82" s="36">
        <f t="shared" si="43"/>
        <v>2589123</v>
      </c>
      <c r="Z82" s="69"/>
    </row>
    <row r="83" spans="6:26">
      <c r="Z83" s="69"/>
    </row>
    <row r="84" spans="6:26">
      <c r="Z84" s="69"/>
    </row>
    <row r="85" spans="6:26">
      <c r="Z85" s="69"/>
    </row>
    <row r="86" spans="6:26">
      <c r="Z86" s="69"/>
    </row>
    <row r="87" spans="6:26">
      <c r="Z87" s="69"/>
    </row>
    <row r="88" spans="6:26">
      <c r="Z88" s="69"/>
    </row>
    <row r="89" spans="6:26">
      <c r="Z89" s="69"/>
    </row>
    <row r="90" spans="6:26">
      <c r="Z90" s="69"/>
    </row>
    <row r="91" spans="6:26">
      <c r="Z91" s="69"/>
    </row>
    <row r="92" spans="6:26">
      <c r="Z92" s="69"/>
    </row>
    <row r="93" spans="6:26">
      <c r="Z93" s="69"/>
    </row>
    <row r="94" spans="6:26">
      <c r="Z94" s="69"/>
    </row>
    <row r="95" spans="6:26">
      <c r="Z95" s="69"/>
    </row>
    <row r="96" spans="6:26">
      <c r="Z96" s="69"/>
    </row>
    <row r="97" spans="26:26">
      <c r="Z97" s="69"/>
    </row>
    <row r="98" spans="26:26">
      <c r="Z98" s="69"/>
    </row>
    <row r="99" spans="26:26">
      <c r="Z99" s="69"/>
    </row>
    <row r="100" spans="26:26">
      <c r="Z100" s="69"/>
    </row>
    <row r="101" spans="26:26">
      <c r="Z101" s="69"/>
    </row>
    <row r="102" spans="26:26">
      <c r="Z102" s="69"/>
    </row>
    <row r="103" spans="26:26">
      <c r="Z103" s="69"/>
    </row>
    <row r="104" spans="26:26">
      <c r="Z104" s="69"/>
    </row>
    <row r="105" spans="26:26">
      <c r="Z105" s="69"/>
    </row>
    <row r="106" spans="26:26">
      <c r="Z106" s="69"/>
    </row>
    <row r="107" spans="26:26">
      <c r="Z107" s="69"/>
    </row>
    <row r="108" spans="26:26">
      <c r="Z108" s="69"/>
    </row>
    <row r="109" spans="26:26">
      <c r="Z109" s="69"/>
    </row>
    <row r="110" spans="26:26">
      <c r="Z110" s="69"/>
    </row>
    <row r="111" spans="26:26">
      <c r="Z111" s="69"/>
    </row>
    <row r="112" spans="26:26">
      <c r="Z112" s="69"/>
    </row>
    <row r="113" spans="26:26">
      <c r="Z113" s="69"/>
    </row>
    <row r="114" spans="26:26">
      <c r="Z114" s="69"/>
    </row>
    <row r="115" spans="26:26">
      <c r="Z115" s="69"/>
    </row>
    <row r="116" spans="26:26">
      <c r="Z116" s="69"/>
    </row>
    <row r="117" spans="26:26">
      <c r="Z117" s="69"/>
    </row>
    <row r="118" spans="26:26">
      <c r="Z118" s="69"/>
    </row>
    <row r="119" spans="26:26">
      <c r="Z119" s="69"/>
    </row>
    <row r="120" spans="26:26">
      <c r="Z120" s="69"/>
    </row>
    <row r="121" spans="26:26">
      <c r="Z121" s="69"/>
    </row>
    <row r="122" spans="26:26">
      <c r="Z122" s="69"/>
    </row>
    <row r="123" spans="26:26">
      <c r="Z123" s="69"/>
    </row>
    <row r="124" spans="26:26">
      <c r="Z124" s="69"/>
    </row>
    <row r="125" spans="26:26">
      <c r="Z125" s="69"/>
    </row>
    <row r="126" spans="26:26">
      <c r="Z126" s="69"/>
    </row>
    <row r="127" spans="26:26">
      <c r="Z127" s="69"/>
    </row>
    <row r="128" spans="26:26">
      <c r="Z128" s="69"/>
    </row>
    <row r="129" spans="26:26">
      <c r="Z129" s="69"/>
    </row>
    <row r="130" spans="26:26">
      <c r="Z130" s="69"/>
    </row>
    <row r="131" spans="26:26">
      <c r="Z131" s="69"/>
    </row>
    <row r="132" spans="26:26">
      <c r="Z132" s="69"/>
    </row>
    <row r="133" spans="26:26">
      <c r="Z133" s="69"/>
    </row>
    <row r="134" spans="26:26">
      <c r="Z134" s="69"/>
    </row>
    <row r="135" spans="26:26">
      <c r="Z135" s="69"/>
    </row>
    <row r="136" spans="26:26">
      <c r="Z136" s="69"/>
    </row>
    <row r="137" spans="26:26">
      <c r="Z137" s="69"/>
    </row>
    <row r="138" spans="26:26">
      <c r="Z138" s="69"/>
    </row>
    <row r="139" spans="26:26">
      <c r="Z139" s="69"/>
    </row>
    <row r="140" spans="26:26">
      <c r="Z140" s="69"/>
    </row>
    <row r="141" spans="26:26">
      <c r="Z141" s="69"/>
    </row>
    <row r="142" spans="26:26">
      <c r="Z142" s="69"/>
    </row>
    <row r="143" spans="26:26">
      <c r="Z143" s="69"/>
    </row>
    <row r="144" spans="26:26">
      <c r="Z144" s="69"/>
    </row>
    <row r="145" spans="26:26">
      <c r="Z145" s="69"/>
    </row>
    <row r="146" spans="26:26">
      <c r="Z146" s="69"/>
    </row>
    <row r="147" spans="26:26">
      <c r="Z147" s="69"/>
    </row>
    <row r="148" spans="26:26">
      <c r="Z148" s="69"/>
    </row>
    <row r="149" spans="26:26">
      <c r="Z149" s="69"/>
    </row>
    <row r="150" spans="26:26">
      <c r="Z150" s="69"/>
    </row>
    <row r="151" spans="26:26">
      <c r="Z151" s="69"/>
    </row>
    <row r="152" spans="26:26">
      <c r="Z152" s="69"/>
    </row>
    <row r="153" spans="26:26">
      <c r="Z153" s="69"/>
    </row>
    <row r="154" spans="26:26">
      <c r="Z154" s="69"/>
    </row>
    <row r="155" spans="26:26">
      <c r="Z155" s="69"/>
    </row>
    <row r="156" spans="26:26">
      <c r="Z156" s="69"/>
    </row>
    <row r="157" spans="26:26">
      <c r="Z157" s="69"/>
    </row>
    <row r="158" spans="26:26">
      <c r="Z158" s="69"/>
    </row>
    <row r="159" spans="26:26">
      <c r="Z159" s="69"/>
    </row>
    <row r="160" spans="26:26">
      <c r="Z160" s="69"/>
    </row>
    <row r="161" spans="26:26">
      <c r="Z161" s="69"/>
    </row>
    <row r="162" spans="26:26">
      <c r="Z162" s="69"/>
    </row>
    <row r="163" spans="26:26">
      <c r="Z163" s="69"/>
    </row>
    <row r="164" spans="26:26">
      <c r="Z164" s="69"/>
    </row>
    <row r="165" spans="26:26">
      <c r="Z165" s="69"/>
    </row>
    <row r="166" spans="26:26">
      <c r="Z166" s="69"/>
    </row>
    <row r="167" spans="26:26">
      <c r="Z167" s="69"/>
    </row>
    <row r="168" spans="26:26">
      <c r="Z168" s="69"/>
    </row>
    <row r="169" spans="26:26">
      <c r="Z169" s="69"/>
    </row>
    <row r="170" spans="26:26">
      <c r="Z170" s="69"/>
    </row>
    <row r="171" spans="26:26">
      <c r="Z171" s="69"/>
    </row>
    <row r="172" spans="26:26">
      <c r="Z172" s="69"/>
    </row>
    <row r="173" spans="26:26">
      <c r="Z173" s="69"/>
    </row>
    <row r="174" spans="26:26">
      <c r="Z174" s="69"/>
    </row>
    <row r="175" spans="26:26">
      <c r="Z175" s="69"/>
    </row>
    <row r="176" spans="26:26">
      <c r="Z176" s="69"/>
    </row>
    <row r="177" spans="26:26">
      <c r="Z177" s="69"/>
    </row>
    <row r="178" spans="26:26">
      <c r="Z178" s="69"/>
    </row>
    <row r="179" spans="26:26">
      <c r="Z179" s="69"/>
    </row>
    <row r="180" spans="26:26">
      <c r="Z180" s="69"/>
    </row>
    <row r="181" spans="26:26">
      <c r="Z181" s="69"/>
    </row>
    <row r="182" spans="26:26">
      <c r="Z182" s="69"/>
    </row>
    <row r="183" spans="26:26">
      <c r="Z183" s="69"/>
    </row>
    <row r="184" spans="26:26">
      <c r="Z184" s="69"/>
    </row>
    <row r="185" spans="26:26">
      <c r="Z185" s="69"/>
    </row>
    <row r="186" spans="26:26">
      <c r="Z186" s="69"/>
    </row>
    <row r="187" spans="26:26">
      <c r="Z187" s="69"/>
    </row>
    <row r="188" spans="26:26">
      <c r="Z188" s="69"/>
    </row>
    <row r="189" spans="26:26">
      <c r="Z189" s="69"/>
    </row>
    <row r="190" spans="26:26">
      <c r="Z190" s="69"/>
    </row>
    <row r="191" spans="26:26">
      <c r="Z191" s="69"/>
    </row>
    <row r="192" spans="26:26">
      <c r="Z192" s="69"/>
    </row>
    <row r="193" spans="26:26">
      <c r="Z193" s="69"/>
    </row>
    <row r="194" spans="26:26">
      <c r="Z194" s="69"/>
    </row>
    <row r="195" spans="26:26">
      <c r="Z195" s="69"/>
    </row>
    <row r="196" spans="26:26">
      <c r="Z196" s="69"/>
    </row>
    <row r="197" spans="26:26">
      <c r="Z197" s="69"/>
    </row>
    <row r="198" spans="26:26">
      <c r="Z198" s="69"/>
    </row>
    <row r="199" spans="26:26">
      <c r="Z199" s="69"/>
    </row>
    <row r="200" spans="26:26">
      <c r="Z200" s="69"/>
    </row>
    <row r="201" spans="26:26">
      <c r="Z201" s="69"/>
    </row>
    <row r="202" spans="26:26">
      <c r="Z202" s="69"/>
    </row>
    <row r="203" spans="26:26">
      <c r="Z203" s="69"/>
    </row>
    <row r="204" spans="26:26">
      <c r="Z204" s="69"/>
    </row>
    <row r="205" spans="26:26">
      <c r="Z205" s="69"/>
    </row>
    <row r="206" spans="26:26">
      <c r="Z206" s="69"/>
    </row>
    <row r="207" spans="26:26">
      <c r="Z207" s="69"/>
    </row>
    <row r="208" spans="26:26">
      <c r="Z208" s="69"/>
    </row>
    <row r="209" spans="26:26">
      <c r="Z209" s="69"/>
    </row>
    <row r="210" spans="26:26">
      <c r="Z210" s="69"/>
    </row>
    <row r="211" spans="26:26">
      <c r="Z211" s="69"/>
    </row>
    <row r="212" spans="26:26">
      <c r="Z212" s="69"/>
    </row>
    <row r="213" spans="26:26">
      <c r="Z213" s="69"/>
    </row>
    <row r="214" spans="26:26">
      <c r="Z214" s="69"/>
    </row>
    <row r="215" spans="26:26">
      <c r="Z215" s="69"/>
    </row>
    <row r="216" spans="26:26">
      <c r="Z216" s="69"/>
    </row>
    <row r="217" spans="26:26">
      <c r="Z217" s="69"/>
    </row>
    <row r="218" spans="26:26">
      <c r="Z218" s="69"/>
    </row>
    <row r="219" spans="26:26">
      <c r="Z219" s="69"/>
    </row>
    <row r="220" spans="26:26">
      <c r="Z220" s="69"/>
    </row>
    <row r="221" spans="26:26">
      <c r="Z221" s="69"/>
    </row>
    <row r="222" spans="26:26">
      <c r="Z222" s="69"/>
    </row>
    <row r="223" spans="26:26">
      <c r="Z223" s="69"/>
    </row>
    <row r="224" spans="26:26">
      <c r="Z224" s="69"/>
    </row>
    <row r="225" spans="26:26">
      <c r="Z225" s="69"/>
    </row>
    <row r="226" spans="26:26">
      <c r="Z226" s="69"/>
    </row>
    <row r="227" spans="26:26">
      <c r="Z227" s="69"/>
    </row>
    <row r="228" spans="26:26">
      <c r="Z228" s="69"/>
    </row>
    <row r="229" spans="26:26">
      <c r="Z229" s="69"/>
    </row>
    <row r="230" spans="26:26">
      <c r="Z230" s="69"/>
    </row>
    <row r="231" spans="26:26">
      <c r="Z231" s="69"/>
    </row>
    <row r="232" spans="26:26">
      <c r="Z232" s="69"/>
    </row>
    <row r="233" spans="26:26">
      <c r="Z233" s="69"/>
    </row>
    <row r="234" spans="26:26">
      <c r="Z234" s="69"/>
    </row>
    <row r="235" spans="26:26">
      <c r="Z235" s="69"/>
    </row>
    <row r="236" spans="26:26">
      <c r="Z236" s="69"/>
    </row>
    <row r="237" spans="26:26">
      <c r="Z237" s="69"/>
    </row>
    <row r="238" spans="26:26">
      <c r="Z238" s="69"/>
    </row>
    <row r="239" spans="26:26">
      <c r="Z239" s="69"/>
    </row>
    <row r="240" spans="26:26">
      <c r="Z240" s="69"/>
    </row>
    <row r="241" spans="26:26">
      <c r="Z241" s="69"/>
    </row>
    <row r="242" spans="26:26">
      <c r="Z242" s="69"/>
    </row>
    <row r="243" spans="26:26">
      <c r="Z243" s="69"/>
    </row>
    <row r="244" spans="26:26">
      <c r="Z244" s="69"/>
    </row>
    <row r="245" spans="26:26">
      <c r="Z245" s="69"/>
    </row>
    <row r="246" spans="26:26">
      <c r="Z246" s="69"/>
    </row>
    <row r="247" spans="26:26">
      <c r="Z247" s="69"/>
    </row>
    <row r="248" spans="26:26">
      <c r="Z248" s="69"/>
    </row>
    <row r="249" spans="26:26">
      <c r="Z249" s="69"/>
    </row>
    <row r="250" spans="26:26">
      <c r="Z250" s="69"/>
    </row>
    <row r="251" spans="26:26">
      <c r="Z251" s="69"/>
    </row>
    <row r="252" spans="26:26">
      <c r="Z252" s="69"/>
    </row>
    <row r="253" spans="26:26">
      <c r="Z253" s="69"/>
    </row>
    <row r="254" spans="26:26">
      <c r="Z254" s="69"/>
    </row>
    <row r="255" spans="26:26">
      <c r="Z255" s="69"/>
    </row>
    <row r="256" spans="26:26">
      <c r="Z256" s="69"/>
    </row>
    <row r="257" spans="26:26">
      <c r="Z257" s="69"/>
    </row>
    <row r="258" spans="26:26">
      <c r="Z258" s="69"/>
    </row>
    <row r="259" spans="26:26">
      <c r="Z259" s="69"/>
    </row>
    <row r="260" spans="26:26">
      <c r="Z260" s="69"/>
    </row>
    <row r="261" spans="26:26">
      <c r="Z261" s="69"/>
    </row>
    <row r="262" spans="26:26">
      <c r="Z262" s="69"/>
    </row>
    <row r="263" spans="26:26">
      <c r="Z263" s="69"/>
    </row>
    <row r="264" spans="26:26">
      <c r="Z264" s="69"/>
    </row>
    <row r="265" spans="26:26">
      <c r="Z265" s="69"/>
    </row>
    <row r="266" spans="26:26">
      <c r="Z266" s="69"/>
    </row>
    <row r="267" spans="26:26">
      <c r="Z267" s="69"/>
    </row>
    <row r="268" spans="26:26">
      <c r="Z268" s="69"/>
    </row>
    <row r="269" spans="26:26">
      <c r="Z269" s="69"/>
    </row>
    <row r="270" spans="26:26">
      <c r="Z270" s="69"/>
    </row>
    <row r="271" spans="26:26">
      <c r="Z271" s="69"/>
    </row>
    <row r="272" spans="26:26">
      <c r="Z272" s="69"/>
    </row>
    <row r="273" spans="26:26">
      <c r="Z273" s="69"/>
    </row>
    <row r="274" spans="26:26">
      <c r="Z274" s="69"/>
    </row>
    <row r="275" spans="26:26">
      <c r="Z275" s="69"/>
    </row>
    <row r="276" spans="26:26">
      <c r="Z276" s="69"/>
    </row>
    <row r="277" spans="26:26">
      <c r="Z277" s="69"/>
    </row>
    <row r="278" spans="26:26">
      <c r="Z278" s="69"/>
    </row>
    <row r="279" spans="26:26">
      <c r="Z279" s="69"/>
    </row>
    <row r="280" spans="26:26">
      <c r="Z280" s="69"/>
    </row>
    <row r="281" spans="26:26">
      <c r="Z281" s="69"/>
    </row>
    <row r="282" spans="26:26">
      <c r="Z282" s="69"/>
    </row>
    <row r="283" spans="26:26">
      <c r="Z283" s="69"/>
    </row>
    <row r="284" spans="26:26">
      <c r="Z284" s="69"/>
    </row>
    <row r="285" spans="26:26">
      <c r="Z285" s="69"/>
    </row>
    <row r="286" spans="26:26">
      <c r="Z286" s="69"/>
    </row>
    <row r="287" spans="26:26">
      <c r="Z287" s="69"/>
    </row>
    <row r="288" spans="26:26">
      <c r="Z288" s="69"/>
    </row>
    <row r="289" spans="26:26">
      <c r="Z289" s="69"/>
    </row>
    <row r="290" spans="26:26">
      <c r="Z290" s="69"/>
    </row>
    <row r="291" spans="26:26">
      <c r="Z291" s="69"/>
    </row>
    <row r="292" spans="26:26">
      <c r="Z292" s="69"/>
    </row>
    <row r="293" spans="26:26">
      <c r="Z293" s="69"/>
    </row>
    <row r="294" spans="26:26">
      <c r="Z294" s="69"/>
    </row>
    <row r="295" spans="26:26">
      <c r="Z295" s="69"/>
    </row>
    <row r="296" spans="26:26">
      <c r="Z296" s="69"/>
    </row>
    <row r="297" spans="26:26">
      <c r="Z297" s="69"/>
    </row>
    <row r="298" spans="26:26">
      <c r="Z298" s="69"/>
    </row>
    <row r="299" spans="26:26">
      <c r="Z299" s="69"/>
    </row>
    <row r="300" spans="26:26">
      <c r="Z300" s="69"/>
    </row>
    <row r="301" spans="26:26">
      <c r="Z301" s="69"/>
    </row>
    <row r="302" spans="26:26">
      <c r="Z302" s="69"/>
    </row>
    <row r="303" spans="26:26">
      <c r="Z303" s="69"/>
    </row>
    <row r="304" spans="26:26">
      <c r="Z304" s="69"/>
    </row>
    <row r="305" spans="26:26">
      <c r="Z305" s="69"/>
    </row>
    <row r="306" spans="26:26">
      <c r="Z306" s="69"/>
    </row>
    <row r="307" spans="26:26">
      <c r="Z307" s="69"/>
    </row>
    <row r="308" spans="26:26">
      <c r="Z308" s="69"/>
    </row>
    <row r="309" spans="26:26">
      <c r="Z309" s="69"/>
    </row>
    <row r="310" spans="26:26">
      <c r="Z310" s="69"/>
    </row>
    <row r="311" spans="26:26">
      <c r="Z311" s="69"/>
    </row>
    <row r="312" spans="26:26">
      <c r="Z312" s="69"/>
    </row>
    <row r="313" spans="26:26">
      <c r="Z313" s="69"/>
    </row>
    <row r="314" spans="26:26">
      <c r="Z314" s="69"/>
    </row>
    <row r="315" spans="26:26">
      <c r="Z315" s="69"/>
    </row>
    <row r="316" spans="26:26">
      <c r="Z316" s="69"/>
    </row>
    <row r="317" spans="26:26">
      <c r="Z317" s="69"/>
    </row>
    <row r="318" spans="26:26">
      <c r="Z318" s="69"/>
    </row>
    <row r="319" spans="26:26">
      <c r="Z319" s="69"/>
    </row>
    <row r="320" spans="26:26">
      <c r="Z320" s="69"/>
    </row>
    <row r="321" spans="26:26">
      <c r="Z321" s="69"/>
    </row>
    <row r="322" spans="26:26">
      <c r="Z322" s="69"/>
    </row>
    <row r="323" spans="26:26">
      <c r="Z323" s="69"/>
    </row>
    <row r="324" spans="26:26">
      <c r="Z324" s="69"/>
    </row>
    <row r="325" spans="26:26">
      <c r="Z325" s="69"/>
    </row>
    <row r="326" spans="26:26">
      <c r="Z326" s="69"/>
    </row>
    <row r="327" spans="26:26">
      <c r="Z327" s="69"/>
    </row>
    <row r="328" spans="26:26">
      <c r="Z328" s="69"/>
    </row>
    <row r="329" spans="26:26">
      <c r="Z329" s="69"/>
    </row>
    <row r="330" spans="26:26">
      <c r="Z330" s="69"/>
    </row>
    <row r="331" spans="26:26">
      <c r="Z331" s="69"/>
    </row>
    <row r="332" spans="26:26">
      <c r="Z332" s="69"/>
    </row>
    <row r="333" spans="26:26">
      <c r="Z333" s="69"/>
    </row>
    <row r="334" spans="26:26">
      <c r="Z334" s="69"/>
    </row>
    <row r="335" spans="26:26">
      <c r="Z335" s="69"/>
    </row>
    <row r="336" spans="26:26">
      <c r="Z336" s="69"/>
    </row>
    <row r="337" spans="26:26">
      <c r="Z337" s="69"/>
    </row>
    <row r="338" spans="26:26">
      <c r="Z338" s="69"/>
    </row>
    <row r="339" spans="26:26">
      <c r="Z339" s="69"/>
    </row>
    <row r="340" spans="26:26">
      <c r="Z340" s="69"/>
    </row>
    <row r="341" spans="26:26">
      <c r="Z341" s="69"/>
    </row>
    <row r="342" spans="26:26">
      <c r="Z342" s="69"/>
    </row>
    <row r="343" spans="26:26">
      <c r="Z343" s="69"/>
    </row>
    <row r="344" spans="26:26">
      <c r="Z344" s="69"/>
    </row>
    <row r="345" spans="26:26">
      <c r="Z345" s="69"/>
    </row>
    <row r="346" spans="26:26">
      <c r="Z346" s="69"/>
    </row>
    <row r="347" spans="26:26">
      <c r="Z347" s="69"/>
    </row>
    <row r="348" spans="26:26">
      <c r="Z348" s="69"/>
    </row>
    <row r="349" spans="26:26">
      <c r="Z349" s="69"/>
    </row>
    <row r="350" spans="26:26">
      <c r="Z350" s="69"/>
    </row>
    <row r="351" spans="26:26">
      <c r="Z351" s="69"/>
    </row>
    <row r="352" spans="26:26">
      <c r="Z352" s="69"/>
    </row>
    <row r="353" spans="26:26">
      <c r="Z353" s="69"/>
    </row>
    <row r="354" spans="26:26">
      <c r="Z354" s="69"/>
    </row>
    <row r="355" spans="26:26">
      <c r="Z355" s="69"/>
    </row>
    <row r="356" spans="26:26">
      <c r="Z356" s="69"/>
    </row>
    <row r="357" spans="26:26">
      <c r="Z357" s="69"/>
    </row>
    <row r="358" spans="26:26">
      <c r="Z358" s="69"/>
    </row>
    <row r="359" spans="26:26">
      <c r="Z359" s="69"/>
    </row>
    <row r="360" spans="26:26">
      <c r="Z360" s="69"/>
    </row>
    <row r="361" spans="26:26">
      <c r="Z361" s="69"/>
    </row>
    <row r="362" spans="26:26">
      <c r="Z362" s="69"/>
    </row>
    <row r="363" spans="26:26">
      <c r="Z363" s="69"/>
    </row>
    <row r="364" spans="26:26">
      <c r="Z364" s="69"/>
    </row>
    <row r="365" spans="26:26">
      <c r="Z365" s="69"/>
    </row>
    <row r="366" spans="26:26">
      <c r="Z366" s="69"/>
    </row>
    <row r="367" spans="26:26">
      <c r="Z367" s="69"/>
    </row>
    <row r="368" spans="26:26">
      <c r="Z368" s="69"/>
    </row>
    <row r="369" spans="26:26">
      <c r="Z369" s="69"/>
    </row>
    <row r="370" spans="26:26">
      <c r="Z370" s="69"/>
    </row>
    <row r="371" spans="26:26">
      <c r="Z371" s="69"/>
    </row>
    <row r="372" spans="26:26">
      <c r="Z372" s="69"/>
    </row>
    <row r="373" spans="26:26">
      <c r="Z373" s="69"/>
    </row>
    <row r="374" spans="26:26">
      <c r="Z374" s="69"/>
    </row>
    <row r="375" spans="26:26">
      <c r="Z375" s="69"/>
    </row>
    <row r="376" spans="26:26">
      <c r="Z376" s="69"/>
    </row>
    <row r="377" spans="26:26">
      <c r="Z377" s="69"/>
    </row>
    <row r="378" spans="26:26">
      <c r="Z378" s="69"/>
    </row>
    <row r="379" spans="26:26">
      <c r="Z379" s="69"/>
    </row>
    <row r="380" spans="26:26">
      <c r="Z380" s="69"/>
    </row>
    <row r="381" spans="26:26">
      <c r="Z381" s="69"/>
    </row>
    <row r="382" spans="26:26">
      <c r="Z382" s="69"/>
    </row>
    <row r="383" spans="26:26">
      <c r="Z383" s="69"/>
    </row>
    <row r="384" spans="26:26">
      <c r="Z384" s="69"/>
    </row>
    <row r="385" spans="26:26">
      <c r="Z385" s="69"/>
    </row>
    <row r="386" spans="26:26">
      <c r="Z386" s="69"/>
    </row>
    <row r="387" spans="26:26">
      <c r="Z387" s="69"/>
    </row>
    <row r="388" spans="26:26">
      <c r="Z388" s="69"/>
    </row>
    <row r="389" spans="26:26">
      <c r="Z389" s="69"/>
    </row>
    <row r="390" spans="26:26">
      <c r="Z390" s="69"/>
    </row>
    <row r="391" spans="26:26">
      <c r="Z391" s="69"/>
    </row>
  </sheetData>
  <mergeCells count="62">
    <mergeCell ref="C17:C28"/>
    <mergeCell ref="D17:D28"/>
    <mergeCell ref="H41:H52"/>
    <mergeCell ref="I41:I52"/>
    <mergeCell ref="J41:J52"/>
    <mergeCell ref="C41:C52"/>
    <mergeCell ref="D41:D52"/>
    <mergeCell ref="E41:E52"/>
    <mergeCell ref="F41:F52"/>
    <mergeCell ref="G41:G52"/>
    <mergeCell ref="J29:J40"/>
    <mergeCell ref="C29:C40"/>
    <mergeCell ref="D29:D40"/>
    <mergeCell ref="E29:E40"/>
    <mergeCell ref="F29:F40"/>
    <mergeCell ref="G29:G40"/>
    <mergeCell ref="H5:H16"/>
    <mergeCell ref="I5:I16"/>
    <mergeCell ref="C5:C16"/>
    <mergeCell ref="D5:D16"/>
    <mergeCell ref="E5:E16"/>
    <mergeCell ref="F5:F16"/>
    <mergeCell ref="G5:G16"/>
    <mergeCell ref="C2:J4"/>
    <mergeCell ref="J5:J16"/>
    <mergeCell ref="O82:Q82"/>
    <mergeCell ref="R82:T82"/>
    <mergeCell ref="U82:W82"/>
    <mergeCell ref="L80:N80"/>
    <mergeCell ref="L82:N82"/>
    <mergeCell ref="O80:Q80"/>
    <mergeCell ref="R80:T80"/>
    <mergeCell ref="L81:N81"/>
    <mergeCell ref="O81:Q81"/>
    <mergeCell ref="R81:T81"/>
    <mergeCell ref="U81:W81"/>
    <mergeCell ref="C77:J79"/>
    <mergeCell ref="U80:W80"/>
    <mergeCell ref="J53:J64"/>
    <mergeCell ref="C53:C64"/>
    <mergeCell ref="D53:D64"/>
    <mergeCell ref="E53:E64"/>
    <mergeCell ref="F53:F64"/>
    <mergeCell ref="G53:G64"/>
    <mergeCell ref="J17:J28"/>
    <mergeCell ref="H17:H28"/>
    <mergeCell ref="I17:I28"/>
    <mergeCell ref="I53:I64"/>
    <mergeCell ref="H53:H64"/>
    <mergeCell ref="E17:E28"/>
    <mergeCell ref="F17:F28"/>
    <mergeCell ref="G17:G28"/>
    <mergeCell ref="H29:H40"/>
    <mergeCell ref="I29:I40"/>
    <mergeCell ref="H65:H76"/>
    <mergeCell ref="I65:I76"/>
    <mergeCell ref="J65:J76"/>
    <mergeCell ref="C65:C76"/>
    <mergeCell ref="D65:D76"/>
    <mergeCell ref="E65:E76"/>
    <mergeCell ref="F65:F76"/>
    <mergeCell ref="G65:G76"/>
  </mergeCells>
  <phoneticPr fontId="10"/>
  <printOptions horizontalCentered="1"/>
  <pageMargins left="0.70866141732283472" right="0.70866141732283472" top="0.70866141732283472" bottom="0.70866141732283472" header="0.31496062992125984" footer="0.31496062992125984"/>
  <pageSetup paperSize="8" scale="71" fitToHeight="2" orientation="landscape" r:id="rId1"/>
  <ignoredErrors>
    <ignoredError sqref="X53:X64 X77:X80" formula="1"/>
  </ignoredErrors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>
    <pageSetUpPr fitToPage="1"/>
  </sheetPr>
  <dimension ref="A1:Z499"/>
  <sheetViews>
    <sheetView showGridLines="0" zoomScale="80" zoomScaleNormal="80" zoomScaleSheetLayoutView="70" workbookViewId="0">
      <pane xSplit="11" ySplit="4" topLeftCell="L5" activePane="bottomRight" state="frozen"/>
      <selection pane="topRight"/>
      <selection pane="bottomLeft"/>
      <selection pane="bottomRight" activeCell="L6" sqref="L6:L159"/>
    </sheetView>
  </sheetViews>
  <sheetFormatPr defaultRowHeight="12"/>
  <cols>
    <col min="1" max="1" width="9.6328125" style="112" customWidth="1"/>
    <col min="2" max="2" width="11.90625" style="72" customWidth="1"/>
    <col min="3" max="3" width="6.36328125" style="467" customWidth="1"/>
    <col min="4" max="4" width="10.36328125" style="467" customWidth="1"/>
    <col min="5" max="5" width="5.08984375" style="467" customWidth="1"/>
    <col min="6" max="6" width="9.90625" style="127" customWidth="1"/>
    <col min="7" max="9" width="9.90625" style="467" customWidth="1"/>
    <col min="10" max="10" width="8.453125" style="467" customWidth="1"/>
    <col min="11" max="11" width="10.453125" style="467" customWidth="1"/>
    <col min="12" max="23" width="13.08984375" style="467" customWidth="1"/>
    <col min="24" max="24" width="16.453125" style="467" customWidth="1"/>
    <col min="25" max="25" width="9" style="464"/>
    <col min="26" max="26" width="11" style="464" bestFit="1" customWidth="1"/>
    <col min="27" max="259" width="9" style="464"/>
    <col min="260" max="260" width="9.6328125" style="464" customWidth="1"/>
    <col min="261" max="262" width="5.08984375" style="464" customWidth="1"/>
    <col min="263" max="263" width="9.6328125" style="464" customWidth="1"/>
    <col min="264" max="265" width="11.6328125" style="464" customWidth="1"/>
    <col min="266" max="266" width="15.36328125" style="464" customWidth="1"/>
    <col min="267" max="267" width="10.90625" style="464" customWidth="1"/>
    <col min="268" max="278" width="13.36328125" style="464" customWidth="1"/>
    <col min="279" max="279" width="13.6328125" style="464" customWidth="1"/>
    <col min="280" max="280" width="16.453125" style="464" customWidth="1"/>
    <col min="281" max="515" width="9" style="464"/>
    <col min="516" max="516" width="9.6328125" style="464" customWidth="1"/>
    <col min="517" max="518" width="5.08984375" style="464" customWidth="1"/>
    <col min="519" max="519" width="9.6328125" style="464" customWidth="1"/>
    <col min="520" max="521" width="11.6328125" style="464" customWidth="1"/>
    <col min="522" max="522" width="15.36328125" style="464" customWidth="1"/>
    <col min="523" max="523" width="10.90625" style="464" customWidth="1"/>
    <col min="524" max="534" width="13.36328125" style="464" customWidth="1"/>
    <col min="535" max="535" width="13.6328125" style="464" customWidth="1"/>
    <col min="536" max="536" width="16.453125" style="464" customWidth="1"/>
    <col min="537" max="771" width="9" style="464"/>
    <col min="772" max="772" width="9.6328125" style="464" customWidth="1"/>
    <col min="773" max="774" width="5.08984375" style="464" customWidth="1"/>
    <col min="775" max="775" width="9.6328125" style="464" customWidth="1"/>
    <col min="776" max="777" width="11.6328125" style="464" customWidth="1"/>
    <col min="778" max="778" width="15.36328125" style="464" customWidth="1"/>
    <col min="779" max="779" width="10.90625" style="464" customWidth="1"/>
    <col min="780" max="790" width="13.36328125" style="464" customWidth="1"/>
    <col min="791" max="791" width="13.6328125" style="464" customWidth="1"/>
    <col min="792" max="792" width="16.453125" style="464" customWidth="1"/>
    <col min="793" max="1027" width="9" style="464"/>
    <col min="1028" max="1028" width="9.6328125" style="464" customWidth="1"/>
    <col min="1029" max="1030" width="5.08984375" style="464" customWidth="1"/>
    <col min="1031" max="1031" width="9.6328125" style="464" customWidth="1"/>
    <col min="1032" max="1033" width="11.6328125" style="464" customWidth="1"/>
    <col min="1034" max="1034" width="15.36328125" style="464" customWidth="1"/>
    <col min="1035" max="1035" width="10.90625" style="464" customWidth="1"/>
    <col min="1036" max="1046" width="13.36328125" style="464" customWidth="1"/>
    <col min="1047" max="1047" width="13.6328125" style="464" customWidth="1"/>
    <col min="1048" max="1048" width="16.453125" style="464" customWidth="1"/>
    <col min="1049" max="1283" width="9" style="464"/>
    <col min="1284" max="1284" width="9.6328125" style="464" customWidth="1"/>
    <col min="1285" max="1286" width="5.08984375" style="464" customWidth="1"/>
    <col min="1287" max="1287" width="9.6328125" style="464" customWidth="1"/>
    <col min="1288" max="1289" width="11.6328125" style="464" customWidth="1"/>
    <col min="1290" max="1290" width="15.36328125" style="464" customWidth="1"/>
    <col min="1291" max="1291" width="10.90625" style="464" customWidth="1"/>
    <col min="1292" max="1302" width="13.36328125" style="464" customWidth="1"/>
    <col min="1303" max="1303" width="13.6328125" style="464" customWidth="1"/>
    <col min="1304" max="1304" width="16.453125" style="464" customWidth="1"/>
    <col min="1305" max="1539" width="9" style="464"/>
    <col min="1540" max="1540" width="9.6328125" style="464" customWidth="1"/>
    <col min="1541" max="1542" width="5.08984375" style="464" customWidth="1"/>
    <col min="1543" max="1543" width="9.6328125" style="464" customWidth="1"/>
    <col min="1544" max="1545" width="11.6328125" style="464" customWidth="1"/>
    <col min="1546" max="1546" width="15.36328125" style="464" customWidth="1"/>
    <col min="1547" max="1547" width="10.90625" style="464" customWidth="1"/>
    <col min="1548" max="1558" width="13.36328125" style="464" customWidth="1"/>
    <col min="1559" max="1559" width="13.6328125" style="464" customWidth="1"/>
    <col min="1560" max="1560" width="16.453125" style="464" customWidth="1"/>
    <col min="1561" max="1795" width="9" style="464"/>
    <col min="1796" max="1796" width="9.6328125" style="464" customWidth="1"/>
    <col min="1797" max="1798" width="5.08984375" style="464" customWidth="1"/>
    <col min="1799" max="1799" width="9.6328125" style="464" customWidth="1"/>
    <col min="1800" max="1801" width="11.6328125" style="464" customWidth="1"/>
    <col min="1802" max="1802" width="15.36328125" style="464" customWidth="1"/>
    <col min="1803" max="1803" width="10.90625" style="464" customWidth="1"/>
    <col min="1804" max="1814" width="13.36328125" style="464" customWidth="1"/>
    <col min="1815" max="1815" width="13.6328125" style="464" customWidth="1"/>
    <col min="1816" max="1816" width="16.453125" style="464" customWidth="1"/>
    <col min="1817" max="2051" width="9" style="464"/>
    <col min="2052" max="2052" width="9.6328125" style="464" customWidth="1"/>
    <col min="2053" max="2054" width="5.08984375" style="464" customWidth="1"/>
    <col min="2055" max="2055" width="9.6328125" style="464" customWidth="1"/>
    <col min="2056" max="2057" width="11.6328125" style="464" customWidth="1"/>
    <col min="2058" max="2058" width="15.36328125" style="464" customWidth="1"/>
    <col min="2059" max="2059" width="10.90625" style="464" customWidth="1"/>
    <col min="2060" max="2070" width="13.36328125" style="464" customWidth="1"/>
    <col min="2071" max="2071" width="13.6328125" style="464" customWidth="1"/>
    <col min="2072" max="2072" width="16.453125" style="464" customWidth="1"/>
    <col min="2073" max="2307" width="9" style="464"/>
    <col min="2308" max="2308" width="9.6328125" style="464" customWidth="1"/>
    <col min="2309" max="2310" width="5.08984375" style="464" customWidth="1"/>
    <col min="2311" max="2311" width="9.6328125" style="464" customWidth="1"/>
    <col min="2312" max="2313" width="11.6328125" style="464" customWidth="1"/>
    <col min="2314" max="2314" width="15.36328125" style="464" customWidth="1"/>
    <col min="2315" max="2315" width="10.90625" style="464" customWidth="1"/>
    <col min="2316" max="2326" width="13.36328125" style="464" customWidth="1"/>
    <col min="2327" max="2327" width="13.6328125" style="464" customWidth="1"/>
    <col min="2328" max="2328" width="16.453125" style="464" customWidth="1"/>
    <col min="2329" max="2563" width="9" style="464"/>
    <col min="2564" max="2564" width="9.6328125" style="464" customWidth="1"/>
    <col min="2565" max="2566" width="5.08984375" style="464" customWidth="1"/>
    <col min="2567" max="2567" width="9.6328125" style="464" customWidth="1"/>
    <col min="2568" max="2569" width="11.6328125" style="464" customWidth="1"/>
    <col min="2570" max="2570" width="15.36328125" style="464" customWidth="1"/>
    <col min="2571" max="2571" width="10.90625" style="464" customWidth="1"/>
    <col min="2572" max="2582" width="13.36328125" style="464" customWidth="1"/>
    <col min="2583" max="2583" width="13.6328125" style="464" customWidth="1"/>
    <col min="2584" max="2584" width="16.453125" style="464" customWidth="1"/>
    <col min="2585" max="2819" width="9" style="464"/>
    <col min="2820" max="2820" width="9.6328125" style="464" customWidth="1"/>
    <col min="2821" max="2822" width="5.08984375" style="464" customWidth="1"/>
    <col min="2823" max="2823" width="9.6328125" style="464" customWidth="1"/>
    <col min="2824" max="2825" width="11.6328125" style="464" customWidth="1"/>
    <col min="2826" max="2826" width="15.36328125" style="464" customWidth="1"/>
    <col min="2827" max="2827" width="10.90625" style="464" customWidth="1"/>
    <col min="2828" max="2838" width="13.36328125" style="464" customWidth="1"/>
    <col min="2839" max="2839" width="13.6328125" style="464" customWidth="1"/>
    <col min="2840" max="2840" width="16.453125" style="464" customWidth="1"/>
    <col min="2841" max="3075" width="9" style="464"/>
    <col min="3076" max="3076" width="9.6328125" style="464" customWidth="1"/>
    <col min="3077" max="3078" width="5.08984375" style="464" customWidth="1"/>
    <col min="3079" max="3079" width="9.6328125" style="464" customWidth="1"/>
    <col min="3080" max="3081" width="11.6328125" style="464" customWidth="1"/>
    <col min="3082" max="3082" width="15.36328125" style="464" customWidth="1"/>
    <col min="3083" max="3083" width="10.90625" style="464" customWidth="1"/>
    <col min="3084" max="3094" width="13.36328125" style="464" customWidth="1"/>
    <col min="3095" max="3095" width="13.6328125" style="464" customWidth="1"/>
    <col min="3096" max="3096" width="16.453125" style="464" customWidth="1"/>
    <col min="3097" max="3331" width="9" style="464"/>
    <col min="3332" max="3332" width="9.6328125" style="464" customWidth="1"/>
    <col min="3333" max="3334" width="5.08984375" style="464" customWidth="1"/>
    <col min="3335" max="3335" width="9.6328125" style="464" customWidth="1"/>
    <col min="3336" max="3337" width="11.6328125" style="464" customWidth="1"/>
    <col min="3338" max="3338" width="15.36328125" style="464" customWidth="1"/>
    <col min="3339" max="3339" width="10.90625" style="464" customWidth="1"/>
    <col min="3340" max="3350" width="13.36328125" style="464" customWidth="1"/>
    <col min="3351" max="3351" width="13.6328125" style="464" customWidth="1"/>
    <col min="3352" max="3352" width="16.453125" style="464" customWidth="1"/>
    <col min="3353" max="3587" width="9" style="464"/>
    <col min="3588" max="3588" width="9.6328125" style="464" customWidth="1"/>
    <col min="3589" max="3590" width="5.08984375" style="464" customWidth="1"/>
    <col min="3591" max="3591" width="9.6328125" style="464" customWidth="1"/>
    <col min="3592" max="3593" width="11.6328125" style="464" customWidth="1"/>
    <col min="3594" max="3594" width="15.36328125" style="464" customWidth="1"/>
    <col min="3595" max="3595" width="10.90625" style="464" customWidth="1"/>
    <col min="3596" max="3606" width="13.36328125" style="464" customWidth="1"/>
    <col min="3607" max="3607" width="13.6328125" style="464" customWidth="1"/>
    <col min="3608" max="3608" width="16.453125" style="464" customWidth="1"/>
    <col min="3609" max="3843" width="9" style="464"/>
    <col min="3844" max="3844" width="9.6328125" style="464" customWidth="1"/>
    <col min="3845" max="3846" width="5.08984375" style="464" customWidth="1"/>
    <col min="3847" max="3847" width="9.6328125" style="464" customWidth="1"/>
    <col min="3848" max="3849" width="11.6328125" style="464" customWidth="1"/>
    <col min="3850" max="3850" width="15.36328125" style="464" customWidth="1"/>
    <col min="3851" max="3851" width="10.90625" style="464" customWidth="1"/>
    <col min="3852" max="3862" width="13.36328125" style="464" customWidth="1"/>
    <col min="3863" max="3863" width="13.6328125" style="464" customWidth="1"/>
    <col min="3864" max="3864" width="16.453125" style="464" customWidth="1"/>
    <col min="3865" max="4099" width="9" style="464"/>
    <col min="4100" max="4100" width="9.6328125" style="464" customWidth="1"/>
    <col min="4101" max="4102" width="5.08984375" style="464" customWidth="1"/>
    <col min="4103" max="4103" width="9.6328125" style="464" customWidth="1"/>
    <col min="4104" max="4105" width="11.6328125" style="464" customWidth="1"/>
    <col min="4106" max="4106" width="15.36328125" style="464" customWidth="1"/>
    <col min="4107" max="4107" width="10.90625" style="464" customWidth="1"/>
    <col min="4108" max="4118" width="13.36328125" style="464" customWidth="1"/>
    <col min="4119" max="4119" width="13.6328125" style="464" customWidth="1"/>
    <col min="4120" max="4120" width="16.453125" style="464" customWidth="1"/>
    <col min="4121" max="4355" width="9" style="464"/>
    <col min="4356" max="4356" width="9.6328125" style="464" customWidth="1"/>
    <col min="4357" max="4358" width="5.08984375" style="464" customWidth="1"/>
    <col min="4359" max="4359" width="9.6328125" style="464" customWidth="1"/>
    <col min="4360" max="4361" width="11.6328125" style="464" customWidth="1"/>
    <col min="4362" max="4362" width="15.36328125" style="464" customWidth="1"/>
    <col min="4363" max="4363" width="10.90625" style="464" customWidth="1"/>
    <col min="4364" max="4374" width="13.36328125" style="464" customWidth="1"/>
    <col min="4375" max="4375" width="13.6328125" style="464" customWidth="1"/>
    <col min="4376" max="4376" width="16.453125" style="464" customWidth="1"/>
    <col min="4377" max="4611" width="9" style="464"/>
    <col min="4612" max="4612" width="9.6328125" style="464" customWidth="1"/>
    <col min="4613" max="4614" width="5.08984375" style="464" customWidth="1"/>
    <col min="4615" max="4615" width="9.6328125" style="464" customWidth="1"/>
    <col min="4616" max="4617" width="11.6328125" style="464" customWidth="1"/>
    <col min="4618" max="4618" width="15.36328125" style="464" customWidth="1"/>
    <col min="4619" max="4619" width="10.90625" style="464" customWidth="1"/>
    <col min="4620" max="4630" width="13.36328125" style="464" customWidth="1"/>
    <col min="4631" max="4631" width="13.6328125" style="464" customWidth="1"/>
    <col min="4632" max="4632" width="16.453125" style="464" customWidth="1"/>
    <col min="4633" max="4867" width="9" style="464"/>
    <col min="4868" max="4868" width="9.6328125" style="464" customWidth="1"/>
    <col min="4869" max="4870" width="5.08984375" style="464" customWidth="1"/>
    <col min="4871" max="4871" width="9.6328125" style="464" customWidth="1"/>
    <col min="4872" max="4873" width="11.6328125" style="464" customWidth="1"/>
    <col min="4874" max="4874" width="15.36328125" style="464" customWidth="1"/>
    <col min="4875" max="4875" width="10.90625" style="464" customWidth="1"/>
    <col min="4876" max="4886" width="13.36328125" style="464" customWidth="1"/>
    <col min="4887" max="4887" width="13.6328125" style="464" customWidth="1"/>
    <col min="4888" max="4888" width="16.453125" style="464" customWidth="1"/>
    <col min="4889" max="5123" width="9" style="464"/>
    <col min="5124" max="5124" width="9.6328125" style="464" customWidth="1"/>
    <col min="5125" max="5126" width="5.08984375" style="464" customWidth="1"/>
    <col min="5127" max="5127" width="9.6328125" style="464" customWidth="1"/>
    <col min="5128" max="5129" width="11.6328125" style="464" customWidth="1"/>
    <col min="5130" max="5130" width="15.36328125" style="464" customWidth="1"/>
    <col min="5131" max="5131" width="10.90625" style="464" customWidth="1"/>
    <col min="5132" max="5142" width="13.36328125" style="464" customWidth="1"/>
    <col min="5143" max="5143" width="13.6328125" style="464" customWidth="1"/>
    <col min="5144" max="5144" width="16.453125" style="464" customWidth="1"/>
    <col min="5145" max="5379" width="9" style="464"/>
    <col min="5380" max="5380" width="9.6328125" style="464" customWidth="1"/>
    <col min="5381" max="5382" width="5.08984375" style="464" customWidth="1"/>
    <col min="5383" max="5383" width="9.6328125" style="464" customWidth="1"/>
    <col min="5384" max="5385" width="11.6328125" style="464" customWidth="1"/>
    <col min="5386" max="5386" width="15.36328125" style="464" customWidth="1"/>
    <col min="5387" max="5387" width="10.90625" style="464" customWidth="1"/>
    <col min="5388" max="5398" width="13.36328125" style="464" customWidth="1"/>
    <col min="5399" max="5399" width="13.6328125" style="464" customWidth="1"/>
    <col min="5400" max="5400" width="16.453125" style="464" customWidth="1"/>
    <col min="5401" max="5635" width="9" style="464"/>
    <col min="5636" max="5636" width="9.6328125" style="464" customWidth="1"/>
    <col min="5637" max="5638" width="5.08984375" style="464" customWidth="1"/>
    <col min="5639" max="5639" width="9.6328125" style="464" customWidth="1"/>
    <col min="5640" max="5641" width="11.6328125" style="464" customWidth="1"/>
    <col min="5642" max="5642" width="15.36328125" style="464" customWidth="1"/>
    <col min="5643" max="5643" width="10.90625" style="464" customWidth="1"/>
    <col min="5644" max="5654" width="13.36328125" style="464" customWidth="1"/>
    <col min="5655" max="5655" width="13.6328125" style="464" customWidth="1"/>
    <col min="5656" max="5656" width="16.453125" style="464" customWidth="1"/>
    <col min="5657" max="5891" width="9" style="464"/>
    <col min="5892" max="5892" width="9.6328125" style="464" customWidth="1"/>
    <col min="5893" max="5894" width="5.08984375" style="464" customWidth="1"/>
    <col min="5895" max="5895" width="9.6328125" style="464" customWidth="1"/>
    <col min="5896" max="5897" width="11.6328125" style="464" customWidth="1"/>
    <col min="5898" max="5898" width="15.36328125" style="464" customWidth="1"/>
    <col min="5899" max="5899" width="10.90625" style="464" customWidth="1"/>
    <col min="5900" max="5910" width="13.36328125" style="464" customWidth="1"/>
    <col min="5911" max="5911" width="13.6328125" style="464" customWidth="1"/>
    <col min="5912" max="5912" width="16.453125" style="464" customWidth="1"/>
    <col min="5913" max="6147" width="9" style="464"/>
    <col min="6148" max="6148" width="9.6328125" style="464" customWidth="1"/>
    <col min="6149" max="6150" width="5.08984375" style="464" customWidth="1"/>
    <col min="6151" max="6151" width="9.6328125" style="464" customWidth="1"/>
    <col min="6152" max="6153" width="11.6328125" style="464" customWidth="1"/>
    <col min="6154" max="6154" width="15.36328125" style="464" customWidth="1"/>
    <col min="6155" max="6155" width="10.90625" style="464" customWidth="1"/>
    <col min="6156" max="6166" width="13.36328125" style="464" customWidth="1"/>
    <col min="6167" max="6167" width="13.6328125" style="464" customWidth="1"/>
    <col min="6168" max="6168" width="16.453125" style="464" customWidth="1"/>
    <col min="6169" max="6403" width="9" style="464"/>
    <col min="6404" max="6404" width="9.6328125" style="464" customWidth="1"/>
    <col min="6405" max="6406" width="5.08984375" style="464" customWidth="1"/>
    <col min="6407" max="6407" width="9.6328125" style="464" customWidth="1"/>
    <col min="6408" max="6409" width="11.6328125" style="464" customWidth="1"/>
    <col min="6410" max="6410" width="15.36328125" style="464" customWidth="1"/>
    <col min="6411" max="6411" width="10.90625" style="464" customWidth="1"/>
    <col min="6412" max="6422" width="13.36328125" style="464" customWidth="1"/>
    <col min="6423" max="6423" width="13.6328125" style="464" customWidth="1"/>
    <col min="6424" max="6424" width="16.453125" style="464" customWidth="1"/>
    <col min="6425" max="6659" width="9" style="464"/>
    <col min="6660" max="6660" width="9.6328125" style="464" customWidth="1"/>
    <col min="6661" max="6662" width="5.08984375" style="464" customWidth="1"/>
    <col min="6663" max="6663" width="9.6328125" style="464" customWidth="1"/>
    <col min="6664" max="6665" width="11.6328125" style="464" customWidth="1"/>
    <col min="6666" max="6666" width="15.36328125" style="464" customWidth="1"/>
    <col min="6667" max="6667" width="10.90625" style="464" customWidth="1"/>
    <col min="6668" max="6678" width="13.36328125" style="464" customWidth="1"/>
    <col min="6679" max="6679" width="13.6328125" style="464" customWidth="1"/>
    <col min="6680" max="6680" width="16.453125" style="464" customWidth="1"/>
    <col min="6681" max="6915" width="9" style="464"/>
    <col min="6916" max="6916" width="9.6328125" style="464" customWidth="1"/>
    <col min="6917" max="6918" width="5.08984375" style="464" customWidth="1"/>
    <col min="6919" max="6919" width="9.6328125" style="464" customWidth="1"/>
    <col min="6920" max="6921" width="11.6328125" style="464" customWidth="1"/>
    <col min="6922" max="6922" width="15.36328125" style="464" customWidth="1"/>
    <col min="6923" max="6923" width="10.90625" style="464" customWidth="1"/>
    <col min="6924" max="6934" width="13.36328125" style="464" customWidth="1"/>
    <col min="6935" max="6935" width="13.6328125" style="464" customWidth="1"/>
    <col min="6936" max="6936" width="16.453125" style="464" customWidth="1"/>
    <col min="6937" max="7171" width="9" style="464"/>
    <col min="7172" max="7172" width="9.6328125" style="464" customWidth="1"/>
    <col min="7173" max="7174" width="5.08984375" style="464" customWidth="1"/>
    <col min="7175" max="7175" width="9.6328125" style="464" customWidth="1"/>
    <col min="7176" max="7177" width="11.6328125" style="464" customWidth="1"/>
    <col min="7178" max="7178" width="15.36328125" style="464" customWidth="1"/>
    <col min="7179" max="7179" width="10.90625" style="464" customWidth="1"/>
    <col min="7180" max="7190" width="13.36328125" style="464" customWidth="1"/>
    <col min="7191" max="7191" width="13.6328125" style="464" customWidth="1"/>
    <col min="7192" max="7192" width="16.453125" style="464" customWidth="1"/>
    <col min="7193" max="7427" width="9" style="464"/>
    <col min="7428" max="7428" width="9.6328125" style="464" customWidth="1"/>
    <col min="7429" max="7430" width="5.08984375" style="464" customWidth="1"/>
    <col min="7431" max="7431" width="9.6328125" style="464" customWidth="1"/>
    <col min="7432" max="7433" width="11.6328125" style="464" customWidth="1"/>
    <col min="7434" max="7434" width="15.36328125" style="464" customWidth="1"/>
    <col min="7435" max="7435" width="10.90625" style="464" customWidth="1"/>
    <col min="7436" max="7446" width="13.36328125" style="464" customWidth="1"/>
    <col min="7447" max="7447" width="13.6328125" style="464" customWidth="1"/>
    <col min="7448" max="7448" width="16.453125" style="464" customWidth="1"/>
    <col min="7449" max="7683" width="9" style="464"/>
    <col min="7684" max="7684" width="9.6328125" style="464" customWidth="1"/>
    <col min="7685" max="7686" width="5.08984375" style="464" customWidth="1"/>
    <col min="7687" max="7687" width="9.6328125" style="464" customWidth="1"/>
    <col min="7688" max="7689" width="11.6328125" style="464" customWidth="1"/>
    <col min="7690" max="7690" width="15.36328125" style="464" customWidth="1"/>
    <col min="7691" max="7691" width="10.90625" style="464" customWidth="1"/>
    <col min="7692" max="7702" width="13.36328125" style="464" customWidth="1"/>
    <col min="7703" max="7703" width="13.6328125" style="464" customWidth="1"/>
    <col min="7704" max="7704" width="16.453125" style="464" customWidth="1"/>
    <col min="7705" max="7939" width="9" style="464"/>
    <col min="7940" max="7940" width="9.6328125" style="464" customWidth="1"/>
    <col min="7941" max="7942" width="5.08984375" style="464" customWidth="1"/>
    <col min="7943" max="7943" width="9.6328125" style="464" customWidth="1"/>
    <col min="7944" max="7945" width="11.6328125" style="464" customWidth="1"/>
    <col min="7946" max="7946" width="15.36328125" style="464" customWidth="1"/>
    <col min="7947" max="7947" width="10.90625" style="464" customWidth="1"/>
    <col min="7948" max="7958" width="13.36328125" style="464" customWidth="1"/>
    <col min="7959" max="7959" width="13.6328125" style="464" customWidth="1"/>
    <col min="7960" max="7960" width="16.453125" style="464" customWidth="1"/>
    <col min="7961" max="8195" width="9" style="464"/>
    <col min="8196" max="8196" width="9.6328125" style="464" customWidth="1"/>
    <col min="8197" max="8198" width="5.08984375" style="464" customWidth="1"/>
    <col min="8199" max="8199" width="9.6328125" style="464" customWidth="1"/>
    <col min="8200" max="8201" width="11.6328125" style="464" customWidth="1"/>
    <col min="8202" max="8202" width="15.36328125" style="464" customWidth="1"/>
    <col min="8203" max="8203" width="10.90625" style="464" customWidth="1"/>
    <col min="8204" max="8214" width="13.36328125" style="464" customWidth="1"/>
    <col min="8215" max="8215" width="13.6328125" style="464" customWidth="1"/>
    <col min="8216" max="8216" width="16.453125" style="464" customWidth="1"/>
    <col min="8217" max="8451" width="9" style="464"/>
    <col min="8452" max="8452" width="9.6328125" style="464" customWidth="1"/>
    <col min="8453" max="8454" width="5.08984375" style="464" customWidth="1"/>
    <col min="8455" max="8455" width="9.6328125" style="464" customWidth="1"/>
    <col min="8456" max="8457" width="11.6328125" style="464" customWidth="1"/>
    <col min="8458" max="8458" width="15.36328125" style="464" customWidth="1"/>
    <col min="8459" max="8459" width="10.90625" style="464" customWidth="1"/>
    <col min="8460" max="8470" width="13.36328125" style="464" customWidth="1"/>
    <col min="8471" max="8471" width="13.6328125" style="464" customWidth="1"/>
    <col min="8472" max="8472" width="16.453125" style="464" customWidth="1"/>
    <col min="8473" max="8707" width="9" style="464"/>
    <col min="8708" max="8708" width="9.6328125" style="464" customWidth="1"/>
    <col min="8709" max="8710" width="5.08984375" style="464" customWidth="1"/>
    <col min="8711" max="8711" width="9.6328125" style="464" customWidth="1"/>
    <col min="8712" max="8713" width="11.6328125" style="464" customWidth="1"/>
    <col min="8714" max="8714" width="15.36328125" style="464" customWidth="1"/>
    <col min="8715" max="8715" width="10.90625" style="464" customWidth="1"/>
    <col min="8716" max="8726" width="13.36328125" style="464" customWidth="1"/>
    <col min="8727" max="8727" width="13.6328125" style="464" customWidth="1"/>
    <col min="8728" max="8728" width="16.453125" style="464" customWidth="1"/>
    <col min="8729" max="8963" width="9" style="464"/>
    <col min="8964" max="8964" width="9.6328125" style="464" customWidth="1"/>
    <col min="8965" max="8966" width="5.08984375" style="464" customWidth="1"/>
    <col min="8967" max="8967" width="9.6328125" style="464" customWidth="1"/>
    <col min="8968" max="8969" width="11.6328125" style="464" customWidth="1"/>
    <col min="8970" max="8970" width="15.36328125" style="464" customWidth="1"/>
    <col min="8971" max="8971" width="10.90625" style="464" customWidth="1"/>
    <col min="8972" max="8982" width="13.36328125" style="464" customWidth="1"/>
    <col min="8983" max="8983" width="13.6328125" style="464" customWidth="1"/>
    <col min="8984" max="8984" width="16.453125" style="464" customWidth="1"/>
    <col min="8985" max="9219" width="9" style="464"/>
    <col min="9220" max="9220" width="9.6328125" style="464" customWidth="1"/>
    <col min="9221" max="9222" width="5.08984375" style="464" customWidth="1"/>
    <col min="9223" max="9223" width="9.6328125" style="464" customWidth="1"/>
    <col min="9224" max="9225" width="11.6328125" style="464" customWidth="1"/>
    <col min="9226" max="9226" width="15.36328125" style="464" customWidth="1"/>
    <col min="9227" max="9227" width="10.90625" style="464" customWidth="1"/>
    <col min="9228" max="9238" width="13.36328125" style="464" customWidth="1"/>
    <col min="9239" max="9239" width="13.6328125" style="464" customWidth="1"/>
    <col min="9240" max="9240" width="16.453125" style="464" customWidth="1"/>
    <col min="9241" max="9475" width="9" style="464"/>
    <col min="9476" max="9476" width="9.6328125" style="464" customWidth="1"/>
    <col min="9477" max="9478" width="5.08984375" style="464" customWidth="1"/>
    <col min="9479" max="9479" width="9.6328125" style="464" customWidth="1"/>
    <col min="9480" max="9481" width="11.6328125" style="464" customWidth="1"/>
    <col min="9482" max="9482" width="15.36328125" style="464" customWidth="1"/>
    <col min="9483" max="9483" width="10.90625" style="464" customWidth="1"/>
    <col min="9484" max="9494" width="13.36328125" style="464" customWidth="1"/>
    <col min="9495" max="9495" width="13.6328125" style="464" customWidth="1"/>
    <col min="9496" max="9496" width="16.453125" style="464" customWidth="1"/>
    <col min="9497" max="9731" width="9" style="464"/>
    <col min="9732" max="9732" width="9.6328125" style="464" customWidth="1"/>
    <col min="9733" max="9734" width="5.08984375" style="464" customWidth="1"/>
    <col min="9735" max="9735" width="9.6328125" style="464" customWidth="1"/>
    <col min="9736" max="9737" width="11.6328125" style="464" customWidth="1"/>
    <col min="9738" max="9738" width="15.36328125" style="464" customWidth="1"/>
    <col min="9739" max="9739" width="10.90625" style="464" customWidth="1"/>
    <col min="9740" max="9750" width="13.36328125" style="464" customWidth="1"/>
    <col min="9751" max="9751" width="13.6328125" style="464" customWidth="1"/>
    <col min="9752" max="9752" width="16.453125" style="464" customWidth="1"/>
    <col min="9753" max="9987" width="9" style="464"/>
    <col min="9988" max="9988" width="9.6328125" style="464" customWidth="1"/>
    <col min="9989" max="9990" width="5.08984375" style="464" customWidth="1"/>
    <col min="9991" max="9991" width="9.6328125" style="464" customWidth="1"/>
    <col min="9992" max="9993" width="11.6328125" style="464" customWidth="1"/>
    <col min="9994" max="9994" width="15.36328125" style="464" customWidth="1"/>
    <col min="9995" max="9995" width="10.90625" style="464" customWidth="1"/>
    <col min="9996" max="10006" width="13.36328125" style="464" customWidth="1"/>
    <col min="10007" max="10007" width="13.6328125" style="464" customWidth="1"/>
    <col min="10008" max="10008" width="16.453125" style="464" customWidth="1"/>
    <col min="10009" max="10243" width="9" style="464"/>
    <col min="10244" max="10244" width="9.6328125" style="464" customWidth="1"/>
    <col min="10245" max="10246" width="5.08984375" style="464" customWidth="1"/>
    <col min="10247" max="10247" width="9.6328125" style="464" customWidth="1"/>
    <col min="10248" max="10249" width="11.6328125" style="464" customWidth="1"/>
    <col min="10250" max="10250" width="15.36328125" style="464" customWidth="1"/>
    <col min="10251" max="10251" width="10.90625" style="464" customWidth="1"/>
    <col min="10252" max="10262" width="13.36328125" style="464" customWidth="1"/>
    <col min="10263" max="10263" width="13.6328125" style="464" customWidth="1"/>
    <col min="10264" max="10264" width="16.453125" style="464" customWidth="1"/>
    <col min="10265" max="10499" width="9" style="464"/>
    <col min="10500" max="10500" width="9.6328125" style="464" customWidth="1"/>
    <col min="10501" max="10502" width="5.08984375" style="464" customWidth="1"/>
    <col min="10503" max="10503" width="9.6328125" style="464" customWidth="1"/>
    <col min="10504" max="10505" width="11.6328125" style="464" customWidth="1"/>
    <col min="10506" max="10506" width="15.36328125" style="464" customWidth="1"/>
    <col min="10507" max="10507" width="10.90625" style="464" customWidth="1"/>
    <col min="10508" max="10518" width="13.36328125" style="464" customWidth="1"/>
    <col min="10519" max="10519" width="13.6328125" style="464" customWidth="1"/>
    <col min="10520" max="10520" width="16.453125" style="464" customWidth="1"/>
    <col min="10521" max="10755" width="9" style="464"/>
    <col min="10756" max="10756" width="9.6328125" style="464" customWidth="1"/>
    <col min="10757" max="10758" width="5.08984375" style="464" customWidth="1"/>
    <col min="10759" max="10759" width="9.6328125" style="464" customWidth="1"/>
    <col min="10760" max="10761" width="11.6328125" style="464" customWidth="1"/>
    <col min="10762" max="10762" width="15.36328125" style="464" customWidth="1"/>
    <col min="10763" max="10763" width="10.90625" style="464" customWidth="1"/>
    <col min="10764" max="10774" width="13.36328125" style="464" customWidth="1"/>
    <col min="10775" max="10775" width="13.6328125" style="464" customWidth="1"/>
    <col min="10776" max="10776" width="16.453125" style="464" customWidth="1"/>
    <col min="10777" max="11011" width="9" style="464"/>
    <col min="11012" max="11012" width="9.6328125" style="464" customWidth="1"/>
    <col min="11013" max="11014" width="5.08984375" style="464" customWidth="1"/>
    <col min="11015" max="11015" width="9.6328125" style="464" customWidth="1"/>
    <col min="11016" max="11017" width="11.6328125" style="464" customWidth="1"/>
    <col min="11018" max="11018" width="15.36328125" style="464" customWidth="1"/>
    <col min="11019" max="11019" width="10.90625" style="464" customWidth="1"/>
    <col min="11020" max="11030" width="13.36328125" style="464" customWidth="1"/>
    <col min="11031" max="11031" width="13.6328125" style="464" customWidth="1"/>
    <col min="11032" max="11032" width="16.453125" style="464" customWidth="1"/>
    <col min="11033" max="11267" width="9" style="464"/>
    <col min="11268" max="11268" width="9.6328125" style="464" customWidth="1"/>
    <col min="11269" max="11270" width="5.08984375" style="464" customWidth="1"/>
    <col min="11271" max="11271" width="9.6328125" style="464" customWidth="1"/>
    <col min="11272" max="11273" width="11.6328125" style="464" customWidth="1"/>
    <col min="11274" max="11274" width="15.36328125" style="464" customWidth="1"/>
    <col min="11275" max="11275" width="10.90625" style="464" customWidth="1"/>
    <col min="11276" max="11286" width="13.36328125" style="464" customWidth="1"/>
    <col min="11287" max="11287" width="13.6328125" style="464" customWidth="1"/>
    <col min="11288" max="11288" width="16.453125" style="464" customWidth="1"/>
    <col min="11289" max="11523" width="9" style="464"/>
    <col min="11524" max="11524" width="9.6328125" style="464" customWidth="1"/>
    <col min="11525" max="11526" width="5.08984375" style="464" customWidth="1"/>
    <col min="11527" max="11527" width="9.6328125" style="464" customWidth="1"/>
    <col min="11528" max="11529" width="11.6328125" style="464" customWidth="1"/>
    <col min="11530" max="11530" width="15.36328125" style="464" customWidth="1"/>
    <col min="11531" max="11531" width="10.90625" style="464" customWidth="1"/>
    <col min="11532" max="11542" width="13.36328125" style="464" customWidth="1"/>
    <col min="11543" max="11543" width="13.6328125" style="464" customWidth="1"/>
    <col min="11544" max="11544" width="16.453125" style="464" customWidth="1"/>
    <col min="11545" max="11779" width="9" style="464"/>
    <col min="11780" max="11780" width="9.6328125" style="464" customWidth="1"/>
    <col min="11781" max="11782" width="5.08984375" style="464" customWidth="1"/>
    <col min="11783" max="11783" width="9.6328125" style="464" customWidth="1"/>
    <col min="11784" max="11785" width="11.6328125" style="464" customWidth="1"/>
    <col min="11786" max="11786" width="15.36328125" style="464" customWidth="1"/>
    <col min="11787" max="11787" width="10.90625" style="464" customWidth="1"/>
    <col min="11788" max="11798" width="13.36328125" style="464" customWidth="1"/>
    <col min="11799" max="11799" width="13.6328125" style="464" customWidth="1"/>
    <col min="11800" max="11800" width="16.453125" style="464" customWidth="1"/>
    <col min="11801" max="12035" width="9" style="464"/>
    <col min="12036" max="12036" width="9.6328125" style="464" customWidth="1"/>
    <col min="12037" max="12038" width="5.08984375" style="464" customWidth="1"/>
    <col min="12039" max="12039" width="9.6328125" style="464" customWidth="1"/>
    <col min="12040" max="12041" width="11.6328125" style="464" customWidth="1"/>
    <col min="12042" max="12042" width="15.36328125" style="464" customWidth="1"/>
    <col min="12043" max="12043" width="10.90625" style="464" customWidth="1"/>
    <col min="12044" max="12054" width="13.36328125" style="464" customWidth="1"/>
    <col min="12055" max="12055" width="13.6328125" style="464" customWidth="1"/>
    <col min="12056" max="12056" width="16.453125" style="464" customWidth="1"/>
    <col min="12057" max="12291" width="9" style="464"/>
    <col min="12292" max="12292" width="9.6328125" style="464" customWidth="1"/>
    <col min="12293" max="12294" width="5.08984375" style="464" customWidth="1"/>
    <col min="12295" max="12295" width="9.6328125" style="464" customWidth="1"/>
    <col min="12296" max="12297" width="11.6328125" style="464" customWidth="1"/>
    <col min="12298" max="12298" width="15.36328125" style="464" customWidth="1"/>
    <col min="12299" max="12299" width="10.90625" style="464" customWidth="1"/>
    <col min="12300" max="12310" width="13.36328125" style="464" customWidth="1"/>
    <col min="12311" max="12311" width="13.6328125" style="464" customWidth="1"/>
    <col min="12312" max="12312" width="16.453125" style="464" customWidth="1"/>
    <col min="12313" max="12547" width="9" style="464"/>
    <col min="12548" max="12548" width="9.6328125" style="464" customWidth="1"/>
    <col min="12549" max="12550" width="5.08984375" style="464" customWidth="1"/>
    <col min="12551" max="12551" width="9.6328125" style="464" customWidth="1"/>
    <col min="12552" max="12553" width="11.6328125" style="464" customWidth="1"/>
    <col min="12554" max="12554" width="15.36328125" style="464" customWidth="1"/>
    <col min="12555" max="12555" width="10.90625" style="464" customWidth="1"/>
    <col min="12556" max="12566" width="13.36328125" style="464" customWidth="1"/>
    <col min="12567" max="12567" width="13.6328125" style="464" customWidth="1"/>
    <col min="12568" max="12568" width="16.453125" style="464" customWidth="1"/>
    <col min="12569" max="12803" width="9" style="464"/>
    <col min="12804" max="12804" width="9.6328125" style="464" customWidth="1"/>
    <col min="12805" max="12806" width="5.08984375" style="464" customWidth="1"/>
    <col min="12807" max="12807" width="9.6328125" style="464" customWidth="1"/>
    <col min="12808" max="12809" width="11.6328125" style="464" customWidth="1"/>
    <col min="12810" max="12810" width="15.36328125" style="464" customWidth="1"/>
    <col min="12811" max="12811" width="10.90625" style="464" customWidth="1"/>
    <col min="12812" max="12822" width="13.36328125" style="464" customWidth="1"/>
    <col min="12823" max="12823" width="13.6328125" style="464" customWidth="1"/>
    <col min="12824" max="12824" width="16.453125" style="464" customWidth="1"/>
    <col min="12825" max="13059" width="9" style="464"/>
    <col min="13060" max="13060" width="9.6328125" style="464" customWidth="1"/>
    <col min="13061" max="13062" width="5.08984375" style="464" customWidth="1"/>
    <col min="13063" max="13063" width="9.6328125" style="464" customWidth="1"/>
    <col min="13064" max="13065" width="11.6328125" style="464" customWidth="1"/>
    <col min="13066" max="13066" width="15.36328125" style="464" customWidth="1"/>
    <col min="13067" max="13067" width="10.90625" style="464" customWidth="1"/>
    <col min="13068" max="13078" width="13.36328125" style="464" customWidth="1"/>
    <col min="13079" max="13079" width="13.6328125" style="464" customWidth="1"/>
    <col min="13080" max="13080" width="16.453125" style="464" customWidth="1"/>
    <col min="13081" max="13315" width="9" style="464"/>
    <col min="13316" max="13316" width="9.6328125" style="464" customWidth="1"/>
    <col min="13317" max="13318" width="5.08984375" style="464" customWidth="1"/>
    <col min="13319" max="13319" width="9.6328125" style="464" customWidth="1"/>
    <col min="13320" max="13321" width="11.6328125" style="464" customWidth="1"/>
    <col min="13322" max="13322" width="15.36328125" style="464" customWidth="1"/>
    <col min="13323" max="13323" width="10.90625" style="464" customWidth="1"/>
    <col min="13324" max="13334" width="13.36328125" style="464" customWidth="1"/>
    <col min="13335" max="13335" width="13.6328125" style="464" customWidth="1"/>
    <col min="13336" max="13336" width="16.453125" style="464" customWidth="1"/>
    <col min="13337" max="13571" width="9" style="464"/>
    <col min="13572" max="13572" width="9.6328125" style="464" customWidth="1"/>
    <col min="13573" max="13574" width="5.08984375" style="464" customWidth="1"/>
    <col min="13575" max="13575" width="9.6328125" style="464" customWidth="1"/>
    <col min="13576" max="13577" width="11.6328125" style="464" customWidth="1"/>
    <col min="13578" max="13578" width="15.36328125" style="464" customWidth="1"/>
    <col min="13579" max="13579" width="10.90625" style="464" customWidth="1"/>
    <col min="13580" max="13590" width="13.36328125" style="464" customWidth="1"/>
    <col min="13591" max="13591" width="13.6328125" style="464" customWidth="1"/>
    <col min="13592" max="13592" width="16.453125" style="464" customWidth="1"/>
    <col min="13593" max="13827" width="9" style="464"/>
    <col min="13828" max="13828" width="9.6328125" style="464" customWidth="1"/>
    <col min="13829" max="13830" width="5.08984375" style="464" customWidth="1"/>
    <col min="13831" max="13831" width="9.6328125" style="464" customWidth="1"/>
    <col min="13832" max="13833" width="11.6328125" style="464" customWidth="1"/>
    <col min="13834" max="13834" width="15.36328125" style="464" customWidth="1"/>
    <col min="13835" max="13835" width="10.90625" style="464" customWidth="1"/>
    <col min="13836" max="13846" width="13.36328125" style="464" customWidth="1"/>
    <col min="13847" max="13847" width="13.6328125" style="464" customWidth="1"/>
    <col min="13848" max="13848" width="16.453125" style="464" customWidth="1"/>
    <col min="13849" max="14083" width="9" style="464"/>
    <col min="14084" max="14084" width="9.6328125" style="464" customWidth="1"/>
    <col min="14085" max="14086" width="5.08984375" style="464" customWidth="1"/>
    <col min="14087" max="14087" width="9.6328125" style="464" customWidth="1"/>
    <col min="14088" max="14089" width="11.6328125" style="464" customWidth="1"/>
    <col min="14090" max="14090" width="15.36328125" style="464" customWidth="1"/>
    <col min="14091" max="14091" width="10.90625" style="464" customWidth="1"/>
    <col min="14092" max="14102" width="13.36328125" style="464" customWidth="1"/>
    <col min="14103" max="14103" width="13.6328125" style="464" customWidth="1"/>
    <col min="14104" max="14104" width="16.453125" style="464" customWidth="1"/>
    <col min="14105" max="14339" width="9" style="464"/>
    <col min="14340" max="14340" width="9.6328125" style="464" customWidth="1"/>
    <col min="14341" max="14342" width="5.08984375" style="464" customWidth="1"/>
    <col min="14343" max="14343" width="9.6328125" style="464" customWidth="1"/>
    <col min="14344" max="14345" width="11.6328125" style="464" customWidth="1"/>
    <col min="14346" max="14346" width="15.36328125" style="464" customWidth="1"/>
    <col min="14347" max="14347" width="10.90625" style="464" customWidth="1"/>
    <col min="14348" max="14358" width="13.36328125" style="464" customWidth="1"/>
    <col min="14359" max="14359" width="13.6328125" style="464" customWidth="1"/>
    <col min="14360" max="14360" width="16.453125" style="464" customWidth="1"/>
    <col min="14361" max="14595" width="9" style="464"/>
    <col min="14596" max="14596" width="9.6328125" style="464" customWidth="1"/>
    <col min="14597" max="14598" width="5.08984375" style="464" customWidth="1"/>
    <col min="14599" max="14599" width="9.6328125" style="464" customWidth="1"/>
    <col min="14600" max="14601" width="11.6328125" style="464" customWidth="1"/>
    <col min="14602" max="14602" width="15.36328125" style="464" customWidth="1"/>
    <col min="14603" max="14603" width="10.90625" style="464" customWidth="1"/>
    <col min="14604" max="14614" width="13.36328125" style="464" customWidth="1"/>
    <col min="14615" max="14615" width="13.6328125" style="464" customWidth="1"/>
    <col min="14616" max="14616" width="16.453125" style="464" customWidth="1"/>
    <col min="14617" max="14851" width="9" style="464"/>
    <col min="14852" max="14852" width="9.6328125" style="464" customWidth="1"/>
    <col min="14853" max="14854" width="5.08984375" style="464" customWidth="1"/>
    <col min="14855" max="14855" width="9.6328125" style="464" customWidth="1"/>
    <col min="14856" max="14857" width="11.6328125" style="464" customWidth="1"/>
    <col min="14858" max="14858" width="15.36328125" style="464" customWidth="1"/>
    <col min="14859" max="14859" width="10.90625" style="464" customWidth="1"/>
    <col min="14860" max="14870" width="13.36328125" style="464" customWidth="1"/>
    <col min="14871" max="14871" width="13.6328125" style="464" customWidth="1"/>
    <col min="14872" max="14872" width="16.453125" style="464" customWidth="1"/>
    <col min="14873" max="15107" width="9" style="464"/>
    <col min="15108" max="15108" width="9.6328125" style="464" customWidth="1"/>
    <col min="15109" max="15110" width="5.08984375" style="464" customWidth="1"/>
    <col min="15111" max="15111" width="9.6328125" style="464" customWidth="1"/>
    <col min="15112" max="15113" width="11.6328125" style="464" customWidth="1"/>
    <col min="15114" max="15114" width="15.36328125" style="464" customWidth="1"/>
    <col min="15115" max="15115" width="10.90625" style="464" customWidth="1"/>
    <col min="15116" max="15126" width="13.36328125" style="464" customWidth="1"/>
    <col min="15127" max="15127" width="13.6328125" style="464" customWidth="1"/>
    <col min="15128" max="15128" width="16.453125" style="464" customWidth="1"/>
    <col min="15129" max="15363" width="9" style="464"/>
    <col min="15364" max="15364" width="9.6328125" style="464" customWidth="1"/>
    <col min="15365" max="15366" width="5.08984375" style="464" customWidth="1"/>
    <col min="15367" max="15367" width="9.6328125" style="464" customWidth="1"/>
    <col min="15368" max="15369" width="11.6328125" style="464" customWidth="1"/>
    <col min="15370" max="15370" width="15.36328125" style="464" customWidth="1"/>
    <col min="15371" max="15371" width="10.90625" style="464" customWidth="1"/>
    <col min="15372" max="15382" width="13.36328125" style="464" customWidth="1"/>
    <col min="15383" max="15383" width="13.6328125" style="464" customWidth="1"/>
    <col min="15384" max="15384" width="16.453125" style="464" customWidth="1"/>
    <col min="15385" max="15619" width="9" style="464"/>
    <col min="15620" max="15620" width="9.6328125" style="464" customWidth="1"/>
    <col min="15621" max="15622" width="5.08984375" style="464" customWidth="1"/>
    <col min="15623" max="15623" width="9.6328125" style="464" customWidth="1"/>
    <col min="15624" max="15625" width="11.6328125" style="464" customWidth="1"/>
    <col min="15626" max="15626" width="15.36328125" style="464" customWidth="1"/>
    <col min="15627" max="15627" width="10.90625" style="464" customWidth="1"/>
    <col min="15628" max="15638" width="13.36328125" style="464" customWidth="1"/>
    <col min="15639" max="15639" width="13.6328125" style="464" customWidth="1"/>
    <col min="15640" max="15640" width="16.453125" style="464" customWidth="1"/>
    <col min="15641" max="15875" width="9" style="464"/>
    <col min="15876" max="15876" width="9.6328125" style="464" customWidth="1"/>
    <col min="15877" max="15878" width="5.08984375" style="464" customWidth="1"/>
    <col min="15879" max="15879" width="9.6328125" style="464" customWidth="1"/>
    <col min="15880" max="15881" width="11.6328125" style="464" customWidth="1"/>
    <col min="15882" max="15882" width="15.36328125" style="464" customWidth="1"/>
    <col min="15883" max="15883" width="10.90625" style="464" customWidth="1"/>
    <col min="15884" max="15894" width="13.36328125" style="464" customWidth="1"/>
    <col min="15895" max="15895" width="13.6328125" style="464" customWidth="1"/>
    <col min="15896" max="15896" width="16.453125" style="464" customWidth="1"/>
    <col min="15897" max="16131" width="9" style="464"/>
    <col min="16132" max="16132" width="9.6328125" style="464" customWidth="1"/>
    <col min="16133" max="16134" width="5.08984375" style="464" customWidth="1"/>
    <col min="16135" max="16135" width="9.6328125" style="464" customWidth="1"/>
    <col min="16136" max="16137" width="11.6328125" style="464" customWidth="1"/>
    <col min="16138" max="16138" width="15.36328125" style="464" customWidth="1"/>
    <col min="16139" max="16139" width="10.90625" style="464" customWidth="1"/>
    <col min="16140" max="16150" width="13.36328125" style="464" customWidth="1"/>
    <col min="16151" max="16151" width="13.6328125" style="464" customWidth="1"/>
    <col min="16152" max="16152" width="16.453125" style="464" customWidth="1"/>
    <col min="16153" max="16384" width="9" style="464"/>
  </cols>
  <sheetData>
    <row r="1" spans="1:26" s="127" customFormat="1" ht="36">
      <c r="A1" s="230" t="s">
        <v>83</v>
      </c>
      <c r="B1" s="230" t="s">
        <v>84</v>
      </c>
      <c r="C1" s="133" t="s">
        <v>56</v>
      </c>
      <c r="D1" s="134" t="s">
        <v>0</v>
      </c>
      <c r="E1" s="134" t="s">
        <v>1</v>
      </c>
      <c r="F1" s="135" t="s">
        <v>2</v>
      </c>
      <c r="G1" s="135" t="s">
        <v>58</v>
      </c>
      <c r="H1" s="135" t="s">
        <v>3</v>
      </c>
      <c r="I1" s="136" t="s">
        <v>4</v>
      </c>
      <c r="J1" s="137" t="s">
        <v>5</v>
      </c>
      <c r="K1" s="139" t="s">
        <v>6</v>
      </c>
      <c r="L1" s="37" t="s">
        <v>7</v>
      </c>
      <c r="M1" s="238" t="s">
        <v>8</v>
      </c>
      <c r="N1" s="238" t="s">
        <v>9</v>
      </c>
      <c r="O1" s="238" t="s">
        <v>10</v>
      </c>
      <c r="P1" s="238" t="s">
        <v>11</v>
      </c>
      <c r="Q1" s="238" t="s">
        <v>12</v>
      </c>
      <c r="R1" s="238" t="s">
        <v>13</v>
      </c>
      <c r="S1" s="238" t="s">
        <v>14</v>
      </c>
      <c r="T1" s="238" t="s">
        <v>15</v>
      </c>
      <c r="U1" s="238" t="s">
        <v>16</v>
      </c>
      <c r="V1" s="238" t="s">
        <v>17</v>
      </c>
      <c r="W1" s="366" t="s">
        <v>18</v>
      </c>
      <c r="X1" s="154" t="s">
        <v>19</v>
      </c>
    </row>
    <row r="2" spans="1:26" s="1" customFormat="1">
      <c r="A2" s="112"/>
      <c r="B2" s="72"/>
      <c r="C2" s="548" t="s">
        <v>90</v>
      </c>
      <c r="D2" s="549"/>
      <c r="E2" s="549"/>
      <c r="F2" s="549"/>
      <c r="G2" s="549"/>
      <c r="H2" s="549"/>
      <c r="I2" s="549"/>
      <c r="J2" s="550"/>
      <c r="K2" s="208" t="s">
        <v>20</v>
      </c>
      <c r="L2" s="324">
        <f>L161</f>
        <v>5889090</v>
      </c>
      <c r="M2" s="402">
        <f t="shared" ref="M2:W3" si="0">M161</f>
        <v>5730205</v>
      </c>
      <c r="N2" s="402">
        <f t="shared" si="0"/>
        <v>5873915</v>
      </c>
      <c r="O2" s="402">
        <f t="shared" si="0"/>
        <v>6739310</v>
      </c>
      <c r="P2" s="402">
        <f t="shared" si="0"/>
        <v>6687320</v>
      </c>
      <c r="Q2" s="402">
        <f t="shared" si="0"/>
        <v>6848325</v>
      </c>
      <c r="R2" s="402">
        <f t="shared" si="0"/>
        <v>7151175</v>
      </c>
      <c r="S2" s="402">
        <f t="shared" si="0"/>
        <v>6571715</v>
      </c>
      <c r="T2" s="402">
        <f t="shared" si="0"/>
        <v>6927610</v>
      </c>
      <c r="U2" s="402">
        <f t="shared" si="0"/>
        <v>6621775</v>
      </c>
      <c r="V2" s="402">
        <f t="shared" si="0"/>
        <v>6433350</v>
      </c>
      <c r="W2" s="110">
        <f t="shared" si="0"/>
        <v>6652111.666666666</v>
      </c>
      <c r="X2" s="46">
        <f t="shared" ref="X2:X4" si="1">SUM(L2:W2)</f>
        <v>78125901.666666672</v>
      </c>
      <c r="Z2" s="70"/>
    </row>
    <row r="3" spans="1:26" s="1" customFormat="1">
      <c r="A3" s="112"/>
      <c r="B3" s="72"/>
      <c r="C3" s="551"/>
      <c r="D3" s="552"/>
      <c r="E3" s="552"/>
      <c r="F3" s="552"/>
      <c r="G3" s="552"/>
      <c r="H3" s="552"/>
      <c r="I3" s="552"/>
      <c r="J3" s="553"/>
      <c r="K3" s="186" t="s">
        <v>21</v>
      </c>
      <c r="L3" s="325">
        <f>L162</f>
        <v>4783382</v>
      </c>
      <c r="M3" s="403">
        <f t="shared" si="0"/>
        <v>4635866</v>
      </c>
      <c r="N3" s="403">
        <f t="shared" si="0"/>
        <v>4798011</v>
      </c>
      <c r="O3" s="403">
        <f t="shared" si="0"/>
        <v>5344646</v>
      </c>
      <c r="P3" s="403">
        <f t="shared" si="0"/>
        <v>5503766</v>
      </c>
      <c r="Q3" s="403">
        <f t="shared" si="0"/>
        <v>5638676</v>
      </c>
      <c r="R3" s="403">
        <f t="shared" si="0"/>
        <v>5549070</v>
      </c>
      <c r="S3" s="403">
        <f t="shared" si="0"/>
        <v>5218175</v>
      </c>
      <c r="T3" s="403">
        <f t="shared" si="0"/>
        <v>5343375</v>
      </c>
      <c r="U3" s="403">
        <f t="shared" si="0"/>
        <v>5112012</v>
      </c>
      <c r="V3" s="403">
        <f t="shared" si="0"/>
        <v>5042344</v>
      </c>
      <c r="W3" s="95">
        <f t="shared" si="0"/>
        <v>5202936.277777778</v>
      </c>
      <c r="X3" s="47">
        <f t="shared" si="1"/>
        <v>62172259.277777776</v>
      </c>
      <c r="Z3" s="70"/>
    </row>
    <row r="4" spans="1:26" s="1" customFormat="1" ht="12.5" thickBot="1">
      <c r="A4" s="112"/>
      <c r="B4" s="72"/>
      <c r="C4" s="551"/>
      <c r="D4" s="552"/>
      <c r="E4" s="552"/>
      <c r="F4" s="552"/>
      <c r="G4" s="552"/>
      <c r="H4" s="552"/>
      <c r="I4" s="552"/>
      <c r="J4" s="553"/>
      <c r="K4" s="209" t="s">
        <v>22</v>
      </c>
      <c r="L4" s="326">
        <f t="shared" ref="L4:W4" si="2">L2-L3</f>
        <v>1105708</v>
      </c>
      <c r="M4" s="404">
        <f t="shared" si="2"/>
        <v>1094339</v>
      </c>
      <c r="N4" s="404">
        <f t="shared" si="2"/>
        <v>1075904</v>
      </c>
      <c r="O4" s="404">
        <f t="shared" si="2"/>
        <v>1394664</v>
      </c>
      <c r="P4" s="404">
        <f t="shared" si="2"/>
        <v>1183554</v>
      </c>
      <c r="Q4" s="404">
        <f t="shared" si="2"/>
        <v>1209649</v>
      </c>
      <c r="R4" s="404">
        <f t="shared" si="2"/>
        <v>1602105</v>
      </c>
      <c r="S4" s="404">
        <f t="shared" si="2"/>
        <v>1353540</v>
      </c>
      <c r="T4" s="404">
        <f t="shared" si="2"/>
        <v>1584235</v>
      </c>
      <c r="U4" s="404">
        <f t="shared" si="2"/>
        <v>1509763</v>
      </c>
      <c r="V4" s="404">
        <f t="shared" si="2"/>
        <v>1391006</v>
      </c>
      <c r="W4" s="111">
        <f t="shared" si="2"/>
        <v>1449175.3888888881</v>
      </c>
      <c r="X4" s="48">
        <f t="shared" si="1"/>
        <v>15953642.388888888</v>
      </c>
      <c r="Z4" s="70"/>
    </row>
    <row r="5" spans="1:26" ht="12.75" customHeight="1" thickTop="1">
      <c r="A5" s="113">
        <v>2020003</v>
      </c>
      <c r="C5" s="641">
        <f>1</f>
        <v>1</v>
      </c>
      <c r="D5" s="644" t="s">
        <v>60</v>
      </c>
      <c r="E5" s="644"/>
      <c r="F5" s="644"/>
      <c r="G5" s="644" t="s">
        <v>124</v>
      </c>
      <c r="H5" s="647"/>
      <c r="I5" s="647"/>
      <c r="J5" s="628" t="s">
        <v>65</v>
      </c>
      <c r="K5" s="191" t="s">
        <v>23</v>
      </c>
      <c r="L5" s="342">
        <f t="shared" ref="L5:W5" si="3">L6+L7</f>
        <v>889220</v>
      </c>
      <c r="M5" s="409">
        <f t="shared" si="3"/>
        <v>874250</v>
      </c>
      <c r="N5" s="409">
        <f>N6+N7</f>
        <v>960000</v>
      </c>
      <c r="O5" s="409">
        <f t="shared" si="3"/>
        <v>1235010</v>
      </c>
      <c r="P5" s="409">
        <f t="shared" si="3"/>
        <v>1025330</v>
      </c>
      <c r="Q5" s="409">
        <f t="shared" si="3"/>
        <v>1002720</v>
      </c>
      <c r="R5" s="409">
        <f t="shared" si="3"/>
        <v>960000</v>
      </c>
      <c r="S5" s="409">
        <f t="shared" si="3"/>
        <v>960000</v>
      </c>
      <c r="T5" s="409">
        <f t="shared" si="3"/>
        <v>960000</v>
      </c>
      <c r="U5" s="409">
        <f t="shared" si="3"/>
        <v>960000</v>
      </c>
      <c r="V5" s="409">
        <f t="shared" si="3"/>
        <v>960000</v>
      </c>
      <c r="W5" s="97">
        <f t="shared" si="3"/>
        <v>888386.66666666663</v>
      </c>
      <c r="X5" s="117">
        <f t="shared" ref="X5:X15" si="4">SUM(L5:W5)</f>
        <v>11674916.666666666</v>
      </c>
      <c r="Y5" s="463"/>
      <c r="Z5" s="463"/>
    </row>
    <row r="6" spans="1:26">
      <c r="A6" s="465">
        <f t="shared" ref="A6:A16" si="5">+A5</f>
        <v>2020003</v>
      </c>
      <c r="B6" s="466"/>
      <c r="C6" s="642"/>
      <c r="D6" s="645"/>
      <c r="E6" s="645"/>
      <c r="F6" s="645"/>
      <c r="G6" s="645"/>
      <c r="H6" s="648"/>
      <c r="I6" s="648"/>
      <c r="J6" s="629"/>
      <c r="K6" s="187" t="s">
        <v>24</v>
      </c>
      <c r="L6" s="343">
        <v>887970</v>
      </c>
      <c r="M6" s="297">
        <v>874250</v>
      </c>
      <c r="N6" s="297">
        <v>960000</v>
      </c>
      <c r="O6" s="297">
        <v>1235010</v>
      </c>
      <c r="P6" s="297">
        <v>1024080</v>
      </c>
      <c r="Q6" s="297">
        <v>1002720</v>
      </c>
      <c r="R6" s="297">
        <v>960000</v>
      </c>
      <c r="S6" s="297">
        <v>960000</v>
      </c>
      <c r="T6" s="297">
        <v>960000</v>
      </c>
      <c r="U6" s="297">
        <v>960000</v>
      </c>
      <c r="V6" s="297">
        <v>960000</v>
      </c>
      <c r="W6" s="91">
        <v>887970</v>
      </c>
      <c r="X6" s="49">
        <f t="shared" si="4"/>
        <v>11672000</v>
      </c>
      <c r="Y6" s="463"/>
      <c r="Z6" s="463"/>
    </row>
    <row r="7" spans="1:26">
      <c r="A7" s="465">
        <f t="shared" si="5"/>
        <v>2020003</v>
      </c>
      <c r="B7" s="466"/>
      <c r="C7" s="642"/>
      <c r="D7" s="645"/>
      <c r="E7" s="645"/>
      <c r="F7" s="645"/>
      <c r="G7" s="645"/>
      <c r="H7" s="648"/>
      <c r="I7" s="648"/>
      <c r="J7" s="629"/>
      <c r="K7" s="146" t="s">
        <v>96</v>
      </c>
      <c r="L7" s="521">
        <v>1250</v>
      </c>
      <c r="M7" s="518">
        <v>0</v>
      </c>
      <c r="N7" s="518">
        <v>0</v>
      </c>
      <c r="O7" s="518">
        <v>0</v>
      </c>
      <c r="P7" s="518">
        <v>1250</v>
      </c>
      <c r="Q7" s="518">
        <v>0</v>
      </c>
      <c r="R7" s="518">
        <v>0</v>
      </c>
      <c r="S7" s="518">
        <v>0</v>
      </c>
      <c r="T7" s="518">
        <v>0</v>
      </c>
      <c r="U7" s="518">
        <v>0</v>
      </c>
      <c r="V7" s="518">
        <v>0</v>
      </c>
      <c r="W7" s="519">
        <v>416.66666666666669</v>
      </c>
      <c r="X7" s="49">
        <f t="shared" si="4"/>
        <v>2916.6666666666665</v>
      </c>
      <c r="Y7" s="463"/>
      <c r="Z7" s="463"/>
    </row>
    <row r="8" spans="1:26">
      <c r="A8" s="465">
        <f t="shared" si="5"/>
        <v>2020003</v>
      </c>
      <c r="B8" s="466"/>
      <c r="C8" s="642"/>
      <c r="D8" s="645"/>
      <c r="E8" s="645"/>
      <c r="F8" s="645"/>
      <c r="G8" s="645"/>
      <c r="H8" s="648"/>
      <c r="I8" s="648"/>
      <c r="J8" s="629"/>
      <c r="K8" s="188" t="s">
        <v>26</v>
      </c>
      <c r="L8" s="344">
        <f t="shared" ref="L8:W8" si="6">SUM(L9:L15)</f>
        <v>768043</v>
      </c>
      <c r="M8" s="411">
        <f t="shared" si="6"/>
        <v>761222</v>
      </c>
      <c r="N8" s="411">
        <f t="shared" si="6"/>
        <v>766518</v>
      </c>
      <c r="O8" s="411">
        <f t="shared" si="6"/>
        <v>1005116</v>
      </c>
      <c r="P8" s="411">
        <f t="shared" si="6"/>
        <v>951664</v>
      </c>
      <c r="Q8" s="411">
        <f t="shared" si="6"/>
        <v>1081056</v>
      </c>
      <c r="R8" s="411">
        <f t="shared" si="6"/>
        <v>805987</v>
      </c>
      <c r="S8" s="411">
        <f t="shared" si="6"/>
        <v>776951</v>
      </c>
      <c r="T8" s="411">
        <f t="shared" si="6"/>
        <v>776143</v>
      </c>
      <c r="U8" s="411">
        <f t="shared" si="6"/>
        <v>776951</v>
      </c>
      <c r="V8" s="411">
        <f t="shared" si="6"/>
        <v>778346</v>
      </c>
      <c r="W8" s="99">
        <f t="shared" si="6"/>
        <v>768043</v>
      </c>
      <c r="X8" s="50">
        <f t="shared" si="4"/>
        <v>10016040</v>
      </c>
      <c r="Y8" s="463"/>
      <c r="Z8" s="463"/>
    </row>
    <row r="9" spans="1:26">
      <c r="A9" s="465">
        <f t="shared" si="5"/>
        <v>2020003</v>
      </c>
      <c r="B9" s="466"/>
      <c r="C9" s="642"/>
      <c r="D9" s="645"/>
      <c r="E9" s="645"/>
      <c r="F9" s="645"/>
      <c r="G9" s="645"/>
      <c r="H9" s="648"/>
      <c r="I9" s="648"/>
      <c r="J9" s="629"/>
      <c r="K9" s="189" t="s">
        <v>27</v>
      </c>
      <c r="L9" s="343">
        <v>653650</v>
      </c>
      <c r="M9" s="297">
        <v>654800</v>
      </c>
      <c r="N9" s="297">
        <v>655200</v>
      </c>
      <c r="O9" s="297">
        <v>888900</v>
      </c>
      <c r="P9" s="297">
        <v>824898</v>
      </c>
      <c r="Q9" s="297">
        <v>952945</v>
      </c>
      <c r="R9" s="297">
        <v>695894</v>
      </c>
      <c r="S9" s="297">
        <v>652000</v>
      </c>
      <c r="T9" s="297">
        <v>651200</v>
      </c>
      <c r="U9" s="297">
        <v>652000</v>
      </c>
      <c r="V9" s="297">
        <v>653200</v>
      </c>
      <c r="W9" s="91">
        <v>653650</v>
      </c>
      <c r="X9" s="49">
        <f t="shared" si="4"/>
        <v>8588337</v>
      </c>
      <c r="Y9" s="463"/>
      <c r="Z9" s="463"/>
    </row>
    <row r="10" spans="1:26">
      <c r="A10" s="465">
        <f t="shared" si="5"/>
        <v>2020003</v>
      </c>
      <c r="B10" s="466"/>
      <c r="C10" s="642"/>
      <c r="D10" s="645"/>
      <c r="E10" s="645"/>
      <c r="F10" s="645"/>
      <c r="G10" s="645"/>
      <c r="H10" s="648"/>
      <c r="I10" s="648"/>
      <c r="J10" s="629"/>
      <c r="K10" s="189" t="s">
        <v>34</v>
      </c>
      <c r="L10" s="343"/>
      <c r="M10" s="297"/>
      <c r="N10" s="297"/>
      <c r="O10" s="297"/>
      <c r="P10" s="297"/>
      <c r="Q10" s="297"/>
      <c r="R10" s="297"/>
      <c r="S10" s="297"/>
      <c r="T10" s="297"/>
      <c r="U10" s="297"/>
      <c r="V10" s="297"/>
      <c r="W10" s="91"/>
      <c r="X10" s="49">
        <f t="shared" si="4"/>
        <v>0</v>
      </c>
      <c r="Y10" s="463"/>
      <c r="Z10" s="463"/>
    </row>
    <row r="11" spans="1:26">
      <c r="A11" s="465">
        <f t="shared" si="5"/>
        <v>2020003</v>
      </c>
      <c r="B11" s="466"/>
      <c r="C11" s="642"/>
      <c r="D11" s="645"/>
      <c r="E11" s="645"/>
      <c r="F11" s="645"/>
      <c r="G11" s="645"/>
      <c r="H11" s="648"/>
      <c r="I11" s="648"/>
      <c r="J11" s="629"/>
      <c r="K11" s="189" t="s">
        <v>28</v>
      </c>
      <c r="L11" s="343">
        <v>20000</v>
      </c>
      <c r="M11" s="297">
        <v>12100</v>
      </c>
      <c r="N11" s="297">
        <v>16940</v>
      </c>
      <c r="O11" s="297">
        <v>19360</v>
      </c>
      <c r="P11" s="297">
        <v>20000</v>
      </c>
      <c r="Q11" s="297">
        <v>20000</v>
      </c>
      <c r="R11" s="297">
        <v>4840</v>
      </c>
      <c r="S11" s="297">
        <v>20000</v>
      </c>
      <c r="T11" s="297">
        <v>20000</v>
      </c>
      <c r="U11" s="297">
        <v>20000</v>
      </c>
      <c r="V11" s="297">
        <v>20000</v>
      </c>
      <c r="W11" s="91">
        <v>20000</v>
      </c>
      <c r="X11" s="49">
        <f t="shared" si="4"/>
        <v>213240</v>
      </c>
      <c r="Y11" s="463"/>
      <c r="Z11" s="463"/>
    </row>
    <row r="12" spans="1:26">
      <c r="A12" s="465">
        <f t="shared" si="5"/>
        <v>2020003</v>
      </c>
      <c r="B12" s="466"/>
      <c r="C12" s="642"/>
      <c r="D12" s="645"/>
      <c r="E12" s="645"/>
      <c r="F12" s="645"/>
      <c r="G12" s="645"/>
      <c r="H12" s="648"/>
      <c r="I12" s="648"/>
      <c r="J12" s="629"/>
      <c r="K12" s="189" t="s">
        <v>29</v>
      </c>
      <c r="L12" s="343">
        <v>33335</v>
      </c>
      <c r="M12" s="297">
        <v>33335</v>
      </c>
      <c r="N12" s="297">
        <v>33335</v>
      </c>
      <c r="O12" s="297">
        <v>33335</v>
      </c>
      <c r="P12" s="297">
        <v>38420</v>
      </c>
      <c r="Q12" s="297">
        <v>38420</v>
      </c>
      <c r="R12" s="297">
        <v>38420</v>
      </c>
      <c r="S12" s="297">
        <v>38420</v>
      </c>
      <c r="T12" s="297">
        <v>38420</v>
      </c>
      <c r="U12" s="297">
        <v>38420</v>
      </c>
      <c r="V12" s="297">
        <v>38420</v>
      </c>
      <c r="W12" s="91">
        <v>33335</v>
      </c>
      <c r="X12" s="49">
        <f t="shared" si="4"/>
        <v>435615</v>
      </c>
      <c r="Y12" s="463"/>
      <c r="Z12" s="463"/>
    </row>
    <row r="13" spans="1:26">
      <c r="A13" s="465">
        <f t="shared" si="5"/>
        <v>2020003</v>
      </c>
      <c r="B13" s="466"/>
      <c r="C13" s="642"/>
      <c r="D13" s="645"/>
      <c r="E13" s="645"/>
      <c r="F13" s="645"/>
      <c r="G13" s="645"/>
      <c r="H13" s="648"/>
      <c r="I13" s="648"/>
      <c r="J13" s="629"/>
      <c r="K13" s="189" t="s">
        <v>30</v>
      </c>
      <c r="L13" s="343">
        <v>53985</v>
      </c>
      <c r="M13" s="297">
        <v>53985</v>
      </c>
      <c r="N13" s="297">
        <v>53985</v>
      </c>
      <c r="O13" s="297">
        <v>53985</v>
      </c>
      <c r="P13" s="297">
        <v>59475</v>
      </c>
      <c r="Q13" s="297">
        <v>59475</v>
      </c>
      <c r="R13" s="297">
        <v>59475</v>
      </c>
      <c r="S13" s="297">
        <v>59475</v>
      </c>
      <c r="T13" s="297">
        <v>59475</v>
      </c>
      <c r="U13" s="297">
        <v>59475</v>
      </c>
      <c r="V13" s="297">
        <v>59475</v>
      </c>
      <c r="W13" s="91">
        <v>53985</v>
      </c>
      <c r="X13" s="49">
        <f t="shared" si="4"/>
        <v>686250</v>
      </c>
      <c r="Y13" s="463"/>
      <c r="Z13" s="463"/>
    </row>
    <row r="14" spans="1:26">
      <c r="A14" s="465">
        <f t="shared" si="5"/>
        <v>2020003</v>
      </c>
      <c r="B14" s="466"/>
      <c r="C14" s="642"/>
      <c r="D14" s="645"/>
      <c r="E14" s="645"/>
      <c r="F14" s="645"/>
      <c r="G14" s="645"/>
      <c r="H14" s="648"/>
      <c r="I14" s="648"/>
      <c r="J14" s="629"/>
      <c r="K14" s="189" t="s">
        <v>31</v>
      </c>
      <c r="L14" s="343">
        <v>3368</v>
      </c>
      <c r="M14" s="297">
        <v>3334</v>
      </c>
      <c r="N14" s="297">
        <v>3361</v>
      </c>
      <c r="O14" s="297">
        <v>4541</v>
      </c>
      <c r="P14" s="297">
        <v>4224</v>
      </c>
      <c r="Q14" s="297">
        <v>4865</v>
      </c>
      <c r="R14" s="297">
        <v>3504</v>
      </c>
      <c r="S14" s="297">
        <v>3360</v>
      </c>
      <c r="T14" s="297">
        <v>3356</v>
      </c>
      <c r="U14" s="297">
        <v>3360</v>
      </c>
      <c r="V14" s="297">
        <v>3453</v>
      </c>
      <c r="W14" s="91">
        <v>3368</v>
      </c>
      <c r="X14" s="49">
        <f t="shared" si="4"/>
        <v>44094</v>
      </c>
      <c r="Y14" s="463"/>
      <c r="Z14" s="463"/>
    </row>
    <row r="15" spans="1:26">
      <c r="A15" s="465">
        <f t="shared" si="5"/>
        <v>2020003</v>
      </c>
      <c r="B15" s="466"/>
      <c r="C15" s="642"/>
      <c r="D15" s="645"/>
      <c r="E15" s="645"/>
      <c r="F15" s="645"/>
      <c r="G15" s="645"/>
      <c r="H15" s="648"/>
      <c r="I15" s="648"/>
      <c r="J15" s="629"/>
      <c r="K15" s="189" t="s">
        <v>32</v>
      </c>
      <c r="L15" s="343">
        <v>3705</v>
      </c>
      <c r="M15" s="297">
        <v>3668</v>
      </c>
      <c r="N15" s="297">
        <v>3697</v>
      </c>
      <c r="O15" s="297">
        <v>4995</v>
      </c>
      <c r="P15" s="297">
        <v>4647</v>
      </c>
      <c r="Q15" s="297">
        <v>5351</v>
      </c>
      <c r="R15" s="297">
        <v>3854</v>
      </c>
      <c r="S15" s="297">
        <v>3696</v>
      </c>
      <c r="T15" s="297">
        <v>3692</v>
      </c>
      <c r="U15" s="297">
        <v>3696</v>
      </c>
      <c r="V15" s="297">
        <v>3798</v>
      </c>
      <c r="W15" s="91">
        <v>3705</v>
      </c>
      <c r="X15" s="49">
        <f t="shared" si="4"/>
        <v>48504</v>
      </c>
      <c r="Y15" s="463"/>
      <c r="Z15" s="463"/>
    </row>
    <row r="16" spans="1:26">
      <c r="A16" s="465">
        <f t="shared" si="5"/>
        <v>2020003</v>
      </c>
      <c r="B16" s="466"/>
      <c r="C16" s="654"/>
      <c r="D16" s="655"/>
      <c r="E16" s="655"/>
      <c r="F16" s="655"/>
      <c r="G16" s="655"/>
      <c r="H16" s="652"/>
      <c r="I16" s="652"/>
      <c r="J16" s="630"/>
      <c r="K16" s="190" t="s">
        <v>33</v>
      </c>
      <c r="L16" s="345">
        <f t="shared" ref="L16:X16" si="7">L5-L8</f>
        <v>121177</v>
      </c>
      <c r="M16" s="412">
        <f t="shared" si="7"/>
        <v>113028</v>
      </c>
      <c r="N16" s="412">
        <f t="shared" si="7"/>
        <v>193482</v>
      </c>
      <c r="O16" s="412">
        <f t="shared" si="7"/>
        <v>229894</v>
      </c>
      <c r="P16" s="412">
        <f t="shared" si="7"/>
        <v>73666</v>
      </c>
      <c r="Q16" s="412">
        <f t="shared" si="7"/>
        <v>-78336</v>
      </c>
      <c r="R16" s="412">
        <f t="shared" si="7"/>
        <v>154013</v>
      </c>
      <c r="S16" s="412">
        <f t="shared" si="7"/>
        <v>183049</v>
      </c>
      <c r="T16" s="412">
        <f t="shared" si="7"/>
        <v>183857</v>
      </c>
      <c r="U16" s="412">
        <f t="shared" si="7"/>
        <v>183049</v>
      </c>
      <c r="V16" s="412">
        <f t="shared" si="7"/>
        <v>181654</v>
      </c>
      <c r="W16" s="101">
        <f t="shared" si="7"/>
        <v>120343.66666666663</v>
      </c>
      <c r="X16" s="51">
        <f t="shared" si="7"/>
        <v>1658876.666666666</v>
      </c>
      <c r="Y16" s="463"/>
      <c r="Z16" s="463"/>
    </row>
    <row r="17" spans="1:26" ht="12.75" customHeight="1">
      <c r="A17" s="113">
        <v>2022008</v>
      </c>
      <c r="C17" s="641">
        <f t="shared" ref="C17" si="8">C5+1</f>
        <v>2</v>
      </c>
      <c r="D17" s="644" t="s">
        <v>60</v>
      </c>
      <c r="E17" s="644"/>
      <c r="F17" s="644"/>
      <c r="G17" s="644" t="s">
        <v>124</v>
      </c>
      <c r="H17" s="647"/>
      <c r="I17" s="647"/>
      <c r="J17" s="628" t="s">
        <v>65</v>
      </c>
      <c r="K17" s="191" t="s">
        <v>23</v>
      </c>
      <c r="L17" s="342">
        <f t="shared" ref="L17:W17" si="9">L18+L19</f>
        <v>680000</v>
      </c>
      <c r="M17" s="409">
        <f t="shared" si="9"/>
        <v>671500</v>
      </c>
      <c r="N17" s="409">
        <f t="shared" si="9"/>
        <v>639625</v>
      </c>
      <c r="O17" s="409">
        <f t="shared" si="9"/>
        <v>626875</v>
      </c>
      <c r="P17" s="409">
        <f t="shared" si="9"/>
        <v>563125</v>
      </c>
      <c r="Q17" s="409">
        <f t="shared" si="9"/>
        <v>680000</v>
      </c>
      <c r="R17" s="409">
        <f t="shared" si="9"/>
        <v>680000</v>
      </c>
      <c r="S17" s="409">
        <f t="shared" si="9"/>
        <v>658750</v>
      </c>
      <c r="T17" s="409">
        <f t="shared" si="9"/>
        <v>680000</v>
      </c>
      <c r="U17" s="409">
        <f t="shared" si="9"/>
        <v>658750</v>
      </c>
      <c r="V17" s="409">
        <f t="shared" si="9"/>
        <v>658750</v>
      </c>
      <c r="W17" s="97">
        <f t="shared" si="9"/>
        <v>680000</v>
      </c>
      <c r="X17" s="117">
        <f t="shared" ref="X17:X27" si="10">SUM(L17:W17)</f>
        <v>7877375</v>
      </c>
      <c r="Y17" s="463"/>
      <c r="Z17" s="463"/>
    </row>
    <row r="18" spans="1:26">
      <c r="A18" s="465">
        <f t="shared" ref="A18:A28" si="11">+A17</f>
        <v>2022008</v>
      </c>
      <c r="B18" s="466"/>
      <c r="C18" s="642"/>
      <c r="D18" s="645"/>
      <c r="E18" s="645"/>
      <c r="F18" s="645"/>
      <c r="G18" s="645"/>
      <c r="H18" s="648"/>
      <c r="I18" s="648"/>
      <c r="J18" s="629"/>
      <c r="K18" s="187" t="s">
        <v>24</v>
      </c>
      <c r="L18" s="343">
        <v>680000</v>
      </c>
      <c r="M18" s="297">
        <v>671500</v>
      </c>
      <c r="N18" s="297">
        <v>639625</v>
      </c>
      <c r="O18" s="297">
        <v>626875</v>
      </c>
      <c r="P18" s="297">
        <v>563125</v>
      </c>
      <c r="Q18" s="297">
        <v>680000</v>
      </c>
      <c r="R18" s="297">
        <v>680000</v>
      </c>
      <c r="S18" s="297">
        <v>658750</v>
      </c>
      <c r="T18" s="297">
        <v>680000</v>
      </c>
      <c r="U18" s="297">
        <v>658750</v>
      </c>
      <c r="V18" s="297">
        <v>658750</v>
      </c>
      <c r="W18" s="91">
        <v>680000</v>
      </c>
      <c r="X18" s="49">
        <f t="shared" si="10"/>
        <v>7877375</v>
      </c>
      <c r="Y18" s="463"/>
      <c r="Z18" s="463"/>
    </row>
    <row r="19" spans="1:26">
      <c r="A19" s="465">
        <f t="shared" si="11"/>
        <v>2022008</v>
      </c>
      <c r="B19" s="466"/>
      <c r="C19" s="642"/>
      <c r="D19" s="645"/>
      <c r="E19" s="645"/>
      <c r="F19" s="645"/>
      <c r="G19" s="645"/>
      <c r="H19" s="648"/>
      <c r="I19" s="648"/>
      <c r="J19" s="629"/>
      <c r="K19" s="187" t="s">
        <v>25</v>
      </c>
      <c r="L19" s="343"/>
      <c r="M19" s="297"/>
      <c r="N19" s="297"/>
      <c r="O19" s="297"/>
      <c r="P19" s="297"/>
      <c r="Q19" s="297"/>
      <c r="R19" s="297"/>
      <c r="S19" s="297"/>
      <c r="T19" s="297"/>
      <c r="U19" s="297"/>
      <c r="V19" s="297"/>
      <c r="W19" s="98"/>
      <c r="X19" s="49">
        <f t="shared" si="10"/>
        <v>0</v>
      </c>
      <c r="Y19" s="463"/>
      <c r="Z19" s="463"/>
    </row>
    <row r="20" spans="1:26">
      <c r="A20" s="465">
        <f t="shared" si="11"/>
        <v>2022008</v>
      </c>
      <c r="B20" s="466"/>
      <c r="C20" s="642"/>
      <c r="D20" s="645"/>
      <c r="E20" s="645"/>
      <c r="F20" s="645"/>
      <c r="G20" s="645"/>
      <c r="H20" s="648"/>
      <c r="I20" s="648"/>
      <c r="J20" s="629"/>
      <c r="K20" s="188" t="s">
        <v>26</v>
      </c>
      <c r="L20" s="344">
        <f t="shared" ref="L20:W20" si="12">SUM(L21:L27)</f>
        <v>544075</v>
      </c>
      <c r="M20" s="411">
        <f t="shared" si="12"/>
        <v>520797</v>
      </c>
      <c r="N20" s="411">
        <f t="shared" si="12"/>
        <v>530282</v>
      </c>
      <c r="O20" s="411">
        <f t="shared" si="12"/>
        <v>531797</v>
      </c>
      <c r="P20" s="411">
        <f t="shared" si="12"/>
        <v>528786</v>
      </c>
      <c r="Q20" s="411">
        <f t="shared" si="12"/>
        <v>536789</v>
      </c>
      <c r="R20" s="411">
        <f t="shared" si="12"/>
        <v>532828</v>
      </c>
      <c r="S20" s="411">
        <f t="shared" si="12"/>
        <v>520415</v>
      </c>
      <c r="T20" s="411">
        <f t="shared" si="12"/>
        <v>533878</v>
      </c>
      <c r="U20" s="411">
        <f t="shared" si="12"/>
        <v>534202</v>
      </c>
      <c r="V20" s="411">
        <f t="shared" si="12"/>
        <v>514088</v>
      </c>
      <c r="W20" s="99">
        <f t="shared" si="12"/>
        <v>544075</v>
      </c>
      <c r="X20" s="50">
        <f t="shared" si="10"/>
        <v>6372012</v>
      </c>
      <c r="Y20" s="463"/>
      <c r="Z20" s="463"/>
    </row>
    <row r="21" spans="1:26">
      <c r="A21" s="465">
        <f t="shared" si="11"/>
        <v>2022008</v>
      </c>
      <c r="B21" s="466"/>
      <c r="C21" s="642"/>
      <c r="D21" s="645"/>
      <c r="E21" s="645"/>
      <c r="F21" s="645"/>
      <c r="G21" s="645"/>
      <c r="H21" s="648"/>
      <c r="I21" s="648"/>
      <c r="J21" s="629"/>
      <c r="K21" s="189" t="s">
        <v>27</v>
      </c>
      <c r="L21" s="343">
        <v>454000</v>
      </c>
      <c r="M21" s="297">
        <v>450734</v>
      </c>
      <c r="N21" s="297">
        <v>455200</v>
      </c>
      <c r="O21" s="297">
        <v>455200</v>
      </c>
      <c r="P21" s="297">
        <v>454800</v>
      </c>
      <c r="Q21" s="297">
        <v>456000</v>
      </c>
      <c r="R21" s="297">
        <v>456400</v>
      </c>
      <c r="S21" s="297">
        <v>447276</v>
      </c>
      <c r="T21" s="297">
        <v>456000</v>
      </c>
      <c r="U21" s="297">
        <v>454400</v>
      </c>
      <c r="V21" s="297">
        <v>443435</v>
      </c>
      <c r="W21" s="91">
        <v>454000</v>
      </c>
      <c r="X21" s="49">
        <f t="shared" si="10"/>
        <v>5437445</v>
      </c>
      <c r="Y21" s="463"/>
      <c r="Z21" s="463"/>
    </row>
    <row r="22" spans="1:26">
      <c r="A22" s="465">
        <f t="shared" si="11"/>
        <v>2022008</v>
      </c>
      <c r="B22" s="466"/>
      <c r="C22" s="642"/>
      <c r="D22" s="645"/>
      <c r="E22" s="645"/>
      <c r="F22" s="645"/>
      <c r="G22" s="645"/>
      <c r="H22" s="648"/>
      <c r="I22" s="648"/>
      <c r="J22" s="629"/>
      <c r="K22" s="189" t="s">
        <v>34</v>
      </c>
      <c r="L22" s="343"/>
      <c r="M22" s="297"/>
      <c r="N22" s="297"/>
      <c r="O22" s="297"/>
      <c r="P22" s="297"/>
      <c r="Q22" s="297"/>
      <c r="R22" s="297"/>
      <c r="S22" s="297"/>
      <c r="T22" s="297"/>
      <c r="U22" s="297"/>
      <c r="V22" s="297"/>
      <c r="W22" s="91"/>
      <c r="X22" s="49">
        <f t="shared" si="10"/>
        <v>0</v>
      </c>
      <c r="Y22" s="463"/>
      <c r="Z22" s="463"/>
    </row>
    <row r="23" spans="1:26">
      <c r="A23" s="465">
        <f t="shared" si="11"/>
        <v>2022008</v>
      </c>
      <c r="B23" s="466"/>
      <c r="C23" s="642"/>
      <c r="D23" s="645"/>
      <c r="E23" s="645"/>
      <c r="F23" s="645"/>
      <c r="G23" s="645"/>
      <c r="H23" s="648"/>
      <c r="I23" s="648"/>
      <c r="J23" s="629"/>
      <c r="K23" s="189" t="s">
        <v>28</v>
      </c>
      <c r="L23" s="343">
        <v>19770</v>
      </c>
      <c r="M23" s="297">
        <v>0</v>
      </c>
      <c r="N23" s="297">
        <v>4920</v>
      </c>
      <c r="O23" s="297">
        <v>6420</v>
      </c>
      <c r="P23" s="297">
        <v>3840</v>
      </c>
      <c r="Q23" s="297">
        <v>10560</v>
      </c>
      <c r="R23" s="297">
        <v>6240</v>
      </c>
      <c r="S23" s="297">
        <v>3080</v>
      </c>
      <c r="T23" s="297">
        <v>7680</v>
      </c>
      <c r="U23" s="297">
        <v>9600</v>
      </c>
      <c r="V23" s="297">
        <v>480</v>
      </c>
      <c r="W23" s="91">
        <v>19770</v>
      </c>
      <c r="X23" s="49">
        <f t="shared" si="10"/>
        <v>92360</v>
      </c>
      <c r="Y23" s="463"/>
      <c r="Z23" s="463"/>
    </row>
    <row r="24" spans="1:26">
      <c r="A24" s="465">
        <f t="shared" si="11"/>
        <v>2022008</v>
      </c>
      <c r="B24" s="466"/>
      <c r="C24" s="642"/>
      <c r="D24" s="645"/>
      <c r="E24" s="645"/>
      <c r="F24" s="645"/>
      <c r="G24" s="645"/>
      <c r="H24" s="648"/>
      <c r="I24" s="648"/>
      <c r="J24" s="629"/>
      <c r="K24" s="189" t="s">
        <v>29</v>
      </c>
      <c r="L24" s="343">
        <v>22325</v>
      </c>
      <c r="M24" s="297">
        <v>22325</v>
      </c>
      <c r="N24" s="297">
        <v>22325</v>
      </c>
      <c r="O24" s="297">
        <v>22325</v>
      </c>
      <c r="P24" s="297">
        <v>22325</v>
      </c>
      <c r="Q24" s="297">
        <v>22325</v>
      </c>
      <c r="R24" s="297">
        <v>22325</v>
      </c>
      <c r="S24" s="297">
        <v>22325</v>
      </c>
      <c r="T24" s="297">
        <v>22325</v>
      </c>
      <c r="U24" s="297">
        <v>22325</v>
      </c>
      <c r="V24" s="297">
        <v>22325</v>
      </c>
      <c r="W24" s="91">
        <v>22325</v>
      </c>
      <c r="X24" s="49">
        <f t="shared" si="10"/>
        <v>267900</v>
      </c>
      <c r="Y24" s="463"/>
      <c r="Z24" s="463"/>
    </row>
    <row r="25" spans="1:26">
      <c r="A25" s="465">
        <f t="shared" si="11"/>
        <v>2022008</v>
      </c>
      <c r="B25" s="466"/>
      <c r="C25" s="642"/>
      <c r="D25" s="645"/>
      <c r="E25" s="645"/>
      <c r="F25" s="645"/>
      <c r="G25" s="645"/>
      <c r="H25" s="648"/>
      <c r="I25" s="648"/>
      <c r="J25" s="629"/>
      <c r="K25" s="189" t="s">
        <v>30</v>
      </c>
      <c r="L25" s="343">
        <v>43005</v>
      </c>
      <c r="M25" s="297">
        <v>43005</v>
      </c>
      <c r="N25" s="297">
        <v>43005</v>
      </c>
      <c r="O25" s="297">
        <v>43005</v>
      </c>
      <c r="P25" s="297">
        <v>43005</v>
      </c>
      <c r="Q25" s="297">
        <v>43005</v>
      </c>
      <c r="R25" s="297">
        <v>43005</v>
      </c>
      <c r="S25" s="297">
        <v>43005</v>
      </c>
      <c r="T25" s="297">
        <v>43005</v>
      </c>
      <c r="U25" s="297">
        <v>43005</v>
      </c>
      <c r="V25" s="297">
        <v>43005</v>
      </c>
      <c r="W25" s="91">
        <v>43005</v>
      </c>
      <c r="X25" s="49">
        <f t="shared" si="10"/>
        <v>516060</v>
      </c>
      <c r="Y25" s="463"/>
      <c r="Z25" s="463"/>
    </row>
    <row r="26" spans="1:26">
      <c r="A26" s="465">
        <f t="shared" si="11"/>
        <v>2022008</v>
      </c>
      <c r="B26" s="466"/>
      <c r="C26" s="642"/>
      <c r="D26" s="645"/>
      <c r="E26" s="645"/>
      <c r="F26" s="645"/>
      <c r="G26" s="645"/>
      <c r="H26" s="648"/>
      <c r="I26" s="648"/>
      <c r="J26" s="629"/>
      <c r="K26" s="189" t="s">
        <v>31</v>
      </c>
      <c r="L26" s="343">
        <v>2369</v>
      </c>
      <c r="M26" s="297">
        <v>2254</v>
      </c>
      <c r="N26" s="297">
        <v>2301</v>
      </c>
      <c r="O26" s="297">
        <v>2308</v>
      </c>
      <c r="P26" s="297">
        <v>2293</v>
      </c>
      <c r="Q26" s="297">
        <v>2333</v>
      </c>
      <c r="R26" s="297">
        <v>2313</v>
      </c>
      <c r="S26" s="297">
        <v>2252</v>
      </c>
      <c r="T26" s="297">
        <v>2318</v>
      </c>
      <c r="U26" s="297">
        <v>2320</v>
      </c>
      <c r="V26" s="297">
        <v>2306</v>
      </c>
      <c r="W26" s="91">
        <v>2369</v>
      </c>
      <c r="X26" s="49">
        <f t="shared" si="10"/>
        <v>27736</v>
      </c>
      <c r="Y26" s="463"/>
      <c r="Z26" s="463"/>
    </row>
    <row r="27" spans="1:26">
      <c r="A27" s="465">
        <f t="shared" si="11"/>
        <v>2022008</v>
      </c>
      <c r="B27" s="466"/>
      <c r="C27" s="642"/>
      <c r="D27" s="645"/>
      <c r="E27" s="645"/>
      <c r="F27" s="645"/>
      <c r="G27" s="645"/>
      <c r="H27" s="648"/>
      <c r="I27" s="648"/>
      <c r="J27" s="629"/>
      <c r="K27" s="189" t="s">
        <v>32</v>
      </c>
      <c r="L27" s="343">
        <v>2606</v>
      </c>
      <c r="M27" s="297">
        <v>2479</v>
      </c>
      <c r="N27" s="297">
        <v>2531</v>
      </c>
      <c r="O27" s="297">
        <v>2539</v>
      </c>
      <c r="P27" s="297">
        <v>2523</v>
      </c>
      <c r="Q27" s="297">
        <v>2566</v>
      </c>
      <c r="R27" s="297">
        <v>2545</v>
      </c>
      <c r="S27" s="297">
        <v>2477</v>
      </c>
      <c r="T27" s="297">
        <v>2550</v>
      </c>
      <c r="U27" s="297">
        <v>2552</v>
      </c>
      <c r="V27" s="297">
        <v>2537</v>
      </c>
      <c r="W27" s="91">
        <v>2606</v>
      </c>
      <c r="X27" s="49">
        <f t="shared" si="10"/>
        <v>30511</v>
      </c>
      <c r="Y27" s="463"/>
      <c r="Z27" s="463"/>
    </row>
    <row r="28" spans="1:26">
      <c r="A28" s="465">
        <f t="shared" si="11"/>
        <v>2022008</v>
      </c>
      <c r="B28" s="466"/>
      <c r="C28" s="654"/>
      <c r="D28" s="655"/>
      <c r="E28" s="655"/>
      <c r="F28" s="655"/>
      <c r="G28" s="655"/>
      <c r="H28" s="652"/>
      <c r="I28" s="652"/>
      <c r="J28" s="630"/>
      <c r="K28" s="190" t="s">
        <v>33</v>
      </c>
      <c r="L28" s="345">
        <f t="shared" ref="L28:X28" si="13">L17-L20</f>
        <v>135925</v>
      </c>
      <c r="M28" s="412">
        <f t="shared" si="13"/>
        <v>150703</v>
      </c>
      <c r="N28" s="412">
        <f t="shared" si="13"/>
        <v>109343</v>
      </c>
      <c r="O28" s="412">
        <f t="shared" si="13"/>
        <v>95078</v>
      </c>
      <c r="P28" s="412">
        <f t="shared" si="13"/>
        <v>34339</v>
      </c>
      <c r="Q28" s="412">
        <f t="shared" si="13"/>
        <v>143211</v>
      </c>
      <c r="R28" s="412">
        <f t="shared" si="13"/>
        <v>147172</v>
      </c>
      <c r="S28" s="412">
        <f t="shared" si="13"/>
        <v>138335</v>
      </c>
      <c r="T28" s="412">
        <f t="shared" si="13"/>
        <v>146122</v>
      </c>
      <c r="U28" s="412">
        <f t="shared" si="13"/>
        <v>124548</v>
      </c>
      <c r="V28" s="412">
        <f t="shared" si="13"/>
        <v>144662</v>
      </c>
      <c r="W28" s="101">
        <f t="shared" si="13"/>
        <v>135925</v>
      </c>
      <c r="X28" s="51">
        <f t="shared" si="13"/>
        <v>1505363</v>
      </c>
      <c r="Y28" s="463"/>
      <c r="Z28" s="463"/>
    </row>
    <row r="29" spans="1:26" ht="12.75" customHeight="1">
      <c r="A29" s="113">
        <v>2021016</v>
      </c>
      <c r="C29" s="641">
        <f t="shared" ref="C29" si="14">C17+1</f>
        <v>3</v>
      </c>
      <c r="D29" s="644" t="s">
        <v>60</v>
      </c>
      <c r="E29" s="644"/>
      <c r="F29" s="644"/>
      <c r="G29" s="644" t="s">
        <v>124</v>
      </c>
      <c r="H29" s="647"/>
      <c r="I29" s="647"/>
      <c r="J29" s="628" t="s">
        <v>65</v>
      </c>
      <c r="K29" s="191" t="s">
        <v>23</v>
      </c>
      <c r="L29" s="342">
        <f t="shared" ref="L29:W29" si="15">L30+L31</f>
        <v>227550</v>
      </c>
      <c r="M29" s="409">
        <f t="shared" si="15"/>
        <v>264550</v>
      </c>
      <c r="N29" s="409">
        <f t="shared" si="15"/>
        <v>312650</v>
      </c>
      <c r="O29" s="409">
        <f t="shared" si="15"/>
        <v>312650</v>
      </c>
      <c r="P29" s="409">
        <f t="shared" si="15"/>
        <v>316350</v>
      </c>
      <c r="Q29" s="409">
        <f t="shared" si="15"/>
        <v>288600</v>
      </c>
      <c r="R29" s="409">
        <f t="shared" si="15"/>
        <v>336700</v>
      </c>
      <c r="S29" s="409">
        <f t="shared" si="15"/>
        <v>240500</v>
      </c>
      <c r="T29" s="409">
        <f t="shared" si="15"/>
        <v>288600</v>
      </c>
      <c r="U29" s="409">
        <f t="shared" si="15"/>
        <v>264550</v>
      </c>
      <c r="V29" s="409">
        <f t="shared" si="15"/>
        <v>240500</v>
      </c>
      <c r="W29" s="97">
        <f t="shared" si="15"/>
        <v>289833.33333333331</v>
      </c>
      <c r="X29" s="117">
        <f t="shared" ref="X29:X39" si="16">SUM(L29:W29)</f>
        <v>3383033.3333333335</v>
      </c>
      <c r="Y29" s="463"/>
      <c r="Z29" s="463"/>
    </row>
    <row r="30" spans="1:26">
      <c r="A30" s="465">
        <f t="shared" ref="A30:A40" si="17">+A29</f>
        <v>2021016</v>
      </c>
      <c r="B30" s="466"/>
      <c r="C30" s="642"/>
      <c r="D30" s="645"/>
      <c r="E30" s="645"/>
      <c r="F30" s="645"/>
      <c r="G30" s="645"/>
      <c r="H30" s="648"/>
      <c r="I30" s="648"/>
      <c r="J30" s="629"/>
      <c r="K30" s="187" t="s">
        <v>24</v>
      </c>
      <c r="L30" s="343">
        <v>227550</v>
      </c>
      <c r="M30" s="297">
        <v>264550</v>
      </c>
      <c r="N30" s="297">
        <v>312650</v>
      </c>
      <c r="O30" s="297">
        <v>312650</v>
      </c>
      <c r="P30" s="297">
        <v>316350</v>
      </c>
      <c r="Q30" s="297">
        <v>288600</v>
      </c>
      <c r="R30" s="297">
        <v>336700</v>
      </c>
      <c r="S30" s="297">
        <v>240500</v>
      </c>
      <c r="T30" s="297">
        <v>288600</v>
      </c>
      <c r="U30" s="297">
        <v>264550</v>
      </c>
      <c r="V30" s="297">
        <v>240500</v>
      </c>
      <c r="W30" s="91">
        <v>289833.33333333331</v>
      </c>
      <c r="X30" s="49">
        <f t="shared" si="16"/>
        <v>3383033.3333333335</v>
      </c>
      <c r="Y30" s="463"/>
      <c r="Z30" s="463"/>
    </row>
    <row r="31" spans="1:26">
      <c r="A31" s="465">
        <f t="shared" si="17"/>
        <v>2021016</v>
      </c>
      <c r="B31" s="466"/>
      <c r="C31" s="642"/>
      <c r="D31" s="645"/>
      <c r="E31" s="645"/>
      <c r="F31" s="645"/>
      <c r="G31" s="645"/>
      <c r="H31" s="648"/>
      <c r="I31" s="648"/>
      <c r="J31" s="629"/>
      <c r="K31" s="187" t="s">
        <v>25</v>
      </c>
      <c r="L31" s="343"/>
      <c r="M31" s="297"/>
      <c r="N31" s="297"/>
      <c r="O31" s="297"/>
      <c r="P31" s="297"/>
      <c r="Q31" s="297"/>
      <c r="R31" s="297"/>
      <c r="S31" s="297"/>
      <c r="T31" s="297"/>
      <c r="U31" s="297"/>
      <c r="V31" s="297"/>
      <c r="W31" s="98"/>
      <c r="X31" s="49">
        <f t="shared" si="16"/>
        <v>0</v>
      </c>
      <c r="Y31" s="463"/>
      <c r="Z31" s="463"/>
    </row>
    <row r="32" spans="1:26">
      <c r="A32" s="465">
        <f t="shared" si="17"/>
        <v>2021016</v>
      </c>
      <c r="B32" s="466"/>
      <c r="C32" s="642"/>
      <c r="D32" s="645"/>
      <c r="E32" s="645"/>
      <c r="F32" s="645"/>
      <c r="G32" s="645"/>
      <c r="H32" s="648"/>
      <c r="I32" s="648"/>
      <c r="J32" s="629"/>
      <c r="K32" s="188" t="s">
        <v>26</v>
      </c>
      <c r="L32" s="344">
        <f t="shared" ref="L32:W32" si="18">SUM(L33:L39)</f>
        <v>200658</v>
      </c>
      <c r="M32" s="411">
        <f t="shared" si="18"/>
        <v>167292</v>
      </c>
      <c r="N32" s="411">
        <f t="shared" si="18"/>
        <v>228537</v>
      </c>
      <c r="O32" s="411">
        <f t="shared" si="18"/>
        <v>197683</v>
      </c>
      <c r="P32" s="411">
        <f t="shared" si="18"/>
        <v>195673</v>
      </c>
      <c r="Q32" s="411">
        <f t="shared" si="18"/>
        <v>194467</v>
      </c>
      <c r="R32" s="411">
        <f t="shared" si="18"/>
        <v>209241</v>
      </c>
      <c r="S32" s="411">
        <f t="shared" si="18"/>
        <v>178890</v>
      </c>
      <c r="T32" s="411">
        <f t="shared" si="18"/>
        <v>179694</v>
      </c>
      <c r="U32" s="411">
        <f t="shared" si="18"/>
        <v>178488</v>
      </c>
      <c r="V32" s="411">
        <f t="shared" si="18"/>
        <v>178977</v>
      </c>
      <c r="W32" s="99">
        <f t="shared" si="18"/>
        <v>189658</v>
      </c>
      <c r="X32" s="50">
        <f t="shared" si="16"/>
        <v>2299258</v>
      </c>
      <c r="Y32" s="463"/>
      <c r="Z32" s="463"/>
    </row>
    <row r="33" spans="1:26">
      <c r="A33" s="465">
        <f t="shared" si="17"/>
        <v>2021016</v>
      </c>
      <c r="B33" s="466"/>
      <c r="C33" s="642"/>
      <c r="D33" s="645"/>
      <c r="E33" s="645"/>
      <c r="F33" s="645"/>
      <c r="G33" s="645"/>
      <c r="H33" s="648"/>
      <c r="I33" s="648"/>
      <c r="J33" s="629"/>
      <c r="K33" s="189" t="s">
        <v>27</v>
      </c>
      <c r="L33" s="343">
        <v>197500</v>
      </c>
      <c r="M33" s="297">
        <v>158900</v>
      </c>
      <c r="N33" s="297">
        <v>215300</v>
      </c>
      <c r="O33" s="297">
        <v>187900</v>
      </c>
      <c r="P33" s="297">
        <v>192500</v>
      </c>
      <c r="Q33" s="297">
        <v>189100</v>
      </c>
      <c r="R33" s="297">
        <v>204600</v>
      </c>
      <c r="S33" s="297">
        <v>174400</v>
      </c>
      <c r="T33" s="297">
        <v>175200</v>
      </c>
      <c r="U33" s="297">
        <v>175200</v>
      </c>
      <c r="V33" s="297">
        <v>174400</v>
      </c>
      <c r="W33" s="91">
        <v>186500</v>
      </c>
      <c r="X33" s="49">
        <f t="shared" si="16"/>
        <v>2231500</v>
      </c>
      <c r="Y33" s="463"/>
      <c r="Z33" s="463"/>
    </row>
    <row r="34" spans="1:26">
      <c r="A34" s="465">
        <f t="shared" si="17"/>
        <v>2021016</v>
      </c>
      <c r="B34" s="466"/>
      <c r="C34" s="642"/>
      <c r="D34" s="645"/>
      <c r="E34" s="645"/>
      <c r="F34" s="645"/>
      <c r="G34" s="645"/>
      <c r="H34" s="648"/>
      <c r="I34" s="648"/>
      <c r="J34" s="629"/>
      <c r="K34" s="189" t="s">
        <v>34</v>
      </c>
      <c r="L34" s="343"/>
      <c r="M34" s="297"/>
      <c r="N34" s="297"/>
      <c r="O34" s="297"/>
      <c r="P34" s="297"/>
      <c r="Q34" s="297"/>
      <c r="R34" s="297"/>
      <c r="S34" s="297"/>
      <c r="T34" s="297"/>
      <c r="U34" s="297"/>
      <c r="V34" s="297"/>
      <c r="W34" s="91"/>
      <c r="X34" s="49">
        <f t="shared" si="16"/>
        <v>0</v>
      </c>
      <c r="Y34" s="463"/>
      <c r="Z34" s="463"/>
    </row>
    <row r="35" spans="1:26">
      <c r="A35" s="465">
        <f t="shared" si="17"/>
        <v>2021016</v>
      </c>
      <c r="B35" s="466"/>
      <c r="C35" s="642"/>
      <c r="D35" s="645"/>
      <c r="E35" s="645"/>
      <c r="F35" s="645"/>
      <c r="G35" s="645"/>
      <c r="H35" s="648"/>
      <c r="I35" s="648"/>
      <c r="J35" s="629"/>
      <c r="K35" s="189" t="s">
        <v>28</v>
      </c>
      <c r="L35" s="343">
        <v>2160</v>
      </c>
      <c r="M35" s="297">
        <v>7560</v>
      </c>
      <c r="N35" s="297">
        <v>12100</v>
      </c>
      <c r="O35" s="297">
        <v>8800</v>
      </c>
      <c r="P35" s="297">
        <v>2200</v>
      </c>
      <c r="Q35" s="297">
        <v>4400</v>
      </c>
      <c r="R35" s="297">
        <v>3600</v>
      </c>
      <c r="S35" s="297">
        <v>3600</v>
      </c>
      <c r="T35" s="297">
        <v>3600</v>
      </c>
      <c r="U35" s="297">
        <v>2400</v>
      </c>
      <c r="V35" s="297">
        <v>3600</v>
      </c>
      <c r="W35" s="91">
        <v>2160</v>
      </c>
      <c r="X35" s="49">
        <f t="shared" si="16"/>
        <v>56180</v>
      </c>
      <c r="Y35" s="463"/>
      <c r="Z35" s="463"/>
    </row>
    <row r="36" spans="1:26">
      <c r="A36" s="465">
        <f t="shared" si="17"/>
        <v>2021016</v>
      </c>
      <c r="B36" s="466"/>
      <c r="C36" s="642"/>
      <c r="D36" s="645"/>
      <c r="E36" s="645"/>
      <c r="F36" s="645"/>
      <c r="G36" s="645"/>
      <c r="H36" s="648"/>
      <c r="I36" s="648"/>
      <c r="J36" s="629"/>
      <c r="K36" s="189" t="s">
        <v>29</v>
      </c>
      <c r="L36" s="343"/>
      <c r="M36" s="297"/>
      <c r="N36" s="297"/>
      <c r="O36" s="297"/>
      <c r="P36" s="297"/>
      <c r="Q36" s="297"/>
      <c r="R36" s="297"/>
      <c r="S36" s="297"/>
      <c r="T36" s="297"/>
      <c r="U36" s="297"/>
      <c r="V36" s="297"/>
      <c r="W36" s="91"/>
      <c r="X36" s="49">
        <f t="shared" si="16"/>
        <v>0</v>
      </c>
      <c r="Y36" s="463"/>
      <c r="Z36" s="463"/>
    </row>
    <row r="37" spans="1:26">
      <c r="A37" s="465">
        <f t="shared" si="17"/>
        <v>2021016</v>
      </c>
      <c r="B37" s="466"/>
      <c r="C37" s="642"/>
      <c r="D37" s="645"/>
      <c r="E37" s="645"/>
      <c r="F37" s="645"/>
      <c r="G37" s="645"/>
      <c r="H37" s="648"/>
      <c r="I37" s="648"/>
      <c r="J37" s="629"/>
      <c r="K37" s="189" t="s">
        <v>30</v>
      </c>
      <c r="L37" s="343"/>
      <c r="M37" s="297"/>
      <c r="N37" s="297"/>
      <c r="O37" s="297"/>
      <c r="P37" s="297"/>
      <c r="Q37" s="297"/>
      <c r="R37" s="297"/>
      <c r="S37" s="297"/>
      <c r="T37" s="297"/>
      <c r="U37" s="297"/>
      <c r="V37" s="297"/>
      <c r="W37" s="91"/>
      <c r="X37" s="49">
        <f t="shared" si="16"/>
        <v>0</v>
      </c>
      <c r="Y37" s="463"/>
      <c r="Z37" s="463"/>
    </row>
    <row r="38" spans="1:26">
      <c r="A38" s="465">
        <f t="shared" si="17"/>
        <v>2021016</v>
      </c>
      <c r="B38" s="466"/>
      <c r="C38" s="642"/>
      <c r="D38" s="645"/>
      <c r="E38" s="645"/>
      <c r="F38" s="645"/>
      <c r="G38" s="645"/>
      <c r="H38" s="648"/>
      <c r="I38" s="648"/>
      <c r="J38" s="629"/>
      <c r="K38" s="189" t="s">
        <v>31</v>
      </c>
      <c r="L38" s="343">
        <v>998</v>
      </c>
      <c r="M38" s="297">
        <v>832</v>
      </c>
      <c r="N38" s="297">
        <v>1137</v>
      </c>
      <c r="O38" s="297">
        <v>983</v>
      </c>
      <c r="P38" s="297">
        <v>973</v>
      </c>
      <c r="Q38" s="297">
        <v>967</v>
      </c>
      <c r="R38" s="297">
        <v>1041</v>
      </c>
      <c r="S38" s="297">
        <v>890</v>
      </c>
      <c r="T38" s="297">
        <v>894</v>
      </c>
      <c r="U38" s="297">
        <v>888</v>
      </c>
      <c r="V38" s="297">
        <v>977</v>
      </c>
      <c r="W38" s="91">
        <v>998</v>
      </c>
      <c r="X38" s="49">
        <f t="shared" si="16"/>
        <v>11578</v>
      </c>
      <c r="Y38" s="463"/>
      <c r="Z38" s="463"/>
    </row>
    <row r="39" spans="1:26">
      <c r="A39" s="465">
        <f t="shared" si="17"/>
        <v>2021016</v>
      </c>
      <c r="B39" s="466"/>
      <c r="C39" s="642"/>
      <c r="D39" s="645"/>
      <c r="E39" s="645"/>
      <c r="F39" s="645"/>
      <c r="G39" s="645"/>
      <c r="H39" s="648"/>
      <c r="I39" s="648"/>
      <c r="J39" s="629"/>
      <c r="K39" s="189" t="s">
        <v>32</v>
      </c>
      <c r="L39" s="343"/>
      <c r="M39" s="297"/>
      <c r="N39" s="297"/>
      <c r="O39" s="297"/>
      <c r="P39" s="297"/>
      <c r="Q39" s="297"/>
      <c r="R39" s="297"/>
      <c r="S39" s="297"/>
      <c r="T39" s="297"/>
      <c r="U39" s="297"/>
      <c r="V39" s="297"/>
      <c r="W39" s="91"/>
      <c r="X39" s="49">
        <f t="shared" si="16"/>
        <v>0</v>
      </c>
      <c r="Y39" s="463"/>
      <c r="Z39" s="463"/>
    </row>
    <row r="40" spans="1:26">
      <c r="A40" s="465">
        <f t="shared" si="17"/>
        <v>2021016</v>
      </c>
      <c r="B40" s="466"/>
      <c r="C40" s="654"/>
      <c r="D40" s="655"/>
      <c r="E40" s="655"/>
      <c r="F40" s="655"/>
      <c r="G40" s="655"/>
      <c r="H40" s="652"/>
      <c r="I40" s="652"/>
      <c r="J40" s="630"/>
      <c r="K40" s="190" t="s">
        <v>33</v>
      </c>
      <c r="L40" s="345">
        <f t="shared" ref="L40:X40" si="19">L29-L32</f>
        <v>26892</v>
      </c>
      <c r="M40" s="412">
        <f t="shared" si="19"/>
        <v>97258</v>
      </c>
      <c r="N40" s="412">
        <f t="shared" si="19"/>
        <v>84113</v>
      </c>
      <c r="O40" s="412">
        <f t="shared" si="19"/>
        <v>114967</v>
      </c>
      <c r="P40" s="412">
        <f t="shared" si="19"/>
        <v>120677</v>
      </c>
      <c r="Q40" s="412">
        <f t="shared" si="19"/>
        <v>94133</v>
      </c>
      <c r="R40" s="412">
        <f t="shared" si="19"/>
        <v>127459</v>
      </c>
      <c r="S40" s="412">
        <f t="shared" si="19"/>
        <v>61610</v>
      </c>
      <c r="T40" s="412">
        <f t="shared" si="19"/>
        <v>108906</v>
      </c>
      <c r="U40" s="412">
        <f t="shared" si="19"/>
        <v>86062</v>
      </c>
      <c r="V40" s="412">
        <f t="shared" si="19"/>
        <v>61523</v>
      </c>
      <c r="W40" s="101">
        <f t="shared" si="19"/>
        <v>100175.33333333331</v>
      </c>
      <c r="X40" s="51">
        <f t="shared" si="19"/>
        <v>1083775.3333333335</v>
      </c>
      <c r="Y40" s="463"/>
      <c r="Z40" s="463"/>
    </row>
    <row r="41" spans="1:26" ht="12.75" customHeight="1">
      <c r="A41" s="113">
        <v>2018022</v>
      </c>
      <c r="C41" s="641">
        <f t="shared" ref="C41" si="20">C29+1</f>
        <v>4</v>
      </c>
      <c r="D41" s="644" t="s">
        <v>60</v>
      </c>
      <c r="E41" s="644"/>
      <c r="F41" s="644"/>
      <c r="G41" s="644" t="s">
        <v>95</v>
      </c>
      <c r="H41" s="647"/>
      <c r="I41" s="647"/>
      <c r="J41" s="628" t="s">
        <v>65</v>
      </c>
      <c r="K41" s="191" t="s">
        <v>23</v>
      </c>
      <c r="L41" s="342">
        <f t="shared" ref="L41:W41" si="21">L42+L43</f>
        <v>344500</v>
      </c>
      <c r="M41" s="409">
        <f t="shared" si="21"/>
        <v>344500</v>
      </c>
      <c r="N41" s="409">
        <f t="shared" si="21"/>
        <v>344500</v>
      </c>
      <c r="O41" s="409">
        <f t="shared" si="21"/>
        <v>377800</v>
      </c>
      <c r="P41" s="409">
        <f t="shared" si="21"/>
        <v>344500</v>
      </c>
      <c r="Q41" s="409">
        <f t="shared" si="21"/>
        <v>311200</v>
      </c>
      <c r="R41" s="409">
        <f t="shared" si="21"/>
        <v>377800</v>
      </c>
      <c r="S41" s="409">
        <f t="shared" si="21"/>
        <v>344500</v>
      </c>
      <c r="T41" s="409">
        <f t="shared" si="21"/>
        <v>344500</v>
      </c>
      <c r="U41" s="409">
        <f t="shared" si="21"/>
        <v>344500</v>
      </c>
      <c r="V41" s="409">
        <f t="shared" si="21"/>
        <v>277900</v>
      </c>
      <c r="W41" s="97">
        <f t="shared" si="21"/>
        <v>353133.33333333331</v>
      </c>
      <c r="X41" s="117">
        <f t="shared" ref="X41:X51" si="22">SUM(L41:W41)</f>
        <v>4109333.3333333335</v>
      </c>
      <c r="Y41" s="463"/>
      <c r="Z41" s="463"/>
    </row>
    <row r="42" spans="1:26">
      <c r="A42" s="465">
        <f t="shared" ref="A42:A64" si="23">+A41</f>
        <v>2018022</v>
      </c>
      <c r="B42" s="466"/>
      <c r="C42" s="642"/>
      <c r="D42" s="645"/>
      <c r="E42" s="645"/>
      <c r="F42" s="645"/>
      <c r="G42" s="645"/>
      <c r="H42" s="648"/>
      <c r="I42" s="648"/>
      <c r="J42" s="629"/>
      <c r="K42" s="187" t="s">
        <v>24</v>
      </c>
      <c r="L42" s="343">
        <v>344500</v>
      </c>
      <c r="M42" s="297">
        <v>344500</v>
      </c>
      <c r="N42" s="297">
        <v>344500</v>
      </c>
      <c r="O42" s="297">
        <v>377800</v>
      </c>
      <c r="P42" s="297">
        <v>344500</v>
      </c>
      <c r="Q42" s="297">
        <v>311200</v>
      </c>
      <c r="R42" s="297">
        <v>377800</v>
      </c>
      <c r="S42" s="297">
        <v>344500</v>
      </c>
      <c r="T42" s="297">
        <v>344500</v>
      </c>
      <c r="U42" s="297">
        <v>344500</v>
      </c>
      <c r="V42" s="297">
        <v>277900</v>
      </c>
      <c r="W42" s="91">
        <v>353133.33333333331</v>
      </c>
      <c r="X42" s="49">
        <f t="shared" si="22"/>
        <v>4109333.3333333335</v>
      </c>
      <c r="Y42" s="463"/>
      <c r="Z42" s="463"/>
    </row>
    <row r="43" spans="1:26">
      <c r="A43" s="465">
        <f t="shared" si="23"/>
        <v>2018022</v>
      </c>
      <c r="B43" s="466"/>
      <c r="C43" s="642"/>
      <c r="D43" s="645"/>
      <c r="E43" s="645"/>
      <c r="F43" s="645"/>
      <c r="G43" s="645"/>
      <c r="H43" s="648"/>
      <c r="I43" s="648"/>
      <c r="J43" s="629"/>
      <c r="K43" s="187" t="s">
        <v>25</v>
      </c>
      <c r="L43" s="343"/>
      <c r="M43" s="297"/>
      <c r="N43" s="297"/>
      <c r="O43" s="297"/>
      <c r="P43" s="297"/>
      <c r="Q43" s="297"/>
      <c r="R43" s="297"/>
      <c r="S43" s="297"/>
      <c r="T43" s="297"/>
      <c r="U43" s="297"/>
      <c r="V43" s="297"/>
      <c r="W43" s="98"/>
      <c r="X43" s="49">
        <f t="shared" si="22"/>
        <v>0</v>
      </c>
      <c r="Y43" s="463"/>
      <c r="Z43" s="463"/>
    </row>
    <row r="44" spans="1:26">
      <c r="A44" s="465">
        <f t="shared" si="23"/>
        <v>2018022</v>
      </c>
      <c r="B44" s="466"/>
      <c r="C44" s="642"/>
      <c r="D44" s="645"/>
      <c r="E44" s="645"/>
      <c r="F44" s="645"/>
      <c r="G44" s="645"/>
      <c r="H44" s="648"/>
      <c r="I44" s="648"/>
      <c r="J44" s="629"/>
      <c r="K44" s="188" t="s">
        <v>26</v>
      </c>
      <c r="L44" s="344">
        <f t="shared" ref="L44:W44" si="24">SUM(L45:L51)</f>
        <v>232897</v>
      </c>
      <c r="M44" s="411">
        <f t="shared" si="24"/>
        <v>221693</v>
      </c>
      <c r="N44" s="411">
        <f t="shared" si="24"/>
        <v>225673</v>
      </c>
      <c r="O44" s="411">
        <f t="shared" si="24"/>
        <v>228386</v>
      </c>
      <c r="P44" s="411">
        <f t="shared" si="24"/>
        <v>225673</v>
      </c>
      <c r="Q44" s="411">
        <f t="shared" si="24"/>
        <v>222959</v>
      </c>
      <c r="R44" s="411">
        <f t="shared" si="24"/>
        <v>228386</v>
      </c>
      <c r="S44" s="411">
        <f t="shared" si="24"/>
        <v>225673</v>
      </c>
      <c r="T44" s="411">
        <f t="shared" si="24"/>
        <v>225673</v>
      </c>
      <c r="U44" s="411">
        <f t="shared" si="24"/>
        <v>225673</v>
      </c>
      <c r="V44" s="411">
        <f t="shared" si="24"/>
        <v>220333</v>
      </c>
      <c r="W44" s="99">
        <f t="shared" si="24"/>
        <v>228181</v>
      </c>
      <c r="X44" s="50">
        <f t="shared" si="22"/>
        <v>2711200</v>
      </c>
      <c r="Y44" s="463"/>
      <c r="Z44" s="463"/>
    </row>
    <row r="45" spans="1:26">
      <c r="A45" s="465">
        <f t="shared" si="23"/>
        <v>2018022</v>
      </c>
      <c r="B45" s="466"/>
      <c r="C45" s="642"/>
      <c r="D45" s="645"/>
      <c r="E45" s="645"/>
      <c r="F45" s="645"/>
      <c r="G45" s="645"/>
      <c r="H45" s="648"/>
      <c r="I45" s="648"/>
      <c r="J45" s="629"/>
      <c r="K45" s="189" t="s">
        <v>27</v>
      </c>
      <c r="L45" s="343">
        <v>211398</v>
      </c>
      <c r="M45" s="297">
        <v>200250</v>
      </c>
      <c r="N45" s="297">
        <v>200250</v>
      </c>
      <c r="O45" s="297">
        <v>200250</v>
      </c>
      <c r="P45" s="297">
        <v>200250</v>
      </c>
      <c r="Q45" s="297">
        <v>200250</v>
      </c>
      <c r="R45" s="297">
        <v>200250</v>
      </c>
      <c r="S45" s="297">
        <v>200250</v>
      </c>
      <c r="T45" s="297">
        <v>200250</v>
      </c>
      <c r="U45" s="297">
        <v>200250</v>
      </c>
      <c r="V45" s="297">
        <v>200250</v>
      </c>
      <c r="W45" s="91">
        <v>206682</v>
      </c>
      <c r="X45" s="49">
        <f t="shared" si="22"/>
        <v>2420580</v>
      </c>
      <c r="Y45" s="463"/>
      <c r="Z45" s="463"/>
    </row>
    <row r="46" spans="1:26">
      <c r="A46" s="465">
        <f t="shared" si="23"/>
        <v>2018022</v>
      </c>
      <c r="B46" s="466"/>
      <c r="C46" s="642"/>
      <c r="D46" s="645"/>
      <c r="E46" s="645"/>
      <c r="F46" s="645"/>
      <c r="G46" s="645"/>
      <c r="H46" s="648"/>
      <c r="I46" s="648"/>
      <c r="J46" s="629"/>
      <c r="K46" s="189" t="s">
        <v>34</v>
      </c>
      <c r="L46" s="343"/>
      <c r="M46" s="297"/>
      <c r="N46" s="297"/>
      <c r="O46" s="297"/>
      <c r="P46" s="297"/>
      <c r="Q46" s="297"/>
      <c r="R46" s="297"/>
      <c r="S46" s="297"/>
      <c r="T46" s="297"/>
      <c r="U46" s="297"/>
      <c r="V46" s="297"/>
      <c r="W46" s="91"/>
      <c r="X46" s="49">
        <f t="shared" si="22"/>
        <v>0</v>
      </c>
      <c r="Y46" s="463"/>
      <c r="Z46" s="463"/>
    </row>
    <row r="47" spans="1:26">
      <c r="A47" s="465">
        <f t="shared" si="23"/>
        <v>2018022</v>
      </c>
      <c r="B47" s="466"/>
      <c r="C47" s="642"/>
      <c r="D47" s="645"/>
      <c r="E47" s="645"/>
      <c r="F47" s="645"/>
      <c r="G47" s="645"/>
      <c r="H47" s="648"/>
      <c r="I47" s="648"/>
      <c r="J47" s="629"/>
      <c r="K47" s="189" t="s">
        <v>28</v>
      </c>
      <c r="L47" s="343">
        <v>20340</v>
      </c>
      <c r="M47" s="297">
        <v>20340</v>
      </c>
      <c r="N47" s="297">
        <v>24300</v>
      </c>
      <c r="O47" s="297">
        <v>27000</v>
      </c>
      <c r="P47" s="297">
        <v>24300</v>
      </c>
      <c r="Q47" s="297">
        <v>21600</v>
      </c>
      <c r="R47" s="297">
        <v>27000</v>
      </c>
      <c r="S47" s="297">
        <v>24300</v>
      </c>
      <c r="T47" s="297">
        <v>24300</v>
      </c>
      <c r="U47" s="297">
        <v>24300</v>
      </c>
      <c r="V47" s="297">
        <v>18900</v>
      </c>
      <c r="W47" s="91">
        <v>20340</v>
      </c>
      <c r="X47" s="49">
        <f t="shared" si="22"/>
        <v>277020</v>
      </c>
      <c r="Y47" s="463"/>
      <c r="Z47" s="463"/>
    </row>
    <row r="48" spans="1:26">
      <c r="A48" s="465">
        <f t="shared" si="23"/>
        <v>2018022</v>
      </c>
      <c r="B48" s="466"/>
      <c r="C48" s="642"/>
      <c r="D48" s="645"/>
      <c r="E48" s="645"/>
      <c r="F48" s="645"/>
      <c r="G48" s="645"/>
      <c r="H48" s="648"/>
      <c r="I48" s="648"/>
      <c r="J48" s="629"/>
      <c r="K48" s="189" t="s">
        <v>29</v>
      </c>
      <c r="L48" s="343"/>
      <c r="M48" s="297"/>
      <c r="N48" s="297"/>
      <c r="O48" s="297"/>
      <c r="P48" s="297"/>
      <c r="Q48" s="297"/>
      <c r="R48" s="297"/>
      <c r="S48" s="297"/>
      <c r="T48" s="297"/>
      <c r="U48" s="297"/>
      <c r="V48" s="297"/>
      <c r="W48" s="91"/>
      <c r="X48" s="49">
        <f t="shared" si="22"/>
        <v>0</v>
      </c>
      <c r="Y48" s="463"/>
      <c r="Z48" s="463"/>
    </row>
    <row r="49" spans="1:26">
      <c r="A49" s="465">
        <f t="shared" si="23"/>
        <v>2018022</v>
      </c>
      <c r="B49" s="466"/>
      <c r="C49" s="642"/>
      <c r="D49" s="645"/>
      <c r="E49" s="645"/>
      <c r="F49" s="645"/>
      <c r="G49" s="645"/>
      <c r="H49" s="648"/>
      <c r="I49" s="648"/>
      <c r="J49" s="629"/>
      <c r="K49" s="189" t="s">
        <v>30</v>
      </c>
      <c r="L49" s="343"/>
      <c r="M49" s="297"/>
      <c r="N49" s="297"/>
      <c r="O49" s="297"/>
      <c r="P49" s="297"/>
      <c r="Q49" s="297"/>
      <c r="R49" s="297"/>
      <c r="S49" s="297"/>
      <c r="T49" s="297"/>
      <c r="U49" s="297"/>
      <c r="V49" s="297"/>
      <c r="W49" s="91"/>
      <c r="X49" s="49">
        <f t="shared" si="22"/>
        <v>0</v>
      </c>
      <c r="Y49" s="463"/>
      <c r="Z49" s="463"/>
    </row>
    <row r="50" spans="1:26">
      <c r="A50" s="465">
        <f t="shared" si="23"/>
        <v>2018022</v>
      </c>
      <c r="B50" s="466"/>
      <c r="C50" s="642"/>
      <c r="D50" s="645"/>
      <c r="E50" s="645"/>
      <c r="F50" s="645"/>
      <c r="G50" s="645"/>
      <c r="H50" s="648"/>
      <c r="I50" s="648"/>
      <c r="J50" s="629"/>
      <c r="K50" s="189" t="s">
        <v>31</v>
      </c>
      <c r="L50" s="343">
        <v>1159</v>
      </c>
      <c r="M50" s="297">
        <v>1103</v>
      </c>
      <c r="N50" s="297">
        <v>1123</v>
      </c>
      <c r="O50" s="297">
        <v>1136</v>
      </c>
      <c r="P50" s="297">
        <v>1123</v>
      </c>
      <c r="Q50" s="297">
        <v>1109</v>
      </c>
      <c r="R50" s="297">
        <v>1136</v>
      </c>
      <c r="S50" s="297">
        <v>1123</v>
      </c>
      <c r="T50" s="297">
        <v>1123</v>
      </c>
      <c r="U50" s="297">
        <v>1123</v>
      </c>
      <c r="V50" s="297">
        <v>1183</v>
      </c>
      <c r="W50" s="91">
        <v>1159</v>
      </c>
      <c r="X50" s="49">
        <f t="shared" si="22"/>
        <v>13600</v>
      </c>
      <c r="Y50" s="463"/>
      <c r="Z50" s="463"/>
    </row>
    <row r="51" spans="1:26">
      <c r="A51" s="465">
        <f t="shared" si="23"/>
        <v>2018022</v>
      </c>
      <c r="B51" s="466"/>
      <c r="C51" s="642"/>
      <c r="D51" s="645"/>
      <c r="E51" s="645"/>
      <c r="F51" s="645"/>
      <c r="G51" s="645"/>
      <c r="H51" s="648"/>
      <c r="I51" s="648"/>
      <c r="J51" s="629"/>
      <c r="K51" s="189" t="s">
        <v>32</v>
      </c>
      <c r="L51" s="343"/>
      <c r="M51" s="297"/>
      <c r="N51" s="297"/>
      <c r="O51" s="297"/>
      <c r="P51" s="297"/>
      <c r="Q51" s="297"/>
      <c r="R51" s="530"/>
      <c r="S51" s="297"/>
      <c r="T51" s="297"/>
      <c r="U51" s="297"/>
      <c r="V51" s="297"/>
      <c r="W51" s="91"/>
      <c r="X51" s="49">
        <f t="shared" si="22"/>
        <v>0</v>
      </c>
      <c r="Y51" s="463"/>
      <c r="Z51" s="463"/>
    </row>
    <row r="52" spans="1:26">
      <c r="A52" s="465">
        <f t="shared" si="23"/>
        <v>2018022</v>
      </c>
      <c r="B52" s="466"/>
      <c r="C52" s="654"/>
      <c r="D52" s="655"/>
      <c r="E52" s="655"/>
      <c r="F52" s="655"/>
      <c r="G52" s="655"/>
      <c r="H52" s="652"/>
      <c r="I52" s="652"/>
      <c r="J52" s="630"/>
      <c r="K52" s="190" t="s">
        <v>33</v>
      </c>
      <c r="L52" s="345">
        <f t="shared" ref="L52:X52" si="25">L41-L44</f>
        <v>111603</v>
      </c>
      <c r="M52" s="412">
        <f t="shared" si="25"/>
        <v>122807</v>
      </c>
      <c r="N52" s="412">
        <f t="shared" si="25"/>
        <v>118827</v>
      </c>
      <c r="O52" s="412">
        <f t="shared" si="25"/>
        <v>149414</v>
      </c>
      <c r="P52" s="412">
        <f t="shared" si="25"/>
        <v>118827</v>
      </c>
      <c r="Q52" s="412">
        <f t="shared" si="25"/>
        <v>88241</v>
      </c>
      <c r="R52" s="412">
        <f t="shared" si="25"/>
        <v>149414</v>
      </c>
      <c r="S52" s="412">
        <f t="shared" si="25"/>
        <v>118827</v>
      </c>
      <c r="T52" s="412">
        <f t="shared" si="25"/>
        <v>118827</v>
      </c>
      <c r="U52" s="412">
        <f t="shared" si="25"/>
        <v>118827</v>
      </c>
      <c r="V52" s="412">
        <f t="shared" si="25"/>
        <v>57567</v>
      </c>
      <c r="W52" s="101">
        <f t="shared" si="25"/>
        <v>124952.33333333331</v>
      </c>
      <c r="X52" s="51">
        <f t="shared" si="25"/>
        <v>1398133.3333333335</v>
      </c>
      <c r="Y52" s="463"/>
      <c r="Z52" s="463"/>
    </row>
    <row r="53" spans="1:26" ht="12.75" customHeight="1">
      <c r="A53" s="113">
        <v>2022007</v>
      </c>
      <c r="C53" s="641">
        <f t="shared" ref="C53" si="26">C41+1</f>
        <v>5</v>
      </c>
      <c r="D53" s="644" t="s">
        <v>60</v>
      </c>
      <c r="E53" s="644"/>
      <c r="F53" s="644"/>
      <c r="G53" s="644" t="s">
        <v>172</v>
      </c>
      <c r="H53" s="647"/>
      <c r="I53" s="647"/>
      <c r="J53" s="628" t="s">
        <v>65</v>
      </c>
      <c r="K53" s="191" t="s">
        <v>23</v>
      </c>
      <c r="L53" s="342">
        <f t="shared" ref="L53:W53" si="27">L54+L55</f>
        <v>283050</v>
      </c>
      <c r="M53" s="409">
        <f t="shared" si="27"/>
        <v>253450</v>
      </c>
      <c r="N53" s="409">
        <f t="shared" si="27"/>
        <v>305250</v>
      </c>
      <c r="O53" s="409">
        <f t="shared" si="27"/>
        <v>290450</v>
      </c>
      <c r="P53" s="409">
        <f t="shared" si="27"/>
        <v>312650</v>
      </c>
      <c r="Q53" s="409">
        <f t="shared" si="27"/>
        <v>234950</v>
      </c>
      <c r="R53" s="409">
        <f t="shared" si="27"/>
        <v>253450</v>
      </c>
      <c r="S53" s="409">
        <f t="shared" si="27"/>
        <v>323150</v>
      </c>
      <c r="T53" s="409">
        <f t="shared" si="27"/>
        <v>283050</v>
      </c>
      <c r="U53" s="409">
        <f t="shared" si="27"/>
        <v>253450</v>
      </c>
      <c r="V53" s="409">
        <f t="shared" si="27"/>
        <v>251600</v>
      </c>
      <c r="W53" s="97">
        <f t="shared" si="27"/>
        <v>280000</v>
      </c>
      <c r="X53" s="117">
        <f t="shared" ref="X53:X63" si="28">SUM(L53:W53)</f>
        <v>3324500</v>
      </c>
      <c r="Y53" s="463"/>
      <c r="Z53" s="463"/>
    </row>
    <row r="54" spans="1:26">
      <c r="A54" s="465">
        <f t="shared" si="23"/>
        <v>2022007</v>
      </c>
      <c r="B54" s="466"/>
      <c r="C54" s="642"/>
      <c r="D54" s="645"/>
      <c r="E54" s="645"/>
      <c r="F54" s="645"/>
      <c r="G54" s="645"/>
      <c r="H54" s="648"/>
      <c r="I54" s="648"/>
      <c r="J54" s="629"/>
      <c r="K54" s="187" t="s">
        <v>24</v>
      </c>
      <c r="L54" s="343">
        <v>283050</v>
      </c>
      <c r="M54" s="297">
        <v>253450</v>
      </c>
      <c r="N54" s="297">
        <v>305250</v>
      </c>
      <c r="O54" s="297">
        <v>290450</v>
      </c>
      <c r="P54" s="297">
        <v>312650</v>
      </c>
      <c r="Q54" s="297">
        <v>234950</v>
      </c>
      <c r="R54" s="297">
        <v>253450</v>
      </c>
      <c r="S54" s="297">
        <v>321900</v>
      </c>
      <c r="T54" s="297">
        <v>283050</v>
      </c>
      <c r="U54" s="297">
        <v>253450</v>
      </c>
      <c r="V54" s="297">
        <v>251600</v>
      </c>
      <c r="W54" s="91">
        <v>280000</v>
      </c>
      <c r="X54" s="49">
        <f t="shared" si="28"/>
        <v>3323250</v>
      </c>
      <c r="Y54" s="463"/>
      <c r="Z54" s="463"/>
    </row>
    <row r="55" spans="1:26">
      <c r="A55" s="465">
        <f t="shared" si="23"/>
        <v>2022007</v>
      </c>
      <c r="B55" s="466"/>
      <c r="C55" s="642"/>
      <c r="D55" s="645"/>
      <c r="E55" s="645"/>
      <c r="F55" s="645"/>
      <c r="G55" s="645"/>
      <c r="H55" s="648"/>
      <c r="I55" s="648"/>
      <c r="J55" s="629"/>
      <c r="K55" s="146" t="s">
        <v>96</v>
      </c>
      <c r="L55" s="521">
        <v>0</v>
      </c>
      <c r="M55" s="518">
        <v>0</v>
      </c>
      <c r="N55" s="518">
        <v>0</v>
      </c>
      <c r="O55" s="518">
        <v>0</v>
      </c>
      <c r="P55" s="518">
        <v>0</v>
      </c>
      <c r="Q55" s="518">
        <v>0</v>
      </c>
      <c r="R55" s="518">
        <v>0</v>
      </c>
      <c r="S55" s="518">
        <v>1250</v>
      </c>
      <c r="T55" s="518">
        <v>0</v>
      </c>
      <c r="U55" s="518">
        <v>0</v>
      </c>
      <c r="V55" s="518">
        <v>0</v>
      </c>
      <c r="W55" s="518">
        <v>0</v>
      </c>
      <c r="X55" s="49">
        <f t="shared" si="28"/>
        <v>1250</v>
      </c>
      <c r="Y55" s="463"/>
      <c r="Z55" s="463"/>
    </row>
    <row r="56" spans="1:26">
      <c r="A56" s="465">
        <f t="shared" si="23"/>
        <v>2022007</v>
      </c>
      <c r="B56" s="466"/>
      <c r="C56" s="642"/>
      <c r="D56" s="645"/>
      <c r="E56" s="645"/>
      <c r="F56" s="645"/>
      <c r="G56" s="645"/>
      <c r="H56" s="648"/>
      <c r="I56" s="648"/>
      <c r="J56" s="629"/>
      <c r="K56" s="188" t="s">
        <v>26</v>
      </c>
      <c r="L56" s="344">
        <f t="shared" ref="L56:W56" si="29">SUM(L57:L63)</f>
        <v>177056</v>
      </c>
      <c r="M56" s="411">
        <f t="shared" si="29"/>
        <v>158890</v>
      </c>
      <c r="N56" s="411">
        <f t="shared" si="29"/>
        <v>190292</v>
      </c>
      <c r="O56" s="411">
        <f t="shared" si="29"/>
        <v>182960</v>
      </c>
      <c r="P56" s="411">
        <f t="shared" si="29"/>
        <v>198307</v>
      </c>
      <c r="Q56" s="411">
        <f t="shared" si="29"/>
        <v>151077</v>
      </c>
      <c r="R56" s="411">
        <f t="shared" si="29"/>
        <v>158086</v>
      </c>
      <c r="S56" s="411">
        <f t="shared" si="29"/>
        <v>205774</v>
      </c>
      <c r="T56" s="411">
        <f t="shared" si="29"/>
        <v>191704</v>
      </c>
      <c r="U56" s="411">
        <f t="shared" si="29"/>
        <v>157941</v>
      </c>
      <c r="V56" s="411">
        <f t="shared" si="29"/>
        <v>173047</v>
      </c>
      <c r="W56" s="99">
        <f t="shared" si="29"/>
        <v>178481</v>
      </c>
      <c r="X56" s="50">
        <f t="shared" si="28"/>
        <v>2123615</v>
      </c>
      <c r="Y56" s="463"/>
      <c r="Z56" s="463"/>
    </row>
    <row r="57" spans="1:26">
      <c r="A57" s="465">
        <f t="shared" si="23"/>
        <v>2022007</v>
      </c>
      <c r="B57" s="466"/>
      <c r="C57" s="642"/>
      <c r="D57" s="645"/>
      <c r="E57" s="645"/>
      <c r="F57" s="645"/>
      <c r="G57" s="645"/>
      <c r="H57" s="648"/>
      <c r="I57" s="648"/>
      <c r="J57" s="629"/>
      <c r="K57" s="189" t="s">
        <v>27</v>
      </c>
      <c r="L57" s="343">
        <v>168575</v>
      </c>
      <c r="M57" s="297">
        <v>150700</v>
      </c>
      <c r="N57" s="297">
        <v>182325</v>
      </c>
      <c r="O57" s="297">
        <v>175450</v>
      </c>
      <c r="P57" s="297">
        <v>190300</v>
      </c>
      <c r="Q57" s="297">
        <v>144925</v>
      </c>
      <c r="R57" s="297">
        <v>150700</v>
      </c>
      <c r="S57" s="297">
        <v>198150</v>
      </c>
      <c r="T57" s="297">
        <v>185350</v>
      </c>
      <c r="U57" s="297">
        <v>150975</v>
      </c>
      <c r="V57" s="297">
        <v>166100</v>
      </c>
      <c r="W57" s="91">
        <v>170000</v>
      </c>
      <c r="X57" s="49">
        <f t="shared" si="28"/>
        <v>2033550</v>
      </c>
      <c r="Y57" s="463"/>
      <c r="Z57" s="463"/>
    </row>
    <row r="58" spans="1:26">
      <c r="A58" s="465">
        <f t="shared" si="23"/>
        <v>2022007</v>
      </c>
      <c r="B58" s="466"/>
      <c r="C58" s="642"/>
      <c r="D58" s="645"/>
      <c r="E58" s="645"/>
      <c r="F58" s="645"/>
      <c r="G58" s="645"/>
      <c r="H58" s="648"/>
      <c r="I58" s="648"/>
      <c r="J58" s="629"/>
      <c r="K58" s="189" t="s">
        <v>34</v>
      </c>
      <c r="L58" s="343"/>
      <c r="M58" s="297"/>
      <c r="N58" s="297"/>
      <c r="O58" s="297"/>
      <c r="P58" s="297"/>
      <c r="Q58" s="297"/>
      <c r="R58" s="297"/>
      <c r="S58" s="297"/>
      <c r="T58" s="297"/>
      <c r="U58" s="297"/>
      <c r="V58" s="297"/>
      <c r="W58" s="91"/>
      <c r="X58" s="49">
        <f t="shared" si="28"/>
        <v>0</v>
      </c>
      <c r="Y58" s="463"/>
      <c r="Z58" s="463"/>
    </row>
    <row r="59" spans="1:26">
      <c r="A59" s="465">
        <f t="shared" si="23"/>
        <v>2022007</v>
      </c>
      <c r="B59" s="466"/>
      <c r="C59" s="642"/>
      <c r="D59" s="645"/>
      <c r="E59" s="645"/>
      <c r="F59" s="645"/>
      <c r="G59" s="645"/>
      <c r="H59" s="648"/>
      <c r="I59" s="648"/>
      <c r="J59" s="629"/>
      <c r="K59" s="189" t="s">
        <v>28</v>
      </c>
      <c r="L59" s="343">
        <v>7600</v>
      </c>
      <c r="M59" s="297">
        <v>7400</v>
      </c>
      <c r="N59" s="297">
        <v>7020</v>
      </c>
      <c r="O59" s="297">
        <v>6600</v>
      </c>
      <c r="P59" s="297">
        <v>7020</v>
      </c>
      <c r="Q59" s="297">
        <v>5400</v>
      </c>
      <c r="R59" s="297">
        <v>6600</v>
      </c>
      <c r="S59" s="297">
        <v>6600</v>
      </c>
      <c r="T59" s="297">
        <v>5400</v>
      </c>
      <c r="U59" s="297">
        <v>6180</v>
      </c>
      <c r="V59" s="297">
        <v>6000</v>
      </c>
      <c r="W59" s="91">
        <v>7600</v>
      </c>
      <c r="X59" s="49">
        <f t="shared" si="28"/>
        <v>79420</v>
      </c>
      <c r="Y59" s="463"/>
      <c r="Z59" s="463"/>
    </row>
    <row r="60" spans="1:26">
      <c r="A60" s="465">
        <f t="shared" si="23"/>
        <v>2022007</v>
      </c>
      <c r="B60" s="466"/>
      <c r="C60" s="642"/>
      <c r="D60" s="645"/>
      <c r="E60" s="645"/>
      <c r="F60" s="645"/>
      <c r="G60" s="645"/>
      <c r="H60" s="648"/>
      <c r="I60" s="648"/>
      <c r="J60" s="629"/>
      <c r="K60" s="189" t="s">
        <v>29</v>
      </c>
      <c r="L60" s="343"/>
      <c r="M60" s="297"/>
      <c r="N60" s="297"/>
      <c r="O60" s="297"/>
      <c r="P60" s="297"/>
      <c r="Q60" s="297"/>
      <c r="R60" s="297"/>
      <c r="S60" s="297"/>
      <c r="T60" s="297"/>
      <c r="U60" s="297"/>
      <c r="V60" s="297"/>
      <c r="W60" s="91"/>
      <c r="X60" s="49">
        <f t="shared" si="28"/>
        <v>0</v>
      </c>
      <c r="Y60" s="463"/>
      <c r="Z60" s="463"/>
    </row>
    <row r="61" spans="1:26">
      <c r="A61" s="465">
        <f t="shared" si="23"/>
        <v>2022007</v>
      </c>
      <c r="B61" s="466"/>
      <c r="C61" s="642"/>
      <c r="D61" s="645"/>
      <c r="E61" s="645"/>
      <c r="F61" s="645"/>
      <c r="G61" s="645"/>
      <c r="H61" s="648"/>
      <c r="I61" s="648"/>
      <c r="J61" s="629"/>
      <c r="K61" s="189" t="s">
        <v>30</v>
      </c>
      <c r="L61" s="343"/>
      <c r="M61" s="297"/>
      <c r="N61" s="297"/>
      <c r="O61" s="297"/>
      <c r="P61" s="297"/>
      <c r="Q61" s="297"/>
      <c r="R61" s="297"/>
      <c r="S61" s="297"/>
      <c r="T61" s="297"/>
      <c r="U61" s="297"/>
      <c r="V61" s="297"/>
      <c r="W61" s="91"/>
      <c r="X61" s="49">
        <f t="shared" si="28"/>
        <v>0</v>
      </c>
      <c r="Y61" s="463"/>
      <c r="Z61" s="463"/>
    </row>
    <row r="62" spans="1:26">
      <c r="A62" s="465">
        <f t="shared" si="23"/>
        <v>2022007</v>
      </c>
      <c r="B62" s="466"/>
      <c r="C62" s="642"/>
      <c r="D62" s="645"/>
      <c r="E62" s="645"/>
      <c r="F62" s="645"/>
      <c r="G62" s="645"/>
      <c r="H62" s="648"/>
      <c r="I62" s="648"/>
      <c r="J62" s="629"/>
      <c r="K62" s="189" t="s">
        <v>31</v>
      </c>
      <c r="L62" s="343">
        <v>881</v>
      </c>
      <c r="M62" s="297">
        <v>790</v>
      </c>
      <c r="N62" s="297">
        <v>947</v>
      </c>
      <c r="O62" s="297">
        <v>910</v>
      </c>
      <c r="P62" s="297">
        <v>987</v>
      </c>
      <c r="Q62" s="297">
        <v>752</v>
      </c>
      <c r="R62" s="297">
        <v>786</v>
      </c>
      <c r="S62" s="297">
        <v>1024</v>
      </c>
      <c r="T62" s="297">
        <v>954</v>
      </c>
      <c r="U62" s="297">
        <v>786</v>
      </c>
      <c r="V62" s="297">
        <v>947</v>
      </c>
      <c r="W62" s="91">
        <v>881</v>
      </c>
      <c r="X62" s="49">
        <f t="shared" si="28"/>
        <v>10645</v>
      </c>
      <c r="Y62" s="463"/>
      <c r="Z62" s="463"/>
    </row>
    <row r="63" spans="1:26">
      <c r="A63" s="465">
        <f t="shared" si="23"/>
        <v>2022007</v>
      </c>
      <c r="B63" s="466"/>
      <c r="C63" s="642"/>
      <c r="D63" s="645"/>
      <c r="E63" s="645"/>
      <c r="F63" s="645"/>
      <c r="G63" s="645"/>
      <c r="H63" s="648"/>
      <c r="I63" s="648"/>
      <c r="J63" s="629"/>
      <c r="K63" s="189" t="s">
        <v>32</v>
      </c>
      <c r="L63" s="343"/>
      <c r="M63" s="297"/>
      <c r="N63" s="297"/>
      <c r="O63" s="297"/>
      <c r="P63" s="297"/>
      <c r="Q63" s="297"/>
      <c r="R63" s="530"/>
      <c r="S63" s="297"/>
      <c r="T63" s="297"/>
      <c r="U63" s="297"/>
      <c r="V63" s="297"/>
      <c r="W63" s="91"/>
      <c r="X63" s="49">
        <f t="shared" si="28"/>
        <v>0</v>
      </c>
      <c r="Y63" s="463"/>
      <c r="Z63" s="463"/>
    </row>
    <row r="64" spans="1:26">
      <c r="A64" s="465">
        <f t="shared" si="23"/>
        <v>2022007</v>
      </c>
      <c r="B64" s="466"/>
      <c r="C64" s="654"/>
      <c r="D64" s="655"/>
      <c r="E64" s="655"/>
      <c r="F64" s="655"/>
      <c r="G64" s="655"/>
      <c r="H64" s="652"/>
      <c r="I64" s="652"/>
      <c r="J64" s="630"/>
      <c r="K64" s="190" t="s">
        <v>33</v>
      </c>
      <c r="L64" s="345">
        <f t="shared" ref="L64:X64" si="30">L53-L56</f>
        <v>105994</v>
      </c>
      <c r="M64" s="412">
        <f t="shared" si="30"/>
        <v>94560</v>
      </c>
      <c r="N64" s="412">
        <f t="shared" si="30"/>
        <v>114958</v>
      </c>
      <c r="O64" s="412">
        <f t="shared" si="30"/>
        <v>107490</v>
      </c>
      <c r="P64" s="412">
        <f t="shared" si="30"/>
        <v>114343</v>
      </c>
      <c r="Q64" s="412">
        <f t="shared" si="30"/>
        <v>83873</v>
      </c>
      <c r="R64" s="412">
        <f t="shared" si="30"/>
        <v>95364</v>
      </c>
      <c r="S64" s="412">
        <f t="shared" si="30"/>
        <v>117376</v>
      </c>
      <c r="T64" s="412">
        <f t="shared" si="30"/>
        <v>91346</v>
      </c>
      <c r="U64" s="412">
        <f t="shared" si="30"/>
        <v>95509</v>
      </c>
      <c r="V64" s="412">
        <f t="shared" si="30"/>
        <v>78553</v>
      </c>
      <c r="W64" s="101">
        <f t="shared" si="30"/>
        <v>101519</v>
      </c>
      <c r="X64" s="51">
        <f t="shared" si="30"/>
        <v>1200885</v>
      </c>
      <c r="Y64" s="463"/>
      <c r="Z64" s="463"/>
    </row>
    <row r="65" spans="1:26" ht="12.75" customHeight="1">
      <c r="A65" s="113">
        <v>2016002</v>
      </c>
      <c r="C65" s="641">
        <f>C41+1</f>
        <v>5</v>
      </c>
      <c r="D65" s="644" t="s">
        <v>35</v>
      </c>
      <c r="E65" s="644"/>
      <c r="F65" s="644"/>
      <c r="G65" s="644" t="s">
        <v>125</v>
      </c>
      <c r="H65" s="647"/>
      <c r="I65" s="647"/>
      <c r="J65" s="628" t="s">
        <v>80</v>
      </c>
      <c r="K65" s="191" t="s">
        <v>23</v>
      </c>
      <c r="L65" s="342">
        <f t="shared" ref="L65:W65" si="31">L66+L67</f>
        <v>810000</v>
      </c>
      <c r="M65" s="409">
        <f t="shared" si="31"/>
        <v>781100</v>
      </c>
      <c r="N65" s="409">
        <f t="shared" si="31"/>
        <v>810000</v>
      </c>
      <c r="O65" s="409">
        <f t="shared" si="31"/>
        <v>810000</v>
      </c>
      <c r="P65" s="409">
        <f t="shared" si="31"/>
        <v>694400</v>
      </c>
      <c r="Q65" s="409">
        <f t="shared" si="31"/>
        <v>781100</v>
      </c>
      <c r="R65" s="409">
        <f t="shared" si="31"/>
        <v>810000</v>
      </c>
      <c r="S65" s="409">
        <f t="shared" si="31"/>
        <v>781100</v>
      </c>
      <c r="T65" s="409">
        <f t="shared" si="31"/>
        <v>810000</v>
      </c>
      <c r="U65" s="409">
        <f t="shared" si="31"/>
        <v>781100</v>
      </c>
      <c r="V65" s="409">
        <f t="shared" si="31"/>
        <v>781100</v>
      </c>
      <c r="W65" s="97">
        <f t="shared" si="31"/>
        <v>810000</v>
      </c>
      <c r="X65" s="117">
        <f>SUM(L65:W65)</f>
        <v>9459900</v>
      </c>
      <c r="Y65" s="463"/>
      <c r="Z65" s="463"/>
    </row>
    <row r="66" spans="1:26">
      <c r="A66" s="465">
        <f t="shared" ref="A66:A76" si="32">+A65</f>
        <v>2016002</v>
      </c>
      <c r="B66" s="466"/>
      <c r="C66" s="642"/>
      <c r="D66" s="645"/>
      <c r="E66" s="645"/>
      <c r="F66" s="645"/>
      <c r="G66" s="645"/>
      <c r="H66" s="648"/>
      <c r="I66" s="648"/>
      <c r="J66" s="629"/>
      <c r="K66" s="187" t="s">
        <v>24</v>
      </c>
      <c r="L66" s="343">
        <v>810000</v>
      </c>
      <c r="M66" s="297">
        <v>781100</v>
      </c>
      <c r="N66" s="297">
        <v>810000</v>
      </c>
      <c r="O66" s="297">
        <v>810000</v>
      </c>
      <c r="P66" s="297">
        <v>694400</v>
      </c>
      <c r="Q66" s="297">
        <v>781100</v>
      </c>
      <c r="R66" s="297">
        <v>810000</v>
      </c>
      <c r="S66" s="297">
        <v>781100</v>
      </c>
      <c r="T66" s="297">
        <v>810000</v>
      </c>
      <c r="U66" s="297">
        <v>781100</v>
      </c>
      <c r="V66" s="297">
        <v>781100</v>
      </c>
      <c r="W66" s="91">
        <v>810000</v>
      </c>
      <c r="X66" s="49">
        <f>SUM(L66:W66)</f>
        <v>9459900</v>
      </c>
      <c r="Y66" s="463"/>
      <c r="Z66" s="463"/>
    </row>
    <row r="67" spans="1:26">
      <c r="A67" s="465">
        <f t="shared" si="32"/>
        <v>2016002</v>
      </c>
      <c r="B67" s="466"/>
      <c r="C67" s="642"/>
      <c r="D67" s="645"/>
      <c r="E67" s="645"/>
      <c r="F67" s="645"/>
      <c r="G67" s="645"/>
      <c r="H67" s="648"/>
      <c r="I67" s="648"/>
      <c r="J67" s="629"/>
      <c r="K67" s="187" t="s">
        <v>25</v>
      </c>
      <c r="L67" s="343"/>
      <c r="M67" s="297"/>
      <c r="N67" s="297"/>
      <c r="O67" s="297"/>
      <c r="P67" s="297"/>
      <c r="Q67" s="297"/>
      <c r="R67" s="297"/>
      <c r="S67" s="297"/>
      <c r="T67" s="297"/>
      <c r="U67" s="297"/>
      <c r="V67" s="297"/>
      <c r="W67" s="98"/>
      <c r="X67" s="49">
        <v>0</v>
      </c>
      <c r="Y67" s="463"/>
      <c r="Z67" s="463"/>
    </row>
    <row r="68" spans="1:26">
      <c r="A68" s="465">
        <f t="shared" si="32"/>
        <v>2016002</v>
      </c>
      <c r="B68" s="466"/>
      <c r="C68" s="642"/>
      <c r="D68" s="645"/>
      <c r="E68" s="645"/>
      <c r="F68" s="645"/>
      <c r="G68" s="645"/>
      <c r="H68" s="648"/>
      <c r="I68" s="648"/>
      <c r="J68" s="629"/>
      <c r="K68" s="188" t="s">
        <v>26</v>
      </c>
      <c r="L68" s="344">
        <f t="shared" ref="L68:W68" si="33">SUM(L69:L75)</f>
        <v>681090</v>
      </c>
      <c r="M68" s="411">
        <f t="shared" si="33"/>
        <v>680686</v>
      </c>
      <c r="N68" s="411">
        <f t="shared" si="33"/>
        <v>681090</v>
      </c>
      <c r="O68" s="411">
        <f t="shared" si="33"/>
        <v>682302</v>
      </c>
      <c r="P68" s="411">
        <f t="shared" si="33"/>
        <v>679958</v>
      </c>
      <c r="Q68" s="411">
        <f t="shared" si="33"/>
        <v>680686</v>
      </c>
      <c r="R68" s="411">
        <f t="shared" si="33"/>
        <v>681090</v>
      </c>
      <c r="S68" s="411">
        <f t="shared" si="33"/>
        <v>664841</v>
      </c>
      <c r="T68" s="411">
        <f t="shared" si="33"/>
        <v>681090</v>
      </c>
      <c r="U68" s="411">
        <f t="shared" si="33"/>
        <v>680686</v>
      </c>
      <c r="V68" s="411">
        <f t="shared" si="33"/>
        <v>665023</v>
      </c>
      <c r="W68" s="99">
        <f t="shared" si="33"/>
        <v>681090</v>
      </c>
      <c r="X68" s="50">
        <f t="shared" ref="X68:X75" si="34">SUM(L68:W68)</f>
        <v>8139632</v>
      </c>
      <c r="Y68" s="463"/>
      <c r="Z68" s="463"/>
    </row>
    <row r="69" spans="1:26">
      <c r="A69" s="465">
        <f t="shared" si="32"/>
        <v>2016002</v>
      </c>
      <c r="B69" s="466"/>
      <c r="C69" s="642"/>
      <c r="D69" s="645"/>
      <c r="E69" s="645"/>
      <c r="F69" s="645"/>
      <c r="G69" s="645"/>
      <c r="H69" s="648"/>
      <c r="I69" s="648"/>
      <c r="J69" s="629"/>
      <c r="K69" s="189" t="s">
        <v>27</v>
      </c>
      <c r="L69" s="343">
        <v>587600</v>
      </c>
      <c r="M69" s="297">
        <v>587200</v>
      </c>
      <c r="N69" s="297">
        <v>587600</v>
      </c>
      <c r="O69" s="297">
        <v>588800</v>
      </c>
      <c r="P69" s="297">
        <v>586000</v>
      </c>
      <c r="Q69" s="297">
        <v>587200</v>
      </c>
      <c r="R69" s="297">
        <v>587600</v>
      </c>
      <c r="S69" s="297">
        <v>571520</v>
      </c>
      <c r="T69" s="297">
        <v>587600</v>
      </c>
      <c r="U69" s="297">
        <v>587200</v>
      </c>
      <c r="V69" s="297">
        <v>571520</v>
      </c>
      <c r="W69" s="91">
        <v>587600</v>
      </c>
      <c r="X69" s="49">
        <f t="shared" si="34"/>
        <v>7017440</v>
      </c>
      <c r="Y69" s="463"/>
      <c r="Z69" s="463"/>
    </row>
    <row r="70" spans="1:26">
      <c r="A70" s="465">
        <f t="shared" si="32"/>
        <v>2016002</v>
      </c>
      <c r="B70" s="466"/>
      <c r="C70" s="642"/>
      <c r="D70" s="645"/>
      <c r="E70" s="645"/>
      <c r="F70" s="645"/>
      <c r="G70" s="645"/>
      <c r="H70" s="648"/>
      <c r="I70" s="648"/>
      <c r="J70" s="629"/>
      <c r="K70" s="189" t="s">
        <v>34</v>
      </c>
      <c r="L70" s="343"/>
      <c r="M70" s="297"/>
      <c r="N70" s="297"/>
      <c r="O70" s="297"/>
      <c r="P70" s="297"/>
      <c r="Q70" s="297"/>
      <c r="R70" s="297"/>
      <c r="S70" s="297"/>
      <c r="T70" s="297"/>
      <c r="U70" s="297"/>
      <c r="V70" s="297"/>
      <c r="W70" s="91"/>
      <c r="X70" s="49">
        <f t="shared" si="34"/>
        <v>0</v>
      </c>
      <c r="Y70" s="463"/>
      <c r="Z70" s="463"/>
    </row>
    <row r="71" spans="1:26">
      <c r="A71" s="465">
        <f t="shared" si="32"/>
        <v>2016002</v>
      </c>
      <c r="B71" s="466"/>
      <c r="C71" s="642"/>
      <c r="D71" s="645"/>
      <c r="E71" s="645"/>
      <c r="F71" s="645"/>
      <c r="G71" s="645"/>
      <c r="H71" s="648"/>
      <c r="I71" s="648"/>
      <c r="J71" s="629"/>
      <c r="K71" s="189" t="s">
        <v>28</v>
      </c>
      <c r="L71" s="343">
        <v>0</v>
      </c>
      <c r="M71" s="297">
        <v>0</v>
      </c>
      <c r="N71" s="297">
        <v>0</v>
      </c>
      <c r="O71" s="297">
        <v>0</v>
      </c>
      <c r="P71" s="297">
        <v>480</v>
      </c>
      <c r="Q71" s="297">
        <v>0</v>
      </c>
      <c r="R71" s="297">
        <v>0</v>
      </c>
      <c r="S71" s="297">
        <v>0</v>
      </c>
      <c r="T71" s="297">
        <v>0</v>
      </c>
      <c r="U71" s="297"/>
      <c r="V71" s="297"/>
      <c r="W71" s="91">
        <v>0</v>
      </c>
      <c r="X71" s="49">
        <f t="shared" si="34"/>
        <v>480</v>
      </c>
      <c r="Y71" s="463"/>
      <c r="Z71" s="463"/>
    </row>
    <row r="72" spans="1:26">
      <c r="A72" s="465">
        <f t="shared" si="32"/>
        <v>2016002</v>
      </c>
      <c r="B72" s="466"/>
      <c r="C72" s="642"/>
      <c r="D72" s="645"/>
      <c r="E72" s="645"/>
      <c r="F72" s="645"/>
      <c r="G72" s="645"/>
      <c r="H72" s="648"/>
      <c r="I72" s="648"/>
      <c r="J72" s="629"/>
      <c r="K72" s="189" t="s">
        <v>29</v>
      </c>
      <c r="L72" s="343">
        <v>33335</v>
      </c>
      <c r="M72" s="297">
        <v>33335</v>
      </c>
      <c r="N72" s="297">
        <v>33335</v>
      </c>
      <c r="O72" s="297">
        <v>33335</v>
      </c>
      <c r="P72" s="297">
        <v>33335</v>
      </c>
      <c r="Q72" s="297">
        <v>33335</v>
      </c>
      <c r="R72" s="297">
        <v>33335</v>
      </c>
      <c r="S72" s="297">
        <v>33335</v>
      </c>
      <c r="T72" s="297">
        <v>33335</v>
      </c>
      <c r="U72" s="297">
        <v>33335</v>
      </c>
      <c r="V72" s="297">
        <v>33335</v>
      </c>
      <c r="W72" s="91">
        <v>33335</v>
      </c>
      <c r="X72" s="49">
        <f t="shared" si="34"/>
        <v>400020</v>
      </c>
      <c r="Y72" s="463"/>
      <c r="Z72" s="463"/>
    </row>
    <row r="73" spans="1:26">
      <c r="A73" s="465">
        <f t="shared" si="32"/>
        <v>2016002</v>
      </c>
      <c r="B73" s="466"/>
      <c r="C73" s="642"/>
      <c r="D73" s="645"/>
      <c r="E73" s="645"/>
      <c r="F73" s="645"/>
      <c r="G73" s="645"/>
      <c r="H73" s="648"/>
      <c r="I73" s="648"/>
      <c r="J73" s="629"/>
      <c r="K73" s="189" t="s">
        <v>30</v>
      </c>
      <c r="L73" s="343">
        <v>53985</v>
      </c>
      <c r="M73" s="297">
        <v>53985</v>
      </c>
      <c r="N73" s="297">
        <v>53985</v>
      </c>
      <c r="O73" s="297">
        <v>53985</v>
      </c>
      <c r="P73" s="297">
        <v>53985</v>
      </c>
      <c r="Q73" s="297">
        <v>53985</v>
      </c>
      <c r="R73" s="297">
        <v>53985</v>
      </c>
      <c r="S73" s="297">
        <v>53985</v>
      </c>
      <c r="T73" s="297">
        <v>53985</v>
      </c>
      <c r="U73" s="297">
        <v>53985</v>
      </c>
      <c r="V73" s="297">
        <v>53985</v>
      </c>
      <c r="W73" s="91">
        <v>53985</v>
      </c>
      <c r="X73" s="49">
        <f t="shared" si="34"/>
        <v>647820</v>
      </c>
      <c r="Y73" s="463"/>
      <c r="Z73" s="463"/>
    </row>
    <row r="74" spans="1:26">
      <c r="A74" s="465">
        <f t="shared" si="32"/>
        <v>2016002</v>
      </c>
      <c r="B74" s="466"/>
      <c r="C74" s="642"/>
      <c r="D74" s="645"/>
      <c r="E74" s="645"/>
      <c r="F74" s="645"/>
      <c r="G74" s="645"/>
      <c r="H74" s="648"/>
      <c r="I74" s="648"/>
      <c r="J74" s="629"/>
      <c r="K74" s="189" t="s">
        <v>31</v>
      </c>
      <c r="L74" s="343">
        <v>2938</v>
      </c>
      <c r="M74" s="297">
        <v>2936</v>
      </c>
      <c r="N74" s="297">
        <v>2938</v>
      </c>
      <c r="O74" s="297">
        <v>2944</v>
      </c>
      <c r="P74" s="297">
        <v>2932</v>
      </c>
      <c r="Q74" s="297">
        <v>2936</v>
      </c>
      <c r="R74" s="297">
        <v>2938</v>
      </c>
      <c r="S74" s="297">
        <v>2858</v>
      </c>
      <c r="T74" s="297">
        <v>2938</v>
      </c>
      <c r="U74" s="297">
        <v>2936</v>
      </c>
      <c r="V74" s="297">
        <v>2944</v>
      </c>
      <c r="W74" s="91">
        <v>2938</v>
      </c>
      <c r="X74" s="49">
        <f t="shared" si="34"/>
        <v>35176</v>
      </c>
      <c r="Y74" s="463"/>
      <c r="Z74" s="463"/>
    </row>
    <row r="75" spans="1:26">
      <c r="A75" s="465">
        <f t="shared" si="32"/>
        <v>2016002</v>
      </c>
      <c r="B75" s="466"/>
      <c r="C75" s="642"/>
      <c r="D75" s="645"/>
      <c r="E75" s="645"/>
      <c r="F75" s="645"/>
      <c r="G75" s="645"/>
      <c r="H75" s="648"/>
      <c r="I75" s="648"/>
      <c r="J75" s="629"/>
      <c r="K75" s="189" t="s">
        <v>32</v>
      </c>
      <c r="L75" s="343">
        <v>3232</v>
      </c>
      <c r="M75" s="297">
        <v>3230</v>
      </c>
      <c r="N75" s="297">
        <v>3232</v>
      </c>
      <c r="O75" s="297">
        <v>3238</v>
      </c>
      <c r="P75" s="297">
        <v>3226</v>
      </c>
      <c r="Q75" s="297">
        <v>3230</v>
      </c>
      <c r="R75" s="297">
        <v>3232</v>
      </c>
      <c r="S75" s="297">
        <v>3143</v>
      </c>
      <c r="T75" s="297">
        <v>3232</v>
      </c>
      <c r="U75" s="297">
        <v>3230</v>
      </c>
      <c r="V75" s="297">
        <v>3239</v>
      </c>
      <c r="W75" s="91">
        <v>3232</v>
      </c>
      <c r="X75" s="49">
        <f t="shared" si="34"/>
        <v>38696</v>
      </c>
      <c r="Y75" s="463"/>
      <c r="Z75" s="463"/>
    </row>
    <row r="76" spans="1:26">
      <c r="A76" s="465">
        <f t="shared" si="32"/>
        <v>2016002</v>
      </c>
      <c r="B76" s="466"/>
      <c r="C76" s="654"/>
      <c r="D76" s="655"/>
      <c r="E76" s="655"/>
      <c r="F76" s="655"/>
      <c r="G76" s="655"/>
      <c r="H76" s="652"/>
      <c r="I76" s="652"/>
      <c r="J76" s="630"/>
      <c r="K76" s="190" t="s">
        <v>33</v>
      </c>
      <c r="L76" s="345">
        <f t="shared" ref="L76:X76" si="35">L65-L68</f>
        <v>128910</v>
      </c>
      <c r="M76" s="412">
        <f t="shared" si="35"/>
        <v>100414</v>
      </c>
      <c r="N76" s="412">
        <f t="shared" si="35"/>
        <v>128910</v>
      </c>
      <c r="O76" s="412">
        <f t="shared" si="35"/>
        <v>127698</v>
      </c>
      <c r="P76" s="412">
        <f t="shared" si="35"/>
        <v>14442</v>
      </c>
      <c r="Q76" s="412">
        <f t="shared" si="35"/>
        <v>100414</v>
      </c>
      <c r="R76" s="412">
        <f t="shared" si="35"/>
        <v>128910</v>
      </c>
      <c r="S76" s="412">
        <f t="shared" si="35"/>
        <v>116259</v>
      </c>
      <c r="T76" s="412">
        <f t="shared" si="35"/>
        <v>128910</v>
      </c>
      <c r="U76" s="412">
        <f t="shared" si="35"/>
        <v>100414</v>
      </c>
      <c r="V76" s="412">
        <f t="shared" si="35"/>
        <v>116077</v>
      </c>
      <c r="W76" s="101">
        <f t="shared" si="35"/>
        <v>128910</v>
      </c>
      <c r="X76" s="51">
        <f t="shared" si="35"/>
        <v>1320268</v>
      </c>
      <c r="Y76" s="463"/>
      <c r="Z76" s="463"/>
    </row>
    <row r="77" spans="1:26" ht="12.75" customHeight="1">
      <c r="A77" s="113">
        <v>2023006</v>
      </c>
      <c r="C77" s="641">
        <f t="shared" ref="C77" si="36">C65+1</f>
        <v>6</v>
      </c>
      <c r="D77" s="644" t="s">
        <v>60</v>
      </c>
      <c r="E77" s="644"/>
      <c r="F77" s="644"/>
      <c r="G77" s="644" t="s">
        <v>100</v>
      </c>
      <c r="H77" s="647"/>
      <c r="I77" s="647"/>
      <c r="J77" s="628" t="s">
        <v>65</v>
      </c>
      <c r="K77" s="191" t="s">
        <v>23</v>
      </c>
      <c r="L77" s="342">
        <f t="shared" ref="L77:W77" si="37">L78+L79</f>
        <v>211250</v>
      </c>
      <c r="M77" s="409">
        <f t="shared" si="37"/>
        <v>195000</v>
      </c>
      <c r="N77" s="409">
        <f t="shared" si="37"/>
        <v>211250</v>
      </c>
      <c r="O77" s="409">
        <f t="shared" si="37"/>
        <v>211250</v>
      </c>
      <c r="P77" s="409">
        <f t="shared" si="37"/>
        <v>211250</v>
      </c>
      <c r="Q77" s="409">
        <f t="shared" si="37"/>
        <v>211250</v>
      </c>
      <c r="R77" s="409">
        <f t="shared" si="37"/>
        <v>227500</v>
      </c>
      <c r="S77" s="409">
        <f t="shared" si="37"/>
        <v>195000</v>
      </c>
      <c r="T77" s="409">
        <f t="shared" si="37"/>
        <v>178750</v>
      </c>
      <c r="U77" s="409">
        <f t="shared" si="37"/>
        <v>195000</v>
      </c>
      <c r="V77" s="409">
        <f t="shared" si="37"/>
        <v>16250</v>
      </c>
      <c r="W77" s="97">
        <f t="shared" si="37"/>
        <v>0</v>
      </c>
      <c r="X77" s="117">
        <f t="shared" ref="X77:X87" si="38">SUM(L77:W77)</f>
        <v>2063750</v>
      </c>
      <c r="Y77" s="463"/>
      <c r="Z77" s="463"/>
    </row>
    <row r="78" spans="1:26">
      <c r="A78" s="465">
        <f t="shared" ref="A78:A88" si="39">+A77</f>
        <v>2023006</v>
      </c>
      <c r="B78" s="466"/>
      <c r="C78" s="642"/>
      <c r="D78" s="645"/>
      <c r="E78" s="645"/>
      <c r="F78" s="645"/>
      <c r="G78" s="645"/>
      <c r="H78" s="648"/>
      <c r="I78" s="648"/>
      <c r="J78" s="629"/>
      <c r="K78" s="187" t="s">
        <v>24</v>
      </c>
      <c r="L78" s="343">
        <v>211250</v>
      </c>
      <c r="M78" s="297">
        <v>195000</v>
      </c>
      <c r="N78" s="297">
        <v>211250</v>
      </c>
      <c r="O78" s="297">
        <v>211250</v>
      </c>
      <c r="P78" s="297">
        <v>211250</v>
      </c>
      <c r="Q78" s="297">
        <v>211250</v>
      </c>
      <c r="R78" s="297">
        <v>227500</v>
      </c>
      <c r="S78" s="297">
        <v>195000</v>
      </c>
      <c r="T78" s="297">
        <v>178750</v>
      </c>
      <c r="U78" s="297">
        <v>195000</v>
      </c>
      <c r="V78" s="297">
        <v>16250</v>
      </c>
      <c r="W78" s="91"/>
      <c r="X78" s="49">
        <f t="shared" si="38"/>
        <v>2063750</v>
      </c>
      <c r="Y78" s="463"/>
      <c r="Z78" s="463"/>
    </row>
    <row r="79" spans="1:26">
      <c r="A79" s="465">
        <f t="shared" si="39"/>
        <v>2023006</v>
      </c>
      <c r="B79" s="466"/>
      <c r="C79" s="642"/>
      <c r="D79" s="645"/>
      <c r="E79" s="645"/>
      <c r="F79" s="645"/>
      <c r="G79" s="645"/>
      <c r="H79" s="648"/>
      <c r="I79" s="648"/>
      <c r="J79" s="629"/>
      <c r="K79" s="187" t="s">
        <v>25</v>
      </c>
      <c r="L79" s="343"/>
      <c r="M79" s="297"/>
      <c r="N79" s="297"/>
      <c r="O79" s="297"/>
      <c r="P79" s="297"/>
      <c r="Q79" s="297"/>
      <c r="R79" s="297"/>
      <c r="S79" s="297"/>
      <c r="T79" s="297"/>
      <c r="U79" s="297"/>
      <c r="V79" s="297"/>
      <c r="W79" s="98"/>
      <c r="X79" s="49">
        <f t="shared" si="38"/>
        <v>0</v>
      </c>
      <c r="Y79" s="463"/>
      <c r="Z79" s="463"/>
    </row>
    <row r="80" spans="1:26">
      <c r="A80" s="465">
        <f t="shared" si="39"/>
        <v>2023006</v>
      </c>
      <c r="B80" s="466"/>
      <c r="C80" s="642"/>
      <c r="D80" s="645"/>
      <c r="E80" s="645"/>
      <c r="F80" s="645"/>
      <c r="G80" s="645"/>
      <c r="H80" s="648"/>
      <c r="I80" s="648"/>
      <c r="J80" s="629"/>
      <c r="K80" s="188" t="s">
        <v>26</v>
      </c>
      <c r="L80" s="344">
        <f t="shared" ref="L80:W80" si="40">SUM(L81:L87)</f>
        <v>141826</v>
      </c>
      <c r="M80" s="411">
        <f t="shared" si="40"/>
        <v>142951</v>
      </c>
      <c r="N80" s="411">
        <f t="shared" si="40"/>
        <v>141826</v>
      </c>
      <c r="O80" s="411">
        <f t="shared" si="40"/>
        <v>141745</v>
      </c>
      <c r="P80" s="411">
        <f t="shared" si="40"/>
        <v>141665</v>
      </c>
      <c r="Q80" s="411">
        <f t="shared" si="40"/>
        <v>141826</v>
      </c>
      <c r="R80" s="411">
        <f t="shared" si="40"/>
        <v>152680</v>
      </c>
      <c r="S80" s="411">
        <f t="shared" si="40"/>
        <v>130891</v>
      </c>
      <c r="T80" s="411">
        <f t="shared" si="40"/>
        <v>132017</v>
      </c>
      <c r="U80" s="411">
        <f t="shared" si="40"/>
        <v>130972</v>
      </c>
      <c r="V80" s="411">
        <f t="shared" si="40"/>
        <v>14954</v>
      </c>
      <c r="W80" s="99">
        <f t="shared" si="40"/>
        <v>0</v>
      </c>
      <c r="X80" s="50">
        <f t="shared" si="38"/>
        <v>1413353</v>
      </c>
      <c r="Y80" s="463"/>
      <c r="Z80" s="463"/>
    </row>
    <row r="81" spans="1:26">
      <c r="A81" s="465">
        <f t="shared" si="39"/>
        <v>2023006</v>
      </c>
      <c r="B81" s="466"/>
      <c r="C81" s="642"/>
      <c r="D81" s="645"/>
      <c r="E81" s="645"/>
      <c r="F81" s="645"/>
      <c r="G81" s="645"/>
      <c r="H81" s="648"/>
      <c r="I81" s="648"/>
      <c r="J81" s="629"/>
      <c r="K81" s="189" t="s">
        <v>27</v>
      </c>
      <c r="L81" s="343">
        <v>136800</v>
      </c>
      <c r="M81" s="297">
        <v>138400</v>
      </c>
      <c r="N81" s="297">
        <v>136800</v>
      </c>
      <c r="O81" s="297">
        <v>137200</v>
      </c>
      <c r="P81" s="297">
        <v>137600</v>
      </c>
      <c r="Q81" s="297">
        <v>136800</v>
      </c>
      <c r="R81" s="297">
        <v>147600</v>
      </c>
      <c r="S81" s="297">
        <v>126400</v>
      </c>
      <c r="T81" s="297">
        <v>128000</v>
      </c>
      <c r="U81" s="297">
        <v>126000</v>
      </c>
      <c r="V81" s="297">
        <v>14400</v>
      </c>
      <c r="W81" s="91"/>
      <c r="X81" s="49">
        <f t="shared" si="38"/>
        <v>1366000</v>
      </c>
      <c r="Y81" s="463"/>
      <c r="Z81" s="463"/>
    </row>
    <row r="82" spans="1:26">
      <c r="A82" s="465">
        <f t="shared" si="39"/>
        <v>2023006</v>
      </c>
      <c r="B82" s="466"/>
      <c r="C82" s="642"/>
      <c r="D82" s="645"/>
      <c r="E82" s="645"/>
      <c r="F82" s="645"/>
      <c r="G82" s="645"/>
      <c r="H82" s="648"/>
      <c r="I82" s="648"/>
      <c r="J82" s="629"/>
      <c r="K82" s="189" t="s">
        <v>34</v>
      </c>
      <c r="L82" s="343"/>
      <c r="M82" s="297"/>
      <c r="N82" s="297"/>
      <c r="O82" s="297"/>
      <c r="P82" s="297"/>
      <c r="Q82" s="297"/>
      <c r="R82" s="297"/>
      <c r="S82" s="297"/>
      <c r="T82" s="297"/>
      <c r="U82" s="297"/>
      <c r="V82" s="297"/>
      <c r="W82" s="91"/>
      <c r="X82" s="49">
        <f t="shared" si="38"/>
        <v>0</v>
      </c>
      <c r="Y82" s="463"/>
      <c r="Z82" s="463"/>
    </row>
    <row r="83" spans="1:26">
      <c r="A83" s="465">
        <f t="shared" si="39"/>
        <v>2023006</v>
      </c>
      <c r="B83" s="466"/>
      <c r="C83" s="642"/>
      <c r="D83" s="645"/>
      <c r="E83" s="645"/>
      <c r="F83" s="645"/>
      <c r="G83" s="645"/>
      <c r="H83" s="648"/>
      <c r="I83" s="648"/>
      <c r="J83" s="629"/>
      <c r="K83" s="189" t="s">
        <v>28</v>
      </c>
      <c r="L83" s="343">
        <v>4320</v>
      </c>
      <c r="M83" s="297">
        <v>3840</v>
      </c>
      <c r="N83" s="297">
        <v>4320</v>
      </c>
      <c r="O83" s="297">
        <v>3840</v>
      </c>
      <c r="P83" s="297">
        <v>3360</v>
      </c>
      <c r="Q83" s="297">
        <v>4320</v>
      </c>
      <c r="R83" s="297">
        <v>4320</v>
      </c>
      <c r="S83" s="297">
        <v>3840</v>
      </c>
      <c r="T83" s="297">
        <v>3360</v>
      </c>
      <c r="U83" s="297">
        <v>4320</v>
      </c>
      <c r="V83" s="297">
        <v>480</v>
      </c>
      <c r="W83" s="91"/>
      <c r="X83" s="49">
        <f t="shared" si="38"/>
        <v>40320</v>
      </c>
      <c r="Y83" s="463"/>
      <c r="Z83" s="463"/>
    </row>
    <row r="84" spans="1:26">
      <c r="A84" s="465">
        <f t="shared" si="39"/>
        <v>2023006</v>
      </c>
      <c r="B84" s="466"/>
      <c r="C84" s="642"/>
      <c r="D84" s="645"/>
      <c r="E84" s="645"/>
      <c r="F84" s="645"/>
      <c r="G84" s="645"/>
      <c r="H84" s="648"/>
      <c r="I84" s="648"/>
      <c r="J84" s="629"/>
      <c r="K84" s="189" t="s">
        <v>29</v>
      </c>
      <c r="L84" s="343"/>
      <c r="M84" s="297"/>
      <c r="N84" s="297"/>
      <c r="O84" s="297"/>
      <c r="P84" s="297"/>
      <c r="Q84" s="297"/>
      <c r="R84" s="297"/>
      <c r="S84" s="297"/>
      <c r="T84" s="297"/>
      <c r="U84" s="297"/>
      <c r="V84" s="297"/>
      <c r="W84" s="91"/>
      <c r="X84" s="49">
        <f t="shared" si="38"/>
        <v>0</v>
      </c>
      <c r="Y84" s="463"/>
      <c r="Z84" s="463"/>
    </row>
    <row r="85" spans="1:26">
      <c r="A85" s="465">
        <f t="shared" si="39"/>
        <v>2023006</v>
      </c>
      <c r="B85" s="466"/>
      <c r="C85" s="642"/>
      <c r="D85" s="645"/>
      <c r="E85" s="645"/>
      <c r="F85" s="645"/>
      <c r="G85" s="645"/>
      <c r="H85" s="648"/>
      <c r="I85" s="648"/>
      <c r="J85" s="629"/>
      <c r="K85" s="189" t="s">
        <v>30</v>
      </c>
      <c r="L85" s="343"/>
      <c r="M85" s="297"/>
      <c r="N85" s="297"/>
      <c r="O85" s="297"/>
      <c r="P85" s="297"/>
      <c r="Q85" s="297"/>
      <c r="R85" s="297"/>
      <c r="S85" s="297"/>
      <c r="T85" s="297"/>
      <c r="U85" s="297"/>
      <c r="V85" s="297"/>
      <c r="W85" s="91"/>
      <c r="X85" s="49">
        <f t="shared" si="38"/>
        <v>0</v>
      </c>
      <c r="Y85" s="463"/>
      <c r="Z85" s="463"/>
    </row>
    <row r="86" spans="1:26">
      <c r="A86" s="465">
        <f t="shared" si="39"/>
        <v>2023006</v>
      </c>
      <c r="B86" s="466"/>
      <c r="C86" s="642"/>
      <c r="D86" s="645"/>
      <c r="E86" s="645"/>
      <c r="F86" s="645"/>
      <c r="G86" s="645"/>
      <c r="H86" s="648"/>
      <c r="I86" s="648"/>
      <c r="J86" s="629"/>
      <c r="K86" s="189" t="s">
        <v>31</v>
      </c>
      <c r="L86" s="343">
        <v>706</v>
      </c>
      <c r="M86" s="297">
        <v>711</v>
      </c>
      <c r="N86" s="297">
        <v>706</v>
      </c>
      <c r="O86" s="297">
        <v>705</v>
      </c>
      <c r="P86" s="297">
        <v>705</v>
      </c>
      <c r="Q86" s="297">
        <v>706</v>
      </c>
      <c r="R86" s="297">
        <v>760</v>
      </c>
      <c r="S86" s="297">
        <v>651</v>
      </c>
      <c r="T86" s="297">
        <v>657</v>
      </c>
      <c r="U86" s="297">
        <v>652</v>
      </c>
      <c r="V86" s="297">
        <v>74</v>
      </c>
      <c r="W86" s="91"/>
      <c r="X86" s="49">
        <f t="shared" si="38"/>
        <v>7033</v>
      </c>
      <c r="Y86" s="463"/>
      <c r="Z86" s="463"/>
    </row>
    <row r="87" spans="1:26">
      <c r="A87" s="465">
        <f t="shared" si="39"/>
        <v>2023006</v>
      </c>
      <c r="B87" s="466"/>
      <c r="C87" s="642"/>
      <c r="D87" s="645"/>
      <c r="E87" s="645"/>
      <c r="F87" s="645"/>
      <c r="G87" s="645"/>
      <c r="H87" s="648"/>
      <c r="I87" s="648"/>
      <c r="J87" s="629"/>
      <c r="K87" s="189" t="s">
        <v>32</v>
      </c>
      <c r="L87" s="343"/>
      <c r="M87" s="297"/>
      <c r="N87" s="297"/>
      <c r="O87" s="297"/>
      <c r="P87" s="297"/>
      <c r="Q87" s="297"/>
      <c r="R87" s="297"/>
      <c r="S87" s="297"/>
      <c r="T87" s="297"/>
      <c r="U87" s="297"/>
      <c r="V87" s="297"/>
      <c r="W87" s="91"/>
      <c r="X87" s="49">
        <f t="shared" si="38"/>
        <v>0</v>
      </c>
      <c r="Y87" s="463"/>
      <c r="Z87" s="463"/>
    </row>
    <row r="88" spans="1:26">
      <c r="A88" s="465">
        <f t="shared" si="39"/>
        <v>2023006</v>
      </c>
      <c r="B88" s="466"/>
      <c r="C88" s="654"/>
      <c r="D88" s="655"/>
      <c r="E88" s="655"/>
      <c r="F88" s="655"/>
      <c r="G88" s="655"/>
      <c r="H88" s="652"/>
      <c r="I88" s="652"/>
      <c r="J88" s="630"/>
      <c r="K88" s="190" t="s">
        <v>33</v>
      </c>
      <c r="L88" s="345">
        <f t="shared" ref="L88:X88" si="41">L77-L80</f>
        <v>69424</v>
      </c>
      <c r="M88" s="412">
        <f t="shared" si="41"/>
        <v>52049</v>
      </c>
      <c r="N88" s="412">
        <f t="shared" si="41"/>
        <v>69424</v>
      </c>
      <c r="O88" s="412">
        <f t="shared" si="41"/>
        <v>69505</v>
      </c>
      <c r="P88" s="412">
        <f t="shared" si="41"/>
        <v>69585</v>
      </c>
      <c r="Q88" s="412">
        <f t="shared" si="41"/>
        <v>69424</v>
      </c>
      <c r="R88" s="412">
        <f t="shared" si="41"/>
        <v>74820</v>
      </c>
      <c r="S88" s="412">
        <f t="shared" si="41"/>
        <v>64109</v>
      </c>
      <c r="T88" s="412">
        <f t="shared" si="41"/>
        <v>46733</v>
      </c>
      <c r="U88" s="412">
        <f t="shared" si="41"/>
        <v>64028</v>
      </c>
      <c r="V88" s="412">
        <f t="shared" si="41"/>
        <v>1296</v>
      </c>
      <c r="W88" s="101">
        <f t="shared" si="41"/>
        <v>0</v>
      </c>
      <c r="X88" s="51">
        <f t="shared" si="41"/>
        <v>650397</v>
      </c>
      <c r="Y88" s="463"/>
      <c r="Z88" s="463"/>
    </row>
    <row r="89" spans="1:26" ht="12.75" customHeight="1">
      <c r="A89" s="113">
        <v>2021001</v>
      </c>
      <c r="C89" s="641">
        <f t="shared" ref="C89" si="42">C77+1</f>
        <v>7</v>
      </c>
      <c r="D89" s="644" t="s">
        <v>60</v>
      </c>
      <c r="E89" s="644"/>
      <c r="F89" s="644"/>
      <c r="G89" s="644" t="s">
        <v>126</v>
      </c>
      <c r="H89" s="647"/>
      <c r="I89" s="647"/>
      <c r="J89" s="628" t="s">
        <v>65</v>
      </c>
      <c r="K89" s="191" t="s">
        <v>23</v>
      </c>
      <c r="L89" s="342">
        <f t="shared" ref="L89:W89" si="43">L90+L91</f>
        <v>600000</v>
      </c>
      <c r="M89" s="409">
        <f t="shared" si="43"/>
        <v>631875</v>
      </c>
      <c r="N89" s="409">
        <f t="shared" si="43"/>
        <v>675000</v>
      </c>
      <c r="O89" s="409">
        <f t="shared" si="43"/>
        <v>616875</v>
      </c>
      <c r="P89" s="409">
        <f t="shared" si="43"/>
        <v>600000</v>
      </c>
      <c r="Q89" s="409">
        <f t="shared" si="43"/>
        <v>600000</v>
      </c>
      <c r="R89" s="409">
        <f t="shared" si="43"/>
        <v>620625</v>
      </c>
      <c r="S89" s="409">
        <f t="shared" si="43"/>
        <v>600000</v>
      </c>
      <c r="T89" s="409">
        <f t="shared" si="43"/>
        <v>600000</v>
      </c>
      <c r="U89" s="409">
        <f t="shared" si="43"/>
        <v>641250</v>
      </c>
      <c r="V89" s="409">
        <f t="shared" si="43"/>
        <v>600000</v>
      </c>
      <c r="W89" s="97">
        <f t="shared" si="43"/>
        <v>600000</v>
      </c>
      <c r="X89" s="117">
        <f t="shared" ref="X89:X99" si="44">SUM(L89:W89)</f>
        <v>7385625</v>
      </c>
      <c r="Y89" s="463"/>
      <c r="Z89" s="463"/>
    </row>
    <row r="90" spans="1:26">
      <c r="A90" s="465">
        <f t="shared" ref="A90:A100" si="45">+A89</f>
        <v>2021001</v>
      </c>
      <c r="B90" s="466"/>
      <c r="C90" s="642"/>
      <c r="D90" s="645"/>
      <c r="E90" s="645"/>
      <c r="F90" s="645"/>
      <c r="G90" s="645"/>
      <c r="H90" s="648"/>
      <c r="I90" s="648"/>
      <c r="J90" s="629"/>
      <c r="K90" s="187" t="s">
        <v>24</v>
      </c>
      <c r="L90" s="343">
        <v>600000</v>
      </c>
      <c r="M90" s="297">
        <v>631875</v>
      </c>
      <c r="N90" s="297">
        <v>675000</v>
      </c>
      <c r="O90" s="297">
        <v>616875</v>
      </c>
      <c r="P90" s="297">
        <v>600000</v>
      </c>
      <c r="Q90" s="297">
        <v>600000</v>
      </c>
      <c r="R90" s="297">
        <v>620625</v>
      </c>
      <c r="S90" s="297">
        <v>600000</v>
      </c>
      <c r="T90" s="297">
        <v>600000</v>
      </c>
      <c r="U90" s="297">
        <v>641250</v>
      </c>
      <c r="V90" s="297">
        <v>600000</v>
      </c>
      <c r="W90" s="91">
        <v>600000</v>
      </c>
      <c r="X90" s="49">
        <f t="shared" si="44"/>
        <v>7385625</v>
      </c>
      <c r="Y90" s="463"/>
      <c r="Z90" s="463"/>
    </row>
    <row r="91" spans="1:26">
      <c r="A91" s="465">
        <f t="shared" si="45"/>
        <v>2021001</v>
      </c>
      <c r="B91" s="466"/>
      <c r="C91" s="642"/>
      <c r="D91" s="645"/>
      <c r="E91" s="645"/>
      <c r="F91" s="645"/>
      <c r="G91" s="645"/>
      <c r="H91" s="648"/>
      <c r="I91" s="648"/>
      <c r="J91" s="629"/>
      <c r="K91" s="187" t="s">
        <v>25</v>
      </c>
      <c r="L91" s="343"/>
      <c r="M91" s="297"/>
      <c r="N91" s="297"/>
      <c r="O91" s="297"/>
      <c r="P91" s="297"/>
      <c r="Q91" s="297"/>
      <c r="R91" s="297"/>
      <c r="S91" s="297"/>
      <c r="T91" s="297"/>
      <c r="U91" s="297"/>
      <c r="V91" s="297"/>
      <c r="W91" s="98"/>
      <c r="X91" s="49">
        <f t="shared" si="44"/>
        <v>0</v>
      </c>
      <c r="Y91" s="463"/>
      <c r="Z91" s="463"/>
    </row>
    <row r="92" spans="1:26">
      <c r="A92" s="465">
        <f t="shared" si="45"/>
        <v>2021001</v>
      </c>
      <c r="B92" s="466"/>
      <c r="C92" s="642"/>
      <c r="D92" s="645"/>
      <c r="E92" s="645"/>
      <c r="F92" s="645"/>
      <c r="G92" s="645"/>
      <c r="H92" s="648"/>
      <c r="I92" s="648"/>
      <c r="J92" s="629"/>
      <c r="K92" s="188" t="s">
        <v>26</v>
      </c>
      <c r="L92" s="344">
        <f t="shared" ref="L92:W92" si="46">SUM(L93:L99)</f>
        <v>546095</v>
      </c>
      <c r="M92" s="411">
        <f t="shared" si="46"/>
        <v>536342</v>
      </c>
      <c r="N92" s="411">
        <f t="shared" si="46"/>
        <v>584533</v>
      </c>
      <c r="O92" s="411">
        <f t="shared" si="46"/>
        <v>560581</v>
      </c>
      <c r="P92" s="411">
        <f t="shared" si="46"/>
        <v>517121</v>
      </c>
      <c r="Q92" s="411">
        <f t="shared" si="46"/>
        <v>528883</v>
      </c>
      <c r="R92" s="411">
        <f t="shared" si="46"/>
        <v>568756</v>
      </c>
      <c r="S92" s="411">
        <f t="shared" si="46"/>
        <v>466945</v>
      </c>
      <c r="T92" s="411">
        <f t="shared" si="46"/>
        <v>479854</v>
      </c>
      <c r="U92" s="411">
        <f t="shared" si="46"/>
        <v>482293</v>
      </c>
      <c r="V92" s="411">
        <f t="shared" si="46"/>
        <v>467128</v>
      </c>
      <c r="W92" s="99">
        <f t="shared" si="46"/>
        <v>503090</v>
      </c>
      <c r="X92" s="50">
        <f t="shared" si="44"/>
        <v>6241621</v>
      </c>
      <c r="Y92" s="463"/>
      <c r="Z92" s="463"/>
    </row>
    <row r="93" spans="1:26">
      <c r="A93" s="465">
        <f t="shared" si="45"/>
        <v>2021001</v>
      </c>
      <c r="B93" s="466"/>
      <c r="C93" s="642"/>
      <c r="D93" s="645"/>
      <c r="E93" s="645"/>
      <c r="F93" s="645"/>
      <c r="G93" s="645"/>
      <c r="H93" s="648"/>
      <c r="I93" s="648"/>
      <c r="J93" s="629"/>
      <c r="K93" s="189" t="s">
        <v>27</v>
      </c>
      <c r="L93" s="343">
        <v>455769</v>
      </c>
      <c r="M93" s="297">
        <v>446117</v>
      </c>
      <c r="N93" s="297">
        <v>493808</v>
      </c>
      <c r="O93" s="297">
        <v>470104</v>
      </c>
      <c r="P93" s="297">
        <v>427097</v>
      </c>
      <c r="Q93" s="297">
        <v>438736</v>
      </c>
      <c r="R93" s="297">
        <v>478195</v>
      </c>
      <c r="S93" s="297">
        <v>420000</v>
      </c>
      <c r="T93" s="297">
        <v>432775</v>
      </c>
      <c r="U93" s="297">
        <v>435188</v>
      </c>
      <c r="V93" s="297">
        <v>420000</v>
      </c>
      <c r="W93" s="91">
        <v>455769</v>
      </c>
      <c r="X93" s="49">
        <f t="shared" si="44"/>
        <v>5373558</v>
      </c>
      <c r="Y93" s="463"/>
      <c r="Z93" s="463"/>
    </row>
    <row r="94" spans="1:26">
      <c r="A94" s="465">
        <f t="shared" si="45"/>
        <v>2021001</v>
      </c>
      <c r="B94" s="466"/>
      <c r="C94" s="642"/>
      <c r="D94" s="645"/>
      <c r="E94" s="645"/>
      <c r="F94" s="645"/>
      <c r="G94" s="645"/>
      <c r="H94" s="648"/>
      <c r="I94" s="648"/>
      <c r="J94" s="629"/>
      <c r="K94" s="189" t="s">
        <v>34</v>
      </c>
      <c r="L94" s="343"/>
      <c r="M94" s="297"/>
      <c r="N94" s="297"/>
      <c r="O94" s="297"/>
      <c r="P94" s="297"/>
      <c r="Q94" s="297"/>
      <c r="R94" s="297"/>
      <c r="S94" s="297"/>
      <c r="T94" s="297"/>
      <c r="U94" s="297"/>
      <c r="V94" s="297"/>
      <c r="W94" s="91"/>
      <c r="X94" s="49">
        <f t="shared" si="44"/>
        <v>0</v>
      </c>
      <c r="Y94" s="463"/>
      <c r="Z94" s="463"/>
    </row>
    <row r="95" spans="1:26">
      <c r="A95" s="465">
        <f t="shared" si="45"/>
        <v>2021001</v>
      </c>
      <c r="B95" s="466"/>
      <c r="C95" s="642"/>
      <c r="D95" s="645"/>
      <c r="E95" s="645"/>
      <c r="F95" s="645"/>
      <c r="G95" s="645"/>
      <c r="H95" s="648"/>
      <c r="I95" s="648"/>
      <c r="J95" s="629"/>
      <c r="K95" s="189" t="s">
        <v>28</v>
      </c>
      <c r="L95" s="343">
        <v>20000</v>
      </c>
      <c r="M95" s="297">
        <v>20000</v>
      </c>
      <c r="N95" s="297">
        <v>20000</v>
      </c>
      <c r="O95" s="297">
        <v>20000</v>
      </c>
      <c r="P95" s="297">
        <v>20000</v>
      </c>
      <c r="Q95" s="297">
        <v>20000</v>
      </c>
      <c r="R95" s="297">
        <v>20000</v>
      </c>
      <c r="S95" s="297">
        <v>20000</v>
      </c>
      <c r="T95" s="297">
        <v>20000</v>
      </c>
      <c r="U95" s="297">
        <v>20000</v>
      </c>
      <c r="V95" s="297">
        <v>20000</v>
      </c>
      <c r="W95" s="91">
        <v>20000</v>
      </c>
      <c r="X95" s="49">
        <f t="shared" si="44"/>
        <v>240000</v>
      </c>
      <c r="Y95" s="463"/>
      <c r="Z95" s="463"/>
    </row>
    <row r="96" spans="1:26">
      <c r="A96" s="465">
        <f t="shared" si="45"/>
        <v>2021001</v>
      </c>
      <c r="B96" s="466"/>
      <c r="C96" s="642"/>
      <c r="D96" s="645"/>
      <c r="E96" s="645"/>
      <c r="F96" s="645"/>
      <c r="G96" s="645"/>
      <c r="H96" s="648"/>
      <c r="I96" s="648"/>
      <c r="J96" s="629"/>
      <c r="K96" s="189" t="s">
        <v>29</v>
      </c>
      <c r="L96" s="343">
        <v>22325</v>
      </c>
      <c r="M96" s="297">
        <v>22325</v>
      </c>
      <c r="N96" s="297">
        <v>22325</v>
      </c>
      <c r="O96" s="297">
        <v>22325</v>
      </c>
      <c r="P96" s="297">
        <v>22325</v>
      </c>
      <c r="Q96" s="297">
        <v>22325</v>
      </c>
      <c r="R96" s="297">
        <v>22325</v>
      </c>
      <c r="S96" s="297">
        <v>22325</v>
      </c>
      <c r="T96" s="297">
        <v>22325</v>
      </c>
      <c r="U96" s="297">
        <v>22325</v>
      </c>
      <c r="V96" s="297">
        <v>22325</v>
      </c>
      <c r="W96" s="91">
        <v>22325</v>
      </c>
      <c r="X96" s="49">
        <f t="shared" si="44"/>
        <v>267900</v>
      </c>
      <c r="Y96" s="463"/>
      <c r="Z96" s="463"/>
    </row>
    <row r="97" spans="1:26">
      <c r="A97" s="465">
        <f t="shared" si="45"/>
        <v>2021001</v>
      </c>
      <c r="B97" s="466"/>
      <c r="C97" s="642"/>
      <c r="D97" s="645"/>
      <c r="E97" s="645"/>
      <c r="F97" s="645"/>
      <c r="G97" s="645"/>
      <c r="H97" s="648"/>
      <c r="I97" s="648"/>
      <c r="J97" s="629"/>
      <c r="K97" s="189" t="s">
        <v>30</v>
      </c>
      <c r="L97" s="343">
        <v>43005</v>
      </c>
      <c r="M97" s="297">
        <v>43005</v>
      </c>
      <c r="N97" s="297">
        <v>43005</v>
      </c>
      <c r="O97" s="297">
        <v>43005</v>
      </c>
      <c r="P97" s="297">
        <v>43005</v>
      </c>
      <c r="Q97" s="297">
        <v>43005</v>
      </c>
      <c r="R97" s="297">
        <v>43005</v>
      </c>
      <c r="S97" s="297">
        <v>0</v>
      </c>
      <c r="T97" s="297">
        <v>0</v>
      </c>
      <c r="U97" s="297">
        <v>0</v>
      </c>
      <c r="V97" s="297"/>
      <c r="W97" s="91">
        <v>0</v>
      </c>
      <c r="X97" s="49">
        <f t="shared" si="44"/>
        <v>301035</v>
      </c>
      <c r="Y97" s="463"/>
      <c r="Z97" s="463"/>
    </row>
    <row r="98" spans="1:26">
      <c r="A98" s="465">
        <f t="shared" si="45"/>
        <v>2021001</v>
      </c>
      <c r="B98" s="466"/>
      <c r="C98" s="642"/>
      <c r="D98" s="645"/>
      <c r="E98" s="645"/>
      <c r="F98" s="645"/>
      <c r="G98" s="645"/>
      <c r="H98" s="648"/>
      <c r="I98" s="648"/>
      <c r="J98" s="629"/>
      <c r="K98" s="189" t="s">
        <v>31</v>
      </c>
      <c r="L98" s="343">
        <v>2379</v>
      </c>
      <c r="M98" s="297">
        <v>2331</v>
      </c>
      <c r="N98" s="297">
        <v>2569</v>
      </c>
      <c r="O98" s="297">
        <v>2451</v>
      </c>
      <c r="P98" s="297">
        <v>2235</v>
      </c>
      <c r="Q98" s="297">
        <v>2294</v>
      </c>
      <c r="R98" s="297">
        <v>2491</v>
      </c>
      <c r="S98" s="297">
        <v>2200</v>
      </c>
      <c r="T98" s="297">
        <v>2264</v>
      </c>
      <c r="U98" s="297">
        <v>2276</v>
      </c>
      <c r="V98" s="297">
        <v>2287</v>
      </c>
      <c r="W98" s="91">
        <v>2379</v>
      </c>
      <c r="X98" s="49">
        <f t="shared" si="44"/>
        <v>28156</v>
      </c>
      <c r="Y98" s="463"/>
      <c r="Z98" s="463"/>
    </row>
    <row r="99" spans="1:26">
      <c r="A99" s="465">
        <f t="shared" si="45"/>
        <v>2021001</v>
      </c>
      <c r="B99" s="466"/>
      <c r="C99" s="642"/>
      <c r="D99" s="645"/>
      <c r="E99" s="645"/>
      <c r="F99" s="645"/>
      <c r="G99" s="645"/>
      <c r="H99" s="648"/>
      <c r="I99" s="648"/>
      <c r="J99" s="629"/>
      <c r="K99" s="189" t="s">
        <v>32</v>
      </c>
      <c r="L99" s="343">
        <v>2617</v>
      </c>
      <c r="M99" s="297">
        <v>2564</v>
      </c>
      <c r="N99" s="297">
        <v>2826</v>
      </c>
      <c r="O99" s="297">
        <v>2696</v>
      </c>
      <c r="P99" s="297">
        <v>2459</v>
      </c>
      <c r="Q99" s="297">
        <v>2523</v>
      </c>
      <c r="R99" s="297">
        <v>2740</v>
      </c>
      <c r="S99" s="297">
        <v>2420</v>
      </c>
      <c r="T99" s="297">
        <v>2490</v>
      </c>
      <c r="U99" s="297">
        <v>2504</v>
      </c>
      <c r="V99" s="297">
        <v>2516</v>
      </c>
      <c r="W99" s="91">
        <v>2617</v>
      </c>
      <c r="X99" s="49">
        <f t="shared" si="44"/>
        <v>30972</v>
      </c>
      <c r="Y99" s="463"/>
      <c r="Z99" s="463"/>
    </row>
    <row r="100" spans="1:26">
      <c r="A100" s="465">
        <f t="shared" si="45"/>
        <v>2021001</v>
      </c>
      <c r="B100" s="466"/>
      <c r="C100" s="654"/>
      <c r="D100" s="655"/>
      <c r="E100" s="655"/>
      <c r="F100" s="655"/>
      <c r="G100" s="655"/>
      <c r="H100" s="652"/>
      <c r="I100" s="652"/>
      <c r="J100" s="630"/>
      <c r="K100" s="190" t="s">
        <v>33</v>
      </c>
      <c r="L100" s="345">
        <f t="shared" ref="L100:X100" si="47">L89-L92</f>
        <v>53905</v>
      </c>
      <c r="M100" s="412">
        <f t="shared" si="47"/>
        <v>95533</v>
      </c>
      <c r="N100" s="412">
        <f t="shared" si="47"/>
        <v>90467</v>
      </c>
      <c r="O100" s="412">
        <f t="shared" si="47"/>
        <v>56294</v>
      </c>
      <c r="P100" s="412">
        <f t="shared" si="47"/>
        <v>82879</v>
      </c>
      <c r="Q100" s="412">
        <f t="shared" si="47"/>
        <v>71117</v>
      </c>
      <c r="R100" s="412">
        <f t="shared" si="47"/>
        <v>51869</v>
      </c>
      <c r="S100" s="412">
        <f t="shared" si="47"/>
        <v>133055</v>
      </c>
      <c r="T100" s="412">
        <f t="shared" si="47"/>
        <v>120146</v>
      </c>
      <c r="U100" s="412">
        <f t="shared" si="47"/>
        <v>158957</v>
      </c>
      <c r="V100" s="412">
        <f t="shared" si="47"/>
        <v>132872</v>
      </c>
      <c r="W100" s="101">
        <f t="shared" si="47"/>
        <v>96910</v>
      </c>
      <c r="X100" s="51">
        <f t="shared" si="47"/>
        <v>1144004</v>
      </c>
      <c r="Y100" s="463"/>
      <c r="Z100" s="463"/>
    </row>
    <row r="101" spans="1:26" ht="12.75" customHeight="1">
      <c r="A101" s="113">
        <v>2021002</v>
      </c>
      <c r="C101" s="641">
        <f>関西支店!C89+1</f>
        <v>8</v>
      </c>
      <c r="D101" s="644" t="s">
        <v>60</v>
      </c>
      <c r="E101" s="644"/>
      <c r="F101" s="644"/>
      <c r="G101" s="644" t="s">
        <v>101</v>
      </c>
      <c r="H101" s="647"/>
      <c r="I101" s="647"/>
      <c r="J101" s="628" t="s">
        <v>65</v>
      </c>
      <c r="K101" s="191" t="s">
        <v>23</v>
      </c>
      <c r="L101" s="342">
        <f t="shared" ref="L101:W101" si="48">L102+L103</f>
        <v>643520</v>
      </c>
      <c r="M101" s="409">
        <f t="shared" si="48"/>
        <v>551480</v>
      </c>
      <c r="N101" s="409">
        <f t="shared" si="48"/>
        <v>596720</v>
      </c>
      <c r="O101" s="409">
        <f t="shared" si="48"/>
        <v>679400</v>
      </c>
      <c r="P101" s="409">
        <f t="shared" si="48"/>
        <v>501560</v>
      </c>
      <c r="Q101" s="409">
        <f t="shared" si="48"/>
        <v>574880</v>
      </c>
      <c r="R101" s="409">
        <f t="shared" si="48"/>
        <v>626360</v>
      </c>
      <c r="S101" s="409">
        <f t="shared" si="48"/>
        <v>523400</v>
      </c>
      <c r="T101" s="409">
        <f t="shared" si="48"/>
        <v>602960</v>
      </c>
      <c r="U101" s="409">
        <f t="shared" si="48"/>
        <v>500000</v>
      </c>
      <c r="V101" s="409">
        <f t="shared" si="48"/>
        <v>500000</v>
      </c>
      <c r="W101" s="97">
        <f t="shared" si="48"/>
        <v>590133.33333333337</v>
      </c>
      <c r="X101" s="117">
        <f t="shared" ref="X101:X111" si="49">SUM(L101:W101)</f>
        <v>6890413.333333333</v>
      </c>
      <c r="Y101" s="463"/>
      <c r="Z101" s="463"/>
    </row>
    <row r="102" spans="1:26">
      <c r="A102" s="465">
        <f t="shared" ref="A102:A160" si="50">+A101</f>
        <v>2021002</v>
      </c>
      <c r="B102" s="466"/>
      <c r="C102" s="642"/>
      <c r="D102" s="645"/>
      <c r="E102" s="645"/>
      <c r="F102" s="645"/>
      <c r="G102" s="645"/>
      <c r="H102" s="648"/>
      <c r="I102" s="648"/>
      <c r="J102" s="629"/>
      <c r="K102" s="187" t="s">
        <v>24</v>
      </c>
      <c r="L102" s="343">
        <v>643520</v>
      </c>
      <c r="M102" s="297">
        <v>551480</v>
      </c>
      <c r="N102" s="297">
        <v>596720</v>
      </c>
      <c r="O102" s="297">
        <v>679400</v>
      </c>
      <c r="P102" s="297">
        <v>501560</v>
      </c>
      <c r="Q102" s="297">
        <v>574880</v>
      </c>
      <c r="R102" s="297">
        <v>626360</v>
      </c>
      <c r="S102" s="297">
        <v>523400</v>
      </c>
      <c r="T102" s="297">
        <v>602960</v>
      </c>
      <c r="U102" s="297">
        <v>500000</v>
      </c>
      <c r="V102" s="297">
        <v>500000</v>
      </c>
      <c r="W102" s="91">
        <v>590133.33333333337</v>
      </c>
      <c r="X102" s="49">
        <f t="shared" si="49"/>
        <v>6890413.333333333</v>
      </c>
      <c r="Y102" s="463"/>
      <c r="Z102" s="463"/>
    </row>
    <row r="103" spans="1:26">
      <c r="A103" s="465">
        <f t="shared" si="50"/>
        <v>2021002</v>
      </c>
      <c r="B103" s="466"/>
      <c r="C103" s="642"/>
      <c r="D103" s="645"/>
      <c r="E103" s="645"/>
      <c r="F103" s="645"/>
      <c r="G103" s="645"/>
      <c r="H103" s="648"/>
      <c r="I103" s="648"/>
      <c r="J103" s="629"/>
      <c r="K103" s="187" t="s">
        <v>25</v>
      </c>
      <c r="L103" s="343"/>
      <c r="M103" s="297"/>
      <c r="N103" s="297"/>
      <c r="O103" s="297"/>
      <c r="P103" s="297"/>
      <c r="Q103" s="297"/>
      <c r="R103" s="297"/>
      <c r="S103" s="297"/>
      <c r="T103" s="297"/>
      <c r="U103" s="297"/>
      <c r="V103" s="297"/>
      <c r="W103" s="98"/>
      <c r="X103" s="49">
        <f t="shared" si="49"/>
        <v>0</v>
      </c>
      <c r="Y103" s="463"/>
      <c r="Z103" s="463"/>
    </row>
    <row r="104" spans="1:26">
      <c r="A104" s="465">
        <f t="shared" si="50"/>
        <v>2021002</v>
      </c>
      <c r="B104" s="466"/>
      <c r="C104" s="642"/>
      <c r="D104" s="645"/>
      <c r="E104" s="645"/>
      <c r="F104" s="645"/>
      <c r="G104" s="645"/>
      <c r="H104" s="648"/>
      <c r="I104" s="648"/>
      <c r="J104" s="629"/>
      <c r="K104" s="188" t="s">
        <v>26</v>
      </c>
      <c r="L104" s="344">
        <f t="shared" ref="L104:W104" si="51">SUM(L105:L111)</f>
        <v>544049</v>
      </c>
      <c r="M104" s="411">
        <f t="shared" si="51"/>
        <v>492419</v>
      </c>
      <c r="N104" s="411">
        <f t="shared" si="51"/>
        <v>501656</v>
      </c>
      <c r="O104" s="411">
        <f t="shared" si="51"/>
        <v>575108</v>
      </c>
      <c r="P104" s="411">
        <f t="shared" si="51"/>
        <v>492327</v>
      </c>
      <c r="Q104" s="411">
        <f t="shared" si="51"/>
        <v>495963</v>
      </c>
      <c r="R104" s="411">
        <f t="shared" si="51"/>
        <v>525050</v>
      </c>
      <c r="S104" s="411">
        <f t="shared" si="51"/>
        <v>466876</v>
      </c>
      <c r="T104" s="411">
        <f t="shared" si="51"/>
        <v>516809</v>
      </c>
      <c r="U104" s="411">
        <f t="shared" si="51"/>
        <v>430032</v>
      </c>
      <c r="V104" s="411">
        <f t="shared" si="51"/>
        <v>430214</v>
      </c>
      <c r="W104" s="99">
        <f t="shared" si="51"/>
        <v>508251.77777777775</v>
      </c>
      <c r="X104" s="50">
        <f t="shared" si="49"/>
        <v>5978754.777777778</v>
      </c>
      <c r="Y104" s="463"/>
      <c r="Z104" s="463"/>
    </row>
    <row r="105" spans="1:26">
      <c r="A105" s="465">
        <f t="shared" si="50"/>
        <v>2021002</v>
      </c>
      <c r="B105" s="466"/>
      <c r="C105" s="642"/>
      <c r="D105" s="645"/>
      <c r="E105" s="645"/>
      <c r="F105" s="645"/>
      <c r="G105" s="645"/>
      <c r="H105" s="648"/>
      <c r="I105" s="648"/>
      <c r="J105" s="629"/>
      <c r="K105" s="189" t="s">
        <v>27</v>
      </c>
      <c r="L105" s="343">
        <v>467022</v>
      </c>
      <c r="M105" s="297">
        <v>415929</v>
      </c>
      <c r="N105" s="297">
        <v>432000</v>
      </c>
      <c r="O105" s="297">
        <v>492449</v>
      </c>
      <c r="P105" s="297">
        <v>416648</v>
      </c>
      <c r="Q105" s="297">
        <v>420246</v>
      </c>
      <c r="R105" s="297">
        <v>449031</v>
      </c>
      <c r="S105" s="297">
        <v>391461</v>
      </c>
      <c r="T105" s="297">
        <v>440876</v>
      </c>
      <c r="U105" s="297">
        <v>355000</v>
      </c>
      <c r="V105" s="297">
        <v>355000</v>
      </c>
      <c r="W105" s="91">
        <v>431224.77777777775</v>
      </c>
      <c r="X105" s="49">
        <f t="shared" si="49"/>
        <v>5066886.777777778</v>
      </c>
      <c r="Y105" s="463"/>
      <c r="Z105" s="463"/>
    </row>
    <row r="106" spans="1:26">
      <c r="A106" s="465">
        <f t="shared" si="50"/>
        <v>2021002</v>
      </c>
      <c r="B106" s="466"/>
      <c r="C106" s="642"/>
      <c r="D106" s="645"/>
      <c r="E106" s="645"/>
      <c r="F106" s="645"/>
      <c r="G106" s="645"/>
      <c r="H106" s="648"/>
      <c r="I106" s="648"/>
      <c r="J106" s="629"/>
      <c r="K106" s="189" t="s">
        <v>34</v>
      </c>
      <c r="L106" s="343"/>
      <c r="M106" s="297"/>
      <c r="N106" s="297"/>
      <c r="O106" s="297"/>
      <c r="P106" s="297"/>
      <c r="Q106" s="297"/>
      <c r="R106" s="297"/>
      <c r="S106" s="297"/>
      <c r="T106" s="297"/>
      <c r="U106" s="297"/>
      <c r="V106" s="297"/>
      <c r="W106" s="98"/>
      <c r="X106" s="49">
        <f t="shared" si="49"/>
        <v>0</v>
      </c>
      <c r="Y106" s="463"/>
      <c r="Z106" s="463"/>
    </row>
    <row r="107" spans="1:26">
      <c r="A107" s="465">
        <f t="shared" si="50"/>
        <v>2021002</v>
      </c>
      <c r="B107" s="466"/>
      <c r="C107" s="642"/>
      <c r="D107" s="645"/>
      <c r="E107" s="645"/>
      <c r="F107" s="645"/>
      <c r="G107" s="645"/>
      <c r="H107" s="648"/>
      <c r="I107" s="648"/>
      <c r="J107" s="629"/>
      <c r="K107" s="189" t="s">
        <v>28</v>
      </c>
      <c r="L107" s="343">
        <v>6930</v>
      </c>
      <c r="M107" s="297">
        <v>6930</v>
      </c>
      <c r="N107" s="297">
        <v>0</v>
      </c>
      <c r="O107" s="297">
        <v>12240</v>
      </c>
      <c r="P107" s="297">
        <v>6120</v>
      </c>
      <c r="Q107" s="297">
        <v>6120</v>
      </c>
      <c r="R107" s="297">
        <v>6120</v>
      </c>
      <c r="S107" s="297">
        <v>6120</v>
      </c>
      <c r="T107" s="297">
        <v>6120</v>
      </c>
      <c r="U107" s="297">
        <v>6120</v>
      </c>
      <c r="V107" s="297">
        <v>6120</v>
      </c>
      <c r="W107" s="91">
        <v>6930</v>
      </c>
      <c r="X107" s="49">
        <f t="shared" si="49"/>
        <v>75870</v>
      </c>
      <c r="Y107" s="463"/>
      <c r="Z107" s="463"/>
    </row>
    <row r="108" spans="1:26">
      <c r="A108" s="465">
        <f t="shared" si="50"/>
        <v>2021002</v>
      </c>
      <c r="B108" s="466"/>
      <c r="C108" s="642"/>
      <c r="D108" s="645"/>
      <c r="E108" s="645"/>
      <c r="F108" s="645"/>
      <c r="G108" s="645"/>
      <c r="H108" s="648"/>
      <c r="I108" s="648"/>
      <c r="J108" s="629"/>
      <c r="K108" s="189" t="s">
        <v>29</v>
      </c>
      <c r="L108" s="343">
        <v>24860</v>
      </c>
      <c r="M108" s="297">
        <v>24860</v>
      </c>
      <c r="N108" s="297">
        <v>24860</v>
      </c>
      <c r="O108" s="297">
        <v>24860</v>
      </c>
      <c r="P108" s="297">
        <v>24860</v>
      </c>
      <c r="Q108" s="297">
        <v>24860</v>
      </c>
      <c r="R108" s="297">
        <v>24860</v>
      </c>
      <c r="S108" s="297">
        <v>24860</v>
      </c>
      <c r="T108" s="297">
        <v>24860</v>
      </c>
      <c r="U108" s="297">
        <v>24860</v>
      </c>
      <c r="V108" s="297">
        <v>24860</v>
      </c>
      <c r="W108" s="91">
        <v>24860</v>
      </c>
      <c r="X108" s="49">
        <f t="shared" si="49"/>
        <v>298320</v>
      </c>
      <c r="Y108" s="463"/>
      <c r="Z108" s="463"/>
    </row>
    <row r="109" spans="1:26">
      <c r="A109" s="465">
        <f t="shared" si="50"/>
        <v>2021002</v>
      </c>
      <c r="B109" s="466"/>
      <c r="C109" s="642"/>
      <c r="D109" s="645"/>
      <c r="E109" s="645"/>
      <c r="F109" s="645"/>
      <c r="G109" s="645"/>
      <c r="H109" s="648"/>
      <c r="I109" s="648"/>
      <c r="J109" s="629"/>
      <c r="K109" s="189" t="s">
        <v>30</v>
      </c>
      <c r="L109" s="343">
        <v>40260</v>
      </c>
      <c r="M109" s="297">
        <v>40260</v>
      </c>
      <c r="N109" s="297">
        <v>40260</v>
      </c>
      <c r="O109" s="297">
        <v>40260</v>
      </c>
      <c r="P109" s="297">
        <v>40260</v>
      </c>
      <c r="Q109" s="297">
        <v>40260</v>
      </c>
      <c r="R109" s="297">
        <v>40260</v>
      </c>
      <c r="S109" s="297">
        <v>40260</v>
      </c>
      <c r="T109" s="297">
        <v>40260</v>
      </c>
      <c r="U109" s="297">
        <v>40260</v>
      </c>
      <c r="V109" s="297">
        <v>40260</v>
      </c>
      <c r="W109" s="91">
        <v>40260</v>
      </c>
      <c r="X109" s="49">
        <f t="shared" si="49"/>
        <v>483120</v>
      </c>
      <c r="Y109" s="463"/>
      <c r="Z109" s="463"/>
    </row>
    <row r="110" spans="1:26">
      <c r="A110" s="465">
        <f t="shared" si="50"/>
        <v>2021002</v>
      </c>
      <c r="B110" s="466"/>
      <c r="C110" s="642"/>
      <c r="D110" s="645"/>
      <c r="E110" s="645"/>
      <c r="F110" s="645"/>
      <c r="G110" s="645"/>
      <c r="H110" s="648"/>
      <c r="I110" s="648"/>
      <c r="J110" s="629"/>
      <c r="K110" s="189" t="s">
        <v>31</v>
      </c>
      <c r="L110" s="343">
        <v>2370</v>
      </c>
      <c r="M110" s="297">
        <v>2114</v>
      </c>
      <c r="N110" s="297">
        <v>2160</v>
      </c>
      <c r="O110" s="297">
        <v>2523</v>
      </c>
      <c r="P110" s="297">
        <v>2114</v>
      </c>
      <c r="Q110" s="297">
        <v>2132</v>
      </c>
      <c r="R110" s="297">
        <v>2276</v>
      </c>
      <c r="S110" s="297">
        <v>1988</v>
      </c>
      <c r="T110" s="297">
        <v>2235</v>
      </c>
      <c r="U110" s="297">
        <v>1806</v>
      </c>
      <c r="V110" s="297">
        <v>1892</v>
      </c>
      <c r="W110" s="91">
        <v>2370</v>
      </c>
      <c r="X110" s="49">
        <f t="shared" si="49"/>
        <v>25980</v>
      </c>
      <c r="Y110" s="463"/>
      <c r="Z110" s="463"/>
    </row>
    <row r="111" spans="1:26">
      <c r="A111" s="465">
        <f t="shared" si="50"/>
        <v>2021002</v>
      </c>
      <c r="B111" s="466"/>
      <c r="C111" s="642"/>
      <c r="D111" s="645"/>
      <c r="E111" s="645"/>
      <c r="F111" s="645"/>
      <c r="G111" s="645"/>
      <c r="H111" s="648"/>
      <c r="I111" s="648"/>
      <c r="J111" s="629"/>
      <c r="K111" s="189" t="s">
        <v>32</v>
      </c>
      <c r="L111" s="343">
        <v>2607</v>
      </c>
      <c r="M111" s="297">
        <v>2326</v>
      </c>
      <c r="N111" s="297">
        <v>2376</v>
      </c>
      <c r="O111" s="297">
        <v>2776</v>
      </c>
      <c r="P111" s="297">
        <v>2325</v>
      </c>
      <c r="Q111" s="297">
        <v>2345</v>
      </c>
      <c r="R111" s="297">
        <v>2503</v>
      </c>
      <c r="S111" s="297">
        <v>2187</v>
      </c>
      <c r="T111" s="297">
        <v>2458</v>
      </c>
      <c r="U111" s="297">
        <v>1986</v>
      </c>
      <c r="V111" s="297">
        <v>2082</v>
      </c>
      <c r="W111" s="91">
        <v>2607</v>
      </c>
      <c r="X111" s="49">
        <f t="shared" si="49"/>
        <v>28578</v>
      </c>
      <c r="Y111" s="463"/>
      <c r="Z111" s="463"/>
    </row>
    <row r="112" spans="1:26">
      <c r="A112" s="465">
        <f t="shared" si="50"/>
        <v>2021002</v>
      </c>
      <c r="B112" s="466"/>
      <c r="C112" s="654"/>
      <c r="D112" s="655"/>
      <c r="E112" s="655"/>
      <c r="F112" s="655"/>
      <c r="G112" s="655"/>
      <c r="H112" s="652"/>
      <c r="I112" s="652"/>
      <c r="J112" s="630"/>
      <c r="K112" s="190" t="s">
        <v>33</v>
      </c>
      <c r="L112" s="345">
        <f t="shared" ref="L112:X112" si="52">L101-L104</f>
        <v>99471</v>
      </c>
      <c r="M112" s="412">
        <f t="shared" si="52"/>
        <v>59061</v>
      </c>
      <c r="N112" s="412">
        <f t="shared" si="52"/>
        <v>95064</v>
      </c>
      <c r="O112" s="412">
        <f t="shared" si="52"/>
        <v>104292</v>
      </c>
      <c r="P112" s="412">
        <f t="shared" si="52"/>
        <v>9233</v>
      </c>
      <c r="Q112" s="412">
        <f t="shared" si="52"/>
        <v>78917</v>
      </c>
      <c r="R112" s="412">
        <f t="shared" si="52"/>
        <v>101310</v>
      </c>
      <c r="S112" s="412">
        <f t="shared" si="52"/>
        <v>56524</v>
      </c>
      <c r="T112" s="412">
        <f t="shared" si="52"/>
        <v>86151</v>
      </c>
      <c r="U112" s="412">
        <f t="shared" si="52"/>
        <v>69968</v>
      </c>
      <c r="V112" s="412">
        <f t="shared" si="52"/>
        <v>69786</v>
      </c>
      <c r="W112" s="101">
        <f t="shared" si="52"/>
        <v>81881.55555555562</v>
      </c>
      <c r="X112" s="51">
        <f t="shared" si="52"/>
        <v>911658.55555555504</v>
      </c>
      <c r="Y112" s="463"/>
      <c r="Z112" s="463"/>
    </row>
    <row r="113" spans="1:26" ht="12.75" customHeight="1">
      <c r="A113" s="113">
        <v>2024021</v>
      </c>
      <c r="C113" s="641">
        <f>関西支店!C101+1</f>
        <v>9</v>
      </c>
      <c r="D113" s="644" t="s">
        <v>60</v>
      </c>
      <c r="E113" s="644"/>
      <c r="F113" s="644"/>
      <c r="G113" s="644" t="s">
        <v>129</v>
      </c>
      <c r="H113" s="647"/>
      <c r="I113" s="647"/>
      <c r="J113" s="628" t="s">
        <v>65</v>
      </c>
      <c r="K113" s="191" t="s">
        <v>23</v>
      </c>
      <c r="L113" s="342">
        <f t="shared" ref="L113:W113" si="53">L114+L115</f>
        <v>900000</v>
      </c>
      <c r="M113" s="409">
        <f t="shared" si="53"/>
        <v>900000</v>
      </c>
      <c r="N113" s="409">
        <f t="shared" si="53"/>
        <v>708920</v>
      </c>
      <c r="O113" s="409">
        <f t="shared" si="53"/>
        <v>900000</v>
      </c>
      <c r="P113" s="409">
        <f t="shared" si="53"/>
        <v>900000</v>
      </c>
      <c r="Q113" s="409">
        <f t="shared" si="53"/>
        <v>900000</v>
      </c>
      <c r="R113" s="409">
        <f t="shared" si="53"/>
        <v>911240</v>
      </c>
      <c r="S113" s="409">
        <f t="shared" si="53"/>
        <v>686440</v>
      </c>
      <c r="T113" s="409">
        <f t="shared" si="53"/>
        <v>900000</v>
      </c>
      <c r="U113" s="409">
        <f t="shared" si="53"/>
        <v>773550</v>
      </c>
      <c r="V113" s="409">
        <f t="shared" si="53"/>
        <v>900000</v>
      </c>
      <c r="W113" s="97">
        <f t="shared" si="53"/>
        <v>900000</v>
      </c>
      <c r="X113" s="117">
        <f t="shared" ref="X113:X123" si="54">SUM(L113:W113)</f>
        <v>10280150</v>
      </c>
      <c r="Y113" s="463"/>
      <c r="Z113" s="463"/>
    </row>
    <row r="114" spans="1:26">
      <c r="A114" s="465">
        <f t="shared" si="50"/>
        <v>2024021</v>
      </c>
      <c r="B114" s="466"/>
      <c r="C114" s="642"/>
      <c r="D114" s="645"/>
      <c r="E114" s="645"/>
      <c r="F114" s="645"/>
      <c r="G114" s="645"/>
      <c r="H114" s="648"/>
      <c r="I114" s="648"/>
      <c r="J114" s="629"/>
      <c r="K114" s="187" t="s">
        <v>24</v>
      </c>
      <c r="L114" s="343">
        <v>900000</v>
      </c>
      <c r="M114" s="297">
        <v>900000</v>
      </c>
      <c r="N114" s="297">
        <v>708920</v>
      </c>
      <c r="O114" s="297">
        <v>900000</v>
      </c>
      <c r="P114" s="297">
        <v>900000</v>
      </c>
      <c r="Q114" s="297">
        <v>900000</v>
      </c>
      <c r="R114" s="297">
        <v>911240</v>
      </c>
      <c r="S114" s="297">
        <v>686440</v>
      </c>
      <c r="T114" s="297">
        <v>900000</v>
      </c>
      <c r="U114" s="297">
        <v>773550</v>
      </c>
      <c r="V114" s="297">
        <v>900000</v>
      </c>
      <c r="W114" s="91">
        <v>900000</v>
      </c>
      <c r="X114" s="49">
        <f t="shared" si="54"/>
        <v>10280150</v>
      </c>
      <c r="Y114" s="463"/>
      <c r="Z114" s="463"/>
    </row>
    <row r="115" spans="1:26">
      <c r="A115" s="465">
        <f t="shared" si="50"/>
        <v>2024021</v>
      </c>
      <c r="B115" s="466"/>
      <c r="C115" s="642"/>
      <c r="D115" s="645"/>
      <c r="E115" s="645"/>
      <c r="F115" s="645"/>
      <c r="G115" s="645"/>
      <c r="H115" s="648"/>
      <c r="I115" s="648"/>
      <c r="J115" s="629"/>
      <c r="K115" s="187" t="s">
        <v>25</v>
      </c>
      <c r="L115" s="343"/>
      <c r="M115" s="297"/>
      <c r="N115" s="297"/>
      <c r="O115" s="297"/>
      <c r="P115" s="297"/>
      <c r="Q115" s="297"/>
      <c r="R115" s="297"/>
      <c r="S115" s="297"/>
      <c r="T115" s="297"/>
      <c r="U115" s="297"/>
      <c r="V115" s="297"/>
      <c r="W115" s="98"/>
      <c r="X115" s="49">
        <f t="shared" si="54"/>
        <v>0</v>
      </c>
      <c r="Y115" s="463"/>
      <c r="Z115" s="463"/>
    </row>
    <row r="116" spans="1:26">
      <c r="A116" s="465">
        <f t="shared" si="50"/>
        <v>2024021</v>
      </c>
      <c r="B116" s="466"/>
      <c r="C116" s="642"/>
      <c r="D116" s="645"/>
      <c r="E116" s="645"/>
      <c r="F116" s="645"/>
      <c r="G116" s="645"/>
      <c r="H116" s="648"/>
      <c r="I116" s="648"/>
      <c r="J116" s="629"/>
      <c r="K116" s="188" t="s">
        <v>26</v>
      </c>
      <c r="L116" s="344">
        <f t="shared" ref="L116:W116" si="55">SUM(L117:L123)</f>
        <v>715016</v>
      </c>
      <c r="M116" s="411">
        <f t="shared" si="55"/>
        <v>709478</v>
      </c>
      <c r="N116" s="411">
        <f t="shared" si="55"/>
        <v>706993</v>
      </c>
      <c r="O116" s="411">
        <f t="shared" si="55"/>
        <v>710226</v>
      </c>
      <c r="P116" s="411">
        <f t="shared" si="55"/>
        <v>711601</v>
      </c>
      <c r="Q116" s="411">
        <f t="shared" si="55"/>
        <v>711601</v>
      </c>
      <c r="R116" s="411">
        <f t="shared" si="55"/>
        <v>745605</v>
      </c>
      <c r="S116" s="411">
        <f t="shared" si="55"/>
        <v>702910</v>
      </c>
      <c r="T116" s="411">
        <f t="shared" si="55"/>
        <v>706144</v>
      </c>
      <c r="U116" s="411">
        <f t="shared" si="55"/>
        <v>639797</v>
      </c>
      <c r="V116" s="411">
        <f t="shared" si="55"/>
        <v>705316</v>
      </c>
      <c r="W116" s="99">
        <f t="shared" si="55"/>
        <v>715016</v>
      </c>
      <c r="X116" s="50">
        <f t="shared" si="54"/>
        <v>8479703</v>
      </c>
      <c r="Y116" s="463"/>
      <c r="Z116" s="463"/>
    </row>
    <row r="117" spans="1:26">
      <c r="A117" s="465">
        <f t="shared" si="50"/>
        <v>2024021</v>
      </c>
      <c r="B117" s="466"/>
      <c r="C117" s="642"/>
      <c r="D117" s="645"/>
      <c r="E117" s="645"/>
      <c r="F117" s="645"/>
      <c r="G117" s="645"/>
      <c r="H117" s="648"/>
      <c r="I117" s="648"/>
      <c r="J117" s="629"/>
      <c r="K117" s="189" t="s">
        <v>27</v>
      </c>
      <c r="L117" s="343">
        <v>601600</v>
      </c>
      <c r="M117" s="297">
        <v>605200</v>
      </c>
      <c r="N117" s="297">
        <v>602400</v>
      </c>
      <c r="O117" s="297">
        <v>605600</v>
      </c>
      <c r="P117" s="297">
        <v>604000</v>
      </c>
      <c r="Q117" s="297">
        <v>604000</v>
      </c>
      <c r="R117" s="297">
        <v>636451</v>
      </c>
      <c r="S117" s="297">
        <v>604000</v>
      </c>
      <c r="T117" s="297">
        <v>606800</v>
      </c>
      <c r="U117" s="297">
        <v>539542</v>
      </c>
      <c r="V117" s="297">
        <v>605200</v>
      </c>
      <c r="W117" s="91">
        <v>601600</v>
      </c>
      <c r="X117" s="49">
        <f t="shared" si="54"/>
        <v>7216393</v>
      </c>
      <c r="Y117" s="463"/>
      <c r="Z117" s="463"/>
    </row>
    <row r="118" spans="1:26">
      <c r="A118" s="465">
        <f t="shared" si="50"/>
        <v>2024021</v>
      </c>
      <c r="B118" s="466"/>
      <c r="C118" s="642"/>
      <c r="D118" s="645"/>
      <c r="E118" s="645"/>
      <c r="F118" s="645"/>
      <c r="G118" s="645"/>
      <c r="H118" s="648"/>
      <c r="I118" s="648"/>
      <c r="J118" s="629"/>
      <c r="K118" s="189" t="s">
        <v>34</v>
      </c>
      <c r="L118" s="343"/>
      <c r="M118" s="297"/>
      <c r="N118" s="297"/>
      <c r="O118" s="297"/>
      <c r="P118" s="297"/>
      <c r="Q118" s="297"/>
      <c r="R118" s="297"/>
      <c r="S118" s="297"/>
      <c r="T118" s="297"/>
      <c r="U118" s="297"/>
      <c r="V118" s="297"/>
      <c r="W118" s="91"/>
      <c r="X118" s="49">
        <f t="shared" si="54"/>
        <v>0</v>
      </c>
      <c r="Y118" s="463"/>
      <c r="Z118" s="463"/>
    </row>
    <row r="119" spans="1:26">
      <c r="A119" s="465">
        <f t="shared" si="50"/>
        <v>2024021</v>
      </c>
      <c r="B119" s="466"/>
      <c r="C119" s="642"/>
      <c r="D119" s="645"/>
      <c r="E119" s="645"/>
      <c r="F119" s="645"/>
      <c r="G119" s="645"/>
      <c r="H119" s="648"/>
      <c r="I119" s="648"/>
      <c r="J119" s="629"/>
      <c r="K119" s="189" t="s">
        <v>28</v>
      </c>
      <c r="L119" s="343">
        <v>15180</v>
      </c>
      <c r="M119" s="297">
        <v>6100</v>
      </c>
      <c r="N119" s="297">
        <v>6440</v>
      </c>
      <c r="O119" s="297">
        <v>6440</v>
      </c>
      <c r="P119" s="297">
        <v>9400</v>
      </c>
      <c r="Q119" s="297">
        <v>9400</v>
      </c>
      <c r="R119" s="297">
        <v>10600</v>
      </c>
      <c r="S119" s="297">
        <v>800</v>
      </c>
      <c r="T119" s="297">
        <v>1200</v>
      </c>
      <c r="U119" s="297">
        <v>2800</v>
      </c>
      <c r="V119" s="297">
        <v>1800</v>
      </c>
      <c r="W119" s="91">
        <v>15180</v>
      </c>
      <c r="X119" s="49">
        <f t="shared" si="54"/>
        <v>85340</v>
      </c>
      <c r="Y119" s="463"/>
      <c r="Z119" s="463"/>
    </row>
    <row r="120" spans="1:26">
      <c r="A120" s="465">
        <f t="shared" si="50"/>
        <v>2024021</v>
      </c>
      <c r="B120" s="466"/>
      <c r="C120" s="642"/>
      <c r="D120" s="645"/>
      <c r="E120" s="645"/>
      <c r="F120" s="645"/>
      <c r="G120" s="645"/>
      <c r="H120" s="648"/>
      <c r="I120" s="648"/>
      <c r="J120" s="629"/>
      <c r="K120" s="189" t="s">
        <v>29</v>
      </c>
      <c r="L120" s="343">
        <v>35030</v>
      </c>
      <c r="M120" s="297">
        <v>35030</v>
      </c>
      <c r="N120" s="297">
        <v>35030</v>
      </c>
      <c r="O120" s="297">
        <v>35030</v>
      </c>
      <c r="P120" s="297">
        <v>35030</v>
      </c>
      <c r="Q120" s="297">
        <v>35030</v>
      </c>
      <c r="R120" s="297">
        <v>35030</v>
      </c>
      <c r="S120" s="297">
        <v>35030</v>
      </c>
      <c r="T120" s="297">
        <v>35030</v>
      </c>
      <c r="U120" s="297">
        <v>35030</v>
      </c>
      <c r="V120" s="297">
        <v>35030</v>
      </c>
      <c r="W120" s="91">
        <v>35030</v>
      </c>
      <c r="X120" s="49">
        <f t="shared" si="54"/>
        <v>420360</v>
      </c>
      <c r="Y120" s="463"/>
      <c r="Z120" s="463"/>
    </row>
    <row r="121" spans="1:26">
      <c r="A121" s="465">
        <f t="shared" si="50"/>
        <v>2024021</v>
      </c>
      <c r="B121" s="466"/>
      <c r="C121" s="642"/>
      <c r="D121" s="645"/>
      <c r="E121" s="645"/>
      <c r="F121" s="645"/>
      <c r="G121" s="645"/>
      <c r="H121" s="648"/>
      <c r="I121" s="648"/>
      <c r="J121" s="629"/>
      <c r="K121" s="189" t="s">
        <v>30</v>
      </c>
      <c r="L121" s="343">
        <v>56730</v>
      </c>
      <c r="M121" s="297">
        <v>56730</v>
      </c>
      <c r="N121" s="297">
        <v>56730</v>
      </c>
      <c r="O121" s="297">
        <v>56730</v>
      </c>
      <c r="P121" s="297">
        <v>56730</v>
      </c>
      <c r="Q121" s="297">
        <v>56730</v>
      </c>
      <c r="R121" s="297">
        <v>56730</v>
      </c>
      <c r="S121" s="297">
        <v>56730</v>
      </c>
      <c r="T121" s="297">
        <v>56730</v>
      </c>
      <c r="U121" s="297">
        <v>56730</v>
      </c>
      <c r="V121" s="297">
        <v>56730</v>
      </c>
      <c r="W121" s="91">
        <v>56730</v>
      </c>
      <c r="X121" s="49">
        <f t="shared" si="54"/>
        <v>680760</v>
      </c>
      <c r="Y121" s="463"/>
      <c r="Z121" s="463"/>
    </row>
    <row r="122" spans="1:26">
      <c r="A122" s="465">
        <f t="shared" si="50"/>
        <v>2024021</v>
      </c>
      <c r="B122" s="466"/>
      <c r="C122" s="642"/>
      <c r="D122" s="645"/>
      <c r="E122" s="645"/>
      <c r="F122" s="645"/>
      <c r="G122" s="645"/>
      <c r="H122" s="648"/>
      <c r="I122" s="648"/>
      <c r="J122" s="629"/>
      <c r="K122" s="189" t="s">
        <v>31</v>
      </c>
      <c r="L122" s="343">
        <v>3084</v>
      </c>
      <c r="M122" s="297">
        <v>3056</v>
      </c>
      <c r="N122" s="297">
        <v>3044</v>
      </c>
      <c r="O122" s="297">
        <v>3060</v>
      </c>
      <c r="P122" s="297">
        <v>3067</v>
      </c>
      <c r="Q122" s="297">
        <v>3067</v>
      </c>
      <c r="R122" s="297">
        <v>3235</v>
      </c>
      <c r="S122" s="297">
        <v>3024</v>
      </c>
      <c r="T122" s="297">
        <v>3040</v>
      </c>
      <c r="U122" s="297">
        <v>2712</v>
      </c>
      <c r="V122" s="297">
        <v>3122</v>
      </c>
      <c r="W122" s="91">
        <v>3084</v>
      </c>
      <c r="X122" s="49">
        <f t="shared" si="54"/>
        <v>36595</v>
      </c>
      <c r="Y122" s="463"/>
      <c r="Z122" s="463"/>
    </row>
    <row r="123" spans="1:26">
      <c r="A123" s="465">
        <f t="shared" si="50"/>
        <v>2024021</v>
      </c>
      <c r="B123" s="466"/>
      <c r="C123" s="642"/>
      <c r="D123" s="645"/>
      <c r="E123" s="645"/>
      <c r="F123" s="645"/>
      <c r="G123" s="645"/>
      <c r="H123" s="648"/>
      <c r="I123" s="648"/>
      <c r="J123" s="629"/>
      <c r="K123" s="189" t="s">
        <v>32</v>
      </c>
      <c r="L123" s="343">
        <v>3392</v>
      </c>
      <c r="M123" s="297">
        <v>3362</v>
      </c>
      <c r="N123" s="297">
        <v>3349</v>
      </c>
      <c r="O123" s="297">
        <v>3366</v>
      </c>
      <c r="P123" s="297">
        <v>3374</v>
      </c>
      <c r="Q123" s="297">
        <v>3374</v>
      </c>
      <c r="R123" s="297">
        <v>3559</v>
      </c>
      <c r="S123" s="297">
        <v>3326</v>
      </c>
      <c r="T123" s="297">
        <v>3344</v>
      </c>
      <c r="U123" s="297">
        <v>2983</v>
      </c>
      <c r="V123" s="297">
        <v>3434</v>
      </c>
      <c r="W123" s="91">
        <v>3392</v>
      </c>
      <c r="X123" s="49">
        <f t="shared" si="54"/>
        <v>40255</v>
      </c>
      <c r="Y123" s="463"/>
      <c r="Z123" s="463"/>
    </row>
    <row r="124" spans="1:26">
      <c r="A124" s="465">
        <f t="shared" si="50"/>
        <v>2024021</v>
      </c>
      <c r="B124" s="466"/>
      <c r="C124" s="654"/>
      <c r="D124" s="655"/>
      <c r="E124" s="655"/>
      <c r="F124" s="655"/>
      <c r="G124" s="655"/>
      <c r="H124" s="652"/>
      <c r="I124" s="652"/>
      <c r="J124" s="630"/>
      <c r="K124" s="190" t="s">
        <v>33</v>
      </c>
      <c r="L124" s="345">
        <f t="shared" ref="L124:X124" si="56">L113-L116</f>
        <v>184984</v>
      </c>
      <c r="M124" s="412">
        <f t="shared" si="56"/>
        <v>190522</v>
      </c>
      <c r="N124" s="412">
        <f t="shared" si="56"/>
        <v>1927</v>
      </c>
      <c r="O124" s="412">
        <f t="shared" si="56"/>
        <v>189774</v>
      </c>
      <c r="P124" s="412">
        <f t="shared" si="56"/>
        <v>188399</v>
      </c>
      <c r="Q124" s="412">
        <f t="shared" si="56"/>
        <v>188399</v>
      </c>
      <c r="R124" s="412">
        <f t="shared" si="56"/>
        <v>165635</v>
      </c>
      <c r="S124" s="412">
        <f t="shared" si="56"/>
        <v>-16470</v>
      </c>
      <c r="T124" s="412">
        <f t="shared" si="56"/>
        <v>193856</v>
      </c>
      <c r="U124" s="412">
        <f t="shared" si="56"/>
        <v>133753</v>
      </c>
      <c r="V124" s="412">
        <f t="shared" si="56"/>
        <v>194684</v>
      </c>
      <c r="W124" s="101">
        <f t="shared" si="56"/>
        <v>184984</v>
      </c>
      <c r="X124" s="51">
        <f t="shared" si="56"/>
        <v>1800447</v>
      </c>
      <c r="Y124" s="463"/>
      <c r="Z124" s="463"/>
    </row>
    <row r="125" spans="1:26" ht="12.75" customHeight="1">
      <c r="A125" s="113">
        <v>2024036</v>
      </c>
      <c r="C125" s="641">
        <f>関西支店!C113+1</f>
        <v>10</v>
      </c>
      <c r="D125" s="644" t="s">
        <v>60</v>
      </c>
      <c r="E125" s="644"/>
      <c r="F125" s="644"/>
      <c r="G125" s="644"/>
      <c r="H125" s="647"/>
      <c r="I125" s="647"/>
      <c r="J125" s="628" t="s">
        <v>65</v>
      </c>
      <c r="K125" s="191" t="s">
        <v>23</v>
      </c>
      <c r="L125" s="342">
        <f t="shared" ref="L125:W125" si="57">L126+L127</f>
        <v>300000</v>
      </c>
      <c r="M125" s="409">
        <f t="shared" si="57"/>
        <v>262500</v>
      </c>
      <c r="N125" s="409">
        <f t="shared" si="57"/>
        <v>310000</v>
      </c>
      <c r="O125" s="409">
        <f t="shared" si="57"/>
        <v>321250</v>
      </c>
      <c r="P125" s="409">
        <f t="shared" si="57"/>
        <v>265000</v>
      </c>
      <c r="Q125" s="409">
        <f t="shared" si="57"/>
        <v>272500</v>
      </c>
      <c r="R125" s="409">
        <f t="shared" si="57"/>
        <v>323750</v>
      </c>
      <c r="S125" s="409">
        <f t="shared" si="57"/>
        <v>315000</v>
      </c>
      <c r="T125" s="409">
        <f t="shared" si="57"/>
        <v>310000</v>
      </c>
      <c r="U125" s="409">
        <f t="shared" si="57"/>
        <v>290000</v>
      </c>
      <c r="V125" s="409">
        <f t="shared" si="57"/>
        <v>300000</v>
      </c>
      <c r="W125" s="97">
        <f t="shared" si="57"/>
        <v>293125</v>
      </c>
      <c r="X125" s="117">
        <f t="shared" ref="X125:X135" si="58">SUM(L125:W125)</f>
        <v>3563125</v>
      </c>
      <c r="Y125" s="463"/>
      <c r="Z125" s="463"/>
    </row>
    <row r="126" spans="1:26">
      <c r="A126" s="465">
        <f t="shared" si="50"/>
        <v>2024036</v>
      </c>
      <c r="B126" s="466"/>
      <c r="C126" s="642"/>
      <c r="D126" s="645"/>
      <c r="E126" s="645"/>
      <c r="F126" s="645"/>
      <c r="G126" s="645"/>
      <c r="H126" s="648"/>
      <c r="I126" s="648"/>
      <c r="J126" s="629"/>
      <c r="K126" s="187" t="s">
        <v>24</v>
      </c>
      <c r="L126" s="343">
        <v>300000</v>
      </c>
      <c r="M126" s="297">
        <v>262500</v>
      </c>
      <c r="N126" s="297">
        <v>310000</v>
      </c>
      <c r="O126" s="297">
        <v>321250</v>
      </c>
      <c r="P126" s="297">
        <v>265000</v>
      </c>
      <c r="Q126" s="297">
        <v>272500</v>
      </c>
      <c r="R126" s="297">
        <v>323750</v>
      </c>
      <c r="S126" s="297">
        <v>315000</v>
      </c>
      <c r="T126" s="297">
        <v>310000</v>
      </c>
      <c r="U126" s="297">
        <v>290000</v>
      </c>
      <c r="V126" s="297">
        <v>300000</v>
      </c>
      <c r="W126" s="91">
        <v>293125</v>
      </c>
      <c r="X126" s="49">
        <f t="shared" si="58"/>
        <v>3563125</v>
      </c>
      <c r="Y126" s="463"/>
      <c r="Z126" s="463"/>
    </row>
    <row r="127" spans="1:26">
      <c r="A127" s="465">
        <f t="shared" si="50"/>
        <v>2024036</v>
      </c>
      <c r="B127" s="466"/>
      <c r="C127" s="642"/>
      <c r="D127" s="645"/>
      <c r="E127" s="645"/>
      <c r="F127" s="645"/>
      <c r="G127" s="645"/>
      <c r="H127" s="648"/>
      <c r="I127" s="648"/>
      <c r="J127" s="629"/>
      <c r="K127" s="187" t="s">
        <v>25</v>
      </c>
      <c r="L127" s="343"/>
      <c r="M127" s="297"/>
      <c r="N127" s="297"/>
      <c r="O127" s="297"/>
      <c r="P127" s="297"/>
      <c r="Q127" s="297"/>
      <c r="R127" s="297"/>
      <c r="S127" s="297"/>
      <c r="T127" s="297"/>
      <c r="U127" s="297"/>
      <c r="V127" s="297"/>
      <c r="W127" s="98"/>
      <c r="X127" s="49">
        <f t="shared" si="58"/>
        <v>0</v>
      </c>
      <c r="Y127" s="463"/>
      <c r="Z127" s="463"/>
    </row>
    <row r="128" spans="1:26">
      <c r="A128" s="465">
        <f t="shared" si="50"/>
        <v>2024036</v>
      </c>
      <c r="B128" s="466"/>
      <c r="C128" s="642"/>
      <c r="D128" s="645"/>
      <c r="E128" s="645"/>
      <c r="F128" s="645"/>
      <c r="G128" s="645"/>
      <c r="H128" s="648"/>
      <c r="I128" s="648"/>
      <c r="J128" s="629"/>
      <c r="K128" s="188" t="s">
        <v>26</v>
      </c>
      <c r="L128" s="344">
        <f t="shared" ref="L128:W128" si="59">SUM(L129:L135)</f>
        <v>232577</v>
      </c>
      <c r="M128" s="411">
        <f t="shared" si="59"/>
        <v>244096</v>
      </c>
      <c r="N128" s="411">
        <f t="shared" si="59"/>
        <v>240611</v>
      </c>
      <c r="O128" s="411">
        <f t="shared" si="59"/>
        <v>247455</v>
      </c>
      <c r="P128" s="411">
        <f t="shared" si="59"/>
        <v>210617</v>
      </c>
      <c r="Q128" s="411">
        <f t="shared" si="59"/>
        <v>217098</v>
      </c>
      <c r="R128" s="411">
        <f t="shared" si="59"/>
        <v>249831</v>
      </c>
      <c r="S128" s="411">
        <f t="shared" si="59"/>
        <v>233570</v>
      </c>
      <c r="T128" s="411">
        <f t="shared" si="59"/>
        <v>241597</v>
      </c>
      <c r="U128" s="411">
        <f t="shared" si="59"/>
        <v>216523</v>
      </c>
      <c r="V128" s="411">
        <f t="shared" si="59"/>
        <v>240391</v>
      </c>
      <c r="W128" s="99">
        <f t="shared" si="59"/>
        <v>215786.5</v>
      </c>
      <c r="X128" s="50">
        <f t="shared" si="58"/>
        <v>2790152.5</v>
      </c>
      <c r="Y128" s="463"/>
      <c r="Z128" s="463"/>
    </row>
    <row r="129" spans="1:26">
      <c r="A129" s="465">
        <f t="shared" si="50"/>
        <v>2024036</v>
      </c>
      <c r="B129" s="466"/>
      <c r="C129" s="642"/>
      <c r="D129" s="645"/>
      <c r="E129" s="645"/>
      <c r="F129" s="645"/>
      <c r="G129" s="645"/>
      <c r="H129" s="648"/>
      <c r="I129" s="648"/>
      <c r="J129" s="629"/>
      <c r="K129" s="189" t="s">
        <v>27</v>
      </c>
      <c r="L129" s="343">
        <v>204025</v>
      </c>
      <c r="M129" s="297">
        <v>215044</v>
      </c>
      <c r="N129" s="297">
        <v>211595</v>
      </c>
      <c r="O129" s="297">
        <v>217988</v>
      </c>
      <c r="P129" s="297">
        <v>181913</v>
      </c>
      <c r="Q129" s="297">
        <v>186951</v>
      </c>
      <c r="R129" s="297">
        <v>219344</v>
      </c>
      <c r="S129" s="297">
        <v>203252</v>
      </c>
      <c r="T129" s="297">
        <v>211195</v>
      </c>
      <c r="U129" s="297">
        <v>186382</v>
      </c>
      <c r="V129" s="297">
        <v>209441</v>
      </c>
      <c r="W129" s="91">
        <v>187234.5</v>
      </c>
      <c r="X129" s="49">
        <f t="shared" si="58"/>
        <v>2434364.5</v>
      </c>
      <c r="Y129" s="463"/>
      <c r="Z129" s="463"/>
    </row>
    <row r="130" spans="1:26">
      <c r="A130" s="465">
        <f t="shared" si="50"/>
        <v>2024036</v>
      </c>
      <c r="B130" s="466"/>
      <c r="C130" s="642"/>
      <c r="D130" s="645"/>
      <c r="E130" s="645"/>
      <c r="F130" s="645"/>
      <c r="G130" s="645"/>
      <c r="H130" s="648"/>
      <c r="I130" s="648"/>
      <c r="J130" s="629"/>
      <c r="K130" s="189" t="s">
        <v>34</v>
      </c>
      <c r="L130" s="343"/>
      <c r="M130" s="297"/>
      <c r="N130" s="297"/>
      <c r="O130" s="297"/>
      <c r="P130" s="297"/>
      <c r="Q130" s="297"/>
      <c r="R130" s="297"/>
      <c r="S130" s="297"/>
      <c r="T130" s="297"/>
      <c r="U130" s="297"/>
      <c r="V130" s="297"/>
      <c r="W130" s="91"/>
      <c r="X130" s="49">
        <f t="shared" si="58"/>
        <v>0</v>
      </c>
      <c r="Y130" s="463"/>
      <c r="Z130" s="463"/>
    </row>
    <row r="131" spans="1:26">
      <c r="A131" s="465">
        <f t="shared" si="50"/>
        <v>2024036</v>
      </c>
      <c r="B131" s="466"/>
      <c r="C131" s="642"/>
      <c r="D131" s="645"/>
      <c r="E131" s="645"/>
      <c r="F131" s="645"/>
      <c r="G131" s="645"/>
      <c r="H131" s="648"/>
      <c r="I131" s="648"/>
      <c r="J131" s="629"/>
      <c r="K131" s="189" t="s">
        <v>28</v>
      </c>
      <c r="L131" s="343">
        <v>0</v>
      </c>
      <c r="M131" s="297">
        <v>380</v>
      </c>
      <c r="N131" s="297">
        <v>380</v>
      </c>
      <c r="O131" s="297">
        <v>760</v>
      </c>
      <c r="P131" s="297">
        <v>380</v>
      </c>
      <c r="Q131" s="297">
        <v>380</v>
      </c>
      <c r="R131" s="297">
        <v>380</v>
      </c>
      <c r="S131" s="297">
        <v>380</v>
      </c>
      <c r="T131" s="297">
        <v>380</v>
      </c>
      <c r="U131" s="297">
        <v>380</v>
      </c>
      <c r="V131" s="297">
        <v>760</v>
      </c>
      <c r="W131" s="91">
        <v>0</v>
      </c>
      <c r="X131" s="49">
        <f t="shared" si="58"/>
        <v>4560</v>
      </c>
      <c r="Y131" s="463"/>
      <c r="Z131" s="463"/>
    </row>
    <row r="132" spans="1:26">
      <c r="A132" s="465">
        <f t="shared" si="50"/>
        <v>2024036</v>
      </c>
      <c r="B132" s="466"/>
      <c r="C132" s="642"/>
      <c r="D132" s="645"/>
      <c r="E132" s="645"/>
      <c r="F132" s="645"/>
      <c r="G132" s="645"/>
      <c r="H132" s="648"/>
      <c r="I132" s="648"/>
      <c r="J132" s="629"/>
      <c r="K132" s="189" t="s">
        <v>29</v>
      </c>
      <c r="L132" s="343">
        <v>9025</v>
      </c>
      <c r="M132" s="297">
        <v>9025</v>
      </c>
      <c r="N132" s="297">
        <v>9025</v>
      </c>
      <c r="O132" s="297">
        <v>9025</v>
      </c>
      <c r="P132" s="297">
        <v>9025</v>
      </c>
      <c r="Q132" s="297">
        <v>9500</v>
      </c>
      <c r="R132" s="297">
        <v>9500</v>
      </c>
      <c r="S132" s="297">
        <v>9500</v>
      </c>
      <c r="T132" s="297">
        <v>9500</v>
      </c>
      <c r="U132" s="297">
        <v>9500</v>
      </c>
      <c r="V132" s="297">
        <v>9500</v>
      </c>
      <c r="W132" s="91">
        <v>9025</v>
      </c>
      <c r="X132" s="49">
        <f t="shared" si="58"/>
        <v>111150</v>
      </c>
      <c r="Y132" s="463"/>
      <c r="Z132" s="463"/>
    </row>
    <row r="133" spans="1:26">
      <c r="A133" s="465">
        <f t="shared" si="50"/>
        <v>2024036</v>
      </c>
      <c r="B133" s="466"/>
      <c r="C133" s="642"/>
      <c r="D133" s="645"/>
      <c r="E133" s="645"/>
      <c r="F133" s="645"/>
      <c r="G133" s="645"/>
      <c r="H133" s="648"/>
      <c r="I133" s="648"/>
      <c r="J133" s="629"/>
      <c r="K133" s="189" t="s">
        <v>30</v>
      </c>
      <c r="L133" s="343">
        <v>17385</v>
      </c>
      <c r="M133" s="297">
        <v>17385</v>
      </c>
      <c r="N133" s="297">
        <v>17385</v>
      </c>
      <c r="O133" s="297">
        <v>17385</v>
      </c>
      <c r="P133" s="297">
        <v>17385</v>
      </c>
      <c r="Q133" s="297">
        <v>18300</v>
      </c>
      <c r="R133" s="297">
        <v>18300</v>
      </c>
      <c r="S133" s="297">
        <v>18300</v>
      </c>
      <c r="T133" s="297">
        <v>18300</v>
      </c>
      <c r="U133" s="297">
        <v>18300</v>
      </c>
      <c r="V133" s="297">
        <v>18300</v>
      </c>
      <c r="W133" s="91">
        <v>17385</v>
      </c>
      <c r="X133" s="49">
        <f t="shared" si="58"/>
        <v>214110</v>
      </c>
      <c r="Y133" s="463"/>
      <c r="Z133" s="463"/>
    </row>
    <row r="134" spans="1:26">
      <c r="A134" s="465">
        <f t="shared" si="50"/>
        <v>2024036</v>
      </c>
      <c r="B134" s="466"/>
      <c r="C134" s="642"/>
      <c r="D134" s="645"/>
      <c r="E134" s="645"/>
      <c r="F134" s="645"/>
      <c r="G134" s="645"/>
      <c r="H134" s="648"/>
      <c r="I134" s="648"/>
      <c r="J134" s="629"/>
      <c r="K134" s="189" t="s">
        <v>31</v>
      </c>
      <c r="L134" s="343">
        <v>1020</v>
      </c>
      <c r="M134" s="297">
        <v>1077</v>
      </c>
      <c r="N134" s="297">
        <v>1060</v>
      </c>
      <c r="O134" s="297">
        <v>1094</v>
      </c>
      <c r="P134" s="297">
        <v>911</v>
      </c>
      <c r="Q134" s="297">
        <v>937</v>
      </c>
      <c r="R134" s="297">
        <v>1099</v>
      </c>
      <c r="S134" s="297">
        <v>1018</v>
      </c>
      <c r="T134" s="297">
        <v>1058</v>
      </c>
      <c r="U134" s="297">
        <v>934</v>
      </c>
      <c r="V134" s="297">
        <v>1138</v>
      </c>
      <c r="W134" s="91">
        <v>1020</v>
      </c>
      <c r="X134" s="49">
        <f t="shared" si="58"/>
        <v>12366</v>
      </c>
      <c r="Y134" s="463"/>
      <c r="Z134" s="463"/>
    </row>
    <row r="135" spans="1:26">
      <c r="A135" s="465">
        <f t="shared" si="50"/>
        <v>2024036</v>
      </c>
      <c r="B135" s="466"/>
      <c r="C135" s="642"/>
      <c r="D135" s="645"/>
      <c r="E135" s="645"/>
      <c r="F135" s="645"/>
      <c r="G135" s="645"/>
      <c r="H135" s="648"/>
      <c r="I135" s="648"/>
      <c r="J135" s="629"/>
      <c r="K135" s="189" t="s">
        <v>32</v>
      </c>
      <c r="L135" s="343">
        <v>1122</v>
      </c>
      <c r="M135" s="297">
        <v>1185</v>
      </c>
      <c r="N135" s="297">
        <v>1166</v>
      </c>
      <c r="O135" s="297">
        <v>1203</v>
      </c>
      <c r="P135" s="297">
        <v>1003</v>
      </c>
      <c r="Q135" s="297">
        <v>1030</v>
      </c>
      <c r="R135" s="297">
        <v>1208</v>
      </c>
      <c r="S135" s="297">
        <v>1120</v>
      </c>
      <c r="T135" s="297">
        <v>1164</v>
      </c>
      <c r="U135" s="297">
        <v>1027</v>
      </c>
      <c r="V135" s="297">
        <v>1252</v>
      </c>
      <c r="W135" s="91">
        <v>1122</v>
      </c>
      <c r="X135" s="49">
        <f t="shared" si="58"/>
        <v>13602</v>
      </c>
      <c r="Y135" s="463"/>
      <c r="Z135" s="463"/>
    </row>
    <row r="136" spans="1:26">
      <c r="A136" s="465">
        <f t="shared" si="50"/>
        <v>2024036</v>
      </c>
      <c r="B136" s="466"/>
      <c r="C136" s="654"/>
      <c r="D136" s="655"/>
      <c r="E136" s="655"/>
      <c r="F136" s="655"/>
      <c r="G136" s="655"/>
      <c r="H136" s="652"/>
      <c r="I136" s="652"/>
      <c r="J136" s="630"/>
      <c r="K136" s="190" t="s">
        <v>33</v>
      </c>
      <c r="L136" s="345">
        <f t="shared" ref="L136:X136" si="60">L125-L128</f>
        <v>67423</v>
      </c>
      <c r="M136" s="412">
        <f t="shared" si="60"/>
        <v>18404</v>
      </c>
      <c r="N136" s="412">
        <f t="shared" si="60"/>
        <v>69389</v>
      </c>
      <c r="O136" s="412">
        <f t="shared" si="60"/>
        <v>73795</v>
      </c>
      <c r="P136" s="412">
        <f t="shared" si="60"/>
        <v>54383</v>
      </c>
      <c r="Q136" s="412">
        <f t="shared" si="60"/>
        <v>55402</v>
      </c>
      <c r="R136" s="412">
        <f t="shared" si="60"/>
        <v>73919</v>
      </c>
      <c r="S136" s="412">
        <f t="shared" si="60"/>
        <v>81430</v>
      </c>
      <c r="T136" s="412">
        <f t="shared" si="60"/>
        <v>68403</v>
      </c>
      <c r="U136" s="412">
        <f t="shared" si="60"/>
        <v>73477</v>
      </c>
      <c r="V136" s="412">
        <f t="shared" si="60"/>
        <v>59609</v>
      </c>
      <c r="W136" s="101">
        <f t="shared" si="60"/>
        <v>77338.5</v>
      </c>
      <c r="X136" s="51">
        <f t="shared" si="60"/>
        <v>772972.5</v>
      </c>
      <c r="Y136" s="463"/>
      <c r="Z136" s="463"/>
    </row>
    <row r="137" spans="1:26" ht="12.75" customHeight="1">
      <c r="A137" s="113">
        <v>2025009</v>
      </c>
      <c r="C137" s="641">
        <f>関西支店!C125+1</f>
        <v>11</v>
      </c>
      <c r="D137" s="644" t="s">
        <v>60</v>
      </c>
      <c r="E137" s="644"/>
      <c r="F137" s="644"/>
      <c r="G137" s="644"/>
      <c r="H137" s="647"/>
      <c r="I137" s="647"/>
      <c r="J137" s="628" t="s">
        <v>65</v>
      </c>
      <c r="K137" s="191" t="s">
        <v>23</v>
      </c>
      <c r="L137" s="342">
        <f t="shared" ref="L137:W137" si="61">L138+L139</f>
        <v>0</v>
      </c>
      <c r="M137" s="409">
        <f t="shared" si="61"/>
        <v>0</v>
      </c>
      <c r="N137" s="409">
        <f t="shared" si="61"/>
        <v>0</v>
      </c>
      <c r="O137" s="409">
        <f t="shared" si="61"/>
        <v>0</v>
      </c>
      <c r="P137" s="409">
        <f t="shared" si="61"/>
        <v>628030</v>
      </c>
      <c r="Q137" s="409">
        <f t="shared" si="61"/>
        <v>630000</v>
      </c>
      <c r="R137" s="409">
        <f t="shared" si="61"/>
        <v>630000</v>
      </c>
      <c r="S137" s="409">
        <f t="shared" si="61"/>
        <v>630000</v>
      </c>
      <c r="T137" s="409">
        <f t="shared" si="61"/>
        <v>630000</v>
      </c>
      <c r="U137" s="409">
        <f t="shared" si="61"/>
        <v>630000</v>
      </c>
      <c r="V137" s="409">
        <f t="shared" si="61"/>
        <v>630000</v>
      </c>
      <c r="W137" s="97">
        <f t="shared" si="61"/>
        <v>630000</v>
      </c>
      <c r="X137" s="117">
        <f t="shared" ref="X137:X147" si="62">SUM(L137:W137)</f>
        <v>5038030</v>
      </c>
      <c r="Y137" s="463"/>
      <c r="Z137" s="463"/>
    </row>
    <row r="138" spans="1:26">
      <c r="A138" s="465">
        <f t="shared" si="50"/>
        <v>2025009</v>
      </c>
      <c r="B138" s="466"/>
      <c r="C138" s="642"/>
      <c r="D138" s="645"/>
      <c r="E138" s="645"/>
      <c r="F138" s="645"/>
      <c r="G138" s="645"/>
      <c r="H138" s="648"/>
      <c r="I138" s="648"/>
      <c r="J138" s="629"/>
      <c r="K138" s="187" t="s">
        <v>24</v>
      </c>
      <c r="L138" s="343"/>
      <c r="M138" s="297"/>
      <c r="N138" s="297"/>
      <c r="O138" s="297"/>
      <c r="P138" s="297">
        <v>628030</v>
      </c>
      <c r="Q138" s="297">
        <v>630000</v>
      </c>
      <c r="R138" s="297">
        <v>630000</v>
      </c>
      <c r="S138" s="297">
        <v>630000</v>
      </c>
      <c r="T138" s="297">
        <v>630000</v>
      </c>
      <c r="U138" s="297">
        <v>630000</v>
      </c>
      <c r="V138" s="297">
        <v>630000</v>
      </c>
      <c r="W138" s="91">
        <v>630000</v>
      </c>
      <c r="X138" s="49">
        <f t="shared" si="62"/>
        <v>5038030</v>
      </c>
      <c r="Y138" s="463"/>
      <c r="Z138" s="463"/>
    </row>
    <row r="139" spans="1:26">
      <c r="A139" s="465">
        <f t="shared" si="50"/>
        <v>2025009</v>
      </c>
      <c r="B139" s="466"/>
      <c r="C139" s="642"/>
      <c r="D139" s="645"/>
      <c r="E139" s="645"/>
      <c r="F139" s="645"/>
      <c r="G139" s="645"/>
      <c r="H139" s="648"/>
      <c r="I139" s="648"/>
      <c r="J139" s="629"/>
      <c r="K139" s="187" t="s">
        <v>25</v>
      </c>
      <c r="L139" s="343"/>
      <c r="M139" s="297"/>
      <c r="N139" s="297"/>
      <c r="O139" s="297"/>
      <c r="P139" s="297"/>
      <c r="Q139" s="297"/>
      <c r="R139" s="297"/>
      <c r="S139" s="297"/>
      <c r="T139" s="297"/>
      <c r="U139" s="297"/>
      <c r="V139" s="297"/>
      <c r="W139" s="98"/>
      <c r="X139" s="49">
        <f t="shared" si="62"/>
        <v>0</v>
      </c>
      <c r="Y139" s="463"/>
      <c r="Z139" s="463"/>
    </row>
    <row r="140" spans="1:26">
      <c r="A140" s="465">
        <f t="shared" si="50"/>
        <v>2025009</v>
      </c>
      <c r="B140" s="466"/>
      <c r="C140" s="642"/>
      <c r="D140" s="645"/>
      <c r="E140" s="645"/>
      <c r="F140" s="645"/>
      <c r="G140" s="645"/>
      <c r="H140" s="648"/>
      <c r="I140" s="648"/>
      <c r="J140" s="629"/>
      <c r="K140" s="188" t="s">
        <v>26</v>
      </c>
      <c r="L140" s="344">
        <f t="shared" ref="L140:W140" si="63">SUM(L141:L147)</f>
        <v>0</v>
      </c>
      <c r="M140" s="411">
        <f t="shared" si="63"/>
        <v>0</v>
      </c>
      <c r="N140" s="411">
        <f t="shared" si="63"/>
        <v>0</v>
      </c>
      <c r="O140" s="411">
        <f t="shared" si="63"/>
        <v>0</v>
      </c>
      <c r="P140" s="411">
        <f t="shared" si="63"/>
        <v>390568</v>
      </c>
      <c r="Q140" s="411">
        <f t="shared" si="63"/>
        <v>391537</v>
      </c>
      <c r="R140" s="411">
        <f t="shared" si="63"/>
        <v>386282</v>
      </c>
      <c r="S140" s="411">
        <f t="shared" si="63"/>
        <v>385575</v>
      </c>
      <c r="T140" s="411">
        <f t="shared" si="63"/>
        <v>389617</v>
      </c>
      <c r="U140" s="411">
        <f t="shared" si="63"/>
        <v>384767</v>
      </c>
      <c r="V140" s="411">
        <f t="shared" si="63"/>
        <v>388183</v>
      </c>
      <c r="W140" s="99">
        <f t="shared" si="63"/>
        <v>403190</v>
      </c>
      <c r="X140" s="50">
        <f t="shared" si="62"/>
        <v>3119719</v>
      </c>
      <c r="Y140" s="463"/>
      <c r="Z140" s="463"/>
    </row>
    <row r="141" spans="1:26">
      <c r="A141" s="465">
        <f t="shared" si="50"/>
        <v>2025009</v>
      </c>
      <c r="B141" s="466"/>
      <c r="C141" s="642"/>
      <c r="D141" s="645"/>
      <c r="E141" s="645"/>
      <c r="F141" s="645"/>
      <c r="G141" s="645"/>
      <c r="H141" s="648"/>
      <c r="I141" s="648"/>
      <c r="J141" s="629"/>
      <c r="K141" s="189" t="s">
        <v>27</v>
      </c>
      <c r="L141" s="343"/>
      <c r="M141" s="297"/>
      <c r="N141" s="297"/>
      <c r="O141" s="297"/>
      <c r="P141" s="297">
        <v>334000</v>
      </c>
      <c r="Q141" s="297">
        <v>335200</v>
      </c>
      <c r="R141" s="297">
        <v>330000</v>
      </c>
      <c r="S141" s="297">
        <v>330000</v>
      </c>
      <c r="T141" s="297">
        <v>336400</v>
      </c>
      <c r="U141" s="297">
        <v>332800</v>
      </c>
      <c r="V141" s="297">
        <v>337200</v>
      </c>
      <c r="W141" s="91">
        <v>330000</v>
      </c>
      <c r="X141" s="49">
        <f t="shared" si="62"/>
        <v>2665600</v>
      </c>
      <c r="Y141" s="463"/>
      <c r="Z141" s="463"/>
    </row>
    <row r="142" spans="1:26">
      <c r="A142" s="465">
        <f t="shared" si="50"/>
        <v>2025009</v>
      </c>
      <c r="B142" s="466"/>
      <c r="C142" s="642"/>
      <c r="D142" s="645"/>
      <c r="E142" s="645"/>
      <c r="F142" s="645"/>
      <c r="G142" s="645"/>
      <c r="H142" s="648"/>
      <c r="I142" s="648"/>
      <c r="J142" s="629"/>
      <c r="K142" s="189" t="s">
        <v>34</v>
      </c>
      <c r="L142" s="343"/>
      <c r="M142" s="297"/>
      <c r="N142" s="297"/>
      <c r="O142" s="297"/>
      <c r="P142" s="297"/>
      <c r="Q142" s="297"/>
      <c r="R142" s="297"/>
      <c r="S142" s="297"/>
      <c r="T142" s="297"/>
      <c r="U142" s="297"/>
      <c r="V142" s="297"/>
      <c r="W142" s="91"/>
      <c r="X142" s="49">
        <f t="shared" si="62"/>
        <v>0</v>
      </c>
      <c r="Y142" s="463"/>
      <c r="Z142" s="463"/>
    </row>
    <row r="143" spans="1:26">
      <c r="A143" s="465">
        <f t="shared" si="50"/>
        <v>2025009</v>
      </c>
      <c r="B143" s="466"/>
      <c r="C143" s="642"/>
      <c r="D143" s="645"/>
      <c r="E143" s="645"/>
      <c r="F143" s="645"/>
      <c r="G143" s="645"/>
      <c r="H143" s="648"/>
      <c r="I143" s="648"/>
      <c r="J143" s="629"/>
      <c r="K143" s="189" t="s">
        <v>28</v>
      </c>
      <c r="L143" s="343"/>
      <c r="M143" s="297"/>
      <c r="N143" s="297"/>
      <c r="O143" s="297"/>
      <c r="P143" s="297">
        <v>5740</v>
      </c>
      <c r="Q143" s="297">
        <v>5500</v>
      </c>
      <c r="R143" s="297">
        <v>5500</v>
      </c>
      <c r="S143" s="297">
        <v>4800</v>
      </c>
      <c r="T143" s="297">
        <v>2400</v>
      </c>
      <c r="U143" s="297">
        <v>1200</v>
      </c>
      <c r="V143" s="297">
        <v>0</v>
      </c>
      <c r="W143" s="91">
        <v>20000</v>
      </c>
      <c r="X143" s="49">
        <f t="shared" si="62"/>
        <v>45140</v>
      </c>
      <c r="Y143" s="463"/>
      <c r="Z143" s="463"/>
    </row>
    <row r="144" spans="1:26">
      <c r="A144" s="465">
        <f t="shared" si="50"/>
        <v>2025009</v>
      </c>
      <c r="B144" s="466"/>
      <c r="C144" s="642"/>
      <c r="D144" s="645"/>
      <c r="E144" s="645"/>
      <c r="F144" s="645"/>
      <c r="G144" s="645"/>
      <c r="H144" s="648"/>
      <c r="I144" s="648"/>
      <c r="J144" s="629"/>
      <c r="K144" s="189" t="s">
        <v>29</v>
      </c>
      <c r="L144" s="343"/>
      <c r="M144" s="297"/>
      <c r="N144" s="297"/>
      <c r="O144" s="297"/>
      <c r="P144" s="297">
        <v>16150</v>
      </c>
      <c r="Q144" s="297">
        <v>16150</v>
      </c>
      <c r="R144" s="297">
        <v>16150</v>
      </c>
      <c r="S144" s="297">
        <v>16150</v>
      </c>
      <c r="T144" s="297">
        <v>16150</v>
      </c>
      <c r="U144" s="297">
        <v>16150</v>
      </c>
      <c r="V144" s="297">
        <v>16150</v>
      </c>
      <c r="W144" s="91">
        <v>32940</v>
      </c>
      <c r="X144" s="49">
        <f t="shared" si="62"/>
        <v>145990</v>
      </c>
      <c r="Y144" s="463"/>
      <c r="Z144" s="463"/>
    </row>
    <row r="145" spans="1:26">
      <c r="A145" s="465">
        <f t="shared" si="50"/>
        <v>2025009</v>
      </c>
      <c r="B145" s="466"/>
      <c r="C145" s="642"/>
      <c r="D145" s="645"/>
      <c r="E145" s="645"/>
      <c r="F145" s="645"/>
      <c r="G145" s="645"/>
      <c r="H145" s="648"/>
      <c r="I145" s="648"/>
      <c r="J145" s="629"/>
      <c r="K145" s="189" t="s">
        <v>30</v>
      </c>
      <c r="L145" s="343"/>
      <c r="M145" s="297"/>
      <c r="N145" s="297"/>
      <c r="O145" s="297"/>
      <c r="P145" s="297">
        <v>31110</v>
      </c>
      <c r="Q145" s="297">
        <v>31110</v>
      </c>
      <c r="R145" s="297">
        <v>31110</v>
      </c>
      <c r="S145" s="297">
        <v>31110</v>
      </c>
      <c r="T145" s="297">
        <v>31110</v>
      </c>
      <c r="U145" s="297">
        <v>31110</v>
      </c>
      <c r="V145" s="297">
        <v>31110</v>
      </c>
      <c r="W145" s="91">
        <v>17100</v>
      </c>
      <c r="X145" s="49">
        <f t="shared" si="62"/>
        <v>234870</v>
      </c>
      <c r="Y145" s="463"/>
      <c r="Z145" s="463"/>
    </row>
    <row r="146" spans="1:26">
      <c r="A146" s="465">
        <f t="shared" si="50"/>
        <v>2025009</v>
      </c>
      <c r="B146" s="466"/>
      <c r="C146" s="642"/>
      <c r="D146" s="645"/>
      <c r="E146" s="645"/>
      <c r="F146" s="645"/>
      <c r="G146" s="645"/>
      <c r="H146" s="648"/>
      <c r="I146" s="648"/>
      <c r="J146" s="629"/>
      <c r="K146" s="189" t="s">
        <v>31</v>
      </c>
      <c r="L146" s="343"/>
      <c r="M146" s="297"/>
      <c r="N146" s="297"/>
      <c r="O146" s="297"/>
      <c r="P146" s="297">
        <v>1699</v>
      </c>
      <c r="Q146" s="297">
        <v>1703</v>
      </c>
      <c r="R146" s="297">
        <v>1677</v>
      </c>
      <c r="S146" s="297">
        <v>1674</v>
      </c>
      <c r="T146" s="297">
        <v>1694</v>
      </c>
      <c r="U146" s="297">
        <v>1670</v>
      </c>
      <c r="V146" s="297">
        <v>1773</v>
      </c>
      <c r="W146" s="91">
        <v>1050</v>
      </c>
      <c r="X146" s="49">
        <f t="shared" si="62"/>
        <v>12940</v>
      </c>
      <c r="Y146" s="463"/>
      <c r="Z146" s="463"/>
    </row>
    <row r="147" spans="1:26">
      <c r="A147" s="465">
        <f t="shared" si="50"/>
        <v>2025009</v>
      </c>
      <c r="B147" s="466"/>
      <c r="C147" s="642"/>
      <c r="D147" s="645"/>
      <c r="E147" s="645"/>
      <c r="F147" s="645"/>
      <c r="G147" s="645"/>
      <c r="H147" s="648"/>
      <c r="I147" s="648"/>
      <c r="J147" s="629"/>
      <c r="K147" s="189" t="s">
        <v>32</v>
      </c>
      <c r="L147" s="343"/>
      <c r="M147" s="297"/>
      <c r="N147" s="297"/>
      <c r="O147" s="297"/>
      <c r="P147" s="297">
        <v>1869</v>
      </c>
      <c r="Q147" s="297">
        <v>1874</v>
      </c>
      <c r="R147" s="297">
        <v>1845</v>
      </c>
      <c r="S147" s="297">
        <v>1841</v>
      </c>
      <c r="T147" s="297">
        <v>1863</v>
      </c>
      <c r="U147" s="297">
        <v>1837</v>
      </c>
      <c r="V147" s="297">
        <v>1950</v>
      </c>
      <c r="W147" s="91">
        <v>2100</v>
      </c>
      <c r="X147" s="49">
        <f t="shared" si="62"/>
        <v>15179</v>
      </c>
      <c r="Y147" s="463"/>
      <c r="Z147" s="463"/>
    </row>
    <row r="148" spans="1:26">
      <c r="A148" s="465">
        <f t="shared" si="50"/>
        <v>2025009</v>
      </c>
      <c r="B148" s="466"/>
      <c r="C148" s="654"/>
      <c r="D148" s="655"/>
      <c r="E148" s="655"/>
      <c r="F148" s="655"/>
      <c r="G148" s="655"/>
      <c r="H148" s="652"/>
      <c r="I148" s="652"/>
      <c r="J148" s="630"/>
      <c r="K148" s="190" t="s">
        <v>33</v>
      </c>
      <c r="L148" s="345">
        <f t="shared" ref="L148:X148" si="64">L137-L140</f>
        <v>0</v>
      </c>
      <c r="M148" s="412">
        <f t="shared" si="64"/>
        <v>0</v>
      </c>
      <c r="N148" s="412">
        <f t="shared" si="64"/>
        <v>0</v>
      </c>
      <c r="O148" s="412">
        <f t="shared" si="64"/>
        <v>0</v>
      </c>
      <c r="P148" s="412">
        <f t="shared" si="64"/>
        <v>237462</v>
      </c>
      <c r="Q148" s="412">
        <f t="shared" si="64"/>
        <v>238463</v>
      </c>
      <c r="R148" s="412">
        <f t="shared" si="64"/>
        <v>243718</v>
      </c>
      <c r="S148" s="412">
        <f t="shared" si="64"/>
        <v>244425</v>
      </c>
      <c r="T148" s="412">
        <f t="shared" si="64"/>
        <v>240383</v>
      </c>
      <c r="U148" s="412">
        <f t="shared" si="64"/>
        <v>245233</v>
      </c>
      <c r="V148" s="412">
        <f t="shared" si="64"/>
        <v>241817</v>
      </c>
      <c r="W148" s="101">
        <f t="shared" si="64"/>
        <v>226810</v>
      </c>
      <c r="X148" s="51">
        <f t="shared" si="64"/>
        <v>1918311</v>
      </c>
      <c r="Y148" s="463"/>
      <c r="Z148" s="463"/>
    </row>
    <row r="149" spans="1:26" ht="12.75" customHeight="1">
      <c r="A149" s="113">
        <v>2025008</v>
      </c>
      <c r="C149" s="641">
        <f>関西支店!C137+1</f>
        <v>12</v>
      </c>
      <c r="D149" s="644" t="s">
        <v>60</v>
      </c>
      <c r="E149" s="644"/>
      <c r="F149" s="644"/>
      <c r="G149" s="644"/>
      <c r="H149" s="647"/>
      <c r="I149" s="647"/>
      <c r="J149" s="628" t="s">
        <v>65</v>
      </c>
      <c r="K149" s="191" t="s">
        <v>23</v>
      </c>
      <c r="L149" s="342">
        <f t="shared" ref="L149:W149" si="65">L150+L151</f>
        <v>0</v>
      </c>
      <c r="M149" s="409">
        <f t="shared" si="65"/>
        <v>0</v>
      </c>
      <c r="N149" s="409">
        <f t="shared" si="65"/>
        <v>0</v>
      </c>
      <c r="O149" s="409">
        <f t="shared" si="65"/>
        <v>357750</v>
      </c>
      <c r="P149" s="409">
        <f t="shared" si="65"/>
        <v>325125</v>
      </c>
      <c r="Q149" s="409">
        <f t="shared" si="65"/>
        <v>361125</v>
      </c>
      <c r="R149" s="409">
        <f t="shared" si="65"/>
        <v>393750</v>
      </c>
      <c r="S149" s="409">
        <f t="shared" si="65"/>
        <v>313875</v>
      </c>
      <c r="T149" s="409">
        <f t="shared" si="65"/>
        <v>339750</v>
      </c>
      <c r="U149" s="409">
        <f t="shared" si="65"/>
        <v>329625</v>
      </c>
      <c r="V149" s="409">
        <f t="shared" si="65"/>
        <v>317250</v>
      </c>
      <c r="W149" s="97">
        <f t="shared" si="65"/>
        <v>337500</v>
      </c>
      <c r="X149" s="117">
        <f t="shared" ref="X149:X159" si="66">SUM(L149:W149)</f>
        <v>3075750</v>
      </c>
      <c r="Y149" s="463"/>
      <c r="Z149" s="463"/>
    </row>
    <row r="150" spans="1:26">
      <c r="A150" s="465">
        <f t="shared" si="50"/>
        <v>2025008</v>
      </c>
      <c r="B150" s="466">
        <f t="shared" ref="B150:B160" si="67">+B149</f>
        <v>0</v>
      </c>
      <c r="C150" s="642"/>
      <c r="D150" s="645"/>
      <c r="E150" s="645"/>
      <c r="F150" s="645"/>
      <c r="G150" s="645"/>
      <c r="H150" s="648"/>
      <c r="I150" s="648"/>
      <c r="J150" s="629"/>
      <c r="K150" s="187" t="s">
        <v>24</v>
      </c>
      <c r="L150" s="343"/>
      <c r="M150" s="297"/>
      <c r="N150" s="297"/>
      <c r="O150" s="297">
        <v>357750</v>
      </c>
      <c r="P150" s="297">
        <v>325125</v>
      </c>
      <c r="Q150" s="297">
        <v>361125</v>
      </c>
      <c r="R150" s="297">
        <v>393750</v>
      </c>
      <c r="S150" s="297">
        <v>313875</v>
      </c>
      <c r="T150" s="297">
        <v>339750</v>
      </c>
      <c r="U150" s="297">
        <v>329625</v>
      </c>
      <c r="V150" s="297">
        <v>317250</v>
      </c>
      <c r="W150" s="91">
        <f t="shared" ref="W150" si="68">2250*150</f>
        <v>337500</v>
      </c>
      <c r="X150" s="49">
        <f t="shared" si="66"/>
        <v>3075750</v>
      </c>
      <c r="Y150" s="463"/>
      <c r="Z150" s="463"/>
    </row>
    <row r="151" spans="1:26">
      <c r="A151" s="465">
        <f t="shared" si="50"/>
        <v>2025008</v>
      </c>
      <c r="B151" s="466">
        <f t="shared" si="67"/>
        <v>0</v>
      </c>
      <c r="C151" s="642"/>
      <c r="D151" s="645"/>
      <c r="E151" s="645"/>
      <c r="F151" s="645"/>
      <c r="G151" s="645"/>
      <c r="H151" s="648"/>
      <c r="I151" s="648"/>
      <c r="J151" s="629"/>
      <c r="K151" s="187" t="s">
        <v>25</v>
      </c>
      <c r="L151" s="343"/>
      <c r="M151" s="297"/>
      <c r="N151" s="297"/>
      <c r="O151" s="297"/>
      <c r="P151" s="297"/>
      <c r="Q151" s="297"/>
      <c r="R151" s="297"/>
      <c r="S151" s="297"/>
      <c r="T151" s="297"/>
      <c r="U151" s="297"/>
      <c r="V151" s="297"/>
      <c r="W151" s="98"/>
      <c r="X151" s="49">
        <f t="shared" si="66"/>
        <v>0</v>
      </c>
      <c r="Y151" s="463"/>
      <c r="Z151" s="463"/>
    </row>
    <row r="152" spans="1:26">
      <c r="A152" s="465">
        <f t="shared" si="50"/>
        <v>2025008</v>
      </c>
      <c r="B152" s="466">
        <f t="shared" si="67"/>
        <v>0</v>
      </c>
      <c r="C152" s="642"/>
      <c r="D152" s="645"/>
      <c r="E152" s="645"/>
      <c r="F152" s="645"/>
      <c r="G152" s="645"/>
      <c r="H152" s="648"/>
      <c r="I152" s="648"/>
      <c r="J152" s="629"/>
      <c r="K152" s="188" t="s">
        <v>26</v>
      </c>
      <c r="L152" s="344">
        <f t="shared" ref="L152:W152" si="69">SUM(L153:L159)</f>
        <v>0</v>
      </c>
      <c r="M152" s="411">
        <f t="shared" si="69"/>
        <v>0</v>
      </c>
      <c r="N152" s="411">
        <f t="shared" si="69"/>
        <v>0</v>
      </c>
      <c r="O152" s="411">
        <f t="shared" si="69"/>
        <v>281287</v>
      </c>
      <c r="P152" s="411">
        <f t="shared" si="69"/>
        <v>259806</v>
      </c>
      <c r="Q152" s="411">
        <f t="shared" si="69"/>
        <v>284734</v>
      </c>
      <c r="R152" s="411">
        <f t="shared" si="69"/>
        <v>305248</v>
      </c>
      <c r="S152" s="411">
        <f t="shared" si="69"/>
        <v>258864</v>
      </c>
      <c r="T152" s="411">
        <f t="shared" si="69"/>
        <v>289155</v>
      </c>
      <c r="U152" s="411">
        <f t="shared" si="69"/>
        <v>273687</v>
      </c>
      <c r="V152" s="411">
        <f t="shared" si="69"/>
        <v>266344</v>
      </c>
      <c r="W152" s="99">
        <f t="shared" si="69"/>
        <v>268074</v>
      </c>
      <c r="X152" s="50">
        <f t="shared" si="66"/>
        <v>2487199</v>
      </c>
      <c r="Y152" s="463"/>
      <c r="Z152" s="463"/>
    </row>
    <row r="153" spans="1:26">
      <c r="A153" s="465">
        <f t="shared" si="50"/>
        <v>2025008</v>
      </c>
      <c r="B153" s="466">
        <f t="shared" si="67"/>
        <v>0</v>
      </c>
      <c r="C153" s="642"/>
      <c r="D153" s="645"/>
      <c r="E153" s="645"/>
      <c r="F153" s="645"/>
      <c r="G153" s="645"/>
      <c r="H153" s="648"/>
      <c r="I153" s="648"/>
      <c r="J153" s="629"/>
      <c r="K153" s="189" t="s">
        <v>27</v>
      </c>
      <c r="L153" s="343"/>
      <c r="M153" s="297"/>
      <c r="N153" s="297"/>
      <c r="O153" s="297">
        <v>223213</v>
      </c>
      <c r="P153" s="297">
        <v>202875</v>
      </c>
      <c r="Q153" s="297">
        <v>226625</v>
      </c>
      <c r="R153" s="297">
        <v>246925</v>
      </c>
      <c r="S153" s="297">
        <v>204063</v>
      </c>
      <c r="T153" s="297">
        <v>231000</v>
      </c>
      <c r="U153" s="297">
        <v>216613</v>
      </c>
      <c r="V153" s="297">
        <v>210225</v>
      </c>
      <c r="W153" s="91">
        <f t="shared" ref="W153" si="70">1400*150</f>
        <v>210000</v>
      </c>
      <c r="X153" s="49">
        <f t="shared" si="66"/>
        <v>1971539</v>
      </c>
      <c r="Y153" s="463"/>
      <c r="Z153" s="463"/>
    </row>
    <row r="154" spans="1:26">
      <c r="A154" s="465">
        <f t="shared" si="50"/>
        <v>2025008</v>
      </c>
      <c r="B154" s="466">
        <f t="shared" si="67"/>
        <v>0</v>
      </c>
      <c r="C154" s="642"/>
      <c r="D154" s="645"/>
      <c r="E154" s="645"/>
      <c r="F154" s="645"/>
      <c r="G154" s="645"/>
      <c r="H154" s="648"/>
      <c r="I154" s="648"/>
      <c r="J154" s="629"/>
      <c r="K154" s="189" t="s">
        <v>34</v>
      </c>
      <c r="L154" s="343"/>
      <c r="M154" s="297"/>
      <c r="N154" s="297"/>
      <c r="O154" s="297"/>
      <c r="P154" s="297"/>
      <c r="Q154" s="297"/>
      <c r="R154" s="297"/>
      <c r="S154" s="297"/>
      <c r="T154" s="297"/>
      <c r="U154" s="297"/>
      <c r="V154" s="297"/>
      <c r="W154" s="91"/>
      <c r="X154" s="49">
        <f t="shared" si="66"/>
        <v>0</v>
      </c>
      <c r="Y154" s="463"/>
      <c r="Z154" s="463"/>
    </row>
    <row r="155" spans="1:26">
      <c r="A155" s="465">
        <f t="shared" si="50"/>
        <v>2025008</v>
      </c>
      <c r="B155" s="466">
        <f t="shared" si="67"/>
        <v>0</v>
      </c>
      <c r="C155" s="642"/>
      <c r="D155" s="645"/>
      <c r="E155" s="645"/>
      <c r="F155" s="645"/>
      <c r="G155" s="645"/>
      <c r="H155" s="648"/>
      <c r="I155" s="648"/>
      <c r="J155" s="629"/>
      <c r="K155" s="189" t="s">
        <v>28</v>
      </c>
      <c r="L155" s="343"/>
      <c r="M155" s="297"/>
      <c r="N155" s="297"/>
      <c r="O155" s="297">
        <v>20000</v>
      </c>
      <c r="P155" s="297">
        <v>19080</v>
      </c>
      <c r="Q155" s="297">
        <v>20000</v>
      </c>
      <c r="R155" s="297">
        <v>20000</v>
      </c>
      <c r="S155" s="297">
        <v>16960</v>
      </c>
      <c r="T155" s="297">
        <v>20000</v>
      </c>
      <c r="U155" s="297">
        <v>19080</v>
      </c>
      <c r="V155" s="297">
        <v>18020</v>
      </c>
      <c r="W155" s="91">
        <v>20000</v>
      </c>
      <c r="X155" s="49">
        <f t="shared" si="66"/>
        <v>173140</v>
      </c>
      <c r="Y155" s="463"/>
      <c r="Z155" s="463"/>
    </row>
    <row r="156" spans="1:26">
      <c r="A156" s="465">
        <f t="shared" si="50"/>
        <v>2025008</v>
      </c>
      <c r="B156" s="466">
        <f t="shared" si="67"/>
        <v>0</v>
      </c>
      <c r="C156" s="642"/>
      <c r="D156" s="645"/>
      <c r="E156" s="645"/>
      <c r="F156" s="645"/>
      <c r="G156" s="645"/>
      <c r="H156" s="648"/>
      <c r="I156" s="648"/>
      <c r="J156" s="629"/>
      <c r="K156" s="189" t="s">
        <v>29</v>
      </c>
      <c r="L156" s="343"/>
      <c r="M156" s="297"/>
      <c r="N156" s="297"/>
      <c r="O156" s="297">
        <v>13560</v>
      </c>
      <c r="P156" s="297">
        <v>13560</v>
      </c>
      <c r="Q156" s="297">
        <v>13560</v>
      </c>
      <c r="R156" s="297">
        <v>13560</v>
      </c>
      <c r="S156" s="297">
        <v>13560</v>
      </c>
      <c r="T156" s="297">
        <v>13560</v>
      </c>
      <c r="U156" s="297">
        <v>13560</v>
      </c>
      <c r="V156" s="297">
        <v>13560</v>
      </c>
      <c r="W156" s="91">
        <v>13560</v>
      </c>
      <c r="X156" s="49">
        <f t="shared" si="66"/>
        <v>122040</v>
      </c>
      <c r="Y156" s="463"/>
      <c r="Z156" s="463"/>
    </row>
    <row r="157" spans="1:26">
      <c r="A157" s="465">
        <f t="shared" si="50"/>
        <v>2025008</v>
      </c>
      <c r="B157" s="466">
        <f t="shared" si="67"/>
        <v>0</v>
      </c>
      <c r="C157" s="642"/>
      <c r="D157" s="645"/>
      <c r="E157" s="645"/>
      <c r="F157" s="645"/>
      <c r="G157" s="645"/>
      <c r="H157" s="648"/>
      <c r="I157" s="648"/>
      <c r="J157" s="629"/>
      <c r="K157" s="189" t="s">
        <v>30</v>
      </c>
      <c r="L157" s="343"/>
      <c r="M157" s="297"/>
      <c r="N157" s="297"/>
      <c r="O157" s="297">
        <v>21960</v>
      </c>
      <c r="P157" s="297">
        <v>21960</v>
      </c>
      <c r="Q157" s="297">
        <v>21960</v>
      </c>
      <c r="R157" s="297">
        <v>21960</v>
      </c>
      <c r="S157" s="297">
        <v>21960</v>
      </c>
      <c r="T157" s="297">
        <v>21960</v>
      </c>
      <c r="U157" s="297">
        <v>21960</v>
      </c>
      <c r="V157" s="297">
        <v>21960</v>
      </c>
      <c r="W157" s="91">
        <v>21960</v>
      </c>
      <c r="X157" s="49">
        <f t="shared" si="66"/>
        <v>197640</v>
      </c>
      <c r="Y157" s="463"/>
      <c r="Z157" s="463"/>
    </row>
    <row r="158" spans="1:26">
      <c r="A158" s="465">
        <f t="shared" si="50"/>
        <v>2025008</v>
      </c>
      <c r="B158" s="466">
        <f t="shared" si="67"/>
        <v>0</v>
      </c>
      <c r="C158" s="642"/>
      <c r="D158" s="645"/>
      <c r="E158" s="645"/>
      <c r="F158" s="645"/>
      <c r="G158" s="645"/>
      <c r="H158" s="648"/>
      <c r="I158" s="648"/>
      <c r="J158" s="629"/>
      <c r="K158" s="189" t="s">
        <v>31</v>
      </c>
      <c r="L158" s="343"/>
      <c r="M158" s="297"/>
      <c r="N158" s="297"/>
      <c r="O158" s="297">
        <v>1216</v>
      </c>
      <c r="P158" s="297">
        <v>1110</v>
      </c>
      <c r="Q158" s="297">
        <v>1233</v>
      </c>
      <c r="R158" s="297">
        <v>1335</v>
      </c>
      <c r="S158" s="297">
        <v>1105</v>
      </c>
      <c r="T158" s="297">
        <v>1255</v>
      </c>
      <c r="U158" s="297">
        <v>1178</v>
      </c>
      <c r="V158" s="297">
        <v>1228</v>
      </c>
      <c r="W158" s="91">
        <v>1216</v>
      </c>
      <c r="X158" s="49">
        <f t="shared" si="66"/>
        <v>10876</v>
      </c>
      <c r="Y158" s="463"/>
      <c r="Z158" s="463"/>
    </row>
    <row r="159" spans="1:26">
      <c r="A159" s="465">
        <f t="shared" si="50"/>
        <v>2025008</v>
      </c>
      <c r="B159" s="466">
        <f t="shared" si="67"/>
        <v>0</v>
      </c>
      <c r="C159" s="642"/>
      <c r="D159" s="645"/>
      <c r="E159" s="645"/>
      <c r="F159" s="645"/>
      <c r="G159" s="645"/>
      <c r="H159" s="648"/>
      <c r="I159" s="648"/>
      <c r="J159" s="629"/>
      <c r="K159" s="189" t="s">
        <v>32</v>
      </c>
      <c r="L159" s="343"/>
      <c r="M159" s="297"/>
      <c r="N159" s="297"/>
      <c r="O159" s="297">
        <v>1338</v>
      </c>
      <c r="P159" s="297">
        <v>1221</v>
      </c>
      <c r="Q159" s="297">
        <v>1356</v>
      </c>
      <c r="R159" s="297">
        <v>1468</v>
      </c>
      <c r="S159" s="297">
        <v>1216</v>
      </c>
      <c r="T159" s="297">
        <v>1380</v>
      </c>
      <c r="U159" s="297">
        <v>1296</v>
      </c>
      <c r="V159" s="297">
        <v>1351</v>
      </c>
      <c r="W159" s="91">
        <v>1338</v>
      </c>
      <c r="X159" s="49">
        <f t="shared" si="66"/>
        <v>11964</v>
      </c>
      <c r="Y159" s="463"/>
      <c r="Z159" s="463"/>
    </row>
    <row r="160" spans="1:26" ht="12.5" thickBot="1">
      <c r="A160" s="465">
        <f t="shared" si="50"/>
        <v>2025008</v>
      </c>
      <c r="B160" s="466">
        <f t="shared" si="67"/>
        <v>0</v>
      </c>
      <c r="C160" s="643"/>
      <c r="D160" s="646"/>
      <c r="E160" s="646"/>
      <c r="F160" s="646"/>
      <c r="G160" s="646"/>
      <c r="H160" s="649"/>
      <c r="I160" s="649"/>
      <c r="J160" s="631"/>
      <c r="K160" s="192" t="s">
        <v>33</v>
      </c>
      <c r="L160" s="349">
        <f t="shared" ref="L160:X160" si="71">L149-L152</f>
        <v>0</v>
      </c>
      <c r="M160" s="417">
        <f t="shared" si="71"/>
        <v>0</v>
      </c>
      <c r="N160" s="417">
        <f t="shared" si="71"/>
        <v>0</v>
      </c>
      <c r="O160" s="417">
        <f t="shared" si="71"/>
        <v>76463</v>
      </c>
      <c r="P160" s="417">
        <f t="shared" si="71"/>
        <v>65319</v>
      </c>
      <c r="Q160" s="417">
        <f t="shared" si="71"/>
        <v>76391</v>
      </c>
      <c r="R160" s="417">
        <f t="shared" si="71"/>
        <v>88502</v>
      </c>
      <c r="S160" s="417">
        <f t="shared" si="71"/>
        <v>55011</v>
      </c>
      <c r="T160" s="417">
        <f t="shared" si="71"/>
        <v>50595</v>
      </c>
      <c r="U160" s="417">
        <f t="shared" si="71"/>
        <v>55938</v>
      </c>
      <c r="V160" s="417">
        <f t="shared" si="71"/>
        <v>50906</v>
      </c>
      <c r="W160" s="105">
        <f t="shared" si="71"/>
        <v>69426</v>
      </c>
      <c r="X160" s="55">
        <f t="shared" si="71"/>
        <v>588551</v>
      </c>
      <c r="Y160" s="463"/>
      <c r="Z160" s="463"/>
    </row>
    <row r="161" spans="1:26" s="1" customFormat="1" ht="12.5" thickTop="1">
      <c r="A161" s="112"/>
      <c r="B161" s="72"/>
      <c r="C161" s="656" t="str">
        <f>C2</f>
        <v>関西支店</v>
      </c>
      <c r="D161" s="657"/>
      <c r="E161" s="657"/>
      <c r="F161" s="657"/>
      <c r="G161" s="657"/>
      <c r="H161" s="657"/>
      <c r="I161" s="657"/>
      <c r="J161" s="658"/>
      <c r="K161" s="185" t="s">
        <v>20</v>
      </c>
      <c r="L161" s="370">
        <f>L5+L17+L29+L41+L53+L65+L77+L89+L101+L113+L125+L137+L149</f>
        <v>5889090</v>
      </c>
      <c r="M161" s="370">
        <f t="shared" ref="M161:W161" si="72">M5+M17+M29+M41+M53+M65+M77+M89+M101+M113+M125+M137+M149</f>
        <v>5730205</v>
      </c>
      <c r="N161" s="370">
        <f t="shared" si="72"/>
        <v>5873915</v>
      </c>
      <c r="O161" s="370">
        <f t="shared" si="72"/>
        <v>6739310</v>
      </c>
      <c r="P161" s="370">
        <f t="shared" si="72"/>
        <v>6687320</v>
      </c>
      <c r="Q161" s="504">
        <f t="shared" si="72"/>
        <v>6848325</v>
      </c>
      <c r="R161" s="504">
        <f t="shared" si="72"/>
        <v>7151175</v>
      </c>
      <c r="S161" s="504">
        <f t="shared" si="72"/>
        <v>6571715</v>
      </c>
      <c r="T161" s="504">
        <f t="shared" si="72"/>
        <v>6927610</v>
      </c>
      <c r="U161" s="504">
        <f t="shared" si="72"/>
        <v>6621775</v>
      </c>
      <c r="V161" s="504">
        <f t="shared" si="72"/>
        <v>6433350</v>
      </c>
      <c r="W161" s="75">
        <f t="shared" si="72"/>
        <v>6652111.666666666</v>
      </c>
      <c r="X161" s="79">
        <f>SUM(L161:W161)</f>
        <v>78125901.666666672</v>
      </c>
      <c r="Y161" s="463"/>
      <c r="Z161" s="463"/>
    </row>
    <row r="162" spans="1:26" s="1" customFormat="1">
      <c r="A162" s="112"/>
      <c r="B162" s="72"/>
      <c r="C162" s="656"/>
      <c r="D162" s="657"/>
      <c r="E162" s="657"/>
      <c r="F162" s="657"/>
      <c r="G162" s="657"/>
      <c r="H162" s="657"/>
      <c r="I162" s="657"/>
      <c r="J162" s="658"/>
      <c r="K162" s="186" t="s">
        <v>21</v>
      </c>
      <c r="L162" s="350">
        <f>L8+L20+L32+L44+L56+L68+L80+L92+L104+L116+L128+L140+L152</f>
        <v>4783382</v>
      </c>
      <c r="M162" s="350">
        <f t="shared" ref="M162:W162" si="73">M8+M20+M32+M44+M56+M68+M80+M92+M104+M116+M128+M140+M152</f>
        <v>4635866</v>
      </c>
      <c r="N162" s="350">
        <f t="shared" si="73"/>
        <v>4798011</v>
      </c>
      <c r="O162" s="350">
        <f t="shared" si="73"/>
        <v>5344646</v>
      </c>
      <c r="P162" s="350">
        <f t="shared" si="73"/>
        <v>5503766</v>
      </c>
      <c r="Q162" s="419">
        <f t="shared" si="73"/>
        <v>5638676</v>
      </c>
      <c r="R162" s="419">
        <f t="shared" si="73"/>
        <v>5549070</v>
      </c>
      <c r="S162" s="419">
        <f t="shared" si="73"/>
        <v>5218175</v>
      </c>
      <c r="T162" s="419">
        <f t="shared" si="73"/>
        <v>5343375</v>
      </c>
      <c r="U162" s="419">
        <f t="shared" si="73"/>
        <v>5112012</v>
      </c>
      <c r="V162" s="419">
        <f t="shared" si="73"/>
        <v>5042344</v>
      </c>
      <c r="W162" s="71">
        <f t="shared" si="73"/>
        <v>5202936.277777778</v>
      </c>
      <c r="X162" s="53">
        <f t="shared" ref="X162:X166" si="74">SUM(L162:W162)</f>
        <v>62172259.277777776</v>
      </c>
      <c r="Y162" s="463"/>
      <c r="Z162" s="463"/>
    </row>
    <row r="163" spans="1:26" s="1" customFormat="1">
      <c r="A163" s="112"/>
      <c r="B163" s="72"/>
      <c r="C163" s="659"/>
      <c r="D163" s="660"/>
      <c r="E163" s="660"/>
      <c r="F163" s="660"/>
      <c r="G163" s="660"/>
      <c r="H163" s="660"/>
      <c r="I163" s="660"/>
      <c r="J163" s="661"/>
      <c r="K163" s="193" t="s">
        <v>22</v>
      </c>
      <c r="L163" s="351">
        <f>L161-L162</f>
        <v>1105708</v>
      </c>
      <c r="M163" s="420">
        <f t="shared" ref="M163:W163" si="75">M161-M162</f>
        <v>1094339</v>
      </c>
      <c r="N163" s="420">
        <f t="shared" si="75"/>
        <v>1075904</v>
      </c>
      <c r="O163" s="420">
        <f t="shared" si="75"/>
        <v>1394664</v>
      </c>
      <c r="P163" s="420">
        <f t="shared" si="75"/>
        <v>1183554</v>
      </c>
      <c r="Q163" s="420">
        <f t="shared" si="75"/>
        <v>1209649</v>
      </c>
      <c r="R163" s="420">
        <f t="shared" si="75"/>
        <v>1602105</v>
      </c>
      <c r="S163" s="420">
        <f t="shared" si="75"/>
        <v>1353540</v>
      </c>
      <c r="T163" s="420">
        <f t="shared" si="75"/>
        <v>1584235</v>
      </c>
      <c r="U163" s="420">
        <f t="shared" si="75"/>
        <v>1509763</v>
      </c>
      <c r="V163" s="420">
        <f t="shared" si="75"/>
        <v>1391006</v>
      </c>
      <c r="W163" s="83">
        <f t="shared" si="75"/>
        <v>1449175.3888888881</v>
      </c>
      <c r="X163" s="54">
        <f t="shared" si="74"/>
        <v>15953642.388888888</v>
      </c>
      <c r="Y163" s="463"/>
      <c r="Z163" s="463"/>
    </row>
    <row r="164" spans="1:26">
      <c r="K164" s="128" t="s">
        <v>74</v>
      </c>
      <c r="L164" s="706">
        <f>SUM(L161:N161)</f>
        <v>17493210</v>
      </c>
      <c r="M164" s="707"/>
      <c r="N164" s="707"/>
      <c r="O164" s="707">
        <f t="shared" ref="O164:O165" si="76">SUM(O161:Q161)</f>
        <v>20274955</v>
      </c>
      <c r="P164" s="707"/>
      <c r="Q164" s="707"/>
      <c r="R164" s="707">
        <f t="shared" ref="R164:R165" si="77">SUM(R161:T161)</f>
        <v>20650500</v>
      </c>
      <c r="S164" s="707"/>
      <c r="T164" s="707"/>
      <c r="U164" s="707">
        <f t="shared" ref="U164:U165" si="78">SUM(U161:W161)</f>
        <v>19707236.666666664</v>
      </c>
      <c r="V164" s="707"/>
      <c r="W164" s="708"/>
      <c r="X164" s="468">
        <f t="shared" si="74"/>
        <v>78125901.666666657</v>
      </c>
      <c r="Y164" s="463"/>
      <c r="Z164" s="463"/>
    </row>
    <row r="165" spans="1:26">
      <c r="K165" s="130" t="s">
        <v>77</v>
      </c>
      <c r="L165" s="710">
        <f>SUM(L162:N162)</f>
        <v>14217259</v>
      </c>
      <c r="M165" s="711"/>
      <c r="N165" s="711"/>
      <c r="O165" s="711">
        <f t="shared" si="76"/>
        <v>16487088</v>
      </c>
      <c r="P165" s="711"/>
      <c r="Q165" s="711"/>
      <c r="R165" s="711">
        <f t="shared" si="77"/>
        <v>16110620</v>
      </c>
      <c r="S165" s="711"/>
      <c r="T165" s="711"/>
      <c r="U165" s="711">
        <f t="shared" si="78"/>
        <v>15357292.277777778</v>
      </c>
      <c r="V165" s="711"/>
      <c r="W165" s="712"/>
      <c r="X165" s="469">
        <f t="shared" si="74"/>
        <v>62172259.277777776</v>
      </c>
      <c r="Y165" s="463"/>
      <c r="Z165" s="463"/>
    </row>
    <row r="166" spans="1:26">
      <c r="K166" s="6" t="s">
        <v>75</v>
      </c>
      <c r="L166" s="709">
        <f>SUM(L163:N163)</f>
        <v>3275951</v>
      </c>
      <c r="M166" s="704"/>
      <c r="N166" s="704"/>
      <c r="O166" s="704">
        <f>SUM(O163:Q163)</f>
        <v>3787867</v>
      </c>
      <c r="P166" s="704"/>
      <c r="Q166" s="704"/>
      <c r="R166" s="704">
        <f>SUM(R163:T163)</f>
        <v>4539880</v>
      </c>
      <c r="S166" s="704"/>
      <c r="T166" s="704"/>
      <c r="U166" s="704">
        <f>SUM(U163:W163)</f>
        <v>4349944.3888888881</v>
      </c>
      <c r="V166" s="704"/>
      <c r="W166" s="705"/>
      <c r="X166" s="470">
        <f t="shared" si="74"/>
        <v>15953642.388888888</v>
      </c>
      <c r="Z166" s="463"/>
    </row>
    <row r="167" spans="1:26">
      <c r="Z167" s="463"/>
    </row>
    <row r="168" spans="1:26">
      <c r="Z168" s="463"/>
    </row>
    <row r="169" spans="1:26">
      <c r="Z169" s="463"/>
    </row>
    <row r="170" spans="1:26">
      <c r="Z170" s="463"/>
    </row>
    <row r="171" spans="1:26">
      <c r="Z171" s="463"/>
    </row>
    <row r="172" spans="1:26">
      <c r="Z172" s="463"/>
    </row>
    <row r="173" spans="1:26">
      <c r="Z173" s="463"/>
    </row>
    <row r="174" spans="1:26">
      <c r="Z174" s="463"/>
    </row>
    <row r="175" spans="1:26">
      <c r="Z175" s="463"/>
    </row>
    <row r="176" spans="1:26">
      <c r="Z176" s="463"/>
    </row>
    <row r="177" spans="26:26">
      <c r="Z177" s="463"/>
    </row>
    <row r="178" spans="26:26">
      <c r="Z178" s="463"/>
    </row>
    <row r="179" spans="26:26">
      <c r="Z179" s="463"/>
    </row>
    <row r="180" spans="26:26">
      <c r="Z180" s="463"/>
    </row>
    <row r="181" spans="26:26">
      <c r="Z181" s="463"/>
    </row>
    <row r="182" spans="26:26">
      <c r="Z182" s="463"/>
    </row>
    <row r="183" spans="26:26">
      <c r="Z183" s="463"/>
    </row>
    <row r="184" spans="26:26">
      <c r="Z184" s="463"/>
    </row>
    <row r="185" spans="26:26">
      <c r="Z185" s="463"/>
    </row>
    <row r="186" spans="26:26">
      <c r="Z186" s="463"/>
    </row>
    <row r="187" spans="26:26">
      <c r="Z187" s="463"/>
    </row>
    <row r="188" spans="26:26">
      <c r="Z188" s="463"/>
    </row>
    <row r="189" spans="26:26">
      <c r="Z189" s="463"/>
    </row>
    <row r="190" spans="26:26">
      <c r="Z190" s="463"/>
    </row>
    <row r="191" spans="26:26">
      <c r="Z191" s="463"/>
    </row>
    <row r="192" spans="26:26">
      <c r="Z192" s="463"/>
    </row>
    <row r="193" spans="26:26">
      <c r="Z193" s="463"/>
    </row>
    <row r="194" spans="26:26">
      <c r="Z194" s="463"/>
    </row>
    <row r="195" spans="26:26">
      <c r="Z195" s="463"/>
    </row>
    <row r="196" spans="26:26">
      <c r="Z196" s="463"/>
    </row>
    <row r="197" spans="26:26">
      <c r="Z197" s="463"/>
    </row>
    <row r="198" spans="26:26">
      <c r="Z198" s="463"/>
    </row>
    <row r="199" spans="26:26">
      <c r="Z199" s="463"/>
    </row>
    <row r="200" spans="26:26">
      <c r="Z200" s="463"/>
    </row>
    <row r="201" spans="26:26">
      <c r="Z201" s="463"/>
    </row>
    <row r="202" spans="26:26">
      <c r="Z202" s="463"/>
    </row>
    <row r="203" spans="26:26">
      <c r="Z203" s="463"/>
    </row>
    <row r="204" spans="26:26">
      <c r="Z204" s="463"/>
    </row>
    <row r="205" spans="26:26">
      <c r="Z205" s="463"/>
    </row>
    <row r="206" spans="26:26">
      <c r="Z206" s="463"/>
    </row>
    <row r="207" spans="26:26">
      <c r="Z207" s="463"/>
    </row>
    <row r="208" spans="26:26">
      <c r="Z208" s="463"/>
    </row>
    <row r="209" spans="26:26">
      <c r="Z209" s="463"/>
    </row>
    <row r="210" spans="26:26">
      <c r="Z210" s="463"/>
    </row>
    <row r="211" spans="26:26">
      <c r="Z211" s="463"/>
    </row>
    <row r="212" spans="26:26">
      <c r="Z212" s="463"/>
    </row>
    <row r="213" spans="26:26">
      <c r="Z213" s="463"/>
    </row>
    <row r="214" spans="26:26">
      <c r="Z214" s="463"/>
    </row>
    <row r="215" spans="26:26">
      <c r="Z215" s="463"/>
    </row>
    <row r="216" spans="26:26">
      <c r="Z216" s="463"/>
    </row>
    <row r="217" spans="26:26">
      <c r="Z217" s="463"/>
    </row>
    <row r="218" spans="26:26">
      <c r="Z218" s="463"/>
    </row>
    <row r="219" spans="26:26">
      <c r="Z219" s="463"/>
    </row>
    <row r="220" spans="26:26">
      <c r="Z220" s="463"/>
    </row>
    <row r="221" spans="26:26">
      <c r="Z221" s="463"/>
    </row>
    <row r="222" spans="26:26">
      <c r="Z222" s="463"/>
    </row>
    <row r="223" spans="26:26">
      <c r="Z223" s="463"/>
    </row>
    <row r="224" spans="26:26">
      <c r="Z224" s="463"/>
    </row>
    <row r="225" spans="26:26">
      <c r="Z225" s="463"/>
    </row>
    <row r="226" spans="26:26">
      <c r="Z226" s="463"/>
    </row>
    <row r="227" spans="26:26">
      <c r="Z227" s="463"/>
    </row>
    <row r="228" spans="26:26">
      <c r="Z228" s="463"/>
    </row>
    <row r="229" spans="26:26">
      <c r="Z229" s="463"/>
    </row>
    <row r="230" spans="26:26">
      <c r="Z230" s="463"/>
    </row>
    <row r="231" spans="26:26">
      <c r="Z231" s="463"/>
    </row>
    <row r="232" spans="26:26">
      <c r="Z232" s="463"/>
    </row>
    <row r="233" spans="26:26">
      <c r="Z233" s="463"/>
    </row>
    <row r="234" spans="26:26">
      <c r="Z234" s="463"/>
    </row>
    <row r="235" spans="26:26">
      <c r="Z235" s="463"/>
    </row>
    <row r="236" spans="26:26">
      <c r="Z236" s="463"/>
    </row>
    <row r="237" spans="26:26">
      <c r="Z237" s="463"/>
    </row>
    <row r="238" spans="26:26">
      <c r="Z238" s="463"/>
    </row>
    <row r="239" spans="26:26">
      <c r="Z239" s="463"/>
    </row>
    <row r="240" spans="26:26">
      <c r="Z240" s="463"/>
    </row>
    <row r="241" spans="26:26">
      <c r="Z241" s="463"/>
    </row>
    <row r="242" spans="26:26">
      <c r="Z242" s="463"/>
    </row>
    <row r="243" spans="26:26">
      <c r="Z243" s="463"/>
    </row>
    <row r="244" spans="26:26">
      <c r="Z244" s="463"/>
    </row>
    <row r="245" spans="26:26">
      <c r="Z245" s="463"/>
    </row>
    <row r="246" spans="26:26">
      <c r="Z246" s="463"/>
    </row>
    <row r="247" spans="26:26">
      <c r="Z247" s="463"/>
    </row>
    <row r="248" spans="26:26">
      <c r="Z248" s="463"/>
    </row>
    <row r="249" spans="26:26">
      <c r="Z249" s="463"/>
    </row>
    <row r="250" spans="26:26">
      <c r="Z250" s="463"/>
    </row>
    <row r="251" spans="26:26">
      <c r="Z251" s="463"/>
    </row>
    <row r="252" spans="26:26">
      <c r="Z252" s="463"/>
    </row>
    <row r="253" spans="26:26">
      <c r="Z253" s="463"/>
    </row>
    <row r="254" spans="26:26">
      <c r="Z254" s="463"/>
    </row>
    <row r="255" spans="26:26">
      <c r="Z255" s="463"/>
    </row>
    <row r="256" spans="26:26">
      <c r="Z256" s="463"/>
    </row>
    <row r="257" spans="26:26">
      <c r="Z257" s="463"/>
    </row>
    <row r="258" spans="26:26">
      <c r="Z258" s="463"/>
    </row>
    <row r="259" spans="26:26">
      <c r="Z259" s="463"/>
    </row>
    <row r="260" spans="26:26">
      <c r="Z260" s="463"/>
    </row>
    <row r="261" spans="26:26">
      <c r="Z261" s="463"/>
    </row>
    <row r="262" spans="26:26">
      <c r="Z262" s="463"/>
    </row>
    <row r="263" spans="26:26">
      <c r="Z263" s="463"/>
    </row>
    <row r="264" spans="26:26">
      <c r="Z264" s="463"/>
    </row>
    <row r="265" spans="26:26">
      <c r="Z265" s="463"/>
    </row>
    <row r="266" spans="26:26">
      <c r="Z266" s="463"/>
    </row>
    <row r="267" spans="26:26">
      <c r="Z267" s="463"/>
    </row>
    <row r="268" spans="26:26">
      <c r="Z268" s="463"/>
    </row>
    <row r="269" spans="26:26">
      <c r="Z269" s="463"/>
    </row>
    <row r="270" spans="26:26">
      <c r="Z270" s="463"/>
    </row>
    <row r="271" spans="26:26">
      <c r="Z271" s="463"/>
    </row>
    <row r="272" spans="26:26">
      <c r="Z272" s="463"/>
    </row>
    <row r="273" spans="26:26">
      <c r="Z273" s="463"/>
    </row>
    <row r="274" spans="26:26">
      <c r="Z274" s="463"/>
    </row>
    <row r="275" spans="26:26">
      <c r="Z275" s="463"/>
    </row>
    <row r="276" spans="26:26">
      <c r="Z276" s="463"/>
    </row>
    <row r="277" spans="26:26">
      <c r="Z277" s="463"/>
    </row>
    <row r="278" spans="26:26">
      <c r="Z278" s="463"/>
    </row>
    <row r="279" spans="26:26">
      <c r="Z279" s="463"/>
    </row>
    <row r="280" spans="26:26">
      <c r="Z280" s="463"/>
    </row>
    <row r="281" spans="26:26">
      <c r="Z281" s="463"/>
    </row>
    <row r="282" spans="26:26">
      <c r="Z282" s="463"/>
    </row>
    <row r="283" spans="26:26">
      <c r="Z283" s="463"/>
    </row>
    <row r="284" spans="26:26">
      <c r="Z284" s="463"/>
    </row>
    <row r="285" spans="26:26">
      <c r="Z285" s="463"/>
    </row>
    <row r="286" spans="26:26">
      <c r="Z286" s="463"/>
    </row>
    <row r="287" spans="26:26">
      <c r="Z287" s="463"/>
    </row>
    <row r="288" spans="26:26">
      <c r="Z288" s="463"/>
    </row>
    <row r="289" spans="26:26">
      <c r="Z289" s="463"/>
    </row>
    <row r="290" spans="26:26">
      <c r="Z290" s="463"/>
    </row>
    <row r="291" spans="26:26">
      <c r="Z291" s="463"/>
    </row>
    <row r="292" spans="26:26">
      <c r="Z292" s="463"/>
    </row>
    <row r="293" spans="26:26">
      <c r="Z293" s="463"/>
    </row>
    <row r="294" spans="26:26">
      <c r="Z294" s="463"/>
    </row>
    <row r="295" spans="26:26">
      <c r="Z295" s="463"/>
    </row>
    <row r="296" spans="26:26">
      <c r="Z296" s="463"/>
    </row>
    <row r="297" spans="26:26">
      <c r="Z297" s="463"/>
    </row>
    <row r="298" spans="26:26">
      <c r="Z298" s="463"/>
    </row>
    <row r="299" spans="26:26">
      <c r="Z299" s="463"/>
    </row>
    <row r="300" spans="26:26">
      <c r="Z300" s="463"/>
    </row>
    <row r="301" spans="26:26">
      <c r="Z301" s="463"/>
    </row>
    <row r="302" spans="26:26">
      <c r="Z302" s="463"/>
    </row>
    <row r="303" spans="26:26">
      <c r="Z303" s="463"/>
    </row>
    <row r="304" spans="26:26">
      <c r="Z304" s="463"/>
    </row>
    <row r="305" spans="26:26">
      <c r="Z305" s="463"/>
    </row>
    <row r="306" spans="26:26">
      <c r="Z306" s="463"/>
    </row>
    <row r="307" spans="26:26">
      <c r="Z307" s="463"/>
    </row>
    <row r="308" spans="26:26">
      <c r="Z308" s="463"/>
    </row>
    <row r="309" spans="26:26">
      <c r="Z309" s="463"/>
    </row>
    <row r="310" spans="26:26">
      <c r="Z310" s="463"/>
    </row>
    <row r="311" spans="26:26">
      <c r="Z311" s="463"/>
    </row>
    <row r="312" spans="26:26">
      <c r="Z312" s="463"/>
    </row>
    <row r="313" spans="26:26">
      <c r="Z313" s="463"/>
    </row>
    <row r="314" spans="26:26">
      <c r="Z314" s="463"/>
    </row>
    <row r="315" spans="26:26">
      <c r="Z315" s="463"/>
    </row>
    <row r="316" spans="26:26">
      <c r="Z316" s="463"/>
    </row>
    <row r="317" spans="26:26">
      <c r="Z317" s="463"/>
    </row>
    <row r="318" spans="26:26">
      <c r="Z318" s="463"/>
    </row>
    <row r="319" spans="26:26">
      <c r="Z319" s="463"/>
    </row>
    <row r="320" spans="26:26">
      <c r="Z320" s="463"/>
    </row>
    <row r="321" spans="26:26">
      <c r="Z321" s="463"/>
    </row>
    <row r="322" spans="26:26">
      <c r="Z322" s="463"/>
    </row>
    <row r="323" spans="26:26">
      <c r="Z323" s="463"/>
    </row>
    <row r="324" spans="26:26">
      <c r="Z324" s="463"/>
    </row>
    <row r="325" spans="26:26">
      <c r="Z325" s="463"/>
    </row>
    <row r="326" spans="26:26">
      <c r="Z326" s="463"/>
    </row>
    <row r="327" spans="26:26">
      <c r="Z327" s="463"/>
    </row>
    <row r="328" spans="26:26">
      <c r="Z328" s="463"/>
    </row>
    <row r="329" spans="26:26">
      <c r="Z329" s="463"/>
    </row>
    <row r="330" spans="26:26">
      <c r="Z330" s="463"/>
    </row>
    <row r="331" spans="26:26">
      <c r="Z331" s="463"/>
    </row>
    <row r="332" spans="26:26">
      <c r="Z332" s="463"/>
    </row>
    <row r="333" spans="26:26">
      <c r="Z333" s="463"/>
    </row>
    <row r="334" spans="26:26">
      <c r="Z334" s="463"/>
    </row>
    <row r="335" spans="26:26">
      <c r="Z335" s="463"/>
    </row>
    <row r="336" spans="26:26">
      <c r="Z336" s="463"/>
    </row>
    <row r="337" spans="26:26">
      <c r="Z337" s="463"/>
    </row>
    <row r="338" spans="26:26">
      <c r="Z338" s="463"/>
    </row>
    <row r="339" spans="26:26">
      <c r="Z339" s="463"/>
    </row>
    <row r="340" spans="26:26">
      <c r="Z340" s="463"/>
    </row>
    <row r="341" spans="26:26">
      <c r="Z341" s="463"/>
    </row>
    <row r="342" spans="26:26">
      <c r="Z342" s="463"/>
    </row>
    <row r="343" spans="26:26">
      <c r="Z343" s="463"/>
    </row>
    <row r="344" spans="26:26">
      <c r="Z344" s="463"/>
    </row>
    <row r="345" spans="26:26">
      <c r="Z345" s="463"/>
    </row>
    <row r="346" spans="26:26">
      <c r="Z346" s="463"/>
    </row>
    <row r="347" spans="26:26">
      <c r="Z347" s="463"/>
    </row>
    <row r="348" spans="26:26">
      <c r="Z348" s="463"/>
    </row>
    <row r="349" spans="26:26">
      <c r="Z349" s="463"/>
    </row>
    <row r="350" spans="26:26">
      <c r="Z350" s="463"/>
    </row>
    <row r="351" spans="26:26">
      <c r="Z351" s="463"/>
    </row>
    <row r="352" spans="26:26">
      <c r="Z352" s="463"/>
    </row>
    <row r="353" spans="26:26">
      <c r="Z353" s="463"/>
    </row>
    <row r="354" spans="26:26">
      <c r="Z354" s="463"/>
    </row>
    <row r="355" spans="26:26">
      <c r="Z355" s="463"/>
    </row>
    <row r="356" spans="26:26">
      <c r="Z356" s="463"/>
    </row>
    <row r="357" spans="26:26">
      <c r="Z357" s="463"/>
    </row>
    <row r="358" spans="26:26">
      <c r="Z358" s="463"/>
    </row>
    <row r="359" spans="26:26">
      <c r="Z359" s="463"/>
    </row>
    <row r="360" spans="26:26">
      <c r="Z360" s="463"/>
    </row>
    <row r="361" spans="26:26">
      <c r="Z361" s="463"/>
    </row>
    <row r="362" spans="26:26">
      <c r="Z362" s="463"/>
    </row>
    <row r="363" spans="26:26">
      <c r="Z363" s="463"/>
    </row>
    <row r="364" spans="26:26">
      <c r="Z364" s="463"/>
    </row>
    <row r="365" spans="26:26">
      <c r="Z365" s="463"/>
    </row>
    <row r="366" spans="26:26">
      <c r="Z366" s="463"/>
    </row>
    <row r="367" spans="26:26">
      <c r="Z367" s="463"/>
    </row>
    <row r="368" spans="26:26">
      <c r="Z368" s="463"/>
    </row>
    <row r="369" spans="26:26">
      <c r="Z369" s="463"/>
    </row>
    <row r="370" spans="26:26">
      <c r="Z370" s="463"/>
    </row>
    <row r="371" spans="26:26">
      <c r="Z371" s="463"/>
    </row>
    <row r="372" spans="26:26">
      <c r="Z372" s="463"/>
    </row>
    <row r="373" spans="26:26">
      <c r="Z373" s="463"/>
    </row>
    <row r="374" spans="26:26">
      <c r="Z374" s="463"/>
    </row>
    <row r="375" spans="26:26">
      <c r="Z375" s="463"/>
    </row>
    <row r="376" spans="26:26">
      <c r="Z376" s="463"/>
    </row>
    <row r="377" spans="26:26">
      <c r="Z377" s="463"/>
    </row>
    <row r="378" spans="26:26">
      <c r="Z378" s="463"/>
    </row>
    <row r="379" spans="26:26">
      <c r="Z379" s="463"/>
    </row>
    <row r="380" spans="26:26">
      <c r="Z380" s="463"/>
    </row>
    <row r="381" spans="26:26">
      <c r="Z381" s="463"/>
    </row>
    <row r="382" spans="26:26">
      <c r="Z382" s="463"/>
    </row>
    <row r="383" spans="26:26">
      <c r="Z383" s="463"/>
    </row>
    <row r="384" spans="26:26">
      <c r="Z384" s="463"/>
    </row>
    <row r="385" spans="26:26">
      <c r="Z385" s="463"/>
    </row>
    <row r="386" spans="26:26">
      <c r="Z386" s="463"/>
    </row>
    <row r="387" spans="26:26">
      <c r="Z387" s="463"/>
    </row>
    <row r="388" spans="26:26">
      <c r="Z388" s="463"/>
    </row>
    <row r="389" spans="26:26">
      <c r="Z389" s="463"/>
    </row>
    <row r="390" spans="26:26">
      <c r="Z390" s="463"/>
    </row>
    <row r="391" spans="26:26">
      <c r="Z391" s="463"/>
    </row>
    <row r="392" spans="26:26">
      <c r="Z392" s="463"/>
    </row>
    <row r="393" spans="26:26">
      <c r="Z393" s="463"/>
    </row>
    <row r="394" spans="26:26">
      <c r="Z394" s="463"/>
    </row>
    <row r="395" spans="26:26">
      <c r="Z395" s="463"/>
    </row>
    <row r="396" spans="26:26">
      <c r="Z396" s="463"/>
    </row>
    <row r="397" spans="26:26">
      <c r="Z397" s="463"/>
    </row>
    <row r="398" spans="26:26">
      <c r="Z398" s="463"/>
    </row>
    <row r="399" spans="26:26">
      <c r="Z399" s="463"/>
    </row>
    <row r="400" spans="26:26">
      <c r="Z400" s="463"/>
    </row>
    <row r="401" spans="26:26">
      <c r="Z401" s="463"/>
    </row>
    <row r="402" spans="26:26">
      <c r="Z402" s="463"/>
    </row>
    <row r="403" spans="26:26">
      <c r="Z403" s="463"/>
    </row>
    <row r="404" spans="26:26">
      <c r="Z404" s="463"/>
    </row>
    <row r="405" spans="26:26">
      <c r="Z405" s="463"/>
    </row>
    <row r="406" spans="26:26">
      <c r="Z406" s="463"/>
    </row>
    <row r="407" spans="26:26">
      <c r="Z407" s="463"/>
    </row>
    <row r="408" spans="26:26">
      <c r="Z408" s="463"/>
    </row>
    <row r="409" spans="26:26">
      <c r="Z409" s="463"/>
    </row>
    <row r="410" spans="26:26">
      <c r="Z410" s="463"/>
    </row>
    <row r="411" spans="26:26">
      <c r="Z411" s="463"/>
    </row>
    <row r="412" spans="26:26">
      <c r="Z412" s="463"/>
    </row>
    <row r="413" spans="26:26">
      <c r="Z413" s="463"/>
    </row>
    <row r="414" spans="26:26">
      <c r="Z414" s="463"/>
    </row>
    <row r="415" spans="26:26">
      <c r="Z415" s="463"/>
    </row>
    <row r="416" spans="26:26">
      <c r="Z416" s="463"/>
    </row>
    <row r="417" spans="26:26">
      <c r="Z417" s="463"/>
    </row>
    <row r="418" spans="26:26">
      <c r="Z418" s="463"/>
    </row>
    <row r="419" spans="26:26">
      <c r="Z419" s="463"/>
    </row>
    <row r="420" spans="26:26">
      <c r="Z420" s="463"/>
    </row>
    <row r="421" spans="26:26">
      <c r="Z421" s="463"/>
    </row>
    <row r="422" spans="26:26">
      <c r="Z422" s="463"/>
    </row>
    <row r="423" spans="26:26">
      <c r="Z423" s="463"/>
    </row>
    <row r="424" spans="26:26">
      <c r="Z424" s="463"/>
    </row>
    <row r="425" spans="26:26">
      <c r="Z425" s="463"/>
    </row>
    <row r="426" spans="26:26">
      <c r="Z426" s="463"/>
    </row>
    <row r="427" spans="26:26">
      <c r="Z427" s="463"/>
    </row>
    <row r="428" spans="26:26">
      <c r="Z428" s="463"/>
    </row>
    <row r="429" spans="26:26">
      <c r="Z429" s="463"/>
    </row>
    <row r="430" spans="26:26">
      <c r="Z430" s="463"/>
    </row>
    <row r="431" spans="26:26">
      <c r="Z431" s="463"/>
    </row>
    <row r="432" spans="26:26">
      <c r="Z432" s="463"/>
    </row>
    <row r="433" spans="26:26">
      <c r="Z433" s="463"/>
    </row>
    <row r="434" spans="26:26">
      <c r="Z434" s="463"/>
    </row>
    <row r="435" spans="26:26">
      <c r="Z435" s="463"/>
    </row>
    <row r="436" spans="26:26">
      <c r="Z436" s="463"/>
    </row>
    <row r="437" spans="26:26">
      <c r="Z437" s="463"/>
    </row>
    <row r="438" spans="26:26">
      <c r="Z438" s="463"/>
    </row>
    <row r="439" spans="26:26">
      <c r="Z439" s="463"/>
    </row>
    <row r="440" spans="26:26">
      <c r="Z440" s="463"/>
    </row>
    <row r="441" spans="26:26">
      <c r="Z441" s="463"/>
    </row>
    <row r="442" spans="26:26">
      <c r="Z442" s="463"/>
    </row>
    <row r="443" spans="26:26">
      <c r="Z443" s="463"/>
    </row>
    <row r="444" spans="26:26">
      <c r="Z444" s="463"/>
    </row>
    <row r="445" spans="26:26">
      <c r="Z445" s="463"/>
    </row>
    <row r="446" spans="26:26">
      <c r="Z446" s="463"/>
    </row>
    <row r="447" spans="26:26">
      <c r="Z447" s="463"/>
    </row>
    <row r="448" spans="26:26">
      <c r="Z448" s="463"/>
    </row>
    <row r="449" spans="26:26">
      <c r="Z449" s="463"/>
    </row>
    <row r="450" spans="26:26">
      <c r="Z450" s="463"/>
    </row>
    <row r="451" spans="26:26">
      <c r="Z451" s="463"/>
    </row>
    <row r="452" spans="26:26">
      <c r="Z452" s="463"/>
    </row>
    <row r="453" spans="26:26">
      <c r="Z453" s="463"/>
    </row>
    <row r="454" spans="26:26">
      <c r="Z454" s="463"/>
    </row>
    <row r="455" spans="26:26">
      <c r="Z455" s="463"/>
    </row>
    <row r="456" spans="26:26">
      <c r="Z456" s="463"/>
    </row>
    <row r="457" spans="26:26">
      <c r="Z457" s="463"/>
    </row>
    <row r="458" spans="26:26">
      <c r="Z458" s="463"/>
    </row>
    <row r="459" spans="26:26">
      <c r="Z459" s="463"/>
    </row>
    <row r="460" spans="26:26">
      <c r="Z460" s="463"/>
    </row>
    <row r="461" spans="26:26">
      <c r="Z461" s="463"/>
    </row>
    <row r="462" spans="26:26">
      <c r="Z462" s="463"/>
    </row>
    <row r="463" spans="26:26">
      <c r="Z463" s="463"/>
    </row>
    <row r="464" spans="26:26">
      <c r="Z464" s="463"/>
    </row>
    <row r="465" spans="26:26">
      <c r="Z465" s="463"/>
    </row>
    <row r="466" spans="26:26">
      <c r="Z466" s="463"/>
    </row>
    <row r="467" spans="26:26">
      <c r="Z467" s="463"/>
    </row>
    <row r="468" spans="26:26">
      <c r="Z468" s="463"/>
    </row>
    <row r="469" spans="26:26">
      <c r="Z469" s="463"/>
    </row>
    <row r="470" spans="26:26">
      <c r="Z470" s="463"/>
    </row>
    <row r="471" spans="26:26">
      <c r="Z471" s="463"/>
    </row>
    <row r="472" spans="26:26">
      <c r="Z472" s="463"/>
    </row>
    <row r="473" spans="26:26">
      <c r="Z473" s="463"/>
    </row>
    <row r="474" spans="26:26">
      <c r="Z474" s="463"/>
    </row>
    <row r="475" spans="26:26">
      <c r="Z475" s="463"/>
    </row>
    <row r="476" spans="26:26">
      <c r="Z476" s="463"/>
    </row>
    <row r="477" spans="26:26">
      <c r="Z477" s="463"/>
    </row>
    <row r="478" spans="26:26">
      <c r="Z478" s="463"/>
    </row>
    <row r="479" spans="26:26">
      <c r="Z479" s="463"/>
    </row>
    <row r="480" spans="26:26">
      <c r="Z480" s="463"/>
    </row>
    <row r="481" spans="26:26">
      <c r="Z481" s="463"/>
    </row>
    <row r="482" spans="26:26">
      <c r="Z482" s="463"/>
    </row>
    <row r="483" spans="26:26">
      <c r="Z483" s="463"/>
    </row>
    <row r="484" spans="26:26">
      <c r="Z484" s="463"/>
    </row>
    <row r="485" spans="26:26">
      <c r="Z485" s="463"/>
    </row>
    <row r="486" spans="26:26">
      <c r="Z486" s="463"/>
    </row>
    <row r="487" spans="26:26">
      <c r="Z487" s="463"/>
    </row>
    <row r="488" spans="26:26">
      <c r="Z488" s="463"/>
    </row>
    <row r="489" spans="26:26">
      <c r="Z489" s="463"/>
    </row>
    <row r="490" spans="26:26">
      <c r="Z490" s="463"/>
    </row>
    <row r="491" spans="26:26">
      <c r="Z491" s="463"/>
    </row>
    <row r="492" spans="26:26">
      <c r="Z492" s="463"/>
    </row>
    <row r="493" spans="26:26">
      <c r="Z493" s="463"/>
    </row>
    <row r="494" spans="26:26">
      <c r="Z494" s="463"/>
    </row>
    <row r="495" spans="26:26">
      <c r="Z495" s="463"/>
    </row>
    <row r="496" spans="26:26">
      <c r="Z496" s="463"/>
    </row>
    <row r="497" spans="26:26">
      <c r="Z497" s="463"/>
    </row>
    <row r="498" spans="26:26">
      <c r="Z498" s="463"/>
    </row>
    <row r="499" spans="26:26">
      <c r="Z499" s="463"/>
    </row>
  </sheetData>
  <mergeCells count="118">
    <mergeCell ref="C149:C160"/>
    <mergeCell ref="D149:D160"/>
    <mergeCell ref="E149:E160"/>
    <mergeCell ref="F149:F160"/>
    <mergeCell ref="G149:G160"/>
    <mergeCell ref="H149:H160"/>
    <mergeCell ref="I149:I160"/>
    <mergeCell ref="F125:F136"/>
    <mergeCell ref="G125:G136"/>
    <mergeCell ref="H125:H136"/>
    <mergeCell ref="I125:I136"/>
    <mergeCell ref="C137:C148"/>
    <mergeCell ref="D137:D148"/>
    <mergeCell ref="E137:E148"/>
    <mergeCell ref="F137:F148"/>
    <mergeCell ref="G137:G148"/>
    <mergeCell ref="C125:C136"/>
    <mergeCell ref="D125:D136"/>
    <mergeCell ref="E125:E136"/>
    <mergeCell ref="J149:J160"/>
    <mergeCell ref="J125:J136"/>
    <mergeCell ref="J137:J148"/>
    <mergeCell ref="H137:H148"/>
    <mergeCell ref="I137:I148"/>
    <mergeCell ref="G101:G112"/>
    <mergeCell ref="J89:J100"/>
    <mergeCell ref="I89:I100"/>
    <mergeCell ref="H89:H100"/>
    <mergeCell ref="G89:G100"/>
    <mergeCell ref="U166:W166"/>
    <mergeCell ref="C161:J163"/>
    <mergeCell ref="L164:N164"/>
    <mergeCell ref="O164:Q164"/>
    <mergeCell ref="R164:T164"/>
    <mergeCell ref="U164:W164"/>
    <mergeCell ref="L166:N166"/>
    <mergeCell ref="O166:Q166"/>
    <mergeCell ref="R166:T166"/>
    <mergeCell ref="L165:N165"/>
    <mergeCell ref="O165:Q165"/>
    <mergeCell ref="R165:T165"/>
    <mergeCell ref="U165:W165"/>
    <mergeCell ref="C2:J4"/>
    <mergeCell ref="C65:C76"/>
    <mergeCell ref="D65:D76"/>
    <mergeCell ref="E65:E76"/>
    <mergeCell ref="F65:F76"/>
    <mergeCell ref="G65:G76"/>
    <mergeCell ref="H65:H76"/>
    <mergeCell ref="I65:I76"/>
    <mergeCell ref="H29:H40"/>
    <mergeCell ref="J5:J16"/>
    <mergeCell ref="J29:J40"/>
    <mergeCell ref="J17:J28"/>
    <mergeCell ref="J65:J76"/>
    <mergeCell ref="H5:H16"/>
    <mergeCell ref="I5:I16"/>
    <mergeCell ref="H17:H28"/>
    <mergeCell ref="I29:I40"/>
    <mergeCell ref="E5:E16"/>
    <mergeCell ref="F5:F16"/>
    <mergeCell ref="G5:G16"/>
    <mergeCell ref="E41:E52"/>
    <mergeCell ref="F41:F52"/>
    <mergeCell ref="J41:J52"/>
    <mergeCell ref="C53:C64"/>
    <mergeCell ref="D29:D40"/>
    <mergeCell ref="E29:E40"/>
    <mergeCell ref="F29:F40"/>
    <mergeCell ref="G29:G40"/>
    <mergeCell ref="E77:E88"/>
    <mergeCell ref="F77:F88"/>
    <mergeCell ref="C5:C16"/>
    <mergeCell ref="D5:D16"/>
    <mergeCell ref="C77:C88"/>
    <mergeCell ref="D77:D88"/>
    <mergeCell ref="C17:C28"/>
    <mergeCell ref="D17:D28"/>
    <mergeCell ref="C29:C40"/>
    <mergeCell ref="C41:C52"/>
    <mergeCell ref="D41:D52"/>
    <mergeCell ref="D53:D64"/>
    <mergeCell ref="E53:E64"/>
    <mergeCell ref="F53:F64"/>
    <mergeCell ref="G77:G88"/>
    <mergeCell ref="G53:G64"/>
    <mergeCell ref="G41:G52"/>
    <mergeCell ref="I17:I28"/>
    <mergeCell ref="E17:E28"/>
    <mergeCell ref="F17:F28"/>
    <mergeCell ref="G17:G28"/>
    <mergeCell ref="H77:H88"/>
    <mergeCell ref="I41:I52"/>
    <mergeCell ref="H41:H52"/>
    <mergeCell ref="H53:H64"/>
    <mergeCell ref="I53:I64"/>
    <mergeCell ref="J53:J64"/>
    <mergeCell ref="J113:J124"/>
    <mergeCell ref="C113:C124"/>
    <mergeCell ref="D113:D124"/>
    <mergeCell ref="E113:E124"/>
    <mergeCell ref="F113:F124"/>
    <mergeCell ref="G113:G124"/>
    <mergeCell ref="H113:H124"/>
    <mergeCell ref="I113:I124"/>
    <mergeCell ref="J101:J112"/>
    <mergeCell ref="H101:H112"/>
    <mergeCell ref="I101:I112"/>
    <mergeCell ref="C101:C112"/>
    <mergeCell ref="D101:D112"/>
    <mergeCell ref="E101:E112"/>
    <mergeCell ref="F101:F112"/>
    <mergeCell ref="D89:D100"/>
    <mergeCell ref="E89:E100"/>
    <mergeCell ref="F89:F100"/>
    <mergeCell ref="J77:J88"/>
    <mergeCell ref="C89:C100"/>
    <mergeCell ref="I77:I88"/>
  </mergeCells>
  <phoneticPr fontId="10"/>
  <printOptions horizontalCentered="1"/>
  <pageMargins left="0.70866141732283472" right="0.70866141732283472" top="0.70866141732283472" bottom="0.70866141732283472" header="0.31496062992125984" footer="0.31496062992125984"/>
  <pageSetup paperSize="8" scale="77" fitToHeight="0" orientation="landscape" r:id="rId1"/>
  <rowBreaks count="2" manualBreakCount="2">
    <brk id="76" min="2" max="23" man="1"/>
    <brk id="148" min="2" max="23" man="1"/>
  </rowBreaks>
  <ignoredErrors>
    <ignoredError sqref="X161:X164 X89:X100" formula="1"/>
  </ignoredErrors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>
    <pageSetUpPr fitToPage="1"/>
  </sheetPr>
  <dimension ref="A1:Z511"/>
  <sheetViews>
    <sheetView showGridLines="0" tabSelected="1" zoomScale="70" zoomScaleNormal="70" zoomScaleSheetLayoutView="70" workbookViewId="0">
      <pane xSplit="11" ySplit="4" topLeftCell="O5" activePane="bottomRight" state="frozen"/>
      <selection pane="topRight"/>
      <selection pane="bottomLeft"/>
      <selection pane="bottomRight" activeCell="AF35" sqref="AF35"/>
    </sheetView>
  </sheetViews>
  <sheetFormatPr defaultRowHeight="12"/>
  <cols>
    <col min="1" max="1" width="9.6328125" style="115" customWidth="1"/>
    <col min="2" max="2" width="11.90625" style="73" customWidth="1"/>
    <col min="3" max="3" width="6.36328125" style="9" customWidth="1"/>
    <col min="4" max="4" width="10.36328125" style="9" customWidth="1"/>
    <col min="5" max="5" width="5.08984375" style="9" customWidth="1"/>
    <col min="6" max="9" width="9.90625" style="9" customWidth="1"/>
    <col min="10" max="10" width="8.453125" style="9" customWidth="1"/>
    <col min="11" max="11" width="10.453125" style="9" customWidth="1"/>
    <col min="12" max="23" width="13.08984375" style="9" customWidth="1"/>
    <col min="24" max="24" width="16.453125" style="9" customWidth="1"/>
    <col min="25" max="25" width="9" style="2"/>
    <col min="26" max="26" width="11" style="2" bestFit="1" customWidth="1"/>
    <col min="27" max="259" width="9" style="2"/>
    <col min="260" max="260" width="9.6328125" style="2" customWidth="1"/>
    <col min="261" max="262" width="5.08984375" style="2" customWidth="1"/>
    <col min="263" max="263" width="9.6328125" style="2" customWidth="1"/>
    <col min="264" max="265" width="11.6328125" style="2" customWidth="1"/>
    <col min="266" max="266" width="15.36328125" style="2" customWidth="1"/>
    <col min="267" max="267" width="10.90625" style="2" customWidth="1"/>
    <col min="268" max="278" width="13.36328125" style="2" customWidth="1"/>
    <col min="279" max="279" width="13.6328125" style="2" customWidth="1"/>
    <col min="280" max="280" width="16.453125" style="2" customWidth="1"/>
    <col min="281" max="515" width="9" style="2"/>
    <col min="516" max="516" width="9.6328125" style="2" customWidth="1"/>
    <col min="517" max="518" width="5.08984375" style="2" customWidth="1"/>
    <col min="519" max="519" width="9.6328125" style="2" customWidth="1"/>
    <col min="520" max="521" width="11.6328125" style="2" customWidth="1"/>
    <col min="522" max="522" width="15.36328125" style="2" customWidth="1"/>
    <col min="523" max="523" width="10.90625" style="2" customWidth="1"/>
    <col min="524" max="534" width="13.36328125" style="2" customWidth="1"/>
    <col min="535" max="535" width="13.6328125" style="2" customWidth="1"/>
    <col min="536" max="536" width="16.453125" style="2" customWidth="1"/>
    <col min="537" max="771" width="9" style="2"/>
    <col min="772" max="772" width="9.6328125" style="2" customWidth="1"/>
    <col min="773" max="774" width="5.08984375" style="2" customWidth="1"/>
    <col min="775" max="775" width="9.6328125" style="2" customWidth="1"/>
    <col min="776" max="777" width="11.6328125" style="2" customWidth="1"/>
    <col min="778" max="778" width="15.36328125" style="2" customWidth="1"/>
    <col min="779" max="779" width="10.90625" style="2" customWidth="1"/>
    <col min="780" max="790" width="13.36328125" style="2" customWidth="1"/>
    <col min="791" max="791" width="13.6328125" style="2" customWidth="1"/>
    <col min="792" max="792" width="16.453125" style="2" customWidth="1"/>
    <col min="793" max="1027" width="9" style="2"/>
    <col min="1028" max="1028" width="9.6328125" style="2" customWidth="1"/>
    <col min="1029" max="1030" width="5.08984375" style="2" customWidth="1"/>
    <col min="1031" max="1031" width="9.6328125" style="2" customWidth="1"/>
    <col min="1032" max="1033" width="11.6328125" style="2" customWidth="1"/>
    <col min="1034" max="1034" width="15.36328125" style="2" customWidth="1"/>
    <col min="1035" max="1035" width="10.90625" style="2" customWidth="1"/>
    <col min="1036" max="1046" width="13.36328125" style="2" customWidth="1"/>
    <col min="1047" max="1047" width="13.6328125" style="2" customWidth="1"/>
    <col min="1048" max="1048" width="16.453125" style="2" customWidth="1"/>
    <col min="1049" max="1283" width="9" style="2"/>
    <col min="1284" max="1284" width="9.6328125" style="2" customWidth="1"/>
    <col min="1285" max="1286" width="5.08984375" style="2" customWidth="1"/>
    <col min="1287" max="1287" width="9.6328125" style="2" customWidth="1"/>
    <col min="1288" max="1289" width="11.6328125" style="2" customWidth="1"/>
    <col min="1290" max="1290" width="15.36328125" style="2" customWidth="1"/>
    <col min="1291" max="1291" width="10.90625" style="2" customWidth="1"/>
    <col min="1292" max="1302" width="13.36328125" style="2" customWidth="1"/>
    <col min="1303" max="1303" width="13.6328125" style="2" customWidth="1"/>
    <col min="1304" max="1304" width="16.453125" style="2" customWidth="1"/>
    <col min="1305" max="1539" width="9" style="2"/>
    <col min="1540" max="1540" width="9.6328125" style="2" customWidth="1"/>
    <col min="1541" max="1542" width="5.08984375" style="2" customWidth="1"/>
    <col min="1543" max="1543" width="9.6328125" style="2" customWidth="1"/>
    <col min="1544" max="1545" width="11.6328125" style="2" customWidth="1"/>
    <col min="1546" max="1546" width="15.36328125" style="2" customWidth="1"/>
    <col min="1547" max="1547" width="10.90625" style="2" customWidth="1"/>
    <col min="1548" max="1558" width="13.36328125" style="2" customWidth="1"/>
    <col min="1559" max="1559" width="13.6328125" style="2" customWidth="1"/>
    <col min="1560" max="1560" width="16.453125" style="2" customWidth="1"/>
    <col min="1561" max="1795" width="9" style="2"/>
    <col min="1796" max="1796" width="9.6328125" style="2" customWidth="1"/>
    <col min="1797" max="1798" width="5.08984375" style="2" customWidth="1"/>
    <col min="1799" max="1799" width="9.6328125" style="2" customWidth="1"/>
    <col min="1800" max="1801" width="11.6328125" style="2" customWidth="1"/>
    <col min="1802" max="1802" width="15.36328125" style="2" customWidth="1"/>
    <col min="1803" max="1803" width="10.90625" style="2" customWidth="1"/>
    <col min="1804" max="1814" width="13.36328125" style="2" customWidth="1"/>
    <col min="1815" max="1815" width="13.6328125" style="2" customWidth="1"/>
    <col min="1816" max="1816" width="16.453125" style="2" customWidth="1"/>
    <col min="1817" max="2051" width="9" style="2"/>
    <col min="2052" max="2052" width="9.6328125" style="2" customWidth="1"/>
    <col min="2053" max="2054" width="5.08984375" style="2" customWidth="1"/>
    <col min="2055" max="2055" width="9.6328125" style="2" customWidth="1"/>
    <col min="2056" max="2057" width="11.6328125" style="2" customWidth="1"/>
    <col min="2058" max="2058" width="15.36328125" style="2" customWidth="1"/>
    <col min="2059" max="2059" width="10.90625" style="2" customWidth="1"/>
    <col min="2060" max="2070" width="13.36328125" style="2" customWidth="1"/>
    <col min="2071" max="2071" width="13.6328125" style="2" customWidth="1"/>
    <col min="2072" max="2072" width="16.453125" style="2" customWidth="1"/>
    <col min="2073" max="2307" width="9" style="2"/>
    <col min="2308" max="2308" width="9.6328125" style="2" customWidth="1"/>
    <col min="2309" max="2310" width="5.08984375" style="2" customWidth="1"/>
    <col min="2311" max="2311" width="9.6328125" style="2" customWidth="1"/>
    <col min="2312" max="2313" width="11.6328125" style="2" customWidth="1"/>
    <col min="2314" max="2314" width="15.36328125" style="2" customWidth="1"/>
    <col min="2315" max="2315" width="10.90625" style="2" customWidth="1"/>
    <col min="2316" max="2326" width="13.36328125" style="2" customWidth="1"/>
    <col min="2327" max="2327" width="13.6328125" style="2" customWidth="1"/>
    <col min="2328" max="2328" width="16.453125" style="2" customWidth="1"/>
    <col min="2329" max="2563" width="9" style="2"/>
    <col min="2564" max="2564" width="9.6328125" style="2" customWidth="1"/>
    <col min="2565" max="2566" width="5.08984375" style="2" customWidth="1"/>
    <col min="2567" max="2567" width="9.6328125" style="2" customWidth="1"/>
    <col min="2568" max="2569" width="11.6328125" style="2" customWidth="1"/>
    <col min="2570" max="2570" width="15.36328125" style="2" customWidth="1"/>
    <col min="2571" max="2571" width="10.90625" style="2" customWidth="1"/>
    <col min="2572" max="2582" width="13.36328125" style="2" customWidth="1"/>
    <col min="2583" max="2583" width="13.6328125" style="2" customWidth="1"/>
    <col min="2584" max="2584" width="16.453125" style="2" customWidth="1"/>
    <col min="2585" max="2819" width="9" style="2"/>
    <col min="2820" max="2820" width="9.6328125" style="2" customWidth="1"/>
    <col min="2821" max="2822" width="5.08984375" style="2" customWidth="1"/>
    <col min="2823" max="2823" width="9.6328125" style="2" customWidth="1"/>
    <col min="2824" max="2825" width="11.6328125" style="2" customWidth="1"/>
    <col min="2826" max="2826" width="15.36328125" style="2" customWidth="1"/>
    <col min="2827" max="2827" width="10.90625" style="2" customWidth="1"/>
    <col min="2828" max="2838" width="13.36328125" style="2" customWidth="1"/>
    <col min="2839" max="2839" width="13.6328125" style="2" customWidth="1"/>
    <col min="2840" max="2840" width="16.453125" style="2" customWidth="1"/>
    <col min="2841" max="3075" width="9" style="2"/>
    <col min="3076" max="3076" width="9.6328125" style="2" customWidth="1"/>
    <col min="3077" max="3078" width="5.08984375" style="2" customWidth="1"/>
    <col min="3079" max="3079" width="9.6328125" style="2" customWidth="1"/>
    <col min="3080" max="3081" width="11.6328125" style="2" customWidth="1"/>
    <col min="3082" max="3082" width="15.36328125" style="2" customWidth="1"/>
    <col min="3083" max="3083" width="10.90625" style="2" customWidth="1"/>
    <col min="3084" max="3094" width="13.36328125" style="2" customWidth="1"/>
    <col min="3095" max="3095" width="13.6328125" style="2" customWidth="1"/>
    <col min="3096" max="3096" width="16.453125" style="2" customWidth="1"/>
    <col min="3097" max="3331" width="9" style="2"/>
    <col min="3332" max="3332" width="9.6328125" style="2" customWidth="1"/>
    <col min="3333" max="3334" width="5.08984375" style="2" customWidth="1"/>
    <col min="3335" max="3335" width="9.6328125" style="2" customWidth="1"/>
    <col min="3336" max="3337" width="11.6328125" style="2" customWidth="1"/>
    <col min="3338" max="3338" width="15.36328125" style="2" customWidth="1"/>
    <col min="3339" max="3339" width="10.90625" style="2" customWidth="1"/>
    <col min="3340" max="3350" width="13.36328125" style="2" customWidth="1"/>
    <col min="3351" max="3351" width="13.6328125" style="2" customWidth="1"/>
    <col min="3352" max="3352" width="16.453125" style="2" customWidth="1"/>
    <col min="3353" max="3587" width="9" style="2"/>
    <col min="3588" max="3588" width="9.6328125" style="2" customWidth="1"/>
    <col min="3589" max="3590" width="5.08984375" style="2" customWidth="1"/>
    <col min="3591" max="3591" width="9.6328125" style="2" customWidth="1"/>
    <col min="3592" max="3593" width="11.6328125" style="2" customWidth="1"/>
    <col min="3594" max="3594" width="15.36328125" style="2" customWidth="1"/>
    <col min="3595" max="3595" width="10.90625" style="2" customWidth="1"/>
    <col min="3596" max="3606" width="13.36328125" style="2" customWidth="1"/>
    <col min="3607" max="3607" width="13.6328125" style="2" customWidth="1"/>
    <col min="3608" max="3608" width="16.453125" style="2" customWidth="1"/>
    <col min="3609" max="3843" width="9" style="2"/>
    <col min="3844" max="3844" width="9.6328125" style="2" customWidth="1"/>
    <col min="3845" max="3846" width="5.08984375" style="2" customWidth="1"/>
    <col min="3847" max="3847" width="9.6328125" style="2" customWidth="1"/>
    <col min="3848" max="3849" width="11.6328125" style="2" customWidth="1"/>
    <col min="3850" max="3850" width="15.36328125" style="2" customWidth="1"/>
    <col min="3851" max="3851" width="10.90625" style="2" customWidth="1"/>
    <col min="3852" max="3862" width="13.36328125" style="2" customWidth="1"/>
    <col min="3863" max="3863" width="13.6328125" style="2" customWidth="1"/>
    <col min="3864" max="3864" width="16.453125" style="2" customWidth="1"/>
    <col min="3865" max="4099" width="9" style="2"/>
    <col min="4100" max="4100" width="9.6328125" style="2" customWidth="1"/>
    <col min="4101" max="4102" width="5.08984375" style="2" customWidth="1"/>
    <col min="4103" max="4103" width="9.6328125" style="2" customWidth="1"/>
    <col min="4104" max="4105" width="11.6328125" style="2" customWidth="1"/>
    <col min="4106" max="4106" width="15.36328125" style="2" customWidth="1"/>
    <col min="4107" max="4107" width="10.90625" style="2" customWidth="1"/>
    <col min="4108" max="4118" width="13.36328125" style="2" customWidth="1"/>
    <col min="4119" max="4119" width="13.6328125" style="2" customWidth="1"/>
    <col min="4120" max="4120" width="16.453125" style="2" customWidth="1"/>
    <col min="4121" max="4355" width="9" style="2"/>
    <col min="4356" max="4356" width="9.6328125" style="2" customWidth="1"/>
    <col min="4357" max="4358" width="5.08984375" style="2" customWidth="1"/>
    <col min="4359" max="4359" width="9.6328125" style="2" customWidth="1"/>
    <col min="4360" max="4361" width="11.6328125" style="2" customWidth="1"/>
    <col min="4362" max="4362" width="15.36328125" style="2" customWidth="1"/>
    <col min="4363" max="4363" width="10.90625" style="2" customWidth="1"/>
    <col min="4364" max="4374" width="13.36328125" style="2" customWidth="1"/>
    <col min="4375" max="4375" width="13.6328125" style="2" customWidth="1"/>
    <col min="4376" max="4376" width="16.453125" style="2" customWidth="1"/>
    <col min="4377" max="4611" width="9" style="2"/>
    <col min="4612" max="4612" width="9.6328125" style="2" customWidth="1"/>
    <col min="4613" max="4614" width="5.08984375" style="2" customWidth="1"/>
    <col min="4615" max="4615" width="9.6328125" style="2" customWidth="1"/>
    <col min="4616" max="4617" width="11.6328125" style="2" customWidth="1"/>
    <col min="4618" max="4618" width="15.36328125" style="2" customWidth="1"/>
    <col min="4619" max="4619" width="10.90625" style="2" customWidth="1"/>
    <col min="4620" max="4630" width="13.36328125" style="2" customWidth="1"/>
    <col min="4631" max="4631" width="13.6328125" style="2" customWidth="1"/>
    <col min="4632" max="4632" width="16.453125" style="2" customWidth="1"/>
    <col min="4633" max="4867" width="9" style="2"/>
    <col min="4868" max="4868" width="9.6328125" style="2" customWidth="1"/>
    <col min="4869" max="4870" width="5.08984375" style="2" customWidth="1"/>
    <col min="4871" max="4871" width="9.6328125" style="2" customWidth="1"/>
    <col min="4872" max="4873" width="11.6328125" style="2" customWidth="1"/>
    <col min="4874" max="4874" width="15.36328125" style="2" customWidth="1"/>
    <col min="4875" max="4875" width="10.90625" style="2" customWidth="1"/>
    <col min="4876" max="4886" width="13.36328125" style="2" customWidth="1"/>
    <col min="4887" max="4887" width="13.6328125" style="2" customWidth="1"/>
    <col min="4888" max="4888" width="16.453125" style="2" customWidth="1"/>
    <col min="4889" max="5123" width="9" style="2"/>
    <col min="5124" max="5124" width="9.6328125" style="2" customWidth="1"/>
    <col min="5125" max="5126" width="5.08984375" style="2" customWidth="1"/>
    <col min="5127" max="5127" width="9.6328125" style="2" customWidth="1"/>
    <col min="5128" max="5129" width="11.6328125" style="2" customWidth="1"/>
    <col min="5130" max="5130" width="15.36328125" style="2" customWidth="1"/>
    <col min="5131" max="5131" width="10.90625" style="2" customWidth="1"/>
    <col min="5132" max="5142" width="13.36328125" style="2" customWidth="1"/>
    <col min="5143" max="5143" width="13.6328125" style="2" customWidth="1"/>
    <col min="5144" max="5144" width="16.453125" style="2" customWidth="1"/>
    <col min="5145" max="5379" width="9" style="2"/>
    <col min="5380" max="5380" width="9.6328125" style="2" customWidth="1"/>
    <col min="5381" max="5382" width="5.08984375" style="2" customWidth="1"/>
    <col min="5383" max="5383" width="9.6328125" style="2" customWidth="1"/>
    <col min="5384" max="5385" width="11.6328125" style="2" customWidth="1"/>
    <col min="5386" max="5386" width="15.36328125" style="2" customWidth="1"/>
    <col min="5387" max="5387" width="10.90625" style="2" customWidth="1"/>
    <col min="5388" max="5398" width="13.36328125" style="2" customWidth="1"/>
    <col min="5399" max="5399" width="13.6328125" style="2" customWidth="1"/>
    <col min="5400" max="5400" width="16.453125" style="2" customWidth="1"/>
    <col min="5401" max="5635" width="9" style="2"/>
    <col min="5636" max="5636" width="9.6328125" style="2" customWidth="1"/>
    <col min="5637" max="5638" width="5.08984375" style="2" customWidth="1"/>
    <col min="5639" max="5639" width="9.6328125" style="2" customWidth="1"/>
    <col min="5640" max="5641" width="11.6328125" style="2" customWidth="1"/>
    <col min="5642" max="5642" width="15.36328125" style="2" customWidth="1"/>
    <col min="5643" max="5643" width="10.90625" style="2" customWidth="1"/>
    <col min="5644" max="5654" width="13.36328125" style="2" customWidth="1"/>
    <col min="5655" max="5655" width="13.6328125" style="2" customWidth="1"/>
    <col min="5656" max="5656" width="16.453125" style="2" customWidth="1"/>
    <col min="5657" max="5891" width="9" style="2"/>
    <col min="5892" max="5892" width="9.6328125" style="2" customWidth="1"/>
    <col min="5893" max="5894" width="5.08984375" style="2" customWidth="1"/>
    <col min="5895" max="5895" width="9.6328125" style="2" customWidth="1"/>
    <col min="5896" max="5897" width="11.6328125" style="2" customWidth="1"/>
    <col min="5898" max="5898" width="15.36328125" style="2" customWidth="1"/>
    <col min="5899" max="5899" width="10.90625" style="2" customWidth="1"/>
    <col min="5900" max="5910" width="13.36328125" style="2" customWidth="1"/>
    <col min="5911" max="5911" width="13.6328125" style="2" customWidth="1"/>
    <col min="5912" max="5912" width="16.453125" style="2" customWidth="1"/>
    <col min="5913" max="6147" width="9" style="2"/>
    <col min="6148" max="6148" width="9.6328125" style="2" customWidth="1"/>
    <col min="6149" max="6150" width="5.08984375" style="2" customWidth="1"/>
    <col min="6151" max="6151" width="9.6328125" style="2" customWidth="1"/>
    <col min="6152" max="6153" width="11.6328125" style="2" customWidth="1"/>
    <col min="6154" max="6154" width="15.36328125" style="2" customWidth="1"/>
    <col min="6155" max="6155" width="10.90625" style="2" customWidth="1"/>
    <col min="6156" max="6166" width="13.36328125" style="2" customWidth="1"/>
    <col min="6167" max="6167" width="13.6328125" style="2" customWidth="1"/>
    <col min="6168" max="6168" width="16.453125" style="2" customWidth="1"/>
    <col min="6169" max="6403" width="9" style="2"/>
    <col min="6404" max="6404" width="9.6328125" style="2" customWidth="1"/>
    <col min="6405" max="6406" width="5.08984375" style="2" customWidth="1"/>
    <col min="6407" max="6407" width="9.6328125" style="2" customWidth="1"/>
    <col min="6408" max="6409" width="11.6328125" style="2" customWidth="1"/>
    <col min="6410" max="6410" width="15.36328125" style="2" customWidth="1"/>
    <col min="6411" max="6411" width="10.90625" style="2" customWidth="1"/>
    <col min="6412" max="6422" width="13.36328125" style="2" customWidth="1"/>
    <col min="6423" max="6423" width="13.6328125" style="2" customWidth="1"/>
    <col min="6424" max="6424" width="16.453125" style="2" customWidth="1"/>
    <col min="6425" max="6659" width="9" style="2"/>
    <col min="6660" max="6660" width="9.6328125" style="2" customWidth="1"/>
    <col min="6661" max="6662" width="5.08984375" style="2" customWidth="1"/>
    <col min="6663" max="6663" width="9.6328125" style="2" customWidth="1"/>
    <col min="6664" max="6665" width="11.6328125" style="2" customWidth="1"/>
    <col min="6666" max="6666" width="15.36328125" style="2" customWidth="1"/>
    <col min="6667" max="6667" width="10.90625" style="2" customWidth="1"/>
    <col min="6668" max="6678" width="13.36328125" style="2" customWidth="1"/>
    <col min="6679" max="6679" width="13.6328125" style="2" customWidth="1"/>
    <col min="6680" max="6680" width="16.453125" style="2" customWidth="1"/>
    <col min="6681" max="6915" width="9" style="2"/>
    <col min="6916" max="6916" width="9.6328125" style="2" customWidth="1"/>
    <col min="6917" max="6918" width="5.08984375" style="2" customWidth="1"/>
    <col min="6919" max="6919" width="9.6328125" style="2" customWidth="1"/>
    <col min="6920" max="6921" width="11.6328125" style="2" customWidth="1"/>
    <col min="6922" max="6922" width="15.36328125" style="2" customWidth="1"/>
    <col min="6923" max="6923" width="10.90625" style="2" customWidth="1"/>
    <col min="6924" max="6934" width="13.36328125" style="2" customWidth="1"/>
    <col min="6935" max="6935" width="13.6328125" style="2" customWidth="1"/>
    <col min="6936" max="6936" width="16.453125" style="2" customWidth="1"/>
    <col min="6937" max="7171" width="9" style="2"/>
    <col min="7172" max="7172" width="9.6328125" style="2" customWidth="1"/>
    <col min="7173" max="7174" width="5.08984375" style="2" customWidth="1"/>
    <col min="7175" max="7175" width="9.6328125" style="2" customWidth="1"/>
    <col min="7176" max="7177" width="11.6328125" style="2" customWidth="1"/>
    <col min="7178" max="7178" width="15.36328125" style="2" customWidth="1"/>
    <col min="7179" max="7179" width="10.90625" style="2" customWidth="1"/>
    <col min="7180" max="7190" width="13.36328125" style="2" customWidth="1"/>
    <col min="7191" max="7191" width="13.6328125" style="2" customWidth="1"/>
    <col min="7192" max="7192" width="16.453125" style="2" customWidth="1"/>
    <col min="7193" max="7427" width="9" style="2"/>
    <col min="7428" max="7428" width="9.6328125" style="2" customWidth="1"/>
    <col min="7429" max="7430" width="5.08984375" style="2" customWidth="1"/>
    <col min="7431" max="7431" width="9.6328125" style="2" customWidth="1"/>
    <col min="7432" max="7433" width="11.6328125" style="2" customWidth="1"/>
    <col min="7434" max="7434" width="15.36328125" style="2" customWidth="1"/>
    <col min="7435" max="7435" width="10.90625" style="2" customWidth="1"/>
    <col min="7436" max="7446" width="13.36328125" style="2" customWidth="1"/>
    <col min="7447" max="7447" width="13.6328125" style="2" customWidth="1"/>
    <col min="7448" max="7448" width="16.453125" style="2" customWidth="1"/>
    <col min="7449" max="7683" width="9" style="2"/>
    <col min="7684" max="7684" width="9.6328125" style="2" customWidth="1"/>
    <col min="7685" max="7686" width="5.08984375" style="2" customWidth="1"/>
    <col min="7687" max="7687" width="9.6328125" style="2" customWidth="1"/>
    <col min="7688" max="7689" width="11.6328125" style="2" customWidth="1"/>
    <col min="7690" max="7690" width="15.36328125" style="2" customWidth="1"/>
    <col min="7691" max="7691" width="10.90625" style="2" customWidth="1"/>
    <col min="7692" max="7702" width="13.36328125" style="2" customWidth="1"/>
    <col min="7703" max="7703" width="13.6328125" style="2" customWidth="1"/>
    <col min="7704" max="7704" width="16.453125" style="2" customWidth="1"/>
    <col min="7705" max="7939" width="9" style="2"/>
    <col min="7940" max="7940" width="9.6328125" style="2" customWidth="1"/>
    <col min="7941" max="7942" width="5.08984375" style="2" customWidth="1"/>
    <col min="7943" max="7943" width="9.6328125" style="2" customWidth="1"/>
    <col min="7944" max="7945" width="11.6328125" style="2" customWidth="1"/>
    <col min="7946" max="7946" width="15.36328125" style="2" customWidth="1"/>
    <col min="7947" max="7947" width="10.90625" style="2" customWidth="1"/>
    <col min="7948" max="7958" width="13.36328125" style="2" customWidth="1"/>
    <col min="7959" max="7959" width="13.6328125" style="2" customWidth="1"/>
    <col min="7960" max="7960" width="16.453125" style="2" customWidth="1"/>
    <col min="7961" max="8195" width="9" style="2"/>
    <col min="8196" max="8196" width="9.6328125" style="2" customWidth="1"/>
    <col min="8197" max="8198" width="5.08984375" style="2" customWidth="1"/>
    <col min="8199" max="8199" width="9.6328125" style="2" customWidth="1"/>
    <col min="8200" max="8201" width="11.6328125" style="2" customWidth="1"/>
    <col min="8202" max="8202" width="15.36328125" style="2" customWidth="1"/>
    <col min="8203" max="8203" width="10.90625" style="2" customWidth="1"/>
    <col min="8204" max="8214" width="13.36328125" style="2" customWidth="1"/>
    <col min="8215" max="8215" width="13.6328125" style="2" customWidth="1"/>
    <col min="8216" max="8216" width="16.453125" style="2" customWidth="1"/>
    <col min="8217" max="8451" width="9" style="2"/>
    <col min="8452" max="8452" width="9.6328125" style="2" customWidth="1"/>
    <col min="8453" max="8454" width="5.08984375" style="2" customWidth="1"/>
    <col min="8455" max="8455" width="9.6328125" style="2" customWidth="1"/>
    <col min="8456" max="8457" width="11.6328125" style="2" customWidth="1"/>
    <col min="8458" max="8458" width="15.36328125" style="2" customWidth="1"/>
    <col min="8459" max="8459" width="10.90625" style="2" customWidth="1"/>
    <col min="8460" max="8470" width="13.36328125" style="2" customWidth="1"/>
    <col min="8471" max="8471" width="13.6328125" style="2" customWidth="1"/>
    <col min="8472" max="8472" width="16.453125" style="2" customWidth="1"/>
    <col min="8473" max="8707" width="9" style="2"/>
    <col min="8708" max="8708" width="9.6328125" style="2" customWidth="1"/>
    <col min="8709" max="8710" width="5.08984375" style="2" customWidth="1"/>
    <col min="8711" max="8711" width="9.6328125" style="2" customWidth="1"/>
    <col min="8712" max="8713" width="11.6328125" style="2" customWidth="1"/>
    <col min="8714" max="8714" width="15.36328125" style="2" customWidth="1"/>
    <col min="8715" max="8715" width="10.90625" style="2" customWidth="1"/>
    <col min="8716" max="8726" width="13.36328125" style="2" customWidth="1"/>
    <col min="8727" max="8727" width="13.6328125" style="2" customWidth="1"/>
    <col min="8728" max="8728" width="16.453125" style="2" customWidth="1"/>
    <col min="8729" max="8963" width="9" style="2"/>
    <col min="8964" max="8964" width="9.6328125" style="2" customWidth="1"/>
    <col min="8965" max="8966" width="5.08984375" style="2" customWidth="1"/>
    <col min="8967" max="8967" width="9.6328125" style="2" customWidth="1"/>
    <col min="8968" max="8969" width="11.6328125" style="2" customWidth="1"/>
    <col min="8970" max="8970" width="15.36328125" style="2" customWidth="1"/>
    <col min="8971" max="8971" width="10.90625" style="2" customWidth="1"/>
    <col min="8972" max="8982" width="13.36328125" style="2" customWidth="1"/>
    <col min="8983" max="8983" width="13.6328125" style="2" customWidth="1"/>
    <col min="8984" max="8984" width="16.453125" style="2" customWidth="1"/>
    <col min="8985" max="9219" width="9" style="2"/>
    <col min="9220" max="9220" width="9.6328125" style="2" customWidth="1"/>
    <col min="9221" max="9222" width="5.08984375" style="2" customWidth="1"/>
    <col min="9223" max="9223" width="9.6328125" style="2" customWidth="1"/>
    <col min="9224" max="9225" width="11.6328125" style="2" customWidth="1"/>
    <col min="9226" max="9226" width="15.36328125" style="2" customWidth="1"/>
    <col min="9227" max="9227" width="10.90625" style="2" customWidth="1"/>
    <col min="9228" max="9238" width="13.36328125" style="2" customWidth="1"/>
    <col min="9239" max="9239" width="13.6328125" style="2" customWidth="1"/>
    <col min="9240" max="9240" width="16.453125" style="2" customWidth="1"/>
    <col min="9241" max="9475" width="9" style="2"/>
    <col min="9476" max="9476" width="9.6328125" style="2" customWidth="1"/>
    <col min="9477" max="9478" width="5.08984375" style="2" customWidth="1"/>
    <col min="9479" max="9479" width="9.6328125" style="2" customWidth="1"/>
    <col min="9480" max="9481" width="11.6328125" style="2" customWidth="1"/>
    <col min="9482" max="9482" width="15.36328125" style="2" customWidth="1"/>
    <col min="9483" max="9483" width="10.90625" style="2" customWidth="1"/>
    <col min="9484" max="9494" width="13.36328125" style="2" customWidth="1"/>
    <col min="9495" max="9495" width="13.6328125" style="2" customWidth="1"/>
    <col min="9496" max="9496" width="16.453125" style="2" customWidth="1"/>
    <col min="9497" max="9731" width="9" style="2"/>
    <col min="9732" max="9732" width="9.6328125" style="2" customWidth="1"/>
    <col min="9733" max="9734" width="5.08984375" style="2" customWidth="1"/>
    <col min="9735" max="9735" width="9.6328125" style="2" customWidth="1"/>
    <col min="9736" max="9737" width="11.6328125" style="2" customWidth="1"/>
    <col min="9738" max="9738" width="15.36328125" style="2" customWidth="1"/>
    <col min="9739" max="9739" width="10.90625" style="2" customWidth="1"/>
    <col min="9740" max="9750" width="13.36328125" style="2" customWidth="1"/>
    <col min="9751" max="9751" width="13.6328125" style="2" customWidth="1"/>
    <col min="9752" max="9752" width="16.453125" style="2" customWidth="1"/>
    <col min="9753" max="9987" width="9" style="2"/>
    <col min="9988" max="9988" width="9.6328125" style="2" customWidth="1"/>
    <col min="9989" max="9990" width="5.08984375" style="2" customWidth="1"/>
    <col min="9991" max="9991" width="9.6328125" style="2" customWidth="1"/>
    <col min="9992" max="9993" width="11.6328125" style="2" customWidth="1"/>
    <col min="9994" max="9994" width="15.36328125" style="2" customWidth="1"/>
    <col min="9995" max="9995" width="10.90625" style="2" customWidth="1"/>
    <col min="9996" max="10006" width="13.36328125" style="2" customWidth="1"/>
    <col min="10007" max="10007" width="13.6328125" style="2" customWidth="1"/>
    <col min="10008" max="10008" width="16.453125" style="2" customWidth="1"/>
    <col min="10009" max="10243" width="9" style="2"/>
    <col min="10244" max="10244" width="9.6328125" style="2" customWidth="1"/>
    <col min="10245" max="10246" width="5.08984375" style="2" customWidth="1"/>
    <col min="10247" max="10247" width="9.6328125" style="2" customWidth="1"/>
    <col min="10248" max="10249" width="11.6328125" style="2" customWidth="1"/>
    <col min="10250" max="10250" width="15.36328125" style="2" customWidth="1"/>
    <col min="10251" max="10251" width="10.90625" style="2" customWidth="1"/>
    <col min="10252" max="10262" width="13.36328125" style="2" customWidth="1"/>
    <col min="10263" max="10263" width="13.6328125" style="2" customWidth="1"/>
    <col min="10264" max="10264" width="16.453125" style="2" customWidth="1"/>
    <col min="10265" max="10499" width="9" style="2"/>
    <col min="10500" max="10500" width="9.6328125" style="2" customWidth="1"/>
    <col min="10501" max="10502" width="5.08984375" style="2" customWidth="1"/>
    <col min="10503" max="10503" width="9.6328125" style="2" customWidth="1"/>
    <col min="10504" max="10505" width="11.6328125" style="2" customWidth="1"/>
    <col min="10506" max="10506" width="15.36328125" style="2" customWidth="1"/>
    <col min="10507" max="10507" width="10.90625" style="2" customWidth="1"/>
    <col min="10508" max="10518" width="13.36328125" style="2" customWidth="1"/>
    <col min="10519" max="10519" width="13.6328125" style="2" customWidth="1"/>
    <col min="10520" max="10520" width="16.453125" style="2" customWidth="1"/>
    <col min="10521" max="10755" width="9" style="2"/>
    <col min="10756" max="10756" width="9.6328125" style="2" customWidth="1"/>
    <col min="10757" max="10758" width="5.08984375" style="2" customWidth="1"/>
    <col min="10759" max="10759" width="9.6328125" style="2" customWidth="1"/>
    <col min="10760" max="10761" width="11.6328125" style="2" customWidth="1"/>
    <col min="10762" max="10762" width="15.36328125" style="2" customWidth="1"/>
    <col min="10763" max="10763" width="10.90625" style="2" customWidth="1"/>
    <col min="10764" max="10774" width="13.36328125" style="2" customWidth="1"/>
    <col min="10775" max="10775" width="13.6328125" style="2" customWidth="1"/>
    <col min="10776" max="10776" width="16.453125" style="2" customWidth="1"/>
    <col min="10777" max="11011" width="9" style="2"/>
    <col min="11012" max="11012" width="9.6328125" style="2" customWidth="1"/>
    <col min="11013" max="11014" width="5.08984375" style="2" customWidth="1"/>
    <col min="11015" max="11015" width="9.6328125" style="2" customWidth="1"/>
    <col min="11016" max="11017" width="11.6328125" style="2" customWidth="1"/>
    <col min="11018" max="11018" width="15.36328125" style="2" customWidth="1"/>
    <col min="11019" max="11019" width="10.90625" style="2" customWidth="1"/>
    <col min="11020" max="11030" width="13.36328125" style="2" customWidth="1"/>
    <col min="11031" max="11031" width="13.6328125" style="2" customWidth="1"/>
    <col min="11032" max="11032" width="16.453125" style="2" customWidth="1"/>
    <col min="11033" max="11267" width="9" style="2"/>
    <col min="11268" max="11268" width="9.6328125" style="2" customWidth="1"/>
    <col min="11269" max="11270" width="5.08984375" style="2" customWidth="1"/>
    <col min="11271" max="11271" width="9.6328125" style="2" customWidth="1"/>
    <col min="11272" max="11273" width="11.6328125" style="2" customWidth="1"/>
    <col min="11274" max="11274" width="15.36328125" style="2" customWidth="1"/>
    <col min="11275" max="11275" width="10.90625" style="2" customWidth="1"/>
    <col min="11276" max="11286" width="13.36328125" style="2" customWidth="1"/>
    <col min="11287" max="11287" width="13.6328125" style="2" customWidth="1"/>
    <col min="11288" max="11288" width="16.453125" style="2" customWidth="1"/>
    <col min="11289" max="11523" width="9" style="2"/>
    <col min="11524" max="11524" width="9.6328125" style="2" customWidth="1"/>
    <col min="11525" max="11526" width="5.08984375" style="2" customWidth="1"/>
    <col min="11527" max="11527" width="9.6328125" style="2" customWidth="1"/>
    <col min="11528" max="11529" width="11.6328125" style="2" customWidth="1"/>
    <col min="11530" max="11530" width="15.36328125" style="2" customWidth="1"/>
    <col min="11531" max="11531" width="10.90625" style="2" customWidth="1"/>
    <col min="11532" max="11542" width="13.36328125" style="2" customWidth="1"/>
    <col min="11543" max="11543" width="13.6328125" style="2" customWidth="1"/>
    <col min="11544" max="11544" width="16.453125" style="2" customWidth="1"/>
    <col min="11545" max="11779" width="9" style="2"/>
    <col min="11780" max="11780" width="9.6328125" style="2" customWidth="1"/>
    <col min="11781" max="11782" width="5.08984375" style="2" customWidth="1"/>
    <col min="11783" max="11783" width="9.6328125" style="2" customWidth="1"/>
    <col min="11784" max="11785" width="11.6328125" style="2" customWidth="1"/>
    <col min="11786" max="11786" width="15.36328125" style="2" customWidth="1"/>
    <col min="11787" max="11787" width="10.90625" style="2" customWidth="1"/>
    <col min="11788" max="11798" width="13.36328125" style="2" customWidth="1"/>
    <col min="11799" max="11799" width="13.6328125" style="2" customWidth="1"/>
    <col min="11800" max="11800" width="16.453125" style="2" customWidth="1"/>
    <col min="11801" max="12035" width="9" style="2"/>
    <col min="12036" max="12036" width="9.6328125" style="2" customWidth="1"/>
    <col min="12037" max="12038" width="5.08984375" style="2" customWidth="1"/>
    <col min="12039" max="12039" width="9.6328125" style="2" customWidth="1"/>
    <col min="12040" max="12041" width="11.6328125" style="2" customWidth="1"/>
    <col min="12042" max="12042" width="15.36328125" style="2" customWidth="1"/>
    <col min="12043" max="12043" width="10.90625" style="2" customWidth="1"/>
    <col min="12044" max="12054" width="13.36328125" style="2" customWidth="1"/>
    <col min="12055" max="12055" width="13.6328125" style="2" customWidth="1"/>
    <col min="12056" max="12056" width="16.453125" style="2" customWidth="1"/>
    <col min="12057" max="12291" width="9" style="2"/>
    <col min="12292" max="12292" width="9.6328125" style="2" customWidth="1"/>
    <col min="12293" max="12294" width="5.08984375" style="2" customWidth="1"/>
    <col min="12295" max="12295" width="9.6328125" style="2" customWidth="1"/>
    <col min="12296" max="12297" width="11.6328125" style="2" customWidth="1"/>
    <col min="12298" max="12298" width="15.36328125" style="2" customWidth="1"/>
    <col min="12299" max="12299" width="10.90625" style="2" customWidth="1"/>
    <col min="12300" max="12310" width="13.36328125" style="2" customWidth="1"/>
    <col min="12311" max="12311" width="13.6328125" style="2" customWidth="1"/>
    <col min="12312" max="12312" width="16.453125" style="2" customWidth="1"/>
    <col min="12313" max="12547" width="9" style="2"/>
    <col min="12548" max="12548" width="9.6328125" style="2" customWidth="1"/>
    <col min="12549" max="12550" width="5.08984375" style="2" customWidth="1"/>
    <col min="12551" max="12551" width="9.6328125" style="2" customWidth="1"/>
    <col min="12552" max="12553" width="11.6328125" style="2" customWidth="1"/>
    <col min="12554" max="12554" width="15.36328125" style="2" customWidth="1"/>
    <col min="12555" max="12555" width="10.90625" style="2" customWidth="1"/>
    <col min="12556" max="12566" width="13.36328125" style="2" customWidth="1"/>
    <col min="12567" max="12567" width="13.6328125" style="2" customWidth="1"/>
    <col min="12568" max="12568" width="16.453125" style="2" customWidth="1"/>
    <col min="12569" max="12803" width="9" style="2"/>
    <col min="12804" max="12804" width="9.6328125" style="2" customWidth="1"/>
    <col min="12805" max="12806" width="5.08984375" style="2" customWidth="1"/>
    <col min="12807" max="12807" width="9.6328125" style="2" customWidth="1"/>
    <col min="12808" max="12809" width="11.6328125" style="2" customWidth="1"/>
    <col min="12810" max="12810" width="15.36328125" style="2" customWidth="1"/>
    <col min="12811" max="12811" width="10.90625" style="2" customWidth="1"/>
    <col min="12812" max="12822" width="13.36328125" style="2" customWidth="1"/>
    <col min="12823" max="12823" width="13.6328125" style="2" customWidth="1"/>
    <col min="12824" max="12824" width="16.453125" style="2" customWidth="1"/>
    <col min="12825" max="13059" width="9" style="2"/>
    <col min="13060" max="13060" width="9.6328125" style="2" customWidth="1"/>
    <col min="13061" max="13062" width="5.08984375" style="2" customWidth="1"/>
    <col min="13063" max="13063" width="9.6328125" style="2" customWidth="1"/>
    <col min="13064" max="13065" width="11.6328125" style="2" customWidth="1"/>
    <col min="13066" max="13066" width="15.36328125" style="2" customWidth="1"/>
    <col min="13067" max="13067" width="10.90625" style="2" customWidth="1"/>
    <col min="13068" max="13078" width="13.36328125" style="2" customWidth="1"/>
    <col min="13079" max="13079" width="13.6328125" style="2" customWidth="1"/>
    <col min="13080" max="13080" width="16.453125" style="2" customWidth="1"/>
    <col min="13081" max="13315" width="9" style="2"/>
    <col min="13316" max="13316" width="9.6328125" style="2" customWidth="1"/>
    <col min="13317" max="13318" width="5.08984375" style="2" customWidth="1"/>
    <col min="13319" max="13319" width="9.6328125" style="2" customWidth="1"/>
    <col min="13320" max="13321" width="11.6328125" style="2" customWidth="1"/>
    <col min="13322" max="13322" width="15.36328125" style="2" customWidth="1"/>
    <col min="13323" max="13323" width="10.90625" style="2" customWidth="1"/>
    <col min="13324" max="13334" width="13.36328125" style="2" customWidth="1"/>
    <col min="13335" max="13335" width="13.6328125" style="2" customWidth="1"/>
    <col min="13336" max="13336" width="16.453125" style="2" customWidth="1"/>
    <col min="13337" max="13571" width="9" style="2"/>
    <col min="13572" max="13572" width="9.6328125" style="2" customWidth="1"/>
    <col min="13573" max="13574" width="5.08984375" style="2" customWidth="1"/>
    <col min="13575" max="13575" width="9.6328125" style="2" customWidth="1"/>
    <col min="13576" max="13577" width="11.6328125" style="2" customWidth="1"/>
    <col min="13578" max="13578" width="15.36328125" style="2" customWidth="1"/>
    <col min="13579" max="13579" width="10.90625" style="2" customWidth="1"/>
    <col min="13580" max="13590" width="13.36328125" style="2" customWidth="1"/>
    <col min="13591" max="13591" width="13.6328125" style="2" customWidth="1"/>
    <col min="13592" max="13592" width="16.453125" style="2" customWidth="1"/>
    <col min="13593" max="13827" width="9" style="2"/>
    <col min="13828" max="13828" width="9.6328125" style="2" customWidth="1"/>
    <col min="13829" max="13830" width="5.08984375" style="2" customWidth="1"/>
    <col min="13831" max="13831" width="9.6328125" style="2" customWidth="1"/>
    <col min="13832" max="13833" width="11.6328125" style="2" customWidth="1"/>
    <col min="13834" max="13834" width="15.36328125" style="2" customWidth="1"/>
    <col min="13835" max="13835" width="10.90625" style="2" customWidth="1"/>
    <col min="13836" max="13846" width="13.36328125" style="2" customWidth="1"/>
    <col min="13847" max="13847" width="13.6328125" style="2" customWidth="1"/>
    <col min="13848" max="13848" width="16.453125" style="2" customWidth="1"/>
    <col min="13849" max="14083" width="9" style="2"/>
    <col min="14084" max="14084" width="9.6328125" style="2" customWidth="1"/>
    <col min="14085" max="14086" width="5.08984375" style="2" customWidth="1"/>
    <col min="14087" max="14087" width="9.6328125" style="2" customWidth="1"/>
    <col min="14088" max="14089" width="11.6328125" style="2" customWidth="1"/>
    <col min="14090" max="14090" width="15.36328125" style="2" customWidth="1"/>
    <col min="14091" max="14091" width="10.90625" style="2" customWidth="1"/>
    <col min="14092" max="14102" width="13.36328125" style="2" customWidth="1"/>
    <col min="14103" max="14103" width="13.6328125" style="2" customWidth="1"/>
    <col min="14104" max="14104" width="16.453125" style="2" customWidth="1"/>
    <col min="14105" max="14339" width="9" style="2"/>
    <col min="14340" max="14340" width="9.6328125" style="2" customWidth="1"/>
    <col min="14341" max="14342" width="5.08984375" style="2" customWidth="1"/>
    <col min="14343" max="14343" width="9.6328125" style="2" customWidth="1"/>
    <col min="14344" max="14345" width="11.6328125" style="2" customWidth="1"/>
    <col min="14346" max="14346" width="15.36328125" style="2" customWidth="1"/>
    <col min="14347" max="14347" width="10.90625" style="2" customWidth="1"/>
    <col min="14348" max="14358" width="13.36328125" style="2" customWidth="1"/>
    <col min="14359" max="14359" width="13.6328125" style="2" customWidth="1"/>
    <col min="14360" max="14360" width="16.453125" style="2" customWidth="1"/>
    <col min="14361" max="14595" width="9" style="2"/>
    <col min="14596" max="14596" width="9.6328125" style="2" customWidth="1"/>
    <col min="14597" max="14598" width="5.08984375" style="2" customWidth="1"/>
    <col min="14599" max="14599" width="9.6328125" style="2" customWidth="1"/>
    <col min="14600" max="14601" width="11.6328125" style="2" customWidth="1"/>
    <col min="14602" max="14602" width="15.36328125" style="2" customWidth="1"/>
    <col min="14603" max="14603" width="10.90625" style="2" customWidth="1"/>
    <col min="14604" max="14614" width="13.36328125" style="2" customWidth="1"/>
    <col min="14615" max="14615" width="13.6328125" style="2" customWidth="1"/>
    <col min="14616" max="14616" width="16.453125" style="2" customWidth="1"/>
    <col min="14617" max="14851" width="9" style="2"/>
    <col min="14852" max="14852" width="9.6328125" style="2" customWidth="1"/>
    <col min="14853" max="14854" width="5.08984375" style="2" customWidth="1"/>
    <col min="14855" max="14855" width="9.6328125" style="2" customWidth="1"/>
    <col min="14856" max="14857" width="11.6328125" style="2" customWidth="1"/>
    <col min="14858" max="14858" width="15.36328125" style="2" customWidth="1"/>
    <col min="14859" max="14859" width="10.90625" style="2" customWidth="1"/>
    <col min="14860" max="14870" width="13.36328125" style="2" customWidth="1"/>
    <col min="14871" max="14871" width="13.6328125" style="2" customWidth="1"/>
    <col min="14872" max="14872" width="16.453125" style="2" customWidth="1"/>
    <col min="14873" max="15107" width="9" style="2"/>
    <col min="15108" max="15108" width="9.6328125" style="2" customWidth="1"/>
    <col min="15109" max="15110" width="5.08984375" style="2" customWidth="1"/>
    <col min="15111" max="15111" width="9.6328125" style="2" customWidth="1"/>
    <col min="15112" max="15113" width="11.6328125" style="2" customWidth="1"/>
    <col min="15114" max="15114" width="15.36328125" style="2" customWidth="1"/>
    <col min="15115" max="15115" width="10.90625" style="2" customWidth="1"/>
    <col min="15116" max="15126" width="13.36328125" style="2" customWidth="1"/>
    <col min="15127" max="15127" width="13.6328125" style="2" customWidth="1"/>
    <col min="15128" max="15128" width="16.453125" style="2" customWidth="1"/>
    <col min="15129" max="15363" width="9" style="2"/>
    <col min="15364" max="15364" width="9.6328125" style="2" customWidth="1"/>
    <col min="15365" max="15366" width="5.08984375" style="2" customWidth="1"/>
    <col min="15367" max="15367" width="9.6328125" style="2" customWidth="1"/>
    <col min="15368" max="15369" width="11.6328125" style="2" customWidth="1"/>
    <col min="15370" max="15370" width="15.36328125" style="2" customWidth="1"/>
    <col min="15371" max="15371" width="10.90625" style="2" customWidth="1"/>
    <col min="15372" max="15382" width="13.36328125" style="2" customWidth="1"/>
    <col min="15383" max="15383" width="13.6328125" style="2" customWidth="1"/>
    <col min="15384" max="15384" width="16.453125" style="2" customWidth="1"/>
    <col min="15385" max="15619" width="9" style="2"/>
    <col min="15620" max="15620" width="9.6328125" style="2" customWidth="1"/>
    <col min="15621" max="15622" width="5.08984375" style="2" customWidth="1"/>
    <col min="15623" max="15623" width="9.6328125" style="2" customWidth="1"/>
    <col min="15624" max="15625" width="11.6328125" style="2" customWidth="1"/>
    <col min="15626" max="15626" width="15.36328125" style="2" customWidth="1"/>
    <col min="15627" max="15627" width="10.90625" style="2" customWidth="1"/>
    <col min="15628" max="15638" width="13.36328125" style="2" customWidth="1"/>
    <col min="15639" max="15639" width="13.6328125" style="2" customWidth="1"/>
    <col min="15640" max="15640" width="16.453125" style="2" customWidth="1"/>
    <col min="15641" max="15875" width="9" style="2"/>
    <col min="15876" max="15876" width="9.6328125" style="2" customWidth="1"/>
    <col min="15877" max="15878" width="5.08984375" style="2" customWidth="1"/>
    <col min="15879" max="15879" width="9.6328125" style="2" customWidth="1"/>
    <col min="15880" max="15881" width="11.6328125" style="2" customWidth="1"/>
    <col min="15882" max="15882" width="15.36328125" style="2" customWidth="1"/>
    <col min="15883" max="15883" width="10.90625" style="2" customWidth="1"/>
    <col min="15884" max="15894" width="13.36328125" style="2" customWidth="1"/>
    <col min="15895" max="15895" width="13.6328125" style="2" customWidth="1"/>
    <col min="15896" max="15896" width="16.453125" style="2" customWidth="1"/>
    <col min="15897" max="16131" width="9" style="2"/>
    <col min="16132" max="16132" width="9.6328125" style="2" customWidth="1"/>
    <col min="16133" max="16134" width="5.08984375" style="2" customWidth="1"/>
    <col min="16135" max="16135" width="9.6328125" style="2" customWidth="1"/>
    <col min="16136" max="16137" width="11.6328125" style="2" customWidth="1"/>
    <col min="16138" max="16138" width="15.36328125" style="2" customWidth="1"/>
    <col min="16139" max="16139" width="10.90625" style="2" customWidth="1"/>
    <col min="16140" max="16150" width="13.36328125" style="2" customWidth="1"/>
    <col min="16151" max="16151" width="13.6328125" style="2" customWidth="1"/>
    <col min="16152" max="16152" width="16.453125" style="2" customWidth="1"/>
    <col min="16153" max="16384" width="9" style="2"/>
  </cols>
  <sheetData>
    <row r="1" spans="1:26" s="127" customFormat="1" ht="36">
      <c r="A1" s="230" t="s">
        <v>83</v>
      </c>
      <c r="B1" s="230" t="s">
        <v>84</v>
      </c>
      <c r="C1" s="133" t="s">
        <v>56</v>
      </c>
      <c r="D1" s="134" t="s">
        <v>0</v>
      </c>
      <c r="E1" s="134" t="s">
        <v>1</v>
      </c>
      <c r="F1" s="135" t="s">
        <v>2</v>
      </c>
      <c r="G1" s="135" t="s">
        <v>58</v>
      </c>
      <c r="H1" s="135" t="s">
        <v>3</v>
      </c>
      <c r="I1" s="136" t="s">
        <v>4</v>
      </c>
      <c r="J1" s="137" t="s">
        <v>5</v>
      </c>
      <c r="K1" s="140" t="s">
        <v>6</v>
      </c>
      <c r="L1" s="237" t="s">
        <v>7</v>
      </c>
      <c r="M1" s="238" t="s">
        <v>8</v>
      </c>
      <c r="N1" s="238" t="s">
        <v>9</v>
      </c>
      <c r="O1" s="238" t="s">
        <v>10</v>
      </c>
      <c r="P1" s="238" t="s">
        <v>11</v>
      </c>
      <c r="Q1" s="238" t="s">
        <v>12</v>
      </c>
      <c r="R1" s="238" t="s">
        <v>13</v>
      </c>
      <c r="S1" s="238" t="s">
        <v>14</v>
      </c>
      <c r="T1" s="238" t="s">
        <v>15</v>
      </c>
      <c r="U1" s="238" t="s">
        <v>16</v>
      </c>
      <c r="V1" s="238" t="s">
        <v>17</v>
      </c>
      <c r="W1" s="141" t="s">
        <v>18</v>
      </c>
      <c r="X1" s="220" t="s">
        <v>19</v>
      </c>
    </row>
    <row r="2" spans="1:26" s="1" customFormat="1">
      <c r="A2" s="112"/>
      <c r="B2" s="72"/>
      <c r="C2" s="548" t="s">
        <v>85</v>
      </c>
      <c r="D2" s="549"/>
      <c r="E2" s="549"/>
      <c r="F2" s="549"/>
      <c r="G2" s="549"/>
      <c r="H2" s="549"/>
      <c r="I2" s="549"/>
      <c r="J2" s="550"/>
      <c r="K2" s="143" t="s">
        <v>20</v>
      </c>
      <c r="L2" s="313">
        <f>L101</f>
        <v>2690695</v>
      </c>
      <c r="M2" s="446">
        <f t="shared" ref="M2:W3" si="0">M101</f>
        <v>2633465</v>
      </c>
      <c r="N2" s="446">
        <f t="shared" si="0"/>
        <v>2686965</v>
      </c>
      <c r="O2" s="446">
        <f t="shared" si="0"/>
        <v>2786920</v>
      </c>
      <c r="P2" s="446">
        <f t="shared" si="0"/>
        <v>2357900</v>
      </c>
      <c r="Q2" s="446">
        <f t="shared" si="0"/>
        <v>2799565</v>
      </c>
      <c r="R2" s="446">
        <f t="shared" si="0"/>
        <v>4326752</v>
      </c>
      <c r="S2" s="446">
        <f t="shared" si="0"/>
        <v>2585875</v>
      </c>
      <c r="T2" s="446">
        <f t="shared" si="0"/>
        <v>2753280</v>
      </c>
      <c r="U2" s="446">
        <f t="shared" si="0"/>
        <v>4000770</v>
      </c>
      <c r="V2" s="446">
        <f t="shared" si="0"/>
        <v>3926060</v>
      </c>
      <c r="W2" s="213">
        <f t="shared" si="0"/>
        <v>4104567.222222222</v>
      </c>
      <c r="X2" s="39">
        <f t="shared" ref="X2:X15" si="1">SUM(L2:W2)</f>
        <v>37652814.222222224</v>
      </c>
      <c r="Z2" s="70"/>
    </row>
    <row r="3" spans="1:26" s="1" customFormat="1">
      <c r="A3" s="112"/>
      <c r="B3" s="72"/>
      <c r="C3" s="551"/>
      <c r="D3" s="552"/>
      <c r="E3" s="552"/>
      <c r="F3" s="552"/>
      <c r="G3" s="552"/>
      <c r="H3" s="552"/>
      <c r="I3" s="552"/>
      <c r="J3" s="553"/>
      <c r="K3" s="144" t="s">
        <v>21</v>
      </c>
      <c r="L3" s="291">
        <f>L102</f>
        <v>2173468</v>
      </c>
      <c r="M3" s="403">
        <f t="shared" si="0"/>
        <v>2115001</v>
      </c>
      <c r="N3" s="403">
        <f t="shared" si="0"/>
        <v>2149533</v>
      </c>
      <c r="O3" s="403">
        <f t="shared" si="0"/>
        <v>2205432</v>
      </c>
      <c r="P3" s="403">
        <f t="shared" si="0"/>
        <v>2072891</v>
      </c>
      <c r="Q3" s="403">
        <f t="shared" si="0"/>
        <v>2491641</v>
      </c>
      <c r="R3" s="403">
        <f t="shared" si="0"/>
        <v>2343981</v>
      </c>
      <c r="S3" s="403">
        <f t="shared" si="0"/>
        <v>2026843</v>
      </c>
      <c r="T3" s="403">
        <f t="shared" si="0"/>
        <v>2170295</v>
      </c>
      <c r="U3" s="403">
        <f t="shared" si="0"/>
        <v>3060339</v>
      </c>
      <c r="V3" s="403">
        <f t="shared" si="0"/>
        <v>3072359</v>
      </c>
      <c r="W3" s="214">
        <f t="shared" si="0"/>
        <v>3032893.6666666665</v>
      </c>
      <c r="X3" s="40">
        <f t="shared" si="1"/>
        <v>28914676.666666668</v>
      </c>
      <c r="Z3" s="70"/>
    </row>
    <row r="4" spans="1:26" s="1" customFormat="1">
      <c r="A4" s="112"/>
      <c r="B4" s="72"/>
      <c r="C4" s="551"/>
      <c r="D4" s="552"/>
      <c r="E4" s="552"/>
      <c r="F4" s="552"/>
      <c r="G4" s="552"/>
      <c r="H4" s="552"/>
      <c r="I4" s="552"/>
      <c r="J4" s="553"/>
      <c r="K4" s="268" t="s">
        <v>22</v>
      </c>
      <c r="L4" s="310">
        <f t="shared" ref="L4:W4" si="2">L2-L3</f>
        <v>517227</v>
      </c>
      <c r="M4" s="433">
        <f t="shared" si="2"/>
        <v>518464</v>
      </c>
      <c r="N4" s="433">
        <f t="shared" si="2"/>
        <v>537432</v>
      </c>
      <c r="O4" s="433">
        <f t="shared" si="2"/>
        <v>581488</v>
      </c>
      <c r="P4" s="433">
        <f t="shared" si="2"/>
        <v>285009</v>
      </c>
      <c r="Q4" s="433">
        <f t="shared" si="2"/>
        <v>307924</v>
      </c>
      <c r="R4" s="433">
        <f t="shared" si="2"/>
        <v>1982771</v>
      </c>
      <c r="S4" s="433">
        <f t="shared" si="2"/>
        <v>559032</v>
      </c>
      <c r="T4" s="433">
        <f t="shared" si="2"/>
        <v>582985</v>
      </c>
      <c r="U4" s="433">
        <f t="shared" si="2"/>
        <v>940431</v>
      </c>
      <c r="V4" s="433">
        <f t="shared" si="2"/>
        <v>853701</v>
      </c>
      <c r="W4" s="288">
        <f t="shared" si="2"/>
        <v>1071673.5555555555</v>
      </c>
      <c r="X4" s="270">
        <f t="shared" si="1"/>
        <v>8738137.555555556</v>
      </c>
      <c r="Z4" s="70"/>
    </row>
    <row r="5" spans="1:26" ht="12.75" customHeight="1">
      <c r="A5" s="113">
        <v>2018045</v>
      </c>
      <c r="C5" s="641">
        <v>1</v>
      </c>
      <c r="D5" s="644" t="s">
        <v>60</v>
      </c>
      <c r="E5" s="644"/>
      <c r="F5" s="644"/>
      <c r="G5" s="644" t="s">
        <v>102</v>
      </c>
      <c r="H5" s="647"/>
      <c r="I5" s="647"/>
      <c r="J5" s="289"/>
      <c r="K5" s="242" t="s">
        <v>23</v>
      </c>
      <c r="L5" s="294">
        <f t="shared" ref="L5:W5" si="3">L6+L7</f>
        <v>815005</v>
      </c>
      <c r="M5" s="409">
        <f t="shared" si="3"/>
        <v>831235</v>
      </c>
      <c r="N5" s="409">
        <f t="shared" si="3"/>
        <v>771725</v>
      </c>
      <c r="O5" s="409">
        <f t="shared" si="3"/>
        <v>866400</v>
      </c>
      <c r="P5" s="409">
        <f t="shared" si="3"/>
        <v>698690</v>
      </c>
      <c r="Q5" s="409">
        <f t="shared" si="3"/>
        <v>820415</v>
      </c>
      <c r="R5" s="409">
        <f t="shared" si="3"/>
        <v>925910</v>
      </c>
      <c r="S5" s="409">
        <f t="shared" si="3"/>
        <v>650000</v>
      </c>
      <c r="T5" s="409">
        <f t="shared" si="3"/>
        <v>693280</v>
      </c>
      <c r="U5" s="409">
        <f t="shared" si="3"/>
        <v>701395</v>
      </c>
      <c r="V5" s="409">
        <f t="shared" si="3"/>
        <v>666230</v>
      </c>
      <c r="W5" s="216">
        <f t="shared" si="3"/>
        <v>794567.22222222225</v>
      </c>
      <c r="X5" s="122">
        <f t="shared" si="1"/>
        <v>9234852.222222222</v>
      </c>
      <c r="Z5" s="69"/>
    </row>
    <row r="6" spans="1:26">
      <c r="A6" s="114">
        <f t="shared" ref="A6:A16" si="4">+A5</f>
        <v>2018045</v>
      </c>
      <c r="B6" s="74"/>
      <c r="C6" s="642"/>
      <c r="D6" s="645"/>
      <c r="E6" s="645"/>
      <c r="F6" s="645"/>
      <c r="G6" s="645"/>
      <c r="H6" s="648"/>
      <c r="I6" s="648"/>
      <c r="J6" s="194"/>
      <c r="K6" s="146" t="s">
        <v>24</v>
      </c>
      <c r="L6" s="297">
        <v>815005</v>
      </c>
      <c r="M6" s="297">
        <v>831235</v>
      </c>
      <c r="N6" s="297">
        <v>771725</v>
      </c>
      <c r="O6" s="297">
        <v>866400</v>
      </c>
      <c r="P6" s="297">
        <v>698690</v>
      </c>
      <c r="Q6" s="297">
        <v>820415</v>
      </c>
      <c r="R6" s="297">
        <v>925910</v>
      </c>
      <c r="S6" s="297">
        <v>650000</v>
      </c>
      <c r="T6" s="297">
        <v>693280</v>
      </c>
      <c r="U6" s="297">
        <v>701395</v>
      </c>
      <c r="V6" s="297">
        <v>666230</v>
      </c>
      <c r="W6" s="91">
        <v>794567.22222222225</v>
      </c>
      <c r="X6" s="58">
        <f t="shared" si="1"/>
        <v>9234852.222222222</v>
      </c>
      <c r="Y6" s="69"/>
      <c r="Z6" s="69"/>
    </row>
    <row r="7" spans="1:26">
      <c r="A7" s="114">
        <f t="shared" si="4"/>
        <v>2018045</v>
      </c>
      <c r="B7" s="74"/>
      <c r="C7" s="642"/>
      <c r="D7" s="645"/>
      <c r="E7" s="645"/>
      <c r="F7" s="645"/>
      <c r="G7" s="645"/>
      <c r="H7" s="648"/>
      <c r="I7" s="648"/>
      <c r="J7" s="194"/>
      <c r="K7" s="146" t="s">
        <v>25</v>
      </c>
      <c r="L7" s="295"/>
      <c r="M7" s="297"/>
      <c r="N7" s="297"/>
      <c r="O7" s="297"/>
      <c r="P7" s="297"/>
      <c r="Q7" s="297"/>
      <c r="R7" s="297"/>
      <c r="S7" s="297"/>
      <c r="T7" s="297"/>
      <c r="U7" s="297"/>
      <c r="V7" s="297"/>
      <c r="W7" s="284"/>
      <c r="X7" s="58">
        <f t="shared" si="1"/>
        <v>0</v>
      </c>
      <c r="Z7" s="69"/>
    </row>
    <row r="8" spans="1:26">
      <c r="A8" s="114">
        <f t="shared" si="4"/>
        <v>2018045</v>
      </c>
      <c r="B8" s="74"/>
      <c r="C8" s="642"/>
      <c r="D8" s="645"/>
      <c r="E8" s="645"/>
      <c r="F8" s="645"/>
      <c r="G8" s="645"/>
      <c r="H8" s="648"/>
      <c r="I8" s="648"/>
      <c r="J8" s="194"/>
      <c r="K8" s="147" t="s">
        <v>26</v>
      </c>
      <c r="L8" s="296">
        <f t="shared" ref="L8:W8" si="5">SUM(L9:L15)</f>
        <v>735917</v>
      </c>
      <c r="M8" s="411">
        <f t="shared" si="5"/>
        <v>700938</v>
      </c>
      <c r="N8" s="411">
        <f t="shared" si="5"/>
        <v>734444</v>
      </c>
      <c r="O8" s="411">
        <f t="shared" si="5"/>
        <v>754326</v>
      </c>
      <c r="P8" s="411">
        <f t="shared" si="5"/>
        <v>656681</v>
      </c>
      <c r="Q8" s="411">
        <f t="shared" si="5"/>
        <v>751014</v>
      </c>
      <c r="R8" s="411">
        <f t="shared" si="5"/>
        <v>776790</v>
      </c>
      <c r="S8" s="411">
        <f t="shared" si="5"/>
        <v>618825</v>
      </c>
      <c r="T8" s="411">
        <f t="shared" si="5"/>
        <v>718611</v>
      </c>
      <c r="U8" s="411">
        <f t="shared" si="5"/>
        <v>679582</v>
      </c>
      <c r="V8" s="411">
        <f t="shared" si="5"/>
        <v>631529</v>
      </c>
      <c r="W8" s="285">
        <f t="shared" si="5"/>
        <v>703566.66666666663</v>
      </c>
      <c r="X8" s="59">
        <f t="shared" si="1"/>
        <v>8462223.666666666</v>
      </c>
      <c r="Z8" s="69"/>
    </row>
    <row r="9" spans="1:26">
      <c r="A9" s="114">
        <f t="shared" si="4"/>
        <v>2018045</v>
      </c>
      <c r="B9" s="74"/>
      <c r="C9" s="642"/>
      <c r="D9" s="645"/>
      <c r="E9" s="645"/>
      <c r="F9" s="645"/>
      <c r="G9" s="645"/>
      <c r="H9" s="648"/>
      <c r="I9" s="648"/>
      <c r="J9" s="194"/>
      <c r="K9" s="148" t="s">
        <v>27</v>
      </c>
      <c r="L9" s="297">
        <v>627464</v>
      </c>
      <c r="M9" s="297">
        <v>592848</v>
      </c>
      <c r="N9" s="297">
        <v>626006</v>
      </c>
      <c r="O9" s="297">
        <v>645682</v>
      </c>
      <c r="P9" s="297">
        <v>549051</v>
      </c>
      <c r="Q9" s="297">
        <v>642404</v>
      </c>
      <c r="R9" s="297">
        <v>667911</v>
      </c>
      <c r="S9" s="297">
        <v>511588</v>
      </c>
      <c r="T9" s="297">
        <v>610337</v>
      </c>
      <c r="U9" s="297">
        <v>571714</v>
      </c>
      <c r="V9" s="297">
        <v>523980</v>
      </c>
      <c r="W9" s="91">
        <v>595113.66666666663</v>
      </c>
      <c r="X9" s="58">
        <f t="shared" si="1"/>
        <v>7164098.666666667</v>
      </c>
      <c r="Y9" s="69"/>
      <c r="Z9" s="69"/>
    </row>
    <row r="10" spans="1:26">
      <c r="A10" s="114">
        <f t="shared" si="4"/>
        <v>2018045</v>
      </c>
      <c r="B10" s="74"/>
      <c r="C10" s="642"/>
      <c r="D10" s="645"/>
      <c r="E10" s="645"/>
      <c r="F10" s="645"/>
      <c r="G10" s="645"/>
      <c r="H10" s="648"/>
      <c r="I10" s="648"/>
      <c r="J10" s="195" t="s">
        <v>55</v>
      </c>
      <c r="K10" s="148" t="s">
        <v>34</v>
      </c>
      <c r="L10" s="297"/>
      <c r="M10" s="297"/>
      <c r="N10" s="297"/>
      <c r="O10" s="297"/>
      <c r="P10" s="297"/>
      <c r="Q10" s="297"/>
      <c r="R10" s="297"/>
      <c r="S10" s="297"/>
      <c r="T10" s="297"/>
      <c r="U10" s="297"/>
      <c r="V10" s="297"/>
      <c r="W10" s="91"/>
      <c r="X10" s="58">
        <f t="shared" si="1"/>
        <v>0</v>
      </c>
      <c r="Y10" s="69"/>
      <c r="Z10" s="69"/>
    </row>
    <row r="11" spans="1:26">
      <c r="A11" s="114">
        <f t="shared" si="4"/>
        <v>2018045</v>
      </c>
      <c r="B11" s="74"/>
      <c r="C11" s="642"/>
      <c r="D11" s="645"/>
      <c r="E11" s="645"/>
      <c r="F11" s="645"/>
      <c r="G11" s="645"/>
      <c r="H11" s="648"/>
      <c r="I11" s="648"/>
      <c r="J11" s="194"/>
      <c r="K11" s="148" t="s">
        <v>28</v>
      </c>
      <c r="L11" s="297">
        <v>10000</v>
      </c>
      <c r="M11" s="297">
        <v>10000</v>
      </c>
      <c r="N11" s="297">
        <v>10000</v>
      </c>
      <c r="O11" s="297">
        <v>10000</v>
      </c>
      <c r="P11" s="297">
        <v>10000</v>
      </c>
      <c r="Q11" s="297">
        <v>10000</v>
      </c>
      <c r="R11" s="297">
        <v>10000</v>
      </c>
      <c r="S11" s="297">
        <v>10000</v>
      </c>
      <c r="T11" s="297">
        <v>10000</v>
      </c>
      <c r="U11" s="297">
        <v>10000</v>
      </c>
      <c r="V11" s="297">
        <v>10000</v>
      </c>
      <c r="W11" s="91">
        <v>10000</v>
      </c>
      <c r="X11" s="58">
        <f t="shared" si="1"/>
        <v>120000</v>
      </c>
      <c r="Y11" s="69"/>
      <c r="Z11" s="69"/>
    </row>
    <row r="12" spans="1:26">
      <c r="A12" s="114">
        <f t="shared" si="4"/>
        <v>2018045</v>
      </c>
      <c r="B12" s="74"/>
      <c r="C12" s="642"/>
      <c r="D12" s="645"/>
      <c r="E12" s="645"/>
      <c r="F12" s="645"/>
      <c r="G12" s="645"/>
      <c r="H12" s="648"/>
      <c r="I12" s="648"/>
      <c r="J12" s="194"/>
      <c r="K12" s="148" t="s">
        <v>29</v>
      </c>
      <c r="L12" s="297">
        <v>35030</v>
      </c>
      <c r="M12" s="297">
        <v>35030</v>
      </c>
      <c r="N12" s="297">
        <v>35030</v>
      </c>
      <c r="O12" s="297">
        <v>35030</v>
      </c>
      <c r="P12" s="297">
        <v>35030</v>
      </c>
      <c r="Q12" s="297">
        <v>35030</v>
      </c>
      <c r="R12" s="297">
        <v>35030</v>
      </c>
      <c r="S12" s="297">
        <v>35030</v>
      </c>
      <c r="T12" s="297">
        <v>35030</v>
      </c>
      <c r="U12" s="297">
        <v>35030</v>
      </c>
      <c r="V12" s="297">
        <v>35030</v>
      </c>
      <c r="W12" s="91">
        <v>35030</v>
      </c>
      <c r="X12" s="58">
        <f t="shared" si="1"/>
        <v>420360</v>
      </c>
      <c r="Y12" s="69"/>
      <c r="Z12" s="69"/>
    </row>
    <row r="13" spans="1:26">
      <c r="A13" s="114">
        <f t="shared" si="4"/>
        <v>2018045</v>
      </c>
      <c r="B13" s="74"/>
      <c r="C13" s="642"/>
      <c r="D13" s="645"/>
      <c r="E13" s="645"/>
      <c r="F13" s="645"/>
      <c r="G13" s="645"/>
      <c r="H13" s="648"/>
      <c r="I13" s="648"/>
      <c r="J13" s="194"/>
      <c r="K13" s="148" t="s">
        <v>30</v>
      </c>
      <c r="L13" s="297">
        <v>56730</v>
      </c>
      <c r="M13" s="297">
        <v>56730</v>
      </c>
      <c r="N13" s="297">
        <v>56730</v>
      </c>
      <c r="O13" s="297">
        <v>56730</v>
      </c>
      <c r="P13" s="297">
        <v>56730</v>
      </c>
      <c r="Q13" s="297">
        <v>56730</v>
      </c>
      <c r="R13" s="297">
        <v>56730</v>
      </c>
      <c r="S13" s="297">
        <v>56730</v>
      </c>
      <c r="T13" s="297">
        <v>56730</v>
      </c>
      <c r="U13" s="297">
        <v>56730</v>
      </c>
      <c r="V13" s="297">
        <v>56730</v>
      </c>
      <c r="W13" s="91">
        <v>56730</v>
      </c>
      <c r="X13" s="58">
        <f t="shared" si="1"/>
        <v>680760</v>
      </c>
      <c r="Y13" s="69"/>
      <c r="Z13" s="69"/>
    </row>
    <row r="14" spans="1:26">
      <c r="A14" s="114">
        <f t="shared" si="4"/>
        <v>2018045</v>
      </c>
      <c r="B14" s="74"/>
      <c r="C14" s="642"/>
      <c r="D14" s="645"/>
      <c r="E14" s="645"/>
      <c r="F14" s="645"/>
      <c r="G14" s="645"/>
      <c r="H14" s="648"/>
      <c r="I14" s="648"/>
      <c r="J14" s="194"/>
      <c r="K14" s="148" t="s">
        <v>31</v>
      </c>
      <c r="L14" s="297">
        <v>3187</v>
      </c>
      <c r="M14" s="297">
        <v>3014</v>
      </c>
      <c r="N14" s="297">
        <v>3180</v>
      </c>
      <c r="O14" s="297">
        <v>3278</v>
      </c>
      <c r="P14" s="297">
        <v>2795</v>
      </c>
      <c r="Q14" s="297">
        <v>3262</v>
      </c>
      <c r="R14" s="297">
        <v>3390</v>
      </c>
      <c r="S14" s="297">
        <v>2608</v>
      </c>
      <c r="T14" s="297">
        <v>3102</v>
      </c>
      <c r="U14" s="297">
        <v>2909</v>
      </c>
      <c r="V14" s="297">
        <v>2757</v>
      </c>
      <c r="W14" s="91">
        <v>3187</v>
      </c>
      <c r="X14" s="58">
        <f t="shared" si="1"/>
        <v>36669</v>
      </c>
      <c r="Y14" s="69"/>
      <c r="Z14" s="69"/>
    </row>
    <row r="15" spans="1:26">
      <c r="A15" s="114">
        <f t="shared" si="4"/>
        <v>2018045</v>
      </c>
      <c r="B15" s="74"/>
      <c r="C15" s="642"/>
      <c r="D15" s="645"/>
      <c r="E15" s="645"/>
      <c r="F15" s="645"/>
      <c r="G15" s="645"/>
      <c r="H15" s="648"/>
      <c r="I15" s="648"/>
      <c r="J15" s="194"/>
      <c r="K15" s="148" t="s">
        <v>32</v>
      </c>
      <c r="L15" s="297">
        <v>3506</v>
      </c>
      <c r="M15" s="297">
        <v>3316</v>
      </c>
      <c r="N15" s="297">
        <v>3498</v>
      </c>
      <c r="O15" s="297">
        <v>3606</v>
      </c>
      <c r="P15" s="297">
        <v>3075</v>
      </c>
      <c r="Q15" s="297">
        <v>3588</v>
      </c>
      <c r="R15" s="297">
        <v>3729</v>
      </c>
      <c r="S15" s="297">
        <v>2869</v>
      </c>
      <c r="T15" s="297">
        <v>3412</v>
      </c>
      <c r="U15" s="297">
        <v>3199</v>
      </c>
      <c r="V15" s="297">
        <v>3032</v>
      </c>
      <c r="W15" s="91">
        <v>3506</v>
      </c>
      <c r="X15" s="58">
        <f t="shared" si="1"/>
        <v>40336</v>
      </c>
      <c r="Y15" s="69"/>
      <c r="Z15" s="69"/>
    </row>
    <row r="16" spans="1:26">
      <c r="A16" s="114">
        <f t="shared" si="4"/>
        <v>2018045</v>
      </c>
      <c r="B16" s="74"/>
      <c r="C16" s="654"/>
      <c r="D16" s="655"/>
      <c r="E16" s="655"/>
      <c r="F16" s="655"/>
      <c r="G16" s="655"/>
      <c r="H16" s="652"/>
      <c r="I16" s="652"/>
      <c r="J16" s="196"/>
      <c r="K16" s="149" t="s">
        <v>33</v>
      </c>
      <c r="L16" s="298">
        <f t="shared" ref="L16:X16" si="6">L5-L8</f>
        <v>79088</v>
      </c>
      <c r="M16" s="412">
        <f t="shared" si="6"/>
        <v>130297</v>
      </c>
      <c r="N16" s="412">
        <f t="shared" si="6"/>
        <v>37281</v>
      </c>
      <c r="O16" s="412">
        <f t="shared" si="6"/>
        <v>112074</v>
      </c>
      <c r="P16" s="412">
        <f t="shared" si="6"/>
        <v>42009</v>
      </c>
      <c r="Q16" s="412">
        <f t="shared" si="6"/>
        <v>69401</v>
      </c>
      <c r="R16" s="412">
        <f t="shared" si="6"/>
        <v>149120</v>
      </c>
      <c r="S16" s="412">
        <f t="shared" si="6"/>
        <v>31175</v>
      </c>
      <c r="T16" s="412">
        <f t="shared" si="6"/>
        <v>-25331</v>
      </c>
      <c r="U16" s="412">
        <f t="shared" si="6"/>
        <v>21813</v>
      </c>
      <c r="V16" s="412">
        <f t="shared" si="6"/>
        <v>34701</v>
      </c>
      <c r="W16" s="219">
        <f t="shared" si="6"/>
        <v>91000.55555555562</v>
      </c>
      <c r="X16" s="43">
        <f t="shared" si="6"/>
        <v>772628.55555555597</v>
      </c>
      <c r="Z16" s="69"/>
    </row>
    <row r="17" spans="1:26" ht="12.75" customHeight="1">
      <c r="A17" s="113">
        <v>2024024</v>
      </c>
      <c r="C17" s="641">
        <f>C5+1</f>
        <v>2</v>
      </c>
      <c r="D17" s="644" t="s">
        <v>130</v>
      </c>
      <c r="E17" s="644" t="s">
        <v>173</v>
      </c>
      <c r="F17" s="644"/>
      <c r="G17" s="644"/>
      <c r="H17" s="647"/>
      <c r="I17" s="647"/>
      <c r="J17" s="628" t="s">
        <v>131</v>
      </c>
      <c r="K17" s="242" t="s">
        <v>23</v>
      </c>
      <c r="L17" s="353">
        <f t="shared" ref="L17:W17" si="7">L18+L19</f>
        <v>351640</v>
      </c>
      <c r="M17" s="342">
        <f t="shared" si="7"/>
        <v>329220</v>
      </c>
      <c r="N17" s="342">
        <f t="shared" si="7"/>
        <v>375240</v>
      </c>
      <c r="O17" s="342">
        <f t="shared" si="7"/>
        <v>370520</v>
      </c>
      <c r="P17" s="342">
        <f t="shared" si="7"/>
        <v>271400</v>
      </c>
      <c r="Q17" s="342">
        <f t="shared" si="7"/>
        <v>295000</v>
      </c>
      <c r="R17" s="409">
        <f t="shared" si="7"/>
        <v>1340842</v>
      </c>
      <c r="S17" s="409">
        <f t="shared" si="7"/>
        <v>0</v>
      </c>
      <c r="T17" s="409">
        <f t="shared" si="7"/>
        <v>0</v>
      </c>
      <c r="U17" s="409">
        <f t="shared" si="7"/>
        <v>0</v>
      </c>
      <c r="V17" s="409">
        <f t="shared" si="7"/>
        <v>0</v>
      </c>
      <c r="W17" s="522">
        <f t="shared" si="7"/>
        <v>0</v>
      </c>
      <c r="X17" s="479">
        <f t="shared" ref="X17:X27" si="8">SUM(L17:W17)</f>
        <v>3333862</v>
      </c>
      <c r="Z17" s="69"/>
    </row>
    <row r="18" spans="1:26">
      <c r="A18" s="114">
        <f>+A17</f>
        <v>2024024</v>
      </c>
      <c r="B18" s="74"/>
      <c r="C18" s="642"/>
      <c r="D18" s="645"/>
      <c r="E18" s="645"/>
      <c r="F18" s="645"/>
      <c r="G18" s="645"/>
      <c r="H18" s="648"/>
      <c r="I18" s="648"/>
      <c r="J18" s="629"/>
      <c r="K18" s="146" t="s">
        <v>24</v>
      </c>
      <c r="L18" s="354">
        <v>351640</v>
      </c>
      <c r="M18" s="343">
        <v>329220</v>
      </c>
      <c r="N18" s="343">
        <v>375240</v>
      </c>
      <c r="O18" s="343">
        <v>370520</v>
      </c>
      <c r="P18" s="343">
        <v>271400</v>
      </c>
      <c r="Q18" s="343">
        <v>295000</v>
      </c>
      <c r="R18" s="297">
        <v>1340842</v>
      </c>
      <c r="S18" s="297"/>
      <c r="T18" s="297"/>
      <c r="U18" s="297"/>
      <c r="V18" s="297"/>
      <c r="W18" s="343"/>
      <c r="X18" s="480">
        <f t="shared" si="8"/>
        <v>3333862</v>
      </c>
      <c r="Y18" s="69"/>
      <c r="Z18" s="69"/>
    </row>
    <row r="19" spans="1:26">
      <c r="A19" s="114">
        <f>+A18</f>
        <v>2024024</v>
      </c>
      <c r="B19" s="74"/>
      <c r="C19" s="642"/>
      <c r="D19" s="645"/>
      <c r="E19" s="645"/>
      <c r="F19" s="645"/>
      <c r="G19" s="645"/>
      <c r="H19" s="648"/>
      <c r="I19" s="648"/>
      <c r="J19" s="629"/>
      <c r="K19" s="146" t="s">
        <v>25</v>
      </c>
      <c r="L19" s="354"/>
      <c r="M19" s="343"/>
      <c r="N19" s="343"/>
      <c r="O19" s="343"/>
      <c r="P19" s="343"/>
      <c r="Q19" s="343"/>
      <c r="R19" s="297"/>
      <c r="S19" s="297"/>
      <c r="T19" s="297"/>
      <c r="U19" s="297"/>
      <c r="V19" s="297"/>
      <c r="W19" s="525"/>
      <c r="X19" s="480">
        <f t="shared" si="8"/>
        <v>0</v>
      </c>
      <c r="Z19" s="69"/>
    </row>
    <row r="20" spans="1:26">
      <c r="A20" s="114">
        <f t="shared" ref="A20:A27" si="9">+A19</f>
        <v>2024024</v>
      </c>
      <c r="B20" s="74"/>
      <c r="C20" s="642"/>
      <c r="D20" s="645"/>
      <c r="E20" s="645"/>
      <c r="F20" s="645"/>
      <c r="G20" s="645"/>
      <c r="H20" s="648"/>
      <c r="I20" s="648"/>
      <c r="J20" s="629"/>
      <c r="K20" s="147" t="s">
        <v>26</v>
      </c>
      <c r="L20" s="355">
        <f t="shared" ref="L20:W20" si="10">SUM(L21:L27)</f>
        <v>310902</v>
      </c>
      <c r="M20" s="344">
        <f t="shared" si="10"/>
        <v>295135</v>
      </c>
      <c r="N20" s="344">
        <f t="shared" si="10"/>
        <v>307277</v>
      </c>
      <c r="O20" s="344">
        <f t="shared" si="10"/>
        <v>316010</v>
      </c>
      <c r="P20" s="344">
        <f t="shared" si="10"/>
        <v>286670</v>
      </c>
      <c r="Q20" s="344">
        <f t="shared" si="10"/>
        <v>294980</v>
      </c>
      <c r="R20" s="411">
        <f t="shared" si="10"/>
        <v>0</v>
      </c>
      <c r="S20" s="411">
        <f t="shared" si="10"/>
        <v>0</v>
      </c>
      <c r="T20" s="411">
        <f t="shared" si="10"/>
        <v>0</v>
      </c>
      <c r="U20" s="411">
        <f t="shared" si="10"/>
        <v>0</v>
      </c>
      <c r="V20" s="411">
        <f t="shared" si="10"/>
        <v>0</v>
      </c>
      <c r="W20" s="526">
        <f t="shared" si="10"/>
        <v>0</v>
      </c>
      <c r="X20" s="483">
        <f t="shared" si="8"/>
        <v>1810974</v>
      </c>
      <c r="Z20" s="69"/>
    </row>
    <row r="21" spans="1:26">
      <c r="A21" s="114">
        <f t="shared" si="9"/>
        <v>2024024</v>
      </c>
      <c r="B21" s="74"/>
      <c r="C21" s="642"/>
      <c r="D21" s="645"/>
      <c r="E21" s="645"/>
      <c r="F21" s="645"/>
      <c r="G21" s="645"/>
      <c r="H21" s="648"/>
      <c r="I21" s="648"/>
      <c r="J21" s="629"/>
      <c r="K21" s="148" t="s">
        <v>27</v>
      </c>
      <c r="L21" s="354">
        <v>262058</v>
      </c>
      <c r="M21" s="343">
        <v>246455</v>
      </c>
      <c r="N21" s="343">
        <v>260271</v>
      </c>
      <c r="O21" s="343">
        <v>269513</v>
      </c>
      <c r="P21" s="343">
        <v>242878</v>
      </c>
      <c r="Q21" s="343">
        <v>246550</v>
      </c>
      <c r="R21" s="297"/>
      <c r="S21" s="297"/>
      <c r="T21" s="297"/>
      <c r="U21" s="297"/>
      <c r="V21" s="297"/>
      <c r="W21" s="343"/>
      <c r="X21" s="480">
        <f t="shared" si="8"/>
        <v>1527725</v>
      </c>
      <c r="Y21" s="69"/>
      <c r="Z21" s="69"/>
    </row>
    <row r="22" spans="1:26">
      <c r="A22" s="114">
        <f t="shared" si="9"/>
        <v>2024024</v>
      </c>
      <c r="B22" s="74"/>
      <c r="C22" s="642"/>
      <c r="D22" s="645"/>
      <c r="E22" s="645"/>
      <c r="F22" s="645"/>
      <c r="G22" s="645"/>
      <c r="H22" s="648"/>
      <c r="I22" s="648"/>
      <c r="J22" s="629"/>
      <c r="K22" s="148" t="s">
        <v>34</v>
      </c>
      <c r="L22" s="354"/>
      <c r="M22" s="343"/>
      <c r="N22" s="343"/>
      <c r="O22" s="343"/>
      <c r="P22" s="343"/>
      <c r="Q22" s="343"/>
      <c r="R22" s="297"/>
      <c r="S22" s="297"/>
      <c r="T22" s="297"/>
      <c r="U22" s="297"/>
      <c r="V22" s="297"/>
      <c r="W22" s="343"/>
      <c r="X22" s="480">
        <f t="shared" si="8"/>
        <v>0</v>
      </c>
      <c r="Y22" s="69"/>
      <c r="Z22" s="69"/>
    </row>
    <row r="23" spans="1:26">
      <c r="A23" s="114">
        <f t="shared" si="9"/>
        <v>2024024</v>
      </c>
      <c r="B23" s="74"/>
      <c r="C23" s="642"/>
      <c r="D23" s="645"/>
      <c r="E23" s="645"/>
      <c r="F23" s="645"/>
      <c r="G23" s="645"/>
      <c r="H23" s="648"/>
      <c r="I23" s="648"/>
      <c r="J23" s="629"/>
      <c r="K23" s="148" t="s">
        <v>28</v>
      </c>
      <c r="L23" s="354">
        <v>12600</v>
      </c>
      <c r="M23" s="343">
        <v>12600</v>
      </c>
      <c r="N23" s="343">
        <v>10800</v>
      </c>
      <c r="O23" s="343">
        <v>10200</v>
      </c>
      <c r="P23" s="343">
        <v>7800</v>
      </c>
      <c r="Q23" s="343">
        <v>9600</v>
      </c>
      <c r="R23" s="297"/>
      <c r="S23" s="297"/>
      <c r="T23" s="297"/>
      <c r="U23" s="297"/>
      <c r="V23" s="297"/>
      <c r="W23" s="343"/>
      <c r="X23" s="480">
        <f t="shared" si="8"/>
        <v>63600</v>
      </c>
      <c r="Y23" s="69"/>
      <c r="Z23" s="69"/>
    </row>
    <row r="24" spans="1:26">
      <c r="A24" s="114">
        <f t="shared" si="9"/>
        <v>2024024</v>
      </c>
      <c r="B24" s="74"/>
      <c r="C24" s="642"/>
      <c r="D24" s="645"/>
      <c r="E24" s="645"/>
      <c r="F24" s="645"/>
      <c r="G24" s="645"/>
      <c r="H24" s="648"/>
      <c r="I24" s="648"/>
      <c r="J24" s="629"/>
      <c r="K24" s="148" t="s">
        <v>29</v>
      </c>
      <c r="L24" s="354">
        <v>11400</v>
      </c>
      <c r="M24" s="343">
        <v>11400</v>
      </c>
      <c r="N24" s="343">
        <v>11400</v>
      </c>
      <c r="O24" s="343">
        <v>11400</v>
      </c>
      <c r="P24" s="343">
        <v>11400</v>
      </c>
      <c r="Q24" s="343">
        <v>12350</v>
      </c>
      <c r="R24" s="297"/>
      <c r="S24" s="297"/>
      <c r="T24" s="297"/>
      <c r="U24" s="297"/>
      <c r="V24" s="297"/>
      <c r="W24" s="343"/>
      <c r="X24" s="480">
        <f t="shared" si="8"/>
        <v>69350</v>
      </c>
      <c r="Y24" s="69"/>
      <c r="Z24" s="69"/>
    </row>
    <row r="25" spans="1:26">
      <c r="A25" s="114">
        <f t="shared" si="9"/>
        <v>2024024</v>
      </c>
      <c r="B25" s="74"/>
      <c r="C25" s="642"/>
      <c r="D25" s="645"/>
      <c r="E25" s="645"/>
      <c r="F25" s="645"/>
      <c r="G25" s="645"/>
      <c r="H25" s="648"/>
      <c r="I25" s="648"/>
      <c r="J25" s="629"/>
      <c r="K25" s="148" t="s">
        <v>30</v>
      </c>
      <c r="L25" s="354">
        <v>21960</v>
      </c>
      <c r="M25" s="343">
        <v>21960</v>
      </c>
      <c r="N25" s="343">
        <v>21960</v>
      </c>
      <c r="O25" s="343">
        <v>21960</v>
      </c>
      <c r="P25" s="343">
        <v>21960</v>
      </c>
      <c r="Q25" s="343">
        <v>23790</v>
      </c>
      <c r="R25" s="297"/>
      <c r="S25" s="297"/>
      <c r="T25" s="297"/>
      <c r="U25" s="297"/>
      <c r="V25" s="297"/>
      <c r="W25" s="343"/>
      <c r="X25" s="480">
        <f t="shared" si="8"/>
        <v>133590</v>
      </c>
      <c r="Y25" s="69"/>
      <c r="Z25" s="69"/>
    </row>
    <row r="26" spans="1:26">
      <c r="A26" s="114">
        <f t="shared" si="9"/>
        <v>2024024</v>
      </c>
      <c r="B26" s="74"/>
      <c r="C26" s="642"/>
      <c r="D26" s="645"/>
      <c r="E26" s="645"/>
      <c r="F26" s="645"/>
      <c r="G26" s="645"/>
      <c r="H26" s="648"/>
      <c r="I26" s="648"/>
      <c r="J26" s="629"/>
      <c r="K26" s="148" t="s">
        <v>31</v>
      </c>
      <c r="L26" s="354">
        <v>1373</v>
      </c>
      <c r="M26" s="343">
        <v>1295</v>
      </c>
      <c r="N26" s="343">
        <v>1355</v>
      </c>
      <c r="O26" s="343">
        <v>1399</v>
      </c>
      <c r="P26" s="343">
        <v>1253</v>
      </c>
      <c r="Q26" s="343">
        <v>1281</v>
      </c>
      <c r="R26" s="297"/>
      <c r="S26" s="297"/>
      <c r="T26" s="297"/>
      <c r="U26" s="297"/>
      <c r="V26" s="297"/>
      <c r="W26" s="343"/>
      <c r="X26" s="480">
        <f t="shared" si="8"/>
        <v>7956</v>
      </c>
      <c r="Y26" s="69"/>
      <c r="Z26" s="69"/>
    </row>
    <row r="27" spans="1:26">
      <c r="A27" s="114">
        <f t="shared" si="9"/>
        <v>2024024</v>
      </c>
      <c r="B27" s="74"/>
      <c r="C27" s="642"/>
      <c r="D27" s="645"/>
      <c r="E27" s="645"/>
      <c r="F27" s="645"/>
      <c r="G27" s="645"/>
      <c r="H27" s="648"/>
      <c r="I27" s="648"/>
      <c r="J27" s="629"/>
      <c r="K27" s="148" t="s">
        <v>32</v>
      </c>
      <c r="L27" s="354">
        <v>1511</v>
      </c>
      <c r="M27" s="343">
        <v>1425</v>
      </c>
      <c r="N27" s="343">
        <v>1491</v>
      </c>
      <c r="O27" s="343">
        <v>1538</v>
      </c>
      <c r="P27" s="343">
        <v>1379</v>
      </c>
      <c r="Q27" s="343">
        <v>1409</v>
      </c>
      <c r="R27" s="297"/>
      <c r="S27" s="297"/>
      <c r="T27" s="297"/>
      <c r="U27" s="297"/>
      <c r="V27" s="297"/>
      <c r="W27" s="343"/>
      <c r="X27" s="480">
        <f t="shared" si="8"/>
        <v>8753</v>
      </c>
      <c r="Y27" s="69"/>
      <c r="Z27" s="69"/>
    </row>
    <row r="28" spans="1:26">
      <c r="A28" s="114">
        <f>+A27</f>
        <v>2024024</v>
      </c>
      <c r="B28" s="74"/>
      <c r="C28" s="654"/>
      <c r="D28" s="655"/>
      <c r="E28" s="655"/>
      <c r="F28" s="655"/>
      <c r="G28" s="655"/>
      <c r="H28" s="652"/>
      <c r="I28" s="652"/>
      <c r="J28" s="630"/>
      <c r="K28" s="149" t="s">
        <v>33</v>
      </c>
      <c r="L28" s="356">
        <f t="shared" ref="L28:T28" si="11">L17-L20</f>
        <v>40738</v>
      </c>
      <c r="M28" s="345">
        <f t="shared" si="11"/>
        <v>34085</v>
      </c>
      <c r="N28" s="345">
        <f t="shared" si="11"/>
        <v>67963</v>
      </c>
      <c r="O28" s="345">
        <f t="shared" si="11"/>
        <v>54510</v>
      </c>
      <c r="P28" s="345">
        <f t="shared" si="11"/>
        <v>-15270</v>
      </c>
      <c r="Q28" s="345">
        <f t="shared" si="11"/>
        <v>20</v>
      </c>
      <c r="R28" s="412">
        <f t="shared" si="11"/>
        <v>1340842</v>
      </c>
      <c r="S28" s="412">
        <f t="shared" si="11"/>
        <v>0</v>
      </c>
      <c r="T28" s="412">
        <f t="shared" si="11"/>
        <v>0</v>
      </c>
      <c r="U28" s="412">
        <f t="shared" ref="U28:W28" si="12">U17-U20</f>
        <v>0</v>
      </c>
      <c r="V28" s="412">
        <f t="shared" si="12"/>
        <v>0</v>
      </c>
      <c r="W28" s="345">
        <f t="shared" si="12"/>
        <v>0</v>
      </c>
      <c r="X28" s="485">
        <f>X17-X20</f>
        <v>1522888</v>
      </c>
      <c r="Z28" s="69"/>
    </row>
    <row r="29" spans="1:26" ht="12.75" customHeight="1">
      <c r="A29" s="113">
        <v>2024042</v>
      </c>
      <c r="C29" s="641">
        <f>C17+1</f>
        <v>3</v>
      </c>
      <c r="D29" s="644" t="s">
        <v>94</v>
      </c>
      <c r="E29" s="644"/>
      <c r="F29" s="644"/>
      <c r="G29" s="644"/>
      <c r="H29" s="647" t="s">
        <v>133</v>
      </c>
      <c r="I29" s="647"/>
      <c r="J29" s="628" t="s">
        <v>55</v>
      </c>
      <c r="K29" s="242" t="s">
        <v>23</v>
      </c>
      <c r="L29" s="294">
        <f t="shared" ref="L29:W29" si="13">L30+L31</f>
        <v>520000</v>
      </c>
      <c r="M29" s="409">
        <f t="shared" si="13"/>
        <v>520000</v>
      </c>
      <c r="N29" s="409">
        <f t="shared" si="13"/>
        <v>520000</v>
      </c>
      <c r="O29" s="409">
        <f t="shared" si="13"/>
        <v>530000</v>
      </c>
      <c r="P29" s="409">
        <f t="shared" si="13"/>
        <v>367810</v>
      </c>
      <c r="Q29" s="409">
        <f t="shared" si="13"/>
        <v>414150</v>
      </c>
      <c r="R29" s="409">
        <f t="shared" si="13"/>
        <v>530000</v>
      </c>
      <c r="S29" s="409">
        <f t="shared" si="13"/>
        <v>405875</v>
      </c>
      <c r="T29" s="409">
        <f t="shared" si="13"/>
        <v>530000</v>
      </c>
      <c r="U29" s="409">
        <f t="shared" si="13"/>
        <v>540000</v>
      </c>
      <c r="V29" s="409">
        <f t="shared" si="13"/>
        <v>475780</v>
      </c>
      <c r="W29" s="216">
        <f t="shared" si="13"/>
        <v>520000</v>
      </c>
      <c r="X29" s="122">
        <f t="shared" ref="X29:X39" si="14">SUM(L29:W29)</f>
        <v>5873615</v>
      </c>
      <c r="Z29" s="69"/>
    </row>
    <row r="30" spans="1:26">
      <c r="A30" s="114">
        <f>+A29</f>
        <v>2024042</v>
      </c>
      <c r="B30" s="74"/>
      <c r="C30" s="642"/>
      <c r="D30" s="645"/>
      <c r="E30" s="645"/>
      <c r="F30" s="645"/>
      <c r="G30" s="645"/>
      <c r="H30" s="648"/>
      <c r="I30" s="648"/>
      <c r="J30" s="629"/>
      <c r="K30" s="146" t="s">
        <v>24</v>
      </c>
      <c r="L30" s="295">
        <v>520000</v>
      </c>
      <c r="M30" s="297">
        <v>520000</v>
      </c>
      <c r="N30" s="297">
        <v>520000</v>
      </c>
      <c r="O30" s="297">
        <v>530000</v>
      </c>
      <c r="P30" s="297">
        <v>367810</v>
      </c>
      <c r="Q30" s="297">
        <v>414150</v>
      </c>
      <c r="R30" s="297">
        <v>530000</v>
      </c>
      <c r="S30" s="297">
        <v>405875</v>
      </c>
      <c r="T30" s="297">
        <v>530000</v>
      </c>
      <c r="U30" s="297">
        <v>540000</v>
      </c>
      <c r="V30" s="297">
        <v>475780</v>
      </c>
      <c r="W30" s="91">
        <v>520000</v>
      </c>
      <c r="X30" s="58">
        <f t="shared" si="14"/>
        <v>5873615</v>
      </c>
      <c r="Y30" s="69"/>
      <c r="Z30" s="69"/>
    </row>
    <row r="31" spans="1:26">
      <c r="A31" s="114">
        <f>+A30</f>
        <v>2024042</v>
      </c>
      <c r="B31" s="74"/>
      <c r="C31" s="642"/>
      <c r="D31" s="645"/>
      <c r="E31" s="645"/>
      <c r="F31" s="645"/>
      <c r="G31" s="645"/>
      <c r="H31" s="648"/>
      <c r="I31" s="648"/>
      <c r="J31" s="629"/>
      <c r="K31" s="146" t="s">
        <v>25</v>
      </c>
      <c r="L31" s="295"/>
      <c r="M31" s="297"/>
      <c r="N31" s="297"/>
      <c r="O31" s="297"/>
      <c r="P31" s="297"/>
      <c r="Q31" s="297"/>
      <c r="R31" s="297"/>
      <c r="S31" s="297"/>
      <c r="T31" s="297"/>
      <c r="U31" s="297"/>
      <c r="V31" s="297"/>
      <c r="W31" s="284"/>
      <c r="X31" s="58">
        <f t="shared" si="14"/>
        <v>0</v>
      </c>
      <c r="Z31" s="69"/>
    </row>
    <row r="32" spans="1:26">
      <c r="A32" s="114">
        <f t="shared" ref="A32:A39" si="15">+A31</f>
        <v>2024042</v>
      </c>
      <c r="B32" s="74"/>
      <c r="C32" s="642"/>
      <c r="D32" s="645"/>
      <c r="E32" s="645"/>
      <c r="F32" s="645"/>
      <c r="G32" s="645"/>
      <c r="H32" s="648"/>
      <c r="I32" s="648"/>
      <c r="J32" s="629"/>
      <c r="K32" s="147" t="s">
        <v>26</v>
      </c>
      <c r="L32" s="296">
        <f t="shared" ref="L32:W32" si="16">SUM(L33:L39)</f>
        <v>399673</v>
      </c>
      <c r="M32" s="411">
        <f t="shared" si="16"/>
        <v>399673</v>
      </c>
      <c r="N32" s="411">
        <f t="shared" si="16"/>
        <v>388557</v>
      </c>
      <c r="O32" s="411">
        <f t="shared" si="16"/>
        <v>415841</v>
      </c>
      <c r="P32" s="411">
        <f t="shared" si="16"/>
        <v>404725</v>
      </c>
      <c r="Q32" s="411">
        <f t="shared" si="16"/>
        <v>401945</v>
      </c>
      <c r="R32" s="411">
        <f t="shared" si="16"/>
        <v>411489</v>
      </c>
      <c r="S32" s="411">
        <f t="shared" si="16"/>
        <v>358996</v>
      </c>
      <c r="T32" s="411">
        <f t="shared" si="16"/>
        <v>401945</v>
      </c>
      <c r="U32" s="411">
        <f t="shared" si="16"/>
        <v>401998</v>
      </c>
      <c r="V32" s="411">
        <f t="shared" si="16"/>
        <v>396681</v>
      </c>
      <c r="W32" s="285">
        <f t="shared" si="16"/>
        <v>399673</v>
      </c>
      <c r="X32" s="59">
        <f t="shared" si="14"/>
        <v>4781196</v>
      </c>
      <c r="Z32" s="69"/>
    </row>
    <row r="33" spans="1:26">
      <c r="A33" s="114">
        <f t="shared" si="15"/>
        <v>2024042</v>
      </c>
      <c r="B33" s="74"/>
      <c r="C33" s="642"/>
      <c r="D33" s="645"/>
      <c r="E33" s="645"/>
      <c r="F33" s="645"/>
      <c r="G33" s="645"/>
      <c r="H33" s="648"/>
      <c r="I33" s="648"/>
      <c r="J33" s="629"/>
      <c r="K33" s="148" t="s">
        <v>27</v>
      </c>
      <c r="L33" s="295">
        <v>335000</v>
      </c>
      <c r="M33" s="297">
        <v>335000</v>
      </c>
      <c r="N33" s="297">
        <v>335000</v>
      </c>
      <c r="O33" s="297">
        <v>340000</v>
      </c>
      <c r="P33" s="297">
        <v>340000</v>
      </c>
      <c r="Q33" s="297">
        <v>340000</v>
      </c>
      <c r="R33" s="297">
        <v>349445</v>
      </c>
      <c r="S33" s="297">
        <v>297497</v>
      </c>
      <c r="T33" s="297">
        <v>340000</v>
      </c>
      <c r="U33" s="297">
        <v>340000</v>
      </c>
      <c r="V33" s="297">
        <v>334610</v>
      </c>
      <c r="W33" s="91">
        <v>335000</v>
      </c>
      <c r="X33" s="58">
        <f t="shared" si="14"/>
        <v>4021552</v>
      </c>
      <c r="Y33" s="69"/>
      <c r="Z33" s="69"/>
    </row>
    <row r="34" spans="1:26">
      <c r="A34" s="114">
        <f t="shared" si="15"/>
        <v>2024042</v>
      </c>
      <c r="B34" s="74"/>
      <c r="C34" s="642"/>
      <c r="D34" s="645"/>
      <c r="E34" s="645"/>
      <c r="F34" s="645"/>
      <c r="G34" s="645"/>
      <c r="H34" s="648"/>
      <c r="I34" s="648"/>
      <c r="J34" s="629"/>
      <c r="K34" s="148" t="s">
        <v>34</v>
      </c>
      <c r="L34" s="295"/>
      <c r="M34" s="297"/>
      <c r="N34" s="297"/>
      <c r="O34" s="297"/>
      <c r="P34" s="297"/>
      <c r="Q34" s="297"/>
      <c r="R34" s="297"/>
      <c r="S34" s="297"/>
      <c r="T34" s="297"/>
      <c r="U34" s="297"/>
      <c r="V34" s="297"/>
      <c r="W34" s="91"/>
      <c r="X34" s="58">
        <f t="shared" si="14"/>
        <v>0</v>
      </c>
      <c r="Y34" s="69"/>
      <c r="Z34" s="69"/>
    </row>
    <row r="35" spans="1:26">
      <c r="A35" s="114">
        <f t="shared" si="15"/>
        <v>2024042</v>
      </c>
      <c r="B35" s="74"/>
      <c r="C35" s="642"/>
      <c r="D35" s="645"/>
      <c r="E35" s="645"/>
      <c r="F35" s="645"/>
      <c r="G35" s="645"/>
      <c r="H35" s="648"/>
      <c r="I35" s="648"/>
      <c r="J35" s="629"/>
      <c r="K35" s="148" t="s">
        <v>28</v>
      </c>
      <c r="L35" s="295">
        <v>11000</v>
      </c>
      <c r="M35" s="297">
        <v>11000</v>
      </c>
      <c r="N35" s="297">
        <v>0</v>
      </c>
      <c r="O35" s="297">
        <v>22000</v>
      </c>
      <c r="P35" s="297">
        <v>11000</v>
      </c>
      <c r="Q35" s="297">
        <v>11000</v>
      </c>
      <c r="R35" s="297">
        <v>11000</v>
      </c>
      <c r="S35" s="297">
        <v>11000</v>
      </c>
      <c r="T35" s="297">
        <v>11000</v>
      </c>
      <c r="U35" s="297">
        <v>11000</v>
      </c>
      <c r="V35" s="297">
        <v>11000</v>
      </c>
      <c r="W35" s="91">
        <v>11000</v>
      </c>
      <c r="X35" s="58">
        <f t="shared" si="14"/>
        <v>132000</v>
      </c>
      <c r="Y35" s="69"/>
      <c r="Z35" s="69"/>
    </row>
    <row r="36" spans="1:26">
      <c r="A36" s="114">
        <f t="shared" si="15"/>
        <v>2024042</v>
      </c>
      <c r="B36" s="74"/>
      <c r="C36" s="642"/>
      <c r="D36" s="645"/>
      <c r="E36" s="645"/>
      <c r="F36" s="645"/>
      <c r="G36" s="645"/>
      <c r="H36" s="648"/>
      <c r="I36" s="648"/>
      <c r="J36" s="629"/>
      <c r="K36" s="148" t="s">
        <v>29</v>
      </c>
      <c r="L36" s="295">
        <v>17100</v>
      </c>
      <c r="M36" s="297">
        <v>17100</v>
      </c>
      <c r="N36" s="297">
        <v>17100</v>
      </c>
      <c r="O36" s="297">
        <v>17100</v>
      </c>
      <c r="P36" s="297">
        <v>17100</v>
      </c>
      <c r="Q36" s="297">
        <v>16150</v>
      </c>
      <c r="R36" s="297">
        <v>16150</v>
      </c>
      <c r="S36" s="297">
        <v>16150</v>
      </c>
      <c r="T36" s="297">
        <v>16150</v>
      </c>
      <c r="U36" s="297">
        <v>16150</v>
      </c>
      <c r="V36" s="297">
        <v>16150</v>
      </c>
      <c r="W36" s="91">
        <v>17100</v>
      </c>
      <c r="X36" s="58">
        <f t="shared" si="14"/>
        <v>199500</v>
      </c>
      <c r="Y36" s="69"/>
      <c r="Z36" s="69"/>
    </row>
    <row r="37" spans="1:26">
      <c r="A37" s="114">
        <f t="shared" si="15"/>
        <v>2024042</v>
      </c>
      <c r="B37" s="74"/>
      <c r="C37" s="642"/>
      <c r="D37" s="645"/>
      <c r="E37" s="645"/>
      <c r="F37" s="645"/>
      <c r="G37" s="645"/>
      <c r="H37" s="648"/>
      <c r="I37" s="648"/>
      <c r="J37" s="629"/>
      <c r="K37" s="148" t="s">
        <v>30</v>
      </c>
      <c r="L37" s="295">
        <v>32940</v>
      </c>
      <c r="M37" s="297">
        <v>32940</v>
      </c>
      <c r="N37" s="297">
        <v>32940</v>
      </c>
      <c r="O37" s="297">
        <v>32940</v>
      </c>
      <c r="P37" s="297">
        <v>32940</v>
      </c>
      <c r="Q37" s="297">
        <v>31110</v>
      </c>
      <c r="R37" s="297">
        <v>31110</v>
      </c>
      <c r="S37" s="297">
        <v>31110</v>
      </c>
      <c r="T37" s="297">
        <v>31110</v>
      </c>
      <c r="U37" s="297">
        <v>31110</v>
      </c>
      <c r="V37" s="297">
        <v>31110</v>
      </c>
      <c r="W37" s="91">
        <v>32940</v>
      </c>
      <c r="X37" s="58">
        <f t="shared" si="14"/>
        <v>384300</v>
      </c>
      <c r="Y37" s="69"/>
      <c r="Z37" s="69"/>
    </row>
    <row r="38" spans="1:26">
      <c r="A38" s="114">
        <f t="shared" si="15"/>
        <v>2024042</v>
      </c>
      <c r="B38" s="74"/>
      <c r="C38" s="642"/>
      <c r="D38" s="645"/>
      <c r="E38" s="645"/>
      <c r="F38" s="645"/>
      <c r="G38" s="645"/>
      <c r="H38" s="648"/>
      <c r="I38" s="648"/>
      <c r="J38" s="629"/>
      <c r="K38" s="148" t="s">
        <v>31</v>
      </c>
      <c r="L38" s="295">
        <v>1730</v>
      </c>
      <c r="M38" s="297">
        <v>1730</v>
      </c>
      <c r="N38" s="297">
        <v>1675</v>
      </c>
      <c r="O38" s="297">
        <v>1810</v>
      </c>
      <c r="P38" s="297">
        <v>1755</v>
      </c>
      <c r="Q38" s="297">
        <v>1755</v>
      </c>
      <c r="R38" s="297">
        <v>1802</v>
      </c>
      <c r="S38" s="297">
        <v>1542</v>
      </c>
      <c r="T38" s="297">
        <v>1755</v>
      </c>
      <c r="U38" s="297">
        <v>1780</v>
      </c>
      <c r="V38" s="297">
        <v>1815</v>
      </c>
      <c r="W38" s="91">
        <v>1730</v>
      </c>
      <c r="X38" s="58">
        <f t="shared" si="14"/>
        <v>20879</v>
      </c>
      <c r="Y38" s="69"/>
      <c r="Z38" s="69"/>
    </row>
    <row r="39" spans="1:26">
      <c r="A39" s="114">
        <f t="shared" si="15"/>
        <v>2024042</v>
      </c>
      <c r="B39" s="74"/>
      <c r="C39" s="642"/>
      <c r="D39" s="645"/>
      <c r="E39" s="645"/>
      <c r="F39" s="645"/>
      <c r="G39" s="645"/>
      <c r="H39" s="648"/>
      <c r="I39" s="648"/>
      <c r="J39" s="629"/>
      <c r="K39" s="148" t="s">
        <v>32</v>
      </c>
      <c r="L39" s="295">
        <v>1903</v>
      </c>
      <c r="M39" s="297">
        <v>1903</v>
      </c>
      <c r="N39" s="297">
        <v>1842</v>
      </c>
      <c r="O39" s="297">
        <v>1991</v>
      </c>
      <c r="P39" s="297">
        <v>1930</v>
      </c>
      <c r="Q39" s="297">
        <v>1930</v>
      </c>
      <c r="R39" s="297">
        <v>1982</v>
      </c>
      <c r="S39" s="297">
        <v>1697</v>
      </c>
      <c r="T39" s="297">
        <v>1930</v>
      </c>
      <c r="U39" s="297">
        <v>1958</v>
      </c>
      <c r="V39" s="297">
        <v>1996</v>
      </c>
      <c r="W39" s="91">
        <v>1903</v>
      </c>
      <c r="X39" s="58">
        <f t="shared" si="14"/>
        <v>22965</v>
      </c>
      <c r="Y39" s="69"/>
      <c r="Z39" s="69"/>
    </row>
    <row r="40" spans="1:26">
      <c r="A40" s="114">
        <f>+A39</f>
        <v>2024042</v>
      </c>
      <c r="B40" s="74"/>
      <c r="C40" s="654"/>
      <c r="D40" s="655"/>
      <c r="E40" s="655"/>
      <c r="F40" s="655"/>
      <c r="G40" s="655"/>
      <c r="H40" s="652"/>
      <c r="I40" s="652"/>
      <c r="J40" s="630"/>
      <c r="K40" s="149" t="s">
        <v>33</v>
      </c>
      <c r="L40" s="298">
        <f t="shared" ref="L40:W40" si="17">L29-L32</f>
        <v>120327</v>
      </c>
      <c r="M40" s="412">
        <f t="shared" si="17"/>
        <v>120327</v>
      </c>
      <c r="N40" s="412">
        <f t="shared" si="17"/>
        <v>131443</v>
      </c>
      <c r="O40" s="412">
        <f t="shared" si="17"/>
        <v>114159</v>
      </c>
      <c r="P40" s="412">
        <f t="shared" si="17"/>
        <v>-36915</v>
      </c>
      <c r="Q40" s="412">
        <f t="shared" si="17"/>
        <v>12205</v>
      </c>
      <c r="R40" s="412">
        <f t="shared" si="17"/>
        <v>118511</v>
      </c>
      <c r="S40" s="412">
        <f t="shared" si="17"/>
        <v>46879</v>
      </c>
      <c r="T40" s="412">
        <f t="shared" si="17"/>
        <v>128055</v>
      </c>
      <c r="U40" s="412">
        <f t="shared" si="17"/>
        <v>138002</v>
      </c>
      <c r="V40" s="412">
        <f t="shared" si="17"/>
        <v>79099</v>
      </c>
      <c r="W40" s="100">
        <f t="shared" si="17"/>
        <v>120327</v>
      </c>
      <c r="X40" s="43">
        <f>X29-X32</f>
        <v>1092419</v>
      </c>
      <c r="Z40" s="69"/>
    </row>
    <row r="41" spans="1:26" ht="12.75" customHeight="1">
      <c r="A41" s="113">
        <v>2024009</v>
      </c>
      <c r="C41" s="641">
        <f>C29+1</f>
        <v>4</v>
      </c>
      <c r="D41" s="644" t="s">
        <v>94</v>
      </c>
      <c r="E41" s="644"/>
      <c r="F41" s="644"/>
      <c r="G41" s="644"/>
      <c r="H41" s="647" t="s">
        <v>133</v>
      </c>
      <c r="I41" s="647"/>
      <c r="J41" s="628" t="s">
        <v>55</v>
      </c>
      <c r="K41" s="242" t="s">
        <v>23</v>
      </c>
      <c r="L41" s="294">
        <f t="shared" ref="L41:W41" si="18">L42+L43</f>
        <v>494050</v>
      </c>
      <c r="M41" s="409">
        <f t="shared" si="18"/>
        <v>443010</v>
      </c>
      <c r="N41" s="409">
        <f t="shared" si="18"/>
        <v>510000</v>
      </c>
      <c r="O41" s="409">
        <f t="shared" si="18"/>
        <v>510000</v>
      </c>
      <c r="P41" s="409">
        <f t="shared" si="18"/>
        <v>510000</v>
      </c>
      <c r="Q41" s="409">
        <f t="shared" si="18"/>
        <v>510000</v>
      </c>
      <c r="R41" s="409">
        <f t="shared" si="18"/>
        <v>510000</v>
      </c>
      <c r="S41" s="409">
        <f t="shared" si="18"/>
        <v>510000</v>
      </c>
      <c r="T41" s="409">
        <f t="shared" si="18"/>
        <v>510000</v>
      </c>
      <c r="U41" s="409">
        <f t="shared" si="18"/>
        <v>479375</v>
      </c>
      <c r="V41" s="409">
        <f t="shared" si="18"/>
        <v>520000</v>
      </c>
      <c r="W41" s="216">
        <f t="shared" si="18"/>
        <v>510000</v>
      </c>
      <c r="X41" s="122">
        <f t="shared" ref="X41:X51" si="19">SUM(L41:W41)</f>
        <v>6016435</v>
      </c>
      <c r="Z41" s="69"/>
    </row>
    <row r="42" spans="1:26">
      <c r="A42" s="114">
        <f>+A41</f>
        <v>2024009</v>
      </c>
      <c r="B42" s="74"/>
      <c r="C42" s="642"/>
      <c r="D42" s="645"/>
      <c r="E42" s="645"/>
      <c r="F42" s="645"/>
      <c r="G42" s="645"/>
      <c r="H42" s="648"/>
      <c r="I42" s="648"/>
      <c r="J42" s="629"/>
      <c r="K42" s="146" t="s">
        <v>24</v>
      </c>
      <c r="L42" s="297">
        <v>494050</v>
      </c>
      <c r="M42" s="297">
        <v>443010</v>
      </c>
      <c r="N42" s="297">
        <v>510000</v>
      </c>
      <c r="O42" s="297">
        <v>510000</v>
      </c>
      <c r="P42" s="297">
        <v>510000</v>
      </c>
      <c r="Q42" s="297">
        <v>510000</v>
      </c>
      <c r="R42" s="297">
        <v>510000</v>
      </c>
      <c r="S42" s="297">
        <v>510000</v>
      </c>
      <c r="T42" s="297">
        <v>510000</v>
      </c>
      <c r="U42" s="297">
        <v>479375</v>
      </c>
      <c r="V42" s="297">
        <v>520000</v>
      </c>
      <c r="W42" s="91">
        <v>510000</v>
      </c>
      <c r="X42" s="58">
        <f t="shared" si="19"/>
        <v>6016435</v>
      </c>
      <c r="Y42" s="69"/>
      <c r="Z42" s="69"/>
    </row>
    <row r="43" spans="1:26">
      <c r="A43" s="114">
        <f>+A42</f>
        <v>2024009</v>
      </c>
      <c r="B43" s="74"/>
      <c r="C43" s="642"/>
      <c r="D43" s="645"/>
      <c r="E43" s="645"/>
      <c r="F43" s="645"/>
      <c r="G43" s="645"/>
      <c r="H43" s="648"/>
      <c r="I43" s="648"/>
      <c r="J43" s="629"/>
      <c r="K43" s="146" t="s">
        <v>25</v>
      </c>
      <c r="L43" s="295"/>
      <c r="M43" s="297"/>
      <c r="N43" s="297"/>
      <c r="O43" s="297"/>
      <c r="P43" s="297"/>
      <c r="Q43" s="297"/>
      <c r="R43" s="297"/>
      <c r="S43" s="297"/>
      <c r="T43" s="297"/>
      <c r="U43" s="297"/>
      <c r="V43" s="297"/>
      <c r="W43" s="284"/>
      <c r="X43" s="58">
        <f t="shared" si="19"/>
        <v>0</v>
      </c>
      <c r="Z43" s="69"/>
    </row>
    <row r="44" spans="1:26">
      <c r="A44" s="114">
        <f t="shared" ref="A44:A51" si="20">+A43</f>
        <v>2024009</v>
      </c>
      <c r="B44" s="74"/>
      <c r="C44" s="642"/>
      <c r="D44" s="645"/>
      <c r="E44" s="645"/>
      <c r="F44" s="645"/>
      <c r="G44" s="645"/>
      <c r="H44" s="648"/>
      <c r="I44" s="648"/>
      <c r="J44" s="629"/>
      <c r="K44" s="147" t="s">
        <v>26</v>
      </c>
      <c r="L44" s="296">
        <f t="shared" ref="L44:W44" si="21">SUM(L45:L51)</f>
        <v>318968</v>
      </c>
      <c r="M44" s="411">
        <f t="shared" si="21"/>
        <v>311247</v>
      </c>
      <c r="N44" s="411">
        <f t="shared" si="21"/>
        <v>311247</v>
      </c>
      <c r="O44" s="411">
        <f t="shared" si="21"/>
        <v>311247</v>
      </c>
      <c r="P44" s="411">
        <f t="shared" si="21"/>
        <v>316807</v>
      </c>
      <c r="Q44" s="411">
        <f t="shared" si="21"/>
        <v>316807</v>
      </c>
      <c r="R44" s="411">
        <f t="shared" si="21"/>
        <v>347206</v>
      </c>
      <c r="S44" s="411">
        <f t="shared" si="21"/>
        <v>316807</v>
      </c>
      <c r="T44" s="411">
        <f t="shared" si="21"/>
        <v>316807</v>
      </c>
      <c r="U44" s="411">
        <f t="shared" si="21"/>
        <v>317364</v>
      </c>
      <c r="V44" s="411">
        <f t="shared" si="21"/>
        <v>324064</v>
      </c>
      <c r="W44" s="285">
        <f t="shared" si="21"/>
        <v>311328</v>
      </c>
      <c r="X44" s="59">
        <f t="shared" si="19"/>
        <v>3819899</v>
      </c>
      <c r="Z44" s="69"/>
    </row>
    <row r="45" spans="1:26">
      <c r="A45" s="114">
        <f t="shared" si="20"/>
        <v>2024009</v>
      </c>
      <c r="B45" s="74"/>
      <c r="C45" s="642"/>
      <c r="D45" s="645"/>
      <c r="E45" s="645"/>
      <c r="F45" s="645"/>
      <c r="G45" s="645"/>
      <c r="H45" s="648"/>
      <c r="I45" s="648"/>
      <c r="J45" s="629"/>
      <c r="K45" s="148" t="s">
        <v>27</v>
      </c>
      <c r="L45" s="297">
        <v>282640</v>
      </c>
      <c r="M45" s="297">
        <v>275000</v>
      </c>
      <c r="N45" s="297">
        <v>275000</v>
      </c>
      <c r="O45" s="297">
        <v>275000</v>
      </c>
      <c r="P45" s="297">
        <v>275000</v>
      </c>
      <c r="Q45" s="297">
        <v>275000</v>
      </c>
      <c r="R45" s="297">
        <v>305083</v>
      </c>
      <c r="S45" s="297">
        <v>275000</v>
      </c>
      <c r="T45" s="297">
        <v>275000</v>
      </c>
      <c r="U45" s="297">
        <v>275478</v>
      </c>
      <c r="V45" s="297">
        <v>282000</v>
      </c>
      <c r="W45" s="91">
        <v>275000</v>
      </c>
      <c r="X45" s="58">
        <f t="shared" si="19"/>
        <v>3345201</v>
      </c>
      <c r="Y45" s="69"/>
      <c r="Z45" s="69"/>
    </row>
    <row r="46" spans="1:26">
      <c r="A46" s="114">
        <f t="shared" si="20"/>
        <v>2024009</v>
      </c>
      <c r="B46" s="74"/>
      <c r="C46" s="642"/>
      <c r="D46" s="645"/>
      <c r="E46" s="645"/>
      <c r="F46" s="645"/>
      <c r="G46" s="645"/>
      <c r="H46" s="648"/>
      <c r="I46" s="648"/>
      <c r="J46" s="629"/>
      <c r="K46" s="148" t="s">
        <v>34</v>
      </c>
      <c r="L46" s="297"/>
      <c r="M46" s="297"/>
      <c r="N46" s="297"/>
      <c r="O46" s="297"/>
      <c r="P46" s="297"/>
      <c r="Q46" s="297"/>
      <c r="R46" s="297"/>
      <c r="S46" s="297"/>
      <c r="T46" s="297"/>
      <c r="U46" s="297"/>
      <c r="V46" s="297"/>
      <c r="W46" s="91"/>
      <c r="X46" s="58">
        <f t="shared" si="19"/>
        <v>0</v>
      </c>
      <c r="Y46" s="69"/>
      <c r="Z46" s="69"/>
    </row>
    <row r="47" spans="1:26">
      <c r="A47" s="114">
        <f t="shared" si="20"/>
        <v>2024009</v>
      </c>
      <c r="B47" s="74"/>
      <c r="C47" s="642"/>
      <c r="D47" s="645"/>
      <c r="E47" s="645"/>
      <c r="F47" s="645"/>
      <c r="G47" s="645"/>
      <c r="H47" s="648"/>
      <c r="I47" s="648"/>
      <c r="J47" s="629"/>
      <c r="K47" s="148" t="s">
        <v>28</v>
      </c>
      <c r="L47" s="297">
        <v>0</v>
      </c>
      <c r="M47" s="297">
        <v>0</v>
      </c>
      <c r="N47" s="297">
        <v>0</v>
      </c>
      <c r="O47" s="297">
        <v>0</v>
      </c>
      <c r="P47" s="297">
        <v>0</v>
      </c>
      <c r="Q47" s="297">
        <v>0</v>
      </c>
      <c r="R47" s="297">
        <v>0</v>
      </c>
      <c r="S47" s="297">
        <v>0</v>
      </c>
      <c r="T47" s="297">
        <v>0</v>
      </c>
      <c r="U47" s="297">
        <v>0</v>
      </c>
      <c r="V47" s="297">
        <v>0</v>
      </c>
      <c r="W47" s="91">
        <v>0</v>
      </c>
      <c r="X47" s="58">
        <f t="shared" si="19"/>
        <v>0</v>
      </c>
      <c r="Y47" s="69"/>
      <c r="Z47" s="69"/>
    </row>
    <row r="48" spans="1:26">
      <c r="A48" s="114">
        <f t="shared" si="20"/>
        <v>2024009</v>
      </c>
      <c r="B48" s="74"/>
      <c r="C48" s="642"/>
      <c r="D48" s="645"/>
      <c r="E48" s="645"/>
      <c r="F48" s="645"/>
      <c r="G48" s="645"/>
      <c r="H48" s="648"/>
      <c r="I48" s="648"/>
      <c r="J48" s="629"/>
      <c r="K48" s="148" t="s">
        <v>29</v>
      </c>
      <c r="L48" s="297">
        <v>11400</v>
      </c>
      <c r="M48" s="297">
        <v>11400</v>
      </c>
      <c r="N48" s="297">
        <v>11400</v>
      </c>
      <c r="O48" s="297">
        <v>11400</v>
      </c>
      <c r="P48" s="297">
        <v>13300</v>
      </c>
      <c r="Q48" s="297">
        <v>13300</v>
      </c>
      <c r="R48" s="297">
        <v>13300</v>
      </c>
      <c r="S48" s="297">
        <v>13300</v>
      </c>
      <c r="T48" s="297">
        <v>13300</v>
      </c>
      <c r="U48" s="297">
        <v>13300</v>
      </c>
      <c r="V48" s="297">
        <v>13300</v>
      </c>
      <c r="W48" s="91">
        <v>11400</v>
      </c>
      <c r="X48" s="58">
        <f t="shared" si="19"/>
        <v>150100</v>
      </c>
      <c r="Y48" s="69"/>
      <c r="Z48" s="69"/>
    </row>
    <row r="49" spans="1:26">
      <c r="A49" s="114">
        <f t="shared" si="20"/>
        <v>2024009</v>
      </c>
      <c r="B49" s="74"/>
      <c r="C49" s="642"/>
      <c r="D49" s="645"/>
      <c r="E49" s="645"/>
      <c r="F49" s="645"/>
      <c r="G49" s="645"/>
      <c r="H49" s="648"/>
      <c r="I49" s="648"/>
      <c r="J49" s="629"/>
      <c r="K49" s="148" t="s">
        <v>30</v>
      </c>
      <c r="L49" s="297">
        <v>21960</v>
      </c>
      <c r="M49" s="297">
        <v>21960</v>
      </c>
      <c r="N49" s="297">
        <v>21960</v>
      </c>
      <c r="O49" s="297">
        <v>21960</v>
      </c>
      <c r="P49" s="297">
        <v>25620</v>
      </c>
      <c r="Q49" s="297">
        <v>25620</v>
      </c>
      <c r="R49" s="297">
        <v>25620</v>
      </c>
      <c r="S49" s="297">
        <v>25620</v>
      </c>
      <c r="T49" s="297">
        <v>25620</v>
      </c>
      <c r="U49" s="297">
        <v>25620</v>
      </c>
      <c r="V49" s="297">
        <v>25620</v>
      </c>
      <c r="W49" s="91">
        <v>21960</v>
      </c>
      <c r="X49" s="58">
        <f t="shared" si="19"/>
        <v>289140</v>
      </c>
      <c r="Y49" s="69"/>
      <c r="Z49" s="69"/>
    </row>
    <row r="50" spans="1:26">
      <c r="A50" s="114">
        <f t="shared" si="20"/>
        <v>2024009</v>
      </c>
      <c r="B50" s="74"/>
      <c r="C50" s="642"/>
      <c r="D50" s="645"/>
      <c r="E50" s="645"/>
      <c r="F50" s="645"/>
      <c r="G50" s="645"/>
      <c r="H50" s="648"/>
      <c r="I50" s="648"/>
      <c r="J50" s="629"/>
      <c r="K50" s="148" t="s">
        <v>31</v>
      </c>
      <c r="L50" s="297">
        <v>1413</v>
      </c>
      <c r="M50" s="297">
        <v>1375</v>
      </c>
      <c r="N50" s="297">
        <v>1375</v>
      </c>
      <c r="O50" s="297">
        <v>1375</v>
      </c>
      <c r="P50" s="297">
        <v>1375</v>
      </c>
      <c r="Q50" s="297">
        <v>1375</v>
      </c>
      <c r="R50" s="297">
        <v>1525</v>
      </c>
      <c r="S50" s="297">
        <v>1375</v>
      </c>
      <c r="T50" s="297">
        <v>1375</v>
      </c>
      <c r="U50" s="297">
        <v>1412</v>
      </c>
      <c r="V50" s="297">
        <v>1497</v>
      </c>
      <c r="W50" s="91">
        <v>1413</v>
      </c>
      <c r="X50" s="58">
        <f t="shared" si="19"/>
        <v>16885</v>
      </c>
      <c r="Y50" s="69"/>
      <c r="Z50" s="69"/>
    </row>
    <row r="51" spans="1:26">
      <c r="A51" s="114">
        <f t="shared" si="20"/>
        <v>2024009</v>
      </c>
      <c r="B51" s="74"/>
      <c r="C51" s="642"/>
      <c r="D51" s="645"/>
      <c r="E51" s="645"/>
      <c r="F51" s="645"/>
      <c r="G51" s="645"/>
      <c r="H51" s="648"/>
      <c r="I51" s="648"/>
      <c r="J51" s="629"/>
      <c r="K51" s="148" t="s">
        <v>32</v>
      </c>
      <c r="L51" s="297">
        <v>1555</v>
      </c>
      <c r="M51" s="297">
        <v>1512</v>
      </c>
      <c r="N51" s="297">
        <v>1512</v>
      </c>
      <c r="O51" s="297">
        <v>1512</v>
      </c>
      <c r="P51" s="297">
        <v>1512</v>
      </c>
      <c r="Q51" s="297">
        <v>1512</v>
      </c>
      <c r="R51" s="297">
        <v>1678</v>
      </c>
      <c r="S51" s="297">
        <v>1512</v>
      </c>
      <c r="T51" s="297">
        <v>1512</v>
      </c>
      <c r="U51" s="297">
        <v>1554</v>
      </c>
      <c r="V51" s="297">
        <v>1647</v>
      </c>
      <c r="W51" s="91">
        <v>1555</v>
      </c>
      <c r="X51" s="58">
        <f t="shared" si="19"/>
        <v>18573</v>
      </c>
      <c r="Y51" s="69"/>
      <c r="Z51" s="69"/>
    </row>
    <row r="52" spans="1:26">
      <c r="A52" s="114">
        <f>+A51</f>
        <v>2024009</v>
      </c>
      <c r="B52" s="74"/>
      <c r="C52" s="654"/>
      <c r="D52" s="655"/>
      <c r="E52" s="655"/>
      <c r="F52" s="655"/>
      <c r="G52" s="655"/>
      <c r="H52" s="652"/>
      <c r="I52" s="652"/>
      <c r="J52" s="630"/>
      <c r="K52" s="149" t="s">
        <v>33</v>
      </c>
      <c r="L52" s="298">
        <f t="shared" ref="L52:W52" si="22">L41-L44</f>
        <v>175082</v>
      </c>
      <c r="M52" s="412">
        <f t="shared" si="22"/>
        <v>131763</v>
      </c>
      <c r="N52" s="412">
        <f t="shared" si="22"/>
        <v>198753</v>
      </c>
      <c r="O52" s="412">
        <f t="shared" si="22"/>
        <v>198753</v>
      </c>
      <c r="P52" s="412">
        <f t="shared" si="22"/>
        <v>193193</v>
      </c>
      <c r="Q52" s="412">
        <f t="shared" si="22"/>
        <v>193193</v>
      </c>
      <c r="R52" s="412">
        <f t="shared" si="22"/>
        <v>162794</v>
      </c>
      <c r="S52" s="412">
        <f t="shared" si="22"/>
        <v>193193</v>
      </c>
      <c r="T52" s="412">
        <f t="shared" si="22"/>
        <v>193193</v>
      </c>
      <c r="U52" s="412">
        <f t="shared" si="22"/>
        <v>162011</v>
      </c>
      <c r="V52" s="412">
        <f t="shared" si="22"/>
        <v>195936</v>
      </c>
      <c r="W52" s="219">
        <f t="shared" si="22"/>
        <v>198672</v>
      </c>
      <c r="X52" s="43">
        <f>X41-X44</f>
        <v>2196536</v>
      </c>
      <c r="Z52" s="69"/>
    </row>
    <row r="53" spans="1:26" ht="12.75" customHeight="1">
      <c r="A53" s="322">
        <v>2017022</v>
      </c>
      <c r="C53" s="641">
        <f>C41+1</f>
        <v>5</v>
      </c>
      <c r="D53" s="644" t="s">
        <v>94</v>
      </c>
      <c r="E53" s="644"/>
      <c r="F53" s="644"/>
      <c r="G53" s="644"/>
      <c r="H53" s="647"/>
      <c r="I53" s="647"/>
      <c r="J53" s="628" t="s">
        <v>55</v>
      </c>
      <c r="K53" s="242" t="s">
        <v>23</v>
      </c>
      <c r="L53" s="294">
        <f t="shared" ref="L53:W53" si="23">L54+L55</f>
        <v>510000</v>
      </c>
      <c r="M53" s="409">
        <f t="shared" si="23"/>
        <v>510000</v>
      </c>
      <c r="N53" s="409">
        <f t="shared" si="23"/>
        <v>510000</v>
      </c>
      <c r="O53" s="409">
        <f t="shared" si="23"/>
        <v>510000</v>
      </c>
      <c r="P53" s="409">
        <f t="shared" si="23"/>
        <v>510000</v>
      </c>
      <c r="Q53" s="409">
        <f t="shared" si="23"/>
        <v>510000</v>
      </c>
      <c r="R53" s="409">
        <f t="shared" si="23"/>
        <v>510000</v>
      </c>
      <c r="S53" s="409">
        <f t="shared" si="23"/>
        <v>510000</v>
      </c>
      <c r="T53" s="409">
        <f t="shared" si="23"/>
        <v>510000</v>
      </c>
      <c r="U53" s="409">
        <f t="shared" si="23"/>
        <v>510000</v>
      </c>
      <c r="V53" s="409">
        <f t="shared" si="23"/>
        <v>510000</v>
      </c>
      <c r="W53" s="216">
        <f t="shared" si="23"/>
        <v>510000</v>
      </c>
      <c r="X53" s="122">
        <f t="shared" ref="X53:X63" si="24">SUM(L53:W53)</f>
        <v>6120000</v>
      </c>
      <c r="Z53" s="69"/>
    </row>
    <row r="54" spans="1:26">
      <c r="A54" s="114">
        <f>+A53</f>
        <v>2017022</v>
      </c>
      <c r="B54" s="74"/>
      <c r="C54" s="642"/>
      <c r="D54" s="645"/>
      <c r="E54" s="645"/>
      <c r="F54" s="645"/>
      <c r="G54" s="645"/>
      <c r="H54" s="648"/>
      <c r="I54" s="648"/>
      <c r="J54" s="629"/>
      <c r="K54" s="146" t="s">
        <v>24</v>
      </c>
      <c r="L54" s="297">
        <v>510000</v>
      </c>
      <c r="M54" s="297">
        <v>510000</v>
      </c>
      <c r="N54" s="297">
        <v>510000</v>
      </c>
      <c r="O54" s="297">
        <v>510000</v>
      </c>
      <c r="P54" s="297">
        <v>510000</v>
      </c>
      <c r="Q54" s="297">
        <v>510000</v>
      </c>
      <c r="R54" s="297">
        <v>510000</v>
      </c>
      <c r="S54" s="297">
        <v>510000</v>
      </c>
      <c r="T54" s="297">
        <v>510000</v>
      </c>
      <c r="U54" s="297">
        <v>510000</v>
      </c>
      <c r="V54" s="297">
        <v>510000</v>
      </c>
      <c r="W54" s="91">
        <v>510000</v>
      </c>
      <c r="X54" s="58">
        <f t="shared" si="24"/>
        <v>6120000</v>
      </c>
      <c r="Y54" s="69"/>
      <c r="Z54" s="69"/>
    </row>
    <row r="55" spans="1:26">
      <c r="A55" s="114">
        <f>+A54</f>
        <v>2017022</v>
      </c>
      <c r="B55" s="74"/>
      <c r="C55" s="642"/>
      <c r="D55" s="645"/>
      <c r="E55" s="645"/>
      <c r="F55" s="645"/>
      <c r="G55" s="645"/>
      <c r="H55" s="648"/>
      <c r="I55" s="648"/>
      <c r="J55" s="629"/>
      <c r="K55" s="146" t="s">
        <v>25</v>
      </c>
      <c r="L55" s="295"/>
      <c r="M55" s="297"/>
      <c r="N55" s="297"/>
      <c r="O55" s="297"/>
      <c r="P55" s="297"/>
      <c r="Q55" s="297"/>
      <c r="R55" s="297"/>
      <c r="S55" s="297"/>
      <c r="T55" s="297"/>
      <c r="U55" s="297"/>
      <c r="V55" s="297"/>
      <c r="W55" s="284"/>
      <c r="X55" s="58">
        <f t="shared" si="24"/>
        <v>0</v>
      </c>
      <c r="Z55" s="69"/>
    </row>
    <row r="56" spans="1:26">
      <c r="A56" s="114">
        <f t="shared" ref="A56:A63" si="25">+A55</f>
        <v>2017022</v>
      </c>
      <c r="B56" s="74"/>
      <c r="C56" s="642"/>
      <c r="D56" s="645"/>
      <c r="E56" s="645"/>
      <c r="F56" s="645"/>
      <c r="G56" s="645"/>
      <c r="H56" s="648"/>
      <c r="I56" s="648"/>
      <c r="J56" s="629"/>
      <c r="K56" s="147" t="s">
        <v>26</v>
      </c>
      <c r="L56" s="296">
        <f t="shared" ref="L56:W56" si="26">SUM(L57:L63)</f>
        <v>408008</v>
      </c>
      <c r="M56" s="411">
        <f t="shared" si="26"/>
        <v>408008</v>
      </c>
      <c r="N56" s="411">
        <f t="shared" si="26"/>
        <v>408008</v>
      </c>
      <c r="O56" s="411">
        <f t="shared" si="26"/>
        <v>408008</v>
      </c>
      <c r="P56" s="411">
        <f t="shared" si="26"/>
        <v>408008</v>
      </c>
      <c r="Q56" s="411">
        <f t="shared" si="26"/>
        <v>413568</v>
      </c>
      <c r="R56" s="411">
        <f t="shared" si="26"/>
        <v>474198</v>
      </c>
      <c r="S56" s="411">
        <f t="shared" si="26"/>
        <v>414377</v>
      </c>
      <c r="T56" s="411">
        <f t="shared" si="26"/>
        <v>413568</v>
      </c>
      <c r="U56" s="411">
        <f t="shared" si="26"/>
        <v>415185</v>
      </c>
      <c r="V56" s="411">
        <f t="shared" si="26"/>
        <v>413751</v>
      </c>
      <c r="W56" s="285">
        <f t="shared" si="26"/>
        <v>408008</v>
      </c>
      <c r="X56" s="59">
        <f t="shared" si="24"/>
        <v>4992695</v>
      </c>
      <c r="Z56" s="69"/>
    </row>
    <row r="57" spans="1:26">
      <c r="A57" s="114">
        <f t="shared" si="25"/>
        <v>2017022</v>
      </c>
      <c r="B57" s="74"/>
      <c r="C57" s="642"/>
      <c r="D57" s="645"/>
      <c r="E57" s="645"/>
      <c r="F57" s="645"/>
      <c r="G57" s="645"/>
      <c r="H57" s="648"/>
      <c r="I57" s="648"/>
      <c r="J57" s="629"/>
      <c r="K57" s="148" t="s">
        <v>27</v>
      </c>
      <c r="L57" s="297">
        <v>350000</v>
      </c>
      <c r="M57" s="297">
        <v>350000</v>
      </c>
      <c r="N57" s="297">
        <v>350000</v>
      </c>
      <c r="O57" s="297">
        <v>350000</v>
      </c>
      <c r="P57" s="297">
        <v>350000</v>
      </c>
      <c r="Q57" s="297">
        <v>350000</v>
      </c>
      <c r="R57" s="297">
        <v>410000</v>
      </c>
      <c r="S57" s="297">
        <v>350800</v>
      </c>
      <c r="T57" s="297">
        <v>350000</v>
      </c>
      <c r="U57" s="297">
        <v>351600</v>
      </c>
      <c r="V57" s="297">
        <v>350000</v>
      </c>
      <c r="W57" s="91">
        <v>350000</v>
      </c>
      <c r="X57" s="58">
        <f t="shared" si="24"/>
        <v>4262400</v>
      </c>
      <c r="Y57" s="69"/>
      <c r="Z57" s="69"/>
    </row>
    <row r="58" spans="1:26">
      <c r="A58" s="114">
        <f t="shared" si="25"/>
        <v>2017022</v>
      </c>
      <c r="B58" s="74"/>
      <c r="C58" s="642"/>
      <c r="D58" s="645"/>
      <c r="E58" s="645"/>
      <c r="F58" s="645"/>
      <c r="G58" s="645"/>
      <c r="H58" s="648"/>
      <c r="I58" s="648"/>
      <c r="J58" s="629"/>
      <c r="K58" s="148" t="s">
        <v>34</v>
      </c>
      <c r="L58" s="297"/>
      <c r="M58" s="297"/>
      <c r="N58" s="297"/>
      <c r="O58" s="297"/>
      <c r="P58" s="297"/>
      <c r="Q58" s="297"/>
      <c r="R58" s="297"/>
      <c r="S58" s="297"/>
      <c r="T58" s="297"/>
      <c r="U58" s="297"/>
      <c r="V58" s="297"/>
      <c r="W58" s="91"/>
      <c r="X58" s="58">
        <f t="shared" si="24"/>
        <v>0</v>
      </c>
      <c r="Y58" s="69"/>
      <c r="Z58" s="69"/>
    </row>
    <row r="59" spans="1:26">
      <c r="A59" s="114">
        <f t="shared" si="25"/>
        <v>2017022</v>
      </c>
      <c r="B59" s="74"/>
      <c r="C59" s="642"/>
      <c r="D59" s="645"/>
      <c r="E59" s="645"/>
      <c r="F59" s="645"/>
      <c r="G59" s="645"/>
      <c r="H59" s="648"/>
      <c r="I59" s="648"/>
      <c r="J59" s="629"/>
      <c r="K59" s="148" t="s">
        <v>28</v>
      </c>
      <c r="L59" s="297">
        <v>7000</v>
      </c>
      <c r="M59" s="297">
        <v>7000</v>
      </c>
      <c r="N59" s="297">
        <v>7000</v>
      </c>
      <c r="O59" s="297">
        <v>7000</v>
      </c>
      <c r="P59" s="297">
        <v>7000</v>
      </c>
      <c r="Q59" s="297">
        <v>7000</v>
      </c>
      <c r="R59" s="297">
        <v>7000</v>
      </c>
      <c r="S59" s="297">
        <v>7000</v>
      </c>
      <c r="T59" s="297">
        <v>7000</v>
      </c>
      <c r="U59" s="297">
        <v>7000</v>
      </c>
      <c r="V59" s="297">
        <v>7000</v>
      </c>
      <c r="W59" s="91">
        <v>7000</v>
      </c>
      <c r="X59" s="58">
        <f t="shared" si="24"/>
        <v>84000</v>
      </c>
      <c r="Y59" s="69"/>
      <c r="Z59" s="69"/>
    </row>
    <row r="60" spans="1:26">
      <c r="A60" s="114">
        <f t="shared" si="25"/>
        <v>2017022</v>
      </c>
      <c r="B60" s="74"/>
      <c r="C60" s="642"/>
      <c r="D60" s="645"/>
      <c r="E60" s="645"/>
      <c r="F60" s="645"/>
      <c r="G60" s="645"/>
      <c r="H60" s="648"/>
      <c r="I60" s="648"/>
      <c r="J60" s="629"/>
      <c r="K60" s="148" t="s">
        <v>29</v>
      </c>
      <c r="L60" s="297">
        <v>16150</v>
      </c>
      <c r="M60" s="297">
        <v>16150</v>
      </c>
      <c r="N60" s="297">
        <v>16150</v>
      </c>
      <c r="O60" s="297">
        <v>16150</v>
      </c>
      <c r="P60" s="297">
        <v>16150</v>
      </c>
      <c r="Q60" s="297">
        <v>18050</v>
      </c>
      <c r="R60" s="297">
        <v>18050</v>
      </c>
      <c r="S60" s="297">
        <v>18050</v>
      </c>
      <c r="T60" s="297">
        <v>18050</v>
      </c>
      <c r="U60" s="297">
        <v>18050</v>
      </c>
      <c r="V60" s="297">
        <v>18050</v>
      </c>
      <c r="W60" s="91">
        <v>16150</v>
      </c>
      <c r="X60" s="58">
        <f t="shared" si="24"/>
        <v>205200</v>
      </c>
      <c r="Y60" s="69"/>
      <c r="Z60" s="69"/>
    </row>
    <row r="61" spans="1:26">
      <c r="A61" s="114">
        <f t="shared" si="25"/>
        <v>2017022</v>
      </c>
      <c r="B61" s="74"/>
      <c r="C61" s="642"/>
      <c r="D61" s="645"/>
      <c r="E61" s="645"/>
      <c r="F61" s="645"/>
      <c r="G61" s="645"/>
      <c r="H61" s="648"/>
      <c r="I61" s="648"/>
      <c r="J61" s="629"/>
      <c r="K61" s="148" t="s">
        <v>30</v>
      </c>
      <c r="L61" s="297">
        <v>31110</v>
      </c>
      <c r="M61" s="297">
        <v>31110</v>
      </c>
      <c r="N61" s="297">
        <v>31110</v>
      </c>
      <c r="O61" s="297">
        <v>31110</v>
      </c>
      <c r="P61" s="297">
        <v>31110</v>
      </c>
      <c r="Q61" s="297">
        <v>34770</v>
      </c>
      <c r="R61" s="297">
        <v>34770</v>
      </c>
      <c r="S61" s="297">
        <v>34770</v>
      </c>
      <c r="T61" s="297">
        <v>34770</v>
      </c>
      <c r="U61" s="297">
        <v>34770</v>
      </c>
      <c r="V61" s="297">
        <v>34770</v>
      </c>
      <c r="W61" s="91">
        <v>31110</v>
      </c>
      <c r="X61" s="58">
        <f t="shared" si="24"/>
        <v>395280</v>
      </c>
      <c r="Y61" s="69"/>
      <c r="Z61" s="69"/>
    </row>
    <row r="62" spans="1:26">
      <c r="A62" s="114">
        <f t="shared" si="25"/>
        <v>2017022</v>
      </c>
      <c r="B62" s="74"/>
      <c r="C62" s="642"/>
      <c r="D62" s="645"/>
      <c r="E62" s="645"/>
      <c r="F62" s="645"/>
      <c r="G62" s="645"/>
      <c r="H62" s="648"/>
      <c r="I62" s="648"/>
      <c r="J62" s="629"/>
      <c r="K62" s="148" t="s">
        <v>31</v>
      </c>
      <c r="L62" s="297">
        <v>1785</v>
      </c>
      <c r="M62" s="297">
        <v>1785</v>
      </c>
      <c r="N62" s="297">
        <v>1785</v>
      </c>
      <c r="O62" s="297">
        <v>1785</v>
      </c>
      <c r="P62" s="297">
        <v>1785</v>
      </c>
      <c r="Q62" s="297">
        <v>1785</v>
      </c>
      <c r="R62" s="297">
        <v>2085</v>
      </c>
      <c r="S62" s="297">
        <v>1789</v>
      </c>
      <c r="T62" s="297">
        <v>1785</v>
      </c>
      <c r="U62" s="297">
        <v>1793</v>
      </c>
      <c r="V62" s="297">
        <v>1872</v>
      </c>
      <c r="W62" s="91">
        <v>1785</v>
      </c>
      <c r="X62" s="58">
        <f t="shared" si="24"/>
        <v>21819</v>
      </c>
      <c r="Y62" s="69"/>
      <c r="Z62" s="69"/>
    </row>
    <row r="63" spans="1:26">
      <c r="A63" s="114">
        <f t="shared" si="25"/>
        <v>2017022</v>
      </c>
      <c r="B63" s="74"/>
      <c r="C63" s="642"/>
      <c r="D63" s="645"/>
      <c r="E63" s="645"/>
      <c r="F63" s="645"/>
      <c r="G63" s="645"/>
      <c r="H63" s="648"/>
      <c r="I63" s="648"/>
      <c r="J63" s="629"/>
      <c r="K63" s="148" t="s">
        <v>32</v>
      </c>
      <c r="L63" s="297">
        <v>1963</v>
      </c>
      <c r="M63" s="297">
        <v>1963</v>
      </c>
      <c r="N63" s="297">
        <v>1963</v>
      </c>
      <c r="O63" s="297">
        <v>1963</v>
      </c>
      <c r="P63" s="297">
        <v>1963</v>
      </c>
      <c r="Q63" s="297">
        <v>1963</v>
      </c>
      <c r="R63" s="297">
        <v>2293</v>
      </c>
      <c r="S63" s="297">
        <v>1968</v>
      </c>
      <c r="T63" s="297">
        <v>1963</v>
      </c>
      <c r="U63" s="297">
        <v>1972</v>
      </c>
      <c r="V63" s="297">
        <v>2059</v>
      </c>
      <c r="W63" s="91">
        <v>1963</v>
      </c>
      <c r="X63" s="58">
        <f t="shared" si="24"/>
        <v>23996</v>
      </c>
      <c r="Y63" s="69"/>
      <c r="Z63" s="69"/>
    </row>
    <row r="64" spans="1:26">
      <c r="A64" s="114">
        <f>+A63</f>
        <v>2017022</v>
      </c>
      <c r="B64" s="74"/>
      <c r="C64" s="654"/>
      <c r="D64" s="655"/>
      <c r="E64" s="655"/>
      <c r="F64" s="655"/>
      <c r="G64" s="655"/>
      <c r="H64" s="652"/>
      <c r="I64" s="652"/>
      <c r="J64" s="630"/>
      <c r="K64" s="149" t="s">
        <v>33</v>
      </c>
      <c r="L64" s="298">
        <f t="shared" ref="L64:W64" si="27">L53-L56</f>
        <v>101992</v>
      </c>
      <c r="M64" s="412">
        <f t="shared" si="27"/>
        <v>101992</v>
      </c>
      <c r="N64" s="412">
        <f t="shared" si="27"/>
        <v>101992</v>
      </c>
      <c r="O64" s="412">
        <f t="shared" si="27"/>
        <v>101992</v>
      </c>
      <c r="P64" s="412">
        <f t="shared" si="27"/>
        <v>101992</v>
      </c>
      <c r="Q64" s="412">
        <f t="shared" si="27"/>
        <v>96432</v>
      </c>
      <c r="R64" s="412">
        <f t="shared" si="27"/>
        <v>35802</v>
      </c>
      <c r="S64" s="412">
        <f t="shared" si="27"/>
        <v>95623</v>
      </c>
      <c r="T64" s="412">
        <f t="shared" si="27"/>
        <v>96432</v>
      </c>
      <c r="U64" s="412">
        <f t="shared" si="27"/>
        <v>94815</v>
      </c>
      <c r="V64" s="412">
        <f t="shared" si="27"/>
        <v>96249</v>
      </c>
      <c r="W64" s="219">
        <f t="shared" si="27"/>
        <v>101992</v>
      </c>
      <c r="X64" s="43">
        <f>X53-X56</f>
        <v>1127305</v>
      </c>
      <c r="Z64" s="69"/>
    </row>
    <row r="65" spans="1:26" ht="12.75" customHeight="1">
      <c r="A65" s="113">
        <v>2025010</v>
      </c>
      <c r="C65" s="641">
        <f>C53+1</f>
        <v>6</v>
      </c>
      <c r="D65" s="644" t="s">
        <v>94</v>
      </c>
      <c r="E65" s="644"/>
      <c r="F65" s="644"/>
      <c r="G65" s="644"/>
      <c r="H65" s="647" t="s">
        <v>133</v>
      </c>
      <c r="I65" s="647"/>
      <c r="J65" s="628" t="s">
        <v>55</v>
      </c>
      <c r="K65" s="242" t="s">
        <v>23</v>
      </c>
      <c r="L65" s="294">
        <f t="shared" ref="L65:W65" si="28">L66+L67</f>
        <v>0</v>
      </c>
      <c r="M65" s="409">
        <f t="shared" si="28"/>
        <v>0</v>
      </c>
      <c r="N65" s="409">
        <f t="shared" si="28"/>
        <v>0</v>
      </c>
      <c r="O65" s="409">
        <f t="shared" si="28"/>
        <v>0</v>
      </c>
      <c r="P65" s="409">
        <f t="shared" si="28"/>
        <v>0</v>
      </c>
      <c r="Q65" s="409">
        <f t="shared" si="28"/>
        <v>250000</v>
      </c>
      <c r="R65" s="409">
        <f t="shared" si="28"/>
        <v>510000</v>
      </c>
      <c r="S65" s="409">
        <f t="shared" si="28"/>
        <v>510000</v>
      </c>
      <c r="T65" s="409">
        <f t="shared" si="28"/>
        <v>510000</v>
      </c>
      <c r="U65" s="409">
        <f t="shared" si="28"/>
        <v>510000</v>
      </c>
      <c r="V65" s="409">
        <f t="shared" si="28"/>
        <v>510000</v>
      </c>
      <c r="W65" s="216">
        <f t="shared" si="28"/>
        <v>510000</v>
      </c>
      <c r="X65" s="122">
        <f t="shared" ref="X65:X75" si="29">SUM(L65:W65)</f>
        <v>3310000</v>
      </c>
      <c r="Z65" s="69"/>
    </row>
    <row r="66" spans="1:26">
      <c r="A66" s="114">
        <f>+A65</f>
        <v>2025010</v>
      </c>
      <c r="B66" s="74"/>
      <c r="C66" s="642"/>
      <c r="D66" s="645"/>
      <c r="E66" s="645"/>
      <c r="F66" s="645"/>
      <c r="G66" s="645"/>
      <c r="H66" s="648"/>
      <c r="I66" s="648"/>
      <c r="J66" s="629"/>
      <c r="K66" s="146" t="s">
        <v>24</v>
      </c>
      <c r="L66" s="297"/>
      <c r="M66" s="297"/>
      <c r="N66" s="297"/>
      <c r="O66" s="297"/>
      <c r="P66" s="297"/>
      <c r="Q66" s="297">
        <v>250000</v>
      </c>
      <c r="R66" s="297">
        <v>510000</v>
      </c>
      <c r="S66" s="297">
        <v>510000</v>
      </c>
      <c r="T66" s="297">
        <v>510000</v>
      </c>
      <c r="U66" s="297">
        <v>510000</v>
      </c>
      <c r="V66" s="297">
        <v>510000</v>
      </c>
      <c r="W66" s="91">
        <v>510000</v>
      </c>
      <c r="X66" s="58">
        <f t="shared" si="29"/>
        <v>3310000</v>
      </c>
      <c r="Y66" s="69"/>
      <c r="Z66" s="69"/>
    </row>
    <row r="67" spans="1:26">
      <c r="A67" s="114">
        <f>+A66</f>
        <v>2025010</v>
      </c>
      <c r="B67" s="74"/>
      <c r="C67" s="642"/>
      <c r="D67" s="645"/>
      <c r="E67" s="645"/>
      <c r="F67" s="645"/>
      <c r="G67" s="645"/>
      <c r="H67" s="648"/>
      <c r="I67" s="648"/>
      <c r="J67" s="629"/>
      <c r="K67" s="146" t="s">
        <v>25</v>
      </c>
      <c r="L67" s="295"/>
      <c r="M67" s="297"/>
      <c r="N67" s="297"/>
      <c r="O67" s="297"/>
      <c r="P67" s="297"/>
      <c r="Q67" s="297"/>
      <c r="R67" s="297"/>
      <c r="S67" s="297"/>
      <c r="T67" s="297"/>
      <c r="U67" s="297"/>
      <c r="V67" s="297"/>
      <c r="W67" s="284"/>
      <c r="X67" s="58">
        <f t="shared" si="29"/>
        <v>0</v>
      </c>
      <c r="Z67" s="69"/>
    </row>
    <row r="68" spans="1:26">
      <c r="A68" s="114">
        <f t="shared" ref="A68:A75" si="30">+A67</f>
        <v>2025010</v>
      </c>
      <c r="B68" s="74"/>
      <c r="C68" s="642"/>
      <c r="D68" s="645"/>
      <c r="E68" s="645"/>
      <c r="F68" s="645"/>
      <c r="G68" s="645"/>
      <c r="H68" s="648"/>
      <c r="I68" s="648"/>
      <c r="J68" s="629"/>
      <c r="K68" s="147" t="s">
        <v>26</v>
      </c>
      <c r="L68" s="296">
        <f t="shared" ref="L68:W68" si="31">SUM(L69:L75)</f>
        <v>0</v>
      </c>
      <c r="M68" s="411">
        <f t="shared" si="31"/>
        <v>0</v>
      </c>
      <c r="N68" s="411">
        <f t="shared" si="31"/>
        <v>0</v>
      </c>
      <c r="O68" s="411">
        <f t="shared" si="31"/>
        <v>0</v>
      </c>
      <c r="P68" s="411">
        <f t="shared" si="31"/>
        <v>0</v>
      </c>
      <c r="Q68" s="411">
        <f t="shared" si="31"/>
        <v>313327</v>
      </c>
      <c r="R68" s="411">
        <f t="shared" si="31"/>
        <v>334298</v>
      </c>
      <c r="S68" s="411">
        <f t="shared" si="31"/>
        <v>317838</v>
      </c>
      <c r="T68" s="411">
        <f t="shared" si="31"/>
        <v>319364</v>
      </c>
      <c r="U68" s="411">
        <f t="shared" si="31"/>
        <v>343935</v>
      </c>
      <c r="V68" s="411">
        <f t="shared" si="31"/>
        <v>325139</v>
      </c>
      <c r="W68" s="285">
        <f t="shared" si="31"/>
        <v>311755</v>
      </c>
      <c r="X68" s="59">
        <f t="shared" si="29"/>
        <v>2265656</v>
      </c>
      <c r="Z68" s="69"/>
    </row>
    <row r="69" spans="1:26">
      <c r="A69" s="114">
        <f t="shared" si="30"/>
        <v>2025010</v>
      </c>
      <c r="B69" s="74"/>
      <c r="C69" s="642"/>
      <c r="D69" s="645"/>
      <c r="E69" s="645"/>
      <c r="F69" s="645"/>
      <c r="G69" s="645"/>
      <c r="H69" s="648"/>
      <c r="I69" s="648"/>
      <c r="J69" s="629"/>
      <c r="K69" s="148" t="s">
        <v>27</v>
      </c>
      <c r="L69" s="297"/>
      <c r="M69" s="297"/>
      <c r="N69" s="297"/>
      <c r="O69" s="297"/>
      <c r="P69" s="297"/>
      <c r="Q69" s="297">
        <v>251555</v>
      </c>
      <c r="R69" s="297">
        <v>272308</v>
      </c>
      <c r="S69" s="297">
        <v>250000</v>
      </c>
      <c r="T69" s="297">
        <v>250000</v>
      </c>
      <c r="U69" s="297">
        <v>268506</v>
      </c>
      <c r="V69" s="297">
        <v>257690</v>
      </c>
      <c r="W69" s="91">
        <v>250000</v>
      </c>
      <c r="X69" s="58">
        <f t="shared" si="29"/>
        <v>1800059</v>
      </c>
      <c r="Y69" s="69"/>
      <c r="Z69" s="69"/>
    </row>
    <row r="70" spans="1:26">
      <c r="A70" s="114">
        <f t="shared" si="30"/>
        <v>2025010</v>
      </c>
      <c r="B70" s="74"/>
      <c r="C70" s="642"/>
      <c r="D70" s="645"/>
      <c r="E70" s="645"/>
      <c r="F70" s="645"/>
      <c r="G70" s="645"/>
      <c r="H70" s="648"/>
      <c r="I70" s="648"/>
      <c r="J70" s="629"/>
      <c r="K70" s="148" t="s">
        <v>34</v>
      </c>
      <c r="L70" s="297"/>
      <c r="M70" s="297"/>
      <c r="N70" s="297"/>
      <c r="O70" s="297"/>
      <c r="P70" s="297"/>
      <c r="Q70" s="297"/>
      <c r="R70" s="297"/>
      <c r="S70" s="297"/>
      <c r="T70" s="297"/>
      <c r="U70" s="297"/>
      <c r="V70" s="297"/>
      <c r="W70" s="91"/>
      <c r="X70" s="58">
        <f t="shared" si="29"/>
        <v>0</v>
      </c>
      <c r="Y70" s="69"/>
      <c r="Z70" s="69"/>
    </row>
    <row r="71" spans="1:26">
      <c r="A71" s="114">
        <f t="shared" si="30"/>
        <v>2025010</v>
      </c>
      <c r="B71" s="74"/>
      <c r="C71" s="642"/>
      <c r="D71" s="645"/>
      <c r="E71" s="645"/>
      <c r="F71" s="645"/>
      <c r="G71" s="645"/>
      <c r="H71" s="648"/>
      <c r="I71" s="648"/>
      <c r="J71" s="629"/>
      <c r="K71" s="148" t="s">
        <v>28</v>
      </c>
      <c r="L71" s="297"/>
      <c r="M71" s="297"/>
      <c r="N71" s="297"/>
      <c r="O71" s="297"/>
      <c r="P71" s="297"/>
      <c r="Q71" s="297">
        <v>20000</v>
      </c>
      <c r="R71" s="297">
        <v>20000</v>
      </c>
      <c r="S71" s="297">
        <v>26020</v>
      </c>
      <c r="T71" s="297">
        <v>27530</v>
      </c>
      <c r="U71" s="297">
        <v>33340</v>
      </c>
      <c r="V71" s="297">
        <v>25375</v>
      </c>
      <c r="W71" s="91">
        <v>20000</v>
      </c>
      <c r="X71" s="58">
        <f t="shared" si="29"/>
        <v>172265</v>
      </c>
      <c r="Y71" s="69"/>
      <c r="Z71" s="69"/>
    </row>
    <row r="72" spans="1:26">
      <c r="A72" s="114">
        <f t="shared" si="30"/>
        <v>2025010</v>
      </c>
      <c r="B72" s="74"/>
      <c r="C72" s="642"/>
      <c r="D72" s="645"/>
      <c r="E72" s="645"/>
      <c r="F72" s="645"/>
      <c r="G72" s="645"/>
      <c r="H72" s="648"/>
      <c r="I72" s="648"/>
      <c r="J72" s="629"/>
      <c r="K72" s="148" t="s">
        <v>29</v>
      </c>
      <c r="L72" s="297"/>
      <c r="M72" s="297"/>
      <c r="N72" s="297"/>
      <c r="O72" s="297"/>
      <c r="P72" s="297"/>
      <c r="Q72" s="297">
        <v>13300</v>
      </c>
      <c r="R72" s="297">
        <v>13300</v>
      </c>
      <c r="S72" s="297">
        <v>13300</v>
      </c>
      <c r="T72" s="297">
        <v>13300</v>
      </c>
      <c r="U72" s="297">
        <v>13300</v>
      </c>
      <c r="V72" s="297">
        <v>13300</v>
      </c>
      <c r="W72" s="91">
        <v>13300</v>
      </c>
      <c r="X72" s="58">
        <f t="shared" si="29"/>
        <v>93100</v>
      </c>
      <c r="Y72" s="69"/>
      <c r="Z72" s="69"/>
    </row>
    <row r="73" spans="1:26">
      <c r="A73" s="114">
        <f t="shared" si="30"/>
        <v>2025010</v>
      </c>
      <c r="B73" s="74"/>
      <c r="C73" s="642"/>
      <c r="D73" s="645"/>
      <c r="E73" s="645"/>
      <c r="F73" s="645"/>
      <c r="G73" s="645"/>
      <c r="H73" s="648"/>
      <c r="I73" s="648"/>
      <c r="J73" s="629"/>
      <c r="K73" s="148" t="s">
        <v>30</v>
      </c>
      <c r="L73" s="297"/>
      <c r="M73" s="297"/>
      <c r="N73" s="297"/>
      <c r="O73" s="297"/>
      <c r="P73" s="297"/>
      <c r="Q73" s="297">
        <v>25620</v>
      </c>
      <c r="R73" s="297">
        <v>25620</v>
      </c>
      <c r="S73" s="297">
        <v>25620</v>
      </c>
      <c r="T73" s="297">
        <v>25620</v>
      </c>
      <c r="U73" s="297">
        <v>25620</v>
      </c>
      <c r="V73" s="297">
        <v>25620</v>
      </c>
      <c r="W73" s="91">
        <v>25620</v>
      </c>
      <c r="X73" s="58">
        <f t="shared" si="29"/>
        <v>179340</v>
      </c>
      <c r="Y73" s="69"/>
      <c r="Z73" s="69"/>
    </row>
    <row r="74" spans="1:26">
      <c r="A74" s="114">
        <f t="shared" si="30"/>
        <v>2025010</v>
      </c>
      <c r="B74" s="74"/>
      <c r="C74" s="642"/>
      <c r="D74" s="645"/>
      <c r="E74" s="645"/>
      <c r="F74" s="645"/>
      <c r="G74" s="645"/>
      <c r="H74" s="648"/>
      <c r="I74" s="648"/>
      <c r="J74" s="629"/>
      <c r="K74" s="148" t="s">
        <v>31</v>
      </c>
      <c r="L74" s="297"/>
      <c r="M74" s="297"/>
      <c r="N74" s="297"/>
      <c r="O74" s="297"/>
      <c r="P74" s="297"/>
      <c r="Q74" s="297">
        <v>1358</v>
      </c>
      <c r="R74" s="297">
        <v>1462</v>
      </c>
      <c r="S74" s="297">
        <v>1380</v>
      </c>
      <c r="T74" s="297">
        <v>1388</v>
      </c>
      <c r="U74" s="297">
        <v>1509</v>
      </c>
      <c r="V74" s="297">
        <v>1502</v>
      </c>
      <c r="W74" s="91">
        <v>1350</v>
      </c>
      <c r="X74" s="58">
        <f t="shared" si="29"/>
        <v>9949</v>
      </c>
      <c r="Y74" s="69"/>
      <c r="Z74" s="69"/>
    </row>
    <row r="75" spans="1:26">
      <c r="A75" s="114">
        <f t="shared" si="30"/>
        <v>2025010</v>
      </c>
      <c r="B75" s="74"/>
      <c r="C75" s="642"/>
      <c r="D75" s="645"/>
      <c r="E75" s="645"/>
      <c r="F75" s="645"/>
      <c r="G75" s="645"/>
      <c r="H75" s="648"/>
      <c r="I75" s="648"/>
      <c r="J75" s="629"/>
      <c r="K75" s="148" t="s">
        <v>32</v>
      </c>
      <c r="L75" s="297"/>
      <c r="M75" s="297"/>
      <c r="N75" s="297"/>
      <c r="O75" s="297"/>
      <c r="P75" s="297"/>
      <c r="Q75" s="297">
        <v>1494</v>
      </c>
      <c r="R75" s="297">
        <v>1608</v>
      </c>
      <c r="S75" s="297">
        <v>1518</v>
      </c>
      <c r="T75" s="297">
        <v>1526</v>
      </c>
      <c r="U75" s="297">
        <v>1660</v>
      </c>
      <c r="V75" s="297">
        <v>1652</v>
      </c>
      <c r="W75" s="91">
        <v>1485</v>
      </c>
      <c r="X75" s="58">
        <f t="shared" si="29"/>
        <v>10943</v>
      </c>
      <c r="Y75" s="69"/>
      <c r="Z75" s="69"/>
    </row>
    <row r="76" spans="1:26">
      <c r="A76" s="114">
        <f>+A75</f>
        <v>2025010</v>
      </c>
      <c r="B76" s="74"/>
      <c r="C76" s="654"/>
      <c r="D76" s="655"/>
      <c r="E76" s="655"/>
      <c r="F76" s="655"/>
      <c r="G76" s="655"/>
      <c r="H76" s="652"/>
      <c r="I76" s="652"/>
      <c r="J76" s="630"/>
      <c r="K76" s="149" t="s">
        <v>33</v>
      </c>
      <c r="L76" s="298">
        <f t="shared" ref="L76:W76" si="32">L65-L68</f>
        <v>0</v>
      </c>
      <c r="M76" s="412">
        <f t="shared" si="32"/>
        <v>0</v>
      </c>
      <c r="N76" s="412">
        <f t="shared" si="32"/>
        <v>0</v>
      </c>
      <c r="O76" s="412">
        <f t="shared" si="32"/>
        <v>0</v>
      </c>
      <c r="P76" s="412">
        <f t="shared" si="32"/>
        <v>0</v>
      </c>
      <c r="Q76" s="412">
        <f t="shared" si="32"/>
        <v>-63327</v>
      </c>
      <c r="R76" s="412">
        <f t="shared" si="32"/>
        <v>175702</v>
      </c>
      <c r="S76" s="412">
        <f t="shared" si="32"/>
        <v>192162</v>
      </c>
      <c r="T76" s="412">
        <f t="shared" si="32"/>
        <v>190636</v>
      </c>
      <c r="U76" s="412">
        <f t="shared" si="32"/>
        <v>166065</v>
      </c>
      <c r="V76" s="412">
        <f t="shared" si="32"/>
        <v>184861</v>
      </c>
      <c r="W76" s="219">
        <f t="shared" si="32"/>
        <v>198245</v>
      </c>
      <c r="X76" s="43">
        <f>X65-X68</f>
        <v>1044344</v>
      </c>
      <c r="Z76" s="69"/>
    </row>
    <row r="77" spans="1:26" ht="12.75" customHeight="1">
      <c r="A77" s="113">
        <v>2023027</v>
      </c>
      <c r="C77" s="641">
        <f>C65+1</f>
        <v>7</v>
      </c>
      <c r="D77" s="644" t="s">
        <v>94</v>
      </c>
      <c r="E77" s="644"/>
      <c r="F77" s="644"/>
      <c r="G77" s="644"/>
      <c r="H77" s="647" t="s">
        <v>133</v>
      </c>
      <c r="I77" s="647"/>
      <c r="J77" s="628" t="s">
        <v>55</v>
      </c>
      <c r="K77" s="242" t="s">
        <v>23</v>
      </c>
      <c r="L77" s="294">
        <f t="shared" ref="L77:W77" si="33">L78+L79</f>
        <v>0</v>
      </c>
      <c r="M77" s="409">
        <f t="shared" si="33"/>
        <v>0</v>
      </c>
      <c r="N77" s="409">
        <f t="shared" si="33"/>
        <v>0</v>
      </c>
      <c r="O77" s="409">
        <f t="shared" si="33"/>
        <v>0</v>
      </c>
      <c r="P77" s="409">
        <f t="shared" si="33"/>
        <v>0</v>
      </c>
      <c r="Q77" s="409">
        <f t="shared" si="33"/>
        <v>0</v>
      </c>
      <c r="R77" s="409">
        <f t="shared" si="33"/>
        <v>0</v>
      </c>
      <c r="S77" s="409">
        <f t="shared" si="33"/>
        <v>0</v>
      </c>
      <c r="T77" s="409">
        <f t="shared" si="33"/>
        <v>0</v>
      </c>
      <c r="U77" s="409">
        <f t="shared" si="33"/>
        <v>510000</v>
      </c>
      <c r="V77" s="409">
        <f t="shared" si="33"/>
        <v>494050</v>
      </c>
      <c r="W77" s="216">
        <f t="shared" si="33"/>
        <v>510000</v>
      </c>
      <c r="X77" s="122">
        <f t="shared" ref="X77:X87" si="34">SUM(L77:W77)</f>
        <v>1514050</v>
      </c>
      <c r="Z77" s="69"/>
    </row>
    <row r="78" spans="1:26">
      <c r="A78" s="114">
        <f>+A77</f>
        <v>2023027</v>
      </c>
      <c r="B78" s="74"/>
      <c r="C78" s="642"/>
      <c r="D78" s="645"/>
      <c r="E78" s="645"/>
      <c r="F78" s="645"/>
      <c r="G78" s="645"/>
      <c r="H78" s="648"/>
      <c r="I78" s="648"/>
      <c r="J78" s="629"/>
      <c r="K78" s="146" t="s">
        <v>24</v>
      </c>
      <c r="L78" s="297"/>
      <c r="M78" s="297"/>
      <c r="N78" s="297"/>
      <c r="O78" s="297"/>
      <c r="P78" s="297"/>
      <c r="Q78" s="297"/>
      <c r="R78" s="297"/>
      <c r="S78" s="297"/>
      <c r="T78" s="297"/>
      <c r="U78" s="297">
        <v>510000</v>
      </c>
      <c r="V78" s="297">
        <v>494050</v>
      </c>
      <c r="W78" s="91">
        <v>510000</v>
      </c>
      <c r="X78" s="58">
        <f t="shared" si="34"/>
        <v>1514050</v>
      </c>
      <c r="Y78" s="69"/>
      <c r="Z78" s="69"/>
    </row>
    <row r="79" spans="1:26">
      <c r="A79" s="114">
        <f>+A78</f>
        <v>2023027</v>
      </c>
      <c r="B79" s="74"/>
      <c r="C79" s="642"/>
      <c r="D79" s="645"/>
      <c r="E79" s="645"/>
      <c r="F79" s="645"/>
      <c r="G79" s="645"/>
      <c r="H79" s="648"/>
      <c r="I79" s="648"/>
      <c r="J79" s="629"/>
      <c r="K79" s="146" t="s">
        <v>25</v>
      </c>
      <c r="L79" s="295"/>
      <c r="M79" s="297"/>
      <c r="N79" s="297"/>
      <c r="O79" s="297"/>
      <c r="P79" s="297"/>
      <c r="Q79" s="297"/>
      <c r="R79" s="297"/>
      <c r="S79" s="297"/>
      <c r="T79" s="297"/>
      <c r="U79" s="297"/>
      <c r="V79" s="297"/>
      <c r="W79" s="284"/>
      <c r="X79" s="58">
        <f t="shared" si="34"/>
        <v>0</v>
      </c>
      <c r="Z79" s="69"/>
    </row>
    <row r="80" spans="1:26">
      <c r="A80" s="114">
        <f t="shared" ref="A80:A87" si="35">+A79</f>
        <v>2023027</v>
      </c>
      <c r="B80" s="74"/>
      <c r="C80" s="642"/>
      <c r="D80" s="645"/>
      <c r="E80" s="645"/>
      <c r="F80" s="645"/>
      <c r="G80" s="645"/>
      <c r="H80" s="648"/>
      <c r="I80" s="648"/>
      <c r="J80" s="629"/>
      <c r="K80" s="147" t="s">
        <v>26</v>
      </c>
      <c r="L80" s="296">
        <f t="shared" ref="L80:W80" si="36">SUM(L81:L87)</f>
        <v>0</v>
      </c>
      <c r="M80" s="411">
        <f t="shared" si="36"/>
        <v>0</v>
      </c>
      <c r="N80" s="411">
        <f t="shared" si="36"/>
        <v>0</v>
      </c>
      <c r="O80" s="411">
        <f t="shared" si="36"/>
        <v>0</v>
      </c>
      <c r="P80" s="411">
        <f t="shared" si="36"/>
        <v>0</v>
      </c>
      <c r="Q80" s="411">
        <f t="shared" si="36"/>
        <v>0</v>
      </c>
      <c r="R80" s="411">
        <f t="shared" si="36"/>
        <v>0</v>
      </c>
      <c r="S80" s="411">
        <f t="shared" si="36"/>
        <v>0</v>
      </c>
      <c r="T80" s="411">
        <f t="shared" si="36"/>
        <v>0</v>
      </c>
      <c r="U80" s="411">
        <f t="shared" si="36"/>
        <v>312920</v>
      </c>
      <c r="V80" s="411">
        <f t="shared" si="36"/>
        <v>314756</v>
      </c>
      <c r="W80" s="285">
        <f t="shared" si="36"/>
        <v>314473</v>
      </c>
      <c r="X80" s="59">
        <f t="shared" si="34"/>
        <v>942149</v>
      </c>
      <c r="Z80" s="69"/>
    </row>
    <row r="81" spans="1:26">
      <c r="A81" s="114">
        <f t="shared" si="35"/>
        <v>2023027</v>
      </c>
      <c r="B81" s="74"/>
      <c r="C81" s="642"/>
      <c r="D81" s="645"/>
      <c r="E81" s="645"/>
      <c r="F81" s="645"/>
      <c r="G81" s="645"/>
      <c r="H81" s="648"/>
      <c r="I81" s="648"/>
      <c r="J81" s="629"/>
      <c r="K81" s="148" t="s">
        <v>27</v>
      </c>
      <c r="L81" s="297"/>
      <c r="M81" s="297"/>
      <c r="N81" s="297"/>
      <c r="O81" s="297"/>
      <c r="P81" s="297"/>
      <c r="Q81" s="297"/>
      <c r="R81" s="297"/>
      <c r="S81" s="297"/>
      <c r="T81" s="297"/>
      <c r="U81" s="438">
        <v>260000</v>
      </c>
      <c r="V81" s="438">
        <v>260000</v>
      </c>
      <c r="W81" s="321">
        <v>258400</v>
      </c>
      <c r="X81" s="58">
        <f t="shared" si="34"/>
        <v>778400</v>
      </c>
      <c r="Y81" s="69"/>
      <c r="Z81" s="69"/>
    </row>
    <row r="82" spans="1:26">
      <c r="A82" s="114">
        <f t="shared" si="35"/>
        <v>2023027</v>
      </c>
      <c r="B82" s="74"/>
      <c r="C82" s="642"/>
      <c r="D82" s="645"/>
      <c r="E82" s="645"/>
      <c r="F82" s="645"/>
      <c r="G82" s="645"/>
      <c r="H82" s="648"/>
      <c r="I82" s="648"/>
      <c r="J82" s="629"/>
      <c r="K82" s="148" t="s">
        <v>34</v>
      </c>
      <c r="L82" s="297"/>
      <c r="M82" s="297"/>
      <c r="N82" s="297"/>
      <c r="O82" s="297"/>
      <c r="P82" s="297"/>
      <c r="Q82" s="297"/>
      <c r="R82" s="297"/>
      <c r="S82" s="297"/>
      <c r="T82" s="297"/>
      <c r="U82" s="438"/>
      <c r="V82" s="438"/>
      <c r="W82" s="321"/>
      <c r="X82" s="58">
        <f t="shared" si="34"/>
        <v>0</v>
      </c>
      <c r="Y82" s="69"/>
      <c r="Z82" s="69"/>
    </row>
    <row r="83" spans="1:26">
      <c r="A83" s="114">
        <f t="shared" si="35"/>
        <v>2023027</v>
      </c>
      <c r="B83" s="74"/>
      <c r="C83" s="642"/>
      <c r="D83" s="645"/>
      <c r="E83" s="645"/>
      <c r="F83" s="645"/>
      <c r="G83" s="645"/>
      <c r="H83" s="648"/>
      <c r="I83" s="648"/>
      <c r="J83" s="629"/>
      <c r="K83" s="148" t="s">
        <v>28</v>
      </c>
      <c r="L83" s="297"/>
      <c r="M83" s="297"/>
      <c r="N83" s="297"/>
      <c r="O83" s="297"/>
      <c r="P83" s="297"/>
      <c r="Q83" s="297"/>
      <c r="R83" s="297"/>
      <c r="S83" s="297"/>
      <c r="T83" s="297"/>
      <c r="U83" s="438">
        <v>13904</v>
      </c>
      <c r="V83" s="438">
        <v>15540</v>
      </c>
      <c r="W83" s="321">
        <v>20000</v>
      </c>
      <c r="X83" s="58">
        <f t="shared" si="34"/>
        <v>49444</v>
      </c>
      <c r="Y83" s="69"/>
      <c r="Z83" s="69"/>
    </row>
    <row r="84" spans="1:26">
      <c r="A84" s="114">
        <f t="shared" si="35"/>
        <v>2023027</v>
      </c>
      <c r="B84" s="74"/>
      <c r="C84" s="642"/>
      <c r="D84" s="645"/>
      <c r="E84" s="645"/>
      <c r="F84" s="645"/>
      <c r="G84" s="645"/>
      <c r="H84" s="648"/>
      <c r="I84" s="648"/>
      <c r="J84" s="629"/>
      <c r="K84" s="148" t="s">
        <v>29</v>
      </c>
      <c r="L84" s="297"/>
      <c r="M84" s="297"/>
      <c r="N84" s="297"/>
      <c r="O84" s="297"/>
      <c r="P84" s="297"/>
      <c r="Q84" s="297"/>
      <c r="R84" s="297"/>
      <c r="S84" s="297"/>
      <c r="T84" s="297"/>
      <c r="U84" s="438">
        <v>12350</v>
      </c>
      <c r="V84" s="438">
        <v>12350</v>
      </c>
      <c r="W84" s="321">
        <v>11400</v>
      </c>
      <c r="X84" s="58">
        <f t="shared" si="34"/>
        <v>36100</v>
      </c>
      <c r="Y84" s="69"/>
      <c r="Z84" s="69"/>
    </row>
    <row r="85" spans="1:26">
      <c r="A85" s="114">
        <f t="shared" si="35"/>
        <v>2023027</v>
      </c>
      <c r="B85" s="74"/>
      <c r="C85" s="642"/>
      <c r="D85" s="645"/>
      <c r="E85" s="645"/>
      <c r="F85" s="645"/>
      <c r="G85" s="645"/>
      <c r="H85" s="648"/>
      <c r="I85" s="648"/>
      <c r="J85" s="629"/>
      <c r="K85" s="148" t="s">
        <v>30</v>
      </c>
      <c r="L85" s="297"/>
      <c r="M85" s="297"/>
      <c r="N85" s="297"/>
      <c r="O85" s="297"/>
      <c r="P85" s="297"/>
      <c r="Q85" s="297"/>
      <c r="R85" s="297"/>
      <c r="S85" s="297"/>
      <c r="T85" s="297"/>
      <c r="U85" s="438">
        <v>23790</v>
      </c>
      <c r="V85" s="438">
        <v>23790</v>
      </c>
      <c r="W85" s="321">
        <v>21960</v>
      </c>
      <c r="X85" s="58">
        <f t="shared" si="34"/>
        <v>69540</v>
      </c>
      <c r="Y85" s="69"/>
      <c r="Z85" s="69"/>
    </row>
    <row r="86" spans="1:26">
      <c r="A86" s="114">
        <f t="shared" si="35"/>
        <v>2023027</v>
      </c>
      <c r="B86" s="74"/>
      <c r="C86" s="642"/>
      <c r="D86" s="645"/>
      <c r="E86" s="645"/>
      <c r="F86" s="645"/>
      <c r="G86" s="645"/>
      <c r="H86" s="648"/>
      <c r="I86" s="648"/>
      <c r="J86" s="629"/>
      <c r="K86" s="148" t="s">
        <v>31</v>
      </c>
      <c r="L86" s="297"/>
      <c r="M86" s="297"/>
      <c r="N86" s="297"/>
      <c r="O86" s="297"/>
      <c r="P86" s="297"/>
      <c r="Q86" s="297"/>
      <c r="R86" s="297"/>
      <c r="S86" s="297"/>
      <c r="T86" s="297"/>
      <c r="U86" s="438">
        <v>1370</v>
      </c>
      <c r="V86" s="438">
        <v>1465</v>
      </c>
      <c r="W86" s="321">
        <v>1292</v>
      </c>
      <c r="X86" s="58">
        <f t="shared" si="34"/>
        <v>4127</v>
      </c>
      <c r="Y86" s="69"/>
      <c r="Z86" s="69"/>
    </row>
    <row r="87" spans="1:26">
      <c r="A87" s="114">
        <f t="shared" si="35"/>
        <v>2023027</v>
      </c>
      <c r="B87" s="74"/>
      <c r="C87" s="642"/>
      <c r="D87" s="645"/>
      <c r="E87" s="645"/>
      <c r="F87" s="645"/>
      <c r="G87" s="645"/>
      <c r="H87" s="648"/>
      <c r="I87" s="648"/>
      <c r="J87" s="629"/>
      <c r="K87" s="148" t="s">
        <v>32</v>
      </c>
      <c r="L87" s="297"/>
      <c r="M87" s="297"/>
      <c r="N87" s="297"/>
      <c r="O87" s="297"/>
      <c r="P87" s="297"/>
      <c r="Q87" s="297"/>
      <c r="R87" s="297"/>
      <c r="S87" s="297"/>
      <c r="T87" s="297"/>
      <c r="U87" s="438">
        <v>1506</v>
      </c>
      <c r="V87" s="438">
        <v>1611</v>
      </c>
      <c r="W87" s="321">
        <v>1421</v>
      </c>
      <c r="X87" s="58">
        <f t="shared" si="34"/>
        <v>4538</v>
      </c>
      <c r="Y87" s="69"/>
      <c r="Z87" s="69"/>
    </row>
    <row r="88" spans="1:26">
      <c r="A88" s="114">
        <f>+A87</f>
        <v>2023027</v>
      </c>
      <c r="B88" s="74"/>
      <c r="C88" s="654"/>
      <c r="D88" s="655"/>
      <c r="E88" s="655"/>
      <c r="F88" s="655"/>
      <c r="G88" s="655"/>
      <c r="H88" s="652"/>
      <c r="I88" s="652"/>
      <c r="J88" s="630"/>
      <c r="K88" s="149" t="s">
        <v>33</v>
      </c>
      <c r="L88" s="298">
        <f t="shared" ref="L88:W88" si="37">L77-L80</f>
        <v>0</v>
      </c>
      <c r="M88" s="412">
        <f t="shared" si="37"/>
        <v>0</v>
      </c>
      <c r="N88" s="412">
        <f t="shared" si="37"/>
        <v>0</v>
      </c>
      <c r="O88" s="412">
        <f t="shared" si="37"/>
        <v>0</v>
      </c>
      <c r="P88" s="412">
        <f t="shared" si="37"/>
        <v>0</v>
      </c>
      <c r="Q88" s="412">
        <f t="shared" si="37"/>
        <v>0</v>
      </c>
      <c r="R88" s="412">
        <f t="shared" si="37"/>
        <v>0</v>
      </c>
      <c r="S88" s="412">
        <f t="shared" si="37"/>
        <v>0</v>
      </c>
      <c r="T88" s="412">
        <f t="shared" si="37"/>
        <v>0</v>
      </c>
      <c r="U88" s="412">
        <f t="shared" si="37"/>
        <v>197080</v>
      </c>
      <c r="V88" s="412">
        <f t="shared" si="37"/>
        <v>179294</v>
      </c>
      <c r="W88" s="219">
        <f t="shared" si="37"/>
        <v>195527</v>
      </c>
      <c r="X88" s="43">
        <f>X77-X80</f>
        <v>571901</v>
      </c>
      <c r="Z88" s="69"/>
    </row>
    <row r="89" spans="1:26" ht="12.75" customHeight="1">
      <c r="A89" s="113">
        <v>2025024</v>
      </c>
      <c r="C89" s="642">
        <f>C77+1</f>
        <v>8</v>
      </c>
      <c r="D89" s="645" t="s">
        <v>94</v>
      </c>
      <c r="E89" s="645"/>
      <c r="F89" s="645"/>
      <c r="G89" s="645"/>
      <c r="H89" s="648" t="s">
        <v>177</v>
      </c>
      <c r="I89" s="648"/>
      <c r="J89" s="629" t="s">
        <v>55</v>
      </c>
      <c r="K89" s="532" t="s">
        <v>23</v>
      </c>
      <c r="L89" s="299">
        <f t="shared" ref="L89:W89" si="38">L90+L91</f>
        <v>0</v>
      </c>
      <c r="M89" s="413">
        <f t="shared" si="38"/>
        <v>0</v>
      </c>
      <c r="N89" s="413">
        <f t="shared" si="38"/>
        <v>0</v>
      </c>
      <c r="O89" s="413">
        <f t="shared" si="38"/>
        <v>0</v>
      </c>
      <c r="P89" s="413">
        <f t="shared" si="38"/>
        <v>0</v>
      </c>
      <c r="Q89" s="413">
        <f t="shared" si="38"/>
        <v>0</v>
      </c>
      <c r="R89" s="413">
        <f t="shared" si="38"/>
        <v>0</v>
      </c>
      <c r="S89" s="413">
        <f t="shared" si="38"/>
        <v>0</v>
      </c>
      <c r="T89" s="413">
        <f t="shared" si="38"/>
        <v>0</v>
      </c>
      <c r="U89" s="413">
        <f t="shared" si="38"/>
        <v>750000</v>
      </c>
      <c r="V89" s="413">
        <f t="shared" si="38"/>
        <v>750000</v>
      </c>
      <c r="W89" s="491">
        <f t="shared" si="38"/>
        <v>750000</v>
      </c>
      <c r="X89" s="42">
        <f t="shared" ref="X89:X99" si="39">SUM(L89:W89)</f>
        <v>2250000</v>
      </c>
      <c r="Z89" s="69"/>
    </row>
    <row r="90" spans="1:26">
      <c r="A90" s="114">
        <f>+A89</f>
        <v>2025024</v>
      </c>
      <c r="B90" s="74">
        <f>+B89</f>
        <v>0</v>
      </c>
      <c r="C90" s="642"/>
      <c r="D90" s="645"/>
      <c r="E90" s="645"/>
      <c r="F90" s="645"/>
      <c r="G90" s="645"/>
      <c r="H90" s="648"/>
      <c r="I90" s="648"/>
      <c r="J90" s="629"/>
      <c r="K90" s="146" t="s">
        <v>24</v>
      </c>
      <c r="L90" s="297"/>
      <c r="M90" s="297"/>
      <c r="N90" s="297"/>
      <c r="O90" s="297"/>
      <c r="P90" s="297"/>
      <c r="Q90" s="297"/>
      <c r="R90" s="297"/>
      <c r="S90" s="297"/>
      <c r="T90" s="297"/>
      <c r="U90" s="297">
        <v>750000</v>
      </c>
      <c r="V90" s="297">
        <v>750000</v>
      </c>
      <c r="W90" s="91">
        <v>750000</v>
      </c>
      <c r="X90" s="58">
        <f t="shared" si="39"/>
        <v>2250000</v>
      </c>
      <c r="Y90" s="69"/>
      <c r="Z90" s="69"/>
    </row>
    <row r="91" spans="1:26">
      <c r="A91" s="114">
        <f>+A90</f>
        <v>2025024</v>
      </c>
      <c r="B91" s="74">
        <f t="shared" ref="B91:B99" si="40">+B90</f>
        <v>0</v>
      </c>
      <c r="C91" s="642"/>
      <c r="D91" s="645"/>
      <c r="E91" s="645"/>
      <c r="F91" s="645"/>
      <c r="G91" s="645"/>
      <c r="H91" s="648"/>
      <c r="I91" s="648"/>
      <c r="J91" s="629"/>
      <c r="K91" s="146" t="s">
        <v>25</v>
      </c>
      <c r="L91" s="295"/>
      <c r="M91" s="297"/>
      <c r="N91" s="297"/>
      <c r="O91" s="297"/>
      <c r="P91" s="297"/>
      <c r="Q91" s="297"/>
      <c r="R91" s="297"/>
      <c r="S91" s="297"/>
      <c r="T91" s="297"/>
      <c r="U91" s="297"/>
      <c r="V91" s="297"/>
      <c r="W91" s="284"/>
      <c r="X91" s="58">
        <f t="shared" si="39"/>
        <v>0</v>
      </c>
      <c r="Z91" s="69"/>
    </row>
    <row r="92" spans="1:26">
      <c r="A92" s="114">
        <f t="shared" ref="A92:A99" si="41">+A91</f>
        <v>2025024</v>
      </c>
      <c r="B92" s="74">
        <f t="shared" si="40"/>
        <v>0</v>
      </c>
      <c r="C92" s="642"/>
      <c r="D92" s="645"/>
      <c r="E92" s="645"/>
      <c r="F92" s="645"/>
      <c r="G92" s="645"/>
      <c r="H92" s="648"/>
      <c r="I92" s="648"/>
      <c r="J92" s="629"/>
      <c r="K92" s="147" t="s">
        <v>26</v>
      </c>
      <c r="L92" s="296">
        <f t="shared" ref="L92:W92" si="42">SUM(L93:L99)</f>
        <v>0</v>
      </c>
      <c r="M92" s="411">
        <f t="shared" si="42"/>
        <v>0</v>
      </c>
      <c r="N92" s="411">
        <f t="shared" si="42"/>
        <v>0</v>
      </c>
      <c r="O92" s="411">
        <f t="shared" si="42"/>
        <v>0</v>
      </c>
      <c r="P92" s="411">
        <f t="shared" si="42"/>
        <v>0</v>
      </c>
      <c r="Q92" s="411">
        <f t="shared" si="42"/>
        <v>0</v>
      </c>
      <c r="R92" s="411">
        <f t="shared" si="42"/>
        <v>0</v>
      </c>
      <c r="S92" s="411">
        <f t="shared" si="42"/>
        <v>0</v>
      </c>
      <c r="T92" s="411">
        <f t="shared" si="42"/>
        <v>0</v>
      </c>
      <c r="U92" s="411">
        <f t="shared" si="42"/>
        <v>589355</v>
      </c>
      <c r="V92" s="411">
        <f t="shared" si="42"/>
        <v>666439</v>
      </c>
      <c r="W92" s="92">
        <f t="shared" si="42"/>
        <v>584090</v>
      </c>
      <c r="X92" s="59">
        <f t="shared" si="39"/>
        <v>1839884</v>
      </c>
      <c r="Z92" s="69"/>
    </row>
    <row r="93" spans="1:26">
      <c r="A93" s="114">
        <f t="shared" si="41"/>
        <v>2025024</v>
      </c>
      <c r="B93" s="74">
        <f t="shared" si="40"/>
        <v>0</v>
      </c>
      <c r="C93" s="642"/>
      <c r="D93" s="645"/>
      <c r="E93" s="645"/>
      <c r="F93" s="645"/>
      <c r="G93" s="645"/>
      <c r="H93" s="648"/>
      <c r="I93" s="648"/>
      <c r="J93" s="629"/>
      <c r="K93" s="148" t="s">
        <v>27</v>
      </c>
      <c r="L93" s="297"/>
      <c r="M93" s="297"/>
      <c r="N93" s="297"/>
      <c r="O93" s="297"/>
      <c r="P93" s="297"/>
      <c r="Q93" s="297"/>
      <c r="R93" s="297"/>
      <c r="S93" s="297"/>
      <c r="T93" s="297"/>
      <c r="U93" s="438">
        <v>490000</v>
      </c>
      <c r="V93" s="438">
        <v>490000</v>
      </c>
      <c r="W93" s="321">
        <v>490000</v>
      </c>
      <c r="X93" s="58">
        <f t="shared" si="39"/>
        <v>1470000</v>
      </c>
      <c r="Y93" s="69"/>
      <c r="Z93" s="69"/>
    </row>
    <row r="94" spans="1:26">
      <c r="A94" s="114">
        <f t="shared" si="41"/>
        <v>2025024</v>
      </c>
      <c r="B94" s="74">
        <f t="shared" si="40"/>
        <v>0</v>
      </c>
      <c r="C94" s="642"/>
      <c r="D94" s="645"/>
      <c r="E94" s="645"/>
      <c r="F94" s="645"/>
      <c r="G94" s="645"/>
      <c r="H94" s="648"/>
      <c r="I94" s="648"/>
      <c r="J94" s="629"/>
      <c r="K94" s="148" t="s">
        <v>34</v>
      </c>
      <c r="L94" s="297"/>
      <c r="M94" s="297"/>
      <c r="N94" s="297"/>
      <c r="O94" s="297"/>
      <c r="P94" s="297"/>
      <c r="Q94" s="297"/>
      <c r="R94" s="297"/>
      <c r="S94" s="297"/>
      <c r="T94" s="297"/>
      <c r="U94" s="438"/>
      <c r="V94" s="438"/>
      <c r="W94" s="321"/>
      <c r="X94" s="58">
        <f t="shared" si="39"/>
        <v>0</v>
      </c>
      <c r="Y94" s="69"/>
      <c r="Z94" s="69"/>
    </row>
    <row r="95" spans="1:26">
      <c r="A95" s="114">
        <f t="shared" si="41"/>
        <v>2025024</v>
      </c>
      <c r="B95" s="74">
        <f t="shared" si="40"/>
        <v>0</v>
      </c>
      <c r="C95" s="642"/>
      <c r="D95" s="645"/>
      <c r="E95" s="645"/>
      <c r="F95" s="645"/>
      <c r="G95" s="645"/>
      <c r="H95" s="648"/>
      <c r="I95" s="648"/>
      <c r="J95" s="629"/>
      <c r="K95" s="148" t="s">
        <v>28</v>
      </c>
      <c r="L95" s="297"/>
      <c r="M95" s="297"/>
      <c r="N95" s="297"/>
      <c r="O95" s="297"/>
      <c r="P95" s="297"/>
      <c r="Q95" s="297"/>
      <c r="R95" s="297"/>
      <c r="S95" s="297"/>
      <c r="T95" s="297"/>
      <c r="U95" s="438">
        <v>20000</v>
      </c>
      <c r="V95" s="438">
        <v>20000</v>
      </c>
      <c r="W95" s="321">
        <v>20000</v>
      </c>
      <c r="X95" s="58">
        <f t="shared" si="39"/>
        <v>60000</v>
      </c>
      <c r="Y95" s="69"/>
      <c r="Z95" s="69"/>
    </row>
    <row r="96" spans="1:26">
      <c r="A96" s="114">
        <f t="shared" si="41"/>
        <v>2025024</v>
      </c>
      <c r="B96" s="74">
        <f t="shared" si="40"/>
        <v>0</v>
      </c>
      <c r="C96" s="642"/>
      <c r="D96" s="645"/>
      <c r="E96" s="645"/>
      <c r="F96" s="645"/>
      <c r="G96" s="645"/>
      <c r="H96" s="648"/>
      <c r="I96" s="648"/>
      <c r="J96" s="629"/>
      <c r="K96" s="148" t="s">
        <v>29</v>
      </c>
      <c r="L96" s="297"/>
      <c r="M96" s="297"/>
      <c r="N96" s="297"/>
      <c r="O96" s="297"/>
      <c r="P96" s="297"/>
      <c r="Q96" s="297"/>
      <c r="R96" s="297"/>
      <c r="S96" s="297"/>
      <c r="T96" s="297"/>
      <c r="U96" s="438">
        <v>28250</v>
      </c>
      <c r="V96" s="438">
        <v>56500</v>
      </c>
      <c r="W96" s="321">
        <v>23750</v>
      </c>
      <c r="X96" s="58">
        <f t="shared" si="39"/>
        <v>108500</v>
      </c>
      <c r="Y96" s="69"/>
      <c r="Z96" s="69"/>
    </row>
    <row r="97" spans="1:26">
      <c r="A97" s="114">
        <f t="shared" si="41"/>
        <v>2025024</v>
      </c>
      <c r="B97" s="74">
        <f t="shared" si="40"/>
        <v>0</v>
      </c>
      <c r="C97" s="642"/>
      <c r="D97" s="645"/>
      <c r="E97" s="645"/>
      <c r="F97" s="645"/>
      <c r="G97" s="645"/>
      <c r="H97" s="648"/>
      <c r="I97" s="648"/>
      <c r="J97" s="629"/>
      <c r="K97" s="148" t="s">
        <v>30</v>
      </c>
      <c r="L97" s="297"/>
      <c r="M97" s="297"/>
      <c r="N97" s="297"/>
      <c r="O97" s="297"/>
      <c r="P97" s="297"/>
      <c r="Q97" s="297"/>
      <c r="R97" s="297"/>
      <c r="S97" s="297"/>
      <c r="T97" s="297"/>
      <c r="U97" s="438">
        <v>45750</v>
      </c>
      <c r="V97" s="438">
        <v>91500</v>
      </c>
      <c r="W97" s="321">
        <v>45750</v>
      </c>
      <c r="X97" s="58">
        <f t="shared" si="39"/>
        <v>183000</v>
      </c>
      <c r="Y97" s="69"/>
      <c r="Z97" s="69"/>
    </row>
    <row r="98" spans="1:26">
      <c r="A98" s="114">
        <f t="shared" si="41"/>
        <v>2025024</v>
      </c>
      <c r="B98" s="74">
        <f t="shared" si="40"/>
        <v>0</v>
      </c>
      <c r="C98" s="642"/>
      <c r="D98" s="645"/>
      <c r="E98" s="645"/>
      <c r="F98" s="645"/>
      <c r="G98" s="645"/>
      <c r="H98" s="648"/>
      <c r="I98" s="648"/>
      <c r="J98" s="629"/>
      <c r="K98" s="148" t="s">
        <v>31</v>
      </c>
      <c r="L98" s="297"/>
      <c r="M98" s="297"/>
      <c r="N98" s="297"/>
      <c r="O98" s="297"/>
      <c r="P98" s="297"/>
      <c r="Q98" s="297"/>
      <c r="R98" s="297"/>
      <c r="S98" s="297"/>
      <c r="T98" s="297"/>
      <c r="U98" s="438">
        <v>2550</v>
      </c>
      <c r="V98" s="438">
        <v>2637</v>
      </c>
      <c r="W98" s="321">
        <v>1530</v>
      </c>
      <c r="X98" s="58">
        <f t="shared" si="39"/>
        <v>6717</v>
      </c>
      <c r="Y98" s="69"/>
      <c r="Z98" s="69"/>
    </row>
    <row r="99" spans="1:26">
      <c r="A99" s="114">
        <f t="shared" si="41"/>
        <v>2025024</v>
      </c>
      <c r="B99" s="74">
        <f t="shared" si="40"/>
        <v>0</v>
      </c>
      <c r="C99" s="642"/>
      <c r="D99" s="645"/>
      <c r="E99" s="645"/>
      <c r="F99" s="645"/>
      <c r="G99" s="645"/>
      <c r="H99" s="648"/>
      <c r="I99" s="648"/>
      <c r="J99" s="629"/>
      <c r="K99" s="148" t="s">
        <v>32</v>
      </c>
      <c r="L99" s="297"/>
      <c r="M99" s="297"/>
      <c r="N99" s="297"/>
      <c r="O99" s="297"/>
      <c r="P99" s="297"/>
      <c r="Q99" s="297"/>
      <c r="R99" s="297"/>
      <c r="S99" s="297"/>
      <c r="T99" s="297"/>
      <c r="U99" s="438">
        <v>2805</v>
      </c>
      <c r="V99" s="438">
        <v>5802</v>
      </c>
      <c r="W99" s="321">
        <v>3060</v>
      </c>
      <c r="X99" s="58">
        <f t="shared" si="39"/>
        <v>11667</v>
      </c>
      <c r="Y99" s="69"/>
      <c r="Z99" s="69"/>
    </row>
    <row r="100" spans="1:26" ht="12.5" thickBot="1">
      <c r="A100" s="114">
        <f>+A99</f>
        <v>2025024</v>
      </c>
      <c r="B100" s="74">
        <f>+B99</f>
        <v>0</v>
      </c>
      <c r="C100" s="643"/>
      <c r="D100" s="646"/>
      <c r="E100" s="646"/>
      <c r="F100" s="646"/>
      <c r="G100" s="646"/>
      <c r="H100" s="649"/>
      <c r="I100" s="649"/>
      <c r="J100" s="631"/>
      <c r="K100" s="287" t="s">
        <v>33</v>
      </c>
      <c r="L100" s="300">
        <f t="shared" ref="L100:U100" si="43">L89-L92</f>
        <v>0</v>
      </c>
      <c r="M100" s="417">
        <f t="shared" si="43"/>
        <v>0</v>
      </c>
      <c r="N100" s="417">
        <f t="shared" si="43"/>
        <v>0</v>
      </c>
      <c r="O100" s="417">
        <f t="shared" si="43"/>
        <v>0</v>
      </c>
      <c r="P100" s="417">
        <f t="shared" si="43"/>
        <v>0</v>
      </c>
      <c r="Q100" s="417">
        <f t="shared" si="43"/>
        <v>0</v>
      </c>
      <c r="R100" s="417">
        <f t="shared" si="43"/>
        <v>0</v>
      </c>
      <c r="S100" s="417">
        <f t="shared" si="43"/>
        <v>0</v>
      </c>
      <c r="T100" s="417">
        <f t="shared" si="43"/>
        <v>0</v>
      </c>
      <c r="U100" s="417">
        <f t="shared" si="43"/>
        <v>160645</v>
      </c>
      <c r="V100" s="417">
        <f t="shared" ref="V100:W100" si="44">V89-V92</f>
        <v>83561</v>
      </c>
      <c r="W100" s="104">
        <f t="shared" si="44"/>
        <v>165910</v>
      </c>
      <c r="X100" s="78">
        <f>X89-X92</f>
        <v>410116</v>
      </c>
      <c r="Z100" s="69"/>
    </row>
    <row r="101" spans="1:26" s="1" customFormat="1" ht="12.65" customHeight="1" thickTop="1">
      <c r="A101" s="112"/>
      <c r="B101" s="72"/>
      <c r="C101" s="713" t="str">
        <f>C2</f>
        <v>地方</v>
      </c>
      <c r="D101" s="714"/>
      <c r="E101" s="714"/>
      <c r="F101" s="714"/>
      <c r="G101" s="714"/>
      <c r="H101" s="714"/>
      <c r="I101" s="714"/>
      <c r="J101" s="715"/>
      <c r="K101" s="286" t="s">
        <v>20</v>
      </c>
      <c r="L101" s="462">
        <f>L5+L17+L29+L41+L53+L65+L77+L89</f>
        <v>2690695</v>
      </c>
      <c r="M101" s="462">
        <f t="shared" ref="M101:W101" si="45">M5+M17+M29+M41+M53+M65+M77+M89</f>
        <v>2633465</v>
      </c>
      <c r="N101" s="462">
        <f t="shared" si="45"/>
        <v>2686965</v>
      </c>
      <c r="O101" s="462">
        <f t="shared" si="45"/>
        <v>2786920</v>
      </c>
      <c r="P101" s="462">
        <f t="shared" si="45"/>
        <v>2357900</v>
      </c>
      <c r="Q101" s="462">
        <f t="shared" si="45"/>
        <v>2799565</v>
      </c>
      <c r="R101" s="462">
        <f t="shared" si="45"/>
        <v>4326752</v>
      </c>
      <c r="S101" s="462">
        <f t="shared" si="45"/>
        <v>2585875</v>
      </c>
      <c r="T101" s="418">
        <f>T5+T17+T29+T41+T53+T65+T77+T89</f>
        <v>2753280</v>
      </c>
      <c r="U101" s="418">
        <f t="shared" si="45"/>
        <v>4000770</v>
      </c>
      <c r="V101" s="418">
        <f t="shared" si="45"/>
        <v>3926060</v>
      </c>
      <c r="W101" s="76">
        <f t="shared" si="45"/>
        <v>4104567.222222222</v>
      </c>
      <c r="X101" s="77">
        <f>SUM(L101:W101)</f>
        <v>37652814.222222224</v>
      </c>
      <c r="Z101" s="69"/>
    </row>
    <row r="102" spans="1:26" s="1" customFormat="1" ht="12" customHeight="1">
      <c r="A102" s="112"/>
      <c r="B102" s="72"/>
      <c r="C102" s="716"/>
      <c r="D102" s="717"/>
      <c r="E102" s="717"/>
      <c r="F102" s="717"/>
      <c r="G102" s="717"/>
      <c r="H102" s="717"/>
      <c r="I102" s="717"/>
      <c r="J102" s="718"/>
      <c r="K102" s="197" t="s">
        <v>21</v>
      </c>
      <c r="L102" s="350">
        <f>L8+L20+L32+L44+L56+L68+L80+L92</f>
        <v>2173468</v>
      </c>
      <c r="M102" s="350">
        <f t="shared" ref="M102:W102" si="46">M8+M20+M32+M44+M56+M68+M80+M92</f>
        <v>2115001</v>
      </c>
      <c r="N102" s="350">
        <f t="shared" si="46"/>
        <v>2149533</v>
      </c>
      <c r="O102" s="350">
        <f t="shared" si="46"/>
        <v>2205432</v>
      </c>
      <c r="P102" s="350">
        <f t="shared" si="46"/>
        <v>2072891</v>
      </c>
      <c r="Q102" s="350">
        <f t="shared" si="46"/>
        <v>2491641</v>
      </c>
      <c r="R102" s="350">
        <f t="shared" si="46"/>
        <v>2343981</v>
      </c>
      <c r="S102" s="350">
        <f t="shared" si="46"/>
        <v>2026843</v>
      </c>
      <c r="T102" s="419">
        <f t="shared" si="46"/>
        <v>2170295</v>
      </c>
      <c r="U102" s="419">
        <f t="shared" si="46"/>
        <v>3060339</v>
      </c>
      <c r="V102" s="419">
        <f t="shared" si="46"/>
        <v>3072359</v>
      </c>
      <c r="W102" s="71">
        <f t="shared" si="46"/>
        <v>3032893.6666666665</v>
      </c>
      <c r="X102" s="44">
        <f>SUM(L102:W102)</f>
        <v>28914676.666666668</v>
      </c>
      <c r="Z102" s="69"/>
    </row>
    <row r="103" spans="1:26" s="1" customFormat="1" ht="12" customHeight="1">
      <c r="A103" s="112"/>
      <c r="B103" s="72"/>
      <c r="C103" s="719"/>
      <c r="D103" s="720"/>
      <c r="E103" s="720"/>
      <c r="F103" s="720"/>
      <c r="G103" s="720"/>
      <c r="H103" s="720"/>
      <c r="I103" s="720"/>
      <c r="J103" s="721"/>
      <c r="K103" s="198" t="s">
        <v>22</v>
      </c>
      <c r="L103" s="361">
        <f>L101-L102</f>
        <v>517227</v>
      </c>
      <c r="M103" s="351">
        <f t="shared" ref="M103:W103" si="47">M101-M102</f>
        <v>518464</v>
      </c>
      <c r="N103" s="351">
        <f t="shared" si="47"/>
        <v>537432</v>
      </c>
      <c r="O103" s="351">
        <f t="shared" si="47"/>
        <v>581488</v>
      </c>
      <c r="P103" s="351">
        <f t="shared" si="47"/>
        <v>285009</v>
      </c>
      <c r="Q103" s="351">
        <f t="shared" si="47"/>
        <v>307924</v>
      </c>
      <c r="R103" s="351">
        <f t="shared" si="47"/>
        <v>1982771</v>
      </c>
      <c r="S103" s="351">
        <f t="shared" si="47"/>
        <v>559032</v>
      </c>
      <c r="T103" s="420">
        <f t="shared" si="47"/>
        <v>582985</v>
      </c>
      <c r="U103" s="420">
        <f t="shared" si="47"/>
        <v>940431</v>
      </c>
      <c r="V103" s="420">
        <f t="shared" si="47"/>
        <v>853701</v>
      </c>
      <c r="W103" s="82">
        <f t="shared" si="47"/>
        <v>1071673.5555555555</v>
      </c>
      <c r="X103" s="45">
        <f t="shared" ref="X103:X106" si="48">SUM(L103:W103)</f>
        <v>8738137.555555556</v>
      </c>
      <c r="Z103" s="69"/>
    </row>
    <row r="104" spans="1:26">
      <c r="F104" s="127"/>
      <c r="K104" s="128" t="s">
        <v>74</v>
      </c>
      <c r="L104" s="689">
        <f>SUM(L101:N101)</f>
        <v>8011125</v>
      </c>
      <c r="M104" s="690"/>
      <c r="N104" s="691"/>
      <c r="O104" s="662">
        <f t="shared" ref="O104:O105" si="49">SUM(O101:Q101)</f>
        <v>7944385</v>
      </c>
      <c r="P104" s="690"/>
      <c r="Q104" s="691"/>
      <c r="R104" s="662">
        <f t="shared" ref="R104:R105" si="50">SUM(R101:T101)</f>
        <v>9665907</v>
      </c>
      <c r="S104" s="690"/>
      <c r="T104" s="691"/>
      <c r="U104" s="662">
        <f t="shared" ref="U104:U105" si="51">SUM(U101:W101)</f>
        <v>12031397.222222222</v>
      </c>
      <c r="V104" s="690"/>
      <c r="W104" s="692"/>
      <c r="X104" s="34">
        <f t="shared" si="48"/>
        <v>37652814.222222224</v>
      </c>
      <c r="Z104" s="69"/>
    </row>
    <row r="105" spans="1:26">
      <c r="F105" s="127"/>
      <c r="K105" s="130" t="s">
        <v>77</v>
      </c>
      <c r="L105" s="693">
        <f>SUM(L102:N102)</f>
        <v>6438002</v>
      </c>
      <c r="M105" s="694"/>
      <c r="N105" s="695"/>
      <c r="O105" s="664">
        <f t="shared" si="49"/>
        <v>6769964</v>
      </c>
      <c r="P105" s="694"/>
      <c r="Q105" s="695"/>
      <c r="R105" s="664">
        <f t="shared" si="50"/>
        <v>6541119</v>
      </c>
      <c r="S105" s="694"/>
      <c r="T105" s="695"/>
      <c r="U105" s="664">
        <f t="shared" si="51"/>
        <v>9165591.666666666</v>
      </c>
      <c r="V105" s="694"/>
      <c r="W105" s="696"/>
      <c r="X105" s="35">
        <f t="shared" si="48"/>
        <v>28914676.666666664</v>
      </c>
      <c r="Z105" s="69"/>
    </row>
    <row r="106" spans="1:26">
      <c r="F106" s="127"/>
      <c r="K106" s="6" t="s">
        <v>75</v>
      </c>
      <c r="L106" s="679">
        <f>SUM(L103:N103)</f>
        <v>1573123</v>
      </c>
      <c r="M106" s="680"/>
      <c r="N106" s="681"/>
      <c r="O106" s="663">
        <f>SUM(O103:Q103)</f>
        <v>1174421</v>
      </c>
      <c r="P106" s="680"/>
      <c r="Q106" s="681"/>
      <c r="R106" s="663">
        <f>SUM(R103:T103)</f>
        <v>3124788</v>
      </c>
      <c r="S106" s="680"/>
      <c r="T106" s="681"/>
      <c r="U106" s="663">
        <f>SUM(U103:W103)</f>
        <v>2865805.5555555555</v>
      </c>
      <c r="V106" s="680"/>
      <c r="W106" s="682"/>
      <c r="X106" s="36">
        <f t="shared" si="48"/>
        <v>8738137.555555556</v>
      </c>
      <c r="Z106" s="69"/>
    </row>
    <row r="107" spans="1:26">
      <c r="Z107" s="69"/>
    </row>
    <row r="108" spans="1:26">
      <c r="Z108" s="69"/>
    </row>
    <row r="109" spans="1:26">
      <c r="Z109" s="69"/>
    </row>
    <row r="110" spans="1:26">
      <c r="Z110" s="69"/>
    </row>
    <row r="111" spans="1:26">
      <c r="Z111" s="69"/>
    </row>
    <row r="112" spans="1:26">
      <c r="Z112" s="69"/>
    </row>
    <row r="113" spans="22:26">
      <c r="Z113" s="69"/>
    </row>
    <row r="114" spans="22:26">
      <c r="Z114" s="69"/>
    </row>
    <row r="115" spans="22:26">
      <c r="Z115" s="69"/>
    </row>
    <row r="116" spans="22:26">
      <c r="Z116" s="69"/>
    </row>
    <row r="117" spans="22:26">
      <c r="Z117" s="69"/>
    </row>
    <row r="118" spans="22:26" ht="13">
      <c r="V118" s="199"/>
      <c r="W118" s="199"/>
      <c r="X118" s="199"/>
      <c r="Y118"/>
      <c r="Z118" s="69"/>
    </row>
    <row r="119" spans="22:26" ht="13">
      <c r="V119" s="199"/>
      <c r="W119" s="199"/>
      <c r="X119" s="199"/>
      <c r="Y119"/>
      <c r="Z119" s="69"/>
    </row>
    <row r="120" spans="22:26" ht="13">
      <c r="V120" s="199"/>
      <c r="W120" s="199"/>
      <c r="X120" s="199"/>
      <c r="Y120"/>
      <c r="Z120" s="69"/>
    </row>
    <row r="121" spans="22:26" ht="13">
      <c r="V121" s="199"/>
      <c r="W121" s="199"/>
      <c r="X121" s="199"/>
      <c r="Y121"/>
      <c r="Z121" s="69"/>
    </row>
    <row r="122" spans="22:26">
      <c r="Z122" s="69"/>
    </row>
    <row r="123" spans="22:26">
      <c r="Z123" s="69"/>
    </row>
    <row r="124" spans="22:26">
      <c r="Z124" s="69"/>
    </row>
    <row r="125" spans="22:26">
      <c r="Z125" s="69"/>
    </row>
    <row r="126" spans="22:26">
      <c r="Z126" s="69"/>
    </row>
    <row r="127" spans="22:26">
      <c r="Z127" s="69"/>
    </row>
    <row r="128" spans="22:26">
      <c r="Z128" s="69"/>
    </row>
    <row r="129" spans="26:26">
      <c r="Z129" s="69"/>
    </row>
    <row r="130" spans="26:26">
      <c r="Z130" s="69"/>
    </row>
    <row r="131" spans="26:26">
      <c r="Z131" s="69"/>
    </row>
    <row r="132" spans="26:26">
      <c r="Z132" s="69"/>
    </row>
    <row r="133" spans="26:26">
      <c r="Z133" s="69"/>
    </row>
    <row r="134" spans="26:26">
      <c r="Z134" s="69"/>
    </row>
    <row r="135" spans="26:26">
      <c r="Z135" s="69"/>
    </row>
    <row r="136" spans="26:26">
      <c r="Z136" s="69"/>
    </row>
    <row r="137" spans="26:26">
      <c r="Z137" s="69"/>
    </row>
    <row r="138" spans="26:26">
      <c r="Z138" s="69"/>
    </row>
    <row r="139" spans="26:26">
      <c r="Z139" s="69"/>
    </row>
    <row r="140" spans="26:26">
      <c r="Z140" s="69"/>
    </row>
    <row r="141" spans="26:26">
      <c r="Z141" s="69"/>
    </row>
    <row r="142" spans="26:26">
      <c r="Z142" s="69"/>
    </row>
    <row r="143" spans="26:26">
      <c r="Z143" s="69"/>
    </row>
    <row r="144" spans="26:26">
      <c r="Z144" s="69"/>
    </row>
    <row r="145" spans="26:26">
      <c r="Z145" s="69"/>
    </row>
    <row r="146" spans="26:26">
      <c r="Z146" s="69"/>
    </row>
    <row r="147" spans="26:26">
      <c r="Z147" s="69"/>
    </row>
    <row r="148" spans="26:26">
      <c r="Z148" s="69"/>
    </row>
    <row r="149" spans="26:26">
      <c r="Z149" s="69"/>
    </row>
    <row r="150" spans="26:26">
      <c r="Z150" s="69"/>
    </row>
    <row r="151" spans="26:26">
      <c r="Z151" s="69"/>
    </row>
    <row r="152" spans="26:26">
      <c r="Z152" s="69"/>
    </row>
    <row r="153" spans="26:26">
      <c r="Z153" s="69"/>
    </row>
    <row r="154" spans="26:26">
      <c r="Z154" s="69"/>
    </row>
    <row r="155" spans="26:26">
      <c r="Z155" s="69"/>
    </row>
    <row r="156" spans="26:26">
      <c r="Z156" s="69"/>
    </row>
    <row r="157" spans="26:26">
      <c r="Z157" s="69"/>
    </row>
    <row r="158" spans="26:26">
      <c r="Z158" s="69"/>
    </row>
    <row r="159" spans="26:26">
      <c r="Z159" s="69"/>
    </row>
    <row r="160" spans="26:26">
      <c r="Z160" s="69"/>
    </row>
    <row r="161" spans="26:26">
      <c r="Z161" s="69"/>
    </row>
    <row r="162" spans="26:26">
      <c r="Z162" s="69"/>
    </row>
    <row r="163" spans="26:26">
      <c r="Z163" s="69"/>
    </row>
    <row r="164" spans="26:26">
      <c r="Z164" s="69"/>
    </row>
    <row r="165" spans="26:26">
      <c r="Z165" s="69"/>
    </row>
    <row r="166" spans="26:26">
      <c r="Z166" s="69"/>
    </row>
    <row r="167" spans="26:26">
      <c r="Z167" s="69"/>
    </row>
    <row r="168" spans="26:26">
      <c r="Z168" s="69"/>
    </row>
    <row r="169" spans="26:26">
      <c r="Z169" s="69"/>
    </row>
    <row r="170" spans="26:26">
      <c r="Z170" s="69"/>
    </row>
    <row r="171" spans="26:26">
      <c r="Z171" s="69"/>
    </row>
    <row r="172" spans="26:26">
      <c r="Z172" s="69"/>
    </row>
    <row r="173" spans="26:26">
      <c r="Z173" s="69"/>
    </row>
    <row r="174" spans="26:26">
      <c r="Z174" s="69"/>
    </row>
    <row r="175" spans="26:26">
      <c r="Z175" s="69"/>
    </row>
    <row r="176" spans="26:26">
      <c r="Z176" s="69"/>
    </row>
    <row r="177" spans="26:26">
      <c r="Z177" s="69"/>
    </row>
    <row r="178" spans="26:26">
      <c r="Z178" s="69"/>
    </row>
    <row r="179" spans="26:26">
      <c r="Z179" s="69"/>
    </row>
    <row r="180" spans="26:26">
      <c r="Z180" s="69"/>
    </row>
    <row r="181" spans="26:26">
      <c r="Z181" s="69"/>
    </row>
    <row r="182" spans="26:26">
      <c r="Z182" s="69"/>
    </row>
    <row r="183" spans="26:26">
      <c r="Z183" s="69"/>
    </row>
    <row r="184" spans="26:26">
      <c r="Z184" s="69"/>
    </row>
    <row r="185" spans="26:26">
      <c r="Z185" s="69"/>
    </row>
    <row r="186" spans="26:26">
      <c r="Z186" s="69"/>
    </row>
    <row r="187" spans="26:26">
      <c r="Z187" s="69"/>
    </row>
    <row r="188" spans="26:26">
      <c r="Z188" s="69"/>
    </row>
    <row r="189" spans="26:26">
      <c r="Z189" s="69"/>
    </row>
    <row r="190" spans="26:26">
      <c r="Z190" s="69"/>
    </row>
    <row r="191" spans="26:26">
      <c r="Z191" s="69"/>
    </row>
    <row r="192" spans="26:26">
      <c r="Z192" s="69"/>
    </row>
    <row r="193" spans="26:26">
      <c r="Z193" s="69"/>
    </row>
    <row r="194" spans="26:26">
      <c r="Z194" s="69"/>
    </row>
    <row r="195" spans="26:26">
      <c r="Z195" s="69"/>
    </row>
    <row r="196" spans="26:26">
      <c r="Z196" s="69"/>
    </row>
    <row r="197" spans="26:26">
      <c r="Z197" s="69"/>
    </row>
    <row r="198" spans="26:26">
      <c r="Z198" s="69"/>
    </row>
    <row r="199" spans="26:26">
      <c r="Z199" s="69"/>
    </row>
    <row r="200" spans="26:26">
      <c r="Z200" s="69"/>
    </row>
    <row r="201" spans="26:26">
      <c r="Z201" s="69"/>
    </row>
    <row r="202" spans="26:26">
      <c r="Z202" s="69"/>
    </row>
    <row r="203" spans="26:26">
      <c r="Z203" s="69"/>
    </row>
    <row r="204" spans="26:26">
      <c r="Z204" s="69"/>
    </row>
    <row r="205" spans="26:26">
      <c r="Z205" s="69"/>
    </row>
    <row r="206" spans="26:26">
      <c r="Z206" s="69"/>
    </row>
    <row r="207" spans="26:26">
      <c r="Z207" s="69"/>
    </row>
    <row r="208" spans="26:26">
      <c r="Z208" s="69"/>
    </row>
    <row r="209" spans="26:26">
      <c r="Z209" s="69"/>
    </row>
    <row r="210" spans="26:26">
      <c r="Z210" s="69"/>
    </row>
    <row r="211" spans="26:26">
      <c r="Z211" s="69"/>
    </row>
    <row r="212" spans="26:26">
      <c r="Z212" s="69"/>
    </row>
    <row r="213" spans="26:26">
      <c r="Z213" s="69"/>
    </row>
    <row r="214" spans="26:26">
      <c r="Z214" s="69"/>
    </row>
    <row r="215" spans="26:26">
      <c r="Z215" s="69"/>
    </row>
    <row r="216" spans="26:26">
      <c r="Z216" s="69"/>
    </row>
    <row r="217" spans="26:26">
      <c r="Z217" s="69"/>
    </row>
    <row r="218" spans="26:26">
      <c r="Z218" s="69"/>
    </row>
    <row r="219" spans="26:26">
      <c r="Z219" s="69"/>
    </row>
    <row r="220" spans="26:26">
      <c r="Z220" s="69"/>
    </row>
    <row r="221" spans="26:26">
      <c r="Z221" s="69"/>
    </row>
    <row r="222" spans="26:26">
      <c r="Z222" s="69"/>
    </row>
    <row r="223" spans="26:26">
      <c r="Z223" s="69"/>
    </row>
    <row r="224" spans="26:26">
      <c r="Z224" s="69"/>
    </row>
    <row r="225" spans="26:26">
      <c r="Z225" s="69"/>
    </row>
    <row r="226" spans="26:26">
      <c r="Z226" s="69"/>
    </row>
    <row r="227" spans="26:26">
      <c r="Z227" s="69"/>
    </row>
    <row r="228" spans="26:26">
      <c r="Z228" s="69"/>
    </row>
    <row r="229" spans="26:26">
      <c r="Z229" s="69"/>
    </row>
    <row r="230" spans="26:26">
      <c r="Z230" s="69"/>
    </row>
    <row r="231" spans="26:26">
      <c r="Z231" s="69"/>
    </row>
    <row r="232" spans="26:26">
      <c r="Z232" s="69"/>
    </row>
    <row r="233" spans="26:26">
      <c r="Z233" s="69"/>
    </row>
    <row r="234" spans="26:26">
      <c r="Z234" s="69"/>
    </row>
    <row r="235" spans="26:26">
      <c r="Z235" s="69"/>
    </row>
    <row r="236" spans="26:26">
      <c r="Z236" s="69"/>
    </row>
    <row r="237" spans="26:26">
      <c r="Z237" s="69"/>
    </row>
    <row r="238" spans="26:26">
      <c r="Z238" s="69"/>
    </row>
    <row r="239" spans="26:26">
      <c r="Z239" s="69"/>
    </row>
    <row r="240" spans="26:26">
      <c r="Z240" s="69"/>
    </row>
    <row r="241" spans="26:26">
      <c r="Z241" s="69"/>
    </row>
    <row r="242" spans="26:26">
      <c r="Z242" s="69"/>
    </row>
    <row r="243" spans="26:26">
      <c r="Z243" s="69"/>
    </row>
    <row r="244" spans="26:26">
      <c r="Z244" s="69"/>
    </row>
    <row r="245" spans="26:26">
      <c r="Z245" s="69"/>
    </row>
    <row r="246" spans="26:26">
      <c r="Z246" s="69"/>
    </row>
    <row r="247" spans="26:26">
      <c r="Z247" s="69"/>
    </row>
    <row r="248" spans="26:26">
      <c r="Z248" s="69"/>
    </row>
    <row r="249" spans="26:26">
      <c r="Z249" s="69"/>
    </row>
    <row r="250" spans="26:26">
      <c r="Z250" s="69"/>
    </row>
    <row r="251" spans="26:26">
      <c r="Z251" s="69"/>
    </row>
    <row r="252" spans="26:26">
      <c r="Z252" s="69"/>
    </row>
    <row r="253" spans="26:26">
      <c r="Z253" s="69"/>
    </row>
    <row r="254" spans="26:26">
      <c r="Z254" s="69"/>
    </row>
    <row r="255" spans="26:26">
      <c r="Z255" s="69"/>
    </row>
    <row r="256" spans="26:26">
      <c r="Z256" s="69"/>
    </row>
    <row r="257" spans="26:26">
      <c r="Z257" s="69"/>
    </row>
    <row r="258" spans="26:26">
      <c r="Z258" s="69"/>
    </row>
    <row r="259" spans="26:26">
      <c r="Z259" s="69"/>
    </row>
    <row r="260" spans="26:26">
      <c r="Z260" s="69"/>
    </row>
    <row r="261" spans="26:26">
      <c r="Z261" s="69"/>
    </row>
    <row r="262" spans="26:26">
      <c r="Z262" s="69"/>
    </row>
    <row r="263" spans="26:26">
      <c r="Z263" s="69"/>
    </row>
    <row r="264" spans="26:26">
      <c r="Z264" s="69"/>
    </row>
    <row r="265" spans="26:26">
      <c r="Z265" s="69"/>
    </row>
    <row r="266" spans="26:26">
      <c r="Z266" s="69"/>
    </row>
    <row r="267" spans="26:26">
      <c r="Z267" s="69"/>
    </row>
    <row r="268" spans="26:26">
      <c r="Z268" s="69"/>
    </row>
    <row r="269" spans="26:26">
      <c r="Z269" s="69"/>
    </row>
    <row r="270" spans="26:26">
      <c r="Z270" s="69"/>
    </row>
    <row r="271" spans="26:26">
      <c r="Z271" s="69"/>
    </row>
    <row r="272" spans="26:26">
      <c r="Z272" s="69"/>
    </row>
    <row r="273" spans="26:26">
      <c r="Z273" s="69"/>
    </row>
    <row r="274" spans="26:26">
      <c r="Z274" s="69"/>
    </row>
    <row r="275" spans="26:26">
      <c r="Z275" s="69"/>
    </row>
    <row r="276" spans="26:26">
      <c r="Z276" s="69"/>
    </row>
    <row r="277" spans="26:26">
      <c r="Z277" s="69"/>
    </row>
    <row r="278" spans="26:26">
      <c r="Z278" s="69"/>
    </row>
    <row r="279" spans="26:26">
      <c r="Z279" s="69"/>
    </row>
    <row r="280" spans="26:26">
      <c r="Z280" s="69"/>
    </row>
    <row r="281" spans="26:26">
      <c r="Z281" s="69"/>
    </row>
    <row r="282" spans="26:26">
      <c r="Z282" s="69"/>
    </row>
    <row r="283" spans="26:26">
      <c r="Z283" s="69"/>
    </row>
    <row r="284" spans="26:26">
      <c r="Z284" s="69"/>
    </row>
    <row r="285" spans="26:26">
      <c r="Z285" s="69"/>
    </row>
    <row r="286" spans="26:26">
      <c r="Z286" s="69"/>
    </row>
    <row r="287" spans="26:26">
      <c r="Z287" s="69"/>
    </row>
    <row r="288" spans="26:26">
      <c r="Z288" s="69"/>
    </row>
    <row r="289" spans="26:26">
      <c r="Z289" s="69"/>
    </row>
    <row r="290" spans="26:26">
      <c r="Z290" s="69"/>
    </row>
    <row r="291" spans="26:26">
      <c r="Z291" s="69"/>
    </row>
    <row r="292" spans="26:26">
      <c r="Z292" s="69"/>
    </row>
    <row r="293" spans="26:26">
      <c r="Z293" s="69"/>
    </row>
    <row r="294" spans="26:26">
      <c r="Z294" s="69"/>
    </row>
    <row r="295" spans="26:26">
      <c r="Z295" s="69"/>
    </row>
    <row r="296" spans="26:26">
      <c r="Z296" s="69"/>
    </row>
    <row r="297" spans="26:26">
      <c r="Z297" s="69"/>
    </row>
    <row r="298" spans="26:26">
      <c r="Z298" s="69"/>
    </row>
    <row r="299" spans="26:26">
      <c r="Z299" s="69"/>
    </row>
    <row r="300" spans="26:26">
      <c r="Z300" s="69"/>
    </row>
    <row r="301" spans="26:26">
      <c r="Z301" s="69"/>
    </row>
    <row r="302" spans="26:26">
      <c r="Z302" s="69"/>
    </row>
    <row r="303" spans="26:26">
      <c r="Z303" s="69"/>
    </row>
    <row r="304" spans="26:26">
      <c r="Z304" s="69"/>
    </row>
    <row r="305" spans="26:26">
      <c r="Z305" s="69"/>
    </row>
    <row r="306" spans="26:26">
      <c r="Z306" s="69"/>
    </row>
    <row r="307" spans="26:26">
      <c r="Z307" s="69"/>
    </row>
    <row r="308" spans="26:26">
      <c r="Z308" s="69"/>
    </row>
    <row r="309" spans="26:26">
      <c r="Z309" s="69"/>
    </row>
    <row r="310" spans="26:26">
      <c r="Z310" s="69"/>
    </row>
    <row r="311" spans="26:26">
      <c r="Z311" s="69"/>
    </row>
    <row r="312" spans="26:26">
      <c r="Z312" s="69"/>
    </row>
    <row r="313" spans="26:26">
      <c r="Z313" s="69"/>
    </row>
    <row r="314" spans="26:26">
      <c r="Z314" s="69"/>
    </row>
    <row r="315" spans="26:26">
      <c r="Z315" s="69"/>
    </row>
    <row r="316" spans="26:26">
      <c r="Z316" s="69"/>
    </row>
    <row r="317" spans="26:26">
      <c r="Z317" s="69"/>
    </row>
    <row r="318" spans="26:26">
      <c r="Z318" s="69"/>
    </row>
    <row r="319" spans="26:26">
      <c r="Z319" s="69"/>
    </row>
    <row r="320" spans="26:26">
      <c r="Z320" s="69"/>
    </row>
    <row r="321" spans="26:26">
      <c r="Z321" s="69"/>
    </row>
    <row r="322" spans="26:26">
      <c r="Z322" s="69"/>
    </row>
    <row r="323" spans="26:26">
      <c r="Z323" s="69"/>
    </row>
    <row r="324" spans="26:26">
      <c r="Z324" s="69"/>
    </row>
    <row r="325" spans="26:26">
      <c r="Z325" s="69"/>
    </row>
    <row r="326" spans="26:26">
      <c r="Z326" s="69"/>
    </row>
    <row r="327" spans="26:26">
      <c r="Z327" s="69"/>
    </row>
    <row r="328" spans="26:26">
      <c r="Z328" s="69"/>
    </row>
    <row r="329" spans="26:26">
      <c r="Z329" s="69"/>
    </row>
    <row r="330" spans="26:26">
      <c r="Z330" s="69"/>
    </row>
    <row r="331" spans="26:26">
      <c r="Z331" s="69"/>
    </row>
    <row r="332" spans="26:26">
      <c r="Z332" s="69"/>
    </row>
    <row r="333" spans="26:26">
      <c r="Z333" s="69"/>
    </row>
    <row r="334" spans="26:26">
      <c r="Z334" s="69"/>
    </row>
    <row r="335" spans="26:26">
      <c r="Z335" s="69"/>
    </row>
    <row r="336" spans="26:26">
      <c r="Z336" s="69"/>
    </row>
    <row r="337" spans="26:26">
      <c r="Z337" s="69"/>
    </row>
    <row r="338" spans="26:26">
      <c r="Z338" s="69"/>
    </row>
    <row r="339" spans="26:26">
      <c r="Z339" s="69"/>
    </row>
    <row r="340" spans="26:26">
      <c r="Z340" s="69"/>
    </row>
    <row r="341" spans="26:26">
      <c r="Z341" s="69"/>
    </row>
    <row r="342" spans="26:26">
      <c r="Z342" s="69"/>
    </row>
    <row r="343" spans="26:26">
      <c r="Z343" s="69"/>
    </row>
    <row r="344" spans="26:26">
      <c r="Z344" s="69"/>
    </row>
    <row r="345" spans="26:26">
      <c r="Z345" s="69"/>
    </row>
    <row r="346" spans="26:26">
      <c r="Z346" s="69"/>
    </row>
    <row r="347" spans="26:26">
      <c r="Z347" s="69"/>
    </row>
    <row r="348" spans="26:26">
      <c r="Z348" s="69"/>
    </row>
    <row r="349" spans="26:26">
      <c r="Z349" s="69"/>
    </row>
    <row r="350" spans="26:26">
      <c r="Z350" s="69"/>
    </row>
    <row r="351" spans="26:26">
      <c r="Z351" s="69"/>
    </row>
    <row r="352" spans="26:26">
      <c r="Z352" s="69"/>
    </row>
    <row r="353" spans="26:26">
      <c r="Z353" s="69"/>
    </row>
    <row r="354" spans="26:26">
      <c r="Z354" s="69"/>
    </row>
    <row r="355" spans="26:26">
      <c r="Z355" s="69"/>
    </row>
    <row r="356" spans="26:26">
      <c r="Z356" s="69"/>
    </row>
    <row r="357" spans="26:26">
      <c r="Z357" s="69"/>
    </row>
    <row r="358" spans="26:26">
      <c r="Z358" s="69"/>
    </row>
    <row r="359" spans="26:26">
      <c r="Z359" s="69"/>
    </row>
    <row r="360" spans="26:26">
      <c r="Z360" s="69"/>
    </row>
    <row r="361" spans="26:26">
      <c r="Z361" s="69"/>
    </row>
    <row r="362" spans="26:26">
      <c r="Z362" s="69"/>
    </row>
    <row r="363" spans="26:26">
      <c r="Z363" s="69"/>
    </row>
    <row r="364" spans="26:26">
      <c r="Z364" s="69"/>
    </row>
    <row r="365" spans="26:26">
      <c r="Z365" s="69"/>
    </row>
    <row r="366" spans="26:26">
      <c r="Z366" s="69"/>
    </row>
    <row r="367" spans="26:26">
      <c r="Z367" s="69"/>
    </row>
    <row r="368" spans="26:26">
      <c r="Z368" s="69"/>
    </row>
    <row r="369" spans="26:26">
      <c r="Z369" s="69"/>
    </row>
    <row r="370" spans="26:26">
      <c r="Z370" s="69"/>
    </row>
    <row r="371" spans="26:26">
      <c r="Z371" s="69"/>
    </row>
    <row r="372" spans="26:26">
      <c r="Z372" s="69"/>
    </row>
    <row r="373" spans="26:26">
      <c r="Z373" s="69"/>
    </row>
    <row r="374" spans="26:26">
      <c r="Z374" s="69"/>
    </row>
    <row r="375" spans="26:26">
      <c r="Z375" s="69"/>
    </row>
    <row r="376" spans="26:26">
      <c r="Z376" s="69"/>
    </row>
    <row r="377" spans="26:26">
      <c r="Z377" s="69"/>
    </row>
    <row r="378" spans="26:26">
      <c r="Z378" s="69"/>
    </row>
    <row r="379" spans="26:26">
      <c r="Z379" s="69"/>
    </row>
    <row r="380" spans="26:26">
      <c r="Z380" s="69"/>
    </row>
    <row r="381" spans="26:26">
      <c r="Z381" s="69"/>
    </row>
    <row r="382" spans="26:26">
      <c r="Z382" s="69"/>
    </row>
    <row r="383" spans="26:26">
      <c r="Z383" s="69"/>
    </row>
    <row r="384" spans="26:26">
      <c r="Z384" s="69"/>
    </row>
    <row r="385" spans="26:26">
      <c r="Z385" s="69"/>
    </row>
    <row r="386" spans="26:26">
      <c r="Z386" s="69"/>
    </row>
    <row r="387" spans="26:26">
      <c r="Z387" s="69"/>
    </row>
    <row r="388" spans="26:26">
      <c r="Z388" s="69"/>
    </row>
    <row r="389" spans="26:26">
      <c r="Z389" s="69"/>
    </row>
    <row r="390" spans="26:26">
      <c r="Z390" s="69"/>
    </row>
    <row r="391" spans="26:26">
      <c r="Z391" s="69"/>
    </row>
    <row r="392" spans="26:26">
      <c r="Z392" s="69"/>
    </row>
    <row r="393" spans="26:26">
      <c r="Z393" s="69"/>
    </row>
    <row r="394" spans="26:26">
      <c r="Z394" s="69"/>
    </row>
    <row r="395" spans="26:26">
      <c r="Z395" s="69"/>
    </row>
    <row r="396" spans="26:26">
      <c r="Z396" s="69"/>
    </row>
    <row r="397" spans="26:26">
      <c r="Z397" s="69"/>
    </row>
    <row r="398" spans="26:26">
      <c r="Z398" s="69"/>
    </row>
    <row r="399" spans="26:26">
      <c r="Z399" s="69"/>
    </row>
    <row r="400" spans="26:26">
      <c r="Z400" s="69"/>
    </row>
    <row r="401" spans="26:26">
      <c r="Z401" s="69"/>
    </row>
    <row r="402" spans="26:26">
      <c r="Z402" s="69"/>
    </row>
    <row r="403" spans="26:26">
      <c r="Z403" s="69"/>
    </row>
    <row r="404" spans="26:26">
      <c r="Z404" s="69"/>
    </row>
    <row r="405" spans="26:26">
      <c r="Z405" s="69"/>
    </row>
    <row r="406" spans="26:26">
      <c r="Z406" s="69"/>
    </row>
    <row r="407" spans="26:26">
      <c r="Z407" s="69"/>
    </row>
    <row r="408" spans="26:26">
      <c r="Z408" s="69"/>
    </row>
    <row r="409" spans="26:26">
      <c r="Z409" s="69"/>
    </row>
    <row r="410" spans="26:26">
      <c r="Z410" s="69"/>
    </row>
    <row r="411" spans="26:26">
      <c r="Z411" s="69"/>
    </row>
    <row r="412" spans="26:26">
      <c r="Z412" s="69"/>
    </row>
    <row r="413" spans="26:26">
      <c r="Z413" s="69"/>
    </row>
    <row r="414" spans="26:26">
      <c r="Z414" s="69"/>
    </row>
    <row r="415" spans="26:26">
      <c r="Z415" s="69"/>
    </row>
    <row r="416" spans="26:26">
      <c r="Z416" s="69"/>
    </row>
    <row r="417" spans="26:26">
      <c r="Z417" s="69"/>
    </row>
    <row r="418" spans="26:26">
      <c r="Z418" s="69"/>
    </row>
    <row r="419" spans="26:26">
      <c r="Z419" s="69"/>
    </row>
    <row r="420" spans="26:26">
      <c r="Z420" s="69"/>
    </row>
    <row r="421" spans="26:26">
      <c r="Z421" s="69"/>
    </row>
    <row r="422" spans="26:26">
      <c r="Z422" s="69"/>
    </row>
    <row r="423" spans="26:26">
      <c r="Z423" s="69"/>
    </row>
    <row r="424" spans="26:26">
      <c r="Z424" s="69"/>
    </row>
    <row r="425" spans="26:26">
      <c r="Z425" s="69"/>
    </row>
    <row r="426" spans="26:26">
      <c r="Z426" s="69"/>
    </row>
    <row r="427" spans="26:26">
      <c r="Z427" s="69"/>
    </row>
    <row r="428" spans="26:26">
      <c r="Z428" s="69"/>
    </row>
    <row r="429" spans="26:26">
      <c r="Z429" s="69"/>
    </row>
    <row r="430" spans="26:26">
      <c r="Z430" s="69"/>
    </row>
    <row r="431" spans="26:26">
      <c r="Z431" s="69"/>
    </row>
    <row r="432" spans="26:26">
      <c r="Z432" s="69"/>
    </row>
    <row r="433" spans="26:26">
      <c r="Z433" s="69"/>
    </row>
    <row r="434" spans="26:26">
      <c r="Z434" s="69"/>
    </row>
    <row r="435" spans="26:26">
      <c r="Z435" s="69"/>
    </row>
    <row r="436" spans="26:26">
      <c r="Z436" s="69"/>
    </row>
    <row r="437" spans="26:26">
      <c r="Z437" s="69"/>
    </row>
    <row r="438" spans="26:26">
      <c r="Z438" s="69"/>
    </row>
    <row r="439" spans="26:26">
      <c r="Z439" s="69"/>
    </row>
    <row r="440" spans="26:26">
      <c r="Z440" s="69"/>
    </row>
    <row r="441" spans="26:26">
      <c r="Z441" s="69"/>
    </row>
    <row r="442" spans="26:26">
      <c r="Z442" s="69"/>
    </row>
    <row r="443" spans="26:26">
      <c r="Z443" s="69"/>
    </row>
    <row r="444" spans="26:26">
      <c r="Z444" s="69"/>
    </row>
    <row r="445" spans="26:26">
      <c r="Z445" s="69"/>
    </row>
    <row r="446" spans="26:26">
      <c r="Z446" s="69"/>
    </row>
    <row r="447" spans="26:26">
      <c r="Z447" s="69"/>
    </row>
    <row r="448" spans="26:26">
      <c r="Z448" s="69"/>
    </row>
    <row r="449" spans="26:26">
      <c r="Z449" s="69"/>
    </row>
    <row r="450" spans="26:26">
      <c r="Z450" s="69"/>
    </row>
    <row r="451" spans="26:26">
      <c r="Z451" s="69"/>
    </row>
    <row r="452" spans="26:26">
      <c r="Z452" s="69"/>
    </row>
    <row r="453" spans="26:26">
      <c r="Z453" s="69"/>
    </row>
    <row r="454" spans="26:26">
      <c r="Z454" s="69"/>
    </row>
    <row r="455" spans="26:26">
      <c r="Z455" s="69"/>
    </row>
    <row r="456" spans="26:26">
      <c r="Z456" s="69"/>
    </row>
    <row r="457" spans="26:26">
      <c r="Z457" s="69"/>
    </row>
    <row r="458" spans="26:26">
      <c r="Z458" s="69"/>
    </row>
    <row r="459" spans="26:26">
      <c r="Z459" s="69"/>
    </row>
    <row r="460" spans="26:26">
      <c r="Z460" s="69"/>
    </row>
    <row r="461" spans="26:26">
      <c r="Z461" s="69"/>
    </row>
    <row r="462" spans="26:26">
      <c r="Z462" s="69"/>
    </row>
    <row r="463" spans="26:26">
      <c r="Z463" s="69"/>
    </row>
    <row r="464" spans="26:26">
      <c r="Z464" s="69"/>
    </row>
    <row r="465" spans="26:26">
      <c r="Z465" s="69"/>
    </row>
    <row r="466" spans="26:26">
      <c r="Z466" s="69"/>
    </row>
    <row r="467" spans="26:26">
      <c r="Z467" s="69"/>
    </row>
    <row r="468" spans="26:26">
      <c r="Z468" s="69"/>
    </row>
    <row r="469" spans="26:26">
      <c r="Z469" s="69"/>
    </row>
    <row r="470" spans="26:26">
      <c r="Z470" s="69"/>
    </row>
    <row r="471" spans="26:26">
      <c r="Z471" s="69"/>
    </row>
    <row r="472" spans="26:26">
      <c r="Z472" s="69"/>
    </row>
    <row r="473" spans="26:26">
      <c r="Z473" s="69"/>
    </row>
    <row r="474" spans="26:26">
      <c r="Z474" s="69"/>
    </row>
    <row r="475" spans="26:26">
      <c r="Z475" s="69"/>
    </row>
    <row r="476" spans="26:26">
      <c r="Z476" s="69"/>
    </row>
    <row r="477" spans="26:26">
      <c r="Z477" s="69"/>
    </row>
    <row r="478" spans="26:26">
      <c r="Z478" s="69"/>
    </row>
    <row r="479" spans="26:26">
      <c r="Z479" s="69"/>
    </row>
    <row r="480" spans="26:26">
      <c r="Z480" s="69"/>
    </row>
    <row r="481" spans="26:26">
      <c r="Z481" s="69"/>
    </row>
    <row r="482" spans="26:26">
      <c r="Z482" s="69"/>
    </row>
    <row r="483" spans="26:26">
      <c r="Z483" s="69"/>
    </row>
    <row r="484" spans="26:26">
      <c r="Z484" s="69"/>
    </row>
    <row r="485" spans="26:26">
      <c r="Z485" s="69"/>
    </row>
    <row r="486" spans="26:26">
      <c r="Z486" s="69"/>
    </row>
    <row r="487" spans="26:26">
      <c r="Z487" s="69"/>
    </row>
    <row r="488" spans="26:26">
      <c r="Z488" s="69"/>
    </row>
    <row r="489" spans="26:26">
      <c r="Z489" s="69"/>
    </row>
    <row r="490" spans="26:26">
      <c r="Z490" s="69"/>
    </row>
    <row r="491" spans="26:26">
      <c r="Z491" s="69"/>
    </row>
    <row r="492" spans="26:26">
      <c r="Z492" s="69"/>
    </row>
    <row r="493" spans="26:26">
      <c r="Z493" s="69"/>
    </row>
    <row r="494" spans="26:26">
      <c r="Z494" s="69"/>
    </row>
    <row r="495" spans="26:26">
      <c r="Z495" s="69"/>
    </row>
    <row r="496" spans="26:26">
      <c r="Z496" s="69"/>
    </row>
    <row r="497" spans="26:26">
      <c r="Z497" s="69"/>
    </row>
    <row r="498" spans="26:26">
      <c r="Z498" s="69"/>
    </row>
    <row r="499" spans="26:26">
      <c r="Z499" s="69"/>
    </row>
    <row r="500" spans="26:26">
      <c r="Z500" s="69"/>
    </row>
    <row r="501" spans="26:26">
      <c r="Z501" s="69"/>
    </row>
    <row r="502" spans="26:26">
      <c r="Z502" s="69"/>
    </row>
    <row r="503" spans="26:26">
      <c r="Z503" s="69"/>
    </row>
    <row r="504" spans="26:26">
      <c r="Z504" s="69"/>
    </row>
    <row r="505" spans="26:26">
      <c r="Z505" s="69"/>
    </row>
    <row r="506" spans="26:26">
      <c r="Z506" s="69"/>
    </row>
    <row r="507" spans="26:26">
      <c r="Z507" s="69"/>
    </row>
    <row r="508" spans="26:26">
      <c r="Z508" s="69"/>
    </row>
    <row r="509" spans="26:26">
      <c r="Z509" s="69"/>
    </row>
    <row r="510" spans="26:26">
      <c r="Z510" s="69"/>
    </row>
    <row r="511" spans="26:26">
      <c r="Z511" s="69"/>
    </row>
  </sheetData>
  <mergeCells count="77">
    <mergeCell ref="H89:H100"/>
    <mergeCell ref="I89:I100"/>
    <mergeCell ref="J89:J100"/>
    <mergeCell ref="C89:C100"/>
    <mergeCell ref="D89:D100"/>
    <mergeCell ref="E89:E100"/>
    <mergeCell ref="F89:F100"/>
    <mergeCell ref="G89:G100"/>
    <mergeCell ref="H65:H76"/>
    <mergeCell ref="I65:I76"/>
    <mergeCell ref="J65:J76"/>
    <mergeCell ref="C65:C76"/>
    <mergeCell ref="D65:D76"/>
    <mergeCell ref="E65:E76"/>
    <mergeCell ref="F65:F76"/>
    <mergeCell ref="G65:G76"/>
    <mergeCell ref="H41:H52"/>
    <mergeCell ref="I41:I52"/>
    <mergeCell ref="J41:J52"/>
    <mergeCell ref="C41:C52"/>
    <mergeCell ref="D41:D52"/>
    <mergeCell ref="E41:E52"/>
    <mergeCell ref="F41:F52"/>
    <mergeCell ref="G41:G52"/>
    <mergeCell ref="L106:N106"/>
    <mergeCell ref="O106:Q106"/>
    <mergeCell ref="R106:T106"/>
    <mergeCell ref="U106:W106"/>
    <mergeCell ref="C101:J103"/>
    <mergeCell ref="L104:N104"/>
    <mergeCell ref="O104:Q104"/>
    <mergeCell ref="R104:T104"/>
    <mergeCell ref="U104:W104"/>
    <mergeCell ref="L105:N105"/>
    <mergeCell ref="O105:Q105"/>
    <mergeCell ref="R105:T105"/>
    <mergeCell ref="U105:W105"/>
    <mergeCell ref="J17:J28"/>
    <mergeCell ref="C2:J4"/>
    <mergeCell ref="C5:C16"/>
    <mergeCell ref="D5:D16"/>
    <mergeCell ref="E5:E16"/>
    <mergeCell ref="F5:F16"/>
    <mergeCell ref="G5:G16"/>
    <mergeCell ref="H5:H16"/>
    <mergeCell ref="I5:I16"/>
    <mergeCell ref="H17:H28"/>
    <mergeCell ref="I17:I28"/>
    <mergeCell ref="C17:C28"/>
    <mergeCell ref="D17:D28"/>
    <mergeCell ref="E17:E28"/>
    <mergeCell ref="F17:F28"/>
    <mergeCell ref="G17:G28"/>
    <mergeCell ref="H29:H40"/>
    <mergeCell ref="I29:I40"/>
    <mergeCell ref="J29:J40"/>
    <mergeCell ref="C29:C40"/>
    <mergeCell ref="D29:D40"/>
    <mergeCell ref="E29:E40"/>
    <mergeCell ref="F29:F40"/>
    <mergeCell ref="G29:G40"/>
    <mergeCell ref="H53:H64"/>
    <mergeCell ref="I53:I64"/>
    <mergeCell ref="J53:J64"/>
    <mergeCell ref="C53:C64"/>
    <mergeCell ref="D53:D64"/>
    <mergeCell ref="E53:E64"/>
    <mergeCell ref="F53:F64"/>
    <mergeCell ref="G53:G64"/>
    <mergeCell ref="H77:H88"/>
    <mergeCell ref="I77:I88"/>
    <mergeCell ref="J77:J88"/>
    <mergeCell ref="C77:C88"/>
    <mergeCell ref="D77:D88"/>
    <mergeCell ref="E77:E88"/>
    <mergeCell ref="F77:F88"/>
    <mergeCell ref="G77:G88"/>
  </mergeCells>
  <phoneticPr fontId="10"/>
  <printOptions horizontalCentered="1"/>
  <pageMargins left="0.70866141732283472" right="0.70866141732283472" top="0.70866141732283472" bottom="0.70866141732283472" header="0.31496062992125984" footer="0.31496062992125984"/>
  <pageSetup paperSize="8" scale="77" fitToHeight="0" orientation="landscape" r:id="rId1"/>
  <ignoredErrors>
    <ignoredError sqref="X16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20</vt:i4>
      </vt:variant>
      <vt:variant>
        <vt:lpstr>名前付き一覧</vt:lpstr>
      </vt:variant>
      <vt:variant>
        <vt:i4>35</vt:i4>
      </vt:variant>
    </vt:vector>
  </HeadingPairs>
  <TitlesOfParts>
    <vt:vector size="55" baseType="lpstr">
      <vt:lpstr>地域区分</vt:lpstr>
      <vt:lpstr>地域区分 (2)</vt:lpstr>
      <vt:lpstr>まとめ</vt:lpstr>
      <vt:lpstr>グラフ</vt:lpstr>
      <vt:lpstr>本社営業本部</vt:lpstr>
      <vt:lpstr>パートナー営業本部</vt:lpstr>
      <vt:lpstr>ビジネス推進本部</vt:lpstr>
      <vt:lpstr>DXシステム本部</vt:lpstr>
      <vt:lpstr>マーケティングコミュニケーション本部</vt:lpstr>
      <vt:lpstr>ネットワークサービス本部</vt:lpstr>
      <vt:lpstr>アカウントサービス第一本部</vt:lpstr>
      <vt:lpstr>アカウントサービス第二本部</vt:lpstr>
      <vt:lpstr>アカウントサービス第五本部</vt:lpstr>
      <vt:lpstr>マネージドサービス第一本部</vt:lpstr>
      <vt:lpstr>マネージドサービス第二本部</vt:lpstr>
      <vt:lpstr>セキュリティサービス本部</vt:lpstr>
      <vt:lpstr>カスタマーリレーション本部</vt:lpstr>
      <vt:lpstr>中部支店</vt:lpstr>
      <vt:lpstr>関西支店</vt:lpstr>
      <vt:lpstr>地方</vt:lpstr>
      <vt:lpstr>DXシステム本部!Print_Area</vt:lpstr>
      <vt:lpstr>アカウントサービス第一本部!Print_Area</vt:lpstr>
      <vt:lpstr>アカウントサービス第五本部!Print_Area</vt:lpstr>
      <vt:lpstr>アカウントサービス第二本部!Print_Area</vt:lpstr>
      <vt:lpstr>カスタマーリレーション本部!Print_Area</vt:lpstr>
      <vt:lpstr>セキュリティサービス本部!Print_Area</vt:lpstr>
      <vt:lpstr>ネットワークサービス本部!Print_Area</vt:lpstr>
      <vt:lpstr>パートナー営業本部!Print_Area</vt:lpstr>
      <vt:lpstr>ビジネス推進本部!Print_Area</vt:lpstr>
      <vt:lpstr>マーケティングコミュニケーション本部!Print_Area</vt:lpstr>
      <vt:lpstr>まとめ!Print_Area</vt:lpstr>
      <vt:lpstr>マネージドサービス第一本部!Print_Area</vt:lpstr>
      <vt:lpstr>マネージドサービス第二本部!Print_Area</vt:lpstr>
      <vt:lpstr>関西支店!Print_Area</vt:lpstr>
      <vt:lpstr>地域区分!Print_Area</vt:lpstr>
      <vt:lpstr>'地域区分 (2)'!Print_Area</vt:lpstr>
      <vt:lpstr>地方!Print_Area</vt:lpstr>
      <vt:lpstr>中部支店!Print_Area</vt:lpstr>
      <vt:lpstr>本社営業本部!Print_Area</vt:lpstr>
      <vt:lpstr>DXシステム本部!Print_Titles</vt:lpstr>
      <vt:lpstr>アカウントサービス第一本部!Print_Titles</vt:lpstr>
      <vt:lpstr>アカウントサービス第五本部!Print_Titles</vt:lpstr>
      <vt:lpstr>アカウントサービス第二本部!Print_Titles</vt:lpstr>
      <vt:lpstr>カスタマーリレーション本部!Print_Titles</vt:lpstr>
      <vt:lpstr>セキュリティサービス本部!Print_Titles</vt:lpstr>
      <vt:lpstr>ネットワークサービス本部!Print_Titles</vt:lpstr>
      <vt:lpstr>パートナー営業本部!Print_Titles</vt:lpstr>
      <vt:lpstr>ビジネス推進本部!Print_Titles</vt:lpstr>
      <vt:lpstr>マーケティングコミュニケーション本部!Print_Titles</vt:lpstr>
      <vt:lpstr>マネージドサービス第一本部!Print_Titles</vt:lpstr>
      <vt:lpstr>マネージドサービス第二本部!Print_Titles</vt:lpstr>
      <vt:lpstr>関西支店!Print_Titles</vt:lpstr>
      <vt:lpstr>地方!Print_Titles</vt:lpstr>
      <vt:lpstr>中部支店!Print_Titles</vt:lpstr>
      <vt:lpstr>本社営業本部!Print_Titles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2026-04-21T04:09:25Z</dcterms:modified>
</cp:coreProperties>
</file>