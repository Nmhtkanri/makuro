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006AC59B-E446-4B53-9CC5-F8DC4C1CDC32}" xr6:coauthVersionLast="47" xr6:coauthVersionMax="47" xr10:uidLastSave="{00000000-0000-0000-0000-000000000000}"/>
  <bookViews>
    <workbookView xWindow="-110" yWindow="-110" windowWidth="25820" windowHeight="13900" tabRatio="777" activeTab="4" xr2:uid="{00000000-000D-0000-FFFF-FFFF00000000}"/>
  </bookViews>
  <sheets>
    <sheet name="まとめ" sheetId="39" r:id="rId1"/>
    <sheet name="DELL委託人件費(DPT)" sheetId="25" r:id="rId2"/>
    <sheet name="DELL委託人件費(FS）" sheetId="14" r:id="rId3"/>
    <sheet name="UAL常駐" sheetId="36" r:id="rId4"/>
    <sheet name="その他業務" sheetId="35" r:id="rId5"/>
  </sheets>
  <definedNames>
    <definedName name="_xlnm._FilterDatabase" localSheetId="2" hidden="1">'DELL委託人件費(FS）'!$A$1:$W$275</definedName>
    <definedName name="_xlnm.Print_Area" localSheetId="1">'DELL委託人件費(DPT)'!$C$1:$W$51</definedName>
    <definedName name="_xlnm.Print_Area" localSheetId="2">'DELL委託人件費(FS）'!$C$1:$W$275</definedName>
    <definedName name="_xlnm.Print_Area" localSheetId="3">UAL常駐!$C$1:$X$129</definedName>
    <definedName name="_xlnm.Print_Area" localSheetId="4">その他業務!$C$1:$X$93</definedName>
    <definedName name="_xlnm.Print_Area" localSheetId="0">まとめ!$B$7:$AC$37</definedName>
    <definedName name="_xlnm.Print_Titles" localSheetId="3">UAL常駐!$1:$1</definedName>
    <definedName name="_xlnm.Print_Titles" localSheetId="4">その他業務!$1:$1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58" i="14" l="1"/>
  <c r="W257" i="14"/>
  <c r="W256" i="14"/>
  <c r="W255" i="14"/>
  <c r="W254" i="14"/>
  <c r="W253" i="14"/>
  <c r="W252" i="14"/>
  <c r="A252" i="14"/>
  <c r="A253" i="14" s="1"/>
  <c r="A254" i="14" s="1"/>
  <c r="A255" i="14" s="1"/>
  <c r="A256" i="14" s="1"/>
  <c r="A257" i="14" s="1"/>
  <c r="A258" i="14" s="1"/>
  <c r="V251" i="14"/>
  <c r="U251" i="14"/>
  <c r="T251" i="14"/>
  <c r="S251" i="14"/>
  <c r="R251" i="14"/>
  <c r="Q251" i="14"/>
  <c r="P251" i="14"/>
  <c r="O251" i="14"/>
  <c r="N251" i="14"/>
  <c r="M251" i="14"/>
  <c r="L251" i="14"/>
  <c r="K251" i="14"/>
  <c r="W251" i="14" l="1"/>
  <c r="W89" i="35"/>
  <c r="W2" i="35"/>
  <c r="W91" i="35"/>
  <c r="W90" i="35"/>
  <c r="V89" i="35"/>
  <c r="C65" i="35"/>
  <c r="C77" i="35" s="1"/>
  <c r="S76" i="35"/>
  <c r="R76" i="35"/>
  <c r="X75" i="35"/>
  <c r="X74" i="35"/>
  <c r="X73" i="35"/>
  <c r="X72" i="35"/>
  <c r="X71" i="35"/>
  <c r="X70" i="35"/>
  <c r="X69" i="35"/>
  <c r="W68" i="35"/>
  <c r="W76" i="35" s="1"/>
  <c r="V68" i="35"/>
  <c r="U68" i="35"/>
  <c r="T68" i="35"/>
  <c r="S68" i="35"/>
  <c r="R68" i="35"/>
  <c r="Q68" i="35"/>
  <c r="P68" i="35"/>
  <c r="P76" i="35" s="1"/>
  <c r="O68" i="35"/>
  <c r="O76" i="35" s="1"/>
  <c r="N68" i="35"/>
  <c r="X68" i="35" s="1"/>
  <c r="M68" i="35"/>
  <c r="L68" i="35"/>
  <c r="X66" i="35"/>
  <c r="W65" i="35"/>
  <c r="V65" i="35"/>
  <c r="V76" i="35" s="1"/>
  <c r="U65" i="35"/>
  <c r="U76" i="35" s="1"/>
  <c r="T65" i="35"/>
  <c r="T76" i="35" s="1"/>
  <c r="S65" i="35"/>
  <c r="R65" i="35"/>
  <c r="Q65" i="35"/>
  <c r="Q76" i="35" s="1"/>
  <c r="P65" i="35"/>
  <c r="O65" i="35"/>
  <c r="N65" i="35"/>
  <c r="N76" i="35" s="1"/>
  <c r="M65" i="35"/>
  <c r="M76" i="35" s="1"/>
  <c r="L65" i="35"/>
  <c r="X65" i="35" s="1"/>
  <c r="N64" i="35"/>
  <c r="M64" i="35"/>
  <c r="X63" i="35"/>
  <c r="X62" i="35"/>
  <c r="X61" i="35"/>
  <c r="X60" i="35"/>
  <c r="X59" i="35"/>
  <c r="X58" i="35"/>
  <c r="X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X54" i="35"/>
  <c r="W53" i="35"/>
  <c r="V53" i="35"/>
  <c r="V64" i="35" s="1"/>
  <c r="U53" i="35"/>
  <c r="U64" i="35" s="1"/>
  <c r="T53" i="35"/>
  <c r="T64" i="35" s="1"/>
  <c r="S53" i="35"/>
  <c r="R53" i="35"/>
  <c r="Q53" i="35"/>
  <c r="Q64" i="35" s="1"/>
  <c r="P53" i="35"/>
  <c r="O53" i="35"/>
  <c r="N53" i="35"/>
  <c r="M53" i="35"/>
  <c r="L53" i="35"/>
  <c r="L64" i="35" s="1"/>
  <c r="AA12" i="39"/>
  <c r="AC12" i="39" s="1"/>
  <c r="X31" i="35"/>
  <c r="X30" i="35"/>
  <c r="X87" i="35"/>
  <c r="X86" i="35"/>
  <c r="X85" i="35"/>
  <c r="X84" i="35"/>
  <c r="X83" i="35"/>
  <c r="X82" i="35"/>
  <c r="X81" i="35"/>
  <c r="W80" i="35"/>
  <c r="V80" i="35"/>
  <c r="U80" i="35"/>
  <c r="T80" i="35"/>
  <c r="S80" i="35"/>
  <c r="R80" i="35"/>
  <c r="Q80" i="35"/>
  <c r="P80" i="35"/>
  <c r="O80" i="35"/>
  <c r="N80" i="35"/>
  <c r="M80" i="35"/>
  <c r="L80" i="35"/>
  <c r="X78" i="35"/>
  <c r="W77" i="35"/>
  <c r="V77" i="35"/>
  <c r="U77" i="35"/>
  <c r="U88" i="35" s="1"/>
  <c r="T77" i="35"/>
  <c r="T88" i="35" s="1"/>
  <c r="S77" i="35"/>
  <c r="R77" i="35"/>
  <c r="Q77" i="35"/>
  <c r="P77" i="35"/>
  <c r="O77" i="35"/>
  <c r="N77" i="35"/>
  <c r="M77" i="35"/>
  <c r="M88" i="35" s="1"/>
  <c r="L77" i="35"/>
  <c r="Y12" i="39"/>
  <c r="Y13" i="39"/>
  <c r="E15" i="39"/>
  <c r="AB13" i="39"/>
  <c r="AB12" i="39"/>
  <c r="AB10" i="39"/>
  <c r="AB9" i="39"/>
  <c r="X76" i="35" l="1"/>
  <c r="X56" i="35"/>
  <c r="L76" i="35"/>
  <c r="O64" i="35"/>
  <c r="W64" i="35"/>
  <c r="R64" i="35"/>
  <c r="P64" i="35"/>
  <c r="S64" i="35"/>
  <c r="X53" i="35"/>
  <c r="N88" i="35"/>
  <c r="V88" i="35"/>
  <c r="Q88" i="35"/>
  <c r="X80" i="35"/>
  <c r="S88" i="35"/>
  <c r="R88" i="35"/>
  <c r="O88" i="35"/>
  <c r="P88" i="35"/>
  <c r="W88" i="35"/>
  <c r="X77" i="35"/>
  <c r="X88" i="35" s="1"/>
  <c r="L88" i="35"/>
  <c r="E9" i="39"/>
  <c r="AA13" i="39"/>
  <c r="AC13" i="39" s="1"/>
  <c r="AA10" i="39"/>
  <c r="AA9" i="39"/>
  <c r="Y10" i="39"/>
  <c r="Y9" i="39"/>
  <c r="W13" i="39"/>
  <c r="W12" i="39"/>
  <c r="W10" i="39"/>
  <c r="W9" i="39"/>
  <c r="U13" i="39"/>
  <c r="U12" i="39"/>
  <c r="U10" i="39"/>
  <c r="U9" i="39"/>
  <c r="S13" i="39"/>
  <c r="S12" i="39"/>
  <c r="S10" i="39"/>
  <c r="S9" i="39"/>
  <c r="Q13" i="39"/>
  <c r="Q12" i="39"/>
  <c r="Q10" i="39"/>
  <c r="Q9" i="39"/>
  <c r="O13" i="39"/>
  <c r="O12" i="39"/>
  <c r="O10" i="39"/>
  <c r="O9" i="39"/>
  <c r="M13" i="39"/>
  <c r="M12" i="39"/>
  <c r="M10" i="39"/>
  <c r="M9" i="39"/>
  <c r="K13" i="39"/>
  <c r="K12" i="39"/>
  <c r="K10" i="39"/>
  <c r="I13" i="39"/>
  <c r="I12" i="39"/>
  <c r="I10" i="39"/>
  <c r="G13" i="39"/>
  <c r="G12" i="39"/>
  <c r="G10" i="39"/>
  <c r="G9" i="39"/>
  <c r="E10" i="39"/>
  <c r="E12" i="39"/>
  <c r="E13" i="39"/>
  <c r="X64" i="35" l="1"/>
  <c r="AC10" i="39"/>
  <c r="AC9" i="39"/>
  <c r="Q188" i="14"/>
  <c r="S188" i="14"/>
  <c r="S194" i="14" l="1"/>
  <c r="S193" i="14"/>
  <c r="S192" i="14"/>
  <c r="S191" i="14"/>
  <c r="W274" i="14" l="1"/>
  <c r="W273" i="14"/>
  <c r="W272" i="14"/>
  <c r="W271" i="14"/>
  <c r="W270" i="14"/>
  <c r="W269" i="14"/>
  <c r="W268" i="14"/>
  <c r="B269" i="14"/>
  <c r="B270" i="14" s="1"/>
  <c r="B271" i="14" s="1"/>
  <c r="B272" i="14" s="1"/>
  <c r="B273" i="14" s="1"/>
  <c r="B274" i="14" s="1"/>
  <c r="A268" i="14"/>
  <c r="A269" i="14" s="1"/>
  <c r="A270" i="14" s="1"/>
  <c r="A271" i="14" s="1"/>
  <c r="A272" i="14" s="1"/>
  <c r="A273" i="14" s="1"/>
  <c r="A274" i="14" s="1"/>
  <c r="V267" i="14"/>
  <c r="U267" i="14"/>
  <c r="T267" i="14"/>
  <c r="S267" i="14"/>
  <c r="R267" i="14"/>
  <c r="Q267" i="14"/>
  <c r="P267" i="14"/>
  <c r="O267" i="14"/>
  <c r="N267" i="14"/>
  <c r="M267" i="14"/>
  <c r="L267" i="14"/>
  <c r="K267" i="14"/>
  <c r="O56" i="36"/>
  <c r="P56" i="36"/>
  <c r="Q56" i="36"/>
  <c r="R56" i="36"/>
  <c r="S56" i="36"/>
  <c r="T56" i="36"/>
  <c r="L126" i="36"/>
  <c r="L125" i="36"/>
  <c r="M126" i="36"/>
  <c r="O126" i="36"/>
  <c r="P126" i="36"/>
  <c r="Q126" i="36"/>
  <c r="R126" i="36"/>
  <c r="S126" i="36"/>
  <c r="S35" i="25"/>
  <c r="C27" i="25"/>
  <c r="C35" i="25"/>
  <c r="C43" i="25" s="1"/>
  <c r="W42" i="25"/>
  <c r="W41" i="25"/>
  <c r="W40" i="25"/>
  <c r="W39" i="25"/>
  <c r="W38" i="25"/>
  <c r="W37" i="25"/>
  <c r="W36" i="25"/>
  <c r="A36" i="25"/>
  <c r="A37" i="25" s="1"/>
  <c r="A38" i="25" s="1"/>
  <c r="A39" i="25" s="1"/>
  <c r="A40" i="25" s="1"/>
  <c r="A41" i="25" s="1"/>
  <c r="A42" i="25" s="1"/>
  <c r="V35" i="25"/>
  <c r="U35" i="25"/>
  <c r="T35" i="25"/>
  <c r="R35" i="25"/>
  <c r="Q35" i="25"/>
  <c r="P35" i="25"/>
  <c r="O35" i="25"/>
  <c r="N35" i="25"/>
  <c r="M35" i="25"/>
  <c r="L35" i="25"/>
  <c r="K35" i="25"/>
  <c r="W34" i="25"/>
  <c r="W33" i="25"/>
  <c r="W32" i="25"/>
  <c r="W31" i="25"/>
  <c r="W30" i="25"/>
  <c r="W29" i="25"/>
  <c r="W28" i="25"/>
  <c r="A28" i="25"/>
  <c r="A29" i="25" s="1"/>
  <c r="A30" i="25" s="1"/>
  <c r="A31" i="25" s="1"/>
  <c r="A32" i="25" s="1"/>
  <c r="A33" i="25" s="1"/>
  <c r="A34" i="25" s="1"/>
  <c r="V27" i="25"/>
  <c r="U27" i="25"/>
  <c r="T27" i="25"/>
  <c r="S27" i="25"/>
  <c r="R27" i="25"/>
  <c r="Q27" i="25"/>
  <c r="P27" i="25"/>
  <c r="O27" i="25"/>
  <c r="N27" i="25"/>
  <c r="M27" i="25"/>
  <c r="L27" i="25"/>
  <c r="K27" i="25"/>
  <c r="X63" i="36"/>
  <c r="X62" i="36"/>
  <c r="X61" i="36"/>
  <c r="X60" i="36"/>
  <c r="X59" i="36"/>
  <c r="X58" i="36"/>
  <c r="X57" i="36"/>
  <c r="W56" i="36"/>
  <c r="W126" i="36" s="1"/>
  <c r="V56" i="36"/>
  <c r="U56" i="36"/>
  <c r="N56" i="36"/>
  <c r="N126" i="36" s="1"/>
  <c r="M56" i="36"/>
  <c r="L56" i="36"/>
  <c r="X54" i="36"/>
  <c r="A54" i="36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W53" i="36"/>
  <c r="V53" i="36"/>
  <c r="V64" i="36" s="1"/>
  <c r="U53" i="36"/>
  <c r="T53" i="36"/>
  <c r="S53" i="36"/>
  <c r="S64" i="36" s="1"/>
  <c r="R53" i="36"/>
  <c r="R64" i="36" s="1"/>
  <c r="Q53" i="36"/>
  <c r="Q64" i="36" s="1"/>
  <c r="P53" i="36"/>
  <c r="O53" i="36"/>
  <c r="O64" i="36" s="1"/>
  <c r="N53" i="36"/>
  <c r="M53" i="36"/>
  <c r="M64" i="36" s="1"/>
  <c r="L53" i="36"/>
  <c r="X123" i="36"/>
  <c r="X122" i="36"/>
  <c r="X121" i="36"/>
  <c r="X120" i="36"/>
  <c r="X119" i="36"/>
  <c r="X118" i="36"/>
  <c r="X117" i="36"/>
  <c r="W116" i="36"/>
  <c r="V116" i="36"/>
  <c r="U116" i="36"/>
  <c r="T116" i="36"/>
  <c r="S116" i="36"/>
  <c r="R116" i="36"/>
  <c r="Q116" i="36"/>
  <c r="P116" i="36"/>
  <c r="O116" i="36"/>
  <c r="N116" i="36"/>
  <c r="M116" i="36"/>
  <c r="L116" i="36"/>
  <c r="X114" i="36"/>
  <c r="B122" i="36"/>
  <c r="B123" i="36" s="1"/>
  <c r="B124" i="36" s="1"/>
  <c r="A114" i="36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W113" i="36"/>
  <c r="V113" i="36"/>
  <c r="U113" i="36"/>
  <c r="T113" i="36"/>
  <c r="S113" i="36"/>
  <c r="R113" i="36"/>
  <c r="R124" i="36" s="1"/>
  <c r="Q113" i="36"/>
  <c r="Q124" i="36" s="1"/>
  <c r="P113" i="36"/>
  <c r="P124" i="36" s="1"/>
  <c r="O113" i="36"/>
  <c r="O124" i="36" s="1"/>
  <c r="N113" i="36"/>
  <c r="N124" i="36" s="1"/>
  <c r="M113" i="36"/>
  <c r="M124" i="36" s="1"/>
  <c r="L113" i="36"/>
  <c r="V124" i="36" l="1"/>
  <c r="U124" i="36"/>
  <c r="W267" i="14"/>
  <c r="P64" i="36"/>
  <c r="N64" i="36"/>
  <c r="W35" i="25"/>
  <c r="W27" i="25"/>
  <c r="S124" i="36"/>
  <c r="W64" i="36"/>
  <c r="X56" i="36"/>
  <c r="U64" i="36"/>
  <c r="X53" i="36"/>
  <c r="T64" i="36"/>
  <c r="W124" i="36"/>
  <c r="L64" i="36"/>
  <c r="X113" i="36"/>
  <c r="T124" i="36"/>
  <c r="X116" i="36"/>
  <c r="L124" i="36"/>
  <c r="Q194" i="14"/>
  <c r="Q193" i="14"/>
  <c r="Q192" i="14"/>
  <c r="Q191" i="14"/>
  <c r="Q190" i="14"/>
  <c r="Q187" i="14"/>
  <c r="X64" i="36" l="1"/>
  <c r="X124" i="36"/>
  <c r="M2" i="39" l="1"/>
  <c r="W250" i="14" l="1"/>
  <c r="W249" i="14"/>
  <c r="W248" i="14"/>
  <c r="W247" i="14"/>
  <c r="W246" i="14"/>
  <c r="W245" i="14"/>
  <c r="W244" i="14"/>
  <c r="A244" i="14"/>
  <c r="A245" i="14" s="1"/>
  <c r="A246" i="14" s="1"/>
  <c r="A247" i="14" s="1"/>
  <c r="A248" i="14" s="1"/>
  <c r="A249" i="14" s="1"/>
  <c r="A250" i="14" s="1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W234" i="14"/>
  <c r="W233" i="14"/>
  <c r="W232" i="14"/>
  <c r="W231" i="14"/>
  <c r="W230" i="14"/>
  <c r="W229" i="14"/>
  <c r="W228" i="14"/>
  <c r="A228" i="14"/>
  <c r="A229" i="14" s="1"/>
  <c r="A230" i="14" s="1"/>
  <c r="A231" i="14" s="1"/>
  <c r="A232" i="14" s="1"/>
  <c r="A233" i="14" s="1"/>
  <c r="A234" i="14" s="1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W242" i="14"/>
  <c r="W241" i="14"/>
  <c r="W240" i="14"/>
  <c r="W239" i="14"/>
  <c r="W238" i="14"/>
  <c r="W237" i="14"/>
  <c r="W236" i="14"/>
  <c r="A236" i="14"/>
  <c r="A237" i="14" s="1"/>
  <c r="A238" i="14" s="1"/>
  <c r="A239" i="14" s="1"/>
  <c r="A240" i="14" s="1"/>
  <c r="A241" i="14" s="1"/>
  <c r="A242" i="14" s="1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W227" i="14" l="1"/>
  <c r="W235" i="14"/>
  <c r="W243" i="14"/>
  <c r="Q259" i="14"/>
  <c r="W266" i="14"/>
  <c r="W265" i="14"/>
  <c r="W264" i="14"/>
  <c r="W263" i="14"/>
  <c r="W262" i="14"/>
  <c r="W261" i="14"/>
  <c r="W260" i="14"/>
  <c r="A260" i="14"/>
  <c r="A261" i="14" s="1"/>
  <c r="A262" i="14" s="1"/>
  <c r="A263" i="14" s="1"/>
  <c r="A264" i="14" s="1"/>
  <c r="A265" i="14" s="1"/>
  <c r="A266" i="14" s="1"/>
  <c r="V259" i="14"/>
  <c r="U259" i="14"/>
  <c r="T259" i="14"/>
  <c r="S259" i="14"/>
  <c r="R259" i="14"/>
  <c r="P259" i="14"/>
  <c r="O259" i="14"/>
  <c r="N259" i="14"/>
  <c r="M259" i="14"/>
  <c r="L259" i="14"/>
  <c r="K259" i="14"/>
  <c r="W259" i="14" l="1"/>
  <c r="K9" i="39"/>
  <c r="I9" i="39"/>
  <c r="A196" i="14" l="1"/>
  <c r="A197" i="14" s="1"/>
  <c r="A44" i="25"/>
  <c r="A45" i="25" s="1"/>
  <c r="A46" i="25" s="1"/>
  <c r="A47" i="25" s="1"/>
  <c r="A48" i="25" s="1"/>
  <c r="A49" i="25" s="1"/>
  <c r="A50" i="25" s="1"/>
  <c r="V43" i="25"/>
  <c r="U43" i="25"/>
  <c r="T43" i="25"/>
  <c r="S43" i="25"/>
  <c r="R43" i="25"/>
  <c r="R51" i="25" s="1"/>
  <c r="Q43" i="25"/>
  <c r="Q51" i="25" s="1"/>
  <c r="P43" i="25"/>
  <c r="P51" i="25" s="1"/>
  <c r="O43" i="25"/>
  <c r="O51" i="25" s="1"/>
  <c r="N43" i="25"/>
  <c r="N51" i="25" s="1"/>
  <c r="M43" i="25"/>
  <c r="M51" i="25" s="1"/>
  <c r="L43" i="25"/>
  <c r="L51" i="25" s="1"/>
  <c r="K43" i="25"/>
  <c r="K51" i="25" s="1"/>
  <c r="K19" i="25"/>
  <c r="A20" i="25"/>
  <c r="A21" i="25" s="1"/>
  <c r="A22" i="25" s="1"/>
  <c r="A23" i="25" s="1"/>
  <c r="A24" i="25" s="1"/>
  <c r="A25" i="25" s="1"/>
  <c r="A26" i="25" s="1"/>
  <c r="V19" i="25"/>
  <c r="U19" i="25"/>
  <c r="T19" i="25"/>
  <c r="S19" i="25"/>
  <c r="R19" i="25"/>
  <c r="Q19" i="25"/>
  <c r="P19" i="25"/>
  <c r="O19" i="25"/>
  <c r="N19" i="25"/>
  <c r="M19" i="25"/>
  <c r="L19" i="25"/>
  <c r="W50" i="25"/>
  <c r="W49" i="25"/>
  <c r="W48" i="25"/>
  <c r="W47" i="25"/>
  <c r="W46" i="25"/>
  <c r="W45" i="25"/>
  <c r="W44" i="25"/>
  <c r="W26" i="25"/>
  <c r="W25" i="25"/>
  <c r="W24" i="25"/>
  <c r="W23" i="25"/>
  <c r="W22" i="25"/>
  <c r="W21" i="25"/>
  <c r="W20" i="25"/>
  <c r="R5" i="39"/>
  <c r="S101" i="36"/>
  <c r="R101" i="36"/>
  <c r="R125" i="36" s="1"/>
  <c r="Q101" i="36"/>
  <c r="Q125" i="36" s="1"/>
  <c r="P101" i="36"/>
  <c r="P125" i="36" s="1"/>
  <c r="O101" i="36"/>
  <c r="O125" i="36" s="1"/>
  <c r="N101" i="36"/>
  <c r="N125" i="36" s="1"/>
  <c r="M101" i="36"/>
  <c r="M125" i="36" s="1"/>
  <c r="L101" i="36"/>
  <c r="N89" i="36"/>
  <c r="M89" i="36"/>
  <c r="L89" i="36"/>
  <c r="L77" i="36"/>
  <c r="L65" i="36"/>
  <c r="K219" i="14"/>
  <c r="K203" i="14"/>
  <c r="K123" i="14"/>
  <c r="K59" i="14"/>
  <c r="K51" i="14"/>
  <c r="K35" i="14"/>
  <c r="K3" i="14"/>
  <c r="K11" i="14"/>
  <c r="K19" i="14"/>
  <c r="K27" i="14"/>
  <c r="K43" i="14"/>
  <c r="K67" i="14"/>
  <c r="K75" i="14"/>
  <c r="K83" i="14"/>
  <c r="K91" i="14"/>
  <c r="K99" i="14"/>
  <c r="K107" i="14"/>
  <c r="K115" i="14"/>
  <c r="K131" i="14"/>
  <c r="K147" i="14"/>
  <c r="K163" i="14"/>
  <c r="K179" i="14"/>
  <c r="K187" i="14"/>
  <c r="K211" i="14"/>
  <c r="W19" i="25" l="1"/>
  <c r="W43" i="25"/>
  <c r="K195" i="14"/>
  <c r="K171" i="14"/>
  <c r="K155" i="14"/>
  <c r="K139" i="14"/>
  <c r="K275" i="14" s="1"/>
  <c r="K2" i="14" s="1"/>
  <c r="W226" i="14"/>
  <c r="W225" i="14"/>
  <c r="W224" i="14"/>
  <c r="W223" i="14"/>
  <c r="W221" i="14"/>
  <c r="W220" i="14"/>
  <c r="A220" i="14"/>
  <c r="A221" i="14" s="1"/>
  <c r="A222" i="14" s="1"/>
  <c r="A223" i="14" s="1"/>
  <c r="A224" i="14" s="1"/>
  <c r="A225" i="14" s="1"/>
  <c r="A226" i="14" s="1"/>
  <c r="V219" i="14"/>
  <c r="U219" i="14"/>
  <c r="T219" i="14"/>
  <c r="S219" i="14"/>
  <c r="R219" i="14"/>
  <c r="Q219" i="14"/>
  <c r="P219" i="14"/>
  <c r="O219" i="14"/>
  <c r="N219" i="14"/>
  <c r="M219" i="14"/>
  <c r="L219" i="14"/>
  <c r="W219" i="14" l="1"/>
  <c r="W222" i="14"/>
  <c r="S104" i="36"/>
  <c r="S112" i="36" s="1"/>
  <c r="X102" i="36"/>
  <c r="R104" i="36"/>
  <c r="R112" i="36" s="1"/>
  <c r="Q104" i="36"/>
  <c r="P104" i="36"/>
  <c r="O104" i="36"/>
  <c r="X111" i="36"/>
  <c r="X110" i="36"/>
  <c r="X109" i="36"/>
  <c r="X108" i="36"/>
  <c r="X107" i="36"/>
  <c r="X106" i="36"/>
  <c r="X105" i="36"/>
  <c r="W104" i="36"/>
  <c r="V104" i="36"/>
  <c r="U104" i="36"/>
  <c r="T104" i="36"/>
  <c r="N104" i="36"/>
  <c r="N112" i="36" s="1"/>
  <c r="M104" i="36"/>
  <c r="L104" i="36"/>
  <c r="A102" i="36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W101" i="36"/>
  <c r="W125" i="36" s="1"/>
  <c r="V101" i="36"/>
  <c r="U101" i="36"/>
  <c r="T101" i="36"/>
  <c r="U112" i="36" l="1"/>
  <c r="W112" i="36"/>
  <c r="V112" i="36"/>
  <c r="O112" i="36"/>
  <c r="L112" i="36"/>
  <c r="M112" i="36"/>
  <c r="T112" i="36"/>
  <c r="Q112" i="36"/>
  <c r="P112" i="36"/>
  <c r="X104" i="36"/>
  <c r="X101" i="36"/>
  <c r="X112" i="36" l="1"/>
  <c r="W218" i="14"/>
  <c r="W217" i="14"/>
  <c r="W216" i="14"/>
  <c r="W215" i="14"/>
  <c r="W214" i="14"/>
  <c r="W213" i="14"/>
  <c r="W212" i="14"/>
  <c r="A212" i="14"/>
  <c r="A213" i="14" s="1"/>
  <c r="A214" i="14" s="1"/>
  <c r="A215" i="14" s="1"/>
  <c r="A216" i="14" s="1"/>
  <c r="A217" i="14" s="1"/>
  <c r="A218" i="14" s="1"/>
  <c r="V211" i="14"/>
  <c r="U211" i="14"/>
  <c r="T211" i="14"/>
  <c r="S211" i="14"/>
  <c r="R211" i="14"/>
  <c r="Q211" i="14"/>
  <c r="P211" i="14"/>
  <c r="O211" i="14"/>
  <c r="N211" i="14"/>
  <c r="M211" i="14"/>
  <c r="L211" i="14"/>
  <c r="O67" i="14"/>
  <c r="W211" i="14" l="1"/>
  <c r="B42" i="35" l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A42" i="35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B30" i="35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A30" i="35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A6" i="35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90" i="36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78" i="36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66" i="36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42" i="36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Q8" i="39" l="1"/>
  <c r="AC42" i="39"/>
  <c r="AC41" i="39"/>
  <c r="AA40" i="39"/>
  <c r="AA43" i="39" s="1"/>
  <c r="Y40" i="39"/>
  <c r="Y43" i="39" s="1"/>
  <c r="W40" i="39"/>
  <c r="W43" i="39" s="1"/>
  <c r="U40" i="39"/>
  <c r="U43" i="39" s="1"/>
  <c r="S40" i="39"/>
  <c r="S43" i="39" s="1"/>
  <c r="Q40" i="39"/>
  <c r="Q43" i="39" s="1"/>
  <c r="O40" i="39"/>
  <c r="O43" i="39" s="1"/>
  <c r="M40" i="39"/>
  <c r="M43" i="39" s="1"/>
  <c r="K40" i="39"/>
  <c r="K43" i="39" s="1"/>
  <c r="I40" i="39"/>
  <c r="I43" i="39" s="1"/>
  <c r="G40" i="39"/>
  <c r="G43" i="39" s="1"/>
  <c r="E40" i="39"/>
  <c r="E43" i="39" s="1"/>
  <c r="W8" i="39"/>
  <c r="X99" i="36"/>
  <c r="X98" i="36"/>
  <c r="X97" i="36"/>
  <c r="X96" i="36"/>
  <c r="X95" i="36"/>
  <c r="X94" i="36"/>
  <c r="X93" i="36"/>
  <c r="W92" i="36"/>
  <c r="V92" i="36"/>
  <c r="U92" i="36"/>
  <c r="T92" i="36"/>
  <c r="S92" i="36"/>
  <c r="R92" i="36"/>
  <c r="Q92" i="36"/>
  <c r="P92" i="36"/>
  <c r="O92" i="36"/>
  <c r="N92" i="36"/>
  <c r="M92" i="36"/>
  <c r="M100" i="36" s="1"/>
  <c r="L92" i="36"/>
  <c r="X90" i="36"/>
  <c r="W89" i="36"/>
  <c r="V89" i="36"/>
  <c r="U89" i="36"/>
  <c r="T89" i="36"/>
  <c r="S89" i="36"/>
  <c r="R89" i="36"/>
  <c r="Q89" i="36"/>
  <c r="P89" i="36"/>
  <c r="O89" i="36"/>
  <c r="X87" i="36"/>
  <c r="X86" i="36"/>
  <c r="X85" i="36"/>
  <c r="X84" i="36"/>
  <c r="X83" i="36"/>
  <c r="X82" i="36"/>
  <c r="X81" i="36"/>
  <c r="W80" i="36"/>
  <c r="V80" i="36"/>
  <c r="U80" i="36"/>
  <c r="T80" i="36"/>
  <c r="S80" i="36"/>
  <c r="R80" i="36"/>
  <c r="Q80" i="36"/>
  <c r="P80" i="36"/>
  <c r="O80" i="36"/>
  <c r="N80" i="36"/>
  <c r="M80" i="36"/>
  <c r="L80" i="36"/>
  <c r="X78" i="36"/>
  <c r="W77" i="36"/>
  <c r="V77" i="36"/>
  <c r="U77" i="36"/>
  <c r="T77" i="36"/>
  <c r="S77" i="36"/>
  <c r="R77" i="36"/>
  <c r="Q77" i="36"/>
  <c r="P77" i="36"/>
  <c r="O77" i="36"/>
  <c r="N77" i="36"/>
  <c r="M77" i="36"/>
  <c r="X75" i="36"/>
  <c r="X74" i="36"/>
  <c r="X73" i="36"/>
  <c r="X72" i="36"/>
  <c r="X71" i="36"/>
  <c r="X70" i="36"/>
  <c r="X69" i="36"/>
  <c r="W68" i="36"/>
  <c r="V68" i="36"/>
  <c r="U68" i="36"/>
  <c r="T68" i="36"/>
  <c r="S68" i="36"/>
  <c r="R68" i="36"/>
  <c r="Q68" i="36"/>
  <c r="P68" i="36"/>
  <c r="O68" i="36"/>
  <c r="N68" i="36"/>
  <c r="M68" i="36"/>
  <c r="L68" i="36"/>
  <c r="X66" i="36"/>
  <c r="W65" i="36"/>
  <c r="V65" i="36"/>
  <c r="U65" i="36"/>
  <c r="T65" i="36"/>
  <c r="S65" i="36"/>
  <c r="R65" i="36"/>
  <c r="Q65" i="36"/>
  <c r="P65" i="36"/>
  <c r="O65" i="36"/>
  <c r="N65" i="36"/>
  <c r="M65" i="36"/>
  <c r="X39" i="36"/>
  <c r="X38" i="36"/>
  <c r="X37" i="36"/>
  <c r="X36" i="36"/>
  <c r="X35" i="36"/>
  <c r="X34" i="36"/>
  <c r="X33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X31" i="36"/>
  <c r="X30" i="36"/>
  <c r="A30" i="36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W29" i="36"/>
  <c r="V29" i="36"/>
  <c r="U29" i="36"/>
  <c r="T29" i="36"/>
  <c r="S29" i="36"/>
  <c r="R29" i="36"/>
  <c r="Q29" i="36"/>
  <c r="P29" i="36"/>
  <c r="O29" i="36"/>
  <c r="N29" i="36"/>
  <c r="M29" i="36"/>
  <c r="L29" i="36"/>
  <c r="AC29" i="39"/>
  <c r="AC22" i="39"/>
  <c r="Z8" i="39"/>
  <c r="X8" i="39"/>
  <c r="V8" i="39"/>
  <c r="T8" i="39"/>
  <c r="R8" i="39"/>
  <c r="P8" i="39"/>
  <c r="N8" i="39"/>
  <c r="L8" i="39"/>
  <c r="J8" i="39"/>
  <c r="H8" i="39"/>
  <c r="F8" i="39"/>
  <c r="D8" i="39"/>
  <c r="W202" i="14"/>
  <c r="W201" i="14"/>
  <c r="W200" i="14"/>
  <c r="W199" i="14"/>
  <c r="W198" i="14"/>
  <c r="W197" i="14"/>
  <c r="W196" i="14"/>
  <c r="A198" i="14"/>
  <c r="A199" i="14" s="1"/>
  <c r="A200" i="14" s="1"/>
  <c r="A201" i="14" s="1"/>
  <c r="A202" i="14" s="1"/>
  <c r="V195" i="14"/>
  <c r="U195" i="14"/>
  <c r="T195" i="14"/>
  <c r="S195" i="14"/>
  <c r="R195" i="14"/>
  <c r="Q195" i="14"/>
  <c r="P195" i="14"/>
  <c r="O195" i="14"/>
  <c r="N195" i="14"/>
  <c r="M195" i="14"/>
  <c r="L195" i="14"/>
  <c r="W194" i="14"/>
  <c r="W193" i="14"/>
  <c r="W192" i="14"/>
  <c r="W191" i="14"/>
  <c r="W190" i="14"/>
  <c r="W189" i="14"/>
  <c r="W188" i="14"/>
  <c r="A188" i="14"/>
  <c r="A189" i="14" s="1"/>
  <c r="A190" i="14" s="1"/>
  <c r="A191" i="14" s="1"/>
  <c r="A192" i="14" s="1"/>
  <c r="A193" i="14" s="1"/>
  <c r="A194" i="14" s="1"/>
  <c r="V187" i="14"/>
  <c r="U187" i="14"/>
  <c r="T187" i="14"/>
  <c r="S187" i="14"/>
  <c r="R187" i="14"/>
  <c r="P187" i="14"/>
  <c r="O187" i="14"/>
  <c r="N187" i="14"/>
  <c r="M187" i="14"/>
  <c r="L187" i="14"/>
  <c r="W186" i="14"/>
  <c r="W185" i="14"/>
  <c r="W184" i="14"/>
  <c r="W183" i="14"/>
  <c r="W182" i="14"/>
  <c r="W181" i="14"/>
  <c r="W180" i="14"/>
  <c r="A180" i="14"/>
  <c r="A181" i="14" s="1"/>
  <c r="A182" i="14" s="1"/>
  <c r="A183" i="14" s="1"/>
  <c r="A184" i="14" s="1"/>
  <c r="A185" i="14" s="1"/>
  <c r="A186" i="14" s="1"/>
  <c r="V179" i="14"/>
  <c r="U179" i="14"/>
  <c r="T179" i="14"/>
  <c r="S179" i="14"/>
  <c r="R179" i="14"/>
  <c r="Q179" i="14"/>
  <c r="P179" i="14"/>
  <c r="O179" i="14"/>
  <c r="N179" i="14"/>
  <c r="M179" i="14"/>
  <c r="L179" i="14"/>
  <c r="W178" i="14"/>
  <c r="W177" i="14"/>
  <c r="W176" i="14"/>
  <c r="W175" i="14"/>
  <c r="W174" i="14"/>
  <c r="W173" i="14"/>
  <c r="W172" i="14"/>
  <c r="A172" i="14"/>
  <c r="A173" i="14" s="1"/>
  <c r="A174" i="14" s="1"/>
  <c r="A175" i="14" s="1"/>
  <c r="A176" i="14" s="1"/>
  <c r="A177" i="14" s="1"/>
  <c r="A178" i="14" s="1"/>
  <c r="V171" i="14"/>
  <c r="U171" i="14"/>
  <c r="T171" i="14"/>
  <c r="S171" i="14"/>
  <c r="R171" i="14"/>
  <c r="Q171" i="14"/>
  <c r="P171" i="14"/>
  <c r="O171" i="14"/>
  <c r="N171" i="14"/>
  <c r="M171" i="14"/>
  <c r="L171" i="14"/>
  <c r="W210" i="14"/>
  <c r="W209" i="14"/>
  <c r="W208" i="14"/>
  <c r="W207" i="14"/>
  <c r="W206" i="14"/>
  <c r="W205" i="14"/>
  <c r="W204" i="14"/>
  <c r="A204" i="14"/>
  <c r="A205" i="14" s="1"/>
  <c r="A206" i="14" s="1"/>
  <c r="A207" i="14" s="1"/>
  <c r="A208" i="14" s="1"/>
  <c r="A209" i="14" s="1"/>
  <c r="A210" i="14" s="1"/>
  <c r="V203" i="14"/>
  <c r="U203" i="14"/>
  <c r="T203" i="14"/>
  <c r="S203" i="14"/>
  <c r="R203" i="14"/>
  <c r="Q203" i="14"/>
  <c r="P203" i="14"/>
  <c r="O203" i="14"/>
  <c r="N203" i="14"/>
  <c r="M203" i="14"/>
  <c r="L203" i="14"/>
  <c r="R163" i="14"/>
  <c r="Q163" i="14"/>
  <c r="P163" i="14"/>
  <c r="O163" i="14"/>
  <c r="N163" i="14"/>
  <c r="M163" i="14"/>
  <c r="L163" i="14"/>
  <c r="R155" i="14"/>
  <c r="Q155" i="14"/>
  <c r="P155" i="14"/>
  <c r="O155" i="14"/>
  <c r="N155" i="14"/>
  <c r="M155" i="14"/>
  <c r="L155" i="14"/>
  <c r="R147" i="14"/>
  <c r="Q147" i="14"/>
  <c r="P147" i="14"/>
  <c r="O147" i="14"/>
  <c r="N147" i="14"/>
  <c r="M147" i="14"/>
  <c r="L147" i="14"/>
  <c r="R139" i="14"/>
  <c r="Q139" i="14"/>
  <c r="P139" i="14"/>
  <c r="O139" i="14"/>
  <c r="N139" i="14"/>
  <c r="M139" i="14"/>
  <c r="L139" i="14"/>
  <c r="R131" i="14"/>
  <c r="Q131" i="14"/>
  <c r="P131" i="14"/>
  <c r="O131" i="14"/>
  <c r="N131" i="14"/>
  <c r="M131" i="14"/>
  <c r="L131" i="14"/>
  <c r="R123" i="14"/>
  <c r="Q123" i="14"/>
  <c r="P123" i="14"/>
  <c r="O123" i="14"/>
  <c r="N123" i="14"/>
  <c r="M123" i="14"/>
  <c r="L123" i="14"/>
  <c r="R115" i="14"/>
  <c r="Q115" i="14"/>
  <c r="P115" i="14"/>
  <c r="O115" i="14"/>
  <c r="N115" i="14"/>
  <c r="M115" i="14"/>
  <c r="L115" i="14"/>
  <c r="R107" i="14"/>
  <c r="Q107" i="14"/>
  <c r="P107" i="14"/>
  <c r="O107" i="14"/>
  <c r="N107" i="14"/>
  <c r="M107" i="14"/>
  <c r="L107" i="14"/>
  <c r="R99" i="14"/>
  <c r="Q99" i="14"/>
  <c r="P99" i="14"/>
  <c r="O99" i="14"/>
  <c r="N99" i="14"/>
  <c r="M99" i="14"/>
  <c r="L99" i="14"/>
  <c r="R91" i="14"/>
  <c r="Q91" i="14"/>
  <c r="P91" i="14"/>
  <c r="O91" i="14"/>
  <c r="N91" i="14"/>
  <c r="M91" i="14"/>
  <c r="L91" i="14"/>
  <c r="R83" i="14"/>
  <c r="Q83" i="14"/>
  <c r="P83" i="14"/>
  <c r="O83" i="14"/>
  <c r="N83" i="14"/>
  <c r="M83" i="14"/>
  <c r="L83" i="14"/>
  <c r="R75" i="14"/>
  <c r="Q75" i="14"/>
  <c r="P75" i="14"/>
  <c r="O75" i="14"/>
  <c r="N75" i="14"/>
  <c r="M75" i="14"/>
  <c r="L75" i="14"/>
  <c r="R67" i="14"/>
  <c r="Q67" i="14"/>
  <c r="P67" i="14"/>
  <c r="N67" i="14"/>
  <c r="M67" i="14"/>
  <c r="L67" i="14"/>
  <c r="R59" i="14"/>
  <c r="Q59" i="14"/>
  <c r="P59" i="14"/>
  <c r="O59" i="14"/>
  <c r="N59" i="14"/>
  <c r="M59" i="14"/>
  <c r="L59" i="14"/>
  <c r="R51" i="14"/>
  <c r="Q51" i="14"/>
  <c r="P51" i="14"/>
  <c r="O51" i="14"/>
  <c r="N51" i="14"/>
  <c r="M51" i="14"/>
  <c r="L51" i="14"/>
  <c r="R43" i="14"/>
  <c r="Q43" i="14"/>
  <c r="P43" i="14"/>
  <c r="O43" i="14"/>
  <c r="N43" i="14"/>
  <c r="M43" i="14"/>
  <c r="L43" i="14"/>
  <c r="R35" i="14"/>
  <c r="Q35" i="14"/>
  <c r="P35" i="14"/>
  <c r="O35" i="14"/>
  <c r="N35" i="14"/>
  <c r="M35" i="14"/>
  <c r="L35" i="14"/>
  <c r="O100" i="36" l="1"/>
  <c r="W100" i="36"/>
  <c r="R100" i="36"/>
  <c r="O88" i="36"/>
  <c r="W88" i="36"/>
  <c r="S100" i="36"/>
  <c r="M40" i="36"/>
  <c r="Q40" i="36"/>
  <c r="R40" i="36"/>
  <c r="S40" i="36"/>
  <c r="T40" i="36"/>
  <c r="U76" i="36"/>
  <c r="Q100" i="36"/>
  <c r="V40" i="36"/>
  <c r="U40" i="36"/>
  <c r="W40" i="36"/>
  <c r="U100" i="36"/>
  <c r="Q88" i="36"/>
  <c r="T88" i="36"/>
  <c r="L100" i="36"/>
  <c r="T100" i="36"/>
  <c r="V76" i="36"/>
  <c r="N100" i="36"/>
  <c r="V100" i="36"/>
  <c r="P100" i="36"/>
  <c r="P88" i="36"/>
  <c r="P40" i="36"/>
  <c r="O40" i="36"/>
  <c r="N76" i="36"/>
  <c r="N40" i="36"/>
  <c r="M76" i="36"/>
  <c r="AC40" i="39"/>
  <c r="AC43" i="39"/>
  <c r="X92" i="36"/>
  <c r="X89" i="36"/>
  <c r="M88" i="36"/>
  <c r="U88" i="36"/>
  <c r="R88" i="36"/>
  <c r="S88" i="36"/>
  <c r="X80" i="36"/>
  <c r="N88" i="36"/>
  <c r="V88" i="36"/>
  <c r="L88" i="36"/>
  <c r="X77" i="36"/>
  <c r="O76" i="36"/>
  <c r="W76" i="36"/>
  <c r="P76" i="36"/>
  <c r="L76" i="36"/>
  <c r="T76" i="36"/>
  <c r="Q76" i="36"/>
  <c r="R76" i="36"/>
  <c r="S76" i="36"/>
  <c r="X68" i="36"/>
  <c r="X65" i="36"/>
  <c r="X32" i="36"/>
  <c r="X29" i="36"/>
  <c r="L40" i="36"/>
  <c r="S8" i="39"/>
  <c r="E8" i="39"/>
  <c r="E2" i="39" s="1"/>
  <c r="U8" i="39"/>
  <c r="K8" i="39"/>
  <c r="AA8" i="39"/>
  <c r="G8" i="39"/>
  <c r="G2" i="39" s="1"/>
  <c r="AB8" i="39"/>
  <c r="O8" i="39"/>
  <c r="O2" i="39" s="1"/>
  <c r="I8" i="39"/>
  <c r="I2" i="39" s="1"/>
  <c r="Y8" i="39"/>
  <c r="W195" i="14"/>
  <c r="W187" i="14"/>
  <c r="W179" i="14"/>
  <c r="W171" i="14"/>
  <c r="W203" i="14"/>
  <c r="AA2" i="39" l="1"/>
  <c r="Y2" i="39"/>
  <c r="W2" i="39"/>
  <c r="U2" i="39"/>
  <c r="S2" i="39"/>
  <c r="Q2" i="39"/>
  <c r="K2" i="39"/>
  <c r="X100" i="36"/>
  <c r="X40" i="36"/>
  <c r="X88" i="36"/>
  <c r="X76" i="36"/>
  <c r="AC8" i="39"/>
  <c r="W170" i="14"/>
  <c r="W169" i="14"/>
  <c r="W168" i="14"/>
  <c r="W167" i="14"/>
  <c r="W166" i="14"/>
  <c r="W165" i="14"/>
  <c r="W164" i="14"/>
  <c r="A164" i="14"/>
  <c r="A165" i="14" s="1"/>
  <c r="A166" i="14" s="1"/>
  <c r="A167" i="14" s="1"/>
  <c r="A168" i="14" s="1"/>
  <c r="A169" i="14" s="1"/>
  <c r="A170" i="14" s="1"/>
  <c r="V163" i="14"/>
  <c r="U163" i="14"/>
  <c r="T163" i="14"/>
  <c r="S163" i="14"/>
  <c r="C125" i="36"/>
  <c r="X51" i="36"/>
  <c r="X50" i="36"/>
  <c r="X49" i="36"/>
  <c r="X48" i="36"/>
  <c r="X47" i="36"/>
  <c r="X46" i="36"/>
  <c r="X45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X42" i="36"/>
  <c r="W41" i="36"/>
  <c r="V41" i="36"/>
  <c r="U41" i="36"/>
  <c r="T41" i="36"/>
  <c r="S41" i="36"/>
  <c r="S125" i="36" s="1"/>
  <c r="R41" i="36"/>
  <c r="Q41" i="36"/>
  <c r="P41" i="36"/>
  <c r="O41" i="36"/>
  <c r="N41" i="36"/>
  <c r="M41" i="36"/>
  <c r="L41" i="36"/>
  <c r="X27" i="36"/>
  <c r="X26" i="36"/>
  <c r="X25" i="36"/>
  <c r="X24" i="36"/>
  <c r="X23" i="36"/>
  <c r="X22" i="36"/>
  <c r="X21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X18" i="36"/>
  <c r="A18" i="36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W17" i="36"/>
  <c r="V17" i="36"/>
  <c r="U17" i="36"/>
  <c r="T17" i="36"/>
  <c r="S17" i="36"/>
  <c r="R17" i="36"/>
  <c r="Q17" i="36"/>
  <c r="P17" i="36"/>
  <c r="O17" i="36"/>
  <c r="N17" i="36"/>
  <c r="M17" i="36"/>
  <c r="L17" i="36"/>
  <c r="C17" i="36"/>
  <c r="X15" i="36"/>
  <c r="W8" i="36"/>
  <c r="T8" i="36"/>
  <c r="T126" i="36" s="1"/>
  <c r="S8" i="36"/>
  <c r="R8" i="36"/>
  <c r="O8" i="36"/>
  <c r="X14" i="36"/>
  <c r="X13" i="36"/>
  <c r="X12" i="36"/>
  <c r="X11" i="36"/>
  <c r="X10" i="36"/>
  <c r="X9" i="36"/>
  <c r="V8" i="36"/>
  <c r="U8" i="36"/>
  <c r="Q8" i="36"/>
  <c r="P8" i="36"/>
  <c r="N8" i="36"/>
  <c r="M8" i="36"/>
  <c r="X6" i="36"/>
  <c r="A6" i="36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W5" i="36"/>
  <c r="V5" i="36"/>
  <c r="U5" i="36"/>
  <c r="T5" i="36"/>
  <c r="S5" i="36"/>
  <c r="R5" i="36"/>
  <c r="Q5" i="36"/>
  <c r="P5" i="36"/>
  <c r="O5" i="36"/>
  <c r="N5" i="36"/>
  <c r="M5" i="36"/>
  <c r="L5" i="36"/>
  <c r="V125" i="36" l="1"/>
  <c r="V126" i="36"/>
  <c r="U125" i="36"/>
  <c r="U127" i="36" s="1"/>
  <c r="U126" i="36"/>
  <c r="T125" i="36"/>
  <c r="T127" i="36" s="1"/>
  <c r="V127" i="36"/>
  <c r="R127" i="36"/>
  <c r="L127" i="36"/>
  <c r="Q2" i="36"/>
  <c r="C29" i="36"/>
  <c r="C41" i="36" s="1"/>
  <c r="P2" i="36"/>
  <c r="S127" i="36"/>
  <c r="M127" i="36"/>
  <c r="R2" i="36"/>
  <c r="Q3" i="36"/>
  <c r="S2" i="36"/>
  <c r="Q52" i="36"/>
  <c r="R52" i="36"/>
  <c r="U52" i="36"/>
  <c r="P52" i="36"/>
  <c r="S52" i="36"/>
  <c r="T52" i="36"/>
  <c r="V52" i="36"/>
  <c r="V16" i="36"/>
  <c r="S16" i="36"/>
  <c r="R16" i="36"/>
  <c r="P28" i="36"/>
  <c r="O52" i="36"/>
  <c r="W52" i="36"/>
  <c r="V28" i="36"/>
  <c r="N28" i="36"/>
  <c r="U16" i="36"/>
  <c r="N52" i="36"/>
  <c r="X44" i="36"/>
  <c r="L52" i="36"/>
  <c r="M52" i="36"/>
  <c r="Q28" i="36"/>
  <c r="T16" i="36"/>
  <c r="W163" i="14"/>
  <c r="T28" i="36"/>
  <c r="M28" i="36"/>
  <c r="U28" i="36"/>
  <c r="X20" i="36"/>
  <c r="O28" i="36"/>
  <c r="W28" i="36"/>
  <c r="X17" i="36"/>
  <c r="N16" i="36"/>
  <c r="M16" i="36"/>
  <c r="P16" i="36"/>
  <c r="O16" i="36"/>
  <c r="W16" i="36"/>
  <c r="R28" i="36"/>
  <c r="Q16" i="36"/>
  <c r="S28" i="36"/>
  <c r="X5" i="36"/>
  <c r="L8" i="36"/>
  <c r="L28" i="36"/>
  <c r="X41" i="36"/>
  <c r="R8" i="35"/>
  <c r="Q8" i="35"/>
  <c r="P8" i="35"/>
  <c r="C89" i="35"/>
  <c r="X51" i="35"/>
  <c r="X50" i="35"/>
  <c r="X49" i="35"/>
  <c r="X48" i="35"/>
  <c r="X47" i="35"/>
  <c r="X46" i="35"/>
  <c r="X45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X42" i="35"/>
  <c r="W41" i="35"/>
  <c r="V41" i="35"/>
  <c r="U41" i="35"/>
  <c r="T41" i="35"/>
  <c r="S41" i="35"/>
  <c r="R41" i="35"/>
  <c r="Q41" i="35"/>
  <c r="P41" i="35"/>
  <c r="O41" i="35"/>
  <c r="N41" i="35"/>
  <c r="M41" i="35"/>
  <c r="L41" i="35"/>
  <c r="X39" i="35"/>
  <c r="X38" i="35"/>
  <c r="X37" i="35"/>
  <c r="X36" i="35"/>
  <c r="X35" i="35"/>
  <c r="X34" i="35"/>
  <c r="X33" i="35"/>
  <c r="W32" i="35"/>
  <c r="V32" i="35"/>
  <c r="U32" i="35"/>
  <c r="T32" i="35"/>
  <c r="S32" i="35"/>
  <c r="R32" i="35"/>
  <c r="Q32" i="35"/>
  <c r="P32" i="35"/>
  <c r="O32" i="35"/>
  <c r="N32" i="35"/>
  <c r="M32" i="35"/>
  <c r="M40" i="35" s="1"/>
  <c r="L32" i="35"/>
  <c r="W29" i="35"/>
  <c r="V29" i="35"/>
  <c r="U29" i="35"/>
  <c r="T29" i="35"/>
  <c r="S29" i="35"/>
  <c r="R29" i="35"/>
  <c r="R40" i="35" s="1"/>
  <c r="Q29" i="35"/>
  <c r="P29" i="35"/>
  <c r="O29" i="35"/>
  <c r="N29" i="35"/>
  <c r="M29" i="35"/>
  <c r="L29" i="35"/>
  <c r="X27" i="35"/>
  <c r="X26" i="35"/>
  <c r="X25" i="35"/>
  <c r="X24" i="35"/>
  <c r="X23" i="35"/>
  <c r="X22" i="35"/>
  <c r="X21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X18" i="35"/>
  <c r="B18" i="35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A18" i="35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W17" i="35"/>
  <c r="V17" i="35"/>
  <c r="U17" i="35"/>
  <c r="T17" i="35"/>
  <c r="S17" i="35"/>
  <c r="R17" i="35"/>
  <c r="Q17" i="35"/>
  <c r="P17" i="35"/>
  <c r="O17" i="35"/>
  <c r="N17" i="35"/>
  <c r="M17" i="35"/>
  <c r="L17" i="35"/>
  <c r="C17" i="35"/>
  <c r="C29" i="35" s="1"/>
  <c r="X15" i="35"/>
  <c r="X13" i="35"/>
  <c r="X12" i="35"/>
  <c r="X11" i="35"/>
  <c r="X10" i="35"/>
  <c r="X9" i="35"/>
  <c r="W8" i="35"/>
  <c r="V8" i="35"/>
  <c r="V90" i="35" s="1"/>
  <c r="U8" i="35"/>
  <c r="T8" i="35"/>
  <c r="S8" i="35"/>
  <c r="S90" i="35" s="1"/>
  <c r="O8" i="35"/>
  <c r="N8" i="35"/>
  <c r="M8" i="35"/>
  <c r="L8" i="35"/>
  <c r="X6" i="35"/>
  <c r="W5" i="35"/>
  <c r="V5" i="35"/>
  <c r="U5" i="35"/>
  <c r="T5" i="35"/>
  <c r="S5" i="35"/>
  <c r="R5" i="35"/>
  <c r="Q5" i="35"/>
  <c r="P5" i="35"/>
  <c r="P89" i="35" s="1"/>
  <c r="O5" i="35"/>
  <c r="N5" i="35"/>
  <c r="M5" i="35"/>
  <c r="L5" i="35"/>
  <c r="N52" i="35" l="1"/>
  <c r="V52" i="35"/>
  <c r="L90" i="35"/>
  <c r="Q89" i="35"/>
  <c r="C41" i="35"/>
  <c r="N90" i="35"/>
  <c r="N3" i="35" s="1"/>
  <c r="I30" i="39" s="1"/>
  <c r="L40" i="35"/>
  <c r="X29" i="35"/>
  <c r="P90" i="35"/>
  <c r="P3" i="35" s="1"/>
  <c r="M30" i="39" s="1"/>
  <c r="O90" i="35"/>
  <c r="Q90" i="35"/>
  <c r="M90" i="35"/>
  <c r="M3" i="35" s="1"/>
  <c r="G30" i="39" s="1"/>
  <c r="S89" i="35"/>
  <c r="N40" i="35"/>
  <c r="R90" i="35"/>
  <c r="R3" i="35" s="1"/>
  <c r="Q30" i="39" s="1"/>
  <c r="R89" i="35"/>
  <c r="L89" i="35"/>
  <c r="L2" i="35" s="1"/>
  <c r="U89" i="35"/>
  <c r="P52" i="35"/>
  <c r="T89" i="35"/>
  <c r="T2" i="35" s="1"/>
  <c r="M89" i="35"/>
  <c r="N89" i="35"/>
  <c r="T90" i="35"/>
  <c r="T3" i="35" s="1"/>
  <c r="U30" i="39" s="1"/>
  <c r="O89" i="35"/>
  <c r="U90" i="35"/>
  <c r="M52" i="35"/>
  <c r="U52" i="35"/>
  <c r="S52" i="35"/>
  <c r="X44" i="35"/>
  <c r="X32" i="35"/>
  <c r="T52" i="35"/>
  <c r="O40" i="35"/>
  <c r="O52" i="35"/>
  <c r="W52" i="35"/>
  <c r="W3" i="35"/>
  <c r="AA30" i="39" s="1"/>
  <c r="V3" i="35"/>
  <c r="Y30" i="39" s="1"/>
  <c r="U3" i="35"/>
  <c r="W30" i="39" s="1"/>
  <c r="C65" i="36"/>
  <c r="C77" i="36" s="1"/>
  <c r="C89" i="36" s="1"/>
  <c r="C101" i="36" s="1"/>
  <c r="C113" i="36" s="1"/>
  <c r="C53" i="36"/>
  <c r="W40" i="35"/>
  <c r="V40" i="35"/>
  <c r="U40" i="35"/>
  <c r="T40" i="35"/>
  <c r="S40" i="35"/>
  <c r="S2" i="35"/>
  <c r="W127" i="36"/>
  <c r="Q127" i="36"/>
  <c r="P127" i="36"/>
  <c r="X125" i="36"/>
  <c r="N127" i="36"/>
  <c r="R52" i="35"/>
  <c r="R3" i="36"/>
  <c r="R4" i="36" s="1"/>
  <c r="Q52" i="35"/>
  <c r="X41" i="35"/>
  <c r="X52" i="35" s="1"/>
  <c r="O127" i="36"/>
  <c r="Q40" i="35"/>
  <c r="O3" i="36"/>
  <c r="K23" i="39" s="1"/>
  <c r="M3" i="36"/>
  <c r="G23" i="39" s="1"/>
  <c r="P3" i="36"/>
  <c r="M23" i="39" s="1"/>
  <c r="U3" i="36"/>
  <c r="W23" i="39" s="1"/>
  <c r="S3" i="36"/>
  <c r="S4" i="36" s="1"/>
  <c r="N3" i="36"/>
  <c r="I23" i="39" s="1"/>
  <c r="W16" i="35"/>
  <c r="W3" i="36"/>
  <c r="AA23" i="39" s="1"/>
  <c r="T3" i="36"/>
  <c r="U23" i="39" s="1"/>
  <c r="V3" i="36"/>
  <c r="Y23" i="39" s="1"/>
  <c r="L16" i="36"/>
  <c r="O21" i="39"/>
  <c r="O20" i="39" s="1"/>
  <c r="Q21" i="39"/>
  <c r="Q20" i="39" s="1"/>
  <c r="S21" i="39"/>
  <c r="S20" i="39" s="1"/>
  <c r="O23" i="39"/>
  <c r="M21" i="39"/>
  <c r="M20" i="39" s="1"/>
  <c r="N16" i="35"/>
  <c r="P28" i="35"/>
  <c r="Q4" i="36"/>
  <c r="X52" i="36"/>
  <c r="V16" i="35"/>
  <c r="R28" i="35"/>
  <c r="X28" i="36"/>
  <c r="P4" i="36"/>
  <c r="T2" i="36"/>
  <c r="N2" i="36"/>
  <c r="I21" i="39" s="1"/>
  <c r="I20" i="39" s="1"/>
  <c r="L2" i="36"/>
  <c r="L128" i="36"/>
  <c r="X8" i="36"/>
  <c r="X16" i="36" s="1"/>
  <c r="W2" i="36"/>
  <c r="V2" i="36"/>
  <c r="R128" i="36"/>
  <c r="O2" i="36"/>
  <c r="O128" i="36"/>
  <c r="U2" i="36"/>
  <c r="U128" i="36"/>
  <c r="M2" i="36"/>
  <c r="G21" i="39" s="1"/>
  <c r="G20" i="39" s="1"/>
  <c r="T28" i="35"/>
  <c r="U28" i="35"/>
  <c r="N28" i="35"/>
  <c r="V28" i="35"/>
  <c r="L28" i="35"/>
  <c r="Q3" i="35"/>
  <c r="O30" i="39" s="1"/>
  <c r="M28" i="35"/>
  <c r="O3" i="35"/>
  <c r="K30" i="39" s="1"/>
  <c r="O28" i="35"/>
  <c r="X20" i="35"/>
  <c r="S3" i="35"/>
  <c r="S30" i="39" s="1"/>
  <c r="Q28" i="35"/>
  <c r="Q2" i="35"/>
  <c r="X5" i="35"/>
  <c r="X14" i="35"/>
  <c r="U16" i="35"/>
  <c r="S16" i="35"/>
  <c r="R16" i="35"/>
  <c r="P16" i="35"/>
  <c r="O16" i="35"/>
  <c r="S28" i="35"/>
  <c r="X8" i="35"/>
  <c r="L16" i="35"/>
  <c r="T16" i="35"/>
  <c r="L52" i="35"/>
  <c r="X17" i="35"/>
  <c r="Q16" i="35"/>
  <c r="P40" i="35"/>
  <c r="M16" i="35"/>
  <c r="W28" i="35"/>
  <c r="C53" i="35" l="1"/>
  <c r="O91" i="35"/>
  <c r="O92" i="35"/>
  <c r="X40" i="35"/>
  <c r="Q23" i="39"/>
  <c r="S23" i="39"/>
  <c r="S24" i="39" s="1"/>
  <c r="U28" i="39"/>
  <c r="O28" i="39"/>
  <c r="O27" i="39" s="1"/>
  <c r="AA28" i="39"/>
  <c r="AA27" i="39" s="1"/>
  <c r="AA31" i="39" s="1"/>
  <c r="S28" i="39"/>
  <c r="S27" i="39" s="1"/>
  <c r="S31" i="39" s="1"/>
  <c r="E28" i="39"/>
  <c r="G24" i="39"/>
  <c r="Q24" i="39"/>
  <c r="M24" i="39"/>
  <c r="I24" i="39"/>
  <c r="U4" i="36"/>
  <c r="W21" i="39"/>
  <c r="W20" i="39" s="1"/>
  <c r="W4" i="36"/>
  <c r="AA21" i="39"/>
  <c r="AA20" i="39" s="1"/>
  <c r="O4" i="36"/>
  <c r="K21" i="39"/>
  <c r="K20" i="39" s="1"/>
  <c r="E21" i="39"/>
  <c r="V4" i="36"/>
  <c r="Y21" i="39"/>
  <c r="Y20" i="39" s="1"/>
  <c r="T4" i="36"/>
  <c r="U21" i="39"/>
  <c r="U20" i="39" s="1"/>
  <c r="O24" i="39"/>
  <c r="N4" i="36"/>
  <c r="M4" i="36"/>
  <c r="W4" i="35"/>
  <c r="L91" i="35"/>
  <c r="X16" i="35"/>
  <c r="R129" i="36"/>
  <c r="L3" i="35"/>
  <c r="E30" i="39" s="1"/>
  <c r="AC30" i="39" s="1"/>
  <c r="U129" i="36"/>
  <c r="L3" i="36"/>
  <c r="E23" i="39" s="1"/>
  <c r="X126" i="36"/>
  <c r="X2" i="36"/>
  <c r="X128" i="36"/>
  <c r="O129" i="36"/>
  <c r="Q4" i="35"/>
  <c r="T91" i="35"/>
  <c r="X28" i="35"/>
  <c r="T4" i="35"/>
  <c r="S4" i="35"/>
  <c r="Q91" i="35"/>
  <c r="S91" i="35"/>
  <c r="X90" i="35"/>
  <c r="R91" i="35"/>
  <c r="R2" i="35"/>
  <c r="R92" i="35"/>
  <c r="N2" i="35"/>
  <c r="N91" i="35"/>
  <c r="P91" i="35"/>
  <c r="P2" i="35"/>
  <c r="X89" i="35"/>
  <c r="U2" i="35"/>
  <c r="U91" i="35"/>
  <c r="U92" i="35"/>
  <c r="V2" i="35"/>
  <c r="V91" i="35"/>
  <c r="L92" i="35"/>
  <c r="O2" i="35"/>
  <c r="M2" i="35"/>
  <c r="M91" i="35"/>
  <c r="U27" i="39" l="1"/>
  <c r="U31" i="39" s="1"/>
  <c r="O31" i="39"/>
  <c r="N35" i="39"/>
  <c r="T35" i="39"/>
  <c r="Z35" i="39"/>
  <c r="R35" i="39"/>
  <c r="G28" i="39"/>
  <c r="G27" i="39" s="1"/>
  <c r="F35" i="39" s="1"/>
  <c r="K28" i="39"/>
  <c r="K27" i="39" s="1"/>
  <c r="K31" i="39" s="1"/>
  <c r="M28" i="39"/>
  <c r="M27" i="39" s="1"/>
  <c r="L35" i="39" s="1"/>
  <c r="Y28" i="39"/>
  <c r="Y27" i="39" s="1"/>
  <c r="Y31" i="39" s="1"/>
  <c r="Q28" i="39"/>
  <c r="Q27" i="39" s="1"/>
  <c r="P35" i="39" s="1"/>
  <c r="I28" i="39"/>
  <c r="I27" i="39" s="1"/>
  <c r="H35" i="39" s="1"/>
  <c r="W28" i="39"/>
  <c r="W27" i="39" s="1"/>
  <c r="W31" i="39" s="1"/>
  <c r="E27" i="39"/>
  <c r="Y24" i="39"/>
  <c r="W24" i="39"/>
  <c r="AA24" i="39"/>
  <c r="E20" i="39"/>
  <c r="AC21" i="39"/>
  <c r="U24" i="39"/>
  <c r="AC23" i="39"/>
  <c r="K24" i="39"/>
  <c r="R4" i="35"/>
  <c r="P4" i="35"/>
  <c r="N4" i="35"/>
  <c r="M4" i="35"/>
  <c r="U4" i="35"/>
  <c r="V4" i="35"/>
  <c r="X3" i="35"/>
  <c r="L4" i="35"/>
  <c r="X3" i="36"/>
  <c r="O4" i="35"/>
  <c r="L129" i="36"/>
  <c r="X127" i="36"/>
  <c r="L4" i="36"/>
  <c r="X4" i="36" s="1"/>
  <c r="L93" i="35"/>
  <c r="R93" i="35"/>
  <c r="X92" i="35"/>
  <c r="X2" i="35"/>
  <c r="O93" i="35"/>
  <c r="X91" i="35"/>
  <c r="U93" i="35"/>
  <c r="J35" i="39" l="1"/>
  <c r="D35" i="39"/>
  <c r="X129" i="36"/>
  <c r="V35" i="39"/>
  <c r="X35" i="39"/>
  <c r="AC28" i="39"/>
  <c r="I31" i="39"/>
  <c r="M31" i="39"/>
  <c r="Q31" i="39"/>
  <c r="G31" i="39"/>
  <c r="AC27" i="39"/>
  <c r="E31" i="39"/>
  <c r="AC20" i="39"/>
  <c r="E24" i="39"/>
  <c r="AC24" i="39" s="1"/>
  <c r="X4" i="35"/>
  <c r="X93" i="35"/>
  <c r="AC31" i="39" l="1"/>
  <c r="AC2" i="39"/>
  <c r="AB35" i="39"/>
  <c r="S155" i="14"/>
  <c r="T155" i="14"/>
  <c r="U155" i="14"/>
  <c r="V155" i="14"/>
  <c r="W162" i="14"/>
  <c r="W161" i="14"/>
  <c r="W160" i="14"/>
  <c r="W159" i="14"/>
  <c r="W158" i="14"/>
  <c r="W157" i="14"/>
  <c r="W156" i="14"/>
  <c r="A156" i="14"/>
  <c r="A157" i="14" s="1"/>
  <c r="A158" i="14" s="1"/>
  <c r="A159" i="14" s="1"/>
  <c r="A160" i="14" s="1"/>
  <c r="A161" i="14" s="1"/>
  <c r="A162" i="14" s="1"/>
  <c r="W155" i="14" l="1"/>
  <c r="Q3" i="14"/>
  <c r="W4" i="14"/>
  <c r="A140" i="14"/>
  <c r="A141" i="14" s="1"/>
  <c r="A142" i="14" s="1"/>
  <c r="A143" i="14" s="1"/>
  <c r="A144" i="14" s="1"/>
  <c r="A145" i="14" s="1"/>
  <c r="A146" i="14" s="1"/>
  <c r="A124" i="14"/>
  <c r="A125" i="14" s="1"/>
  <c r="A126" i="14" s="1"/>
  <c r="A127" i="14" s="1"/>
  <c r="A128" i="14" s="1"/>
  <c r="A129" i="14" s="1"/>
  <c r="A130" i="14" s="1"/>
  <c r="A148" i="14"/>
  <c r="A149" i="14" s="1"/>
  <c r="A150" i="14" s="1"/>
  <c r="A151" i="14" s="1"/>
  <c r="A152" i="14" s="1"/>
  <c r="A153" i="14" s="1"/>
  <c r="A154" i="14" s="1"/>
  <c r="A132" i="14"/>
  <c r="A133" i="14" s="1"/>
  <c r="A134" i="14" s="1"/>
  <c r="A135" i="14" s="1"/>
  <c r="A136" i="14" s="1"/>
  <c r="A137" i="14" s="1"/>
  <c r="A138" i="14" s="1"/>
  <c r="A116" i="14"/>
  <c r="A117" i="14" s="1"/>
  <c r="A118" i="14" s="1"/>
  <c r="A119" i="14" s="1"/>
  <c r="A120" i="14" s="1"/>
  <c r="A121" i="14" s="1"/>
  <c r="A122" i="14" s="1"/>
  <c r="A108" i="14"/>
  <c r="A109" i="14" s="1"/>
  <c r="A110" i="14" s="1"/>
  <c r="A111" i="14" s="1"/>
  <c r="A112" i="14" s="1"/>
  <c r="A113" i="14" s="1"/>
  <c r="A114" i="14" s="1"/>
  <c r="A100" i="14"/>
  <c r="A101" i="14" s="1"/>
  <c r="A102" i="14" s="1"/>
  <c r="A103" i="14" s="1"/>
  <c r="A104" i="14" s="1"/>
  <c r="A105" i="14" s="1"/>
  <c r="A106" i="14" s="1"/>
  <c r="A92" i="14"/>
  <c r="A93" i="14" s="1"/>
  <c r="A94" i="14" s="1"/>
  <c r="A95" i="14" s="1"/>
  <c r="A96" i="14" s="1"/>
  <c r="A97" i="14" s="1"/>
  <c r="A98" i="14" s="1"/>
  <c r="A84" i="14"/>
  <c r="A85" i="14" s="1"/>
  <c r="A86" i="14" s="1"/>
  <c r="A87" i="14" s="1"/>
  <c r="A88" i="14" s="1"/>
  <c r="A89" i="14" s="1"/>
  <c r="A90" i="14" s="1"/>
  <c r="A76" i="14"/>
  <c r="A77" i="14" s="1"/>
  <c r="A78" i="14" s="1"/>
  <c r="A79" i="14" s="1"/>
  <c r="A80" i="14" s="1"/>
  <c r="A81" i="14" s="1"/>
  <c r="A82" i="14" s="1"/>
  <c r="A68" i="14"/>
  <c r="A69" i="14" s="1"/>
  <c r="A70" i="14" s="1"/>
  <c r="A71" i="14" s="1"/>
  <c r="A72" i="14" s="1"/>
  <c r="A73" i="14" s="1"/>
  <c r="A74" i="14" s="1"/>
  <c r="A60" i="14"/>
  <c r="A61" i="14" s="1"/>
  <c r="A62" i="14" s="1"/>
  <c r="A63" i="14" s="1"/>
  <c r="A64" i="14" s="1"/>
  <c r="A65" i="14" s="1"/>
  <c r="A66" i="14" s="1"/>
  <c r="A52" i="14"/>
  <c r="A53" i="14" s="1"/>
  <c r="A54" i="14" s="1"/>
  <c r="A55" i="14" s="1"/>
  <c r="A56" i="14" s="1"/>
  <c r="A57" i="14" s="1"/>
  <c r="A58" i="14" s="1"/>
  <c r="A44" i="14"/>
  <c r="A45" i="14" s="1"/>
  <c r="A46" i="14" s="1"/>
  <c r="A47" i="14" s="1"/>
  <c r="A48" i="14" s="1"/>
  <c r="A49" i="14" s="1"/>
  <c r="A50" i="14" s="1"/>
  <c r="A36" i="14"/>
  <c r="A37" i="14" s="1"/>
  <c r="A38" i="14" s="1"/>
  <c r="A39" i="14" s="1"/>
  <c r="A40" i="14" s="1"/>
  <c r="A41" i="14" s="1"/>
  <c r="A42" i="14" s="1"/>
  <c r="A28" i="14"/>
  <c r="A29" i="14" s="1"/>
  <c r="A30" i="14" s="1"/>
  <c r="A31" i="14" s="1"/>
  <c r="A32" i="14" s="1"/>
  <c r="A33" i="14" s="1"/>
  <c r="A34" i="14" s="1"/>
  <c r="A20" i="14"/>
  <c r="A21" i="14" s="1"/>
  <c r="A22" i="14" s="1"/>
  <c r="A23" i="14" s="1"/>
  <c r="A24" i="14" s="1"/>
  <c r="A25" i="14" s="1"/>
  <c r="A26" i="14" s="1"/>
  <c r="A12" i="14"/>
  <c r="A13" i="14" s="1"/>
  <c r="A14" i="14" s="1"/>
  <c r="A15" i="14" s="1"/>
  <c r="A16" i="14" s="1"/>
  <c r="A17" i="14" s="1"/>
  <c r="A18" i="14" s="1"/>
  <c r="A4" i="14"/>
  <c r="A5" i="14" s="1"/>
  <c r="A6" i="14" s="1"/>
  <c r="A7" i="14" s="1"/>
  <c r="A8" i="14" s="1"/>
  <c r="A9" i="14" s="1"/>
  <c r="A10" i="14" s="1"/>
  <c r="Q11" i="14"/>
  <c r="Q19" i="14"/>
  <c r="Q27" i="14"/>
  <c r="S139" i="14"/>
  <c r="T139" i="14"/>
  <c r="U139" i="14"/>
  <c r="V139" i="14"/>
  <c r="Q3" i="25"/>
  <c r="Q11" i="25"/>
  <c r="A12" i="25"/>
  <c r="A13" i="25" s="1"/>
  <c r="A14" i="25" s="1"/>
  <c r="A15" i="25" s="1"/>
  <c r="A16" i="25" s="1"/>
  <c r="A17" i="25" s="1"/>
  <c r="A18" i="25" s="1"/>
  <c r="A4" i="25"/>
  <c r="A5" i="25" s="1"/>
  <c r="A6" i="25" s="1"/>
  <c r="A7" i="25" s="1"/>
  <c r="A8" i="25" s="1"/>
  <c r="A9" i="25" s="1"/>
  <c r="A10" i="25" s="1"/>
  <c r="S43" i="14"/>
  <c r="T43" i="14"/>
  <c r="W154" i="14"/>
  <c r="W153" i="14"/>
  <c r="W152" i="14"/>
  <c r="W151" i="14"/>
  <c r="W150" i="14"/>
  <c r="W149" i="14"/>
  <c r="W148" i="14"/>
  <c r="V147" i="14"/>
  <c r="U147" i="14"/>
  <c r="T147" i="14"/>
  <c r="S147" i="14"/>
  <c r="W146" i="14"/>
  <c r="W145" i="14"/>
  <c r="W144" i="14"/>
  <c r="W143" i="14"/>
  <c r="W142" i="14"/>
  <c r="W141" i="14"/>
  <c r="W140" i="14"/>
  <c r="W138" i="14"/>
  <c r="W137" i="14"/>
  <c r="W136" i="14"/>
  <c r="W135" i="14"/>
  <c r="W134" i="14"/>
  <c r="W133" i="14"/>
  <c r="W132" i="14"/>
  <c r="V131" i="14"/>
  <c r="U131" i="14"/>
  <c r="T131" i="14"/>
  <c r="S131" i="14"/>
  <c r="W130" i="14"/>
  <c r="W129" i="14"/>
  <c r="W128" i="14"/>
  <c r="W127" i="14"/>
  <c r="W126" i="14"/>
  <c r="W125" i="14"/>
  <c r="W124" i="14"/>
  <c r="V123" i="14"/>
  <c r="U123" i="14"/>
  <c r="T123" i="14"/>
  <c r="S123" i="14"/>
  <c r="V115" i="14"/>
  <c r="U115" i="14"/>
  <c r="T115" i="14"/>
  <c r="S115" i="14"/>
  <c r="W114" i="14"/>
  <c r="W113" i="14"/>
  <c r="W112" i="14"/>
  <c r="W111" i="14"/>
  <c r="W110" i="14"/>
  <c r="W109" i="14"/>
  <c r="W108" i="14"/>
  <c r="V107" i="14"/>
  <c r="U107" i="14"/>
  <c r="T107" i="14"/>
  <c r="S107" i="14"/>
  <c r="W106" i="14"/>
  <c r="W105" i="14"/>
  <c r="W104" i="14"/>
  <c r="W103" i="14"/>
  <c r="W102" i="14"/>
  <c r="W101" i="14"/>
  <c r="W100" i="14"/>
  <c r="V99" i="14"/>
  <c r="U99" i="14"/>
  <c r="T99" i="14"/>
  <c r="S99" i="14"/>
  <c r="W98" i="14"/>
  <c r="W97" i="14"/>
  <c r="W96" i="14"/>
  <c r="W95" i="14"/>
  <c r="W94" i="14"/>
  <c r="W93" i="14"/>
  <c r="W92" i="14"/>
  <c r="V91" i="14"/>
  <c r="U91" i="14"/>
  <c r="T91" i="14"/>
  <c r="S91" i="14"/>
  <c r="W90" i="14"/>
  <c r="W89" i="14"/>
  <c r="W88" i="14"/>
  <c r="W87" i="14"/>
  <c r="W86" i="14"/>
  <c r="W85" i="14"/>
  <c r="W84" i="14"/>
  <c r="V83" i="14"/>
  <c r="U83" i="14"/>
  <c r="T83" i="14"/>
  <c r="S83" i="14"/>
  <c r="W82" i="14"/>
  <c r="W81" i="14"/>
  <c r="W80" i="14"/>
  <c r="W79" i="14"/>
  <c r="W78" i="14"/>
  <c r="W77" i="14"/>
  <c r="W76" i="14"/>
  <c r="V75" i="14"/>
  <c r="U75" i="14"/>
  <c r="T75" i="14"/>
  <c r="S75" i="14"/>
  <c r="W74" i="14"/>
  <c r="W73" i="14"/>
  <c r="W72" i="14"/>
  <c r="W71" i="14"/>
  <c r="W70" i="14"/>
  <c r="W69" i="14"/>
  <c r="W68" i="14"/>
  <c r="V67" i="14"/>
  <c r="U67" i="14"/>
  <c r="T67" i="14"/>
  <c r="S67" i="14"/>
  <c r="W66" i="14"/>
  <c r="W65" i="14"/>
  <c r="W64" i="14"/>
  <c r="W63" i="14"/>
  <c r="W62" i="14"/>
  <c r="W61" i="14"/>
  <c r="W60" i="14"/>
  <c r="V59" i="14"/>
  <c r="U59" i="14"/>
  <c r="T59" i="14"/>
  <c r="S59" i="14"/>
  <c r="W58" i="14"/>
  <c r="W57" i="14"/>
  <c r="W56" i="14"/>
  <c r="W55" i="14"/>
  <c r="W54" i="14"/>
  <c r="W53" i="14"/>
  <c r="W52" i="14"/>
  <c r="V51" i="14"/>
  <c r="U51" i="14"/>
  <c r="T51" i="14"/>
  <c r="S51" i="14"/>
  <c r="C3" i="14"/>
  <c r="J51" i="25"/>
  <c r="W18" i="25"/>
  <c r="W17" i="25"/>
  <c r="W16" i="25"/>
  <c r="W15" i="25"/>
  <c r="W14" i="25"/>
  <c r="N11" i="25"/>
  <c r="W12" i="25"/>
  <c r="V11" i="25"/>
  <c r="V51" i="25" s="1"/>
  <c r="U11" i="25"/>
  <c r="T11" i="25"/>
  <c r="S11" i="25"/>
  <c r="R11" i="25"/>
  <c r="P11" i="25"/>
  <c r="O11" i="25"/>
  <c r="M11" i="25"/>
  <c r="L11" i="25"/>
  <c r="K11" i="25"/>
  <c r="W10" i="25"/>
  <c r="W9" i="25"/>
  <c r="W8" i="25"/>
  <c r="W7" i="25"/>
  <c r="W6" i="25"/>
  <c r="W5" i="25"/>
  <c r="P3" i="25"/>
  <c r="K3" i="25"/>
  <c r="W4" i="25"/>
  <c r="V3" i="25"/>
  <c r="U3" i="25"/>
  <c r="T3" i="25"/>
  <c r="S3" i="25"/>
  <c r="S51" i="25" s="1"/>
  <c r="R3" i="25"/>
  <c r="O3" i="25"/>
  <c r="N3" i="25"/>
  <c r="M3" i="25"/>
  <c r="L3" i="25"/>
  <c r="C11" i="25"/>
  <c r="W13" i="25"/>
  <c r="W50" i="14"/>
  <c r="W49" i="14"/>
  <c r="W48" i="14"/>
  <c r="W47" i="14"/>
  <c r="W46" i="14"/>
  <c r="W45" i="14"/>
  <c r="W44" i="14"/>
  <c r="V43" i="14"/>
  <c r="U43" i="14"/>
  <c r="W42" i="14"/>
  <c r="W41" i="14"/>
  <c r="W40" i="14"/>
  <c r="W39" i="14"/>
  <c r="W38" i="14"/>
  <c r="W37" i="14"/>
  <c r="W36" i="14"/>
  <c r="V35" i="14"/>
  <c r="U35" i="14"/>
  <c r="T35" i="14"/>
  <c r="S35" i="14"/>
  <c r="V27" i="14"/>
  <c r="U27" i="14"/>
  <c r="T27" i="14"/>
  <c r="S27" i="14"/>
  <c r="R27" i="14"/>
  <c r="P27" i="14"/>
  <c r="O27" i="14"/>
  <c r="N27" i="14"/>
  <c r="M27" i="14"/>
  <c r="L27" i="14"/>
  <c r="J275" i="14"/>
  <c r="L11" i="14"/>
  <c r="M11" i="14"/>
  <c r="N11" i="14"/>
  <c r="W26" i="14"/>
  <c r="W25" i="14"/>
  <c r="W24" i="14"/>
  <c r="W23" i="14"/>
  <c r="W22" i="14"/>
  <c r="W21" i="14"/>
  <c r="W20" i="14"/>
  <c r="V19" i="14"/>
  <c r="U19" i="14"/>
  <c r="T19" i="14"/>
  <c r="S19" i="14"/>
  <c r="R19" i="14"/>
  <c r="P19" i="14"/>
  <c r="O19" i="14"/>
  <c r="N19" i="14"/>
  <c r="M19" i="14"/>
  <c r="L19" i="14"/>
  <c r="V3" i="14"/>
  <c r="U3" i="14"/>
  <c r="T3" i="14"/>
  <c r="S3" i="14"/>
  <c r="R3" i="14"/>
  <c r="P3" i="14"/>
  <c r="O3" i="14"/>
  <c r="O275" i="14" s="1"/>
  <c r="N3" i="14"/>
  <c r="N275" i="14" s="1"/>
  <c r="M3" i="14"/>
  <c r="L3" i="14"/>
  <c r="W18" i="14"/>
  <c r="W17" i="14"/>
  <c r="W16" i="14"/>
  <c r="W15" i="14"/>
  <c r="W14" i="14"/>
  <c r="W13" i="14"/>
  <c r="W12" i="14"/>
  <c r="V11" i="14"/>
  <c r="U11" i="14"/>
  <c r="T11" i="14"/>
  <c r="S11" i="14"/>
  <c r="R11" i="14"/>
  <c r="P11" i="14"/>
  <c r="O11" i="14"/>
  <c r="W122" i="14"/>
  <c r="W121" i="14"/>
  <c r="W120" i="14"/>
  <c r="W119" i="14"/>
  <c r="W118" i="14"/>
  <c r="W117" i="14"/>
  <c r="W116" i="14"/>
  <c r="W10" i="14"/>
  <c r="W9" i="14"/>
  <c r="W8" i="14"/>
  <c r="W7" i="14"/>
  <c r="W6" i="14"/>
  <c r="W5" i="14"/>
  <c r="S275" i="14" l="1"/>
  <c r="S2" i="14" s="1"/>
  <c r="T275" i="14"/>
  <c r="T2" i="14" s="1"/>
  <c r="V275" i="14"/>
  <c r="P275" i="14"/>
  <c r="L275" i="14"/>
  <c r="Q275" i="14"/>
  <c r="Q2" i="14" s="1"/>
  <c r="R275" i="14"/>
  <c r="C11" i="14"/>
  <c r="C19" i="14" s="1"/>
  <c r="C27" i="14" s="1"/>
  <c r="C35" i="14" s="1"/>
  <c r="C43" i="14" s="1"/>
  <c r="C51" i="14" s="1"/>
  <c r="C59" i="14" s="1"/>
  <c r="C67" i="14" s="1"/>
  <c r="C75" i="14" s="1"/>
  <c r="C83" i="14" s="1"/>
  <c r="C91" i="14" s="1"/>
  <c r="C99" i="14" s="1"/>
  <c r="C107" i="14" s="1"/>
  <c r="C115" i="14" s="1"/>
  <c r="C123" i="14" s="1"/>
  <c r="C131" i="14" s="1"/>
  <c r="C139" i="14" s="1"/>
  <c r="C147" i="14" s="1"/>
  <c r="C155" i="14" s="1"/>
  <c r="C163" i="14" s="1"/>
  <c r="C171" i="14" s="1"/>
  <c r="C179" i="14" s="1"/>
  <c r="C187" i="14" s="1"/>
  <c r="C195" i="14" s="1"/>
  <c r="C203" i="14" s="1"/>
  <c r="C211" i="14" s="1"/>
  <c r="C219" i="14" s="1"/>
  <c r="C227" i="14" s="1"/>
  <c r="C235" i="14" s="1"/>
  <c r="M275" i="14"/>
  <c r="M2" i="14" s="1"/>
  <c r="I16" i="39" s="1"/>
  <c r="U51" i="25"/>
  <c r="U2" i="25" s="1"/>
  <c r="U275" i="14"/>
  <c r="U2" i="14" s="1"/>
  <c r="P2" i="14"/>
  <c r="O2" i="14"/>
  <c r="N2" i="14"/>
  <c r="L2" i="14"/>
  <c r="T51" i="25"/>
  <c r="T2" i="25" s="1"/>
  <c r="R2" i="25"/>
  <c r="C19" i="25"/>
  <c r="M2" i="25"/>
  <c r="I15" i="39" s="1"/>
  <c r="V2" i="14"/>
  <c r="S2" i="25"/>
  <c r="N2" i="25"/>
  <c r="O2" i="25"/>
  <c r="M15" i="39" s="1"/>
  <c r="P2" i="25"/>
  <c r="V2" i="25"/>
  <c r="W11" i="25"/>
  <c r="W43" i="14"/>
  <c r="W115" i="14"/>
  <c r="W123" i="14"/>
  <c r="W59" i="14"/>
  <c r="W107" i="14"/>
  <c r="W91" i="14"/>
  <c r="W51" i="14"/>
  <c r="W3" i="25"/>
  <c r="W147" i="14"/>
  <c r="W131" i="14"/>
  <c r="W99" i="14"/>
  <c r="W67" i="14"/>
  <c r="W3" i="14"/>
  <c r="W11" i="14"/>
  <c r="W19" i="14"/>
  <c r="W35" i="14"/>
  <c r="W75" i="14"/>
  <c r="W139" i="14"/>
  <c r="W27" i="14"/>
  <c r="W83" i="14"/>
  <c r="C243" i="14" l="1"/>
  <c r="C259" i="14" s="1"/>
  <c r="C267" i="14" s="1"/>
  <c r="C251" i="14"/>
  <c r="W51" i="25"/>
  <c r="Q2" i="25"/>
  <c r="Q15" i="39" s="1"/>
  <c r="W275" i="14"/>
  <c r="R2" i="14"/>
  <c r="K2" i="25"/>
  <c r="L2" i="25"/>
  <c r="I14" i="39"/>
  <c r="I17" i="39" s="1"/>
  <c r="S15" i="39"/>
  <c r="Y15" i="39"/>
  <c r="AA15" i="39"/>
  <c r="O15" i="39"/>
  <c r="W15" i="39"/>
  <c r="K15" i="39"/>
  <c r="U15" i="39"/>
  <c r="G16" i="39"/>
  <c r="O16" i="39"/>
  <c r="M16" i="39"/>
  <c r="M14" i="39" s="1"/>
  <c r="Y16" i="39"/>
  <c r="U16" i="39"/>
  <c r="W16" i="39"/>
  <c r="Q16" i="39"/>
  <c r="K16" i="39"/>
  <c r="AA16" i="39"/>
  <c r="W2" i="14" l="1"/>
  <c r="S16" i="39"/>
  <c r="S14" i="39" s="1"/>
  <c r="S3" i="39" s="1"/>
  <c r="S4" i="39" s="1"/>
  <c r="Y2" i="25"/>
  <c r="W2" i="25"/>
  <c r="W14" i="39"/>
  <c r="W17" i="39" s="1"/>
  <c r="M3" i="39"/>
  <c r="M4" i="39" s="1"/>
  <c r="L36" i="39"/>
  <c r="L37" i="39" s="1"/>
  <c r="G15" i="39"/>
  <c r="G14" i="39" s="1"/>
  <c r="Y14" i="39"/>
  <c r="Y17" i="39" s="1"/>
  <c r="I3" i="39"/>
  <c r="I4" i="39" s="1"/>
  <c r="H36" i="39"/>
  <c r="H37" i="39" s="1"/>
  <c r="Q14" i="39"/>
  <c r="P36" i="39" s="1"/>
  <c r="AA14" i="39"/>
  <c r="U14" i="39"/>
  <c r="O14" i="39"/>
  <c r="E16" i="39"/>
  <c r="E14" i="39" s="1"/>
  <c r="K14" i="39"/>
  <c r="M17" i="39"/>
  <c r="Y2" i="14"/>
  <c r="S17" i="39" l="1"/>
  <c r="R36" i="39"/>
  <c r="R37" i="39" s="1"/>
  <c r="E3" i="39"/>
  <c r="E4" i="39" s="1"/>
  <c r="D36" i="39"/>
  <c r="D37" i="39" s="1"/>
  <c r="AC15" i="39"/>
  <c r="G3" i="39"/>
  <c r="G4" i="39" s="1"/>
  <c r="F36" i="39"/>
  <c r="F37" i="39" s="1"/>
  <c r="G17" i="39"/>
  <c r="AA3" i="39"/>
  <c r="AA4" i="39" s="1"/>
  <c r="Z36" i="39"/>
  <c r="Z37" i="39" s="1"/>
  <c r="U17" i="39"/>
  <c r="T36" i="39"/>
  <c r="T37" i="39" s="1"/>
  <c r="O3" i="39"/>
  <c r="O4" i="39" s="1"/>
  <c r="N36" i="39"/>
  <c r="N37" i="39" s="1"/>
  <c r="K3" i="39"/>
  <c r="J36" i="39"/>
  <c r="O17" i="39"/>
  <c r="Y3" i="39"/>
  <c r="Y4" i="39" s="1"/>
  <c r="X36" i="39"/>
  <c r="X37" i="39" s="1"/>
  <c r="W3" i="39"/>
  <c r="W4" i="39" s="1"/>
  <c r="V36" i="39"/>
  <c r="V37" i="39" s="1"/>
  <c r="AA17" i="39"/>
  <c r="U3" i="39"/>
  <c r="U4" i="39" s="1"/>
  <c r="Q17" i="39"/>
  <c r="Q3" i="39"/>
  <c r="Q4" i="39" s="1"/>
  <c r="P37" i="39"/>
  <c r="AC16" i="39"/>
  <c r="E17" i="39"/>
  <c r="K17" i="39"/>
  <c r="AC14" i="39"/>
  <c r="AC17" i="39" l="1"/>
  <c r="J37" i="39"/>
  <c r="AB37" i="39" s="1"/>
  <c r="AB36" i="39"/>
  <c r="K4" i="39"/>
  <c r="AC4" i="39" s="1"/>
  <c r="AC3" i="39"/>
  <c r="W33" i="14" l="1"/>
  <c r="W29" i="14"/>
  <c r="W34" i="14"/>
  <c r="W32" i="14"/>
  <c r="W31" i="14"/>
  <c r="W30" i="14"/>
  <c r="W28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9" authorId="0" shapeId="0" xr:uid="{991A1B63-9849-4E70-9D97-3B5BB7D1BF78}">
      <text>
        <r>
          <rPr>
            <sz val="9"/>
            <color indexed="81"/>
            <rFont val="MS P ゴシック"/>
            <family val="3"/>
            <charset val="128"/>
          </rPr>
          <t>東京、神奈川、立川千葉離島ｴﾘｱ</t>
        </r>
      </text>
    </comment>
    <comment ref="B10" authorId="0" shapeId="0" xr:uid="{19CF9436-222D-4FD0-ADD3-63CBED9E0CB4}">
      <text>
        <r>
          <rPr>
            <sz val="9"/>
            <color indexed="81"/>
            <rFont val="MS P ゴシック"/>
            <family val="3"/>
            <charset val="128"/>
          </rPr>
          <t>東京、神奈川ｴﾘｱ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28" authorId="0" shapeId="0" xr:uid="{DEF89823-C9CD-46EB-9A07-25805C30B58C}">
      <text>
        <r>
          <rPr>
            <sz val="9"/>
            <color indexed="81"/>
            <rFont val="游ゴシック"/>
            <family val="3"/>
            <charset val="128"/>
          </rPr>
          <t>休職</t>
        </r>
      </text>
    </comment>
    <comment ref="O28" authorId="0" shapeId="0" xr:uid="{B92F9E38-2821-4DE0-BC2B-D8D2B70E698E}">
      <text>
        <r>
          <rPr>
            <sz val="9"/>
            <color indexed="81"/>
            <rFont val="游ゴシック"/>
            <family val="3"/>
            <charset val="128"/>
          </rPr>
          <t>休職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M116" authorId="0" shapeId="0" xr:uid="{577C33D8-1888-4B1B-93FD-00B998820009}">
      <text>
        <r>
          <rPr>
            <sz val="9"/>
            <color indexed="81"/>
            <rFont val="游ゴシック"/>
            <family val="3"/>
            <charset val="128"/>
          </rPr>
          <t>休職</t>
        </r>
      </text>
    </comment>
    <comment ref="N116" authorId="0" shapeId="0" xr:uid="{23F2504F-0035-4578-B912-C8918CEF0134}">
      <text>
        <r>
          <rPr>
            <sz val="9"/>
            <color indexed="81"/>
            <rFont val="游ゴシック"/>
            <family val="3"/>
            <charset val="128"/>
          </rPr>
          <t>休職</t>
        </r>
      </text>
    </comment>
    <comment ref="Q187" authorId="0" shapeId="0" xr:uid="{017CD873-6DA3-4CDD-8450-8E411CDF3B29}">
      <text>
        <r>
          <rPr>
            <sz val="9"/>
            <color indexed="81"/>
            <rFont val="MS P ゴシック"/>
            <family val="3"/>
            <charset val="128"/>
          </rPr>
          <t>東陽テクニカ勤務分控除</t>
        </r>
      </text>
    </comment>
    <comment ref="S187" authorId="0" shapeId="0" xr:uid="{BB9AD5F1-9EA4-4A8C-AFAE-11FD0B8393F5}">
      <text>
        <r>
          <rPr>
            <sz val="9"/>
            <color indexed="81"/>
            <rFont val="MS P ゴシック"/>
            <family val="3"/>
            <charset val="128"/>
          </rPr>
          <t>東陽テクニカ勤務分控除</t>
        </r>
      </text>
    </comment>
    <comment ref="T213" authorId="0" shapeId="0" xr:uid="{4F2F43E8-FFD9-4BDD-B157-90FDEDF72DC4}">
      <text>
        <r>
          <rPr>
            <sz val="9"/>
            <color indexed="81"/>
            <rFont val="MS P ゴシック"/>
            <family val="3"/>
            <charset val="128"/>
          </rPr>
          <t>経費申請なし</t>
        </r>
      </text>
    </comment>
    <comment ref="U213" authorId="0" shapeId="0" xr:uid="{2B137187-DF41-4800-966B-CA11226BC9EC}">
      <text>
        <r>
          <rPr>
            <sz val="9"/>
            <color indexed="81"/>
            <rFont val="MS P ゴシック"/>
            <family val="3"/>
            <charset val="128"/>
          </rPr>
          <t>経費申請なし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101" authorId="0" shapeId="0" xr:uid="{E2AFF475-3452-451C-877D-7714F159E035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4月から単価：450,000</t>
        </r>
      </text>
    </comment>
  </commentList>
</comments>
</file>

<file path=xl/sharedStrings.xml><?xml version="1.0" encoding="utf-8"?>
<sst xmlns="http://schemas.openxmlformats.org/spreadsheetml/2006/main" count="878" uniqueCount="120">
  <si>
    <t>No</t>
    <phoneticPr fontId="4"/>
  </si>
  <si>
    <t>派遣/請負</t>
    <rPh sb="0" eb="2">
      <t>ハケン</t>
    </rPh>
    <rPh sb="3" eb="5">
      <t>ウケオイ</t>
    </rPh>
    <phoneticPr fontId="4"/>
  </si>
  <si>
    <t>担当</t>
    <rPh sb="0" eb="2">
      <t>タントウ</t>
    </rPh>
    <phoneticPr fontId="4"/>
  </si>
  <si>
    <t>氏名</t>
    <rPh sb="0" eb="2">
      <t>シメイ</t>
    </rPh>
    <phoneticPr fontId="4"/>
  </si>
  <si>
    <t>作業名</t>
    <rPh sb="0" eb="2">
      <t>サギョウ</t>
    </rPh>
    <rPh sb="2" eb="3">
      <t>メイ</t>
    </rPh>
    <phoneticPr fontId="4"/>
  </si>
  <si>
    <t>契約先</t>
    <rPh sb="0" eb="2">
      <t>ケイヤク</t>
    </rPh>
    <rPh sb="2" eb="3">
      <t>サキ</t>
    </rPh>
    <phoneticPr fontId="4"/>
  </si>
  <si>
    <t>外注会社</t>
    <rPh sb="0" eb="2">
      <t>ガイチュウ</t>
    </rPh>
    <rPh sb="2" eb="4">
      <t>ガイシャ</t>
    </rPh>
    <phoneticPr fontId="4"/>
  </si>
  <si>
    <t>売上単価
(支払単価）
【≒粗利】</t>
    <rPh sb="0" eb="2">
      <t>ウリアゲ</t>
    </rPh>
    <rPh sb="2" eb="4">
      <t>タンカ</t>
    </rPh>
    <rPh sb="6" eb="8">
      <t>シハラ</t>
    </rPh>
    <rPh sb="8" eb="10">
      <t>タンカ</t>
    </rPh>
    <phoneticPr fontId="4"/>
  </si>
  <si>
    <t>4月</t>
    <rPh sb="1" eb="2">
      <t>ガツ</t>
    </rPh>
    <phoneticPr fontId="4"/>
  </si>
  <si>
    <t>5月</t>
    <rPh sb="1" eb="2">
      <t>ガツ</t>
    </rPh>
    <phoneticPr fontId="4"/>
  </si>
  <si>
    <t>6月</t>
    <rPh sb="1" eb="2">
      <t>ガツ</t>
    </rPh>
    <phoneticPr fontId="4"/>
  </si>
  <si>
    <t>7月</t>
    <rPh sb="1" eb="2">
      <t>ガツ</t>
    </rPh>
    <phoneticPr fontId="4"/>
  </si>
  <si>
    <t>8月</t>
    <rPh sb="1" eb="2">
      <t>ガツ</t>
    </rPh>
    <phoneticPr fontId="4"/>
  </si>
  <si>
    <t>9月</t>
    <rPh sb="1" eb="2">
      <t>ガツ</t>
    </rPh>
    <phoneticPr fontId="4"/>
  </si>
  <si>
    <t>10月</t>
    <rPh sb="2" eb="3">
      <t>ガツ</t>
    </rPh>
    <phoneticPr fontId="4"/>
  </si>
  <si>
    <t>11月</t>
    <rPh sb="2" eb="3">
      <t>ガツ</t>
    </rPh>
    <phoneticPr fontId="4"/>
  </si>
  <si>
    <t>12月</t>
    <rPh sb="2" eb="3">
      <t>ガツ</t>
    </rPh>
    <phoneticPr fontId="4"/>
  </si>
  <si>
    <t>1月</t>
    <rPh sb="1" eb="2">
      <t>ガツ</t>
    </rPh>
    <phoneticPr fontId="4"/>
  </si>
  <si>
    <t>2月</t>
    <rPh sb="1" eb="2">
      <t>ガツ</t>
    </rPh>
    <phoneticPr fontId="4"/>
  </si>
  <si>
    <t>3月</t>
    <rPh sb="1" eb="2">
      <t>ガツ</t>
    </rPh>
    <phoneticPr fontId="4"/>
  </si>
  <si>
    <t>合計</t>
    <rPh sb="0" eb="2">
      <t>ゴウケイ</t>
    </rPh>
    <phoneticPr fontId="4"/>
  </si>
  <si>
    <t>売上</t>
    <rPh sb="0" eb="2">
      <t>ウリアゲ</t>
    </rPh>
    <phoneticPr fontId="2"/>
  </si>
  <si>
    <t>仕入</t>
    <rPh sb="0" eb="2">
      <t>シイレ</t>
    </rPh>
    <phoneticPr fontId="2"/>
  </si>
  <si>
    <t>粗利</t>
    <rPh sb="0" eb="2">
      <t>アラリ</t>
    </rPh>
    <phoneticPr fontId="2"/>
  </si>
  <si>
    <t>総経費</t>
    <rPh sb="0" eb="1">
      <t>ソウ</t>
    </rPh>
    <rPh sb="1" eb="3">
      <t>ケイヒ</t>
    </rPh>
    <phoneticPr fontId="4"/>
  </si>
  <si>
    <t>賃金</t>
    <rPh sb="0" eb="2">
      <t>チンギン</t>
    </rPh>
    <phoneticPr fontId="4"/>
  </si>
  <si>
    <t>健康保険</t>
    <rPh sb="0" eb="2">
      <t>ケンコウ</t>
    </rPh>
    <rPh sb="2" eb="4">
      <t>ホケン</t>
    </rPh>
    <phoneticPr fontId="4"/>
  </si>
  <si>
    <t>厚生年金</t>
    <rPh sb="0" eb="2">
      <t>コウセイ</t>
    </rPh>
    <rPh sb="2" eb="4">
      <t>ネンキン</t>
    </rPh>
    <phoneticPr fontId="4"/>
  </si>
  <si>
    <t>労災保険</t>
    <rPh sb="0" eb="2">
      <t>ロウサイ</t>
    </rPh>
    <rPh sb="2" eb="4">
      <t>ホケン</t>
    </rPh>
    <phoneticPr fontId="4"/>
  </si>
  <si>
    <t>雇用保険</t>
    <rPh sb="0" eb="2">
      <t>コヨウ</t>
    </rPh>
    <rPh sb="2" eb="4">
      <t>ホケン</t>
    </rPh>
    <phoneticPr fontId="4"/>
  </si>
  <si>
    <t>交通費その他</t>
    <rPh sb="0" eb="3">
      <t>コウツウヒ</t>
    </rPh>
    <rPh sb="5" eb="6">
      <t>タ</t>
    </rPh>
    <phoneticPr fontId="4"/>
  </si>
  <si>
    <t>社員</t>
    <rPh sb="0" eb="2">
      <t>シャイン</t>
    </rPh>
    <phoneticPr fontId="4"/>
  </si>
  <si>
    <t>社員番号</t>
    <rPh sb="0" eb="2">
      <t>シャイン</t>
    </rPh>
    <rPh sb="2" eb="4">
      <t>バンゴウ</t>
    </rPh>
    <phoneticPr fontId="2"/>
  </si>
  <si>
    <t>氏名</t>
    <rPh sb="0" eb="2">
      <t>シメイ</t>
    </rPh>
    <phoneticPr fontId="2"/>
  </si>
  <si>
    <t>DELL委託（八丁堀）</t>
    <rPh sb="4" eb="6">
      <t>イタク</t>
    </rPh>
    <rPh sb="7" eb="10">
      <t>ハッチョウボリ</t>
    </rPh>
    <phoneticPr fontId="2"/>
  </si>
  <si>
    <t>人件費合計</t>
    <rPh sb="0" eb="3">
      <t>ジンケンヒ</t>
    </rPh>
    <rPh sb="3" eb="5">
      <t>ゴウケイ</t>
    </rPh>
    <phoneticPr fontId="2"/>
  </si>
  <si>
    <t>通勤定期代</t>
    <rPh sb="0" eb="2">
      <t>ツウキン</t>
    </rPh>
    <rPh sb="2" eb="5">
      <t>テイキダイ</t>
    </rPh>
    <phoneticPr fontId="4"/>
  </si>
  <si>
    <t>顧客対応当番</t>
    <rPh sb="0" eb="4">
      <t>コキャクタイオウ</t>
    </rPh>
    <rPh sb="4" eb="6">
      <t>トウバン</t>
    </rPh>
    <phoneticPr fontId="4"/>
  </si>
  <si>
    <t>交通費</t>
    <rPh sb="0" eb="3">
      <t>コウツウヒ</t>
    </rPh>
    <phoneticPr fontId="4"/>
  </si>
  <si>
    <t>DELL委託（DPT）</t>
    <rPh sb="4" eb="6">
      <t>イタク</t>
    </rPh>
    <phoneticPr fontId="2"/>
  </si>
  <si>
    <t>DSD/KDX</t>
    <phoneticPr fontId="2"/>
  </si>
  <si>
    <t>派遣先部署</t>
    <rPh sb="0" eb="2">
      <t>ハケン</t>
    </rPh>
    <rPh sb="2" eb="3">
      <t>サキ</t>
    </rPh>
    <rPh sb="3" eb="5">
      <t>ブショ</t>
    </rPh>
    <phoneticPr fontId="2"/>
  </si>
  <si>
    <t>社員</t>
    <rPh sb="0" eb="2">
      <t>シャイン</t>
    </rPh>
    <phoneticPr fontId="2"/>
  </si>
  <si>
    <t>総受注金額</t>
    <rPh sb="0" eb="1">
      <t>ソウ</t>
    </rPh>
    <rPh sb="1" eb="3">
      <t>ジュチュウ</t>
    </rPh>
    <rPh sb="3" eb="5">
      <t>キンガク</t>
    </rPh>
    <phoneticPr fontId="4"/>
  </si>
  <si>
    <t>派遣金額</t>
    <rPh sb="0" eb="2">
      <t>ハケン</t>
    </rPh>
    <rPh sb="2" eb="4">
      <t>キンガク</t>
    </rPh>
    <phoneticPr fontId="4"/>
  </si>
  <si>
    <t>粗利</t>
    <rPh sb="0" eb="1">
      <t>アラ</t>
    </rPh>
    <rPh sb="1" eb="2">
      <t>リ</t>
    </rPh>
    <phoneticPr fontId="4"/>
  </si>
  <si>
    <t>Q売上</t>
    <rPh sb="1" eb="3">
      <t>ウリアゲ</t>
    </rPh>
    <phoneticPr fontId="2"/>
  </si>
  <si>
    <t>Q粗利</t>
    <rPh sb="1" eb="3">
      <t>アラリ</t>
    </rPh>
    <phoneticPr fontId="2"/>
  </si>
  <si>
    <t>NDICS</t>
    <phoneticPr fontId="2"/>
  </si>
  <si>
    <t>UAL常駐</t>
    <rPh sb="3" eb="5">
      <t>ジョウチュウ</t>
    </rPh>
    <phoneticPr fontId="2"/>
  </si>
  <si>
    <t>その他常駐</t>
    <rPh sb="2" eb="3">
      <t>タ</t>
    </rPh>
    <rPh sb="3" eb="5">
      <t>ジョウチュウ</t>
    </rPh>
    <phoneticPr fontId="2"/>
  </si>
  <si>
    <t>OPEN</t>
    <phoneticPr fontId="2"/>
  </si>
  <si>
    <t>区分</t>
    <rPh sb="0" eb="2">
      <t>クブン</t>
    </rPh>
    <phoneticPr fontId="2"/>
  </si>
  <si>
    <t>単価</t>
    <rPh sb="0" eb="2">
      <t>タンカ</t>
    </rPh>
    <phoneticPr fontId="2"/>
  </si>
  <si>
    <t>4月</t>
    <rPh sb="1" eb="2">
      <t>ツキ</t>
    </rPh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</si>
  <si>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</si>
  <si>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</si>
  <si>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</si>
  <si>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</si>
  <si>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</si>
  <si>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</si>
  <si>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</si>
  <si>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</si>
  <si>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</si>
  <si>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</si>
  <si>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</si>
  <si>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件数</t>
    <rPh sb="0" eb="2">
      <t>ケンスウ</t>
    </rPh>
    <phoneticPr fontId="2"/>
  </si>
  <si>
    <t>金額</t>
    <rPh sb="0" eb="2">
      <t>キンガク</t>
    </rPh>
    <phoneticPr fontId="2"/>
  </si>
  <si>
    <t>売上合計</t>
    <rPh sb="0" eb="2">
      <t>ウリアゲ</t>
    </rPh>
    <rPh sb="2" eb="4">
      <t>ゴウケイ</t>
    </rPh>
    <phoneticPr fontId="2"/>
  </si>
  <si>
    <t>ディスパッチ</t>
    <phoneticPr fontId="2"/>
  </si>
  <si>
    <t>原価合計</t>
    <rPh sb="0" eb="2">
      <t>ゲンカ</t>
    </rPh>
    <rPh sb="2" eb="4">
      <t>ゴウケイ</t>
    </rPh>
    <phoneticPr fontId="2"/>
  </si>
  <si>
    <t>DSD/KDX/FS</t>
    <phoneticPr fontId="2"/>
  </si>
  <si>
    <t>原価</t>
    <rPh sb="0" eb="2">
      <t>ゲンカ</t>
    </rPh>
    <phoneticPr fontId="2"/>
  </si>
  <si>
    <t>FS/その他</t>
    <rPh sb="5" eb="6">
      <t>タ</t>
    </rPh>
    <phoneticPr fontId="2"/>
  </si>
  <si>
    <t>UALスポット</t>
    <phoneticPr fontId="2"/>
  </si>
  <si>
    <t>通期合計</t>
    <rPh sb="0" eb="4">
      <t>ツウキゴウケイ</t>
    </rPh>
    <phoneticPr fontId="2"/>
  </si>
  <si>
    <t>DSD</t>
    <phoneticPr fontId="2"/>
  </si>
  <si>
    <t>スポット</t>
    <phoneticPr fontId="2"/>
  </si>
  <si>
    <t>総計売上</t>
    <rPh sb="0" eb="4">
      <t>ソウケイウリアゲ</t>
    </rPh>
    <phoneticPr fontId="2"/>
  </si>
  <si>
    <t>4月</t>
    <rPh sb="1" eb="2">
      <t>ガツ</t>
    </rPh>
    <phoneticPr fontId="2"/>
  </si>
  <si>
    <t>通期総計</t>
    <rPh sb="0" eb="2">
      <t>ツウキ</t>
    </rPh>
    <rPh sb="2" eb="4">
      <t>ソウケイ</t>
    </rPh>
    <phoneticPr fontId="2"/>
  </si>
  <si>
    <t>請負</t>
    <rPh sb="0" eb="2">
      <t>ウケオイ</t>
    </rPh>
    <phoneticPr fontId="2"/>
  </si>
  <si>
    <t>NDICS
RINK保守業務</t>
    <phoneticPr fontId="2"/>
  </si>
  <si>
    <t>夜間、土日祭
対応当番手当</t>
    <rPh sb="0" eb="2">
      <t>ヤカン</t>
    </rPh>
    <rPh sb="3" eb="5">
      <t>ドニチ</t>
    </rPh>
    <rPh sb="5" eb="6">
      <t>サイ</t>
    </rPh>
    <rPh sb="7" eb="9">
      <t>タイオウ</t>
    </rPh>
    <rPh sb="9" eb="11">
      <t>トウバン</t>
    </rPh>
    <rPh sb="11" eb="13">
      <t>テアテ</t>
    </rPh>
    <phoneticPr fontId="2"/>
  </si>
  <si>
    <t>FS技術部</t>
    <rPh sb="2" eb="4">
      <t>ギジュツ</t>
    </rPh>
    <rPh sb="4" eb="5">
      <t>ブ</t>
    </rPh>
    <phoneticPr fontId="2"/>
  </si>
  <si>
    <t>インシデント対応</t>
    <rPh sb="6" eb="8">
      <t>タイオウ</t>
    </rPh>
    <phoneticPr fontId="2"/>
  </si>
  <si>
    <t>甲府SS案件</t>
    <rPh sb="0" eb="2">
      <t>コウフ</t>
    </rPh>
    <rPh sb="4" eb="6">
      <t>アンケン</t>
    </rPh>
    <phoneticPr fontId="2"/>
  </si>
  <si>
    <t>甲府SS</t>
    <rPh sb="0" eb="2">
      <t>コウフ</t>
    </rPh>
    <phoneticPr fontId="2"/>
  </si>
  <si>
    <t>FS/首都圏合計</t>
    <rPh sb="3" eb="6">
      <t>シュトケン</t>
    </rPh>
    <rPh sb="6" eb="8">
      <t>ゴウケイ</t>
    </rPh>
    <phoneticPr fontId="2"/>
  </si>
  <si>
    <t>首都圏売上合計</t>
    <rPh sb="0" eb="3">
      <t>シュト</t>
    </rPh>
    <rPh sb="3" eb="5">
      <t>ウリアゲ</t>
    </rPh>
    <rPh sb="5" eb="7">
      <t>ゴウケイ</t>
    </rPh>
    <phoneticPr fontId="2"/>
  </si>
  <si>
    <t>派遣</t>
    <rPh sb="0" eb="2">
      <t>ハケン</t>
    </rPh>
    <phoneticPr fontId="2"/>
  </si>
  <si>
    <t>社員</t>
  </si>
  <si>
    <t>顧客対応当番</t>
    <rPh sb="0" eb="2">
      <t>コキャク</t>
    </rPh>
    <rPh sb="2" eb="4">
      <t>タイオウ</t>
    </rPh>
    <rPh sb="4" eb="6">
      <t>トウバン</t>
    </rPh>
    <phoneticPr fontId="4"/>
  </si>
  <si>
    <t>有楽町/国際ビル</t>
    <rPh sb="0" eb="3">
      <t>ユウラクチョウ</t>
    </rPh>
    <rPh sb="4" eb="6">
      <t>コクサイ</t>
    </rPh>
    <phoneticPr fontId="2"/>
  </si>
  <si>
    <t>横浜SS</t>
    <rPh sb="0" eb="2">
      <t>ヨコ</t>
    </rPh>
    <phoneticPr fontId="2"/>
  </si>
  <si>
    <t>立川SS</t>
    <rPh sb="0" eb="2">
      <t>タチカワ</t>
    </rPh>
    <phoneticPr fontId="2"/>
  </si>
  <si>
    <t>KDX</t>
    <phoneticPr fontId="2"/>
  </si>
  <si>
    <t>転出</t>
    <rPh sb="0" eb="2">
      <t>テンシュツ</t>
    </rPh>
    <phoneticPr fontId="2"/>
  </si>
  <si>
    <t>Ciscoﾙｰﾀｰ
導入・撤去作業</t>
    <phoneticPr fontId="2"/>
  </si>
  <si>
    <t>委託</t>
    <rPh sb="0" eb="2">
      <t>イタク</t>
    </rPh>
    <phoneticPr fontId="2"/>
  </si>
  <si>
    <t>UBS</t>
    <phoneticPr fontId="2"/>
  </si>
  <si>
    <t>UAL - NRI</t>
    <phoneticPr fontId="2"/>
  </si>
  <si>
    <t>PC展開業務(旧機器撤去および新機器設置)</t>
    <phoneticPr fontId="2"/>
  </si>
  <si>
    <t>派遣</t>
    <rPh sb="0" eb="2">
      <t>ハケン</t>
    </rPh>
    <phoneticPr fontId="4"/>
  </si>
  <si>
    <t>派遣料金</t>
    <rPh sb="0" eb="2">
      <t>ハケン</t>
    </rPh>
    <rPh sb="2" eb="4">
      <t>リョウキン</t>
    </rPh>
    <phoneticPr fontId="4"/>
  </si>
  <si>
    <t>2名/4時間パック</t>
    <rPh sb="1" eb="2">
      <t>メイ</t>
    </rPh>
    <rPh sb="4" eb="6">
      <t>ジカン</t>
    </rPh>
    <phoneticPr fontId="4"/>
  </si>
  <si>
    <t>1名/4時間パック</t>
    <rPh sb="1" eb="2">
      <t>メイ</t>
    </rPh>
    <rPh sb="4" eb="6">
      <t>ジカン</t>
    </rPh>
    <phoneticPr fontId="4"/>
  </si>
  <si>
    <t>転出</t>
    <rPh sb="0" eb="2">
      <t>テンシュツ</t>
    </rPh>
    <phoneticPr fontId="4"/>
  </si>
  <si>
    <t>1月～営業部移動、本社付け</t>
    <rPh sb="1" eb="2">
      <t>ガツ</t>
    </rPh>
    <rPh sb="3" eb="6">
      <t>エイギョウブ</t>
    </rPh>
    <rPh sb="6" eb="8">
      <t>イドウ</t>
    </rPh>
    <rPh sb="9" eb="11">
      <t>ホンシャ</t>
    </rPh>
    <rPh sb="11" eb="12">
      <t>ツ</t>
    </rPh>
    <phoneticPr fontId="4"/>
  </si>
  <si>
    <t>エム・ジー・エー</t>
    <phoneticPr fontId="2"/>
  </si>
  <si>
    <t>ｻﾎﾟｰﾄｻｰﾋﾞｽ</t>
    <phoneticPr fontId="2"/>
  </si>
  <si>
    <t>ｻﾎﾟｰﾄｻｰﾋﾞｽ山梨</t>
    <phoneticPr fontId="2"/>
  </si>
  <si>
    <t>山梨ｴﾘｱ</t>
    <phoneticPr fontId="2"/>
  </si>
  <si>
    <t>Cisco製品導入作業/大阪</t>
    <rPh sb="12" eb="14">
      <t>オオサカ</t>
    </rPh>
    <phoneticPr fontId="2"/>
  </si>
  <si>
    <t>￥0</t>
  </si>
  <si>
    <t>Cisco製品導入作業/横浜</t>
    <rPh sb="12" eb="14">
      <t>ヨコハマ</t>
    </rPh>
    <phoneticPr fontId="2"/>
  </si>
  <si>
    <t>Fortigate
FW更新作業</t>
    <rPh sb="12" eb="14">
      <t>コウシン</t>
    </rPh>
    <rPh sb="14" eb="16">
      <t>サギョウ</t>
    </rPh>
    <phoneticPr fontId="2"/>
  </si>
  <si>
    <t>NDICS
Fortigate</t>
    <phoneticPr fontId="2"/>
  </si>
  <si>
    <t>PC展開業務(新機器設置および初期セットアップ)</t>
    <rPh sb="15" eb="17">
      <t>ショキ</t>
    </rPh>
    <phoneticPr fontId="2"/>
  </si>
  <si>
    <t>Route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</si>
</sst>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¥&quot;#,##0_);[Red]\(&quot;¥&quot;#,##0\)"/>
    <numFmt numFmtId="177" formatCode="0.0_);[Red]\(0.0\)"/>
    <numFmt numFmtId="178" formatCode="#,##0.0;[Red]\-#,##0.0"/>
  </numFmts>
  <fonts count="29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FF"/>
      <name val="ＭＳ Ｐゴシック"/>
      <family val="3"/>
      <charset val="128"/>
      <scheme val="minor"/>
    </font>
    <font>
      <b/>
      <sz val="12"/>
      <color rgb="FF0000FF"/>
      <name val="ＭＳ Ｐゴシック"/>
      <family val="3"/>
      <charset val="128"/>
      <scheme val="minor"/>
    </font>
    <font>
      <b/>
      <sz val="10"/>
      <color indexed="8"/>
      <name val="ＭＳ Ｐゴシック"/>
      <family val="3"/>
      <charset val="128"/>
    </font>
    <font>
      <sz val="9"/>
      <color indexed="81"/>
      <name val="游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1FFE8"/>
        <bgColor indexed="64"/>
      </patternFill>
    </fill>
  </fills>
  <borders count="231">
    <border>
      <left/>
      <right/>
      <top/>
      <bottom/>
      <diagonal/>
    </border>
    <border>
      <left style="dotted">
        <color indexed="63"/>
      </left>
      <right style="dotted">
        <color indexed="63"/>
      </right>
      <top/>
      <bottom/>
      <diagonal/>
    </border>
    <border>
      <left/>
      <right style="dotted">
        <color indexed="63"/>
      </right>
      <top/>
      <bottom/>
      <diagonal/>
    </border>
    <border>
      <left style="dotted">
        <color indexed="6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/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double">
        <color indexed="63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dashed">
        <color indexed="64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double">
        <color indexed="63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3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/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/>
      <top/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2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dashed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ashed">
        <color indexed="64"/>
      </left>
      <right/>
      <top style="thin">
        <color theme="0" tint="-0.2499465926084170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dashed">
        <color indexed="64"/>
      </left>
      <right/>
      <top/>
      <bottom style="thin">
        <color theme="0" tint="-0.24994659260841701"/>
      </bottom>
      <diagonal/>
    </border>
    <border>
      <left style="dashed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theme="0" tint="-0.24994659260841701"/>
      </left>
      <right/>
      <top style="thin">
        <color indexed="22"/>
      </top>
      <bottom/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theme="0" tint="-0.24994659260841701"/>
      </left>
      <right/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149998474074526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/>
      <top style="thin">
        <color theme="0" tint="-0.14999847407452621"/>
      </top>
      <bottom/>
      <diagonal/>
    </border>
    <border>
      <left style="thin">
        <color theme="0" tint="-0.2499465926084170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theme="0" tint="-0.24994659260841701"/>
      </left>
      <right style="thin">
        <color indexed="22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22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0">
    <xf numFmtId="0" fontId="0" fillId="0" borderId="0"/>
    <xf numFmtId="0" fontId="8" fillId="0" borderId="0"/>
    <xf numFmtId="0" fontId="10" fillId="0" borderId="0"/>
    <xf numFmtId="38" fontId="10" fillId="0" borderId="0" applyFont="0" applyFill="0" applyBorder="0" applyAlignment="0" applyProtection="0"/>
    <xf numFmtId="0" fontId="10" fillId="0" borderId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</cellStyleXfs>
  <cellXfs count="70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3" xfId="0" applyFont="1" applyBorder="1"/>
    <xf numFmtId="0" fontId="7" fillId="0" borderId="0" xfId="0" applyFont="1"/>
    <xf numFmtId="0" fontId="5" fillId="2" borderId="9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0" borderId="0" xfId="4" applyFont="1" applyAlignment="1">
      <alignment vertical="center"/>
    </xf>
    <xf numFmtId="0" fontId="12" fillId="0" borderId="0" xfId="4" applyFont="1" applyAlignment="1">
      <alignment vertical="center"/>
    </xf>
    <xf numFmtId="0" fontId="7" fillId="0" borderId="1" xfId="0" applyFont="1" applyBorder="1"/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shrinkToFit="1"/>
    </xf>
    <xf numFmtId="0" fontId="7" fillId="2" borderId="26" xfId="0" applyFont="1" applyFill="1" applyBorder="1" applyAlignment="1">
      <alignment horizontal="center" vertical="center" shrinkToFit="1"/>
    </xf>
    <xf numFmtId="0" fontId="3" fillId="2" borderId="42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7" fillId="0" borderId="0" xfId="4" applyFont="1" applyAlignment="1">
      <alignment horizontal="right" vertical="center"/>
    </xf>
    <xf numFmtId="0" fontId="12" fillId="0" borderId="0" xfId="4" applyFont="1" applyAlignment="1">
      <alignment horizontal="right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2" borderId="26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5" fillId="2" borderId="61" xfId="0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wrapText="1"/>
    </xf>
    <xf numFmtId="176" fontId="13" fillId="0" borderId="66" xfId="0" applyNumberFormat="1" applyFont="1" applyBorder="1" applyAlignment="1">
      <alignment horizontal="right" vertical="center" shrinkToFit="1"/>
    </xf>
    <xf numFmtId="176" fontId="14" fillId="0" borderId="67" xfId="0" applyNumberFormat="1" applyFont="1" applyBorder="1" applyAlignment="1">
      <alignment horizontal="right" vertical="center" shrinkToFit="1"/>
    </xf>
    <xf numFmtId="0" fontId="5" fillId="0" borderId="68" xfId="0" applyFont="1" applyBorder="1" applyAlignment="1">
      <alignment horizontal="center" vertical="center" wrapText="1"/>
    </xf>
    <xf numFmtId="176" fontId="13" fillId="0" borderId="71" xfId="0" applyNumberFormat="1" applyFont="1" applyBorder="1" applyAlignment="1">
      <alignment horizontal="right" vertical="center" shrinkToFit="1"/>
    </xf>
    <xf numFmtId="176" fontId="14" fillId="0" borderId="72" xfId="0" applyNumberFormat="1" applyFont="1" applyBorder="1" applyAlignment="1">
      <alignment horizontal="right" vertical="center" shrinkToFit="1"/>
    </xf>
    <xf numFmtId="0" fontId="5" fillId="4" borderId="73" xfId="0" applyFont="1" applyFill="1" applyBorder="1" applyAlignment="1">
      <alignment horizontal="center" vertical="center" wrapText="1"/>
    </xf>
    <xf numFmtId="176" fontId="14" fillId="4" borderId="76" xfId="0" applyNumberFormat="1" applyFont="1" applyFill="1" applyBorder="1" applyAlignment="1">
      <alignment horizontal="right" vertical="center" shrinkToFit="1"/>
    </xf>
    <xf numFmtId="176" fontId="14" fillId="4" borderId="77" xfId="0" applyNumberFormat="1" applyFont="1" applyFill="1" applyBorder="1" applyAlignment="1">
      <alignment horizontal="right" vertical="center" shrinkToFit="1"/>
    </xf>
    <xf numFmtId="0" fontId="3" fillId="9" borderId="78" xfId="0" applyFont="1" applyFill="1" applyBorder="1" applyAlignment="1">
      <alignment horizontal="left" vertical="center"/>
    </xf>
    <xf numFmtId="176" fontId="13" fillId="10" borderId="80" xfId="0" applyNumberFormat="1" applyFont="1" applyFill="1" applyBorder="1" applyAlignment="1">
      <alignment horizontal="right" vertical="center"/>
    </xf>
    <xf numFmtId="176" fontId="13" fillId="9" borderId="81" xfId="0" applyNumberFormat="1" applyFont="1" applyFill="1" applyBorder="1" applyAlignment="1">
      <alignment horizontal="right" vertical="center"/>
    </xf>
    <xf numFmtId="176" fontId="3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3" fillId="5" borderId="82" xfId="0" applyFont="1" applyFill="1" applyBorder="1" applyAlignment="1">
      <alignment horizontal="right" vertical="center"/>
    </xf>
    <xf numFmtId="176" fontId="13" fillId="5" borderId="83" xfId="0" applyNumberFormat="1" applyFont="1" applyFill="1" applyBorder="1" applyAlignment="1">
      <alignment horizontal="right" vertical="center"/>
    </xf>
    <xf numFmtId="176" fontId="13" fillId="5" borderId="85" xfId="0" applyNumberFormat="1" applyFont="1" applyFill="1" applyBorder="1" applyAlignment="1">
      <alignment horizontal="right" vertical="center"/>
    </xf>
    <xf numFmtId="176" fontId="3" fillId="0" borderId="0" xfId="0" applyNumberFormat="1" applyFont="1"/>
    <xf numFmtId="176" fontId="13" fillId="0" borderId="83" xfId="0" applyNumberFormat="1" applyFont="1" applyBorder="1" applyAlignment="1">
      <alignment horizontal="right" vertical="center"/>
    </xf>
    <xf numFmtId="176" fontId="13" fillId="0" borderId="84" xfId="0" applyNumberFormat="1" applyFont="1" applyBorder="1" applyAlignment="1">
      <alignment horizontal="right" vertical="center"/>
    </xf>
    <xf numFmtId="0" fontId="3" fillId="6" borderId="86" xfId="0" applyFont="1" applyFill="1" applyBorder="1" applyAlignment="1">
      <alignment horizontal="left" vertical="center"/>
    </xf>
    <xf numFmtId="176" fontId="13" fillId="11" borderId="84" xfId="0" applyNumberFormat="1" applyFont="1" applyFill="1" applyBorder="1" applyAlignment="1">
      <alignment horizontal="right" vertical="center"/>
    </xf>
    <xf numFmtId="176" fontId="13" fillId="11" borderId="85" xfId="0" applyNumberFormat="1" applyFont="1" applyFill="1" applyBorder="1" applyAlignment="1">
      <alignment horizontal="right" vertical="center"/>
    </xf>
    <xf numFmtId="0" fontId="3" fillId="5" borderId="86" xfId="0" applyFont="1" applyFill="1" applyBorder="1" applyAlignment="1">
      <alignment horizontal="right" vertical="center" wrapText="1"/>
    </xf>
    <xf numFmtId="176" fontId="13" fillId="5" borderId="22" xfId="0" applyNumberFormat="1" applyFont="1" applyFill="1" applyBorder="1" applyAlignment="1">
      <alignment horizontal="right" vertical="center"/>
    </xf>
    <xf numFmtId="0" fontId="5" fillId="12" borderId="89" xfId="0" applyFont="1" applyFill="1" applyBorder="1" applyAlignment="1">
      <alignment vertical="center" wrapText="1"/>
    </xf>
    <xf numFmtId="176" fontId="14" fillId="4" borderId="90" xfId="0" applyNumberFormat="1" applyFont="1" applyFill="1" applyBorder="1" applyAlignment="1">
      <alignment horizontal="right" vertical="center"/>
    </xf>
    <xf numFmtId="176" fontId="14" fillId="12" borderId="91" xfId="0" applyNumberFormat="1" applyFont="1" applyFill="1" applyBorder="1" applyAlignment="1">
      <alignment horizontal="right" vertical="center"/>
    </xf>
    <xf numFmtId="0" fontId="3" fillId="9" borderId="82" xfId="0" applyFont="1" applyFill="1" applyBorder="1" applyAlignment="1">
      <alignment horizontal="left" vertical="center"/>
    </xf>
    <xf numFmtId="176" fontId="13" fillId="9" borderId="93" xfId="0" applyNumberFormat="1" applyFont="1" applyFill="1" applyBorder="1" applyAlignment="1">
      <alignment horizontal="right" vertical="center"/>
    </xf>
    <xf numFmtId="176" fontId="13" fillId="10" borderId="95" xfId="0" applyNumberFormat="1" applyFont="1" applyFill="1" applyBorder="1" applyAlignment="1">
      <alignment horizontal="right" vertical="center"/>
    </xf>
    <xf numFmtId="176" fontId="14" fillId="7" borderId="72" xfId="0" applyNumberFormat="1" applyFont="1" applyFill="1" applyBorder="1" applyAlignment="1">
      <alignment horizontal="right" vertical="center" shrinkToFit="1"/>
    </xf>
    <xf numFmtId="0" fontId="5" fillId="4" borderId="100" xfId="0" applyFont="1" applyFill="1" applyBorder="1" applyAlignment="1">
      <alignment horizontal="center" vertical="center" wrapText="1"/>
    </xf>
    <xf numFmtId="176" fontId="14" fillId="4" borderId="103" xfId="0" applyNumberFormat="1" applyFont="1" applyFill="1" applyBorder="1" applyAlignment="1">
      <alignment horizontal="right" vertical="center" shrinkToFit="1"/>
    </xf>
    <xf numFmtId="176" fontId="14" fillId="4" borderId="104" xfId="0" applyNumberFormat="1" applyFont="1" applyFill="1" applyBorder="1" applyAlignment="1">
      <alignment horizontal="right" vertical="center" shrinkToFit="1"/>
    </xf>
    <xf numFmtId="176" fontId="14" fillId="13" borderId="23" xfId="0" applyNumberFormat="1" applyFont="1" applyFill="1" applyBorder="1" applyAlignment="1">
      <alignment horizontal="right" vertical="center"/>
    </xf>
    <xf numFmtId="176" fontId="14" fillId="13" borderId="11" xfId="0" applyNumberFormat="1" applyFont="1" applyFill="1" applyBorder="1" applyAlignment="1">
      <alignment horizontal="right" vertical="center"/>
    </xf>
    <xf numFmtId="0" fontId="0" fillId="0" borderId="108" xfId="0" applyBorder="1"/>
    <xf numFmtId="0" fontId="0" fillId="0" borderId="109" xfId="0" applyBorder="1"/>
    <xf numFmtId="38" fontId="0" fillId="0" borderId="0" xfId="9" applyFont="1" applyBorder="1" applyAlignment="1"/>
    <xf numFmtId="0" fontId="0" fillId="0" borderId="110" xfId="0" applyBorder="1"/>
    <xf numFmtId="0" fontId="0" fillId="0" borderId="111" xfId="0" applyBorder="1"/>
    <xf numFmtId="0" fontId="0" fillId="16" borderId="113" xfId="0" applyFill="1" applyBorder="1"/>
    <xf numFmtId="0" fontId="0" fillId="16" borderId="115" xfId="0" applyFill="1" applyBorder="1"/>
    <xf numFmtId="176" fontId="14" fillId="0" borderId="7" xfId="0" applyNumberFormat="1" applyFont="1" applyBorder="1" applyAlignment="1">
      <alignment horizontal="right" vertical="center" shrinkToFit="1"/>
    </xf>
    <xf numFmtId="176" fontId="13" fillId="6" borderId="2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right" vertical="center"/>
    </xf>
    <xf numFmtId="176" fontId="13" fillId="5" borderId="11" xfId="0" applyNumberFormat="1" applyFont="1" applyFill="1" applyBorder="1" applyAlignment="1">
      <alignment horizontal="right" vertical="center"/>
    </xf>
    <xf numFmtId="176" fontId="14" fillId="5" borderId="22" xfId="0" applyNumberFormat="1" applyFont="1" applyFill="1" applyBorder="1" applyAlignment="1">
      <alignment horizontal="right" vertical="center"/>
    </xf>
    <xf numFmtId="176" fontId="14" fillId="7" borderId="6" xfId="0" applyNumberFormat="1" applyFont="1" applyFill="1" applyBorder="1" applyAlignment="1">
      <alignment horizontal="right" vertical="center" shrinkToFit="1"/>
    </xf>
    <xf numFmtId="0" fontId="7" fillId="5" borderId="31" xfId="0" applyFont="1" applyFill="1" applyBorder="1" applyAlignment="1">
      <alignment horizontal="right" vertical="center" shrinkToFit="1"/>
    </xf>
    <xf numFmtId="0" fontId="7" fillId="5" borderId="32" xfId="0" applyFont="1" applyFill="1" applyBorder="1" applyAlignment="1">
      <alignment horizontal="right" vertical="center" shrinkToFit="1"/>
    </xf>
    <xf numFmtId="176" fontId="14" fillId="0" borderId="9" xfId="0" applyNumberFormat="1" applyFont="1" applyBorder="1" applyAlignment="1">
      <alignment horizontal="right" vertical="center" shrinkToFit="1"/>
    </xf>
    <xf numFmtId="0" fontId="7" fillId="0" borderId="0" xfId="0" applyFont="1" applyAlignment="1">
      <alignment horizontal="right"/>
    </xf>
    <xf numFmtId="0" fontId="7" fillId="2" borderId="8" xfId="0" applyFont="1" applyFill="1" applyBorder="1" applyAlignment="1">
      <alignment horizontal="right" vertical="center" wrapText="1"/>
    </xf>
    <xf numFmtId="0" fontId="17" fillId="7" borderId="6" xfId="0" applyFont="1" applyFill="1" applyBorder="1" applyAlignment="1">
      <alignment horizontal="right" vertical="center" shrinkToFit="1"/>
    </xf>
    <xf numFmtId="0" fontId="17" fillId="0" borderId="7" xfId="0" applyFont="1" applyBorder="1" applyAlignment="1">
      <alignment horizontal="right" vertical="center" shrinkToFit="1"/>
    </xf>
    <xf numFmtId="0" fontId="7" fillId="6" borderId="28" xfId="0" applyFont="1" applyFill="1" applyBorder="1" applyAlignment="1">
      <alignment horizontal="right" vertical="center" shrinkToFit="1"/>
    </xf>
    <xf numFmtId="0" fontId="7" fillId="5" borderId="86" xfId="0" applyFont="1" applyFill="1" applyBorder="1" applyAlignment="1">
      <alignment horizontal="right" vertical="center" wrapText="1"/>
    </xf>
    <xf numFmtId="0" fontId="3" fillId="0" borderId="121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12" borderId="11" xfId="0" applyFont="1" applyFill="1" applyBorder="1" applyAlignment="1">
      <alignment vertical="center" wrapText="1"/>
    </xf>
    <xf numFmtId="0" fontId="7" fillId="9" borderId="82" xfId="0" applyFont="1" applyFill="1" applyBorder="1" applyAlignment="1">
      <alignment horizontal="left" vertical="center"/>
    </xf>
    <xf numFmtId="0" fontId="7" fillId="5" borderId="82" xfId="0" applyFont="1" applyFill="1" applyBorder="1" applyAlignment="1">
      <alignment horizontal="right" vertical="center"/>
    </xf>
    <xf numFmtId="0" fontId="7" fillId="6" borderId="86" xfId="0" applyFont="1" applyFill="1" applyBorder="1" applyAlignment="1">
      <alignment horizontal="left" vertical="center"/>
    </xf>
    <xf numFmtId="0" fontId="17" fillId="12" borderId="89" xfId="0" applyFont="1" applyFill="1" applyBorder="1" applyAlignment="1">
      <alignment vertical="center" wrapText="1"/>
    </xf>
    <xf numFmtId="0" fontId="17" fillId="12" borderId="123" xfId="0" applyFont="1" applyFill="1" applyBorder="1" applyAlignment="1">
      <alignment vertical="center" wrapText="1"/>
    </xf>
    <xf numFmtId="176" fontId="14" fillId="4" borderId="125" xfId="0" applyNumberFormat="1" applyFont="1" applyFill="1" applyBorder="1" applyAlignment="1">
      <alignment horizontal="right" vertical="center"/>
    </xf>
    <xf numFmtId="0" fontId="7" fillId="0" borderId="2" xfId="0" applyFont="1" applyBorder="1"/>
    <xf numFmtId="176" fontId="13" fillId="5" borderId="88" xfId="0" applyNumberFormat="1" applyFont="1" applyFill="1" applyBorder="1" applyAlignment="1">
      <alignment horizontal="right" vertical="center"/>
    </xf>
    <xf numFmtId="176" fontId="13" fillId="5" borderId="84" xfId="0" applyNumberFormat="1" applyFont="1" applyFill="1" applyBorder="1" applyAlignment="1">
      <alignment horizontal="right" vertical="center"/>
    </xf>
    <xf numFmtId="176" fontId="13" fillId="5" borderId="87" xfId="0" applyNumberFormat="1" applyFont="1" applyFill="1" applyBorder="1" applyAlignment="1">
      <alignment horizontal="right" vertical="center"/>
    </xf>
    <xf numFmtId="0" fontId="0" fillId="0" borderId="126" xfId="0" applyBorder="1"/>
    <xf numFmtId="0" fontId="0" fillId="0" borderId="5" xfId="0" applyBorder="1"/>
    <xf numFmtId="38" fontId="0" fillId="0" borderId="5" xfId="9" applyFont="1" applyBorder="1" applyAlignment="1"/>
    <xf numFmtId="0" fontId="0" fillId="0" borderId="128" xfId="0" applyBorder="1"/>
    <xf numFmtId="0" fontId="0" fillId="0" borderId="129" xfId="0" applyBorder="1"/>
    <xf numFmtId="0" fontId="0" fillId="0" borderId="130" xfId="0" applyBorder="1"/>
    <xf numFmtId="0" fontId="0" fillId="14" borderId="126" xfId="0" applyFill="1" applyBorder="1"/>
    <xf numFmtId="0" fontId="0" fillId="14" borderId="127" xfId="0" applyFill="1" applyBorder="1"/>
    <xf numFmtId="0" fontId="0" fillId="14" borderId="5" xfId="0" applyFill="1" applyBorder="1"/>
    <xf numFmtId="0" fontId="18" fillId="16" borderId="119" xfId="0" applyFont="1" applyFill="1" applyBorder="1"/>
    <xf numFmtId="0" fontId="18" fillId="16" borderId="118" xfId="0" applyFont="1" applyFill="1" applyBorder="1"/>
    <xf numFmtId="0" fontId="18" fillId="16" borderId="116" xfId="0" applyFont="1" applyFill="1" applyBorder="1"/>
    <xf numFmtId="0" fontId="18" fillId="16" borderId="117" xfId="0" applyFont="1" applyFill="1" applyBorder="1"/>
    <xf numFmtId="0" fontId="0" fillId="16" borderId="128" xfId="0" applyFill="1" applyBorder="1"/>
    <xf numFmtId="0" fontId="0" fillId="16" borderId="130" xfId="0" applyFill="1" applyBorder="1"/>
    <xf numFmtId="0" fontId="0" fillId="16" borderId="126" xfId="0" applyFill="1" applyBorder="1"/>
    <xf numFmtId="0" fontId="0" fillId="16" borderId="5" xfId="0" applyFill="1" applyBorder="1"/>
    <xf numFmtId="0" fontId="19" fillId="16" borderId="105" xfId="0" applyFont="1" applyFill="1" applyBorder="1"/>
    <xf numFmtId="0" fontId="0" fillId="16" borderId="106" xfId="0" applyFill="1" applyBorder="1"/>
    <xf numFmtId="0" fontId="0" fillId="0" borderId="115" xfId="0" applyBorder="1"/>
    <xf numFmtId="0" fontId="0" fillId="16" borderId="138" xfId="0" applyFill="1" applyBorder="1"/>
    <xf numFmtId="0" fontId="0" fillId="16" borderId="146" xfId="0" applyFill="1" applyBorder="1" applyAlignment="1">
      <alignment horizontal="center"/>
    </xf>
    <xf numFmtId="0" fontId="0" fillId="16" borderId="139" xfId="0" applyFill="1" applyBorder="1"/>
    <xf numFmtId="0" fontId="20" fillId="16" borderId="105" xfId="0" applyFont="1" applyFill="1" applyBorder="1" applyAlignment="1">
      <alignment vertical="center"/>
    </xf>
    <xf numFmtId="0" fontId="0" fillId="16" borderId="110" xfId="0" applyFill="1" applyBorder="1"/>
    <xf numFmtId="0" fontId="0" fillId="16" borderId="111" xfId="0" applyFill="1" applyBorder="1"/>
    <xf numFmtId="0" fontId="0" fillId="16" borderId="112" xfId="0" applyFill="1" applyBorder="1"/>
    <xf numFmtId="0" fontId="0" fillId="16" borderId="146" xfId="0" applyFill="1" applyBorder="1"/>
    <xf numFmtId="0" fontId="7" fillId="0" borderId="0" xfId="4" applyFont="1" applyAlignment="1">
      <alignment horizontal="right" vertical="center" shrinkToFit="1"/>
    </xf>
    <xf numFmtId="0" fontId="3" fillId="0" borderId="0" xfId="0" applyFont="1" applyAlignment="1">
      <alignment horizontal="left" shrinkToFit="1"/>
    </xf>
    <xf numFmtId="0" fontId="12" fillId="0" borderId="0" xfId="0" applyFont="1" applyAlignment="1">
      <alignment horizontal="right" shrinkToFit="1"/>
    </xf>
    <xf numFmtId="0" fontId="12" fillId="0" borderId="0" xfId="0" applyFont="1" applyAlignment="1">
      <alignment horizontal="left" shrinkToFit="1"/>
    </xf>
    <xf numFmtId="0" fontId="7" fillId="5" borderId="147" xfId="0" applyFont="1" applyFill="1" applyBorder="1" applyAlignment="1">
      <alignment horizontal="right" vertical="center" shrinkToFit="1"/>
    </xf>
    <xf numFmtId="0" fontId="7" fillId="6" borderId="148" xfId="0" applyFont="1" applyFill="1" applyBorder="1" applyAlignment="1">
      <alignment horizontal="left" vertical="center" shrinkToFit="1"/>
    </xf>
    <xf numFmtId="0" fontId="7" fillId="9" borderId="149" xfId="0" applyFont="1" applyFill="1" applyBorder="1" applyAlignment="1">
      <alignment horizontal="left" vertical="center" shrinkToFit="1"/>
    </xf>
    <xf numFmtId="0" fontId="17" fillId="12" borderId="21" xfId="0" applyFont="1" applyFill="1" applyBorder="1" applyAlignment="1">
      <alignment vertical="center" shrinkToFit="1"/>
    </xf>
    <xf numFmtId="0" fontId="3" fillId="9" borderId="152" xfId="0" applyFont="1" applyFill="1" applyBorder="1" applyAlignment="1">
      <alignment horizontal="left" vertical="center"/>
    </xf>
    <xf numFmtId="0" fontId="5" fillId="12" borderId="24" xfId="0" applyFont="1" applyFill="1" applyBorder="1" applyAlignment="1">
      <alignment vertical="center" wrapText="1"/>
    </xf>
    <xf numFmtId="176" fontId="13" fillId="0" borderId="153" xfId="0" applyNumberFormat="1" applyFont="1" applyBorder="1" applyAlignment="1">
      <alignment horizontal="right" vertical="center" shrinkToFit="1"/>
    </xf>
    <xf numFmtId="176" fontId="13" fillId="0" borderId="154" xfId="0" applyNumberFormat="1" applyFont="1" applyBorder="1" applyAlignment="1">
      <alignment horizontal="right" vertical="center" shrinkToFit="1"/>
    </xf>
    <xf numFmtId="176" fontId="14" fillId="4" borderId="155" xfId="0" applyNumberFormat="1" applyFont="1" applyFill="1" applyBorder="1" applyAlignment="1">
      <alignment horizontal="right" vertical="center" shrinkToFit="1"/>
    </xf>
    <xf numFmtId="176" fontId="13" fillId="10" borderId="156" xfId="0" applyNumberFormat="1" applyFont="1" applyFill="1" applyBorder="1" applyAlignment="1">
      <alignment horizontal="right" vertical="center"/>
    </xf>
    <xf numFmtId="176" fontId="13" fillId="0" borderId="87" xfId="0" applyNumberFormat="1" applyFont="1" applyBorder="1" applyAlignment="1">
      <alignment horizontal="right" vertical="center"/>
    </xf>
    <xf numFmtId="176" fontId="13" fillId="10" borderId="157" xfId="0" applyNumberFormat="1" applyFont="1" applyFill="1" applyBorder="1" applyAlignment="1">
      <alignment horizontal="right" vertical="center"/>
    </xf>
    <xf numFmtId="176" fontId="13" fillId="9" borderId="158" xfId="0" applyNumberFormat="1" applyFont="1" applyFill="1" applyBorder="1" applyAlignment="1">
      <alignment horizontal="right" vertical="center"/>
    </xf>
    <xf numFmtId="176" fontId="13" fillId="10" borderId="158" xfId="0" applyNumberFormat="1" applyFont="1" applyFill="1" applyBorder="1" applyAlignment="1">
      <alignment horizontal="right" vertical="center"/>
    </xf>
    <xf numFmtId="0" fontId="17" fillId="2" borderId="9" xfId="0" applyFont="1" applyFill="1" applyBorder="1" applyAlignment="1">
      <alignment horizontal="center" vertical="center" shrinkToFit="1"/>
    </xf>
    <xf numFmtId="176" fontId="14" fillId="0" borderId="10" xfId="0" applyNumberFormat="1" applyFont="1" applyBorder="1" applyAlignment="1">
      <alignment horizontal="right" vertical="center" shrinkToFit="1"/>
    </xf>
    <xf numFmtId="176" fontId="14" fillId="0" borderId="68" xfId="0" applyNumberFormat="1" applyFont="1" applyBorder="1" applyAlignment="1">
      <alignment horizontal="right" vertical="center" shrinkToFit="1"/>
    </xf>
    <xf numFmtId="176" fontId="14" fillId="4" borderId="73" xfId="0" applyNumberFormat="1" applyFont="1" applyFill="1" applyBorder="1" applyAlignment="1">
      <alignment horizontal="right" vertical="center" shrinkToFit="1"/>
    </xf>
    <xf numFmtId="176" fontId="13" fillId="5" borderId="148" xfId="0" applyNumberFormat="1" applyFont="1" applyFill="1" applyBorder="1" applyAlignment="1">
      <alignment horizontal="right" vertical="center"/>
    </xf>
    <xf numFmtId="176" fontId="13" fillId="11" borderId="148" xfId="0" applyNumberFormat="1" applyFont="1" applyFill="1" applyBorder="1" applyAlignment="1">
      <alignment horizontal="right" vertical="center"/>
    </xf>
    <xf numFmtId="176" fontId="13" fillId="5" borderId="122" xfId="0" applyNumberFormat="1" applyFont="1" applyFill="1" applyBorder="1" applyAlignment="1">
      <alignment horizontal="right" vertical="center"/>
    </xf>
    <xf numFmtId="176" fontId="14" fillId="12" borderId="11" xfId="0" applyNumberFormat="1" applyFont="1" applyFill="1" applyBorder="1" applyAlignment="1">
      <alignment horizontal="right" vertical="center"/>
    </xf>
    <xf numFmtId="176" fontId="13" fillId="9" borderId="149" xfId="0" applyNumberFormat="1" applyFont="1" applyFill="1" applyBorder="1" applyAlignment="1">
      <alignment horizontal="right" vertical="center"/>
    </xf>
    <xf numFmtId="176" fontId="13" fillId="6" borderId="148" xfId="0" applyNumberFormat="1" applyFont="1" applyFill="1" applyBorder="1" applyAlignment="1">
      <alignment horizontal="right" vertical="center"/>
    </xf>
    <xf numFmtId="176" fontId="14" fillId="7" borderId="10" xfId="0" applyNumberFormat="1" applyFont="1" applyFill="1" applyBorder="1" applyAlignment="1">
      <alignment horizontal="right" vertical="center" shrinkToFit="1"/>
    </xf>
    <xf numFmtId="176" fontId="14" fillId="7" borderId="68" xfId="0" applyNumberFormat="1" applyFont="1" applyFill="1" applyBorder="1" applyAlignment="1">
      <alignment horizontal="right" vertical="center" shrinkToFit="1"/>
    </xf>
    <xf numFmtId="176" fontId="14" fillId="4" borderId="100" xfId="0" applyNumberFormat="1" applyFont="1" applyFill="1" applyBorder="1" applyAlignment="1">
      <alignment horizontal="right" vertical="center" shrinkToFit="1"/>
    </xf>
    <xf numFmtId="0" fontId="21" fillId="0" borderId="0" xfId="0" applyFont="1"/>
    <xf numFmtId="0" fontId="7" fillId="6" borderId="162" xfId="0" applyFont="1" applyFill="1" applyBorder="1" applyAlignment="1">
      <alignment horizontal="right" vertical="center" shrinkToFit="1"/>
    </xf>
    <xf numFmtId="0" fontId="7" fillId="5" borderId="163" xfId="0" applyFont="1" applyFill="1" applyBorder="1" applyAlignment="1">
      <alignment horizontal="right" vertical="center" shrinkToFit="1"/>
    </xf>
    <xf numFmtId="0" fontId="7" fillId="5" borderId="164" xfId="0" applyFont="1" applyFill="1" applyBorder="1" applyAlignment="1">
      <alignment horizontal="right" vertical="center" shrinkToFit="1"/>
    </xf>
    <xf numFmtId="176" fontId="13" fillId="5" borderId="159" xfId="1" applyNumberFormat="1" applyFont="1" applyFill="1" applyBorder="1" applyAlignment="1">
      <alignment horizontal="right" vertical="center"/>
    </xf>
    <xf numFmtId="176" fontId="13" fillId="5" borderId="159" xfId="0" applyNumberFormat="1" applyFont="1" applyFill="1" applyBorder="1" applyAlignment="1">
      <alignment horizontal="right" vertical="center"/>
    </xf>
    <xf numFmtId="0" fontId="7" fillId="5" borderId="166" xfId="0" applyFont="1" applyFill="1" applyBorder="1" applyAlignment="1">
      <alignment horizontal="right" vertical="center" shrinkToFit="1"/>
    </xf>
    <xf numFmtId="0" fontId="7" fillId="5" borderId="160" xfId="0" applyFont="1" applyFill="1" applyBorder="1" applyAlignment="1">
      <alignment horizontal="right" vertical="center" shrinkToFit="1"/>
    </xf>
    <xf numFmtId="0" fontId="7" fillId="5" borderId="161" xfId="0" applyFont="1" applyFill="1" applyBorder="1" applyAlignment="1">
      <alignment horizontal="right" vertical="center" shrinkToFit="1"/>
    </xf>
    <xf numFmtId="176" fontId="13" fillId="0" borderId="159" xfId="0" applyNumberFormat="1" applyFont="1" applyBorder="1" applyAlignment="1">
      <alignment horizontal="right" vertical="center"/>
    </xf>
    <xf numFmtId="176" fontId="13" fillId="5" borderId="167" xfId="1" applyNumberFormat="1" applyFont="1" applyFill="1" applyBorder="1" applyAlignment="1">
      <alignment horizontal="right" vertical="center"/>
    </xf>
    <xf numFmtId="176" fontId="13" fillId="5" borderId="167" xfId="0" applyNumberFormat="1" applyFont="1" applyFill="1" applyBorder="1" applyAlignment="1">
      <alignment horizontal="right" vertical="center"/>
    </xf>
    <xf numFmtId="0" fontId="7" fillId="6" borderId="169" xfId="0" applyFont="1" applyFill="1" applyBorder="1" applyAlignment="1">
      <alignment horizontal="right" vertical="center" shrinkToFit="1"/>
    </xf>
    <xf numFmtId="0" fontId="7" fillId="6" borderId="172" xfId="0" applyFont="1" applyFill="1" applyBorder="1" applyAlignment="1">
      <alignment horizontal="right" vertical="center" shrinkToFit="1"/>
    </xf>
    <xf numFmtId="0" fontId="3" fillId="5" borderId="173" xfId="0" applyFont="1" applyFill="1" applyBorder="1" applyAlignment="1">
      <alignment horizontal="right" vertical="center" wrapText="1"/>
    </xf>
    <xf numFmtId="0" fontId="7" fillId="5" borderId="173" xfId="0" applyFont="1" applyFill="1" applyBorder="1" applyAlignment="1">
      <alignment horizontal="right" vertical="center" wrapText="1"/>
    </xf>
    <xf numFmtId="0" fontId="7" fillId="5" borderId="174" xfId="0" applyFont="1" applyFill="1" applyBorder="1" applyAlignment="1">
      <alignment horizontal="right" vertical="center" wrapText="1"/>
    </xf>
    <xf numFmtId="176" fontId="13" fillId="11" borderId="177" xfId="0" applyNumberFormat="1" applyFont="1" applyFill="1" applyBorder="1" applyAlignment="1">
      <alignment horizontal="right" vertical="center"/>
    </xf>
    <xf numFmtId="176" fontId="14" fillId="4" borderId="178" xfId="0" applyNumberFormat="1" applyFont="1" applyFill="1" applyBorder="1" applyAlignment="1">
      <alignment horizontal="right" vertical="center"/>
    </xf>
    <xf numFmtId="0" fontId="3" fillId="9" borderId="179" xfId="0" applyFont="1" applyFill="1" applyBorder="1" applyAlignment="1">
      <alignment horizontal="left" vertical="center"/>
    </xf>
    <xf numFmtId="0" fontId="3" fillId="5" borderId="179" xfId="0" applyFont="1" applyFill="1" applyBorder="1" applyAlignment="1">
      <alignment horizontal="right" vertical="center"/>
    </xf>
    <xf numFmtId="0" fontId="3" fillId="6" borderId="173" xfId="0" applyFont="1" applyFill="1" applyBorder="1" applyAlignment="1">
      <alignment horizontal="left" vertical="center"/>
    </xf>
    <xf numFmtId="0" fontId="5" fillId="12" borderId="161" xfId="0" applyFont="1" applyFill="1" applyBorder="1" applyAlignment="1">
      <alignment vertical="center" wrapText="1"/>
    </xf>
    <xf numFmtId="176" fontId="13" fillId="11" borderId="159" xfId="0" applyNumberFormat="1" applyFont="1" applyFill="1" applyBorder="1" applyAlignment="1">
      <alignment horizontal="right" vertical="center"/>
    </xf>
    <xf numFmtId="176" fontId="14" fillId="4" borderId="159" xfId="0" applyNumberFormat="1" applyFont="1" applyFill="1" applyBorder="1" applyAlignment="1">
      <alignment horizontal="right" vertical="center"/>
    </xf>
    <xf numFmtId="0" fontId="7" fillId="5" borderId="180" xfId="0" applyFont="1" applyFill="1" applyBorder="1" applyAlignment="1">
      <alignment horizontal="right" vertical="center" shrinkToFit="1"/>
    </xf>
    <xf numFmtId="0" fontId="7" fillId="5" borderId="181" xfId="0" applyFont="1" applyFill="1" applyBorder="1" applyAlignment="1">
      <alignment horizontal="right" vertical="center" shrinkToFit="1"/>
    </xf>
    <xf numFmtId="176" fontId="13" fillId="6" borderId="177" xfId="0" applyNumberFormat="1" applyFont="1" applyFill="1" applyBorder="1" applyAlignment="1">
      <alignment horizontal="right" vertical="center"/>
    </xf>
    <xf numFmtId="176" fontId="14" fillId="12" borderId="168" xfId="0" applyNumberFormat="1" applyFont="1" applyFill="1" applyBorder="1" applyAlignment="1">
      <alignment horizontal="right" vertical="center"/>
    </xf>
    <xf numFmtId="176" fontId="14" fillId="4" borderId="182" xfId="0" applyNumberFormat="1" applyFont="1" applyFill="1" applyBorder="1" applyAlignment="1">
      <alignment horizontal="right" vertical="center"/>
    </xf>
    <xf numFmtId="176" fontId="14" fillId="12" borderId="123" xfId="0" applyNumberFormat="1" applyFont="1" applyFill="1" applyBorder="1" applyAlignment="1">
      <alignment horizontal="right" vertical="center"/>
    </xf>
    <xf numFmtId="0" fontId="17" fillId="7" borderId="59" xfId="0" applyFont="1" applyFill="1" applyBorder="1" applyAlignment="1">
      <alignment horizontal="right" vertical="center" shrinkToFit="1"/>
    </xf>
    <xf numFmtId="0" fontId="3" fillId="0" borderId="121" xfId="0" applyFont="1" applyBorder="1"/>
    <xf numFmtId="0" fontId="21" fillId="16" borderId="138" xfId="0" applyFont="1" applyFill="1" applyBorder="1"/>
    <xf numFmtId="0" fontId="21" fillId="16" borderId="146" xfId="0" applyFont="1" applyFill="1" applyBorder="1" applyAlignment="1">
      <alignment horizontal="center"/>
    </xf>
    <xf numFmtId="0" fontId="21" fillId="16" borderId="134" xfId="0" applyFont="1" applyFill="1" applyBorder="1" applyAlignment="1">
      <alignment horizontal="center"/>
    </xf>
    <xf numFmtId="0" fontId="21" fillId="16" borderId="139" xfId="0" applyFont="1" applyFill="1" applyBorder="1" applyAlignment="1">
      <alignment horizontal="center"/>
    </xf>
    <xf numFmtId="0" fontId="21" fillId="16" borderId="139" xfId="0" applyFont="1" applyFill="1" applyBorder="1"/>
    <xf numFmtId="0" fontId="7" fillId="5" borderId="189" xfId="0" applyFont="1" applyFill="1" applyBorder="1" applyAlignment="1">
      <alignment horizontal="right" vertical="center" shrinkToFit="1"/>
    </xf>
    <xf numFmtId="176" fontId="13" fillId="5" borderId="24" xfId="0" applyNumberFormat="1" applyFont="1" applyFill="1" applyBorder="1" applyAlignment="1">
      <alignment horizontal="right" vertical="center"/>
    </xf>
    <xf numFmtId="176" fontId="14" fillId="4" borderId="194" xfId="0" applyNumberFormat="1" applyFont="1" applyFill="1" applyBorder="1" applyAlignment="1">
      <alignment horizontal="right" vertical="center" shrinkToFit="1"/>
    </xf>
    <xf numFmtId="38" fontId="25" fillId="0" borderId="0" xfId="9" applyFont="1" applyBorder="1" applyAlignment="1"/>
    <xf numFmtId="38" fontId="25" fillId="0" borderId="108" xfId="9" applyFont="1" applyBorder="1" applyAlignment="1"/>
    <xf numFmtId="38" fontId="25" fillId="0" borderId="109" xfId="9" applyFont="1" applyBorder="1" applyAlignment="1"/>
    <xf numFmtId="38" fontId="25" fillId="0" borderId="5" xfId="9" applyFont="1" applyBorder="1" applyAlignment="1"/>
    <xf numFmtId="38" fontId="25" fillId="0" borderId="126" xfId="9" applyFont="1" applyBorder="1" applyAlignment="1"/>
    <xf numFmtId="38" fontId="25" fillId="0" borderId="127" xfId="9" applyFont="1" applyBorder="1" applyAlignment="1"/>
    <xf numFmtId="176" fontId="7" fillId="5" borderId="22" xfId="0" applyNumberFormat="1" applyFont="1" applyFill="1" applyBorder="1" applyAlignment="1">
      <alignment horizontal="right" vertical="center"/>
    </xf>
    <xf numFmtId="176" fontId="17" fillId="5" borderId="22" xfId="0" applyNumberFormat="1" applyFont="1" applyFill="1" applyBorder="1" applyAlignment="1">
      <alignment horizontal="right" vertical="center"/>
    </xf>
    <xf numFmtId="176" fontId="7" fillId="5" borderId="159" xfId="1" applyNumberFormat="1" applyFont="1" applyFill="1" applyBorder="1" applyAlignment="1">
      <alignment horizontal="right" vertical="center"/>
    </xf>
    <xf numFmtId="176" fontId="7" fillId="5" borderId="159" xfId="0" applyNumberFormat="1" applyFont="1" applyFill="1" applyBorder="1" applyAlignment="1">
      <alignment horizontal="right" vertical="center"/>
    </xf>
    <xf numFmtId="176" fontId="7" fillId="0" borderId="64" xfId="0" applyNumberFormat="1" applyFont="1" applyBorder="1" applyAlignment="1">
      <alignment horizontal="right" vertical="center" shrinkToFit="1"/>
    </xf>
    <xf numFmtId="176" fontId="7" fillId="0" borderId="69" xfId="0" applyNumberFormat="1" applyFont="1" applyBorder="1" applyAlignment="1">
      <alignment horizontal="right" vertical="center" shrinkToFit="1"/>
    </xf>
    <xf numFmtId="176" fontId="17" fillId="4" borderId="74" xfId="0" applyNumberFormat="1" applyFont="1" applyFill="1" applyBorder="1" applyAlignment="1">
      <alignment horizontal="right" vertical="center" shrinkToFit="1"/>
    </xf>
    <xf numFmtId="176" fontId="7" fillId="10" borderId="120" xfId="0" applyNumberFormat="1" applyFont="1" applyFill="1" applyBorder="1" applyAlignment="1">
      <alignment horizontal="right" vertical="center"/>
    </xf>
    <xf numFmtId="176" fontId="7" fillId="5" borderId="96" xfId="0" applyNumberFormat="1" applyFont="1" applyFill="1" applyBorder="1" applyAlignment="1">
      <alignment horizontal="right" vertical="center"/>
    </xf>
    <xf numFmtId="176" fontId="7" fillId="0" borderId="96" xfId="0" applyNumberFormat="1" applyFont="1" applyBorder="1" applyAlignment="1">
      <alignment horizontal="right" vertical="center"/>
    </xf>
    <xf numFmtId="176" fontId="7" fillId="11" borderId="175" xfId="0" applyNumberFormat="1" applyFont="1" applyFill="1" applyBorder="1" applyAlignment="1">
      <alignment horizontal="right" vertical="center"/>
    </xf>
    <xf numFmtId="176" fontId="7" fillId="0" borderId="159" xfId="0" applyNumberFormat="1" applyFont="1" applyBorder="1" applyAlignment="1">
      <alignment horizontal="right" vertical="center"/>
    </xf>
    <xf numFmtId="176" fontId="7" fillId="11" borderId="159" xfId="0" applyNumberFormat="1" applyFont="1" applyFill="1" applyBorder="1" applyAlignment="1">
      <alignment horizontal="right" vertical="center"/>
    </xf>
    <xf numFmtId="176" fontId="17" fillId="4" borderId="159" xfId="0" applyNumberFormat="1" applyFont="1" applyFill="1" applyBorder="1" applyAlignment="1">
      <alignment horizontal="right" vertical="center"/>
    </xf>
    <xf numFmtId="176" fontId="7" fillId="9" borderId="150" xfId="0" applyNumberFormat="1" applyFont="1" applyFill="1" applyBorder="1" applyAlignment="1">
      <alignment horizontal="right" vertical="center"/>
    </xf>
    <xf numFmtId="176" fontId="7" fillId="6" borderId="175" xfId="0" applyNumberFormat="1" applyFont="1" applyFill="1" applyBorder="1" applyAlignment="1">
      <alignment horizontal="right" vertical="center"/>
    </xf>
    <xf numFmtId="176" fontId="17" fillId="12" borderId="62" xfId="0" applyNumberFormat="1" applyFont="1" applyFill="1" applyBorder="1" applyAlignment="1">
      <alignment horizontal="right" vertical="center"/>
    </xf>
    <xf numFmtId="176" fontId="17" fillId="4" borderId="35" xfId="0" applyNumberFormat="1" applyFont="1" applyFill="1" applyBorder="1" applyAlignment="1">
      <alignment horizontal="right" vertical="center"/>
    </xf>
    <xf numFmtId="176" fontId="7" fillId="9" borderId="151" xfId="0" applyNumberFormat="1" applyFont="1" applyFill="1" applyBorder="1" applyAlignment="1">
      <alignment horizontal="right" vertical="center"/>
    </xf>
    <xf numFmtId="176" fontId="7" fillId="5" borderId="83" xfId="0" applyNumberFormat="1" applyFont="1" applyFill="1" applyBorder="1" applyAlignment="1">
      <alignment horizontal="right" vertical="center"/>
    </xf>
    <xf numFmtId="176" fontId="7" fillId="10" borderId="94" xfId="0" applyNumberFormat="1" applyFont="1" applyFill="1" applyBorder="1" applyAlignment="1">
      <alignment horizontal="right" vertical="center"/>
    </xf>
    <xf numFmtId="176" fontId="17" fillId="4" borderId="98" xfId="0" applyNumberFormat="1" applyFont="1" applyFill="1" applyBorder="1" applyAlignment="1">
      <alignment horizontal="right" vertical="center"/>
    </xf>
    <xf numFmtId="176" fontId="7" fillId="7" borderId="192" xfId="0" applyNumberFormat="1" applyFont="1" applyFill="1" applyBorder="1" applyAlignment="1">
      <alignment horizontal="right" vertical="center" shrinkToFit="1"/>
    </xf>
    <xf numFmtId="176" fontId="7" fillId="7" borderId="69" xfId="0" applyNumberFormat="1" applyFont="1" applyFill="1" applyBorder="1" applyAlignment="1">
      <alignment horizontal="right" vertical="center" shrinkToFit="1"/>
    </xf>
    <xf numFmtId="176" fontId="17" fillId="4" borderId="101" xfId="0" applyNumberFormat="1" applyFont="1" applyFill="1" applyBorder="1" applyAlignment="1">
      <alignment horizontal="right" vertical="center" shrinkToFit="1"/>
    </xf>
    <xf numFmtId="176" fontId="7" fillId="10" borderId="79" xfId="0" applyNumberFormat="1" applyFont="1" applyFill="1" applyBorder="1" applyAlignment="1">
      <alignment horizontal="right" vertical="center"/>
    </xf>
    <xf numFmtId="176" fontId="7" fillId="0" borderId="83" xfId="0" applyNumberFormat="1" applyFont="1" applyBorder="1" applyAlignment="1">
      <alignment horizontal="right" vertical="center"/>
    </xf>
    <xf numFmtId="176" fontId="7" fillId="11" borderId="83" xfId="0" applyNumberFormat="1" applyFont="1" applyFill="1" applyBorder="1" applyAlignment="1">
      <alignment horizontal="right" vertical="center"/>
    </xf>
    <xf numFmtId="176" fontId="7" fillId="5" borderId="88" xfId="0" applyNumberFormat="1" applyFont="1" applyFill="1" applyBorder="1" applyAlignment="1">
      <alignment horizontal="right" vertical="center"/>
    </xf>
    <xf numFmtId="176" fontId="17" fillId="4" borderId="124" xfId="0" applyNumberFormat="1" applyFont="1" applyFill="1" applyBorder="1" applyAlignment="1">
      <alignment horizontal="right" vertical="center"/>
    </xf>
    <xf numFmtId="176" fontId="17" fillId="4" borderId="36" xfId="0" applyNumberFormat="1" applyFont="1" applyFill="1" applyBorder="1" applyAlignment="1">
      <alignment horizontal="right" vertical="center"/>
    </xf>
    <xf numFmtId="176" fontId="7" fillId="6" borderId="96" xfId="0" applyNumberFormat="1" applyFont="1" applyFill="1" applyBorder="1" applyAlignment="1">
      <alignment horizontal="right" vertical="center"/>
    </xf>
    <xf numFmtId="176" fontId="7" fillId="5" borderId="31" xfId="0" applyNumberFormat="1" applyFont="1" applyFill="1" applyBorder="1" applyAlignment="1">
      <alignment horizontal="right" vertical="center"/>
    </xf>
    <xf numFmtId="176" fontId="7" fillId="5" borderId="97" xfId="0" applyNumberFormat="1" applyFont="1" applyFill="1" applyBorder="1" applyAlignment="1">
      <alignment horizontal="right" vertical="center"/>
    </xf>
    <xf numFmtId="176" fontId="7" fillId="10" borderId="195" xfId="0" applyNumberFormat="1" applyFont="1" applyFill="1" applyBorder="1" applyAlignment="1">
      <alignment horizontal="right" vertical="center"/>
    </xf>
    <xf numFmtId="176" fontId="13" fillId="10" borderId="195" xfId="0" applyNumberFormat="1" applyFont="1" applyFill="1" applyBorder="1" applyAlignment="1">
      <alignment horizontal="right" vertical="center"/>
    </xf>
    <xf numFmtId="176" fontId="13" fillId="9" borderId="147" xfId="0" applyNumberFormat="1" applyFont="1" applyFill="1" applyBorder="1" applyAlignment="1">
      <alignment horizontal="right" vertical="center"/>
    </xf>
    <xf numFmtId="38" fontId="25" fillId="16" borderId="146" xfId="9" applyFont="1" applyFill="1" applyBorder="1" applyAlignment="1"/>
    <xf numFmtId="38" fontId="25" fillId="16" borderId="138" xfId="9" applyFont="1" applyFill="1" applyBorder="1" applyAlignment="1"/>
    <xf numFmtId="38" fontId="25" fillId="16" borderId="139" xfId="9" applyFont="1" applyFill="1" applyBorder="1" applyAlignment="1"/>
    <xf numFmtId="38" fontId="25" fillId="0" borderId="111" xfId="9" applyFont="1" applyBorder="1" applyAlignment="1"/>
    <xf numFmtId="38" fontId="25" fillId="0" borderId="112" xfId="9" applyFont="1" applyBorder="1" applyAlignment="1"/>
    <xf numFmtId="38" fontId="25" fillId="0" borderId="110" xfId="9" applyFont="1" applyBorder="1" applyAlignment="1"/>
    <xf numFmtId="38" fontId="25" fillId="0" borderId="115" xfId="9" applyFont="1" applyBorder="1" applyAlignment="1"/>
    <xf numFmtId="38" fontId="25" fillId="16" borderId="115" xfId="9" applyFont="1" applyFill="1" applyBorder="1" applyAlignment="1"/>
    <xf numFmtId="38" fontId="25" fillId="16" borderId="114" xfId="9" applyFont="1" applyFill="1" applyBorder="1" applyAlignment="1"/>
    <xf numFmtId="38" fontId="25" fillId="16" borderId="128" xfId="9" applyFont="1" applyFill="1" applyBorder="1" applyAlignment="1"/>
    <xf numFmtId="38" fontId="25" fillId="16" borderId="129" xfId="9" applyFont="1" applyFill="1" applyBorder="1" applyAlignment="1"/>
    <xf numFmtId="38" fontId="25" fillId="16" borderId="126" xfId="9" applyFont="1" applyFill="1" applyBorder="1" applyAlignment="1"/>
    <xf numFmtId="38" fontId="25" fillId="16" borderId="127" xfId="9" applyFont="1" applyFill="1" applyBorder="1" applyAlignment="1"/>
    <xf numFmtId="38" fontId="25" fillId="16" borderId="111" xfId="9" applyFont="1" applyFill="1" applyBorder="1" applyAlignment="1"/>
    <xf numFmtId="38" fontId="25" fillId="16" borderId="112" xfId="9" applyFont="1" applyFill="1" applyBorder="1" applyAlignment="1"/>
    <xf numFmtId="38" fontId="25" fillId="16" borderId="110" xfId="9" applyFont="1" applyFill="1" applyBorder="1" applyAlignment="1"/>
    <xf numFmtId="0" fontId="25" fillId="16" borderId="106" xfId="0" applyFont="1" applyFill="1" applyBorder="1"/>
    <xf numFmtId="0" fontId="25" fillId="16" borderId="107" xfId="0" applyFont="1" applyFill="1" applyBorder="1"/>
    <xf numFmtId="38" fontId="25" fillId="14" borderId="5" xfId="9" applyFont="1" applyFill="1" applyBorder="1" applyAlignment="1"/>
    <xf numFmtId="38" fontId="25" fillId="14" borderId="126" xfId="9" applyFont="1" applyFill="1" applyBorder="1" applyAlignment="1"/>
    <xf numFmtId="38" fontId="25" fillId="14" borderId="127" xfId="9" applyFont="1" applyFill="1" applyBorder="1" applyAlignment="1"/>
    <xf numFmtId="38" fontId="25" fillId="15" borderId="127" xfId="9" applyFont="1" applyFill="1" applyBorder="1" applyAlignment="1"/>
    <xf numFmtId="38" fontId="25" fillId="0" borderId="130" xfId="9" applyFont="1" applyBorder="1" applyAlignment="1"/>
    <xf numFmtId="38" fontId="25" fillId="0" borderId="128" xfId="9" applyFont="1" applyBorder="1" applyAlignment="1"/>
    <xf numFmtId="38" fontId="25" fillId="0" borderId="129" xfId="9" applyFont="1" applyBorder="1" applyAlignment="1"/>
    <xf numFmtId="38" fontId="25" fillId="16" borderId="113" xfId="9" applyFont="1" applyFill="1" applyBorder="1" applyAlignment="1"/>
    <xf numFmtId="0" fontId="25" fillId="0" borderId="0" xfId="0" applyFont="1"/>
    <xf numFmtId="176" fontId="7" fillId="6" borderId="38" xfId="0" applyNumberFormat="1" applyFont="1" applyFill="1" applyBorder="1" applyAlignment="1">
      <alignment horizontal="right" vertical="center"/>
    </xf>
    <xf numFmtId="176" fontId="7" fillId="11" borderId="176" xfId="0" applyNumberFormat="1" applyFont="1" applyFill="1" applyBorder="1" applyAlignment="1">
      <alignment horizontal="right" vertical="center"/>
    </xf>
    <xf numFmtId="176" fontId="7" fillId="6" borderId="176" xfId="0" applyNumberFormat="1" applyFont="1" applyFill="1" applyBorder="1" applyAlignment="1">
      <alignment horizontal="right" vertical="center"/>
    </xf>
    <xf numFmtId="176" fontId="17" fillId="12" borderId="39" xfId="0" applyNumberFormat="1" applyFont="1" applyFill="1" applyBorder="1" applyAlignment="1">
      <alignment horizontal="right" vertical="center"/>
    </xf>
    <xf numFmtId="176" fontId="17" fillId="4" borderId="40" xfId="0" applyNumberFormat="1" applyFont="1" applyFill="1" applyBorder="1" applyAlignment="1">
      <alignment horizontal="right" vertical="center"/>
    </xf>
    <xf numFmtId="176" fontId="7" fillId="0" borderId="65" xfId="0" applyNumberFormat="1" applyFont="1" applyBorder="1" applyAlignment="1">
      <alignment horizontal="right" vertical="center" shrinkToFit="1"/>
    </xf>
    <xf numFmtId="176" fontId="7" fillId="0" borderId="70" xfId="0" applyNumberFormat="1" applyFont="1" applyBorder="1" applyAlignment="1">
      <alignment horizontal="right" vertical="center" shrinkToFit="1"/>
    </xf>
    <xf numFmtId="176" fontId="17" fillId="4" borderId="75" xfId="0" applyNumberFormat="1" applyFont="1" applyFill="1" applyBorder="1" applyAlignment="1">
      <alignment horizontal="right" vertical="center" shrinkToFit="1"/>
    </xf>
    <xf numFmtId="176" fontId="7" fillId="7" borderId="193" xfId="0" applyNumberFormat="1" applyFont="1" applyFill="1" applyBorder="1" applyAlignment="1">
      <alignment horizontal="right" vertical="center" shrinkToFit="1"/>
    </xf>
    <xf numFmtId="176" fontId="7" fillId="7" borderId="70" xfId="0" applyNumberFormat="1" applyFont="1" applyFill="1" applyBorder="1" applyAlignment="1">
      <alignment horizontal="right" vertical="center" shrinkToFit="1"/>
    </xf>
    <xf numFmtId="176" fontId="17" fillId="4" borderId="102" xfId="0" applyNumberFormat="1" applyFont="1" applyFill="1" applyBorder="1" applyAlignment="1">
      <alignment horizontal="right" vertical="center" shrinkToFit="1"/>
    </xf>
    <xf numFmtId="176" fontId="7" fillId="6" borderId="83" xfId="0" applyNumberFormat="1" applyFont="1" applyFill="1" applyBorder="1" applyAlignment="1">
      <alignment horizontal="right" vertical="center"/>
    </xf>
    <xf numFmtId="38" fontId="21" fillId="16" borderId="146" xfId="9" applyFont="1" applyFill="1" applyBorder="1" applyAlignment="1"/>
    <xf numFmtId="38" fontId="21" fillId="0" borderId="5" xfId="9" applyFont="1" applyBorder="1" applyAlignment="1"/>
    <xf numFmtId="38" fontId="21" fillId="0" borderId="143" xfId="9" applyFont="1" applyBorder="1" applyAlignment="1"/>
    <xf numFmtId="38" fontId="21" fillId="16" borderId="8" xfId="9" applyFont="1" applyFill="1" applyBorder="1" applyAlignment="1"/>
    <xf numFmtId="177" fontId="21" fillId="0" borderId="108" xfId="9" applyNumberFormat="1" applyFont="1" applyBorder="1" applyAlignment="1"/>
    <xf numFmtId="38" fontId="21" fillId="0" borderId="0" xfId="9" applyFont="1" applyBorder="1" applyAlignment="1"/>
    <xf numFmtId="38" fontId="21" fillId="0" borderId="59" xfId="9" applyFont="1" applyBorder="1" applyAlignment="1"/>
    <xf numFmtId="38" fontId="21" fillId="0" borderId="144" xfId="9" applyFont="1" applyBorder="1" applyAlignment="1"/>
    <xf numFmtId="38" fontId="21" fillId="16" borderId="144" xfId="9" applyFont="1" applyFill="1" applyBorder="1" applyAlignment="1"/>
    <xf numFmtId="38" fontId="21" fillId="0" borderId="145" xfId="9" applyFont="1" applyBorder="1" applyAlignment="1"/>
    <xf numFmtId="38" fontId="21" fillId="16" borderId="143" xfId="9" applyFont="1" applyFill="1" applyBorder="1" applyAlignment="1"/>
    <xf numFmtId="38" fontId="21" fillId="14" borderId="5" xfId="9" applyFont="1" applyFill="1" applyBorder="1" applyAlignment="1"/>
    <xf numFmtId="38" fontId="21" fillId="0" borderId="130" xfId="9" applyFont="1" applyBorder="1" applyAlignment="1"/>
    <xf numFmtId="38" fontId="21" fillId="16" borderId="111" xfId="9" applyFont="1" applyFill="1" applyBorder="1" applyAlignment="1"/>
    <xf numFmtId="38" fontId="21" fillId="16" borderId="115" xfId="9" applyFont="1" applyFill="1" applyBorder="1" applyAlignment="1"/>
    <xf numFmtId="38" fontId="21" fillId="0" borderId="109" xfId="9" applyFont="1" applyBorder="1" applyAlignment="1"/>
    <xf numFmtId="38" fontId="21" fillId="16" borderId="133" xfId="9" applyFont="1" applyFill="1" applyBorder="1" applyAlignment="1"/>
    <xf numFmtId="0" fontId="21" fillId="0" borderId="126" xfId="0" applyFont="1" applyBorder="1"/>
    <xf numFmtId="0" fontId="21" fillId="0" borderId="110" xfId="0" applyFont="1" applyBorder="1"/>
    <xf numFmtId="38" fontId="21" fillId="0" borderId="111" xfId="9" applyFont="1" applyBorder="1" applyAlignment="1"/>
    <xf numFmtId="38" fontId="21" fillId="0" borderId="141" xfId="9" applyFont="1" applyBorder="1" applyAlignment="1"/>
    <xf numFmtId="0" fontId="21" fillId="0" borderId="115" xfId="0" applyFont="1" applyBorder="1"/>
    <xf numFmtId="38" fontId="21" fillId="0" borderId="115" xfId="9" applyFont="1" applyBorder="1" applyAlignment="1"/>
    <xf numFmtId="0" fontId="21" fillId="16" borderId="115" xfId="0" applyFont="1" applyFill="1" applyBorder="1"/>
    <xf numFmtId="0" fontId="21" fillId="16" borderId="138" xfId="0" applyFont="1" applyFill="1" applyBorder="1" applyAlignment="1">
      <alignment horizontal="center"/>
    </xf>
    <xf numFmtId="178" fontId="21" fillId="16" borderId="128" xfId="9" applyNumberFormat="1" applyFont="1" applyFill="1" applyBorder="1" applyAlignment="1"/>
    <xf numFmtId="0" fontId="21" fillId="16" borderId="126" xfId="0" applyFont="1" applyFill="1" applyBorder="1"/>
    <xf numFmtId="38" fontId="21" fillId="16" borderId="5" xfId="9" applyFont="1" applyFill="1" applyBorder="1" applyAlignment="1"/>
    <xf numFmtId="0" fontId="21" fillId="0" borderId="108" xfId="0" applyFont="1" applyBorder="1"/>
    <xf numFmtId="0" fontId="21" fillId="16" borderId="110" xfId="0" applyFont="1" applyFill="1" applyBorder="1"/>
    <xf numFmtId="0" fontId="21" fillId="16" borderId="106" xfId="0" applyFont="1" applyFill="1" applyBorder="1"/>
    <xf numFmtId="38" fontId="21" fillId="16" borderId="139" xfId="9" applyFont="1" applyFill="1" applyBorder="1" applyAlignment="1"/>
    <xf numFmtId="38" fontId="21" fillId="16" borderId="138" xfId="9" applyFont="1" applyFill="1" applyBorder="1" applyAlignment="1"/>
    <xf numFmtId="38" fontId="21" fillId="0" borderId="108" xfId="9" applyFont="1" applyBorder="1" applyAlignment="1"/>
    <xf numFmtId="0" fontId="21" fillId="14" borderId="126" xfId="0" applyFont="1" applyFill="1" applyBorder="1"/>
    <xf numFmtId="38" fontId="21" fillId="14" borderId="127" xfId="9" applyFont="1" applyFill="1" applyBorder="1" applyAlignment="1"/>
    <xf numFmtId="38" fontId="21" fillId="14" borderId="126" xfId="9" applyFont="1" applyFill="1" applyBorder="1" applyAlignment="1"/>
    <xf numFmtId="0" fontId="21" fillId="0" borderId="128" xfId="0" applyFont="1" applyBorder="1"/>
    <xf numFmtId="38" fontId="21" fillId="0" borderId="129" xfId="9" applyFont="1" applyBorder="1" applyAlignment="1"/>
    <xf numFmtId="38" fontId="21" fillId="0" borderId="128" xfId="9" applyFont="1" applyBorder="1" applyAlignment="1"/>
    <xf numFmtId="38" fontId="21" fillId="16" borderId="112" xfId="9" applyFont="1" applyFill="1" applyBorder="1" applyAlignment="1"/>
    <xf numFmtId="38" fontId="21" fillId="16" borderId="110" xfId="9" applyFont="1" applyFill="1" applyBorder="1" applyAlignment="1"/>
    <xf numFmtId="0" fontId="21" fillId="16" borderId="113" xfId="0" applyFont="1" applyFill="1" applyBorder="1"/>
    <xf numFmtId="38" fontId="21" fillId="16" borderId="114" xfId="9" applyFont="1" applyFill="1" applyBorder="1" applyAlignment="1"/>
    <xf numFmtId="38" fontId="21" fillId="16" borderId="113" xfId="9" applyFont="1" applyFill="1" applyBorder="1" applyAlignment="1"/>
    <xf numFmtId="178" fontId="21" fillId="16" borderId="130" xfId="9" applyNumberFormat="1" applyFont="1" applyFill="1" applyBorder="1" applyAlignment="1"/>
    <xf numFmtId="177" fontId="21" fillId="0" borderId="0" xfId="9" applyNumberFormat="1" applyFont="1" applyBorder="1" applyAlignment="1"/>
    <xf numFmtId="38" fontId="21" fillId="16" borderId="134" xfId="9" applyFont="1" applyFill="1" applyBorder="1" applyAlignment="1"/>
    <xf numFmtId="176" fontId="16" fillId="6" borderId="29" xfId="0" applyNumberFormat="1" applyFont="1" applyFill="1" applyBorder="1" applyAlignment="1">
      <alignment horizontal="right" vertical="center"/>
    </xf>
    <xf numFmtId="176" fontId="16" fillId="5" borderId="22" xfId="0" applyNumberFormat="1" applyFont="1" applyFill="1" applyBorder="1" applyAlignment="1">
      <alignment horizontal="right" vertical="center"/>
    </xf>
    <xf numFmtId="176" fontId="16" fillId="6" borderId="38" xfId="0" applyNumberFormat="1" applyFont="1" applyFill="1" applyBorder="1" applyAlignment="1">
      <alignment horizontal="right" vertical="center"/>
    </xf>
    <xf numFmtId="176" fontId="16" fillId="5" borderId="159" xfId="1" applyNumberFormat="1" applyFont="1" applyFill="1" applyBorder="1" applyAlignment="1">
      <alignment horizontal="right" vertical="center"/>
    </xf>
    <xf numFmtId="176" fontId="16" fillId="5" borderId="159" xfId="0" applyNumberFormat="1" applyFont="1" applyFill="1" applyBorder="1" applyAlignment="1">
      <alignment horizontal="right" vertical="center"/>
    </xf>
    <xf numFmtId="176" fontId="27" fillId="0" borderId="26" xfId="0" applyNumberFormat="1" applyFont="1" applyBorder="1" applyAlignment="1">
      <alignment horizontal="right" vertical="center" shrinkToFit="1"/>
    </xf>
    <xf numFmtId="176" fontId="16" fillId="6" borderId="39" xfId="0" applyNumberFormat="1" applyFont="1" applyFill="1" applyBorder="1" applyAlignment="1">
      <alignment horizontal="right" vertical="center"/>
    </xf>
    <xf numFmtId="176" fontId="16" fillId="5" borderId="22" xfId="1" applyNumberFormat="1" applyFont="1" applyFill="1" applyBorder="1" applyAlignment="1">
      <alignment horizontal="right" vertical="center"/>
    </xf>
    <xf numFmtId="176" fontId="7" fillId="10" borderId="151" xfId="0" applyNumberFormat="1" applyFont="1" applyFill="1" applyBorder="1" applyAlignment="1">
      <alignment horizontal="right" vertical="center"/>
    </xf>
    <xf numFmtId="176" fontId="7" fillId="10" borderId="80" xfId="0" applyNumberFormat="1" applyFont="1" applyFill="1" applyBorder="1" applyAlignment="1">
      <alignment horizontal="right" vertical="center"/>
    </xf>
    <xf numFmtId="176" fontId="7" fillId="0" borderId="84" xfId="0" applyNumberFormat="1" applyFont="1" applyBorder="1" applyAlignment="1">
      <alignment horizontal="right" vertical="center"/>
    </xf>
    <xf numFmtId="176" fontId="7" fillId="11" borderId="84" xfId="0" applyNumberFormat="1" applyFont="1" applyFill="1" applyBorder="1" applyAlignment="1">
      <alignment horizontal="right" vertical="center"/>
    </xf>
    <xf numFmtId="176" fontId="17" fillId="4" borderId="125" xfId="0" applyNumberFormat="1" applyFont="1" applyFill="1" applyBorder="1" applyAlignment="1">
      <alignment horizontal="right" vertical="center"/>
    </xf>
    <xf numFmtId="176" fontId="7" fillId="10" borderId="95" xfId="0" applyNumberFormat="1" applyFont="1" applyFill="1" applyBorder="1" applyAlignment="1">
      <alignment horizontal="right" vertical="center"/>
    </xf>
    <xf numFmtId="176" fontId="17" fillId="4" borderId="90" xfId="0" applyNumberFormat="1" applyFont="1" applyFill="1" applyBorder="1" applyAlignment="1">
      <alignment horizontal="right" vertical="center"/>
    </xf>
    <xf numFmtId="176" fontId="7" fillId="5" borderId="84" xfId="0" applyNumberFormat="1" applyFont="1" applyFill="1" applyBorder="1" applyAlignment="1">
      <alignment horizontal="right" vertical="center"/>
    </xf>
    <xf numFmtId="176" fontId="7" fillId="5" borderId="87" xfId="0" applyNumberFormat="1" applyFont="1" applyFill="1" applyBorder="1" applyAlignment="1">
      <alignment horizontal="right" vertical="center"/>
    </xf>
    <xf numFmtId="176" fontId="7" fillId="5" borderId="197" xfId="0" applyNumberFormat="1" applyFont="1" applyFill="1" applyBorder="1" applyAlignment="1">
      <alignment horizontal="right" vertical="center"/>
    </xf>
    <xf numFmtId="176" fontId="7" fillId="5" borderId="200" xfId="0" applyNumberFormat="1" applyFont="1" applyFill="1" applyBorder="1" applyAlignment="1">
      <alignment horizontal="right" vertical="center"/>
    </xf>
    <xf numFmtId="176" fontId="16" fillId="5" borderId="197" xfId="1" applyNumberFormat="1" applyFont="1" applyFill="1" applyBorder="1" applyAlignment="1">
      <alignment horizontal="right" vertical="center"/>
    </xf>
    <xf numFmtId="176" fontId="16" fillId="5" borderId="197" xfId="0" applyNumberFormat="1" applyFont="1" applyFill="1" applyBorder="1" applyAlignment="1">
      <alignment horizontal="right" vertical="center"/>
    </xf>
    <xf numFmtId="176" fontId="16" fillId="5" borderId="200" xfId="0" applyNumberFormat="1" applyFont="1" applyFill="1" applyBorder="1" applyAlignment="1">
      <alignment horizontal="right" vertical="center"/>
    </xf>
    <xf numFmtId="176" fontId="16" fillId="0" borderId="197" xfId="0" applyNumberFormat="1" applyFont="1" applyBorder="1" applyAlignment="1">
      <alignment horizontal="right" vertical="center"/>
    </xf>
    <xf numFmtId="176" fontId="16" fillId="0" borderId="197" xfId="1" applyNumberFormat="1" applyFont="1" applyBorder="1" applyAlignment="1">
      <alignment horizontal="right" vertical="center"/>
    </xf>
    <xf numFmtId="176" fontId="16" fillId="0" borderId="65" xfId="0" applyNumberFormat="1" applyFont="1" applyBorder="1" applyAlignment="1">
      <alignment horizontal="right" vertical="center" shrinkToFit="1"/>
    </xf>
    <xf numFmtId="176" fontId="16" fillId="0" borderId="70" xfId="0" applyNumberFormat="1" applyFont="1" applyBorder="1" applyAlignment="1">
      <alignment horizontal="right" vertical="center" shrinkToFit="1"/>
    </xf>
    <xf numFmtId="176" fontId="27" fillId="4" borderId="75" xfId="0" applyNumberFormat="1" applyFont="1" applyFill="1" applyBorder="1" applyAlignment="1">
      <alignment horizontal="right" vertical="center" shrinkToFit="1"/>
    </xf>
    <xf numFmtId="176" fontId="16" fillId="10" borderId="79" xfId="0" applyNumberFormat="1" applyFont="1" applyFill="1" applyBorder="1" applyAlignment="1">
      <alignment horizontal="right" vertical="center"/>
    </xf>
    <xf numFmtId="176" fontId="16" fillId="5" borderId="83" xfId="0" applyNumberFormat="1" applyFont="1" applyFill="1" applyBorder="1" applyAlignment="1">
      <alignment horizontal="right" vertical="center"/>
    </xf>
    <xf numFmtId="176" fontId="16" fillId="0" borderId="83" xfId="0" applyNumberFormat="1" applyFont="1" applyBorder="1" applyAlignment="1">
      <alignment horizontal="right" vertical="center"/>
    </xf>
    <xf numFmtId="176" fontId="16" fillId="11" borderId="176" xfId="0" applyNumberFormat="1" applyFont="1" applyFill="1" applyBorder="1" applyAlignment="1">
      <alignment horizontal="right" vertical="center"/>
    </xf>
    <xf numFmtId="176" fontId="27" fillId="4" borderId="36" xfId="0" applyNumberFormat="1" applyFont="1" applyFill="1" applyBorder="1" applyAlignment="1">
      <alignment horizontal="right" vertical="center"/>
    </xf>
    <xf numFmtId="176" fontId="16" fillId="10" borderId="195" xfId="0" applyNumberFormat="1" applyFont="1" applyFill="1" applyBorder="1" applyAlignment="1">
      <alignment horizontal="right" vertical="center"/>
    </xf>
    <xf numFmtId="176" fontId="16" fillId="0" borderId="159" xfId="0" applyNumberFormat="1" applyFont="1" applyBorder="1" applyAlignment="1">
      <alignment horizontal="right" vertical="center"/>
    </xf>
    <xf numFmtId="176" fontId="16" fillId="11" borderId="159" xfId="0" applyNumberFormat="1" applyFont="1" applyFill="1" applyBorder="1" applyAlignment="1">
      <alignment horizontal="right" vertical="center"/>
    </xf>
    <xf numFmtId="176" fontId="27" fillId="4" borderId="159" xfId="0" applyNumberFormat="1" applyFont="1" applyFill="1" applyBorder="1" applyAlignment="1">
      <alignment horizontal="right" vertical="center"/>
    </xf>
    <xf numFmtId="176" fontId="16" fillId="9" borderId="151" xfId="0" applyNumberFormat="1" applyFont="1" applyFill="1" applyBorder="1" applyAlignment="1">
      <alignment horizontal="right" vertical="center"/>
    </xf>
    <xf numFmtId="176" fontId="16" fillId="6" borderId="176" xfId="0" applyNumberFormat="1" applyFont="1" applyFill="1" applyBorder="1" applyAlignment="1">
      <alignment horizontal="right" vertical="center"/>
    </xf>
    <xf numFmtId="176" fontId="27" fillId="12" borderId="39" xfId="0" applyNumberFormat="1" applyFont="1" applyFill="1" applyBorder="1" applyAlignment="1">
      <alignment horizontal="right" vertical="center"/>
    </xf>
    <xf numFmtId="176" fontId="16" fillId="10" borderId="151" xfId="0" applyNumberFormat="1" applyFont="1" applyFill="1" applyBorder="1" applyAlignment="1">
      <alignment horizontal="right" vertical="center"/>
    </xf>
    <xf numFmtId="176" fontId="16" fillId="10" borderId="94" xfId="0" applyNumberFormat="1" applyFont="1" applyFill="1" applyBorder="1" applyAlignment="1">
      <alignment horizontal="right" vertical="center"/>
    </xf>
    <xf numFmtId="176" fontId="27" fillId="4" borderId="40" xfId="0" applyNumberFormat="1" applyFont="1" applyFill="1" applyBorder="1" applyAlignment="1">
      <alignment horizontal="right" vertical="center"/>
    </xf>
    <xf numFmtId="176" fontId="27" fillId="4" borderId="102" xfId="0" applyNumberFormat="1" applyFont="1" applyFill="1" applyBorder="1" applyAlignment="1">
      <alignment horizontal="right" vertical="center" shrinkToFit="1"/>
    </xf>
    <xf numFmtId="0" fontId="7" fillId="9" borderId="152" xfId="0" applyFont="1" applyFill="1" applyBorder="1" applyAlignment="1">
      <alignment horizontal="left" vertical="center"/>
    </xf>
    <xf numFmtId="0" fontId="17" fillId="12" borderId="11" xfId="0" applyFont="1" applyFill="1" applyBorder="1" applyAlignment="1">
      <alignment vertical="center" wrapText="1"/>
    </xf>
    <xf numFmtId="176" fontId="13" fillId="6" borderId="212" xfId="0" applyNumberFormat="1" applyFont="1" applyFill="1" applyBorder="1" applyAlignment="1">
      <alignment horizontal="right" vertical="center"/>
    </xf>
    <xf numFmtId="176" fontId="13" fillId="5" borderId="21" xfId="0" applyNumberFormat="1" applyFont="1" applyFill="1" applyBorder="1" applyAlignment="1">
      <alignment horizontal="right" vertical="center"/>
    </xf>
    <xf numFmtId="0" fontId="7" fillId="0" borderId="0" xfId="4" applyFont="1" applyAlignment="1">
      <alignment vertical="center" wrapText="1"/>
    </xf>
    <xf numFmtId="0" fontId="16" fillId="2" borderId="25" xfId="0" applyFont="1" applyFill="1" applyBorder="1" applyAlignment="1">
      <alignment horizontal="center" vertical="center" shrinkToFit="1"/>
    </xf>
    <xf numFmtId="176" fontId="16" fillId="5" borderId="33" xfId="0" applyNumberFormat="1" applyFont="1" applyFill="1" applyBorder="1" applyAlignment="1">
      <alignment horizontal="right" vertical="center"/>
    </xf>
    <xf numFmtId="176" fontId="16" fillId="6" borderId="41" xfId="0" applyNumberFormat="1" applyFont="1" applyFill="1" applyBorder="1" applyAlignment="1">
      <alignment horizontal="right" vertical="center"/>
    </xf>
    <xf numFmtId="176" fontId="16" fillId="5" borderId="196" xfId="0" applyNumberFormat="1" applyFont="1" applyFill="1" applyBorder="1" applyAlignment="1">
      <alignment horizontal="right" vertical="center"/>
    </xf>
    <xf numFmtId="176" fontId="16" fillId="5" borderId="199" xfId="0" applyNumberFormat="1" applyFont="1" applyFill="1" applyBorder="1" applyAlignment="1">
      <alignment horizontal="right" vertical="center"/>
    </xf>
    <xf numFmtId="176" fontId="27" fillId="0" borderId="25" xfId="0" applyNumberFormat="1" applyFont="1" applyBorder="1" applyAlignment="1">
      <alignment horizontal="right" vertical="center" shrinkToFit="1"/>
    </xf>
    <xf numFmtId="176" fontId="16" fillId="6" borderId="28" xfId="0" applyNumberFormat="1" applyFont="1" applyFill="1" applyBorder="1" applyAlignment="1">
      <alignment horizontal="right" vertical="center"/>
    </xf>
    <xf numFmtId="176" fontId="16" fillId="5" borderId="31" xfId="1" applyNumberFormat="1" applyFont="1" applyFill="1" applyBorder="1" applyAlignment="1">
      <alignment horizontal="right" vertical="center"/>
    </xf>
    <xf numFmtId="176" fontId="16" fillId="5" borderId="31" xfId="0" applyNumberFormat="1" applyFont="1" applyFill="1" applyBorder="1" applyAlignment="1">
      <alignment horizontal="right" vertical="center"/>
    </xf>
    <xf numFmtId="176" fontId="16" fillId="5" borderId="32" xfId="0" applyNumberFormat="1" applyFont="1" applyFill="1" applyBorder="1" applyAlignment="1">
      <alignment horizontal="right" vertical="center"/>
    </xf>
    <xf numFmtId="176" fontId="16" fillId="5" borderId="196" xfId="1" applyNumberFormat="1" applyFont="1" applyFill="1" applyBorder="1" applyAlignment="1">
      <alignment horizontal="right" vertical="center"/>
    </xf>
    <xf numFmtId="176" fontId="16" fillId="5" borderId="203" xfId="0" applyNumberFormat="1" applyFont="1" applyFill="1" applyBorder="1" applyAlignment="1">
      <alignment horizontal="right" vertical="center"/>
    </xf>
    <xf numFmtId="176" fontId="16" fillId="6" borderId="62" xfId="0" applyNumberFormat="1" applyFont="1" applyFill="1" applyBorder="1" applyAlignment="1">
      <alignment horizontal="right" vertical="center"/>
    </xf>
    <xf numFmtId="176" fontId="16" fillId="0" borderId="196" xfId="0" applyNumberFormat="1" applyFont="1" applyBorder="1" applyAlignment="1">
      <alignment horizontal="right" vertical="center"/>
    </xf>
    <xf numFmtId="176" fontId="16" fillId="0" borderId="196" xfId="1" applyNumberFormat="1" applyFont="1" applyBorder="1" applyAlignment="1">
      <alignment horizontal="right" vertical="center"/>
    </xf>
    <xf numFmtId="176" fontId="16" fillId="0" borderId="199" xfId="0" applyNumberFormat="1" applyFont="1" applyBorder="1" applyAlignment="1">
      <alignment horizontal="right" vertical="center"/>
    </xf>
    <xf numFmtId="176" fontId="16" fillId="5" borderId="202" xfId="0" applyNumberFormat="1" applyFont="1" applyFill="1" applyBorder="1" applyAlignment="1">
      <alignment horizontal="right" vertical="center"/>
    </xf>
    <xf numFmtId="176" fontId="16" fillId="5" borderId="205" xfId="0" applyNumberFormat="1" applyFont="1" applyFill="1" applyBorder="1" applyAlignment="1">
      <alignment horizontal="right" vertical="center"/>
    </xf>
    <xf numFmtId="176" fontId="27" fillId="7" borderId="185" xfId="0" applyNumberFormat="1" applyFont="1" applyFill="1" applyBorder="1" applyAlignment="1">
      <alignment horizontal="right" vertical="center" shrinkToFit="1"/>
    </xf>
    <xf numFmtId="176" fontId="16" fillId="5" borderId="204" xfId="0" applyNumberFormat="1" applyFont="1" applyFill="1" applyBorder="1" applyAlignment="1">
      <alignment horizontal="right" vertical="center"/>
    </xf>
    <xf numFmtId="176" fontId="16" fillId="0" borderId="200" xfId="0" applyNumberFormat="1" applyFont="1" applyBorder="1" applyAlignment="1">
      <alignment horizontal="right" vertical="center"/>
    </xf>
    <xf numFmtId="176" fontId="16" fillId="5" borderId="183" xfId="0" applyNumberFormat="1" applyFont="1" applyFill="1" applyBorder="1" applyAlignment="1">
      <alignment horizontal="right" vertical="center"/>
    </xf>
    <xf numFmtId="176" fontId="16" fillId="5" borderId="206" xfId="0" applyNumberFormat="1" applyFont="1" applyFill="1" applyBorder="1" applyAlignment="1">
      <alignment horizontal="right" vertical="center"/>
    </xf>
    <xf numFmtId="176" fontId="7" fillId="0" borderId="41" xfId="0" applyNumberFormat="1" applyFont="1" applyBorder="1" applyAlignment="1">
      <alignment horizontal="right" vertical="center" shrinkToFit="1"/>
    </xf>
    <xf numFmtId="176" fontId="7" fillId="0" borderId="38" xfId="0" applyNumberFormat="1" applyFont="1" applyBorder="1" applyAlignment="1">
      <alignment horizontal="right" vertical="center" shrinkToFit="1"/>
    </xf>
    <xf numFmtId="176" fontId="7" fillId="6" borderId="29" xfId="0" applyNumberFormat="1" applyFont="1" applyFill="1" applyBorder="1" applyAlignment="1">
      <alignment horizontal="right" vertical="center"/>
    </xf>
    <xf numFmtId="176" fontId="7" fillId="5" borderId="33" xfId="0" applyNumberFormat="1" applyFont="1" applyFill="1" applyBorder="1" applyAlignment="1">
      <alignment horizontal="right" vertical="center"/>
    </xf>
    <xf numFmtId="176" fontId="7" fillId="6" borderId="41" xfId="0" applyNumberFormat="1" applyFont="1" applyFill="1" applyBorder="1" applyAlignment="1">
      <alignment horizontal="right" vertical="center"/>
    </xf>
    <xf numFmtId="176" fontId="7" fillId="5" borderId="170" xfId="1" applyNumberFormat="1" applyFont="1" applyFill="1" applyBorder="1" applyAlignment="1">
      <alignment horizontal="right" vertical="center"/>
    </xf>
    <xf numFmtId="176" fontId="7" fillId="5" borderId="196" xfId="0" applyNumberFormat="1" applyFont="1" applyFill="1" applyBorder="1" applyAlignment="1">
      <alignment horizontal="right" vertical="center"/>
    </xf>
    <xf numFmtId="176" fontId="7" fillId="5" borderId="199" xfId="0" applyNumberFormat="1" applyFont="1" applyFill="1" applyBorder="1" applyAlignment="1">
      <alignment horizontal="right" vertical="center"/>
    </xf>
    <xf numFmtId="176" fontId="7" fillId="5" borderId="170" xfId="0" applyNumberFormat="1" applyFont="1" applyFill="1" applyBorder="1" applyAlignment="1">
      <alignment horizontal="right" vertical="center"/>
    </xf>
    <xf numFmtId="176" fontId="7" fillId="5" borderId="190" xfId="0" applyNumberFormat="1" applyFont="1" applyFill="1" applyBorder="1" applyAlignment="1">
      <alignment horizontal="right" vertical="center"/>
    </xf>
    <xf numFmtId="176" fontId="17" fillId="7" borderId="36" xfId="0" applyNumberFormat="1" applyFont="1" applyFill="1" applyBorder="1" applyAlignment="1">
      <alignment horizontal="right" vertical="center" shrinkToFit="1"/>
    </xf>
    <xf numFmtId="176" fontId="7" fillId="6" borderId="23" xfId="0" applyNumberFormat="1" applyFont="1" applyFill="1" applyBorder="1" applyAlignment="1">
      <alignment horizontal="right" vertical="center"/>
    </xf>
    <xf numFmtId="176" fontId="7" fillId="5" borderId="4" xfId="0" applyNumberFormat="1" applyFont="1" applyFill="1" applyBorder="1" applyAlignment="1">
      <alignment horizontal="right" vertical="center"/>
    </xf>
    <xf numFmtId="176" fontId="7" fillId="5" borderId="196" xfId="1" applyNumberFormat="1" applyFont="1" applyFill="1" applyBorder="1" applyAlignment="1">
      <alignment horizontal="right" vertical="center"/>
    </xf>
    <xf numFmtId="176" fontId="7" fillId="5" borderId="197" xfId="1" applyNumberFormat="1" applyFont="1" applyFill="1" applyBorder="1" applyAlignment="1">
      <alignment horizontal="right" vertical="center"/>
    </xf>
    <xf numFmtId="176" fontId="7" fillId="5" borderId="11" xfId="0" applyNumberFormat="1" applyFont="1" applyFill="1" applyBorder="1" applyAlignment="1">
      <alignment horizontal="right" vertical="center"/>
    </xf>
    <xf numFmtId="176" fontId="7" fillId="5" borderId="21" xfId="0" applyNumberFormat="1" applyFont="1" applyFill="1" applyBorder="1" applyAlignment="1">
      <alignment horizontal="right" vertical="center"/>
    </xf>
    <xf numFmtId="176" fontId="14" fillId="12" borderId="24" xfId="0" applyNumberFormat="1" applyFont="1" applyFill="1" applyBorder="1" applyAlignment="1">
      <alignment horizontal="right" vertical="center"/>
    </xf>
    <xf numFmtId="176" fontId="16" fillId="0" borderId="38" xfId="0" applyNumberFormat="1" applyFont="1" applyBorder="1" applyAlignment="1">
      <alignment horizontal="right" vertical="center" shrinkToFit="1"/>
    </xf>
    <xf numFmtId="176" fontId="16" fillId="5" borderId="190" xfId="0" applyNumberFormat="1" applyFont="1" applyFill="1" applyBorder="1" applyAlignment="1">
      <alignment horizontal="right" vertical="center"/>
    </xf>
    <xf numFmtId="176" fontId="14" fillId="7" borderId="67" xfId="0" applyNumberFormat="1" applyFont="1" applyFill="1" applyBorder="1" applyAlignment="1">
      <alignment horizontal="right" vertical="center" shrinkToFit="1"/>
    </xf>
    <xf numFmtId="176" fontId="13" fillId="10" borderId="213" xfId="0" applyNumberFormat="1" applyFont="1" applyFill="1" applyBorder="1" applyAlignment="1">
      <alignment horizontal="right" vertical="center"/>
    </xf>
    <xf numFmtId="176" fontId="13" fillId="9" borderId="214" xfId="0" applyNumberFormat="1" applyFont="1" applyFill="1" applyBorder="1" applyAlignment="1">
      <alignment horizontal="right" vertical="center"/>
    </xf>
    <xf numFmtId="0" fontId="17" fillId="12" borderId="215" xfId="0" applyFont="1" applyFill="1" applyBorder="1" applyAlignment="1">
      <alignment vertical="center" wrapText="1"/>
    </xf>
    <xf numFmtId="176" fontId="17" fillId="12" borderId="98" xfId="0" applyNumberFormat="1" applyFont="1" applyFill="1" applyBorder="1" applyAlignment="1">
      <alignment horizontal="right" vertical="center"/>
    </xf>
    <xf numFmtId="176" fontId="17" fillId="12" borderId="40" xfId="0" applyNumberFormat="1" applyFont="1" applyFill="1" applyBorder="1" applyAlignment="1">
      <alignment horizontal="right" vertical="center"/>
    </xf>
    <xf numFmtId="176" fontId="14" fillId="4" borderId="216" xfId="0" applyNumberFormat="1" applyFont="1" applyFill="1" applyBorder="1" applyAlignment="1">
      <alignment horizontal="right" vertical="center"/>
    </xf>
    <xf numFmtId="176" fontId="14" fillId="12" borderId="217" xfId="0" applyNumberFormat="1" applyFont="1" applyFill="1" applyBorder="1" applyAlignment="1">
      <alignment horizontal="right" vertical="center"/>
    </xf>
    <xf numFmtId="176" fontId="16" fillId="19" borderId="83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wrapText="1"/>
    </xf>
    <xf numFmtId="176" fontId="7" fillId="5" borderId="218" xfId="0" applyNumberFormat="1" applyFont="1" applyFill="1" applyBorder="1" applyAlignment="1">
      <alignment horizontal="right" vertical="center"/>
    </xf>
    <xf numFmtId="176" fontId="7" fillId="5" borderId="219" xfId="0" applyNumberFormat="1" applyFont="1" applyFill="1" applyBorder="1" applyAlignment="1">
      <alignment horizontal="right" vertical="center"/>
    </xf>
    <xf numFmtId="1" fontId="16" fillId="5" borderId="159" xfId="1" applyNumberFormat="1" applyFont="1" applyFill="1" applyBorder="1" applyAlignment="1">
      <alignment horizontal="right" vertical="center"/>
    </xf>
    <xf numFmtId="1" fontId="16" fillId="5" borderId="159" xfId="0" applyNumberFormat="1" applyFont="1" applyFill="1" applyBorder="1" applyAlignment="1">
      <alignment horizontal="right" vertical="center"/>
    </xf>
    <xf numFmtId="176" fontId="7" fillId="6" borderId="62" xfId="0" applyNumberFormat="1" applyFont="1" applyFill="1" applyBorder="1" applyAlignment="1">
      <alignment horizontal="right" vertical="center"/>
    </xf>
    <xf numFmtId="176" fontId="7" fillId="6" borderId="39" xfId="0" applyNumberFormat="1" applyFont="1" applyFill="1" applyBorder="1" applyAlignment="1">
      <alignment horizontal="right" vertical="center"/>
    </xf>
    <xf numFmtId="176" fontId="7" fillId="5" borderId="221" xfId="0" applyNumberFormat="1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right" vertical="center" shrinkToFit="1"/>
    </xf>
    <xf numFmtId="0" fontId="7" fillId="5" borderId="24" xfId="0" applyFont="1" applyFill="1" applyBorder="1" applyAlignment="1">
      <alignment horizontal="right" vertical="center" shrinkToFit="1"/>
    </xf>
    <xf numFmtId="176" fontId="13" fillId="19" borderId="83" xfId="0" applyNumberFormat="1" applyFont="1" applyFill="1" applyBorder="1" applyAlignment="1">
      <alignment horizontal="right" vertical="center"/>
    </xf>
    <xf numFmtId="176" fontId="13" fillId="7" borderId="223" xfId="0" applyNumberFormat="1" applyFont="1" applyFill="1" applyBorder="1" applyAlignment="1">
      <alignment horizontal="right" vertical="center" shrinkToFit="1"/>
    </xf>
    <xf numFmtId="176" fontId="13" fillId="7" borderId="224" xfId="0" applyNumberFormat="1" applyFont="1" applyFill="1" applyBorder="1" applyAlignment="1">
      <alignment horizontal="right" vertical="center" shrinkToFit="1"/>
    </xf>
    <xf numFmtId="0" fontId="7" fillId="5" borderId="82" xfId="0" applyFont="1" applyFill="1" applyBorder="1" applyAlignment="1">
      <alignment horizontal="right" vertical="center" shrinkToFit="1"/>
    </xf>
    <xf numFmtId="176" fontId="16" fillId="7" borderId="193" xfId="0" applyNumberFormat="1" applyFont="1" applyFill="1" applyBorder="1" applyAlignment="1">
      <alignment horizontal="right" vertical="center" shrinkToFit="1"/>
    </xf>
    <xf numFmtId="176" fontId="16" fillId="7" borderId="70" xfId="0" applyNumberFormat="1" applyFont="1" applyFill="1" applyBorder="1" applyAlignment="1">
      <alignment horizontal="right" vertical="center" shrinkToFit="1"/>
    </xf>
    <xf numFmtId="176" fontId="27" fillId="7" borderId="36" xfId="0" applyNumberFormat="1" applyFont="1" applyFill="1" applyBorder="1" applyAlignment="1">
      <alignment horizontal="right" vertical="center" shrinkToFit="1"/>
    </xf>
    <xf numFmtId="176" fontId="16" fillId="0" borderId="22" xfId="1" applyNumberFormat="1" applyFont="1" applyBorder="1" applyAlignment="1">
      <alignment horizontal="right" vertical="center"/>
    </xf>
    <xf numFmtId="0" fontId="17" fillId="0" borderId="9" xfId="0" applyFont="1" applyBorder="1" applyAlignment="1">
      <alignment horizontal="right" vertical="center" wrapText="1"/>
    </xf>
    <xf numFmtId="176" fontId="16" fillId="5" borderId="221" xfId="0" applyNumberFormat="1" applyFont="1" applyFill="1" applyBorder="1" applyAlignment="1">
      <alignment horizontal="right" vertical="center"/>
    </xf>
    <xf numFmtId="176" fontId="7" fillId="5" borderId="199" xfId="1" applyNumberFormat="1" applyFont="1" applyFill="1" applyBorder="1" applyAlignment="1">
      <alignment horizontal="right" vertical="center"/>
    </xf>
    <xf numFmtId="176" fontId="7" fillId="5" borderId="200" xfId="1" applyNumberFormat="1" applyFont="1" applyFill="1" applyBorder="1" applyAlignment="1">
      <alignment horizontal="right" vertical="center"/>
    </xf>
    <xf numFmtId="176" fontId="7" fillId="10" borderId="158" xfId="0" applyNumberFormat="1" applyFont="1" applyFill="1" applyBorder="1" applyAlignment="1">
      <alignment horizontal="right" vertical="center"/>
    </xf>
    <xf numFmtId="176" fontId="7" fillId="9" borderId="149" xfId="0" applyNumberFormat="1" applyFont="1" applyFill="1" applyBorder="1" applyAlignment="1">
      <alignment horizontal="right" vertical="center"/>
    </xf>
    <xf numFmtId="176" fontId="7" fillId="5" borderId="148" xfId="0" applyNumberFormat="1" applyFont="1" applyFill="1" applyBorder="1" applyAlignment="1">
      <alignment horizontal="right" vertical="center"/>
    </xf>
    <xf numFmtId="176" fontId="7" fillId="0" borderId="87" xfId="0" applyNumberFormat="1" applyFont="1" applyBorder="1" applyAlignment="1">
      <alignment horizontal="right" vertical="center"/>
    </xf>
    <xf numFmtId="176" fontId="7" fillId="11" borderId="177" xfId="0" applyNumberFormat="1" applyFont="1" applyFill="1" applyBorder="1" applyAlignment="1">
      <alignment horizontal="right" vertical="center"/>
    </xf>
    <xf numFmtId="176" fontId="7" fillId="11" borderId="148" xfId="0" applyNumberFormat="1" applyFont="1" applyFill="1" applyBorder="1" applyAlignment="1">
      <alignment horizontal="right" vertical="center"/>
    </xf>
    <xf numFmtId="176" fontId="7" fillId="5" borderId="122" xfId="0" applyNumberFormat="1" applyFont="1" applyFill="1" applyBorder="1" applyAlignment="1">
      <alignment horizontal="right" vertical="center"/>
    </xf>
    <xf numFmtId="176" fontId="17" fillId="4" borderId="178" xfId="0" applyNumberFormat="1" applyFont="1" applyFill="1" applyBorder="1" applyAlignment="1">
      <alignment horizontal="right" vertical="center"/>
    </xf>
    <xf numFmtId="176" fontId="17" fillId="12" borderId="11" xfId="0" applyNumberFormat="1" applyFont="1" applyFill="1" applyBorder="1" applyAlignment="1">
      <alignment horizontal="right" vertical="center"/>
    </xf>
    <xf numFmtId="176" fontId="16" fillId="5" borderId="219" xfId="0" applyNumberFormat="1" applyFont="1" applyFill="1" applyBorder="1" applyAlignment="1">
      <alignment horizontal="right" vertical="center"/>
    </xf>
    <xf numFmtId="176" fontId="16" fillId="5" borderId="200" xfId="1" applyNumberFormat="1" applyFont="1" applyFill="1" applyBorder="1" applyAlignment="1">
      <alignment horizontal="right" vertical="center"/>
    </xf>
    <xf numFmtId="38" fontId="21" fillId="0" borderId="0" xfId="9" applyFont="1" applyAlignment="1"/>
    <xf numFmtId="0" fontId="0" fillId="0" borderId="108" xfId="0" applyBorder="1" applyAlignment="1">
      <alignment shrinkToFit="1"/>
    </xf>
    <xf numFmtId="0" fontId="0" fillId="0" borderId="126" xfId="0" applyBorder="1" applyAlignment="1">
      <alignment shrinkToFit="1"/>
    </xf>
    <xf numFmtId="177" fontId="21" fillId="0" borderId="121" xfId="9" applyNumberFormat="1" applyFont="1" applyBorder="1" applyAlignment="1"/>
    <xf numFmtId="177" fontId="21" fillId="0" borderId="5" xfId="9" applyNumberFormat="1" applyFont="1" applyBorder="1" applyAlignment="1"/>
    <xf numFmtId="38" fontId="21" fillId="0" borderId="226" xfId="9" applyFont="1" applyBorder="1" applyAlignment="1"/>
    <xf numFmtId="177" fontId="21" fillId="0" borderId="227" xfId="9" applyNumberFormat="1" applyFont="1" applyBorder="1" applyAlignment="1"/>
    <xf numFmtId="177" fontId="21" fillId="0" borderId="126" xfId="9" applyNumberFormat="1" applyFont="1" applyBorder="1" applyAlignment="1"/>
    <xf numFmtId="176" fontId="7" fillId="9" borderId="228" xfId="0" applyNumberFormat="1" applyFont="1" applyFill="1" applyBorder="1" applyAlignment="1">
      <alignment horizontal="right" vertical="center"/>
    </xf>
    <xf numFmtId="176" fontId="7" fillId="9" borderId="94" xfId="0" applyNumberFormat="1" applyFont="1" applyFill="1" applyBorder="1" applyAlignment="1">
      <alignment horizontal="right" vertical="center"/>
    </xf>
    <xf numFmtId="176" fontId="17" fillId="12" borderId="35" xfId="0" applyNumberFormat="1" applyFont="1" applyFill="1" applyBorder="1" applyAlignment="1">
      <alignment horizontal="right" vertical="center"/>
    </xf>
    <xf numFmtId="176" fontId="17" fillId="12" borderId="36" xfId="0" applyNumberFormat="1" applyFont="1" applyFill="1" applyBorder="1" applyAlignment="1">
      <alignment horizontal="right" vertical="center"/>
    </xf>
    <xf numFmtId="38" fontId="21" fillId="16" borderId="130" xfId="9" applyFont="1" applyFill="1" applyBorder="1" applyAlignment="1"/>
    <xf numFmtId="176" fontId="13" fillId="5" borderId="221" xfId="0" applyNumberFormat="1" applyFont="1" applyFill="1" applyBorder="1" applyAlignment="1">
      <alignment horizontal="right" vertical="center"/>
    </xf>
    <xf numFmtId="176" fontId="3" fillId="6" borderId="38" xfId="0" applyNumberFormat="1" applyFont="1" applyFill="1" applyBorder="1" applyAlignment="1">
      <alignment horizontal="right" vertical="center"/>
    </xf>
    <xf numFmtId="0" fontId="16" fillId="2" borderId="42" xfId="0" applyFont="1" applyFill="1" applyBorder="1" applyAlignment="1">
      <alignment horizontal="center" vertical="center" shrinkToFit="1"/>
    </xf>
    <xf numFmtId="176" fontId="16" fillId="0" borderId="43" xfId="0" applyNumberFormat="1" applyFont="1" applyBorder="1" applyAlignment="1">
      <alignment horizontal="right" vertical="center" shrinkToFit="1"/>
    </xf>
    <xf numFmtId="176" fontId="16" fillId="6" borderId="44" xfId="0" applyNumberFormat="1" applyFont="1" applyFill="1" applyBorder="1" applyAlignment="1">
      <alignment horizontal="right" vertical="center"/>
    </xf>
    <xf numFmtId="176" fontId="16" fillId="6" borderId="92" xfId="0" applyNumberFormat="1" applyFont="1" applyFill="1" applyBorder="1" applyAlignment="1">
      <alignment horizontal="right" vertical="center"/>
    </xf>
    <xf numFmtId="176" fontId="16" fillId="5" borderId="171" xfId="1" applyNumberFormat="1" applyFont="1" applyFill="1" applyBorder="1" applyAlignment="1">
      <alignment horizontal="right" vertical="center"/>
    </xf>
    <xf numFmtId="176" fontId="16" fillId="5" borderId="198" xfId="0" applyNumberFormat="1" applyFont="1" applyFill="1" applyBorder="1" applyAlignment="1">
      <alignment horizontal="right" vertical="center"/>
    </xf>
    <xf numFmtId="176" fontId="16" fillId="5" borderId="201" xfId="0" applyNumberFormat="1" applyFont="1" applyFill="1" applyBorder="1" applyAlignment="1">
      <alignment horizontal="right" vertical="center"/>
    </xf>
    <xf numFmtId="176" fontId="16" fillId="5" borderId="171" xfId="0" applyNumberFormat="1" applyFont="1" applyFill="1" applyBorder="1" applyAlignment="1">
      <alignment horizontal="right" vertical="center"/>
    </xf>
    <xf numFmtId="176" fontId="16" fillId="5" borderId="220" xfId="0" applyNumberFormat="1" applyFont="1" applyFill="1" applyBorder="1" applyAlignment="1">
      <alignment horizontal="right" vertical="center"/>
    </xf>
    <xf numFmtId="176" fontId="16" fillId="5" borderId="222" xfId="0" applyNumberFormat="1" applyFont="1" applyFill="1" applyBorder="1" applyAlignment="1">
      <alignment horizontal="right" vertical="center"/>
    </xf>
    <xf numFmtId="176" fontId="16" fillId="5" borderId="191" xfId="0" applyNumberFormat="1" applyFont="1" applyFill="1" applyBorder="1" applyAlignment="1">
      <alignment horizontal="right" vertical="center"/>
    </xf>
    <xf numFmtId="176" fontId="27" fillId="0" borderId="42" xfId="0" applyNumberFormat="1" applyFont="1" applyBorder="1" applyAlignment="1">
      <alignment horizontal="right" vertical="center" shrinkToFit="1"/>
    </xf>
    <xf numFmtId="176" fontId="16" fillId="5" borderId="207" xfId="1" applyNumberFormat="1" applyFont="1" applyFill="1" applyBorder="1" applyAlignment="1">
      <alignment horizontal="right" vertical="center"/>
    </xf>
    <xf numFmtId="176" fontId="16" fillId="5" borderId="207" xfId="0" applyNumberFormat="1" applyFont="1" applyFill="1" applyBorder="1" applyAlignment="1">
      <alignment horizontal="right" vertical="center"/>
    </xf>
    <xf numFmtId="176" fontId="16" fillId="5" borderId="45" xfId="0" applyNumberFormat="1" applyFont="1" applyFill="1" applyBorder="1" applyAlignment="1">
      <alignment horizontal="right" vertical="center"/>
    </xf>
    <xf numFmtId="176" fontId="16" fillId="6" borderId="43" xfId="0" applyNumberFormat="1" applyFont="1" applyFill="1" applyBorder="1" applyAlignment="1">
      <alignment horizontal="right" vertical="center"/>
    </xf>
    <xf numFmtId="176" fontId="16" fillId="5" borderId="208" xfId="1" applyNumberFormat="1" applyFont="1" applyFill="1" applyBorder="1" applyAlignment="1">
      <alignment horizontal="right" vertical="center"/>
    </xf>
    <xf numFmtId="176" fontId="16" fillId="5" borderId="208" xfId="0" applyNumberFormat="1" applyFont="1" applyFill="1" applyBorder="1" applyAlignment="1">
      <alignment horizontal="right" vertical="center"/>
    </xf>
    <xf numFmtId="176" fontId="16" fillId="5" borderId="209" xfId="0" applyNumberFormat="1" applyFont="1" applyFill="1" applyBorder="1" applyAlignment="1">
      <alignment horizontal="right" vertical="center"/>
    </xf>
    <xf numFmtId="176" fontId="16" fillId="5" borderId="210" xfId="0" applyNumberFormat="1" applyFont="1" applyFill="1" applyBorder="1" applyAlignment="1">
      <alignment horizontal="right" vertical="center"/>
    </xf>
    <xf numFmtId="176" fontId="16" fillId="6" borderId="168" xfId="0" applyNumberFormat="1" applyFont="1" applyFill="1" applyBorder="1" applyAlignment="1">
      <alignment horizontal="right" vertical="center"/>
    </xf>
    <xf numFmtId="176" fontId="16" fillId="5" borderId="210" xfId="1" applyNumberFormat="1" applyFont="1" applyFill="1" applyBorder="1" applyAlignment="1">
      <alignment horizontal="right" vertical="center"/>
    </xf>
    <xf numFmtId="176" fontId="16" fillId="0" borderId="208" xfId="0" applyNumberFormat="1" applyFont="1" applyBorder="1" applyAlignment="1">
      <alignment horizontal="right" vertical="center"/>
    </xf>
    <xf numFmtId="176" fontId="16" fillId="0" borderId="208" xfId="1" applyNumberFormat="1" applyFont="1" applyBorder="1" applyAlignment="1">
      <alignment horizontal="right" vertical="center"/>
    </xf>
    <xf numFmtId="176" fontId="16" fillId="0" borderId="210" xfId="0" applyNumberFormat="1" applyFont="1" applyBorder="1" applyAlignment="1">
      <alignment horizontal="right" vertical="center"/>
    </xf>
    <xf numFmtId="176" fontId="16" fillId="5" borderId="211" xfId="0" applyNumberFormat="1" applyFont="1" applyFill="1" applyBorder="1" applyAlignment="1">
      <alignment horizontal="right" vertical="center"/>
    </xf>
    <xf numFmtId="176" fontId="16" fillId="5" borderId="167" xfId="1" applyNumberFormat="1" applyFont="1" applyFill="1" applyBorder="1" applyAlignment="1">
      <alignment horizontal="right" vertical="center"/>
    </xf>
    <xf numFmtId="176" fontId="16" fillId="5" borderId="167" xfId="0" applyNumberFormat="1" applyFont="1" applyFill="1" applyBorder="1" applyAlignment="1">
      <alignment horizontal="right" vertical="center"/>
    </xf>
    <xf numFmtId="176" fontId="16" fillId="5" borderId="225" xfId="0" applyNumberFormat="1" applyFont="1" applyFill="1" applyBorder="1" applyAlignment="1">
      <alignment horizontal="right" vertical="center"/>
    </xf>
    <xf numFmtId="0" fontId="7" fillId="0" borderId="55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5" borderId="56" xfId="0" applyFont="1" applyFill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center" vertical="center" wrapText="1"/>
    </xf>
    <xf numFmtId="0" fontId="7" fillId="5" borderId="5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6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 wrapText="1"/>
    </xf>
    <xf numFmtId="0" fontId="7" fillId="8" borderId="49" xfId="0" applyFont="1" applyFill="1" applyBorder="1" applyAlignment="1">
      <alignment horizontal="center" vertical="center" wrapText="1"/>
    </xf>
    <xf numFmtId="0" fontId="7" fillId="8" borderId="52" xfId="0" applyFont="1" applyFill="1" applyBorder="1" applyAlignment="1">
      <alignment horizontal="center" vertical="center" wrapText="1"/>
    </xf>
    <xf numFmtId="0" fontId="7" fillId="18" borderId="49" xfId="0" applyFont="1" applyFill="1" applyBorder="1" applyAlignment="1">
      <alignment horizontal="center" vertical="center" wrapText="1"/>
    </xf>
    <xf numFmtId="0" fontId="7" fillId="18" borderId="52" xfId="0" applyFont="1" applyFill="1" applyBorder="1" applyAlignment="1">
      <alignment horizontal="center" vertical="center" wrapText="1"/>
    </xf>
    <xf numFmtId="0" fontId="7" fillId="5" borderId="188" xfId="0" applyFont="1" applyFill="1" applyBorder="1" applyAlignment="1">
      <alignment horizontal="center" vertical="center" wrapText="1"/>
    </xf>
    <xf numFmtId="0" fontId="7" fillId="0" borderId="187" xfId="0" applyFont="1" applyBorder="1" applyAlignment="1">
      <alignment horizontal="center" vertical="center" wrapText="1"/>
    </xf>
    <xf numFmtId="0" fontId="7" fillId="8" borderId="187" xfId="0" applyFont="1" applyFill="1" applyBorder="1" applyAlignment="1">
      <alignment horizontal="center" vertical="center" wrapText="1"/>
    </xf>
    <xf numFmtId="0" fontId="7" fillId="18" borderId="187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6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5" borderId="56" xfId="0" applyFont="1" applyFill="1" applyBorder="1" applyAlignment="1">
      <alignment horizontal="center" vertical="center" wrapText="1"/>
    </xf>
    <xf numFmtId="0" fontId="3" fillId="5" borderId="50" xfId="0" applyFont="1" applyFill="1" applyBorder="1" applyAlignment="1">
      <alignment horizontal="center" vertical="center" wrapText="1"/>
    </xf>
    <xf numFmtId="0" fontId="3" fillId="5" borderId="53" xfId="0" applyFont="1" applyFill="1" applyBorder="1" applyAlignment="1">
      <alignment horizontal="center" vertical="center" wrapText="1"/>
    </xf>
    <xf numFmtId="0" fontId="3" fillId="0" borderId="18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8" borderId="57" xfId="0" applyFont="1" applyFill="1" applyBorder="1" applyAlignment="1">
      <alignment horizontal="center" vertical="center" wrapText="1"/>
    </xf>
    <xf numFmtId="0" fontId="7" fillId="18" borderId="57" xfId="0" applyFont="1" applyFill="1" applyBorder="1" applyAlignment="1">
      <alignment horizontal="center" vertical="center" wrapText="1"/>
    </xf>
    <xf numFmtId="38" fontId="22" fillId="16" borderId="135" xfId="0" applyNumberFormat="1" applyFont="1" applyFill="1" applyBorder="1" applyAlignment="1">
      <alignment horizontal="center"/>
    </xf>
    <xf numFmtId="38" fontId="22" fillId="16" borderId="8" xfId="0" applyNumberFormat="1" applyFont="1" applyFill="1" applyBorder="1" applyAlignment="1">
      <alignment horizontal="center"/>
    </xf>
    <xf numFmtId="38" fontId="26" fillId="16" borderId="128" xfId="0" applyNumberFormat="1" applyFont="1" applyFill="1" applyBorder="1" applyAlignment="1">
      <alignment horizontal="center"/>
    </xf>
    <xf numFmtId="38" fontId="26" fillId="16" borderId="129" xfId="0" applyNumberFormat="1" applyFont="1" applyFill="1" applyBorder="1" applyAlignment="1">
      <alignment horizontal="center"/>
    </xf>
    <xf numFmtId="38" fontId="26" fillId="16" borderId="135" xfId="0" applyNumberFormat="1" applyFont="1" applyFill="1" applyBorder="1" applyAlignment="1">
      <alignment horizontal="center"/>
    </xf>
    <xf numFmtId="38" fontId="26" fillId="16" borderId="8" xfId="0" applyNumberFormat="1" applyFont="1" applyFill="1" applyBorder="1" applyAlignment="1">
      <alignment horizontal="center"/>
    </xf>
    <xf numFmtId="38" fontId="22" fillId="16" borderId="136" xfId="0" applyNumberFormat="1" applyFont="1" applyFill="1" applyBorder="1" applyAlignment="1">
      <alignment horizontal="center"/>
    </xf>
    <xf numFmtId="38" fontId="22" fillId="16" borderId="137" xfId="0" applyNumberFormat="1" applyFont="1" applyFill="1" applyBorder="1" applyAlignment="1">
      <alignment horizontal="center"/>
    </xf>
    <xf numFmtId="38" fontId="26" fillId="16" borderId="110" xfId="0" applyNumberFormat="1" applyFont="1" applyFill="1" applyBorder="1" applyAlignment="1">
      <alignment horizontal="center"/>
    </xf>
    <xf numFmtId="38" fontId="26" fillId="16" borderId="112" xfId="0" applyNumberFormat="1" applyFont="1" applyFill="1" applyBorder="1" applyAlignment="1">
      <alignment horizontal="center"/>
    </xf>
    <xf numFmtId="38" fontId="26" fillId="16" borderId="136" xfId="0" applyNumberFormat="1" applyFont="1" applyFill="1" applyBorder="1" applyAlignment="1">
      <alignment horizontal="center"/>
    </xf>
    <xf numFmtId="38" fontId="26" fillId="16" borderId="137" xfId="0" applyNumberFormat="1" applyFont="1" applyFill="1" applyBorder="1" applyAlignment="1">
      <alignment horizontal="center"/>
    </xf>
    <xf numFmtId="0" fontId="22" fillId="16" borderId="131" xfId="0" applyFont="1" applyFill="1" applyBorder="1" applyAlignment="1">
      <alignment horizontal="center"/>
    </xf>
    <xf numFmtId="0" fontId="22" fillId="16" borderId="132" xfId="0" applyFont="1" applyFill="1" applyBorder="1" applyAlignment="1">
      <alignment horizontal="center"/>
    </xf>
    <xf numFmtId="0" fontId="22" fillId="16" borderId="115" xfId="0" applyFont="1" applyFill="1" applyBorder="1" applyAlignment="1">
      <alignment horizontal="center"/>
    </xf>
    <xf numFmtId="0" fontId="22" fillId="16" borderId="113" xfId="0" applyFont="1" applyFill="1" applyBorder="1" applyAlignment="1">
      <alignment horizontal="center"/>
    </xf>
    <xf numFmtId="0" fontId="22" fillId="16" borderId="114" xfId="0" applyFont="1" applyFill="1" applyBorder="1" applyAlignment="1">
      <alignment horizontal="center"/>
    </xf>
    <xf numFmtId="38" fontId="22" fillId="16" borderId="133" xfId="0" applyNumberFormat="1" applyFont="1" applyFill="1" applyBorder="1" applyAlignment="1">
      <alignment horizontal="center"/>
    </xf>
    <xf numFmtId="38" fontId="22" fillId="16" borderId="134" xfId="0" applyNumberFormat="1" applyFont="1" applyFill="1" applyBorder="1" applyAlignment="1">
      <alignment horizontal="center"/>
    </xf>
    <xf numFmtId="38" fontId="26" fillId="16" borderId="138" xfId="0" applyNumberFormat="1" applyFont="1" applyFill="1" applyBorder="1" applyAlignment="1">
      <alignment horizontal="center"/>
    </xf>
    <xf numFmtId="38" fontId="26" fillId="16" borderId="139" xfId="0" applyNumberFormat="1" applyFont="1" applyFill="1" applyBorder="1" applyAlignment="1">
      <alignment horizontal="center"/>
    </xf>
    <xf numFmtId="38" fontId="26" fillId="16" borderId="133" xfId="0" applyNumberFormat="1" applyFont="1" applyFill="1" applyBorder="1" applyAlignment="1">
      <alignment horizontal="center"/>
    </xf>
    <xf numFmtId="38" fontId="26" fillId="16" borderId="134" xfId="0" applyNumberFormat="1" applyFont="1" applyFill="1" applyBorder="1" applyAlignment="1">
      <alignment horizontal="center"/>
    </xf>
    <xf numFmtId="0" fontId="21" fillId="16" borderId="105" xfId="0" applyFont="1" applyFill="1" applyBorder="1" applyAlignment="1">
      <alignment horizontal="center"/>
    </xf>
    <xf numFmtId="0" fontId="21" fillId="16" borderId="107" xfId="0" applyFont="1" applyFill="1" applyBorder="1"/>
    <xf numFmtId="0" fontId="21" fillId="16" borderId="140" xfId="0" applyFont="1" applyFill="1" applyBorder="1" applyAlignment="1">
      <alignment horizontal="center"/>
    </xf>
    <xf numFmtId="0" fontId="21" fillId="16" borderId="142" xfId="0" applyFont="1" applyFill="1" applyBorder="1" applyAlignment="1">
      <alignment horizontal="center"/>
    </xf>
    <xf numFmtId="0" fontId="21" fillId="16" borderId="106" xfId="0" applyFont="1" applyFill="1" applyBorder="1" applyAlignment="1">
      <alignment horizontal="center"/>
    </xf>
    <xf numFmtId="0" fontId="21" fillId="16" borderId="107" xfId="0" applyFont="1" applyFill="1" applyBorder="1" applyAlignment="1">
      <alignment horizontal="center"/>
    </xf>
    <xf numFmtId="0" fontId="3" fillId="17" borderId="55" xfId="0" applyFont="1" applyFill="1" applyBorder="1" applyAlignment="1">
      <alignment horizontal="center" vertical="center" wrapText="1"/>
    </xf>
    <xf numFmtId="0" fontId="3" fillId="17" borderId="49" xfId="0" applyFont="1" applyFill="1" applyBorder="1" applyAlignment="1">
      <alignment horizontal="center" vertical="center" wrapText="1"/>
    </xf>
    <xf numFmtId="0" fontId="3" fillId="17" borderId="52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5" borderId="47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5" borderId="58" xfId="0" applyFont="1" applyFill="1" applyBorder="1" applyAlignment="1">
      <alignment horizontal="center" vertical="center" wrapText="1"/>
    </xf>
    <xf numFmtId="0" fontId="3" fillId="8" borderId="55" xfId="0" applyFont="1" applyFill="1" applyBorder="1" applyAlignment="1">
      <alignment horizontal="center" vertical="center" wrapText="1"/>
    </xf>
    <xf numFmtId="0" fontId="3" fillId="8" borderId="49" xfId="0" applyFont="1" applyFill="1" applyBorder="1" applyAlignment="1">
      <alignment horizontal="center" vertical="center" wrapText="1"/>
    </xf>
    <xf numFmtId="0" fontId="3" fillId="8" borderId="5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17" borderId="55" xfId="0" applyFont="1" applyFill="1" applyBorder="1" applyAlignment="1">
      <alignment horizontal="center" vertical="center" wrapText="1"/>
    </xf>
    <xf numFmtId="0" fontId="7" fillId="17" borderId="49" xfId="0" applyFont="1" applyFill="1" applyBorder="1" applyAlignment="1">
      <alignment horizontal="center" vertical="center" wrapText="1"/>
    </xf>
    <xf numFmtId="0" fontId="7" fillId="17" borderId="52" xfId="0" applyFont="1" applyFill="1" applyBorder="1" applyAlignment="1">
      <alignment horizontal="center" vertical="center" wrapText="1"/>
    </xf>
    <xf numFmtId="0" fontId="3" fillId="0" borderId="18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17" borderId="55" xfId="0" applyFont="1" applyFill="1" applyBorder="1" applyAlignment="1">
      <alignment horizontal="center" vertical="center" wrapText="1"/>
    </xf>
    <xf numFmtId="0" fontId="9" fillId="17" borderId="49" xfId="0" applyFont="1" applyFill="1" applyBorder="1" applyAlignment="1">
      <alignment horizontal="center" vertical="center" wrapText="1"/>
    </xf>
    <xf numFmtId="0" fontId="9" fillId="17" borderId="52" xfId="0" applyFont="1" applyFill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7" fillId="0" borderId="186" xfId="0" applyFont="1" applyBorder="1" applyAlignment="1">
      <alignment horizontal="center" vertical="center"/>
    </xf>
    <xf numFmtId="0" fontId="3" fillId="0" borderId="187" xfId="0" applyFont="1" applyBorder="1" applyAlignment="1">
      <alignment horizontal="center" vertical="center" wrapText="1"/>
    </xf>
    <xf numFmtId="0" fontId="3" fillId="5" borderId="18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3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29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9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7" fillId="17" borderId="38" xfId="0" applyFont="1" applyFill="1" applyBorder="1" applyAlignment="1">
      <alignment horizontal="center" vertical="center" wrapText="1"/>
    </xf>
    <xf numFmtId="0" fontId="7" fillId="17" borderId="39" xfId="0" applyFont="1" applyFill="1" applyBorder="1" applyAlignment="1">
      <alignment horizontal="center" vertical="center" wrapText="1"/>
    </xf>
    <xf numFmtId="0" fontId="7" fillId="17" borderId="36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 wrapText="1"/>
    </xf>
    <xf numFmtId="0" fontId="7" fillId="8" borderId="36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0" fontId="6" fillId="7" borderId="62" xfId="0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horizontal="center" vertical="center"/>
    </xf>
    <xf numFmtId="0" fontId="6" fillId="7" borderId="63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176" fontId="17" fillId="13" borderId="28" xfId="0" applyNumberFormat="1" applyFont="1" applyFill="1" applyBorder="1" applyAlignment="1">
      <alignment horizontal="center" vertical="center"/>
    </xf>
    <xf numFmtId="0" fontId="17" fillId="13" borderId="29" xfId="0" applyFont="1" applyFill="1" applyBorder="1" applyAlignment="1">
      <alignment horizontal="center" vertical="center"/>
    </xf>
    <xf numFmtId="176" fontId="27" fillId="13" borderId="29" xfId="0" applyNumberFormat="1" applyFont="1" applyFill="1" applyBorder="1" applyAlignment="1">
      <alignment horizontal="center" vertical="center"/>
    </xf>
    <xf numFmtId="0" fontId="27" fillId="13" borderId="29" xfId="0" applyFont="1" applyFill="1" applyBorder="1" applyAlignment="1">
      <alignment horizontal="center" vertical="center"/>
    </xf>
    <xf numFmtId="0" fontId="27" fillId="13" borderId="44" xfId="0" applyFont="1" applyFill="1" applyBorder="1" applyAlignment="1">
      <alignment horizontal="center" vertical="center"/>
    </xf>
    <xf numFmtId="176" fontId="17" fillId="13" borderId="32" xfId="0" applyNumberFormat="1" applyFont="1" applyFill="1" applyBorder="1" applyAlignment="1">
      <alignment horizontal="center" vertical="center"/>
    </xf>
    <xf numFmtId="0" fontId="17" fillId="13" borderId="33" xfId="0" applyFont="1" applyFill="1" applyBorder="1" applyAlignment="1">
      <alignment horizontal="center" vertical="center"/>
    </xf>
    <xf numFmtId="176" fontId="27" fillId="13" borderId="33" xfId="0" applyNumberFormat="1" applyFont="1" applyFill="1" applyBorder="1" applyAlignment="1">
      <alignment horizontal="center" vertical="center"/>
    </xf>
    <xf numFmtId="0" fontId="27" fillId="13" borderId="33" xfId="0" applyFont="1" applyFill="1" applyBorder="1" applyAlignment="1">
      <alignment horizontal="center" vertical="center"/>
    </xf>
    <xf numFmtId="0" fontId="27" fillId="13" borderId="45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99" xfId="0" applyFont="1" applyBorder="1" applyAlignment="1">
      <alignment horizontal="center" vertical="center" wrapText="1"/>
    </xf>
    <xf numFmtId="0" fontId="3" fillId="0" borderId="9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176" fontId="17" fillId="13" borderId="29" xfId="0" applyNumberFormat="1" applyFont="1" applyFill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center" wrapText="1"/>
    </xf>
    <xf numFmtId="0" fontId="7" fillId="0" borderId="99" xfId="0" applyFont="1" applyBorder="1" applyAlignment="1">
      <alignment horizontal="center" vertical="center" wrapText="1"/>
    </xf>
    <xf numFmtId="176" fontId="14" fillId="13" borderId="29" xfId="0" applyNumberFormat="1" applyFont="1" applyFill="1" applyBorder="1" applyAlignment="1">
      <alignment horizontal="center" vertical="center"/>
    </xf>
    <xf numFmtId="0" fontId="14" fillId="13" borderId="29" xfId="0" applyFont="1" applyFill="1" applyBorder="1" applyAlignment="1">
      <alignment horizontal="center" vertical="center"/>
    </xf>
    <xf numFmtId="0" fontId="14" fillId="13" borderId="30" xfId="0" applyFont="1" applyFill="1" applyBorder="1" applyAlignment="1">
      <alignment horizontal="center" vertical="center"/>
    </xf>
    <xf numFmtId="176" fontId="17" fillId="13" borderId="33" xfId="0" applyNumberFormat="1" applyFont="1" applyFill="1" applyBorder="1" applyAlignment="1">
      <alignment horizontal="center" vertical="center"/>
    </xf>
    <xf numFmtId="176" fontId="14" fillId="13" borderId="33" xfId="0" applyNumberFormat="1" applyFont="1" applyFill="1" applyBorder="1" applyAlignment="1">
      <alignment horizontal="center" vertical="center"/>
    </xf>
    <xf numFmtId="0" fontId="14" fillId="13" borderId="33" xfId="0" applyFont="1" applyFill="1" applyBorder="1" applyAlignment="1">
      <alignment horizontal="center" vertical="center"/>
    </xf>
    <xf numFmtId="0" fontId="14" fillId="13" borderId="34" xfId="0" applyFont="1" applyFill="1" applyBorder="1" applyAlignment="1">
      <alignment horizontal="center" vertical="center"/>
    </xf>
  </cellXfs>
  <cellStyles count="10">
    <cellStyle name="桁区切り" xfId="9" builtinId="6"/>
    <cellStyle name="桁区切り 2" xfId="3" xr:uid="{00000000-0005-0000-0000-000000000000}"/>
    <cellStyle name="桁区切り 2 2" xfId="5" xr:uid="{25C288BD-7CD8-4087-AC06-C1964DC3C9AD}"/>
    <cellStyle name="桁区切り 3" xfId="6" xr:uid="{64C35E44-27F0-423A-897F-F1924D549181}"/>
    <cellStyle name="桁区切り 4" xfId="8" xr:uid="{D4AE1477-4864-4921-A2FA-526FA64AD6E5}"/>
    <cellStyle name="標準" xfId="0" builtinId="0"/>
    <cellStyle name="標準 2" xfId="1" xr:uid="{00000000-0005-0000-0000-000002000000}"/>
    <cellStyle name="標準 2 2" xfId="4" xr:uid="{00000000-0005-0000-0000-000003000000}"/>
    <cellStyle name="標準 3" xfId="2" xr:uid="{00000000-0005-0000-0000-000004000000}"/>
    <cellStyle name="標準 4" xfId="7" xr:uid="{8B6142D3-3931-4F33-AE53-A98CC2E064EC}"/>
  </cellStyles>
  <dxfs count="0"/>
  <tableStyles count="1" defaultTableStyle="TableStyleMedium2" defaultPivotStyle="PivotStyleLight16">
    <tableStyle name="Invisible" pivot="0" table="0" count="0" xr9:uid="{3564E917-3827-44E8-850C-C556299B99A6}"/>
  </tableStyles>
  <colors>
    <mruColors>
      <color rgb="FF0000FF"/>
      <color rgb="FFFDE9D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43D4-B690-474D-84A3-C6546F6E2014}">
  <sheetPr codeName="Sheet1">
    <pageSetUpPr fitToPage="1"/>
  </sheetPr>
  <dimension ref="A1:AC43"/>
  <sheetViews>
    <sheetView zoomScale="70" zoomScaleNormal="70" workbookViewId="0">
      <selection activeCell="AE25" sqref="AE25"/>
    </sheetView>
  </sheetViews>
  <sheetFormatPr defaultRowHeight="13"/>
  <cols>
    <col min="2" max="2" width="15.6328125" bestFit="1" customWidth="1"/>
    <col min="3" max="3" width="10.1796875" bestFit="1" customWidth="1"/>
    <col min="4" max="4" width="8.90625" style="174"/>
    <col min="5" max="5" width="11.6328125" style="174" bestFit="1" customWidth="1"/>
    <col min="6" max="6" width="8.90625" style="174"/>
    <col min="7" max="7" width="11.6328125" style="174" bestFit="1" customWidth="1"/>
    <col min="8" max="8" width="8.90625" style="174"/>
    <col min="9" max="9" width="11.6328125" style="174" bestFit="1" customWidth="1"/>
    <col min="10" max="10" width="8.90625" style="174"/>
    <col min="11" max="11" width="11.6328125" style="174" bestFit="1" customWidth="1"/>
    <col min="12" max="12" width="8.90625" style="174"/>
    <col min="13" max="13" width="11.6328125" style="174" bestFit="1" customWidth="1"/>
    <col min="14" max="14" width="8.90625" style="174"/>
    <col min="15" max="15" width="11.6328125" style="174" bestFit="1" customWidth="1"/>
    <col min="16" max="16" width="8.90625" style="174"/>
    <col min="17" max="17" width="11.6328125" style="174" bestFit="1" customWidth="1"/>
    <col min="18" max="18" width="8.90625" style="174"/>
    <col min="19" max="19" width="11.6328125" style="174" bestFit="1" customWidth="1"/>
    <col min="20" max="20" width="8.90625" style="174"/>
    <col min="21" max="21" width="11.6328125" style="174" bestFit="1" customWidth="1"/>
    <col min="22" max="22" width="8.90625" style="174"/>
    <col min="23" max="23" width="11.6328125" style="174" bestFit="1" customWidth="1"/>
    <col min="24" max="24" width="8.90625" style="174"/>
    <col min="25" max="25" width="11.6328125" style="174" bestFit="1" customWidth="1"/>
    <col min="26" max="26" width="8.90625" style="174"/>
    <col min="27" max="27" width="11.6328125" style="174" bestFit="1" customWidth="1"/>
    <col min="28" max="28" width="8" style="174" customWidth="1"/>
    <col min="29" max="29" width="13" style="174" bestFit="1" customWidth="1"/>
  </cols>
  <sheetData>
    <row r="1" spans="1:29" ht="21.5" thickBot="1">
      <c r="B1" s="132" t="s">
        <v>88</v>
      </c>
      <c r="C1" s="133"/>
      <c r="D1" s="589" t="s">
        <v>54</v>
      </c>
      <c r="E1" s="593"/>
      <c r="F1" s="591" t="s">
        <v>55</v>
      </c>
      <c r="G1" s="592"/>
      <c r="H1" s="591" t="s">
        <v>56</v>
      </c>
      <c r="I1" s="592"/>
      <c r="J1" s="593" t="s">
        <v>57</v>
      </c>
      <c r="K1" s="592"/>
      <c r="L1" s="591" t="s">
        <v>58</v>
      </c>
      <c r="M1" s="592"/>
      <c r="N1" s="591" t="s">
        <v>59</v>
      </c>
      <c r="O1" s="592"/>
      <c r="P1" s="591" t="s">
        <v>60</v>
      </c>
      <c r="Q1" s="592"/>
      <c r="R1" s="591" t="s">
        <v>61</v>
      </c>
      <c r="S1" s="592"/>
      <c r="T1" s="591" t="s">
        <v>62</v>
      </c>
      <c r="U1" s="592"/>
      <c r="V1" s="591" t="s">
        <v>63</v>
      </c>
      <c r="W1" s="592"/>
      <c r="X1" s="591" t="s">
        <v>64</v>
      </c>
      <c r="Y1" s="592"/>
      <c r="Z1" s="593" t="s">
        <v>65</v>
      </c>
      <c r="AA1" s="594"/>
      <c r="AB1" s="589" t="s">
        <v>75</v>
      </c>
      <c r="AC1" s="590"/>
    </row>
    <row r="2" spans="1:29" ht="21.75" customHeight="1">
      <c r="B2" s="135" t="s">
        <v>89</v>
      </c>
      <c r="C2" s="142"/>
      <c r="D2" s="207"/>
      <c r="E2" s="297">
        <f>E8</f>
        <v>20269500</v>
      </c>
      <c r="F2" s="313"/>
      <c r="G2" s="297">
        <f>G8</f>
        <v>20606000</v>
      </c>
      <c r="H2" s="313"/>
      <c r="I2" s="344">
        <f>I8</f>
        <v>19251500</v>
      </c>
      <c r="J2" s="297"/>
      <c r="K2" s="297">
        <f>K8</f>
        <v>19450500</v>
      </c>
      <c r="L2" s="313"/>
      <c r="M2" s="297">
        <f>M8</f>
        <v>17507500</v>
      </c>
      <c r="N2" s="313"/>
      <c r="O2" s="297">
        <f>O8</f>
        <v>17644500</v>
      </c>
      <c r="P2" s="313"/>
      <c r="Q2" s="297">
        <f>Q8</f>
        <v>17396500</v>
      </c>
      <c r="R2" s="313"/>
      <c r="S2" s="297">
        <f>S8</f>
        <v>17075000</v>
      </c>
      <c r="T2" s="313"/>
      <c r="U2" s="297">
        <f>U8</f>
        <v>17845500</v>
      </c>
      <c r="V2" s="313"/>
      <c r="W2" s="297">
        <f>W8</f>
        <v>15680500</v>
      </c>
      <c r="X2" s="313"/>
      <c r="Y2" s="344">
        <f>Y8</f>
        <v>14660000</v>
      </c>
      <c r="Z2" s="258"/>
      <c r="AA2" s="258">
        <f>AA8</f>
        <v>16704000</v>
      </c>
      <c r="AB2" s="259"/>
      <c r="AC2" s="260">
        <f>SUM(E2:AA2)</f>
        <v>214091000</v>
      </c>
    </row>
    <row r="3" spans="1:29" ht="18.75" customHeight="1">
      <c r="B3" s="115" t="s">
        <v>72</v>
      </c>
      <c r="C3" s="116"/>
      <c r="D3" s="314"/>
      <c r="E3" s="298">
        <f>E14</f>
        <v>13542758</v>
      </c>
      <c r="F3" s="303"/>
      <c r="G3" s="298">
        <f>G14</f>
        <v>12925580</v>
      </c>
      <c r="H3" s="303"/>
      <c r="I3" s="304">
        <f>I14</f>
        <v>12936353</v>
      </c>
      <c r="J3" s="298"/>
      <c r="K3" s="298">
        <f>K14</f>
        <v>13029791</v>
      </c>
      <c r="L3" s="303"/>
      <c r="M3" s="298">
        <f>M14</f>
        <v>12910002</v>
      </c>
      <c r="N3" s="303"/>
      <c r="O3" s="298">
        <f>O14</f>
        <v>12999923</v>
      </c>
      <c r="P3" s="303"/>
      <c r="Q3" s="298">
        <f>Q14</f>
        <v>12386305.968020039</v>
      </c>
      <c r="R3" s="303"/>
      <c r="S3" s="298">
        <f>S14</f>
        <v>12251513</v>
      </c>
      <c r="T3" s="303"/>
      <c r="U3" s="298">
        <f>U14</f>
        <v>12373396.423097797</v>
      </c>
      <c r="V3" s="303"/>
      <c r="W3" s="298">
        <f>W14</f>
        <v>11623373</v>
      </c>
      <c r="X3" s="303"/>
      <c r="Y3" s="304">
        <f>Y14</f>
        <v>11686532</v>
      </c>
      <c r="Z3" s="218"/>
      <c r="AA3" s="218">
        <f>AA14</f>
        <v>8945842</v>
      </c>
      <c r="AB3" s="219"/>
      <c r="AC3" s="220">
        <f>SUM(E3:AA3)</f>
        <v>147611369.39111784</v>
      </c>
    </row>
    <row r="4" spans="1:29" ht="18.75" customHeight="1" thickBot="1">
      <c r="B4" s="81" t="s">
        <v>23</v>
      </c>
      <c r="C4" s="82"/>
      <c r="D4" s="315"/>
      <c r="E4" s="316">
        <f>E2-E3</f>
        <v>6726742</v>
      </c>
      <c r="F4" s="317"/>
      <c r="G4" s="299">
        <f>G2-G3</f>
        <v>7680420</v>
      </c>
      <c r="H4" s="317"/>
      <c r="I4" s="299">
        <f>I2-I3</f>
        <v>6315147</v>
      </c>
      <c r="J4" s="316"/>
      <c r="K4" s="299">
        <f>K2-K3</f>
        <v>6420709</v>
      </c>
      <c r="L4" s="317"/>
      <c r="M4" s="299">
        <f>M2-M3</f>
        <v>4597498</v>
      </c>
      <c r="N4" s="317"/>
      <c r="O4" s="299">
        <f>O2-O3</f>
        <v>4644577</v>
      </c>
      <c r="P4" s="317"/>
      <c r="Q4" s="299">
        <f>Q2-Q3</f>
        <v>5010194.0319799613</v>
      </c>
      <c r="R4" s="317"/>
      <c r="S4" s="299">
        <f>S2-S3</f>
        <v>4823487</v>
      </c>
      <c r="T4" s="317"/>
      <c r="U4" s="299">
        <f>U2-U3</f>
        <v>5472103.5769022033</v>
      </c>
      <c r="V4" s="317"/>
      <c r="W4" s="299">
        <f>W2-W3</f>
        <v>4057127</v>
      </c>
      <c r="X4" s="317"/>
      <c r="Y4" s="299">
        <f>Y2-Y3</f>
        <v>2973468</v>
      </c>
      <c r="Z4" s="261"/>
      <c r="AA4" s="262">
        <f>AA2-AA3</f>
        <v>7758158</v>
      </c>
      <c r="AB4" s="263"/>
      <c r="AC4" s="262">
        <f>SUM(E4:AA4)</f>
        <v>66479630.608882166</v>
      </c>
    </row>
    <row r="5" spans="1:29" ht="18.75" customHeight="1" thickBot="1">
      <c r="B5" s="134"/>
      <c r="C5" s="134"/>
      <c r="D5" s="318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>
        <f>AVERAGE(D12,F12,H12,J12,L12,N12,P12,R12)</f>
        <v>1</v>
      </c>
      <c r="S5" s="319"/>
      <c r="T5" s="319"/>
      <c r="U5" s="319"/>
      <c r="V5" s="319"/>
      <c r="W5" s="319"/>
      <c r="X5" s="319"/>
      <c r="Y5" s="319"/>
      <c r="Z5" s="264"/>
      <c r="AA5" s="264"/>
      <c r="AB5" s="264"/>
      <c r="AC5" s="264"/>
    </row>
    <row r="6" spans="1:29" ht="21.75" customHeight="1" thickBot="1">
      <c r="B6" s="138" t="s">
        <v>85</v>
      </c>
      <c r="C6" s="84"/>
      <c r="D6" s="320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265"/>
      <c r="AA6" s="265"/>
      <c r="AB6" s="265"/>
      <c r="AC6" s="266"/>
    </row>
    <row r="7" spans="1:29">
      <c r="B7" s="135" t="s">
        <v>52</v>
      </c>
      <c r="C7" s="136" t="s">
        <v>53</v>
      </c>
      <c r="D7" s="321" t="s">
        <v>66</v>
      </c>
      <c r="E7" s="209" t="s">
        <v>67</v>
      </c>
      <c r="F7" s="208" t="s">
        <v>66</v>
      </c>
      <c r="G7" s="209" t="s">
        <v>67</v>
      </c>
      <c r="H7" s="208" t="s">
        <v>66</v>
      </c>
      <c r="I7" s="209" t="s">
        <v>67</v>
      </c>
      <c r="J7" s="208" t="s">
        <v>66</v>
      </c>
      <c r="K7" s="209" t="s">
        <v>67</v>
      </c>
      <c r="L7" s="208" t="s">
        <v>66</v>
      </c>
      <c r="M7" s="209" t="s">
        <v>67</v>
      </c>
      <c r="N7" s="208" t="s">
        <v>66</v>
      </c>
      <c r="O7" s="209" t="s">
        <v>67</v>
      </c>
      <c r="P7" s="208" t="s">
        <v>66</v>
      </c>
      <c r="Q7" s="209" t="s">
        <v>67</v>
      </c>
      <c r="R7" s="208" t="s">
        <v>66</v>
      </c>
      <c r="S7" s="209" t="s">
        <v>67</v>
      </c>
      <c r="T7" s="208" t="s">
        <v>66</v>
      </c>
      <c r="U7" s="209" t="s">
        <v>67</v>
      </c>
      <c r="V7" s="208" t="s">
        <v>66</v>
      </c>
      <c r="W7" s="209" t="s">
        <v>67</v>
      </c>
      <c r="X7" s="208" t="s">
        <v>66</v>
      </c>
      <c r="Y7" s="209" t="s">
        <v>67</v>
      </c>
      <c r="Z7" s="208" t="s">
        <v>66</v>
      </c>
      <c r="AA7" s="210" t="s">
        <v>67</v>
      </c>
      <c r="AB7" s="207" t="s">
        <v>66</v>
      </c>
      <c r="AC7" s="211" t="s">
        <v>67</v>
      </c>
    </row>
    <row r="8" spans="1:29">
      <c r="B8" s="128" t="s">
        <v>68</v>
      </c>
      <c r="C8" s="129"/>
      <c r="D8" s="322">
        <f t="shared" ref="D8:AA8" si="0">SUM(D9:D13)</f>
        <v>525.5</v>
      </c>
      <c r="E8" s="300">
        <f t="shared" si="0"/>
        <v>20269500</v>
      </c>
      <c r="F8" s="342">
        <f t="shared" si="0"/>
        <v>535</v>
      </c>
      <c r="G8" s="300">
        <f t="shared" si="0"/>
        <v>20606000</v>
      </c>
      <c r="H8" s="342">
        <f t="shared" si="0"/>
        <v>495.5</v>
      </c>
      <c r="I8" s="300">
        <f t="shared" si="0"/>
        <v>19251500</v>
      </c>
      <c r="J8" s="342">
        <f t="shared" si="0"/>
        <v>500.5</v>
      </c>
      <c r="K8" s="300">
        <f t="shared" si="0"/>
        <v>19450500</v>
      </c>
      <c r="L8" s="342">
        <f t="shared" si="0"/>
        <v>445.5</v>
      </c>
      <c r="M8" s="300">
        <v>17507500</v>
      </c>
      <c r="N8" s="342">
        <f t="shared" si="0"/>
        <v>450.5</v>
      </c>
      <c r="O8" s="300">
        <f t="shared" si="0"/>
        <v>17644500</v>
      </c>
      <c r="P8" s="342">
        <f t="shared" si="0"/>
        <v>442.5</v>
      </c>
      <c r="Q8" s="300">
        <f>SUM(Q9:Q13)</f>
        <v>17396500</v>
      </c>
      <c r="R8" s="342">
        <f t="shared" si="0"/>
        <v>434</v>
      </c>
      <c r="S8" s="300">
        <f t="shared" si="0"/>
        <v>17075000</v>
      </c>
      <c r="T8" s="342">
        <f t="shared" si="0"/>
        <v>455.5</v>
      </c>
      <c r="U8" s="300">
        <f t="shared" si="0"/>
        <v>17845500</v>
      </c>
      <c r="V8" s="342">
        <f t="shared" si="0"/>
        <v>394.5</v>
      </c>
      <c r="W8" s="300">
        <f>SUM(W9:W13)</f>
        <v>15680500</v>
      </c>
      <c r="X8" s="342">
        <f t="shared" si="0"/>
        <v>365</v>
      </c>
      <c r="Y8" s="300">
        <f t="shared" si="0"/>
        <v>14660000</v>
      </c>
      <c r="Z8" s="342">
        <f t="shared" si="0"/>
        <v>423</v>
      </c>
      <c r="AA8" s="490">
        <f t="shared" si="0"/>
        <v>16704000</v>
      </c>
      <c r="AB8" s="267">
        <f t="shared" ref="AB8:AC10" si="1">D8+F8+H8+J8+L8+N8+P8+R8+T8+V8+X8+Z8</f>
        <v>5467</v>
      </c>
      <c r="AC8" s="268">
        <f t="shared" si="1"/>
        <v>214091000</v>
      </c>
    </row>
    <row r="9" spans="1:29">
      <c r="A9" s="478"/>
      <c r="B9" s="479" t="s">
        <v>110</v>
      </c>
      <c r="C9" s="80">
        <v>35000</v>
      </c>
      <c r="D9" s="484">
        <v>496</v>
      </c>
      <c r="E9" s="483">
        <f>$C9*D9</f>
        <v>17360000</v>
      </c>
      <c r="F9" s="343">
        <v>515</v>
      </c>
      <c r="G9" s="483">
        <f>$C9*F9</f>
        <v>18025000</v>
      </c>
      <c r="H9" s="343">
        <v>482.5</v>
      </c>
      <c r="I9" s="483">
        <f>$C9*H9</f>
        <v>16887500</v>
      </c>
      <c r="J9" s="343">
        <v>490.5</v>
      </c>
      <c r="K9" s="483">
        <f>$C9*J9</f>
        <v>17167500</v>
      </c>
      <c r="L9" s="343">
        <v>434</v>
      </c>
      <c r="M9" s="483">
        <f>$C9*L9</f>
        <v>15190000</v>
      </c>
      <c r="N9" s="343">
        <v>429.5</v>
      </c>
      <c r="O9" s="483">
        <f>$C9*N9</f>
        <v>15032500</v>
      </c>
      <c r="P9" s="343">
        <v>430.5</v>
      </c>
      <c r="Q9" s="483">
        <f>$C9*P9</f>
        <v>15067500</v>
      </c>
      <c r="R9" s="343">
        <v>413</v>
      </c>
      <c r="S9" s="483">
        <f>$C9*R9</f>
        <v>14455000</v>
      </c>
      <c r="T9" s="343">
        <v>437.5</v>
      </c>
      <c r="U9" s="483">
        <f>$C9*T9</f>
        <v>15312500</v>
      </c>
      <c r="V9" s="343">
        <v>372.5</v>
      </c>
      <c r="W9" s="483">
        <f>$C9*V9</f>
        <v>13037500</v>
      </c>
      <c r="X9" s="343">
        <v>337.5</v>
      </c>
      <c r="Y9" s="483">
        <f>$C9*X9</f>
        <v>11812500</v>
      </c>
      <c r="Z9" s="343">
        <v>402</v>
      </c>
      <c r="AA9" s="483">
        <f>$C9*Z9</f>
        <v>14070000</v>
      </c>
      <c r="AB9" s="216">
        <f t="shared" si="1"/>
        <v>5240.5</v>
      </c>
      <c r="AC9" s="217">
        <f t="shared" si="1"/>
        <v>183417500</v>
      </c>
    </row>
    <row r="10" spans="1:29">
      <c r="A10" s="478"/>
      <c r="B10" s="479" t="s">
        <v>51</v>
      </c>
      <c r="C10" s="80">
        <v>35000</v>
      </c>
      <c r="D10" s="301">
        <v>11.5</v>
      </c>
      <c r="E10" s="306">
        <f t="shared" ref="E10:G13" si="2">$C10*D10</f>
        <v>402500</v>
      </c>
      <c r="F10" s="343">
        <v>3</v>
      </c>
      <c r="G10" s="306">
        <f t="shared" si="2"/>
        <v>105000</v>
      </c>
      <c r="H10" s="343">
        <v>3</v>
      </c>
      <c r="I10" s="306">
        <f t="shared" ref="I10" si="3">$C10*H10</f>
        <v>105000</v>
      </c>
      <c r="J10" s="343">
        <v>6</v>
      </c>
      <c r="K10" s="306">
        <f t="shared" ref="K10" si="4">$C10*J10</f>
        <v>210000</v>
      </c>
      <c r="L10" s="343">
        <v>3</v>
      </c>
      <c r="M10" s="306">
        <f t="shared" ref="M10" si="5">$C10*L10</f>
        <v>105000</v>
      </c>
      <c r="N10" s="343">
        <v>3</v>
      </c>
      <c r="O10" s="306">
        <f>$C10*N10</f>
        <v>105000</v>
      </c>
      <c r="P10" s="343">
        <v>2</v>
      </c>
      <c r="Q10" s="306">
        <f t="shared" ref="Q10" si="6">$C10*P10</f>
        <v>70000</v>
      </c>
      <c r="R10" s="343">
        <v>5</v>
      </c>
      <c r="S10" s="306">
        <f t="shared" ref="S10" si="7">$C10*R10</f>
        <v>175000</v>
      </c>
      <c r="T10" s="343">
        <v>6.5</v>
      </c>
      <c r="U10" s="306">
        <f t="shared" ref="U10" si="8">$C10*T10</f>
        <v>227500</v>
      </c>
      <c r="V10" s="343">
        <v>3</v>
      </c>
      <c r="W10" s="306">
        <f t="shared" ref="W10" si="9">$C10*V10</f>
        <v>105000</v>
      </c>
      <c r="X10" s="343">
        <v>11.5</v>
      </c>
      <c r="Y10" s="306">
        <f t="shared" ref="Y10" si="10">$C10*X10</f>
        <v>402500</v>
      </c>
      <c r="Z10" s="343">
        <v>4</v>
      </c>
      <c r="AA10" s="306">
        <f t="shared" ref="AA10" si="11">$C10*Z10</f>
        <v>140000</v>
      </c>
      <c r="AB10" s="216">
        <f t="shared" si="1"/>
        <v>61.5</v>
      </c>
      <c r="AC10" s="217">
        <f t="shared" si="1"/>
        <v>2152500</v>
      </c>
    </row>
    <row r="11" spans="1:29">
      <c r="A11" s="478"/>
      <c r="B11" s="479"/>
      <c r="C11" s="80"/>
      <c r="D11" s="301"/>
      <c r="E11" s="306"/>
      <c r="F11" s="343"/>
      <c r="G11" s="306"/>
      <c r="H11" s="343"/>
      <c r="I11" s="306"/>
      <c r="J11" s="343"/>
      <c r="K11" s="306"/>
      <c r="L11" s="343"/>
      <c r="M11" s="306"/>
      <c r="N11" s="343"/>
      <c r="O11" s="306"/>
      <c r="P11" s="343"/>
      <c r="Q11" s="306"/>
      <c r="R11" s="343"/>
      <c r="S11" s="306"/>
      <c r="T11" s="343"/>
      <c r="U11" s="306"/>
      <c r="V11" s="343"/>
      <c r="W11" s="306"/>
      <c r="X11" s="343"/>
      <c r="Y11" s="306"/>
      <c r="Z11" s="343"/>
      <c r="AA11" s="306"/>
      <c r="AB11" s="216"/>
      <c r="AC11" s="217"/>
    </row>
    <row r="12" spans="1:29">
      <c r="B12" s="479" t="s">
        <v>111</v>
      </c>
      <c r="C12" s="80">
        <v>1980000</v>
      </c>
      <c r="D12" s="301">
        <v>1</v>
      </c>
      <c r="E12" s="306">
        <f t="shared" si="2"/>
        <v>1980000</v>
      </c>
      <c r="F12" s="343">
        <v>1</v>
      </c>
      <c r="G12" s="306">
        <f t="shared" si="2"/>
        <v>1980000</v>
      </c>
      <c r="H12" s="481">
        <v>1</v>
      </c>
      <c r="I12" s="306">
        <f t="shared" ref="I12" si="12">$C12*H12</f>
        <v>1980000</v>
      </c>
      <c r="J12" s="481">
        <v>1</v>
      </c>
      <c r="K12" s="306">
        <f t="shared" ref="K12" si="13">$C12*J12</f>
        <v>1980000</v>
      </c>
      <c r="L12" s="481">
        <v>1</v>
      </c>
      <c r="M12" s="306">
        <f t="shared" ref="M12" si="14">$C12*L12</f>
        <v>1980000</v>
      </c>
      <c r="N12" s="481">
        <v>1</v>
      </c>
      <c r="O12" s="306">
        <f t="shared" ref="O12" si="15">$C12*N12</f>
        <v>1980000</v>
      </c>
      <c r="P12" s="481">
        <v>1</v>
      </c>
      <c r="Q12" s="306">
        <f t="shared" ref="Q12" si="16">$C12*P12</f>
        <v>1980000</v>
      </c>
      <c r="R12" s="481">
        <v>1</v>
      </c>
      <c r="S12" s="306">
        <f t="shared" ref="S12" si="17">$C12*R12</f>
        <v>1980000</v>
      </c>
      <c r="T12" s="481">
        <v>1</v>
      </c>
      <c r="U12" s="306">
        <f t="shared" ref="U12" si="18">$C12*T12</f>
        <v>1980000</v>
      </c>
      <c r="V12" s="481">
        <v>1</v>
      </c>
      <c r="W12" s="306">
        <f t="shared" ref="W12" si="19">$C12*V12</f>
        <v>1980000</v>
      </c>
      <c r="X12" s="481">
        <v>1</v>
      </c>
      <c r="Y12" s="306">
        <f>$C12*X12</f>
        <v>1980000</v>
      </c>
      <c r="Z12" s="481">
        <v>1</v>
      </c>
      <c r="AA12" s="306">
        <f>$C12*Z12+18000</f>
        <v>1998000</v>
      </c>
      <c r="AB12" s="216">
        <f>D12+F12+H12+J12+L12+N12+P12+R12+T12+V12+X12+Z12</f>
        <v>12</v>
      </c>
      <c r="AC12" s="217">
        <f>E12+G12+I12+K12+M12+O12+Q12+S12+U12+W12+Y12+AA12</f>
        <v>23778000</v>
      </c>
    </row>
    <row r="13" spans="1:29">
      <c r="B13" s="480" t="s">
        <v>112</v>
      </c>
      <c r="C13" s="117">
        <v>31000</v>
      </c>
      <c r="D13" s="485">
        <v>17</v>
      </c>
      <c r="E13" s="304">
        <f t="shared" si="2"/>
        <v>527000</v>
      </c>
      <c r="F13" s="482">
        <v>16</v>
      </c>
      <c r="G13" s="304">
        <f t="shared" si="2"/>
        <v>496000</v>
      </c>
      <c r="H13" s="482">
        <v>9</v>
      </c>
      <c r="I13" s="304">
        <f t="shared" ref="I13" si="20">$C13*H13</f>
        <v>279000</v>
      </c>
      <c r="J13" s="482">
        <v>3</v>
      </c>
      <c r="K13" s="304">
        <f t="shared" ref="K13" si="21">$C13*J13</f>
        <v>93000</v>
      </c>
      <c r="L13" s="482">
        <v>7.5</v>
      </c>
      <c r="M13" s="304">
        <f t="shared" ref="M13" si="22">$C13*L13</f>
        <v>232500</v>
      </c>
      <c r="N13" s="482">
        <v>17</v>
      </c>
      <c r="O13" s="304">
        <f t="shared" ref="O13" si="23">$C13*N13</f>
        <v>527000</v>
      </c>
      <c r="P13" s="482">
        <v>9</v>
      </c>
      <c r="Q13" s="304">
        <f t="shared" ref="Q13" si="24">$C13*P13</f>
        <v>279000</v>
      </c>
      <c r="R13" s="482">
        <v>15</v>
      </c>
      <c r="S13" s="304">
        <f t="shared" ref="S13" si="25">$C13*R13</f>
        <v>465000</v>
      </c>
      <c r="T13" s="482">
        <v>10.5</v>
      </c>
      <c r="U13" s="304">
        <f t="shared" ref="U13" si="26">$C13*T13</f>
        <v>325500</v>
      </c>
      <c r="V13" s="482">
        <v>18</v>
      </c>
      <c r="W13" s="304">
        <f t="shared" ref="W13" si="27">$C13*V13</f>
        <v>558000</v>
      </c>
      <c r="X13" s="482">
        <v>15</v>
      </c>
      <c r="Y13" s="304">
        <f>$C13*X13</f>
        <v>465000</v>
      </c>
      <c r="Z13" s="482">
        <v>16</v>
      </c>
      <c r="AA13" s="304">
        <f t="shared" ref="AA13" si="28">$C13*Z13</f>
        <v>496000</v>
      </c>
      <c r="AB13" s="219">
        <f>D13+F13+H13+J13+L13+N13+P13+R13+T13+V13+X13+Z13</f>
        <v>153</v>
      </c>
      <c r="AC13" s="220">
        <f>E13+G13+I13+K13+M13+O13+Q13+S13+U13+W13+Y13+AA13</f>
        <v>4743000</v>
      </c>
    </row>
    <row r="14" spans="1:29">
      <c r="B14" s="130" t="s">
        <v>70</v>
      </c>
      <c r="C14" s="131"/>
      <c r="D14" s="323"/>
      <c r="E14" s="305">
        <f>SUM(E15:E16)</f>
        <v>13542758</v>
      </c>
      <c r="F14" s="324"/>
      <c r="G14" s="305">
        <f>SUM(G15:G16)</f>
        <v>12925580</v>
      </c>
      <c r="H14" s="324"/>
      <c r="I14" s="305">
        <f>SUM(I15:I16)</f>
        <v>12936353</v>
      </c>
      <c r="J14" s="324"/>
      <c r="K14" s="305">
        <f>SUM(K15:K16)</f>
        <v>13029791</v>
      </c>
      <c r="L14" s="324"/>
      <c r="M14" s="305">
        <f>SUM(M15:M16)</f>
        <v>12910002</v>
      </c>
      <c r="N14" s="324"/>
      <c r="O14" s="305">
        <f>SUM(O15:O16)</f>
        <v>12999923</v>
      </c>
      <c r="P14" s="324"/>
      <c r="Q14" s="305">
        <f>SUM(Q15:Q16)</f>
        <v>12386305.968020039</v>
      </c>
      <c r="R14" s="324"/>
      <c r="S14" s="305">
        <f>SUM(S15:S16)</f>
        <v>12251513</v>
      </c>
      <c r="T14" s="324"/>
      <c r="U14" s="305">
        <f>SUM(U15:U16)</f>
        <v>12373396.423097797</v>
      </c>
      <c r="V14" s="324"/>
      <c r="W14" s="305">
        <f>SUM(W15:W16)</f>
        <v>11623373</v>
      </c>
      <c r="X14" s="324"/>
      <c r="Y14" s="305">
        <f>SUM(Y15:Y16)</f>
        <v>11686532</v>
      </c>
      <c r="Z14" s="324"/>
      <c r="AA14" s="324">
        <f>SUM(AA15:AA16)</f>
        <v>8945842</v>
      </c>
      <c r="AB14" s="269"/>
      <c r="AC14" s="270">
        <f>SUM(E14:AA14)</f>
        <v>147611369.39111784</v>
      </c>
    </row>
    <row r="15" spans="1:29">
      <c r="B15" s="78" t="s">
        <v>69</v>
      </c>
      <c r="D15" s="325"/>
      <c r="E15" s="306">
        <f>'DELL委託人件費(DPT)'!$K$2</f>
        <v>1403131</v>
      </c>
      <c r="F15" s="302"/>
      <c r="G15" s="306">
        <f>'DELL委託人件費(DPT)'!$L$2</f>
        <v>1083072</v>
      </c>
      <c r="H15" s="302"/>
      <c r="I15" s="306">
        <f>'DELL委託人件費(DPT)'!M2</f>
        <v>1257464</v>
      </c>
      <c r="J15" s="302"/>
      <c r="K15" s="306">
        <f>'DELL委託人件費(DPT)'!N2</f>
        <v>1230021</v>
      </c>
      <c r="L15" s="302"/>
      <c r="M15" s="306">
        <f>'DELL委託人件費(DPT)'!O2</f>
        <v>1260996</v>
      </c>
      <c r="N15" s="302"/>
      <c r="O15" s="306">
        <f>'DELL委託人件費(DPT)'!P2</f>
        <v>1371268</v>
      </c>
      <c r="P15" s="302"/>
      <c r="Q15" s="306">
        <f>'DELL委託人件費(DPT)'!Q2</f>
        <v>1311807</v>
      </c>
      <c r="R15" s="302"/>
      <c r="S15" s="306">
        <f>'DELL委託人件費(DPT)'!R2</f>
        <v>1412148</v>
      </c>
      <c r="T15" s="302"/>
      <c r="U15" s="306">
        <f>'DELL委託人件費(DPT)'!S2</f>
        <v>1466527</v>
      </c>
      <c r="V15" s="302"/>
      <c r="W15" s="306">
        <f>'DELL委託人件費(DPT)'!T2</f>
        <v>1076402</v>
      </c>
      <c r="X15" s="302"/>
      <c r="Y15" s="306">
        <f>'DELL委託人件費(DPT)'!U2</f>
        <v>1058198</v>
      </c>
      <c r="Z15" s="215"/>
      <c r="AA15" s="217">
        <f>'DELL委託人件費(DPT)'!V2</f>
        <v>581530</v>
      </c>
      <c r="AB15" s="216"/>
      <c r="AC15" s="217">
        <f>SUM(E15:AA15)</f>
        <v>14512564</v>
      </c>
    </row>
    <row r="16" spans="1:29">
      <c r="B16" s="115" t="s">
        <v>84</v>
      </c>
      <c r="C16" s="116"/>
      <c r="D16" s="314"/>
      <c r="E16" s="304">
        <f>'DELL委託人件費(FS）'!K2</f>
        <v>12139627</v>
      </c>
      <c r="F16" s="298"/>
      <c r="G16" s="304">
        <f>'DELL委託人件費(FS）'!L2</f>
        <v>11842508</v>
      </c>
      <c r="H16" s="298"/>
      <c r="I16" s="304">
        <f>'DELL委託人件費(FS）'!M2</f>
        <v>11678889</v>
      </c>
      <c r="J16" s="298"/>
      <c r="K16" s="304">
        <f>'DELL委託人件費(FS）'!N2</f>
        <v>11799770</v>
      </c>
      <c r="L16" s="298"/>
      <c r="M16" s="304">
        <f>'DELL委託人件費(FS）'!O2</f>
        <v>11649006</v>
      </c>
      <c r="N16" s="298"/>
      <c r="O16" s="304">
        <f>'DELL委託人件費(FS）'!P2</f>
        <v>11628655</v>
      </c>
      <c r="P16" s="298"/>
      <c r="Q16" s="304">
        <f>'DELL委託人件費(FS）'!Q2</f>
        <v>11074498.968020039</v>
      </c>
      <c r="R16" s="298"/>
      <c r="S16" s="304">
        <f>'DELL委託人件費(FS）'!R2</f>
        <v>10839365</v>
      </c>
      <c r="T16" s="298"/>
      <c r="U16" s="304">
        <f>'DELL委託人件費(FS）'!S2</f>
        <v>10906869.423097797</v>
      </c>
      <c r="V16" s="298"/>
      <c r="W16" s="304">
        <f>'DELL委託人件費(FS）'!T2</f>
        <v>10546971</v>
      </c>
      <c r="X16" s="298"/>
      <c r="Y16" s="304">
        <f>'DELL委託人件費(FS）'!U2</f>
        <v>10628334</v>
      </c>
      <c r="Z16" s="218"/>
      <c r="AA16" s="220">
        <f>'DELL委託人件費(FS）'!V2</f>
        <v>8364312</v>
      </c>
      <c r="AB16" s="219"/>
      <c r="AC16" s="220">
        <f>SUM(E16:AA16)</f>
        <v>133098805.39111784</v>
      </c>
    </row>
    <row r="17" spans="2:29" ht="13.5" thickBot="1">
      <c r="B17" s="139" t="s">
        <v>23</v>
      </c>
      <c r="C17" s="140"/>
      <c r="D17" s="326"/>
      <c r="E17" s="307">
        <f>E8-E14</f>
        <v>6726742</v>
      </c>
      <c r="F17" s="310"/>
      <c r="G17" s="307">
        <f>G8-G14</f>
        <v>7680420</v>
      </c>
      <c r="H17" s="310"/>
      <c r="I17" s="307">
        <f>I8-I14</f>
        <v>6315147</v>
      </c>
      <c r="J17" s="310"/>
      <c r="K17" s="307">
        <f>K8-K14</f>
        <v>6420709</v>
      </c>
      <c r="L17" s="310"/>
      <c r="M17" s="307">
        <f>M8-M14</f>
        <v>4597498</v>
      </c>
      <c r="N17" s="310"/>
      <c r="O17" s="307">
        <f>O8-O14</f>
        <v>4644577</v>
      </c>
      <c r="P17" s="310"/>
      <c r="Q17" s="307">
        <f>Q8-Q14</f>
        <v>5010194.0319799613</v>
      </c>
      <c r="R17" s="310"/>
      <c r="S17" s="307">
        <f>S8-S14</f>
        <v>4823487</v>
      </c>
      <c r="T17" s="310"/>
      <c r="U17" s="307">
        <f>U8-U14</f>
        <v>5472103.5769022033</v>
      </c>
      <c r="V17" s="310"/>
      <c r="W17" s="307">
        <f>W8-W14</f>
        <v>4057127</v>
      </c>
      <c r="X17" s="310"/>
      <c r="Y17" s="307">
        <f>Y8-Y14</f>
        <v>2973468</v>
      </c>
      <c r="Z17" s="271"/>
      <c r="AA17" s="272">
        <f>AA8-AA14</f>
        <v>7758158</v>
      </c>
      <c r="AB17" s="273"/>
      <c r="AC17" s="272">
        <f>SUM(E17:AA17)</f>
        <v>66479630.608882166</v>
      </c>
    </row>
    <row r="18" spans="2:29" ht="13.5" thickBot="1">
      <c r="B18" s="134"/>
      <c r="C18" s="134"/>
      <c r="D18" s="318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264"/>
      <c r="AA18" s="264"/>
      <c r="AB18" s="264"/>
      <c r="AC18" s="264"/>
    </row>
    <row r="19" spans="2:29" ht="21.75" customHeight="1" thickBot="1">
      <c r="B19" s="138" t="s">
        <v>49</v>
      </c>
      <c r="C19" s="133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27"/>
      <c r="Z19" s="274"/>
      <c r="AA19" s="274"/>
      <c r="AB19" s="274"/>
      <c r="AC19" s="275"/>
    </row>
    <row r="20" spans="2:29">
      <c r="B20" s="135" t="s">
        <v>68</v>
      </c>
      <c r="C20" s="137"/>
      <c r="D20" s="207"/>
      <c r="E20" s="328">
        <f>E21+E22</f>
        <v>3822500</v>
      </c>
      <c r="F20" s="297"/>
      <c r="G20" s="297">
        <f>G21+G22</f>
        <v>3822500</v>
      </c>
      <c r="H20" s="329"/>
      <c r="I20" s="328">
        <f>I21+I22</f>
        <v>3817500</v>
      </c>
      <c r="J20" s="297"/>
      <c r="K20" s="297">
        <f>K21+K22</f>
        <v>3819455</v>
      </c>
      <c r="L20" s="329"/>
      <c r="M20" s="328">
        <f>M21+M22</f>
        <v>3602025</v>
      </c>
      <c r="N20" s="297"/>
      <c r="O20" s="297">
        <f>O21+O22</f>
        <v>3687320</v>
      </c>
      <c r="P20" s="329"/>
      <c r="Q20" s="328">
        <f>Q21+Q22</f>
        <v>3302435</v>
      </c>
      <c r="R20" s="297"/>
      <c r="S20" s="297">
        <f>S21+S22</f>
        <v>3179855</v>
      </c>
      <c r="T20" s="329"/>
      <c r="U20" s="328">
        <f>U21+U22</f>
        <v>3718440</v>
      </c>
      <c r="V20" s="297"/>
      <c r="W20" s="297">
        <f>W21+W22</f>
        <v>4025275</v>
      </c>
      <c r="X20" s="329"/>
      <c r="Y20" s="328">
        <f>Y21+Y22</f>
        <v>4082725</v>
      </c>
      <c r="Z20" s="258"/>
      <c r="AA20" s="258">
        <f>AA21+AA22</f>
        <v>4140000</v>
      </c>
      <c r="AB20" s="259"/>
      <c r="AC20" s="260">
        <f>SUM(E20:AA20)</f>
        <v>45020030</v>
      </c>
    </row>
    <row r="21" spans="2:29">
      <c r="B21" s="78" t="s">
        <v>76</v>
      </c>
      <c r="C21" s="79"/>
      <c r="D21" s="325"/>
      <c r="E21" s="312">
        <f>UAL常駐!L2</f>
        <v>3822500</v>
      </c>
      <c r="F21" s="302"/>
      <c r="G21" s="302">
        <f>UAL常駐!M2</f>
        <v>3822500</v>
      </c>
      <c r="H21" s="330"/>
      <c r="I21" s="312">
        <f>UAL常駐!N2</f>
        <v>3817500</v>
      </c>
      <c r="J21" s="302"/>
      <c r="K21" s="302">
        <f>UAL常駐!O2</f>
        <v>3819455</v>
      </c>
      <c r="L21" s="330"/>
      <c r="M21" s="312">
        <f>UAL常駐!P2</f>
        <v>3602025</v>
      </c>
      <c r="N21" s="302"/>
      <c r="O21" s="302">
        <f>UAL常駐!Q2</f>
        <v>3687320</v>
      </c>
      <c r="P21" s="330"/>
      <c r="Q21" s="312">
        <f>UAL常駐!R2</f>
        <v>3302435</v>
      </c>
      <c r="R21" s="302"/>
      <c r="S21" s="302">
        <f>UAL常駐!S2</f>
        <v>3179855</v>
      </c>
      <c r="T21" s="330"/>
      <c r="U21" s="312">
        <f>UAL常駐!T2</f>
        <v>3718440</v>
      </c>
      <c r="V21" s="302"/>
      <c r="W21" s="302">
        <f>UAL常駐!U2</f>
        <v>4025275</v>
      </c>
      <c r="X21" s="330"/>
      <c r="Y21" s="312">
        <f>UAL常駐!V2</f>
        <v>4082725</v>
      </c>
      <c r="Z21" s="215"/>
      <c r="AA21" s="215">
        <f>UAL常駐!W2</f>
        <v>4140000</v>
      </c>
      <c r="AB21" s="216"/>
      <c r="AC21" s="217">
        <f>SUM(E21:AA21)</f>
        <v>45020030</v>
      </c>
    </row>
    <row r="22" spans="2:29">
      <c r="B22" s="121" t="s">
        <v>74</v>
      </c>
      <c r="C22" s="122"/>
      <c r="D22" s="331"/>
      <c r="E22" s="332"/>
      <c r="F22" s="308"/>
      <c r="G22" s="308"/>
      <c r="H22" s="333"/>
      <c r="I22" s="332"/>
      <c r="J22" s="308"/>
      <c r="K22" s="308"/>
      <c r="L22" s="333"/>
      <c r="M22" s="332"/>
      <c r="N22" s="308"/>
      <c r="O22" s="308"/>
      <c r="P22" s="333"/>
      <c r="Q22" s="332"/>
      <c r="R22" s="308"/>
      <c r="S22" s="308"/>
      <c r="T22" s="333"/>
      <c r="U22" s="332"/>
      <c r="V22" s="308"/>
      <c r="W22" s="308"/>
      <c r="X22" s="333"/>
      <c r="Y22" s="332"/>
      <c r="Z22" s="276"/>
      <c r="AA22" s="276"/>
      <c r="AB22" s="277"/>
      <c r="AC22" s="279">
        <f>SUM(E22:AA22)</f>
        <v>0</v>
      </c>
    </row>
    <row r="23" spans="2:29">
      <c r="B23" s="118" t="s">
        <v>72</v>
      </c>
      <c r="C23" s="119"/>
      <c r="D23" s="334"/>
      <c r="E23" s="335">
        <f>UAL常駐!L3</f>
        <v>2573624</v>
      </c>
      <c r="F23" s="309"/>
      <c r="G23" s="309">
        <f>UAL常駐!M3</f>
        <v>2556425</v>
      </c>
      <c r="H23" s="336"/>
      <c r="I23" s="335">
        <f>UAL常駐!N3</f>
        <v>2555803</v>
      </c>
      <c r="J23" s="309"/>
      <c r="K23" s="309">
        <f>UAL常駐!O3</f>
        <v>2555021</v>
      </c>
      <c r="L23" s="336"/>
      <c r="M23" s="335">
        <f>UAL常駐!P3</f>
        <v>2540089</v>
      </c>
      <c r="N23" s="309"/>
      <c r="O23" s="309">
        <f>UAL常駐!Q3</f>
        <v>2588419</v>
      </c>
      <c r="P23" s="336"/>
      <c r="Q23" s="335">
        <f>UAL常駐!R3</f>
        <v>2305130</v>
      </c>
      <c r="R23" s="309"/>
      <c r="S23" s="309">
        <f>UAL常駐!S3</f>
        <v>2286257</v>
      </c>
      <c r="T23" s="336"/>
      <c r="U23" s="335">
        <f>UAL常駐!T3</f>
        <v>2619829</v>
      </c>
      <c r="V23" s="309"/>
      <c r="W23" s="309">
        <f>UAL常駐!U3</f>
        <v>2956040</v>
      </c>
      <c r="X23" s="336"/>
      <c r="Y23" s="335">
        <f>UAL常駐!V3</f>
        <v>2914638</v>
      </c>
      <c r="Z23" s="280"/>
      <c r="AA23" s="280">
        <f>UAL常駐!W3</f>
        <v>2911560.4444444445</v>
      </c>
      <c r="AB23" s="281"/>
      <c r="AC23" s="282">
        <f>SUM(E23:AA23)</f>
        <v>31362835.444444444</v>
      </c>
    </row>
    <row r="24" spans="2:29" ht="13.5" thickBot="1">
      <c r="B24" s="139" t="s">
        <v>23</v>
      </c>
      <c r="C24" s="141"/>
      <c r="D24" s="326"/>
      <c r="E24" s="337">
        <f>E20-E23</f>
        <v>1248876</v>
      </c>
      <c r="F24" s="310"/>
      <c r="G24" s="310">
        <f>G20-G23</f>
        <v>1266075</v>
      </c>
      <c r="H24" s="338"/>
      <c r="I24" s="337">
        <f>I20-I23</f>
        <v>1261697</v>
      </c>
      <c r="J24" s="310"/>
      <c r="K24" s="310">
        <f>K20-K23</f>
        <v>1264434</v>
      </c>
      <c r="L24" s="338"/>
      <c r="M24" s="337">
        <f>M20-M23</f>
        <v>1061936</v>
      </c>
      <c r="N24" s="310"/>
      <c r="O24" s="310">
        <f>O20-O23</f>
        <v>1098901</v>
      </c>
      <c r="P24" s="338"/>
      <c r="Q24" s="337">
        <f>Q20-Q23</f>
        <v>997305</v>
      </c>
      <c r="R24" s="310"/>
      <c r="S24" s="310">
        <f>S20-S23</f>
        <v>893598</v>
      </c>
      <c r="T24" s="338"/>
      <c r="U24" s="337">
        <f>U20-U23</f>
        <v>1098611</v>
      </c>
      <c r="V24" s="310"/>
      <c r="W24" s="310">
        <f>W20-W23</f>
        <v>1069235</v>
      </c>
      <c r="X24" s="338"/>
      <c r="Y24" s="337">
        <f>Y20-Y23</f>
        <v>1168087</v>
      </c>
      <c r="Z24" s="271"/>
      <c r="AA24" s="271">
        <f>AA20-AA23</f>
        <v>1228439.5555555555</v>
      </c>
      <c r="AB24" s="273"/>
      <c r="AC24" s="272">
        <f>SUM(E24:AA24)</f>
        <v>13657194.555555556</v>
      </c>
    </row>
    <row r="25" spans="2:29"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215"/>
      <c r="AA25" s="215"/>
      <c r="AB25" s="215"/>
      <c r="AC25" s="215"/>
    </row>
    <row r="26" spans="2:29" ht="13.5" thickBot="1">
      <c r="B26" t="s">
        <v>73</v>
      </c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215"/>
      <c r="AA26" s="215"/>
      <c r="AB26" s="215"/>
      <c r="AC26" s="215"/>
    </row>
    <row r="27" spans="2:29" ht="13.5" thickBot="1">
      <c r="B27" s="83" t="s">
        <v>68</v>
      </c>
      <c r="C27" s="84"/>
      <c r="D27" s="339"/>
      <c r="E27" s="340">
        <f>E28+E29</f>
        <v>780000</v>
      </c>
      <c r="F27" s="311"/>
      <c r="G27" s="311">
        <f>G28+G29</f>
        <v>780000</v>
      </c>
      <c r="H27" s="341"/>
      <c r="I27" s="340">
        <f>I28+I29</f>
        <v>780000</v>
      </c>
      <c r="J27" s="311"/>
      <c r="K27" s="311">
        <f>K28+K29</f>
        <v>810000</v>
      </c>
      <c r="L27" s="341"/>
      <c r="M27" s="340">
        <f>M28+M29</f>
        <v>954000</v>
      </c>
      <c r="N27" s="311"/>
      <c r="O27" s="311">
        <f>O28+O29</f>
        <v>993125</v>
      </c>
      <c r="P27" s="341"/>
      <c r="Q27" s="340">
        <f>Q28+Q29</f>
        <v>1207500</v>
      </c>
      <c r="R27" s="311"/>
      <c r="S27" s="311">
        <f>S28+S29</f>
        <v>1255775</v>
      </c>
      <c r="T27" s="341"/>
      <c r="U27" s="340">
        <f>U28+U29</f>
        <v>1282350</v>
      </c>
      <c r="V27" s="311"/>
      <c r="W27" s="311">
        <f>W28+W29</f>
        <v>974650</v>
      </c>
      <c r="X27" s="341"/>
      <c r="Y27" s="340">
        <f>Y28+Y29</f>
        <v>1503175</v>
      </c>
      <c r="Z27" s="265"/>
      <c r="AA27" s="265">
        <f>AA28+AA29</f>
        <v>2407080</v>
      </c>
      <c r="AB27" s="283"/>
      <c r="AC27" s="266">
        <f>SUM(E27:AA27)</f>
        <v>13727655</v>
      </c>
    </row>
    <row r="28" spans="2:29">
      <c r="B28" s="78" t="s">
        <v>48</v>
      </c>
      <c r="D28" s="325"/>
      <c r="E28" s="312">
        <f>その他業務!L2</f>
        <v>780000</v>
      </c>
      <c r="F28" s="302"/>
      <c r="G28" s="302">
        <f>その他業務!M2</f>
        <v>780000</v>
      </c>
      <c r="H28" s="330"/>
      <c r="I28" s="312">
        <f>その他業務!N2</f>
        <v>780000</v>
      </c>
      <c r="J28" s="302"/>
      <c r="K28" s="302">
        <f>その他業務!O2</f>
        <v>810000</v>
      </c>
      <c r="L28" s="330"/>
      <c r="M28" s="312">
        <f>その他業務!P2</f>
        <v>954000</v>
      </c>
      <c r="N28" s="302"/>
      <c r="O28" s="302">
        <f>その他業務!Q2</f>
        <v>993125</v>
      </c>
      <c r="P28" s="330"/>
      <c r="Q28" s="312">
        <f>その他業務!R2</f>
        <v>1207500</v>
      </c>
      <c r="R28" s="302"/>
      <c r="S28" s="302">
        <f>その他業務!S2</f>
        <v>1255775</v>
      </c>
      <c r="T28" s="330"/>
      <c r="U28" s="312">
        <f>その他業務!T2</f>
        <v>1282350</v>
      </c>
      <c r="V28" s="302"/>
      <c r="W28" s="302">
        <f>その他業務!U2</f>
        <v>974650</v>
      </c>
      <c r="X28" s="330"/>
      <c r="Y28" s="312">
        <f>その他業務!V2</f>
        <v>1503175</v>
      </c>
      <c r="Z28" s="215"/>
      <c r="AA28" s="215">
        <f>その他業務!W2</f>
        <v>2407080</v>
      </c>
      <c r="AB28" s="216"/>
      <c r="AC28" s="217">
        <f>SUM(E28:AA28)</f>
        <v>13727655</v>
      </c>
    </row>
    <row r="29" spans="2:29">
      <c r="B29" s="121" t="s">
        <v>77</v>
      </c>
      <c r="C29" s="123"/>
      <c r="D29" s="331"/>
      <c r="E29" s="332"/>
      <c r="F29" s="308"/>
      <c r="G29" s="308"/>
      <c r="H29" s="333"/>
      <c r="I29" s="332"/>
      <c r="J29" s="308"/>
      <c r="K29" s="308"/>
      <c r="L29" s="333"/>
      <c r="M29" s="332"/>
      <c r="N29" s="308"/>
      <c r="O29" s="308"/>
      <c r="P29" s="333"/>
      <c r="Q29" s="332"/>
      <c r="R29" s="308"/>
      <c r="S29" s="308"/>
      <c r="T29" s="333"/>
      <c r="U29" s="332"/>
      <c r="V29" s="308"/>
      <c r="W29" s="308"/>
      <c r="X29" s="333"/>
      <c r="Y29" s="332"/>
      <c r="Z29" s="276"/>
      <c r="AA29" s="276"/>
      <c r="AB29" s="277"/>
      <c r="AC29" s="278">
        <f>SUM(E29:AA29)</f>
        <v>0</v>
      </c>
    </row>
    <row r="30" spans="2:29">
      <c r="B30" s="118" t="s">
        <v>72</v>
      </c>
      <c r="C30" s="120"/>
      <c r="D30" s="334"/>
      <c r="E30" s="335">
        <f>その他業務!L3</f>
        <v>22000</v>
      </c>
      <c r="F30" s="309"/>
      <c r="G30" s="309">
        <f>その他業務!M3</f>
        <v>24000</v>
      </c>
      <c r="H30" s="336"/>
      <c r="I30" s="335">
        <f>その他業務!N3</f>
        <v>25000</v>
      </c>
      <c r="J30" s="309"/>
      <c r="K30" s="309">
        <f>その他業務!O3</f>
        <v>24000</v>
      </c>
      <c r="L30" s="336"/>
      <c r="M30" s="335">
        <f>その他業務!P3</f>
        <v>23000</v>
      </c>
      <c r="N30" s="309"/>
      <c r="O30" s="309">
        <f>その他業務!Q3</f>
        <v>23000</v>
      </c>
      <c r="P30" s="336"/>
      <c r="Q30" s="335">
        <f>その他業務!R3</f>
        <v>24000</v>
      </c>
      <c r="R30" s="309"/>
      <c r="S30" s="309">
        <f>その他業務!S3</f>
        <v>24000</v>
      </c>
      <c r="T30" s="336"/>
      <c r="U30" s="335">
        <f>その他業務!T3</f>
        <v>25000</v>
      </c>
      <c r="V30" s="309"/>
      <c r="W30" s="309">
        <f>その他業務!U3</f>
        <v>26000</v>
      </c>
      <c r="X30" s="336"/>
      <c r="Y30" s="335">
        <f>その他業務!V3</f>
        <v>23000</v>
      </c>
      <c r="Z30" s="280"/>
      <c r="AA30" s="280">
        <f>その他業務!W3</f>
        <v>30000</v>
      </c>
      <c r="AB30" s="281"/>
      <c r="AC30" s="282">
        <f>SUM(E30:AA30)</f>
        <v>293000</v>
      </c>
    </row>
    <row r="31" spans="2:29" ht="13.5" thickBot="1">
      <c r="B31" s="139" t="s">
        <v>23</v>
      </c>
      <c r="C31" s="140"/>
      <c r="D31" s="326"/>
      <c r="E31" s="337">
        <f>E27-E30</f>
        <v>758000</v>
      </c>
      <c r="F31" s="310"/>
      <c r="G31" s="310">
        <f>G27-G30</f>
        <v>756000</v>
      </c>
      <c r="H31" s="338"/>
      <c r="I31" s="337">
        <f>I27-I30</f>
        <v>755000</v>
      </c>
      <c r="J31" s="310"/>
      <c r="K31" s="310">
        <f>K27-K30</f>
        <v>786000</v>
      </c>
      <c r="L31" s="338"/>
      <c r="M31" s="337">
        <f>M27-M30</f>
        <v>931000</v>
      </c>
      <c r="N31" s="310"/>
      <c r="O31" s="310">
        <f>O27-O30</f>
        <v>970125</v>
      </c>
      <c r="P31" s="338"/>
      <c r="Q31" s="337">
        <f>Q27-Q30</f>
        <v>1183500</v>
      </c>
      <c r="R31" s="310"/>
      <c r="S31" s="310">
        <f>S27-S30</f>
        <v>1231775</v>
      </c>
      <c r="T31" s="338"/>
      <c r="U31" s="337">
        <f>U27-U30</f>
        <v>1257350</v>
      </c>
      <c r="V31" s="310"/>
      <c r="W31" s="310">
        <f>W27-W30</f>
        <v>948650</v>
      </c>
      <c r="X31" s="338"/>
      <c r="Y31" s="337">
        <f>Y27-Y30</f>
        <v>1480175</v>
      </c>
      <c r="Z31" s="271"/>
      <c r="AA31" s="271">
        <f>AA27-AA30</f>
        <v>2377080</v>
      </c>
      <c r="AB31" s="273"/>
      <c r="AC31" s="272">
        <f>SUM(E31:AA31)</f>
        <v>13434655</v>
      </c>
    </row>
    <row r="32" spans="2:29"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215"/>
      <c r="AA32" s="215"/>
      <c r="AB32" s="215"/>
      <c r="AC32" s="215"/>
    </row>
    <row r="33" spans="2:29" ht="13.5" thickBot="1">
      <c r="Z33" s="284"/>
      <c r="AA33" s="284"/>
      <c r="AB33" s="284"/>
      <c r="AC33" s="284"/>
    </row>
    <row r="34" spans="2:29" ht="14.5" thickBot="1">
      <c r="C34" s="124"/>
      <c r="D34" s="578" t="s">
        <v>79</v>
      </c>
      <c r="E34" s="579"/>
      <c r="F34" s="578" t="s">
        <v>55</v>
      </c>
      <c r="G34" s="579"/>
      <c r="H34" s="578" t="s">
        <v>56</v>
      </c>
      <c r="I34" s="579"/>
      <c r="J34" s="578" t="s">
        <v>57</v>
      </c>
      <c r="K34" s="579"/>
      <c r="L34" s="578" t="s">
        <v>58</v>
      </c>
      <c r="M34" s="579"/>
      <c r="N34" s="578" t="s">
        <v>59</v>
      </c>
      <c r="O34" s="579"/>
      <c r="P34" s="578" t="s">
        <v>60</v>
      </c>
      <c r="Q34" s="579"/>
      <c r="R34" s="578" t="s">
        <v>61</v>
      </c>
      <c r="S34" s="579"/>
      <c r="T34" s="578" t="s">
        <v>62</v>
      </c>
      <c r="U34" s="579"/>
      <c r="V34" s="578" t="s">
        <v>63</v>
      </c>
      <c r="W34" s="579"/>
      <c r="X34" s="578" t="s">
        <v>64</v>
      </c>
      <c r="Y34" s="579"/>
      <c r="Z34" s="578" t="s">
        <v>65</v>
      </c>
      <c r="AA34" s="580"/>
      <c r="AB34" s="581" t="s">
        <v>80</v>
      </c>
      <c r="AC34" s="582"/>
    </row>
    <row r="35" spans="2:29" ht="14">
      <c r="C35" s="125" t="s">
        <v>78</v>
      </c>
      <c r="D35" s="583">
        <f>E8+E20+E27</f>
        <v>24872000</v>
      </c>
      <c r="E35" s="584"/>
      <c r="F35" s="583">
        <f>G8+G20+G27</f>
        <v>25208500</v>
      </c>
      <c r="G35" s="584"/>
      <c r="H35" s="583">
        <f>I8+I20+I27</f>
        <v>23849000</v>
      </c>
      <c r="I35" s="584"/>
      <c r="J35" s="583">
        <f t="shared" ref="J35" si="29">K8+K20+K27</f>
        <v>24079955</v>
      </c>
      <c r="K35" s="584"/>
      <c r="L35" s="583">
        <f t="shared" ref="L35" si="30">M8+M20+M27</f>
        <v>22063525</v>
      </c>
      <c r="M35" s="584"/>
      <c r="N35" s="583">
        <f>O8+O20+O27</f>
        <v>22324945</v>
      </c>
      <c r="O35" s="584"/>
      <c r="P35" s="583">
        <f t="shared" ref="P35" si="31">Q8+Q20+Q27</f>
        <v>21906435</v>
      </c>
      <c r="Q35" s="584"/>
      <c r="R35" s="583">
        <f t="shared" ref="R35" si="32">S8+S20+S27</f>
        <v>21510630</v>
      </c>
      <c r="S35" s="584"/>
      <c r="T35" s="583">
        <f t="shared" ref="T35" si="33">U8+U20+U27</f>
        <v>22846290</v>
      </c>
      <c r="U35" s="584"/>
      <c r="V35" s="583">
        <f t="shared" ref="V35" si="34">W8+W20+W27</f>
        <v>20680425</v>
      </c>
      <c r="W35" s="584"/>
      <c r="X35" s="583">
        <f t="shared" ref="X35" si="35">Y8+Y20+Y27</f>
        <v>20245900</v>
      </c>
      <c r="Y35" s="584"/>
      <c r="Z35" s="587">
        <f t="shared" ref="Z35" si="36">AA8+AA20+AA27</f>
        <v>23251080</v>
      </c>
      <c r="AA35" s="588"/>
      <c r="AB35" s="585">
        <f>SUM(D35:Z35)</f>
        <v>272838685</v>
      </c>
      <c r="AC35" s="586"/>
    </row>
    <row r="36" spans="2:29" ht="14">
      <c r="C36" s="126" t="s">
        <v>72</v>
      </c>
      <c r="D36" s="566">
        <f>E14+E23+E30</f>
        <v>16138382</v>
      </c>
      <c r="E36" s="567"/>
      <c r="F36" s="566">
        <f>G14+G23+G30</f>
        <v>15506005</v>
      </c>
      <c r="G36" s="567"/>
      <c r="H36" s="566">
        <f>I14+I23+I30</f>
        <v>15517156</v>
      </c>
      <c r="I36" s="567"/>
      <c r="J36" s="566">
        <f t="shared" ref="J36" si="37">K14+K23+K30</f>
        <v>15608812</v>
      </c>
      <c r="K36" s="567"/>
      <c r="L36" s="566">
        <f t="shared" ref="L36" si="38">M14+M23+M30</f>
        <v>15473091</v>
      </c>
      <c r="M36" s="567"/>
      <c r="N36" s="566">
        <f t="shared" ref="N36" si="39">O14+O23+O30</f>
        <v>15611342</v>
      </c>
      <c r="O36" s="567"/>
      <c r="P36" s="566">
        <f t="shared" ref="P36" si="40">Q14+Q23+Q30</f>
        <v>14715435.968020039</v>
      </c>
      <c r="Q36" s="567"/>
      <c r="R36" s="566">
        <f t="shared" ref="R36" si="41">S14+S23+S30</f>
        <v>14561770</v>
      </c>
      <c r="S36" s="567"/>
      <c r="T36" s="566">
        <f t="shared" ref="T36" si="42">U14+U23+U30</f>
        <v>15018225.423097797</v>
      </c>
      <c r="U36" s="567"/>
      <c r="V36" s="566">
        <f t="shared" ref="V36" si="43">W14+W23+W30</f>
        <v>14605413</v>
      </c>
      <c r="W36" s="567"/>
      <c r="X36" s="566">
        <f t="shared" ref="X36" si="44">Y14+Y23+Y30</f>
        <v>14624170</v>
      </c>
      <c r="Y36" s="567"/>
      <c r="Z36" s="570">
        <f t="shared" ref="Z36" si="45">AA14+AA23+AA30</f>
        <v>11887402.444444444</v>
      </c>
      <c r="AA36" s="571"/>
      <c r="AB36" s="568">
        <f>SUM(D36:Z36)</f>
        <v>179267204.83556229</v>
      </c>
      <c r="AC36" s="569"/>
    </row>
    <row r="37" spans="2:29" ht="14.5" thickBot="1">
      <c r="C37" s="127" t="s">
        <v>23</v>
      </c>
      <c r="D37" s="572">
        <f>D35-D36</f>
        <v>8733618</v>
      </c>
      <c r="E37" s="573"/>
      <c r="F37" s="572">
        <f>F35-F36</f>
        <v>9702495</v>
      </c>
      <c r="G37" s="573"/>
      <c r="H37" s="572">
        <f>H35-H36</f>
        <v>8331844</v>
      </c>
      <c r="I37" s="573"/>
      <c r="J37" s="572">
        <f>J35-J36</f>
        <v>8471143</v>
      </c>
      <c r="K37" s="573"/>
      <c r="L37" s="572">
        <f>L35-L36</f>
        <v>6590434</v>
      </c>
      <c r="M37" s="573"/>
      <c r="N37" s="572">
        <f>N35-N36</f>
        <v>6713603</v>
      </c>
      <c r="O37" s="573"/>
      <c r="P37" s="572">
        <f>P35-P36</f>
        <v>7190999.0319799613</v>
      </c>
      <c r="Q37" s="573"/>
      <c r="R37" s="572">
        <f>R35-R36</f>
        <v>6948860</v>
      </c>
      <c r="S37" s="573"/>
      <c r="T37" s="572">
        <f>T35-T36</f>
        <v>7828064.5769022033</v>
      </c>
      <c r="U37" s="573"/>
      <c r="V37" s="572">
        <f>V35-V36</f>
        <v>6075012</v>
      </c>
      <c r="W37" s="573"/>
      <c r="X37" s="572">
        <f>X35-X36</f>
        <v>5621730</v>
      </c>
      <c r="Y37" s="573"/>
      <c r="Z37" s="576">
        <f>Z35-Z36</f>
        <v>11363677.555555556</v>
      </c>
      <c r="AA37" s="577"/>
      <c r="AB37" s="574">
        <f>SUM(D37:Z37)</f>
        <v>93571480.164437711</v>
      </c>
      <c r="AC37" s="575"/>
    </row>
    <row r="38" spans="2:29" ht="13.5" thickBot="1">
      <c r="Z38" s="284"/>
      <c r="AA38" s="284"/>
      <c r="AB38" s="284"/>
      <c r="AC38" s="284"/>
    </row>
    <row r="39" spans="2:29" ht="13.5" thickBot="1">
      <c r="B39" s="138" t="s">
        <v>86</v>
      </c>
      <c r="C39" s="133"/>
      <c r="D39" s="327"/>
      <c r="E39" s="327"/>
      <c r="F39" s="327"/>
      <c r="G39" s="327"/>
      <c r="H39" s="327"/>
      <c r="I39" s="327"/>
      <c r="J39" s="327"/>
      <c r="K39" s="327"/>
      <c r="L39" s="327"/>
      <c r="M39" s="327"/>
      <c r="N39" s="327"/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7"/>
      <c r="Z39" s="274"/>
      <c r="AA39" s="274"/>
      <c r="AB39" s="274"/>
      <c r="AC39" s="275"/>
    </row>
    <row r="40" spans="2:29">
      <c r="B40" s="135" t="s">
        <v>68</v>
      </c>
      <c r="C40" s="137"/>
      <c r="D40" s="207"/>
      <c r="E40" s="328">
        <f>E41</f>
        <v>1980000</v>
      </c>
      <c r="F40" s="297"/>
      <c r="G40" s="297">
        <f>G41</f>
        <v>1980000</v>
      </c>
      <c r="H40" s="329"/>
      <c r="I40" s="328">
        <f>I41</f>
        <v>1980000</v>
      </c>
      <c r="J40" s="297"/>
      <c r="K40" s="297">
        <f>K41</f>
        <v>1980000</v>
      </c>
      <c r="L40" s="329"/>
      <c r="M40" s="328">
        <f>M41</f>
        <v>1980000</v>
      </c>
      <c r="N40" s="297"/>
      <c r="O40" s="297">
        <f>O41</f>
        <v>1980000</v>
      </c>
      <c r="P40" s="329"/>
      <c r="Q40" s="328">
        <f>Q41</f>
        <v>1980000</v>
      </c>
      <c r="R40" s="297"/>
      <c r="S40" s="297">
        <f>S41</f>
        <v>1980000</v>
      </c>
      <c r="T40" s="329"/>
      <c r="U40" s="328">
        <f>U41</f>
        <v>1980000</v>
      </c>
      <c r="V40" s="297"/>
      <c r="W40" s="297">
        <f>W41</f>
        <v>1980000</v>
      </c>
      <c r="X40" s="329"/>
      <c r="Y40" s="328">
        <f>Y41</f>
        <v>1980000</v>
      </c>
      <c r="Z40" s="258"/>
      <c r="AA40" s="258">
        <f>AA41</f>
        <v>1980000</v>
      </c>
      <c r="AB40" s="259"/>
      <c r="AC40" s="260">
        <f>SUM(E40:AA40)</f>
        <v>23760000</v>
      </c>
    </row>
    <row r="41" spans="2:29">
      <c r="B41" s="78" t="s">
        <v>87</v>
      </c>
      <c r="C41" s="79"/>
      <c r="D41" s="325"/>
      <c r="E41" s="312">
        <v>1980000</v>
      </c>
      <c r="F41" s="302"/>
      <c r="G41" s="312">
        <v>1980000</v>
      </c>
      <c r="H41" s="330"/>
      <c r="I41" s="312">
        <v>1980000</v>
      </c>
      <c r="J41" s="302"/>
      <c r="K41" s="312">
        <v>1980000</v>
      </c>
      <c r="L41" s="330"/>
      <c r="M41" s="312">
        <v>1980000</v>
      </c>
      <c r="N41" s="302"/>
      <c r="O41" s="312">
        <v>1980000</v>
      </c>
      <c r="P41" s="330"/>
      <c r="Q41" s="312">
        <v>1980000</v>
      </c>
      <c r="R41" s="302"/>
      <c r="S41" s="312">
        <v>1980000</v>
      </c>
      <c r="T41" s="330"/>
      <c r="U41" s="312">
        <v>1980000</v>
      </c>
      <c r="V41" s="302"/>
      <c r="W41" s="312">
        <v>1980000</v>
      </c>
      <c r="X41" s="330"/>
      <c r="Y41" s="312">
        <v>1980000</v>
      </c>
      <c r="Z41" s="215"/>
      <c r="AA41" s="217">
        <v>1980000</v>
      </c>
      <c r="AB41" s="216"/>
      <c r="AC41" s="217">
        <f>SUM(E41:AA41)</f>
        <v>23760000</v>
      </c>
    </row>
    <row r="42" spans="2:29">
      <c r="B42" s="118" t="s">
        <v>72</v>
      </c>
      <c r="C42" s="119"/>
      <c r="D42" s="334"/>
      <c r="E42" s="335"/>
      <c r="F42" s="309"/>
      <c r="G42" s="309"/>
      <c r="H42" s="336"/>
      <c r="I42" s="335"/>
      <c r="J42" s="309"/>
      <c r="K42" s="309"/>
      <c r="L42" s="336"/>
      <c r="M42" s="335"/>
      <c r="N42" s="309"/>
      <c r="O42" s="309"/>
      <c r="P42" s="336"/>
      <c r="Q42" s="335"/>
      <c r="R42" s="309"/>
      <c r="S42" s="309"/>
      <c r="T42" s="336"/>
      <c r="U42" s="335"/>
      <c r="V42" s="309"/>
      <c r="W42" s="309"/>
      <c r="X42" s="336"/>
      <c r="Y42" s="335"/>
      <c r="Z42" s="280"/>
      <c r="AA42" s="280"/>
      <c r="AB42" s="281"/>
      <c r="AC42" s="282">
        <f>SUM(E42:AA42)</f>
        <v>0</v>
      </c>
    </row>
    <row r="43" spans="2:29" ht="13.5" thickBot="1">
      <c r="B43" s="139" t="s">
        <v>23</v>
      </c>
      <c r="C43" s="141"/>
      <c r="D43" s="326"/>
      <c r="E43" s="337">
        <f>E40-E42</f>
        <v>1980000</v>
      </c>
      <c r="F43" s="310"/>
      <c r="G43" s="310">
        <f>G40-G42</f>
        <v>1980000</v>
      </c>
      <c r="H43" s="338"/>
      <c r="I43" s="337">
        <f>I40-I42</f>
        <v>1980000</v>
      </c>
      <c r="J43" s="310"/>
      <c r="K43" s="310">
        <f>K40-K42</f>
        <v>1980000</v>
      </c>
      <c r="L43" s="338"/>
      <c r="M43" s="337">
        <f>M40-M42</f>
        <v>1980000</v>
      </c>
      <c r="N43" s="310"/>
      <c r="O43" s="310">
        <f>O40-O42</f>
        <v>1980000</v>
      </c>
      <c r="P43" s="338"/>
      <c r="Q43" s="337">
        <f>Q40-Q42</f>
        <v>1980000</v>
      </c>
      <c r="R43" s="310"/>
      <c r="S43" s="310">
        <f>S40-S42</f>
        <v>1980000</v>
      </c>
      <c r="T43" s="338"/>
      <c r="U43" s="337">
        <f>U40-U42</f>
        <v>1980000</v>
      </c>
      <c r="V43" s="310"/>
      <c r="W43" s="310">
        <f>W40-W42</f>
        <v>1980000</v>
      </c>
      <c r="X43" s="338"/>
      <c r="Y43" s="337">
        <f>Y40-Y42</f>
        <v>1980000</v>
      </c>
      <c r="Z43" s="271"/>
      <c r="AA43" s="271">
        <f>AA40-AA42</f>
        <v>1980000</v>
      </c>
      <c r="AB43" s="273"/>
      <c r="AC43" s="272">
        <f>SUM(E43:AA43)</f>
        <v>23760000</v>
      </c>
    </row>
  </sheetData>
  <mergeCells count="65">
    <mergeCell ref="Z1:AA1"/>
    <mergeCell ref="N1:O1"/>
    <mergeCell ref="D1:E1"/>
    <mergeCell ref="F1:G1"/>
    <mergeCell ref="H1:I1"/>
    <mergeCell ref="J1:K1"/>
    <mergeCell ref="L1:M1"/>
    <mergeCell ref="T35:U35"/>
    <mergeCell ref="AB1:AC1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P1:Q1"/>
    <mergeCell ref="R1:S1"/>
    <mergeCell ref="T1:U1"/>
    <mergeCell ref="V1:W1"/>
    <mergeCell ref="X1:Y1"/>
    <mergeCell ref="V34:W34"/>
    <mergeCell ref="X34:Y34"/>
    <mergeCell ref="Z34:AA34"/>
    <mergeCell ref="AB34:AC34"/>
    <mergeCell ref="D35:E35"/>
    <mergeCell ref="F35:G35"/>
    <mergeCell ref="H35:I35"/>
    <mergeCell ref="J35:K35"/>
    <mergeCell ref="L35:M35"/>
    <mergeCell ref="N35:O35"/>
    <mergeCell ref="AB35:AC35"/>
    <mergeCell ref="V35:W35"/>
    <mergeCell ref="X35:Y35"/>
    <mergeCell ref="Z35:AA35"/>
    <mergeCell ref="P35:Q35"/>
    <mergeCell ref="R35:S35"/>
    <mergeCell ref="D36:E36"/>
    <mergeCell ref="F36:G36"/>
    <mergeCell ref="H36:I36"/>
    <mergeCell ref="J36:K36"/>
    <mergeCell ref="L36:M36"/>
    <mergeCell ref="N37:O37"/>
    <mergeCell ref="AB37:AC37"/>
    <mergeCell ref="P37:Q37"/>
    <mergeCell ref="R37:S37"/>
    <mergeCell ref="T37:U37"/>
    <mergeCell ref="V37:W37"/>
    <mergeCell ref="X37:Y37"/>
    <mergeCell ref="Z37:AA37"/>
    <mergeCell ref="D37:E37"/>
    <mergeCell ref="F37:G37"/>
    <mergeCell ref="H37:I37"/>
    <mergeCell ref="J37:K37"/>
    <mergeCell ref="L37:M37"/>
    <mergeCell ref="N36:O36"/>
    <mergeCell ref="P36:Q36"/>
    <mergeCell ref="R36:S36"/>
    <mergeCell ref="T36:U36"/>
    <mergeCell ref="AB36:AC36"/>
    <mergeCell ref="V36:W36"/>
    <mergeCell ref="X36:Y36"/>
    <mergeCell ref="Z36:AA36"/>
  </mergeCells>
  <phoneticPr fontId="2"/>
  <pageMargins left="0.7" right="0.7" top="0.75" bottom="0.75" header="0.3" footer="0.3"/>
  <pageSetup paperSize="8" scale="6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4072-59A8-48A6-8466-F658B738F80B}">
  <sheetPr codeName="Sheet4">
    <pageSetUpPr fitToPage="1"/>
  </sheetPr>
  <dimension ref="A1:Y300"/>
  <sheetViews>
    <sheetView showGridLines="0" zoomScale="80" zoomScaleNormal="80" zoomScaleSheetLayoutView="70" workbookViewId="0">
      <pane xSplit="10" ySplit="1" topLeftCell="K9" activePane="bottomRight" state="frozen"/>
      <selection activeCell="G34" sqref="G34:H34"/>
      <selection pane="topRight" activeCell="G34" sqref="G34:H34"/>
      <selection pane="bottomLeft" activeCell="G34" sqref="G34:H34"/>
      <selection pane="bottomRight" activeCell="F3" sqref="F3:F50"/>
    </sheetView>
  </sheetViews>
  <sheetFormatPr defaultRowHeight="12"/>
  <cols>
    <col min="1" max="1" width="9.08984375" style="23" bestFit="1" customWidth="1"/>
    <col min="2" max="2" width="10.453125" style="26" bestFit="1" customWidth="1"/>
    <col min="3" max="3" width="4.90625" style="2" customWidth="1"/>
    <col min="4" max="4" width="9.36328125" style="2" customWidth="1"/>
    <col min="5" max="5" width="5.08984375" style="2" customWidth="1"/>
    <col min="6" max="6" width="9.6328125" style="2" customWidth="1"/>
    <col min="7" max="8" width="11.90625" style="2" customWidth="1"/>
    <col min="9" max="9" width="9.08984375" style="2" customWidth="1"/>
    <col min="10" max="10" width="10.90625" style="94" customWidth="1"/>
    <col min="11" max="14" width="13.36328125" style="5" customWidth="1"/>
    <col min="15" max="15" width="13.36328125" style="111" customWidth="1"/>
    <col min="16" max="17" width="13.36328125" style="15" customWidth="1"/>
    <col min="18" max="18" width="13.36328125" style="3" customWidth="1"/>
    <col min="19" max="21" width="13.36328125" style="15" customWidth="1"/>
    <col min="22" max="22" width="13.90625" style="3" customWidth="1"/>
    <col min="23" max="23" width="14.08984375" style="4" bestFit="1" customWidth="1"/>
    <col min="24" max="24" width="8.90625" style="2" customWidth="1"/>
    <col min="25" max="25" width="11" style="2" bestFit="1" customWidth="1"/>
    <col min="26" max="258" width="8.90625" style="2"/>
    <col min="259" max="259" width="9.90625" style="2" customWidth="1"/>
    <col min="260" max="261" width="5.08984375" style="2" customWidth="1"/>
    <col min="262" max="262" width="9.6328125" style="2" customWidth="1"/>
    <col min="263" max="264" width="11.90625" style="2" customWidth="1"/>
    <col min="265" max="265" width="15.36328125" style="2" customWidth="1"/>
    <col min="266" max="266" width="10.90625" style="2" customWidth="1"/>
    <col min="267" max="277" width="13.36328125" style="2" customWidth="1"/>
    <col min="278" max="278" width="13.90625" style="2" customWidth="1"/>
    <col min="279" max="279" width="16.453125" style="2" customWidth="1"/>
    <col min="280" max="514" width="8.90625" style="2"/>
    <col min="515" max="515" width="9.90625" style="2" customWidth="1"/>
    <col min="516" max="517" width="5.08984375" style="2" customWidth="1"/>
    <col min="518" max="518" width="9.6328125" style="2" customWidth="1"/>
    <col min="519" max="520" width="11.90625" style="2" customWidth="1"/>
    <col min="521" max="521" width="15.36328125" style="2" customWidth="1"/>
    <col min="522" max="522" width="10.90625" style="2" customWidth="1"/>
    <col min="523" max="533" width="13.36328125" style="2" customWidth="1"/>
    <col min="534" max="534" width="13.90625" style="2" customWidth="1"/>
    <col min="535" max="535" width="16.453125" style="2" customWidth="1"/>
    <col min="536" max="770" width="8.90625" style="2"/>
    <col min="771" max="771" width="9.90625" style="2" customWidth="1"/>
    <col min="772" max="773" width="5.08984375" style="2" customWidth="1"/>
    <col min="774" max="774" width="9.6328125" style="2" customWidth="1"/>
    <col min="775" max="776" width="11.90625" style="2" customWidth="1"/>
    <col min="777" max="777" width="15.36328125" style="2" customWidth="1"/>
    <col min="778" max="778" width="10.90625" style="2" customWidth="1"/>
    <col min="779" max="789" width="13.36328125" style="2" customWidth="1"/>
    <col min="790" max="790" width="13.90625" style="2" customWidth="1"/>
    <col min="791" max="791" width="16.453125" style="2" customWidth="1"/>
    <col min="792" max="1026" width="8.90625" style="2"/>
    <col min="1027" max="1027" width="9.90625" style="2" customWidth="1"/>
    <col min="1028" max="1029" width="5.08984375" style="2" customWidth="1"/>
    <col min="1030" max="1030" width="9.6328125" style="2" customWidth="1"/>
    <col min="1031" max="1032" width="11.90625" style="2" customWidth="1"/>
    <col min="1033" max="1033" width="15.36328125" style="2" customWidth="1"/>
    <col min="1034" max="1034" width="10.90625" style="2" customWidth="1"/>
    <col min="1035" max="1045" width="13.36328125" style="2" customWidth="1"/>
    <col min="1046" max="1046" width="13.90625" style="2" customWidth="1"/>
    <col min="1047" max="1047" width="16.453125" style="2" customWidth="1"/>
    <col min="1048" max="1282" width="8.90625" style="2"/>
    <col min="1283" max="1283" width="9.90625" style="2" customWidth="1"/>
    <col min="1284" max="1285" width="5.08984375" style="2" customWidth="1"/>
    <col min="1286" max="1286" width="9.6328125" style="2" customWidth="1"/>
    <col min="1287" max="1288" width="11.90625" style="2" customWidth="1"/>
    <col min="1289" max="1289" width="15.36328125" style="2" customWidth="1"/>
    <col min="1290" max="1290" width="10.90625" style="2" customWidth="1"/>
    <col min="1291" max="1301" width="13.36328125" style="2" customWidth="1"/>
    <col min="1302" max="1302" width="13.90625" style="2" customWidth="1"/>
    <col min="1303" max="1303" width="16.453125" style="2" customWidth="1"/>
    <col min="1304" max="1538" width="8.90625" style="2"/>
    <col min="1539" max="1539" width="9.90625" style="2" customWidth="1"/>
    <col min="1540" max="1541" width="5.08984375" style="2" customWidth="1"/>
    <col min="1542" max="1542" width="9.6328125" style="2" customWidth="1"/>
    <col min="1543" max="1544" width="11.90625" style="2" customWidth="1"/>
    <col min="1545" max="1545" width="15.36328125" style="2" customWidth="1"/>
    <col min="1546" max="1546" width="10.90625" style="2" customWidth="1"/>
    <col min="1547" max="1557" width="13.36328125" style="2" customWidth="1"/>
    <col min="1558" max="1558" width="13.90625" style="2" customWidth="1"/>
    <col min="1559" max="1559" width="16.453125" style="2" customWidth="1"/>
    <col min="1560" max="1794" width="8.90625" style="2"/>
    <col min="1795" max="1795" width="9.90625" style="2" customWidth="1"/>
    <col min="1796" max="1797" width="5.08984375" style="2" customWidth="1"/>
    <col min="1798" max="1798" width="9.6328125" style="2" customWidth="1"/>
    <col min="1799" max="1800" width="11.90625" style="2" customWidth="1"/>
    <col min="1801" max="1801" width="15.36328125" style="2" customWidth="1"/>
    <col min="1802" max="1802" width="10.90625" style="2" customWidth="1"/>
    <col min="1803" max="1813" width="13.36328125" style="2" customWidth="1"/>
    <col min="1814" max="1814" width="13.90625" style="2" customWidth="1"/>
    <col min="1815" max="1815" width="16.453125" style="2" customWidth="1"/>
    <col min="1816" max="2050" width="8.90625" style="2"/>
    <col min="2051" max="2051" width="9.90625" style="2" customWidth="1"/>
    <col min="2052" max="2053" width="5.08984375" style="2" customWidth="1"/>
    <col min="2054" max="2054" width="9.6328125" style="2" customWidth="1"/>
    <col min="2055" max="2056" width="11.90625" style="2" customWidth="1"/>
    <col min="2057" max="2057" width="15.36328125" style="2" customWidth="1"/>
    <col min="2058" max="2058" width="10.90625" style="2" customWidth="1"/>
    <col min="2059" max="2069" width="13.36328125" style="2" customWidth="1"/>
    <col min="2070" max="2070" width="13.90625" style="2" customWidth="1"/>
    <col min="2071" max="2071" width="16.453125" style="2" customWidth="1"/>
    <col min="2072" max="2306" width="8.90625" style="2"/>
    <col min="2307" max="2307" width="9.90625" style="2" customWidth="1"/>
    <col min="2308" max="2309" width="5.08984375" style="2" customWidth="1"/>
    <col min="2310" max="2310" width="9.6328125" style="2" customWidth="1"/>
    <col min="2311" max="2312" width="11.90625" style="2" customWidth="1"/>
    <col min="2313" max="2313" width="15.36328125" style="2" customWidth="1"/>
    <col min="2314" max="2314" width="10.90625" style="2" customWidth="1"/>
    <col min="2315" max="2325" width="13.36328125" style="2" customWidth="1"/>
    <col min="2326" max="2326" width="13.90625" style="2" customWidth="1"/>
    <col min="2327" max="2327" width="16.453125" style="2" customWidth="1"/>
    <col min="2328" max="2562" width="8.90625" style="2"/>
    <col min="2563" max="2563" width="9.90625" style="2" customWidth="1"/>
    <col min="2564" max="2565" width="5.08984375" style="2" customWidth="1"/>
    <col min="2566" max="2566" width="9.6328125" style="2" customWidth="1"/>
    <col min="2567" max="2568" width="11.90625" style="2" customWidth="1"/>
    <col min="2569" max="2569" width="15.36328125" style="2" customWidth="1"/>
    <col min="2570" max="2570" width="10.90625" style="2" customWidth="1"/>
    <col min="2571" max="2581" width="13.36328125" style="2" customWidth="1"/>
    <col min="2582" max="2582" width="13.90625" style="2" customWidth="1"/>
    <col min="2583" max="2583" width="16.453125" style="2" customWidth="1"/>
    <col min="2584" max="2818" width="8.90625" style="2"/>
    <col min="2819" max="2819" width="9.90625" style="2" customWidth="1"/>
    <col min="2820" max="2821" width="5.08984375" style="2" customWidth="1"/>
    <col min="2822" max="2822" width="9.6328125" style="2" customWidth="1"/>
    <col min="2823" max="2824" width="11.90625" style="2" customWidth="1"/>
    <col min="2825" max="2825" width="15.36328125" style="2" customWidth="1"/>
    <col min="2826" max="2826" width="10.90625" style="2" customWidth="1"/>
    <col min="2827" max="2837" width="13.36328125" style="2" customWidth="1"/>
    <col min="2838" max="2838" width="13.90625" style="2" customWidth="1"/>
    <col min="2839" max="2839" width="16.453125" style="2" customWidth="1"/>
    <col min="2840" max="3074" width="8.90625" style="2"/>
    <col min="3075" max="3075" width="9.90625" style="2" customWidth="1"/>
    <col min="3076" max="3077" width="5.08984375" style="2" customWidth="1"/>
    <col min="3078" max="3078" width="9.6328125" style="2" customWidth="1"/>
    <col min="3079" max="3080" width="11.90625" style="2" customWidth="1"/>
    <col min="3081" max="3081" width="15.36328125" style="2" customWidth="1"/>
    <col min="3082" max="3082" width="10.90625" style="2" customWidth="1"/>
    <col min="3083" max="3093" width="13.36328125" style="2" customWidth="1"/>
    <col min="3094" max="3094" width="13.90625" style="2" customWidth="1"/>
    <col min="3095" max="3095" width="16.453125" style="2" customWidth="1"/>
    <col min="3096" max="3330" width="8.90625" style="2"/>
    <col min="3331" max="3331" width="9.90625" style="2" customWidth="1"/>
    <col min="3332" max="3333" width="5.08984375" style="2" customWidth="1"/>
    <col min="3334" max="3334" width="9.6328125" style="2" customWidth="1"/>
    <col min="3335" max="3336" width="11.90625" style="2" customWidth="1"/>
    <col min="3337" max="3337" width="15.36328125" style="2" customWidth="1"/>
    <col min="3338" max="3338" width="10.90625" style="2" customWidth="1"/>
    <col min="3339" max="3349" width="13.36328125" style="2" customWidth="1"/>
    <col min="3350" max="3350" width="13.90625" style="2" customWidth="1"/>
    <col min="3351" max="3351" width="16.453125" style="2" customWidth="1"/>
    <col min="3352" max="3586" width="8.90625" style="2"/>
    <col min="3587" max="3587" width="9.90625" style="2" customWidth="1"/>
    <col min="3588" max="3589" width="5.08984375" style="2" customWidth="1"/>
    <col min="3590" max="3590" width="9.6328125" style="2" customWidth="1"/>
    <col min="3591" max="3592" width="11.90625" style="2" customWidth="1"/>
    <col min="3593" max="3593" width="15.36328125" style="2" customWidth="1"/>
    <col min="3594" max="3594" width="10.90625" style="2" customWidth="1"/>
    <col min="3595" max="3605" width="13.36328125" style="2" customWidth="1"/>
    <col min="3606" max="3606" width="13.90625" style="2" customWidth="1"/>
    <col min="3607" max="3607" width="16.453125" style="2" customWidth="1"/>
    <col min="3608" max="3842" width="8.90625" style="2"/>
    <col min="3843" max="3843" width="9.90625" style="2" customWidth="1"/>
    <col min="3844" max="3845" width="5.08984375" style="2" customWidth="1"/>
    <col min="3846" max="3846" width="9.6328125" style="2" customWidth="1"/>
    <col min="3847" max="3848" width="11.90625" style="2" customWidth="1"/>
    <col min="3849" max="3849" width="15.36328125" style="2" customWidth="1"/>
    <col min="3850" max="3850" width="10.90625" style="2" customWidth="1"/>
    <col min="3851" max="3861" width="13.36328125" style="2" customWidth="1"/>
    <col min="3862" max="3862" width="13.90625" style="2" customWidth="1"/>
    <col min="3863" max="3863" width="16.453125" style="2" customWidth="1"/>
    <col min="3864" max="4098" width="8.90625" style="2"/>
    <col min="4099" max="4099" width="9.90625" style="2" customWidth="1"/>
    <col min="4100" max="4101" width="5.08984375" style="2" customWidth="1"/>
    <col min="4102" max="4102" width="9.6328125" style="2" customWidth="1"/>
    <col min="4103" max="4104" width="11.90625" style="2" customWidth="1"/>
    <col min="4105" max="4105" width="15.36328125" style="2" customWidth="1"/>
    <col min="4106" max="4106" width="10.90625" style="2" customWidth="1"/>
    <col min="4107" max="4117" width="13.36328125" style="2" customWidth="1"/>
    <col min="4118" max="4118" width="13.90625" style="2" customWidth="1"/>
    <col min="4119" max="4119" width="16.453125" style="2" customWidth="1"/>
    <col min="4120" max="4354" width="8.90625" style="2"/>
    <col min="4355" max="4355" width="9.90625" style="2" customWidth="1"/>
    <col min="4356" max="4357" width="5.08984375" style="2" customWidth="1"/>
    <col min="4358" max="4358" width="9.6328125" style="2" customWidth="1"/>
    <col min="4359" max="4360" width="11.90625" style="2" customWidth="1"/>
    <col min="4361" max="4361" width="15.36328125" style="2" customWidth="1"/>
    <col min="4362" max="4362" width="10.90625" style="2" customWidth="1"/>
    <col min="4363" max="4373" width="13.36328125" style="2" customWidth="1"/>
    <col min="4374" max="4374" width="13.90625" style="2" customWidth="1"/>
    <col min="4375" max="4375" width="16.453125" style="2" customWidth="1"/>
    <col min="4376" max="4610" width="8.90625" style="2"/>
    <col min="4611" max="4611" width="9.90625" style="2" customWidth="1"/>
    <col min="4612" max="4613" width="5.08984375" style="2" customWidth="1"/>
    <col min="4614" max="4614" width="9.6328125" style="2" customWidth="1"/>
    <col min="4615" max="4616" width="11.90625" style="2" customWidth="1"/>
    <col min="4617" max="4617" width="15.36328125" style="2" customWidth="1"/>
    <col min="4618" max="4618" width="10.90625" style="2" customWidth="1"/>
    <col min="4619" max="4629" width="13.36328125" style="2" customWidth="1"/>
    <col min="4630" max="4630" width="13.90625" style="2" customWidth="1"/>
    <col min="4631" max="4631" width="16.453125" style="2" customWidth="1"/>
    <col min="4632" max="4866" width="8.90625" style="2"/>
    <col min="4867" max="4867" width="9.90625" style="2" customWidth="1"/>
    <col min="4868" max="4869" width="5.08984375" style="2" customWidth="1"/>
    <col min="4870" max="4870" width="9.6328125" style="2" customWidth="1"/>
    <col min="4871" max="4872" width="11.90625" style="2" customWidth="1"/>
    <col min="4873" max="4873" width="15.36328125" style="2" customWidth="1"/>
    <col min="4874" max="4874" width="10.90625" style="2" customWidth="1"/>
    <col min="4875" max="4885" width="13.36328125" style="2" customWidth="1"/>
    <col min="4886" max="4886" width="13.90625" style="2" customWidth="1"/>
    <col min="4887" max="4887" width="16.453125" style="2" customWidth="1"/>
    <col min="4888" max="5122" width="8.90625" style="2"/>
    <col min="5123" max="5123" width="9.90625" style="2" customWidth="1"/>
    <col min="5124" max="5125" width="5.08984375" style="2" customWidth="1"/>
    <col min="5126" max="5126" width="9.6328125" style="2" customWidth="1"/>
    <col min="5127" max="5128" width="11.90625" style="2" customWidth="1"/>
    <col min="5129" max="5129" width="15.36328125" style="2" customWidth="1"/>
    <col min="5130" max="5130" width="10.90625" style="2" customWidth="1"/>
    <col min="5131" max="5141" width="13.36328125" style="2" customWidth="1"/>
    <col min="5142" max="5142" width="13.90625" style="2" customWidth="1"/>
    <col min="5143" max="5143" width="16.453125" style="2" customWidth="1"/>
    <col min="5144" max="5378" width="8.90625" style="2"/>
    <col min="5379" max="5379" width="9.90625" style="2" customWidth="1"/>
    <col min="5380" max="5381" width="5.08984375" style="2" customWidth="1"/>
    <col min="5382" max="5382" width="9.6328125" style="2" customWidth="1"/>
    <col min="5383" max="5384" width="11.90625" style="2" customWidth="1"/>
    <col min="5385" max="5385" width="15.36328125" style="2" customWidth="1"/>
    <col min="5386" max="5386" width="10.90625" style="2" customWidth="1"/>
    <col min="5387" max="5397" width="13.36328125" style="2" customWidth="1"/>
    <col min="5398" max="5398" width="13.90625" style="2" customWidth="1"/>
    <col min="5399" max="5399" width="16.453125" style="2" customWidth="1"/>
    <col min="5400" max="5634" width="8.90625" style="2"/>
    <col min="5635" max="5635" width="9.90625" style="2" customWidth="1"/>
    <col min="5636" max="5637" width="5.08984375" style="2" customWidth="1"/>
    <col min="5638" max="5638" width="9.6328125" style="2" customWidth="1"/>
    <col min="5639" max="5640" width="11.90625" style="2" customWidth="1"/>
    <col min="5641" max="5641" width="15.36328125" style="2" customWidth="1"/>
    <col min="5642" max="5642" width="10.90625" style="2" customWidth="1"/>
    <col min="5643" max="5653" width="13.36328125" style="2" customWidth="1"/>
    <col min="5654" max="5654" width="13.90625" style="2" customWidth="1"/>
    <col min="5655" max="5655" width="16.453125" style="2" customWidth="1"/>
    <col min="5656" max="5890" width="8.90625" style="2"/>
    <col min="5891" max="5891" width="9.90625" style="2" customWidth="1"/>
    <col min="5892" max="5893" width="5.08984375" style="2" customWidth="1"/>
    <col min="5894" max="5894" width="9.6328125" style="2" customWidth="1"/>
    <col min="5895" max="5896" width="11.90625" style="2" customWidth="1"/>
    <col min="5897" max="5897" width="15.36328125" style="2" customWidth="1"/>
    <col min="5898" max="5898" width="10.90625" style="2" customWidth="1"/>
    <col min="5899" max="5909" width="13.36328125" style="2" customWidth="1"/>
    <col min="5910" max="5910" width="13.90625" style="2" customWidth="1"/>
    <col min="5911" max="5911" width="16.453125" style="2" customWidth="1"/>
    <col min="5912" max="6146" width="8.90625" style="2"/>
    <col min="6147" max="6147" width="9.90625" style="2" customWidth="1"/>
    <col min="6148" max="6149" width="5.08984375" style="2" customWidth="1"/>
    <col min="6150" max="6150" width="9.6328125" style="2" customWidth="1"/>
    <col min="6151" max="6152" width="11.90625" style="2" customWidth="1"/>
    <col min="6153" max="6153" width="15.36328125" style="2" customWidth="1"/>
    <col min="6154" max="6154" width="10.90625" style="2" customWidth="1"/>
    <col min="6155" max="6165" width="13.36328125" style="2" customWidth="1"/>
    <col min="6166" max="6166" width="13.90625" style="2" customWidth="1"/>
    <col min="6167" max="6167" width="16.453125" style="2" customWidth="1"/>
    <col min="6168" max="6402" width="8.90625" style="2"/>
    <col min="6403" max="6403" width="9.90625" style="2" customWidth="1"/>
    <col min="6404" max="6405" width="5.08984375" style="2" customWidth="1"/>
    <col min="6406" max="6406" width="9.6328125" style="2" customWidth="1"/>
    <col min="6407" max="6408" width="11.90625" style="2" customWidth="1"/>
    <col min="6409" max="6409" width="15.36328125" style="2" customWidth="1"/>
    <col min="6410" max="6410" width="10.90625" style="2" customWidth="1"/>
    <col min="6411" max="6421" width="13.36328125" style="2" customWidth="1"/>
    <col min="6422" max="6422" width="13.90625" style="2" customWidth="1"/>
    <col min="6423" max="6423" width="16.453125" style="2" customWidth="1"/>
    <col min="6424" max="6658" width="8.90625" style="2"/>
    <col min="6659" max="6659" width="9.90625" style="2" customWidth="1"/>
    <col min="6660" max="6661" width="5.08984375" style="2" customWidth="1"/>
    <col min="6662" max="6662" width="9.6328125" style="2" customWidth="1"/>
    <col min="6663" max="6664" width="11.90625" style="2" customWidth="1"/>
    <col min="6665" max="6665" width="15.36328125" style="2" customWidth="1"/>
    <col min="6666" max="6666" width="10.90625" style="2" customWidth="1"/>
    <col min="6667" max="6677" width="13.36328125" style="2" customWidth="1"/>
    <col min="6678" max="6678" width="13.90625" style="2" customWidth="1"/>
    <col min="6679" max="6679" width="16.453125" style="2" customWidth="1"/>
    <col min="6680" max="6914" width="8.90625" style="2"/>
    <col min="6915" max="6915" width="9.90625" style="2" customWidth="1"/>
    <col min="6916" max="6917" width="5.08984375" style="2" customWidth="1"/>
    <col min="6918" max="6918" width="9.6328125" style="2" customWidth="1"/>
    <col min="6919" max="6920" width="11.90625" style="2" customWidth="1"/>
    <col min="6921" max="6921" width="15.36328125" style="2" customWidth="1"/>
    <col min="6922" max="6922" width="10.90625" style="2" customWidth="1"/>
    <col min="6923" max="6933" width="13.36328125" style="2" customWidth="1"/>
    <col min="6934" max="6934" width="13.90625" style="2" customWidth="1"/>
    <col min="6935" max="6935" width="16.453125" style="2" customWidth="1"/>
    <col min="6936" max="7170" width="8.90625" style="2"/>
    <col min="7171" max="7171" width="9.90625" style="2" customWidth="1"/>
    <col min="7172" max="7173" width="5.08984375" style="2" customWidth="1"/>
    <col min="7174" max="7174" width="9.6328125" style="2" customWidth="1"/>
    <col min="7175" max="7176" width="11.90625" style="2" customWidth="1"/>
    <col min="7177" max="7177" width="15.36328125" style="2" customWidth="1"/>
    <col min="7178" max="7178" width="10.90625" style="2" customWidth="1"/>
    <col min="7179" max="7189" width="13.36328125" style="2" customWidth="1"/>
    <col min="7190" max="7190" width="13.90625" style="2" customWidth="1"/>
    <col min="7191" max="7191" width="16.453125" style="2" customWidth="1"/>
    <col min="7192" max="7426" width="8.90625" style="2"/>
    <col min="7427" max="7427" width="9.90625" style="2" customWidth="1"/>
    <col min="7428" max="7429" width="5.08984375" style="2" customWidth="1"/>
    <col min="7430" max="7430" width="9.6328125" style="2" customWidth="1"/>
    <col min="7431" max="7432" width="11.90625" style="2" customWidth="1"/>
    <col min="7433" max="7433" width="15.36328125" style="2" customWidth="1"/>
    <col min="7434" max="7434" width="10.90625" style="2" customWidth="1"/>
    <col min="7435" max="7445" width="13.36328125" style="2" customWidth="1"/>
    <col min="7446" max="7446" width="13.90625" style="2" customWidth="1"/>
    <col min="7447" max="7447" width="16.453125" style="2" customWidth="1"/>
    <col min="7448" max="7682" width="8.90625" style="2"/>
    <col min="7683" max="7683" width="9.90625" style="2" customWidth="1"/>
    <col min="7684" max="7685" width="5.08984375" style="2" customWidth="1"/>
    <col min="7686" max="7686" width="9.6328125" style="2" customWidth="1"/>
    <col min="7687" max="7688" width="11.90625" style="2" customWidth="1"/>
    <col min="7689" max="7689" width="15.36328125" style="2" customWidth="1"/>
    <col min="7690" max="7690" width="10.90625" style="2" customWidth="1"/>
    <col min="7691" max="7701" width="13.36328125" style="2" customWidth="1"/>
    <col min="7702" max="7702" width="13.90625" style="2" customWidth="1"/>
    <col min="7703" max="7703" width="16.453125" style="2" customWidth="1"/>
    <col min="7704" max="7938" width="8.90625" style="2"/>
    <col min="7939" max="7939" width="9.90625" style="2" customWidth="1"/>
    <col min="7940" max="7941" width="5.08984375" style="2" customWidth="1"/>
    <col min="7942" max="7942" width="9.6328125" style="2" customWidth="1"/>
    <col min="7943" max="7944" width="11.90625" style="2" customWidth="1"/>
    <col min="7945" max="7945" width="15.36328125" style="2" customWidth="1"/>
    <col min="7946" max="7946" width="10.90625" style="2" customWidth="1"/>
    <col min="7947" max="7957" width="13.36328125" style="2" customWidth="1"/>
    <col min="7958" max="7958" width="13.90625" style="2" customWidth="1"/>
    <col min="7959" max="7959" width="16.453125" style="2" customWidth="1"/>
    <col min="7960" max="8194" width="8.90625" style="2"/>
    <col min="8195" max="8195" width="9.90625" style="2" customWidth="1"/>
    <col min="8196" max="8197" width="5.08984375" style="2" customWidth="1"/>
    <col min="8198" max="8198" width="9.6328125" style="2" customWidth="1"/>
    <col min="8199" max="8200" width="11.90625" style="2" customWidth="1"/>
    <col min="8201" max="8201" width="15.36328125" style="2" customWidth="1"/>
    <col min="8202" max="8202" width="10.90625" style="2" customWidth="1"/>
    <col min="8203" max="8213" width="13.36328125" style="2" customWidth="1"/>
    <col min="8214" max="8214" width="13.90625" style="2" customWidth="1"/>
    <col min="8215" max="8215" width="16.453125" style="2" customWidth="1"/>
    <col min="8216" max="8450" width="8.90625" style="2"/>
    <col min="8451" max="8451" width="9.90625" style="2" customWidth="1"/>
    <col min="8452" max="8453" width="5.08984375" style="2" customWidth="1"/>
    <col min="8454" max="8454" width="9.6328125" style="2" customWidth="1"/>
    <col min="8455" max="8456" width="11.90625" style="2" customWidth="1"/>
    <col min="8457" max="8457" width="15.36328125" style="2" customWidth="1"/>
    <col min="8458" max="8458" width="10.90625" style="2" customWidth="1"/>
    <col min="8459" max="8469" width="13.36328125" style="2" customWidth="1"/>
    <col min="8470" max="8470" width="13.90625" style="2" customWidth="1"/>
    <col min="8471" max="8471" width="16.453125" style="2" customWidth="1"/>
    <col min="8472" max="8706" width="8.90625" style="2"/>
    <col min="8707" max="8707" width="9.90625" style="2" customWidth="1"/>
    <col min="8708" max="8709" width="5.08984375" style="2" customWidth="1"/>
    <col min="8710" max="8710" width="9.6328125" style="2" customWidth="1"/>
    <col min="8711" max="8712" width="11.90625" style="2" customWidth="1"/>
    <col min="8713" max="8713" width="15.36328125" style="2" customWidth="1"/>
    <col min="8714" max="8714" width="10.90625" style="2" customWidth="1"/>
    <col min="8715" max="8725" width="13.36328125" style="2" customWidth="1"/>
    <col min="8726" max="8726" width="13.90625" style="2" customWidth="1"/>
    <col min="8727" max="8727" width="16.453125" style="2" customWidth="1"/>
    <col min="8728" max="8962" width="8.90625" style="2"/>
    <col min="8963" max="8963" width="9.90625" style="2" customWidth="1"/>
    <col min="8964" max="8965" width="5.08984375" style="2" customWidth="1"/>
    <col min="8966" max="8966" width="9.6328125" style="2" customWidth="1"/>
    <col min="8967" max="8968" width="11.90625" style="2" customWidth="1"/>
    <col min="8969" max="8969" width="15.36328125" style="2" customWidth="1"/>
    <col min="8970" max="8970" width="10.90625" style="2" customWidth="1"/>
    <col min="8971" max="8981" width="13.36328125" style="2" customWidth="1"/>
    <col min="8982" max="8982" width="13.90625" style="2" customWidth="1"/>
    <col min="8983" max="8983" width="16.453125" style="2" customWidth="1"/>
    <col min="8984" max="9218" width="8.90625" style="2"/>
    <col min="9219" max="9219" width="9.90625" style="2" customWidth="1"/>
    <col min="9220" max="9221" width="5.08984375" style="2" customWidth="1"/>
    <col min="9222" max="9222" width="9.6328125" style="2" customWidth="1"/>
    <col min="9223" max="9224" width="11.90625" style="2" customWidth="1"/>
    <col min="9225" max="9225" width="15.36328125" style="2" customWidth="1"/>
    <col min="9226" max="9226" width="10.90625" style="2" customWidth="1"/>
    <col min="9227" max="9237" width="13.36328125" style="2" customWidth="1"/>
    <col min="9238" max="9238" width="13.90625" style="2" customWidth="1"/>
    <col min="9239" max="9239" width="16.453125" style="2" customWidth="1"/>
    <col min="9240" max="9474" width="8.90625" style="2"/>
    <col min="9475" max="9475" width="9.90625" style="2" customWidth="1"/>
    <col min="9476" max="9477" width="5.08984375" style="2" customWidth="1"/>
    <col min="9478" max="9478" width="9.6328125" style="2" customWidth="1"/>
    <col min="9479" max="9480" width="11.90625" style="2" customWidth="1"/>
    <col min="9481" max="9481" width="15.36328125" style="2" customWidth="1"/>
    <col min="9482" max="9482" width="10.90625" style="2" customWidth="1"/>
    <col min="9483" max="9493" width="13.36328125" style="2" customWidth="1"/>
    <col min="9494" max="9494" width="13.90625" style="2" customWidth="1"/>
    <col min="9495" max="9495" width="16.453125" style="2" customWidth="1"/>
    <col min="9496" max="9730" width="8.90625" style="2"/>
    <col min="9731" max="9731" width="9.90625" style="2" customWidth="1"/>
    <col min="9732" max="9733" width="5.08984375" style="2" customWidth="1"/>
    <col min="9734" max="9734" width="9.6328125" style="2" customWidth="1"/>
    <col min="9735" max="9736" width="11.90625" style="2" customWidth="1"/>
    <col min="9737" max="9737" width="15.36328125" style="2" customWidth="1"/>
    <col min="9738" max="9738" width="10.90625" style="2" customWidth="1"/>
    <col min="9739" max="9749" width="13.36328125" style="2" customWidth="1"/>
    <col min="9750" max="9750" width="13.90625" style="2" customWidth="1"/>
    <col min="9751" max="9751" width="16.453125" style="2" customWidth="1"/>
    <col min="9752" max="9986" width="8.90625" style="2"/>
    <col min="9987" max="9987" width="9.90625" style="2" customWidth="1"/>
    <col min="9988" max="9989" width="5.08984375" style="2" customWidth="1"/>
    <col min="9990" max="9990" width="9.6328125" style="2" customWidth="1"/>
    <col min="9991" max="9992" width="11.90625" style="2" customWidth="1"/>
    <col min="9993" max="9993" width="15.36328125" style="2" customWidth="1"/>
    <col min="9994" max="9994" width="10.90625" style="2" customWidth="1"/>
    <col min="9995" max="10005" width="13.36328125" style="2" customWidth="1"/>
    <col min="10006" max="10006" width="13.90625" style="2" customWidth="1"/>
    <col min="10007" max="10007" width="16.453125" style="2" customWidth="1"/>
    <col min="10008" max="10242" width="8.90625" style="2"/>
    <col min="10243" max="10243" width="9.90625" style="2" customWidth="1"/>
    <col min="10244" max="10245" width="5.08984375" style="2" customWidth="1"/>
    <col min="10246" max="10246" width="9.6328125" style="2" customWidth="1"/>
    <col min="10247" max="10248" width="11.90625" style="2" customWidth="1"/>
    <col min="10249" max="10249" width="15.36328125" style="2" customWidth="1"/>
    <col min="10250" max="10250" width="10.90625" style="2" customWidth="1"/>
    <col min="10251" max="10261" width="13.36328125" style="2" customWidth="1"/>
    <col min="10262" max="10262" width="13.90625" style="2" customWidth="1"/>
    <col min="10263" max="10263" width="16.453125" style="2" customWidth="1"/>
    <col min="10264" max="10498" width="8.90625" style="2"/>
    <col min="10499" max="10499" width="9.90625" style="2" customWidth="1"/>
    <col min="10500" max="10501" width="5.08984375" style="2" customWidth="1"/>
    <col min="10502" max="10502" width="9.6328125" style="2" customWidth="1"/>
    <col min="10503" max="10504" width="11.90625" style="2" customWidth="1"/>
    <col min="10505" max="10505" width="15.36328125" style="2" customWidth="1"/>
    <col min="10506" max="10506" width="10.90625" style="2" customWidth="1"/>
    <col min="10507" max="10517" width="13.36328125" style="2" customWidth="1"/>
    <col min="10518" max="10518" width="13.90625" style="2" customWidth="1"/>
    <col min="10519" max="10519" width="16.453125" style="2" customWidth="1"/>
    <col min="10520" max="10754" width="8.90625" style="2"/>
    <col min="10755" max="10755" width="9.90625" style="2" customWidth="1"/>
    <col min="10756" max="10757" width="5.08984375" style="2" customWidth="1"/>
    <col min="10758" max="10758" width="9.6328125" style="2" customWidth="1"/>
    <col min="10759" max="10760" width="11.90625" style="2" customWidth="1"/>
    <col min="10761" max="10761" width="15.36328125" style="2" customWidth="1"/>
    <col min="10762" max="10762" width="10.90625" style="2" customWidth="1"/>
    <col min="10763" max="10773" width="13.36328125" style="2" customWidth="1"/>
    <col min="10774" max="10774" width="13.90625" style="2" customWidth="1"/>
    <col min="10775" max="10775" width="16.453125" style="2" customWidth="1"/>
    <col min="10776" max="11010" width="8.90625" style="2"/>
    <col min="11011" max="11011" width="9.90625" style="2" customWidth="1"/>
    <col min="11012" max="11013" width="5.08984375" style="2" customWidth="1"/>
    <col min="11014" max="11014" width="9.6328125" style="2" customWidth="1"/>
    <col min="11015" max="11016" width="11.90625" style="2" customWidth="1"/>
    <col min="11017" max="11017" width="15.36328125" style="2" customWidth="1"/>
    <col min="11018" max="11018" width="10.90625" style="2" customWidth="1"/>
    <col min="11019" max="11029" width="13.36328125" style="2" customWidth="1"/>
    <col min="11030" max="11030" width="13.90625" style="2" customWidth="1"/>
    <col min="11031" max="11031" width="16.453125" style="2" customWidth="1"/>
    <col min="11032" max="11266" width="8.90625" style="2"/>
    <col min="11267" max="11267" width="9.90625" style="2" customWidth="1"/>
    <col min="11268" max="11269" width="5.08984375" style="2" customWidth="1"/>
    <col min="11270" max="11270" width="9.6328125" style="2" customWidth="1"/>
    <col min="11271" max="11272" width="11.90625" style="2" customWidth="1"/>
    <col min="11273" max="11273" width="15.36328125" style="2" customWidth="1"/>
    <col min="11274" max="11274" width="10.90625" style="2" customWidth="1"/>
    <col min="11275" max="11285" width="13.36328125" style="2" customWidth="1"/>
    <col min="11286" max="11286" width="13.90625" style="2" customWidth="1"/>
    <col min="11287" max="11287" width="16.453125" style="2" customWidth="1"/>
    <col min="11288" max="11522" width="8.90625" style="2"/>
    <col min="11523" max="11523" width="9.90625" style="2" customWidth="1"/>
    <col min="11524" max="11525" width="5.08984375" style="2" customWidth="1"/>
    <col min="11526" max="11526" width="9.6328125" style="2" customWidth="1"/>
    <col min="11527" max="11528" width="11.90625" style="2" customWidth="1"/>
    <col min="11529" max="11529" width="15.36328125" style="2" customWidth="1"/>
    <col min="11530" max="11530" width="10.90625" style="2" customWidth="1"/>
    <col min="11531" max="11541" width="13.36328125" style="2" customWidth="1"/>
    <col min="11542" max="11542" width="13.90625" style="2" customWidth="1"/>
    <col min="11543" max="11543" width="16.453125" style="2" customWidth="1"/>
    <col min="11544" max="11778" width="8.90625" style="2"/>
    <col min="11779" max="11779" width="9.90625" style="2" customWidth="1"/>
    <col min="11780" max="11781" width="5.08984375" style="2" customWidth="1"/>
    <col min="11782" max="11782" width="9.6328125" style="2" customWidth="1"/>
    <col min="11783" max="11784" width="11.90625" style="2" customWidth="1"/>
    <col min="11785" max="11785" width="15.36328125" style="2" customWidth="1"/>
    <col min="11786" max="11786" width="10.90625" style="2" customWidth="1"/>
    <col min="11787" max="11797" width="13.36328125" style="2" customWidth="1"/>
    <col min="11798" max="11798" width="13.90625" style="2" customWidth="1"/>
    <col min="11799" max="11799" width="16.453125" style="2" customWidth="1"/>
    <col min="11800" max="12034" width="8.90625" style="2"/>
    <col min="12035" max="12035" width="9.90625" style="2" customWidth="1"/>
    <col min="12036" max="12037" width="5.08984375" style="2" customWidth="1"/>
    <col min="12038" max="12038" width="9.6328125" style="2" customWidth="1"/>
    <col min="12039" max="12040" width="11.90625" style="2" customWidth="1"/>
    <col min="12041" max="12041" width="15.36328125" style="2" customWidth="1"/>
    <col min="12042" max="12042" width="10.90625" style="2" customWidth="1"/>
    <col min="12043" max="12053" width="13.36328125" style="2" customWidth="1"/>
    <col min="12054" max="12054" width="13.90625" style="2" customWidth="1"/>
    <col min="12055" max="12055" width="16.453125" style="2" customWidth="1"/>
    <col min="12056" max="12290" width="8.90625" style="2"/>
    <col min="12291" max="12291" width="9.90625" style="2" customWidth="1"/>
    <col min="12292" max="12293" width="5.08984375" style="2" customWidth="1"/>
    <col min="12294" max="12294" width="9.6328125" style="2" customWidth="1"/>
    <col min="12295" max="12296" width="11.90625" style="2" customWidth="1"/>
    <col min="12297" max="12297" width="15.36328125" style="2" customWidth="1"/>
    <col min="12298" max="12298" width="10.90625" style="2" customWidth="1"/>
    <col min="12299" max="12309" width="13.36328125" style="2" customWidth="1"/>
    <col min="12310" max="12310" width="13.90625" style="2" customWidth="1"/>
    <col min="12311" max="12311" width="16.453125" style="2" customWidth="1"/>
    <col min="12312" max="12546" width="8.90625" style="2"/>
    <col min="12547" max="12547" width="9.90625" style="2" customWidth="1"/>
    <col min="12548" max="12549" width="5.08984375" style="2" customWidth="1"/>
    <col min="12550" max="12550" width="9.6328125" style="2" customWidth="1"/>
    <col min="12551" max="12552" width="11.90625" style="2" customWidth="1"/>
    <col min="12553" max="12553" width="15.36328125" style="2" customWidth="1"/>
    <col min="12554" max="12554" width="10.90625" style="2" customWidth="1"/>
    <col min="12555" max="12565" width="13.36328125" style="2" customWidth="1"/>
    <col min="12566" max="12566" width="13.90625" style="2" customWidth="1"/>
    <col min="12567" max="12567" width="16.453125" style="2" customWidth="1"/>
    <col min="12568" max="12802" width="8.90625" style="2"/>
    <col min="12803" max="12803" width="9.90625" style="2" customWidth="1"/>
    <col min="12804" max="12805" width="5.08984375" style="2" customWidth="1"/>
    <col min="12806" max="12806" width="9.6328125" style="2" customWidth="1"/>
    <col min="12807" max="12808" width="11.90625" style="2" customWidth="1"/>
    <col min="12809" max="12809" width="15.36328125" style="2" customWidth="1"/>
    <col min="12810" max="12810" width="10.90625" style="2" customWidth="1"/>
    <col min="12811" max="12821" width="13.36328125" style="2" customWidth="1"/>
    <col min="12822" max="12822" width="13.90625" style="2" customWidth="1"/>
    <col min="12823" max="12823" width="16.453125" style="2" customWidth="1"/>
    <col min="12824" max="13058" width="8.90625" style="2"/>
    <col min="13059" max="13059" width="9.90625" style="2" customWidth="1"/>
    <col min="13060" max="13061" width="5.08984375" style="2" customWidth="1"/>
    <col min="13062" max="13062" width="9.6328125" style="2" customWidth="1"/>
    <col min="13063" max="13064" width="11.90625" style="2" customWidth="1"/>
    <col min="13065" max="13065" width="15.36328125" style="2" customWidth="1"/>
    <col min="13066" max="13066" width="10.90625" style="2" customWidth="1"/>
    <col min="13067" max="13077" width="13.36328125" style="2" customWidth="1"/>
    <col min="13078" max="13078" width="13.90625" style="2" customWidth="1"/>
    <col min="13079" max="13079" width="16.453125" style="2" customWidth="1"/>
    <col min="13080" max="13314" width="8.90625" style="2"/>
    <col min="13315" max="13315" width="9.90625" style="2" customWidth="1"/>
    <col min="13316" max="13317" width="5.08984375" style="2" customWidth="1"/>
    <col min="13318" max="13318" width="9.6328125" style="2" customWidth="1"/>
    <col min="13319" max="13320" width="11.90625" style="2" customWidth="1"/>
    <col min="13321" max="13321" width="15.36328125" style="2" customWidth="1"/>
    <col min="13322" max="13322" width="10.90625" style="2" customWidth="1"/>
    <col min="13323" max="13333" width="13.36328125" style="2" customWidth="1"/>
    <col min="13334" max="13334" width="13.90625" style="2" customWidth="1"/>
    <col min="13335" max="13335" width="16.453125" style="2" customWidth="1"/>
    <col min="13336" max="13570" width="8.90625" style="2"/>
    <col min="13571" max="13571" width="9.90625" style="2" customWidth="1"/>
    <col min="13572" max="13573" width="5.08984375" style="2" customWidth="1"/>
    <col min="13574" max="13574" width="9.6328125" style="2" customWidth="1"/>
    <col min="13575" max="13576" width="11.90625" style="2" customWidth="1"/>
    <col min="13577" max="13577" width="15.36328125" style="2" customWidth="1"/>
    <col min="13578" max="13578" width="10.90625" style="2" customWidth="1"/>
    <col min="13579" max="13589" width="13.36328125" style="2" customWidth="1"/>
    <col min="13590" max="13590" width="13.90625" style="2" customWidth="1"/>
    <col min="13591" max="13591" width="16.453125" style="2" customWidth="1"/>
    <col min="13592" max="13826" width="8.90625" style="2"/>
    <col min="13827" max="13827" width="9.90625" style="2" customWidth="1"/>
    <col min="13828" max="13829" width="5.08984375" style="2" customWidth="1"/>
    <col min="13830" max="13830" width="9.6328125" style="2" customWidth="1"/>
    <col min="13831" max="13832" width="11.90625" style="2" customWidth="1"/>
    <col min="13833" max="13833" width="15.36328125" style="2" customWidth="1"/>
    <col min="13834" max="13834" width="10.90625" style="2" customWidth="1"/>
    <col min="13835" max="13845" width="13.36328125" style="2" customWidth="1"/>
    <col min="13846" max="13846" width="13.90625" style="2" customWidth="1"/>
    <col min="13847" max="13847" width="16.453125" style="2" customWidth="1"/>
    <col min="13848" max="14082" width="8.90625" style="2"/>
    <col min="14083" max="14083" width="9.90625" style="2" customWidth="1"/>
    <col min="14084" max="14085" width="5.08984375" style="2" customWidth="1"/>
    <col min="14086" max="14086" width="9.6328125" style="2" customWidth="1"/>
    <col min="14087" max="14088" width="11.90625" style="2" customWidth="1"/>
    <col min="14089" max="14089" width="15.36328125" style="2" customWidth="1"/>
    <col min="14090" max="14090" width="10.90625" style="2" customWidth="1"/>
    <col min="14091" max="14101" width="13.36328125" style="2" customWidth="1"/>
    <col min="14102" max="14102" width="13.90625" style="2" customWidth="1"/>
    <col min="14103" max="14103" width="16.453125" style="2" customWidth="1"/>
    <col min="14104" max="14338" width="8.90625" style="2"/>
    <col min="14339" max="14339" width="9.90625" style="2" customWidth="1"/>
    <col min="14340" max="14341" width="5.08984375" style="2" customWidth="1"/>
    <col min="14342" max="14342" width="9.6328125" style="2" customWidth="1"/>
    <col min="14343" max="14344" width="11.90625" style="2" customWidth="1"/>
    <col min="14345" max="14345" width="15.36328125" style="2" customWidth="1"/>
    <col min="14346" max="14346" width="10.90625" style="2" customWidth="1"/>
    <col min="14347" max="14357" width="13.36328125" style="2" customWidth="1"/>
    <col min="14358" max="14358" width="13.90625" style="2" customWidth="1"/>
    <col min="14359" max="14359" width="16.453125" style="2" customWidth="1"/>
    <col min="14360" max="14594" width="8.90625" style="2"/>
    <col min="14595" max="14595" width="9.90625" style="2" customWidth="1"/>
    <col min="14596" max="14597" width="5.08984375" style="2" customWidth="1"/>
    <col min="14598" max="14598" width="9.6328125" style="2" customWidth="1"/>
    <col min="14599" max="14600" width="11.90625" style="2" customWidth="1"/>
    <col min="14601" max="14601" width="15.36328125" style="2" customWidth="1"/>
    <col min="14602" max="14602" width="10.90625" style="2" customWidth="1"/>
    <col min="14603" max="14613" width="13.36328125" style="2" customWidth="1"/>
    <col min="14614" max="14614" width="13.90625" style="2" customWidth="1"/>
    <col min="14615" max="14615" width="16.453125" style="2" customWidth="1"/>
    <col min="14616" max="14850" width="8.90625" style="2"/>
    <col min="14851" max="14851" width="9.90625" style="2" customWidth="1"/>
    <col min="14852" max="14853" width="5.08984375" style="2" customWidth="1"/>
    <col min="14854" max="14854" width="9.6328125" style="2" customWidth="1"/>
    <col min="14855" max="14856" width="11.90625" style="2" customWidth="1"/>
    <col min="14857" max="14857" width="15.36328125" style="2" customWidth="1"/>
    <col min="14858" max="14858" width="10.90625" style="2" customWidth="1"/>
    <col min="14859" max="14869" width="13.36328125" style="2" customWidth="1"/>
    <col min="14870" max="14870" width="13.90625" style="2" customWidth="1"/>
    <col min="14871" max="14871" width="16.453125" style="2" customWidth="1"/>
    <col min="14872" max="15106" width="8.90625" style="2"/>
    <col min="15107" max="15107" width="9.90625" style="2" customWidth="1"/>
    <col min="15108" max="15109" width="5.08984375" style="2" customWidth="1"/>
    <col min="15110" max="15110" width="9.6328125" style="2" customWidth="1"/>
    <col min="15111" max="15112" width="11.90625" style="2" customWidth="1"/>
    <col min="15113" max="15113" width="15.36328125" style="2" customWidth="1"/>
    <col min="15114" max="15114" width="10.90625" style="2" customWidth="1"/>
    <col min="15115" max="15125" width="13.36328125" style="2" customWidth="1"/>
    <col min="15126" max="15126" width="13.90625" style="2" customWidth="1"/>
    <col min="15127" max="15127" width="16.453125" style="2" customWidth="1"/>
    <col min="15128" max="15362" width="8.90625" style="2"/>
    <col min="15363" max="15363" width="9.90625" style="2" customWidth="1"/>
    <col min="15364" max="15365" width="5.08984375" style="2" customWidth="1"/>
    <col min="15366" max="15366" width="9.6328125" style="2" customWidth="1"/>
    <col min="15367" max="15368" width="11.90625" style="2" customWidth="1"/>
    <col min="15369" max="15369" width="15.36328125" style="2" customWidth="1"/>
    <col min="15370" max="15370" width="10.90625" style="2" customWidth="1"/>
    <col min="15371" max="15381" width="13.36328125" style="2" customWidth="1"/>
    <col min="15382" max="15382" width="13.90625" style="2" customWidth="1"/>
    <col min="15383" max="15383" width="16.453125" style="2" customWidth="1"/>
    <col min="15384" max="15618" width="8.90625" style="2"/>
    <col min="15619" max="15619" width="9.90625" style="2" customWidth="1"/>
    <col min="15620" max="15621" width="5.08984375" style="2" customWidth="1"/>
    <col min="15622" max="15622" width="9.6328125" style="2" customWidth="1"/>
    <col min="15623" max="15624" width="11.90625" style="2" customWidth="1"/>
    <col min="15625" max="15625" width="15.36328125" style="2" customWidth="1"/>
    <col min="15626" max="15626" width="10.90625" style="2" customWidth="1"/>
    <col min="15627" max="15637" width="13.36328125" style="2" customWidth="1"/>
    <col min="15638" max="15638" width="13.90625" style="2" customWidth="1"/>
    <col min="15639" max="15639" width="16.453125" style="2" customWidth="1"/>
    <col min="15640" max="15874" width="8.90625" style="2"/>
    <col min="15875" max="15875" width="9.90625" style="2" customWidth="1"/>
    <col min="15876" max="15877" width="5.08984375" style="2" customWidth="1"/>
    <col min="15878" max="15878" width="9.6328125" style="2" customWidth="1"/>
    <col min="15879" max="15880" width="11.90625" style="2" customWidth="1"/>
    <col min="15881" max="15881" width="15.36328125" style="2" customWidth="1"/>
    <col min="15882" max="15882" width="10.90625" style="2" customWidth="1"/>
    <col min="15883" max="15893" width="13.36328125" style="2" customWidth="1"/>
    <col min="15894" max="15894" width="13.90625" style="2" customWidth="1"/>
    <col min="15895" max="15895" width="16.453125" style="2" customWidth="1"/>
    <col min="15896" max="16130" width="8.90625" style="2"/>
    <col min="16131" max="16131" width="9.90625" style="2" customWidth="1"/>
    <col min="16132" max="16133" width="5.08984375" style="2" customWidth="1"/>
    <col min="16134" max="16134" width="9.6328125" style="2" customWidth="1"/>
    <col min="16135" max="16136" width="11.90625" style="2" customWidth="1"/>
    <col min="16137" max="16137" width="15.36328125" style="2" customWidth="1"/>
    <col min="16138" max="16138" width="10.90625" style="2" customWidth="1"/>
    <col min="16139" max="16149" width="13.36328125" style="2" customWidth="1"/>
    <col min="16150" max="16150" width="13.90625" style="2" customWidth="1"/>
    <col min="16151" max="16151" width="16.453125" style="2" customWidth="1"/>
    <col min="16152" max="16384" width="8.90625" style="2"/>
  </cols>
  <sheetData>
    <row r="1" spans="1:25" s="1" customFormat="1" ht="36">
      <c r="A1" s="1" t="s">
        <v>32</v>
      </c>
      <c r="B1" s="1" t="s">
        <v>33</v>
      </c>
      <c r="C1" s="8" t="s">
        <v>0</v>
      </c>
      <c r="D1" s="9" t="s">
        <v>1</v>
      </c>
      <c r="E1" s="9" t="s">
        <v>2</v>
      </c>
      <c r="F1" s="10" t="s">
        <v>3</v>
      </c>
      <c r="G1" s="10" t="s">
        <v>4</v>
      </c>
      <c r="H1" s="11" t="s">
        <v>5</v>
      </c>
      <c r="I1" s="12" t="s">
        <v>6</v>
      </c>
      <c r="J1" s="95" t="s">
        <v>7</v>
      </c>
      <c r="K1" s="20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37" t="s">
        <v>14</v>
      </c>
      <c r="R1" s="37" t="s">
        <v>15</v>
      </c>
      <c r="S1" s="37" t="s">
        <v>16</v>
      </c>
      <c r="T1" s="37" t="s">
        <v>17</v>
      </c>
      <c r="U1" s="37" t="s">
        <v>18</v>
      </c>
      <c r="V1" s="493" t="s">
        <v>19</v>
      </c>
      <c r="W1" s="6" t="s">
        <v>20</v>
      </c>
    </row>
    <row r="2" spans="1:25" s="1" customFormat="1" ht="27.75" customHeight="1">
      <c r="A2" s="28"/>
      <c r="B2" s="25"/>
      <c r="C2" s="556" t="s">
        <v>39</v>
      </c>
      <c r="D2" s="557"/>
      <c r="E2" s="557"/>
      <c r="F2" s="557"/>
      <c r="G2" s="557"/>
      <c r="H2" s="557"/>
      <c r="I2" s="558"/>
      <c r="J2" s="97" t="s">
        <v>35</v>
      </c>
      <c r="K2" s="416">
        <f>K51</f>
        <v>1403131</v>
      </c>
      <c r="L2" s="417">
        <f t="shared" ref="L2:V2" si="0">L51</f>
        <v>1083072</v>
      </c>
      <c r="M2" s="417">
        <f t="shared" si="0"/>
        <v>1257464</v>
      </c>
      <c r="N2" s="417">
        <f t="shared" si="0"/>
        <v>1230021</v>
      </c>
      <c r="O2" s="417">
        <f t="shared" si="0"/>
        <v>1260996</v>
      </c>
      <c r="P2" s="417">
        <f t="shared" si="0"/>
        <v>1371268</v>
      </c>
      <c r="Q2" s="434">
        <f t="shared" si="0"/>
        <v>1311807</v>
      </c>
      <c r="R2" s="434">
        <f>R51</f>
        <v>1412148</v>
      </c>
      <c r="S2" s="434">
        <f t="shared" si="0"/>
        <v>1466527</v>
      </c>
      <c r="T2" s="434">
        <f t="shared" si="0"/>
        <v>1076402</v>
      </c>
      <c r="U2" s="434">
        <f t="shared" si="0"/>
        <v>1058198</v>
      </c>
      <c r="V2" s="494">
        <f t="shared" si="0"/>
        <v>581530</v>
      </c>
      <c r="W2" s="85">
        <f>SUM(K2:V2)</f>
        <v>14512564</v>
      </c>
      <c r="Y2" s="16">
        <f>AVERAGE(K2:V2)</f>
        <v>1209380.3333333333</v>
      </c>
    </row>
    <row r="3" spans="1:25">
      <c r="A3" s="29">
        <v>2018041</v>
      </c>
      <c r="C3" s="560">
        <v>1</v>
      </c>
      <c r="D3" s="561"/>
      <c r="E3" s="561"/>
      <c r="F3" s="561"/>
      <c r="G3" s="561"/>
      <c r="H3" s="561"/>
      <c r="I3" s="559" t="s">
        <v>31</v>
      </c>
      <c r="J3" s="98" t="s">
        <v>24</v>
      </c>
      <c r="K3" s="418">
        <f t="shared" ref="K3:T3" si="1">SUM(K4:K10)</f>
        <v>345054</v>
      </c>
      <c r="L3" s="418">
        <f t="shared" si="1"/>
        <v>345054</v>
      </c>
      <c r="M3" s="418">
        <f t="shared" si="1"/>
        <v>345054</v>
      </c>
      <c r="N3" s="418">
        <f t="shared" si="1"/>
        <v>345054</v>
      </c>
      <c r="O3" s="418">
        <f t="shared" si="1"/>
        <v>345054</v>
      </c>
      <c r="P3" s="418">
        <f t="shared" si="1"/>
        <v>345054</v>
      </c>
      <c r="Q3" s="345">
        <f t="shared" si="1"/>
        <v>345054</v>
      </c>
      <c r="R3" s="345">
        <f t="shared" si="1"/>
        <v>345054</v>
      </c>
      <c r="S3" s="345">
        <f t="shared" si="1"/>
        <v>345054</v>
      </c>
      <c r="T3" s="345">
        <f t="shared" si="1"/>
        <v>345054</v>
      </c>
      <c r="U3" s="345">
        <f>SUM(U4:U10)</f>
        <v>345237</v>
      </c>
      <c r="V3" s="495">
        <f>SUM(V4:V10)</f>
        <v>306237</v>
      </c>
      <c r="W3" s="86">
        <f t="shared" ref="W3:W18" si="2">SUM(K3:V3)</f>
        <v>4102014</v>
      </c>
    </row>
    <row r="4" spans="1:25">
      <c r="A4" s="30">
        <f>A3</f>
        <v>2018041</v>
      </c>
      <c r="B4" s="27"/>
      <c r="C4" s="560"/>
      <c r="D4" s="561"/>
      <c r="E4" s="561"/>
      <c r="F4" s="561"/>
      <c r="G4" s="561"/>
      <c r="H4" s="561"/>
      <c r="I4" s="559"/>
      <c r="J4" s="91" t="s">
        <v>25</v>
      </c>
      <c r="K4" s="221">
        <v>288560</v>
      </c>
      <c r="L4" s="221">
        <v>288560</v>
      </c>
      <c r="M4" s="221">
        <v>288560</v>
      </c>
      <c r="N4" s="221">
        <v>288560</v>
      </c>
      <c r="O4" s="221">
        <v>288560</v>
      </c>
      <c r="P4" s="221">
        <v>288560</v>
      </c>
      <c r="Q4" s="346">
        <v>288560</v>
      </c>
      <c r="R4" s="346">
        <v>288560</v>
      </c>
      <c r="S4" s="346">
        <v>288560</v>
      </c>
      <c r="T4" s="346">
        <v>288560</v>
      </c>
      <c r="U4" s="346">
        <v>288560</v>
      </c>
      <c r="V4" s="346">
        <v>249560</v>
      </c>
      <c r="W4" s="87">
        <f t="shared" si="2"/>
        <v>3423720</v>
      </c>
      <c r="X4" s="58"/>
    </row>
    <row r="5" spans="1:25">
      <c r="A5" s="30">
        <f t="shared" ref="A5:A10" si="3">A4</f>
        <v>2018041</v>
      </c>
      <c r="B5" s="27"/>
      <c r="C5" s="560"/>
      <c r="D5" s="561"/>
      <c r="E5" s="561"/>
      <c r="F5" s="561"/>
      <c r="G5" s="561"/>
      <c r="H5" s="561"/>
      <c r="I5" s="559"/>
      <c r="J5" s="91" t="s">
        <v>37</v>
      </c>
      <c r="K5" s="221"/>
      <c r="L5" s="221"/>
      <c r="M5" s="221"/>
      <c r="N5" s="221"/>
      <c r="O5" s="221"/>
      <c r="P5" s="221"/>
      <c r="Q5" s="346"/>
      <c r="R5" s="346"/>
      <c r="S5" s="346"/>
      <c r="T5" s="346"/>
      <c r="U5" s="346"/>
      <c r="V5" s="346" t="s">
        <v>114</v>
      </c>
      <c r="W5" s="87">
        <f t="shared" si="2"/>
        <v>0</v>
      </c>
      <c r="X5" s="58"/>
    </row>
    <row r="6" spans="1:25">
      <c r="A6" s="30">
        <f t="shared" si="3"/>
        <v>2018041</v>
      </c>
      <c r="B6" s="27"/>
      <c r="C6" s="560"/>
      <c r="D6" s="561"/>
      <c r="E6" s="561"/>
      <c r="F6" s="561"/>
      <c r="G6" s="561"/>
      <c r="H6" s="561"/>
      <c r="I6" s="559"/>
      <c r="J6" s="91" t="s">
        <v>38</v>
      </c>
      <c r="K6" s="221">
        <v>8970</v>
      </c>
      <c r="L6" s="221">
        <v>8970</v>
      </c>
      <c r="M6" s="221">
        <v>8970</v>
      </c>
      <c r="N6" s="221">
        <v>8970</v>
      </c>
      <c r="O6" s="221">
        <v>8970</v>
      </c>
      <c r="P6" s="221">
        <v>8970</v>
      </c>
      <c r="Q6" s="346">
        <v>8970</v>
      </c>
      <c r="R6" s="346">
        <v>8970</v>
      </c>
      <c r="S6" s="346">
        <v>8970</v>
      </c>
      <c r="T6" s="346">
        <v>8970</v>
      </c>
      <c r="U6" s="346">
        <v>8970</v>
      </c>
      <c r="V6" s="346">
        <v>8970</v>
      </c>
      <c r="W6" s="87">
        <f t="shared" si="2"/>
        <v>107640</v>
      </c>
      <c r="X6" s="58"/>
    </row>
    <row r="7" spans="1:25">
      <c r="A7" s="30">
        <f t="shared" si="3"/>
        <v>2018041</v>
      </c>
      <c r="B7" s="27"/>
      <c r="C7" s="560"/>
      <c r="D7" s="561"/>
      <c r="E7" s="561"/>
      <c r="F7" s="561"/>
      <c r="G7" s="561"/>
      <c r="H7" s="561"/>
      <c r="I7" s="559"/>
      <c r="J7" s="91" t="s">
        <v>26</v>
      </c>
      <c r="K7" s="221">
        <v>16950</v>
      </c>
      <c r="L7" s="221">
        <v>16950</v>
      </c>
      <c r="M7" s="221">
        <v>16950</v>
      </c>
      <c r="N7" s="221">
        <v>16950</v>
      </c>
      <c r="O7" s="221">
        <v>16950</v>
      </c>
      <c r="P7" s="221">
        <v>16950</v>
      </c>
      <c r="Q7" s="346">
        <v>16950</v>
      </c>
      <c r="R7" s="346">
        <v>16950</v>
      </c>
      <c r="S7" s="346">
        <v>16950</v>
      </c>
      <c r="T7" s="346">
        <v>16950</v>
      </c>
      <c r="U7" s="346">
        <v>16950</v>
      </c>
      <c r="V7" s="346">
        <v>16950</v>
      </c>
      <c r="W7" s="87">
        <f t="shared" si="2"/>
        <v>203400</v>
      </c>
      <c r="X7" s="58"/>
    </row>
    <row r="8" spans="1:25">
      <c r="A8" s="30">
        <f t="shared" si="3"/>
        <v>2018041</v>
      </c>
      <c r="B8" s="27"/>
      <c r="C8" s="560"/>
      <c r="D8" s="561"/>
      <c r="E8" s="561"/>
      <c r="F8" s="561"/>
      <c r="G8" s="561"/>
      <c r="H8" s="561"/>
      <c r="I8" s="559"/>
      <c r="J8" s="91" t="s">
        <v>27</v>
      </c>
      <c r="K8" s="221">
        <v>27450</v>
      </c>
      <c r="L8" s="221">
        <v>27450</v>
      </c>
      <c r="M8" s="221">
        <v>27450</v>
      </c>
      <c r="N8" s="221">
        <v>27450</v>
      </c>
      <c r="O8" s="221">
        <v>27450</v>
      </c>
      <c r="P8" s="221">
        <v>27450</v>
      </c>
      <c r="Q8" s="346">
        <v>27450</v>
      </c>
      <c r="R8" s="346">
        <v>27450</v>
      </c>
      <c r="S8" s="346">
        <v>27450</v>
      </c>
      <c r="T8" s="346">
        <v>27450</v>
      </c>
      <c r="U8" s="346">
        <v>27450</v>
      </c>
      <c r="V8" s="346">
        <v>27450</v>
      </c>
      <c r="W8" s="87">
        <f t="shared" si="2"/>
        <v>329400</v>
      </c>
      <c r="X8" s="58"/>
    </row>
    <row r="9" spans="1:25">
      <c r="A9" s="30">
        <f t="shared" si="3"/>
        <v>2018041</v>
      </c>
      <c r="B9" s="27"/>
      <c r="C9" s="560"/>
      <c r="D9" s="561"/>
      <c r="E9" s="561"/>
      <c r="F9" s="561"/>
      <c r="G9" s="561"/>
      <c r="H9" s="561"/>
      <c r="I9" s="559"/>
      <c r="J9" s="91" t="s">
        <v>28</v>
      </c>
      <c r="K9" s="221">
        <v>1488</v>
      </c>
      <c r="L9" s="221">
        <v>1488</v>
      </c>
      <c r="M9" s="221">
        <v>1488</v>
      </c>
      <c r="N9" s="221">
        <v>1488</v>
      </c>
      <c r="O9" s="221">
        <v>1488</v>
      </c>
      <c r="P9" s="221">
        <v>1488</v>
      </c>
      <c r="Q9" s="346">
        <v>1488</v>
      </c>
      <c r="R9" s="346">
        <v>1488</v>
      </c>
      <c r="S9" s="346">
        <v>1488</v>
      </c>
      <c r="T9" s="346">
        <v>1488</v>
      </c>
      <c r="U9" s="346">
        <v>1575</v>
      </c>
      <c r="V9" s="346">
        <v>1575</v>
      </c>
      <c r="W9" s="87">
        <f t="shared" si="2"/>
        <v>18030</v>
      </c>
      <c r="X9" s="58"/>
    </row>
    <row r="10" spans="1:25">
      <c r="A10" s="30">
        <f t="shared" si="3"/>
        <v>2018041</v>
      </c>
      <c r="B10" s="27"/>
      <c r="C10" s="560"/>
      <c r="D10" s="561"/>
      <c r="E10" s="561"/>
      <c r="F10" s="561"/>
      <c r="G10" s="561"/>
      <c r="H10" s="561"/>
      <c r="I10" s="559"/>
      <c r="J10" s="92" t="s">
        <v>29</v>
      </c>
      <c r="K10" s="419">
        <v>1636</v>
      </c>
      <c r="L10" s="419">
        <v>1636</v>
      </c>
      <c r="M10" s="419">
        <v>1636</v>
      </c>
      <c r="N10" s="419">
        <v>1636</v>
      </c>
      <c r="O10" s="419">
        <v>1636</v>
      </c>
      <c r="P10" s="419">
        <v>1636</v>
      </c>
      <c r="Q10" s="394">
        <v>1636</v>
      </c>
      <c r="R10" s="394">
        <v>1636</v>
      </c>
      <c r="S10" s="394">
        <v>1636</v>
      </c>
      <c r="T10" s="394">
        <v>1636</v>
      </c>
      <c r="U10" s="394">
        <v>1732</v>
      </c>
      <c r="V10" s="394">
        <v>1732</v>
      </c>
      <c r="W10" s="88">
        <f t="shared" si="2"/>
        <v>19824</v>
      </c>
      <c r="X10" s="58"/>
    </row>
    <row r="11" spans="1:25">
      <c r="A11" s="29">
        <v>2022027</v>
      </c>
      <c r="C11" s="544">
        <f>C3+1</f>
        <v>2</v>
      </c>
      <c r="D11" s="545"/>
      <c r="E11" s="545" t="s">
        <v>107</v>
      </c>
      <c r="F11" s="545"/>
      <c r="G11" s="545"/>
      <c r="H11" s="545" t="s">
        <v>108</v>
      </c>
      <c r="I11" s="543" t="s">
        <v>31</v>
      </c>
      <c r="J11" s="98" t="s">
        <v>24</v>
      </c>
      <c r="K11" s="418">
        <f t="shared" ref="K11:T11" si="4">SUM(K12:K18)</f>
        <v>405516</v>
      </c>
      <c r="L11" s="418">
        <f t="shared" si="4"/>
        <v>403505</v>
      </c>
      <c r="M11" s="418">
        <f t="shared" si="4"/>
        <v>412050</v>
      </c>
      <c r="N11" s="418">
        <f t="shared" si="4"/>
        <v>405547</v>
      </c>
      <c r="O11" s="418">
        <f t="shared" si="4"/>
        <v>407084</v>
      </c>
      <c r="P11" s="418">
        <f t="shared" si="4"/>
        <v>400502</v>
      </c>
      <c r="Q11" s="418">
        <f t="shared" si="4"/>
        <v>368115</v>
      </c>
      <c r="R11" s="418">
        <f t="shared" si="4"/>
        <v>384431</v>
      </c>
      <c r="S11" s="418">
        <f t="shared" si="4"/>
        <v>388539</v>
      </c>
      <c r="T11" s="345">
        <f t="shared" si="4"/>
        <v>0</v>
      </c>
      <c r="U11" s="345">
        <f>SUM(U12:U18)</f>
        <v>0</v>
      </c>
      <c r="V11" s="495">
        <f>SUM(V12:V18)</f>
        <v>0</v>
      </c>
      <c r="W11" s="427">
        <f t="shared" si="2"/>
        <v>3575289</v>
      </c>
    </row>
    <row r="12" spans="1:25">
      <c r="A12" s="30">
        <f>A11</f>
        <v>2022027</v>
      </c>
      <c r="B12" s="27"/>
      <c r="C12" s="544"/>
      <c r="D12" s="545"/>
      <c r="E12" s="545"/>
      <c r="F12" s="545"/>
      <c r="G12" s="545"/>
      <c r="H12" s="545"/>
      <c r="I12" s="543"/>
      <c r="J12" s="91" t="s">
        <v>25</v>
      </c>
      <c r="K12" s="221">
        <v>299630</v>
      </c>
      <c r="L12" s="221">
        <v>298630</v>
      </c>
      <c r="M12" s="221">
        <v>302880</v>
      </c>
      <c r="N12" s="221">
        <v>302630</v>
      </c>
      <c r="O12" s="221">
        <v>305630</v>
      </c>
      <c r="P12" s="221">
        <v>302430</v>
      </c>
      <c r="Q12" s="221">
        <v>270380</v>
      </c>
      <c r="R12" s="221">
        <v>291130</v>
      </c>
      <c r="S12" s="221">
        <v>294130</v>
      </c>
      <c r="T12" s="346"/>
      <c r="U12" s="346"/>
      <c r="V12" s="346"/>
      <c r="W12" s="428">
        <f t="shared" si="2"/>
        <v>2667470</v>
      </c>
      <c r="X12" s="58"/>
    </row>
    <row r="13" spans="1:25">
      <c r="A13" s="30">
        <f t="shared" ref="A13:A18" si="5">A12</f>
        <v>2022027</v>
      </c>
      <c r="B13" s="27"/>
      <c r="C13" s="544"/>
      <c r="D13" s="545"/>
      <c r="E13" s="545"/>
      <c r="F13" s="545"/>
      <c r="G13" s="545"/>
      <c r="H13" s="545"/>
      <c r="I13" s="543"/>
      <c r="J13" s="91" t="s">
        <v>37</v>
      </c>
      <c r="K13" s="221">
        <v>29250</v>
      </c>
      <c r="L13" s="221">
        <v>28250</v>
      </c>
      <c r="M13" s="221">
        <v>32500</v>
      </c>
      <c r="N13" s="221">
        <v>26250</v>
      </c>
      <c r="O13" s="221">
        <v>31250</v>
      </c>
      <c r="P13" s="221">
        <v>29250</v>
      </c>
      <c r="Q13" s="221">
        <v>29250</v>
      </c>
      <c r="R13" s="221">
        <v>20750</v>
      </c>
      <c r="S13" s="221">
        <v>23750</v>
      </c>
      <c r="T13" s="346"/>
      <c r="U13" s="346"/>
      <c r="V13" s="346"/>
      <c r="W13" s="428">
        <f t="shared" si="2"/>
        <v>250500</v>
      </c>
      <c r="X13" s="58"/>
    </row>
    <row r="14" spans="1:25">
      <c r="A14" s="30">
        <f t="shared" si="5"/>
        <v>2022027</v>
      </c>
      <c r="B14" s="27"/>
      <c r="C14" s="544"/>
      <c r="D14" s="545"/>
      <c r="E14" s="545"/>
      <c r="F14" s="545"/>
      <c r="G14" s="545"/>
      <c r="H14" s="545"/>
      <c r="I14" s="543"/>
      <c r="J14" s="91" t="s">
        <v>38</v>
      </c>
      <c r="K14" s="221">
        <v>20000</v>
      </c>
      <c r="L14" s="221">
        <v>20000</v>
      </c>
      <c r="M14" s="221">
        <v>20000</v>
      </c>
      <c r="N14" s="221">
        <v>20000</v>
      </c>
      <c r="O14" s="221">
        <v>13572</v>
      </c>
      <c r="P14" s="221">
        <v>18096</v>
      </c>
      <c r="Q14" s="221">
        <v>18096</v>
      </c>
      <c r="R14" s="221">
        <v>21904</v>
      </c>
      <c r="S14" s="221">
        <v>20000</v>
      </c>
      <c r="T14" s="346"/>
      <c r="U14" s="346"/>
      <c r="V14" s="346"/>
      <c r="W14" s="428">
        <f t="shared" si="2"/>
        <v>171668</v>
      </c>
      <c r="X14" s="58"/>
    </row>
    <row r="15" spans="1:25">
      <c r="A15" s="30">
        <f t="shared" si="5"/>
        <v>2022027</v>
      </c>
      <c r="B15" s="27"/>
      <c r="C15" s="544"/>
      <c r="D15" s="545"/>
      <c r="E15" s="545"/>
      <c r="F15" s="545"/>
      <c r="G15" s="545"/>
      <c r="H15" s="545"/>
      <c r="I15" s="543"/>
      <c r="J15" s="91" t="s">
        <v>26</v>
      </c>
      <c r="K15" s="221">
        <v>20340</v>
      </c>
      <c r="L15" s="221">
        <v>20340</v>
      </c>
      <c r="M15" s="221">
        <v>20340</v>
      </c>
      <c r="N15" s="221">
        <v>20340</v>
      </c>
      <c r="O15" s="221">
        <v>20340</v>
      </c>
      <c r="P15" s="221">
        <v>18080</v>
      </c>
      <c r="Q15" s="221">
        <v>18080</v>
      </c>
      <c r="R15" s="221">
        <v>18080</v>
      </c>
      <c r="S15" s="221">
        <v>18080</v>
      </c>
      <c r="T15" s="346"/>
      <c r="U15" s="346"/>
      <c r="V15" s="346"/>
      <c r="W15" s="428">
        <f t="shared" si="2"/>
        <v>174020</v>
      </c>
      <c r="X15" s="58"/>
    </row>
    <row r="16" spans="1:25">
      <c r="A16" s="30">
        <f t="shared" si="5"/>
        <v>2022027</v>
      </c>
      <c r="B16" s="27"/>
      <c r="C16" s="544"/>
      <c r="D16" s="545"/>
      <c r="E16" s="545"/>
      <c r="F16" s="545"/>
      <c r="G16" s="545"/>
      <c r="H16" s="545"/>
      <c r="I16" s="543"/>
      <c r="J16" s="91" t="s">
        <v>27</v>
      </c>
      <c r="K16" s="221">
        <v>32940</v>
      </c>
      <c r="L16" s="221">
        <v>32940</v>
      </c>
      <c r="M16" s="221">
        <v>32940</v>
      </c>
      <c r="N16" s="221">
        <v>32940</v>
      </c>
      <c r="O16" s="221">
        <v>32940</v>
      </c>
      <c r="P16" s="221">
        <v>29280</v>
      </c>
      <c r="Q16" s="221">
        <v>29280</v>
      </c>
      <c r="R16" s="221">
        <v>29280</v>
      </c>
      <c r="S16" s="221">
        <v>29280</v>
      </c>
      <c r="T16" s="346"/>
      <c r="U16" s="346"/>
      <c r="V16" s="346"/>
      <c r="W16" s="428">
        <f t="shared" si="2"/>
        <v>281820</v>
      </c>
      <c r="X16" s="58"/>
    </row>
    <row r="17" spans="1:24">
      <c r="A17" s="30">
        <f t="shared" si="5"/>
        <v>2022027</v>
      </c>
      <c r="B17" s="27"/>
      <c r="C17" s="544"/>
      <c r="D17" s="545"/>
      <c r="E17" s="545"/>
      <c r="F17" s="545"/>
      <c r="G17" s="545"/>
      <c r="H17" s="545"/>
      <c r="I17" s="543"/>
      <c r="J17" s="91" t="s">
        <v>28</v>
      </c>
      <c r="K17" s="221">
        <v>1598</v>
      </c>
      <c r="L17" s="221">
        <v>1593</v>
      </c>
      <c r="M17" s="221">
        <v>1614</v>
      </c>
      <c r="N17" s="221">
        <v>1613</v>
      </c>
      <c r="O17" s="221">
        <v>1596</v>
      </c>
      <c r="P17" s="221">
        <v>1603</v>
      </c>
      <c r="Q17" s="221">
        <v>1442</v>
      </c>
      <c r="R17" s="221">
        <v>1565</v>
      </c>
      <c r="S17" s="221">
        <v>1571</v>
      </c>
      <c r="T17" s="346"/>
      <c r="U17" s="346"/>
      <c r="V17" s="346"/>
      <c r="W17" s="428">
        <f t="shared" si="2"/>
        <v>14195</v>
      </c>
      <c r="X17" s="58"/>
    </row>
    <row r="18" spans="1:24">
      <c r="A18" s="30">
        <f t="shared" si="5"/>
        <v>2022027</v>
      </c>
      <c r="B18" s="27"/>
      <c r="C18" s="544"/>
      <c r="D18" s="545"/>
      <c r="E18" s="545"/>
      <c r="F18" s="545"/>
      <c r="G18" s="545"/>
      <c r="H18" s="545"/>
      <c r="I18" s="543"/>
      <c r="J18" s="92" t="s">
        <v>29</v>
      </c>
      <c r="K18" s="419">
        <v>1758</v>
      </c>
      <c r="L18" s="419">
        <v>1752</v>
      </c>
      <c r="M18" s="419">
        <v>1776</v>
      </c>
      <c r="N18" s="419">
        <v>1774</v>
      </c>
      <c r="O18" s="419">
        <v>1756</v>
      </c>
      <c r="P18" s="419">
        <v>1763</v>
      </c>
      <c r="Q18" s="419">
        <v>1587</v>
      </c>
      <c r="R18" s="419">
        <v>1722</v>
      </c>
      <c r="S18" s="419">
        <v>1728</v>
      </c>
      <c r="T18" s="394"/>
      <c r="U18" s="394"/>
      <c r="V18" s="394"/>
      <c r="W18" s="431">
        <f t="shared" si="2"/>
        <v>15616</v>
      </c>
      <c r="X18" s="58"/>
    </row>
    <row r="19" spans="1:24">
      <c r="A19" s="13">
        <v>2018037</v>
      </c>
      <c r="B19" s="17"/>
      <c r="C19" s="546">
        <f>C11+1</f>
        <v>3</v>
      </c>
      <c r="D19" s="549"/>
      <c r="E19" s="549"/>
      <c r="F19" s="549"/>
      <c r="G19" s="549"/>
      <c r="H19" s="549"/>
      <c r="I19" s="552" t="s">
        <v>31</v>
      </c>
      <c r="J19" s="175" t="s">
        <v>24</v>
      </c>
      <c r="K19" s="420">
        <f>SUM(K20:K26)</f>
        <v>334513</v>
      </c>
      <c r="L19" s="285">
        <f t="shared" ref="L19:R19" si="6">SUM(L20:L26)</f>
        <v>334513</v>
      </c>
      <c r="M19" s="285">
        <f t="shared" si="6"/>
        <v>334513</v>
      </c>
      <c r="N19" s="285">
        <f t="shared" si="6"/>
        <v>323700</v>
      </c>
      <c r="O19" s="285">
        <f t="shared" si="6"/>
        <v>329983</v>
      </c>
      <c r="P19" s="285">
        <f t="shared" si="6"/>
        <v>327145</v>
      </c>
      <c r="Q19" s="347">
        <f t="shared" si="6"/>
        <v>324053</v>
      </c>
      <c r="R19" s="347">
        <f t="shared" si="6"/>
        <v>321091</v>
      </c>
      <c r="S19" s="347">
        <f>SUM(S20:S26)</f>
        <v>334683</v>
      </c>
      <c r="T19" s="347">
        <f>SUM(T20:T26)</f>
        <v>363881</v>
      </c>
      <c r="U19" s="347">
        <f>SUM(U20:U26)</f>
        <v>355166</v>
      </c>
      <c r="V19" s="496">
        <f>SUM(V20:V26)</f>
        <v>275293</v>
      </c>
      <c r="W19" s="86">
        <f>SUM(K19:V19)</f>
        <v>3958534</v>
      </c>
    </row>
    <row r="20" spans="1:24">
      <c r="A20" s="14">
        <f>A19</f>
        <v>2018037</v>
      </c>
      <c r="B20" s="24"/>
      <c r="C20" s="547"/>
      <c r="D20" s="550"/>
      <c r="E20" s="550"/>
      <c r="F20" s="550"/>
      <c r="G20" s="550"/>
      <c r="H20" s="550"/>
      <c r="I20" s="553"/>
      <c r="J20" s="176" t="s">
        <v>25</v>
      </c>
      <c r="K20" s="421">
        <v>269450</v>
      </c>
      <c r="L20" s="223">
        <v>269450</v>
      </c>
      <c r="M20" s="223">
        <v>269450</v>
      </c>
      <c r="N20" s="223">
        <v>269450</v>
      </c>
      <c r="O20" s="223">
        <v>269450</v>
      </c>
      <c r="P20" s="223">
        <v>269450</v>
      </c>
      <c r="Q20" s="348">
        <v>269450</v>
      </c>
      <c r="R20" s="348">
        <v>268539</v>
      </c>
      <c r="S20" s="348">
        <v>278548</v>
      </c>
      <c r="T20" s="348">
        <v>309450</v>
      </c>
      <c r="U20" s="348">
        <v>301450</v>
      </c>
      <c r="V20" s="497">
        <v>233025</v>
      </c>
      <c r="W20" s="87">
        <f t="shared" ref="W20:W42" si="7">SUM(K20:V20)</f>
        <v>3277162</v>
      </c>
      <c r="X20" s="58"/>
    </row>
    <row r="21" spans="1:24">
      <c r="A21" s="14">
        <f t="shared" ref="A21:A26" si="8">A20</f>
        <v>2018037</v>
      </c>
      <c r="B21" s="24"/>
      <c r="C21" s="547"/>
      <c r="D21" s="550"/>
      <c r="E21" s="550"/>
      <c r="F21" s="550"/>
      <c r="G21" s="550"/>
      <c r="H21" s="550"/>
      <c r="I21" s="553"/>
      <c r="J21" s="176" t="s">
        <v>37</v>
      </c>
      <c r="K21" s="421"/>
      <c r="L21" s="223"/>
      <c r="M21" s="223"/>
      <c r="N21" s="223"/>
      <c r="O21" s="223"/>
      <c r="P21" s="223"/>
      <c r="Q21" s="348"/>
      <c r="R21" s="348"/>
      <c r="S21" s="348"/>
      <c r="T21" s="348"/>
      <c r="U21" s="348"/>
      <c r="V21" s="497" t="s">
        <v>114</v>
      </c>
      <c r="W21" s="87">
        <f t="shared" si="7"/>
        <v>0</v>
      </c>
      <c r="X21" s="58"/>
    </row>
    <row r="22" spans="1:24">
      <c r="A22" s="14">
        <f t="shared" si="8"/>
        <v>2018037</v>
      </c>
      <c r="B22" s="24"/>
      <c r="C22" s="547"/>
      <c r="D22" s="550"/>
      <c r="E22" s="550"/>
      <c r="F22" s="550"/>
      <c r="G22" s="550"/>
      <c r="H22" s="550"/>
      <c r="I22" s="553"/>
      <c r="J22" s="176" t="s">
        <v>38</v>
      </c>
      <c r="K22" s="421">
        <v>20320</v>
      </c>
      <c r="L22" s="223">
        <v>20320</v>
      </c>
      <c r="M22" s="223">
        <v>20320</v>
      </c>
      <c r="N22" s="223">
        <v>9620</v>
      </c>
      <c r="O22" s="223">
        <v>16004</v>
      </c>
      <c r="P22" s="223">
        <v>15946</v>
      </c>
      <c r="Q22" s="348">
        <v>12720</v>
      </c>
      <c r="R22" s="348">
        <v>10812</v>
      </c>
      <c r="S22" s="348">
        <v>14290</v>
      </c>
      <c r="T22" s="348">
        <v>12262</v>
      </c>
      <c r="U22" s="348">
        <v>11448</v>
      </c>
      <c r="V22" s="497" t="s">
        <v>114</v>
      </c>
      <c r="W22" s="87">
        <f t="shared" si="7"/>
        <v>164062</v>
      </c>
      <c r="X22" s="58"/>
    </row>
    <row r="23" spans="1:24">
      <c r="A23" s="14">
        <f t="shared" si="8"/>
        <v>2018037</v>
      </c>
      <c r="B23" s="24"/>
      <c r="C23" s="547"/>
      <c r="D23" s="550"/>
      <c r="E23" s="550"/>
      <c r="F23" s="550"/>
      <c r="G23" s="550"/>
      <c r="H23" s="550"/>
      <c r="I23" s="553"/>
      <c r="J23" s="176" t="s">
        <v>26</v>
      </c>
      <c r="K23" s="422">
        <v>14250</v>
      </c>
      <c r="L23" s="362">
        <v>14250</v>
      </c>
      <c r="M23" s="362">
        <v>14250</v>
      </c>
      <c r="N23" s="362">
        <v>14250</v>
      </c>
      <c r="O23" s="362">
        <v>14250</v>
      </c>
      <c r="P23" s="362">
        <v>13300</v>
      </c>
      <c r="Q23" s="365">
        <v>13300</v>
      </c>
      <c r="R23" s="365">
        <v>13300</v>
      </c>
      <c r="S23" s="365">
        <v>13300</v>
      </c>
      <c r="T23" s="365">
        <v>13300</v>
      </c>
      <c r="U23" s="365">
        <v>13300</v>
      </c>
      <c r="V23" s="498">
        <v>13300</v>
      </c>
      <c r="W23" s="87">
        <f t="shared" si="7"/>
        <v>164350</v>
      </c>
      <c r="X23" s="58"/>
    </row>
    <row r="24" spans="1:24">
      <c r="A24" s="14">
        <f t="shared" si="8"/>
        <v>2018037</v>
      </c>
      <c r="B24" s="24"/>
      <c r="C24" s="547"/>
      <c r="D24" s="550"/>
      <c r="E24" s="550"/>
      <c r="F24" s="550"/>
      <c r="G24" s="550"/>
      <c r="H24" s="550"/>
      <c r="I24" s="553"/>
      <c r="J24" s="176" t="s">
        <v>27</v>
      </c>
      <c r="K24" s="422">
        <v>27450</v>
      </c>
      <c r="L24" s="362">
        <v>27450</v>
      </c>
      <c r="M24" s="362">
        <v>27450</v>
      </c>
      <c r="N24" s="362">
        <v>27450</v>
      </c>
      <c r="O24" s="362">
        <v>27450</v>
      </c>
      <c r="P24" s="362">
        <v>25620</v>
      </c>
      <c r="Q24" s="365">
        <v>25620</v>
      </c>
      <c r="R24" s="365">
        <v>25620</v>
      </c>
      <c r="S24" s="365">
        <v>25620</v>
      </c>
      <c r="T24" s="365">
        <v>25620</v>
      </c>
      <c r="U24" s="365">
        <v>25620</v>
      </c>
      <c r="V24" s="498">
        <v>25620</v>
      </c>
      <c r="W24" s="87">
        <f t="shared" si="7"/>
        <v>316590</v>
      </c>
      <c r="X24" s="58"/>
    </row>
    <row r="25" spans="1:24">
      <c r="A25" s="14">
        <f t="shared" si="8"/>
        <v>2018037</v>
      </c>
      <c r="B25" s="24"/>
      <c r="C25" s="547"/>
      <c r="D25" s="550"/>
      <c r="E25" s="550"/>
      <c r="F25" s="550"/>
      <c r="G25" s="550"/>
      <c r="H25" s="550"/>
      <c r="I25" s="553"/>
      <c r="J25" s="176" t="s">
        <v>28</v>
      </c>
      <c r="K25" s="422">
        <v>1449</v>
      </c>
      <c r="L25" s="362">
        <v>1449</v>
      </c>
      <c r="M25" s="362">
        <v>1449</v>
      </c>
      <c r="N25" s="362">
        <v>1395</v>
      </c>
      <c r="O25" s="362">
        <v>1347</v>
      </c>
      <c r="P25" s="362">
        <v>1347</v>
      </c>
      <c r="Q25" s="365">
        <v>1411</v>
      </c>
      <c r="R25" s="365">
        <v>1343</v>
      </c>
      <c r="S25" s="365">
        <v>1393</v>
      </c>
      <c r="T25" s="365">
        <v>1547</v>
      </c>
      <c r="U25" s="365">
        <v>1594</v>
      </c>
      <c r="V25" s="498">
        <v>1594</v>
      </c>
      <c r="W25" s="87">
        <f t="shared" si="7"/>
        <v>17318</v>
      </c>
      <c r="X25" s="58"/>
    </row>
    <row r="26" spans="1:24">
      <c r="A26" s="14">
        <f t="shared" si="8"/>
        <v>2018037</v>
      </c>
      <c r="B26" s="24"/>
      <c r="C26" s="548"/>
      <c r="D26" s="551"/>
      <c r="E26" s="551"/>
      <c r="F26" s="551"/>
      <c r="G26" s="551"/>
      <c r="H26" s="551"/>
      <c r="I26" s="554"/>
      <c r="J26" s="177" t="s">
        <v>29</v>
      </c>
      <c r="K26" s="423">
        <v>1594</v>
      </c>
      <c r="L26" s="363">
        <v>1594</v>
      </c>
      <c r="M26" s="363">
        <v>1594</v>
      </c>
      <c r="N26" s="363">
        <v>1535</v>
      </c>
      <c r="O26" s="363">
        <v>1482</v>
      </c>
      <c r="P26" s="363">
        <v>1482</v>
      </c>
      <c r="Q26" s="366">
        <v>1552</v>
      </c>
      <c r="R26" s="366">
        <v>1477</v>
      </c>
      <c r="S26" s="366">
        <v>1532</v>
      </c>
      <c r="T26" s="366">
        <v>1702</v>
      </c>
      <c r="U26" s="366">
        <v>1754</v>
      </c>
      <c r="V26" s="499">
        <v>1754</v>
      </c>
      <c r="W26" s="88">
        <f t="shared" si="7"/>
        <v>19052</v>
      </c>
      <c r="X26" s="58"/>
    </row>
    <row r="27" spans="1:24">
      <c r="A27" s="13">
        <v>2020024</v>
      </c>
      <c r="B27" s="17"/>
      <c r="C27" s="528">
        <f t="shared" ref="C27" si="9">C19+1</f>
        <v>4</v>
      </c>
      <c r="D27" s="522"/>
      <c r="E27" s="522" t="s">
        <v>97</v>
      </c>
      <c r="F27" s="531"/>
      <c r="G27" s="522"/>
      <c r="H27" s="522"/>
      <c r="I27" s="525" t="s">
        <v>31</v>
      </c>
      <c r="J27" s="175" t="s">
        <v>24</v>
      </c>
      <c r="K27" s="420">
        <f t="shared" ref="K27" si="10">SUM(K28:K34)</f>
        <v>318048</v>
      </c>
      <c r="L27" s="285">
        <f>SUM(L28:L34)</f>
        <v>0</v>
      </c>
      <c r="M27" s="285">
        <f t="shared" ref="M27:R27" si="11">SUM(M28:M34)</f>
        <v>165847</v>
      </c>
      <c r="N27" s="285">
        <f t="shared" si="11"/>
        <v>155720</v>
      </c>
      <c r="O27" s="285">
        <f t="shared" si="11"/>
        <v>0</v>
      </c>
      <c r="P27" s="285">
        <f t="shared" si="11"/>
        <v>0</v>
      </c>
      <c r="Q27" s="285">
        <f t="shared" si="11"/>
        <v>0</v>
      </c>
      <c r="R27" s="285">
        <f t="shared" si="11"/>
        <v>0</v>
      </c>
      <c r="S27" s="285">
        <f>SUM(S28:S34)</f>
        <v>0</v>
      </c>
      <c r="T27" s="347">
        <f>SUM(T28:T34)</f>
        <v>0</v>
      </c>
      <c r="U27" s="347">
        <f>SUM(U28:U34)</f>
        <v>0</v>
      </c>
      <c r="V27" s="496">
        <f>SUM(V28:V34)</f>
        <v>0</v>
      </c>
      <c r="W27" s="427">
        <f t="shared" si="7"/>
        <v>639615</v>
      </c>
    </row>
    <row r="28" spans="1:24">
      <c r="A28" s="14">
        <f>A27</f>
        <v>2020024</v>
      </c>
      <c r="B28" s="24"/>
      <c r="C28" s="529"/>
      <c r="D28" s="523"/>
      <c r="E28" s="523"/>
      <c r="F28" s="532"/>
      <c r="G28" s="534"/>
      <c r="H28" s="523"/>
      <c r="I28" s="526"/>
      <c r="J28" s="176" t="s">
        <v>25</v>
      </c>
      <c r="K28" s="421">
        <v>247025</v>
      </c>
      <c r="L28" s="223"/>
      <c r="M28" s="223">
        <v>120105</v>
      </c>
      <c r="N28" s="223">
        <v>110085</v>
      </c>
      <c r="O28" s="223"/>
      <c r="P28" s="223"/>
      <c r="Q28" s="223"/>
      <c r="R28" s="223"/>
      <c r="S28" s="223"/>
      <c r="T28" s="348"/>
      <c r="U28" s="348"/>
      <c r="V28" s="497"/>
      <c r="W28" s="428">
        <f t="shared" si="7"/>
        <v>477215</v>
      </c>
      <c r="X28" s="58"/>
    </row>
    <row r="29" spans="1:24">
      <c r="A29" s="14">
        <f t="shared" ref="A29" si="12">A28</f>
        <v>2020024</v>
      </c>
      <c r="B29" s="24"/>
      <c r="C29" s="529"/>
      <c r="D29" s="523"/>
      <c r="E29" s="523"/>
      <c r="F29" s="532"/>
      <c r="G29" s="534"/>
      <c r="H29" s="523"/>
      <c r="I29" s="526"/>
      <c r="J29" s="176" t="s">
        <v>37</v>
      </c>
      <c r="K29" s="421"/>
      <c r="L29" s="223"/>
      <c r="M29" s="223"/>
      <c r="N29" s="223"/>
      <c r="O29" s="223"/>
      <c r="P29" s="223"/>
      <c r="Q29" s="223"/>
      <c r="R29" s="223"/>
      <c r="S29" s="223"/>
      <c r="T29" s="348"/>
      <c r="U29" s="348"/>
      <c r="V29" s="497"/>
      <c r="W29" s="428">
        <f t="shared" si="7"/>
        <v>0</v>
      </c>
      <c r="X29" s="58"/>
    </row>
    <row r="30" spans="1:24">
      <c r="A30" s="14">
        <f t="shared" ref="A30" si="13">A29</f>
        <v>2020024</v>
      </c>
      <c r="B30" s="24"/>
      <c r="C30" s="529"/>
      <c r="D30" s="523"/>
      <c r="E30" s="523"/>
      <c r="F30" s="532"/>
      <c r="G30" s="534"/>
      <c r="H30" s="523"/>
      <c r="I30" s="526"/>
      <c r="J30" s="176" t="s">
        <v>38</v>
      </c>
      <c r="K30" s="421">
        <v>23700</v>
      </c>
      <c r="L30" s="223"/>
      <c r="M30" s="223">
        <v>0</v>
      </c>
      <c r="N30" s="223">
        <v>0</v>
      </c>
      <c r="O30" s="223"/>
      <c r="P30" s="223"/>
      <c r="Q30" s="223"/>
      <c r="R30" s="223"/>
      <c r="S30" s="223"/>
      <c r="T30" s="348"/>
      <c r="U30" s="348"/>
      <c r="V30" s="497"/>
      <c r="W30" s="428">
        <f t="shared" si="7"/>
        <v>23700</v>
      </c>
      <c r="X30" s="58"/>
    </row>
    <row r="31" spans="1:24">
      <c r="A31" s="14">
        <f t="shared" ref="A31" si="14">A30</f>
        <v>2020024</v>
      </c>
      <c r="B31" s="24"/>
      <c r="C31" s="529"/>
      <c r="D31" s="523"/>
      <c r="E31" s="523"/>
      <c r="F31" s="532"/>
      <c r="G31" s="534"/>
      <c r="H31" s="523"/>
      <c r="I31" s="526"/>
      <c r="J31" s="176" t="s">
        <v>26</v>
      </c>
      <c r="K31" s="422">
        <v>15200</v>
      </c>
      <c r="L31" s="224"/>
      <c r="M31" s="224">
        <v>15200</v>
      </c>
      <c r="N31" s="224">
        <v>15200</v>
      </c>
      <c r="O31" s="224"/>
      <c r="P31" s="224"/>
      <c r="Q31" s="224"/>
      <c r="R31" s="224"/>
      <c r="S31" s="224"/>
      <c r="T31" s="349"/>
      <c r="U31" s="349"/>
      <c r="V31" s="500"/>
      <c r="W31" s="428">
        <f t="shared" si="7"/>
        <v>45600</v>
      </c>
      <c r="X31" s="58"/>
    </row>
    <row r="32" spans="1:24">
      <c r="A32" s="14">
        <f t="shared" ref="A32" si="15">A31</f>
        <v>2020024</v>
      </c>
      <c r="B32" s="24"/>
      <c r="C32" s="529"/>
      <c r="D32" s="523"/>
      <c r="E32" s="523"/>
      <c r="F32" s="532"/>
      <c r="G32" s="534"/>
      <c r="H32" s="523"/>
      <c r="I32" s="526"/>
      <c r="J32" s="176" t="s">
        <v>27</v>
      </c>
      <c r="K32" s="422">
        <v>29280</v>
      </c>
      <c r="L32" s="224"/>
      <c r="M32" s="224">
        <v>29280</v>
      </c>
      <c r="N32" s="224">
        <v>29280</v>
      </c>
      <c r="O32" s="224"/>
      <c r="P32" s="224"/>
      <c r="Q32" s="224"/>
      <c r="R32" s="224"/>
      <c r="S32" s="224"/>
      <c r="T32" s="349"/>
      <c r="U32" s="349"/>
      <c r="V32" s="500"/>
      <c r="W32" s="428">
        <f t="shared" si="7"/>
        <v>87840</v>
      </c>
      <c r="X32" s="58"/>
    </row>
    <row r="33" spans="1:24">
      <c r="A33" s="14">
        <f t="shared" ref="A33" si="16">A32</f>
        <v>2020024</v>
      </c>
      <c r="B33" s="24"/>
      <c r="C33" s="529"/>
      <c r="D33" s="523"/>
      <c r="E33" s="523"/>
      <c r="F33" s="532"/>
      <c r="G33" s="534"/>
      <c r="H33" s="523"/>
      <c r="I33" s="526"/>
      <c r="J33" s="176" t="s">
        <v>28</v>
      </c>
      <c r="K33" s="424">
        <v>1354</v>
      </c>
      <c r="L33" s="224"/>
      <c r="M33" s="224">
        <v>601</v>
      </c>
      <c r="N33" s="224">
        <v>550</v>
      </c>
      <c r="O33" s="224"/>
      <c r="P33" s="224"/>
      <c r="Q33" s="224"/>
      <c r="R33" s="224"/>
      <c r="S33" s="224"/>
      <c r="T33" s="349"/>
      <c r="U33" s="349"/>
      <c r="V33" s="500"/>
      <c r="W33" s="428">
        <f t="shared" si="7"/>
        <v>2505</v>
      </c>
      <c r="X33" s="58"/>
    </row>
    <row r="34" spans="1:24">
      <c r="A34" s="14">
        <f t="shared" ref="A34" si="17">A33</f>
        <v>2020024</v>
      </c>
      <c r="B34" s="24"/>
      <c r="C34" s="530"/>
      <c r="D34" s="562"/>
      <c r="E34" s="562"/>
      <c r="F34" s="564"/>
      <c r="G34" s="565"/>
      <c r="H34" s="562"/>
      <c r="I34" s="563"/>
      <c r="J34" s="180" t="s">
        <v>29</v>
      </c>
      <c r="K34" s="446">
        <v>1489</v>
      </c>
      <c r="L34" s="447"/>
      <c r="M34" s="447">
        <v>661</v>
      </c>
      <c r="N34" s="447">
        <v>605</v>
      </c>
      <c r="O34" s="447"/>
      <c r="P34" s="447"/>
      <c r="Q34" s="447"/>
      <c r="R34" s="447"/>
      <c r="S34" s="447"/>
      <c r="T34" s="476"/>
      <c r="U34" s="476"/>
      <c r="V34" s="501"/>
      <c r="W34" s="432">
        <f t="shared" si="7"/>
        <v>2755</v>
      </c>
      <c r="X34" s="58"/>
    </row>
    <row r="35" spans="1:24">
      <c r="A35" s="13"/>
      <c r="B35" s="17"/>
      <c r="C35" s="528">
        <f t="shared" ref="C35" si="18">C27+1</f>
        <v>5</v>
      </c>
      <c r="D35" s="522"/>
      <c r="E35" s="522" t="s">
        <v>97</v>
      </c>
      <c r="F35" s="531"/>
      <c r="G35" s="522"/>
      <c r="H35" s="522"/>
      <c r="I35" s="525" t="s">
        <v>103</v>
      </c>
      <c r="J35" s="175" t="s">
        <v>24</v>
      </c>
      <c r="K35" s="420">
        <f t="shared" ref="K35" si="19">SUM(K36:K42)</f>
        <v>0</v>
      </c>
      <c r="L35" s="285">
        <f>SUM(L36:L42)</f>
        <v>0</v>
      </c>
      <c r="M35" s="285">
        <f t="shared" ref="M35:R35" si="20">SUM(M36:M42)</f>
        <v>0</v>
      </c>
      <c r="N35" s="285">
        <f t="shared" si="20"/>
        <v>0</v>
      </c>
      <c r="O35" s="285">
        <f t="shared" si="20"/>
        <v>178875</v>
      </c>
      <c r="P35" s="285">
        <f t="shared" si="20"/>
        <v>298567</v>
      </c>
      <c r="Q35" s="285">
        <f t="shared" si="20"/>
        <v>274585</v>
      </c>
      <c r="R35" s="285">
        <f t="shared" si="20"/>
        <v>0</v>
      </c>
      <c r="S35" s="285">
        <f>SUM(S36:S42)</f>
        <v>0</v>
      </c>
      <c r="T35" s="347">
        <f>SUM(T36:T42)</f>
        <v>0</v>
      </c>
      <c r="U35" s="347">
        <f>SUM(U36:U42)</f>
        <v>0</v>
      </c>
      <c r="V35" s="496">
        <f>SUM(V36:V42)</f>
        <v>0</v>
      </c>
      <c r="W35" s="427">
        <f t="shared" si="7"/>
        <v>752027</v>
      </c>
    </row>
    <row r="36" spans="1:24">
      <c r="A36" s="14">
        <f>A35</f>
        <v>0</v>
      </c>
      <c r="B36" s="24"/>
      <c r="C36" s="529"/>
      <c r="D36" s="523"/>
      <c r="E36" s="523"/>
      <c r="F36" s="532"/>
      <c r="G36" s="534"/>
      <c r="H36" s="523"/>
      <c r="I36" s="526"/>
      <c r="J36" s="176" t="s">
        <v>104</v>
      </c>
      <c r="K36" s="223"/>
      <c r="L36" s="223"/>
      <c r="M36" s="223"/>
      <c r="N36" s="223"/>
      <c r="O36" s="223">
        <v>178875</v>
      </c>
      <c r="P36" s="223">
        <v>298567</v>
      </c>
      <c r="Q36" s="223">
        <v>274585</v>
      </c>
      <c r="R36" s="223"/>
      <c r="S36" s="223"/>
      <c r="T36" s="348"/>
      <c r="U36" s="348"/>
      <c r="V36" s="497"/>
      <c r="W36" s="428">
        <f t="shared" si="7"/>
        <v>752027</v>
      </c>
      <c r="X36" s="58"/>
    </row>
    <row r="37" spans="1:24">
      <c r="A37" s="14">
        <f t="shared" ref="A37" si="21">A36</f>
        <v>0</v>
      </c>
      <c r="B37" s="24"/>
      <c r="C37" s="529"/>
      <c r="D37" s="523"/>
      <c r="E37" s="523"/>
      <c r="F37" s="532"/>
      <c r="G37" s="534"/>
      <c r="H37" s="523"/>
      <c r="I37" s="526"/>
      <c r="J37" s="176"/>
      <c r="K37" s="223"/>
      <c r="L37" s="223"/>
      <c r="M37" s="223"/>
      <c r="N37" s="223"/>
      <c r="O37" s="223"/>
      <c r="P37" s="223"/>
      <c r="Q37" s="223"/>
      <c r="R37" s="223"/>
      <c r="S37" s="223"/>
      <c r="T37" s="348"/>
      <c r="U37" s="348"/>
      <c r="V37" s="497"/>
      <c r="W37" s="428">
        <f t="shared" si="7"/>
        <v>0</v>
      </c>
      <c r="X37" s="58"/>
    </row>
    <row r="38" spans="1:24">
      <c r="A38" s="14">
        <f t="shared" ref="A38" si="22">A37</f>
        <v>0</v>
      </c>
      <c r="B38" s="24"/>
      <c r="C38" s="529"/>
      <c r="D38" s="523"/>
      <c r="E38" s="523"/>
      <c r="F38" s="532"/>
      <c r="G38" s="534"/>
      <c r="H38" s="523"/>
      <c r="I38" s="526"/>
      <c r="J38" s="176"/>
      <c r="K38" s="223"/>
      <c r="L38" s="223"/>
      <c r="M38" s="223"/>
      <c r="N38" s="223"/>
      <c r="O38" s="223"/>
      <c r="P38" s="223"/>
      <c r="Q38" s="223"/>
      <c r="R38" s="223"/>
      <c r="S38" s="223"/>
      <c r="T38" s="348"/>
      <c r="U38" s="348"/>
      <c r="V38" s="497"/>
      <c r="W38" s="428">
        <f t="shared" si="7"/>
        <v>0</v>
      </c>
      <c r="X38" s="58"/>
    </row>
    <row r="39" spans="1:24">
      <c r="A39" s="14">
        <f t="shared" ref="A39" si="23">A38</f>
        <v>0</v>
      </c>
      <c r="B39" s="24"/>
      <c r="C39" s="529"/>
      <c r="D39" s="523"/>
      <c r="E39" s="523"/>
      <c r="F39" s="532"/>
      <c r="G39" s="534"/>
      <c r="H39" s="523"/>
      <c r="I39" s="526"/>
      <c r="J39" s="176"/>
      <c r="K39" s="224"/>
      <c r="L39" s="224"/>
      <c r="M39" s="224"/>
      <c r="N39" s="224"/>
      <c r="O39" s="224"/>
      <c r="P39" s="224"/>
      <c r="Q39" s="224"/>
      <c r="R39" s="224"/>
      <c r="S39" s="224"/>
      <c r="T39" s="349"/>
      <c r="U39" s="349"/>
      <c r="V39" s="500"/>
      <c r="W39" s="428">
        <f t="shared" si="7"/>
        <v>0</v>
      </c>
      <c r="X39" s="58"/>
    </row>
    <row r="40" spans="1:24">
      <c r="A40" s="14">
        <f t="shared" ref="A40" si="24">A39</f>
        <v>0</v>
      </c>
      <c r="B40" s="24"/>
      <c r="C40" s="529"/>
      <c r="D40" s="523"/>
      <c r="E40" s="523"/>
      <c r="F40" s="532"/>
      <c r="G40" s="534"/>
      <c r="H40" s="523"/>
      <c r="I40" s="526"/>
      <c r="J40" s="176"/>
      <c r="K40" s="224"/>
      <c r="L40" s="224"/>
      <c r="M40" s="224"/>
      <c r="N40" s="224"/>
      <c r="O40" s="224"/>
      <c r="P40" s="224"/>
      <c r="Q40" s="224"/>
      <c r="R40" s="224"/>
      <c r="S40" s="224"/>
      <c r="T40" s="349"/>
      <c r="U40" s="349"/>
      <c r="V40" s="500"/>
      <c r="W40" s="428">
        <f t="shared" si="7"/>
        <v>0</v>
      </c>
      <c r="X40" s="58"/>
    </row>
    <row r="41" spans="1:24">
      <c r="A41" s="14">
        <f t="shared" ref="A41" si="25">A40</f>
        <v>0</v>
      </c>
      <c r="B41" s="24"/>
      <c r="C41" s="529"/>
      <c r="D41" s="523"/>
      <c r="E41" s="523"/>
      <c r="F41" s="532"/>
      <c r="G41" s="534"/>
      <c r="H41" s="523"/>
      <c r="I41" s="526"/>
      <c r="J41" s="176"/>
      <c r="K41" s="224"/>
      <c r="L41" s="224"/>
      <c r="M41" s="224"/>
      <c r="N41" s="224"/>
      <c r="O41" s="224"/>
      <c r="P41" s="224"/>
      <c r="Q41" s="224"/>
      <c r="R41" s="224"/>
      <c r="S41" s="224"/>
      <c r="T41" s="349"/>
      <c r="U41" s="349"/>
      <c r="V41" s="500"/>
      <c r="W41" s="428">
        <f t="shared" si="7"/>
        <v>0</v>
      </c>
      <c r="X41" s="58"/>
    </row>
    <row r="42" spans="1:24">
      <c r="A42" s="14">
        <f t="shared" ref="A42" si="26">A41</f>
        <v>0</v>
      </c>
      <c r="B42" s="24"/>
      <c r="C42" s="530"/>
      <c r="D42" s="524"/>
      <c r="E42" s="524"/>
      <c r="F42" s="533"/>
      <c r="G42" s="535"/>
      <c r="H42" s="524"/>
      <c r="I42" s="527"/>
      <c r="J42" s="182"/>
      <c r="K42" s="452"/>
      <c r="L42" s="452"/>
      <c r="M42" s="452"/>
      <c r="N42" s="452"/>
      <c r="O42" s="452"/>
      <c r="P42" s="452"/>
      <c r="Q42" s="452"/>
      <c r="R42" s="452"/>
      <c r="S42" s="452"/>
      <c r="T42" s="464"/>
      <c r="U42" s="464"/>
      <c r="V42" s="502"/>
      <c r="W42" s="431">
        <f t="shared" si="7"/>
        <v>0</v>
      </c>
      <c r="X42" s="58"/>
    </row>
    <row r="43" spans="1:24">
      <c r="A43" s="13"/>
      <c r="B43" s="17"/>
      <c r="C43" s="546">
        <f t="shared" ref="C43" si="27">C35+1</f>
        <v>6</v>
      </c>
      <c r="D43" s="522"/>
      <c r="E43" s="522"/>
      <c r="F43" s="531"/>
      <c r="G43" s="522"/>
      <c r="H43" s="522"/>
      <c r="I43" s="525" t="s">
        <v>103</v>
      </c>
      <c r="J43" s="187" t="s">
        <v>24</v>
      </c>
      <c r="K43" s="450">
        <f t="shared" ref="K43:R43" si="28">SUM(K44:K50)</f>
        <v>0</v>
      </c>
      <c r="L43" s="451">
        <f>SUM(L44:L50)</f>
        <v>0</v>
      </c>
      <c r="M43" s="451">
        <f t="shared" si="28"/>
        <v>0</v>
      </c>
      <c r="N43" s="451">
        <f t="shared" si="28"/>
        <v>0</v>
      </c>
      <c r="O43" s="285">
        <f t="shared" si="28"/>
        <v>0</v>
      </c>
      <c r="P43" s="285">
        <f t="shared" si="28"/>
        <v>0</v>
      </c>
      <c r="Q43" s="347">
        <f t="shared" si="28"/>
        <v>0</v>
      </c>
      <c r="R43" s="347">
        <f t="shared" si="28"/>
        <v>361572</v>
      </c>
      <c r="S43" s="347">
        <f>SUM(S44:S50)</f>
        <v>398251</v>
      </c>
      <c r="T43" s="347">
        <f>SUM(T44:T50)</f>
        <v>367467</v>
      </c>
      <c r="U43" s="347">
        <f>SUM(U44:U50)</f>
        <v>357795</v>
      </c>
      <c r="V43" s="496">
        <f>SUM(V44:V50)</f>
        <v>0</v>
      </c>
      <c r="W43" s="86">
        <f t="shared" ref="W43:W50" si="29">SUM(K43:V43)</f>
        <v>1485085</v>
      </c>
    </row>
    <row r="44" spans="1:24">
      <c r="A44" s="14">
        <f>A43</f>
        <v>0</v>
      </c>
      <c r="B44" s="24"/>
      <c r="C44" s="547"/>
      <c r="D44" s="523"/>
      <c r="E44" s="523"/>
      <c r="F44" s="532"/>
      <c r="G44" s="534"/>
      <c r="H44" s="523"/>
      <c r="I44" s="526"/>
      <c r="J44" s="453" t="s">
        <v>104</v>
      </c>
      <c r="K44" s="223"/>
      <c r="L44" s="223"/>
      <c r="M44" s="223"/>
      <c r="N44" s="223"/>
      <c r="O44" s="223"/>
      <c r="P44" s="223"/>
      <c r="Q44" s="348"/>
      <c r="R44" s="348">
        <v>361572</v>
      </c>
      <c r="S44" s="348">
        <v>398251</v>
      </c>
      <c r="T44" s="348">
        <v>367467</v>
      </c>
      <c r="U44" s="348">
        <v>357795</v>
      </c>
      <c r="V44" s="497" t="s">
        <v>114</v>
      </c>
      <c r="W44" s="87">
        <f t="shared" si="29"/>
        <v>1485085</v>
      </c>
      <c r="X44" s="58"/>
    </row>
    <row r="45" spans="1:24">
      <c r="A45" s="14">
        <f t="shared" ref="A45:A50" si="30">A44</f>
        <v>0</v>
      </c>
      <c r="B45" s="24"/>
      <c r="C45" s="547"/>
      <c r="D45" s="523"/>
      <c r="E45" s="523"/>
      <c r="F45" s="532"/>
      <c r="G45" s="534"/>
      <c r="H45" s="523"/>
      <c r="I45" s="526"/>
      <c r="J45" s="453"/>
      <c r="K45" s="223"/>
      <c r="L45" s="223"/>
      <c r="M45" s="223"/>
      <c r="N45" s="223"/>
      <c r="O45" s="223"/>
      <c r="P45" s="223"/>
      <c r="Q45" s="348"/>
      <c r="R45" s="348"/>
      <c r="S45" s="348"/>
      <c r="T45" s="348"/>
      <c r="U45" s="348"/>
      <c r="V45" s="497" t="s">
        <v>114</v>
      </c>
      <c r="W45" s="87">
        <f t="shared" si="29"/>
        <v>0</v>
      </c>
      <c r="X45" s="58"/>
    </row>
    <row r="46" spans="1:24">
      <c r="A46" s="14">
        <f t="shared" si="30"/>
        <v>0</v>
      </c>
      <c r="B46" s="24"/>
      <c r="C46" s="547"/>
      <c r="D46" s="523"/>
      <c r="E46" s="523"/>
      <c r="F46" s="532"/>
      <c r="G46" s="534"/>
      <c r="H46" s="523"/>
      <c r="I46" s="526"/>
      <c r="J46" s="453"/>
      <c r="K46" s="223"/>
      <c r="L46" s="223"/>
      <c r="M46" s="2"/>
      <c r="N46" s="223"/>
      <c r="O46" s="223"/>
      <c r="P46" s="223"/>
      <c r="Q46" s="348"/>
      <c r="R46" s="348"/>
      <c r="S46" s="348"/>
      <c r="T46" s="348"/>
      <c r="U46" s="348"/>
      <c r="V46" s="497" t="s">
        <v>114</v>
      </c>
      <c r="W46" s="87">
        <f t="shared" si="29"/>
        <v>0</v>
      </c>
      <c r="X46" s="58"/>
    </row>
    <row r="47" spans="1:24">
      <c r="A47" s="14">
        <f t="shared" si="30"/>
        <v>0</v>
      </c>
      <c r="B47" s="24"/>
      <c r="C47" s="547"/>
      <c r="D47" s="523"/>
      <c r="E47" s="523"/>
      <c r="F47" s="532"/>
      <c r="G47" s="534"/>
      <c r="H47" s="523"/>
      <c r="I47" s="526"/>
      <c r="J47" s="453"/>
      <c r="K47" s="224"/>
      <c r="L47" s="224"/>
      <c r="M47" s="224"/>
      <c r="N47" s="224"/>
      <c r="O47" s="224"/>
      <c r="P47" s="224"/>
      <c r="Q47" s="349"/>
      <c r="R47" s="349"/>
      <c r="S47" s="349"/>
      <c r="T47" s="349"/>
      <c r="U47" s="349"/>
      <c r="V47" s="500" t="s">
        <v>114</v>
      </c>
      <c r="W47" s="87">
        <f t="shared" si="29"/>
        <v>0</v>
      </c>
      <c r="X47" s="58"/>
    </row>
    <row r="48" spans="1:24">
      <c r="A48" s="14">
        <f t="shared" si="30"/>
        <v>0</v>
      </c>
      <c r="B48" s="24"/>
      <c r="C48" s="547"/>
      <c r="D48" s="523"/>
      <c r="E48" s="523"/>
      <c r="F48" s="532"/>
      <c r="G48" s="534"/>
      <c r="H48" s="523"/>
      <c r="I48" s="526"/>
      <c r="J48" s="453"/>
      <c r="K48" s="224"/>
      <c r="L48" s="224"/>
      <c r="M48" s="224"/>
      <c r="N48" s="224"/>
      <c r="O48" s="224"/>
      <c r="P48" s="224"/>
      <c r="Q48" s="349"/>
      <c r="R48" s="349"/>
      <c r="S48" s="349"/>
      <c r="T48" s="349"/>
      <c r="U48" s="349"/>
      <c r="V48" s="500" t="s">
        <v>114</v>
      </c>
      <c r="W48" s="87">
        <f t="shared" si="29"/>
        <v>0</v>
      </c>
      <c r="X48" s="58"/>
    </row>
    <row r="49" spans="1:24">
      <c r="A49" s="14">
        <f t="shared" si="30"/>
        <v>0</v>
      </c>
      <c r="B49" s="24"/>
      <c r="C49" s="547"/>
      <c r="D49" s="523"/>
      <c r="E49" s="523"/>
      <c r="F49" s="532"/>
      <c r="G49" s="534"/>
      <c r="H49" s="523"/>
      <c r="I49" s="526"/>
      <c r="J49" s="453"/>
      <c r="K49" s="224"/>
      <c r="L49" s="224"/>
      <c r="M49" s="224"/>
      <c r="N49" s="224"/>
      <c r="O49" s="224"/>
      <c r="P49" s="224"/>
      <c r="Q49" s="349"/>
      <c r="R49" s="349"/>
      <c r="S49" s="349"/>
      <c r="T49" s="349"/>
      <c r="U49" s="349"/>
      <c r="V49" s="500" t="s">
        <v>114</v>
      </c>
      <c r="W49" s="87">
        <f t="shared" si="29"/>
        <v>0</v>
      </c>
      <c r="X49" s="58"/>
    </row>
    <row r="50" spans="1:24" ht="12.5" thickBot="1">
      <c r="A50" s="14">
        <f t="shared" si="30"/>
        <v>0</v>
      </c>
      <c r="B50" s="24"/>
      <c r="C50" s="555"/>
      <c r="D50" s="537"/>
      <c r="E50" s="537"/>
      <c r="F50" s="538"/>
      <c r="G50" s="539"/>
      <c r="H50" s="537"/>
      <c r="I50" s="536"/>
      <c r="J50" s="454"/>
      <c r="K50" s="425"/>
      <c r="L50" s="425"/>
      <c r="M50" s="425"/>
      <c r="N50" s="425"/>
      <c r="O50" s="425"/>
      <c r="P50" s="425"/>
      <c r="Q50" s="435"/>
      <c r="R50" s="435"/>
      <c r="S50" s="435"/>
      <c r="T50" s="435"/>
      <c r="U50" s="435"/>
      <c r="V50" s="503" t="s">
        <v>114</v>
      </c>
      <c r="W50" s="213">
        <f t="shared" si="29"/>
        <v>0</v>
      </c>
      <c r="X50" s="58"/>
    </row>
    <row r="51" spans="1:24" ht="32.4" customHeight="1" thickTop="1">
      <c r="A51" s="28"/>
      <c r="B51" s="25"/>
      <c r="C51" s="540"/>
      <c r="D51" s="541"/>
      <c r="E51" s="541"/>
      <c r="F51" s="541"/>
      <c r="G51" s="541"/>
      <c r="H51" s="541"/>
      <c r="I51" s="542"/>
      <c r="J51" s="96" t="str">
        <f>J2</f>
        <v>人件費合計</v>
      </c>
      <c r="K51" s="426">
        <f>K3+K11+K19+K27+K35+K43</f>
        <v>1403131</v>
      </c>
      <c r="L51" s="426">
        <f>L3+L11+L19+L27+L35+L43</f>
        <v>1083072</v>
      </c>
      <c r="M51" s="426">
        <f t="shared" ref="M51:N51" si="31">M3+M11+M19+M27+M35+M43</f>
        <v>1257464</v>
      </c>
      <c r="N51" s="426">
        <f t="shared" si="31"/>
        <v>1230021</v>
      </c>
      <c r="O51" s="426">
        <f t="shared" ref="O51:U51" si="32">O3+O11+O19+O27+O35+O43</f>
        <v>1260996</v>
      </c>
      <c r="P51" s="426">
        <f t="shared" si="32"/>
        <v>1371268</v>
      </c>
      <c r="Q51" s="426">
        <f t="shared" si="32"/>
        <v>1311807</v>
      </c>
      <c r="R51" s="426">
        <f t="shared" si="32"/>
        <v>1412148</v>
      </c>
      <c r="S51" s="461">
        <f t="shared" si="32"/>
        <v>1466527</v>
      </c>
      <c r="T51" s="461">
        <f t="shared" si="32"/>
        <v>1076402</v>
      </c>
      <c r="U51" s="461">
        <f t="shared" si="32"/>
        <v>1058198</v>
      </c>
      <c r="V51" s="461">
        <f>V3+V11+V19+V27+V35+V43</f>
        <v>581530</v>
      </c>
      <c r="W51" s="90">
        <f>SUM(K51:V51)</f>
        <v>14512564</v>
      </c>
    </row>
    <row r="52" spans="1:24">
      <c r="O52" s="5"/>
      <c r="P52" s="5"/>
      <c r="Q52" s="5"/>
      <c r="R52" s="2"/>
      <c r="S52" s="5"/>
      <c r="T52" s="5"/>
      <c r="U52" s="5"/>
      <c r="V52" s="2"/>
      <c r="W52" s="2"/>
    </row>
    <row r="53" spans="1:24">
      <c r="O53" s="5"/>
      <c r="P53" s="5"/>
      <c r="Q53" s="5"/>
      <c r="R53" s="2"/>
      <c r="S53" s="5"/>
      <c r="T53" s="5"/>
      <c r="U53" s="5"/>
      <c r="V53" s="2"/>
      <c r="W53" s="2"/>
    </row>
    <row r="54" spans="1:24">
      <c r="O54" s="5"/>
      <c r="P54" s="5"/>
      <c r="Q54" s="5"/>
      <c r="R54" s="2"/>
      <c r="S54" s="5"/>
      <c r="T54" s="5"/>
      <c r="U54" s="5"/>
      <c r="V54" s="2"/>
      <c r="W54" s="2"/>
    </row>
    <row r="55" spans="1:24">
      <c r="O55" s="5"/>
      <c r="P55" s="5"/>
      <c r="Q55" s="5"/>
      <c r="R55" s="2"/>
      <c r="S55" s="5"/>
      <c r="T55" s="5"/>
      <c r="U55" s="5"/>
      <c r="V55" s="2"/>
      <c r="W55" s="2"/>
    </row>
    <row r="56" spans="1:24">
      <c r="O56" s="5"/>
      <c r="P56" s="5"/>
      <c r="Q56" s="5"/>
      <c r="R56" s="2"/>
      <c r="S56" s="5"/>
      <c r="T56" s="5"/>
      <c r="U56" s="5"/>
      <c r="V56" s="2"/>
      <c r="W56" s="2"/>
    </row>
    <row r="57" spans="1:24">
      <c r="O57" s="5"/>
      <c r="P57" s="5"/>
      <c r="Q57" s="5"/>
      <c r="R57" s="2"/>
      <c r="S57" s="5"/>
      <c r="T57" s="5"/>
      <c r="U57" s="5"/>
      <c r="V57" s="2"/>
      <c r="W57" s="2"/>
    </row>
    <row r="58" spans="1:24">
      <c r="O58" s="5"/>
      <c r="P58" s="5"/>
      <c r="Q58" s="5"/>
      <c r="R58" s="2"/>
      <c r="S58" s="5"/>
      <c r="T58" s="5"/>
      <c r="U58" s="5"/>
      <c r="V58" s="2"/>
      <c r="W58" s="2"/>
    </row>
    <row r="59" spans="1:24">
      <c r="O59" s="5"/>
      <c r="P59" s="5"/>
      <c r="Q59" s="5"/>
      <c r="R59" s="2"/>
      <c r="S59" s="5"/>
      <c r="T59" s="5"/>
      <c r="U59" s="5"/>
      <c r="V59" s="2"/>
      <c r="W59" s="2"/>
    </row>
    <row r="60" spans="1:24">
      <c r="O60" s="5"/>
      <c r="P60" s="5"/>
      <c r="Q60" s="5"/>
      <c r="R60" s="2"/>
      <c r="S60" s="5"/>
      <c r="T60" s="5"/>
      <c r="U60" s="5"/>
      <c r="V60" s="2"/>
      <c r="W60" s="2"/>
    </row>
    <row r="61" spans="1:24">
      <c r="O61" s="5"/>
      <c r="P61" s="5"/>
      <c r="Q61" s="5"/>
      <c r="R61" s="2"/>
      <c r="S61" s="5"/>
      <c r="T61" s="5"/>
      <c r="U61" s="5"/>
      <c r="V61" s="2"/>
      <c r="W61" s="2"/>
    </row>
    <row r="62" spans="1:24">
      <c r="O62" s="5"/>
      <c r="P62" s="5"/>
      <c r="Q62" s="5"/>
      <c r="R62" s="2"/>
      <c r="S62" s="5"/>
      <c r="T62" s="5"/>
      <c r="U62" s="5"/>
      <c r="V62" s="2"/>
      <c r="W62" s="2"/>
    </row>
    <row r="63" spans="1:24">
      <c r="O63" s="5"/>
      <c r="P63" s="5"/>
      <c r="Q63" s="5"/>
      <c r="R63" s="2"/>
      <c r="S63" s="5"/>
      <c r="T63" s="5"/>
      <c r="U63" s="5"/>
      <c r="V63" s="2"/>
      <c r="W63" s="2"/>
    </row>
    <row r="64" spans="1:24">
      <c r="O64" s="5"/>
      <c r="P64" s="5"/>
      <c r="Q64" s="5"/>
      <c r="R64" s="2"/>
      <c r="S64" s="5"/>
      <c r="T64" s="5"/>
      <c r="U64" s="5"/>
      <c r="V64" s="2"/>
      <c r="W64" s="2"/>
    </row>
    <row r="65" spans="15:23">
      <c r="O65" s="5"/>
      <c r="P65" s="5"/>
      <c r="Q65" s="5"/>
      <c r="R65" s="2"/>
      <c r="S65" s="5"/>
      <c r="T65" s="5"/>
      <c r="U65" s="5"/>
      <c r="V65" s="2"/>
      <c r="W65" s="2"/>
    </row>
    <row r="66" spans="15:23">
      <c r="O66" s="5"/>
      <c r="P66" s="5"/>
      <c r="Q66" s="5"/>
      <c r="R66" s="2"/>
      <c r="S66" s="5"/>
      <c r="T66" s="5"/>
      <c r="U66" s="5"/>
      <c r="V66" s="2"/>
      <c r="W66" s="2"/>
    </row>
    <row r="67" spans="15:23">
      <c r="O67" s="5"/>
      <c r="P67" s="5"/>
      <c r="Q67" s="5"/>
      <c r="R67" s="2"/>
      <c r="S67" s="5"/>
      <c r="T67" s="5"/>
      <c r="U67" s="5"/>
      <c r="V67" s="2"/>
      <c r="W67" s="2"/>
    </row>
    <row r="68" spans="15:23">
      <c r="O68" s="5"/>
      <c r="P68" s="5"/>
      <c r="Q68" s="5"/>
      <c r="R68" s="2"/>
      <c r="S68" s="5"/>
      <c r="T68" s="5"/>
      <c r="U68" s="5"/>
      <c r="V68" s="2"/>
      <c r="W68" s="2"/>
    </row>
    <row r="69" spans="15:23">
      <c r="O69" s="5"/>
      <c r="P69" s="5"/>
      <c r="Q69" s="5"/>
      <c r="R69" s="2"/>
      <c r="S69" s="5"/>
      <c r="T69" s="5"/>
      <c r="U69" s="5"/>
      <c r="V69" s="2"/>
      <c r="W69" s="2"/>
    </row>
    <row r="70" spans="15:23">
      <c r="O70" s="5"/>
      <c r="P70" s="5"/>
      <c r="Q70" s="5"/>
      <c r="R70" s="2"/>
      <c r="S70" s="5"/>
      <c r="T70" s="5"/>
      <c r="U70" s="5"/>
      <c r="V70" s="2"/>
      <c r="W70" s="2"/>
    </row>
    <row r="71" spans="15:23">
      <c r="O71" s="5"/>
      <c r="P71" s="5"/>
      <c r="Q71" s="5"/>
      <c r="R71" s="2"/>
      <c r="S71" s="5"/>
      <c r="T71" s="5"/>
      <c r="U71" s="5"/>
      <c r="V71" s="2"/>
      <c r="W71" s="2"/>
    </row>
    <row r="72" spans="15:23">
      <c r="O72" s="5"/>
      <c r="P72" s="5"/>
      <c r="Q72" s="5"/>
      <c r="R72" s="2"/>
      <c r="S72" s="5"/>
      <c r="T72" s="5"/>
      <c r="U72" s="5"/>
      <c r="V72" s="2"/>
      <c r="W72" s="2"/>
    </row>
    <row r="73" spans="15:23">
      <c r="O73" s="5"/>
      <c r="P73" s="5"/>
      <c r="Q73" s="5"/>
      <c r="R73" s="2"/>
      <c r="S73" s="5"/>
      <c r="T73" s="5"/>
      <c r="U73" s="5"/>
      <c r="V73" s="2"/>
      <c r="W73" s="2"/>
    </row>
    <row r="74" spans="15:23">
      <c r="O74" s="5"/>
      <c r="P74" s="5"/>
      <c r="Q74" s="5"/>
      <c r="R74" s="2"/>
      <c r="S74" s="5"/>
      <c r="T74" s="5"/>
      <c r="U74" s="5"/>
      <c r="V74" s="2"/>
      <c r="W74" s="2"/>
    </row>
    <row r="75" spans="15:23">
      <c r="O75" s="5"/>
      <c r="P75" s="5"/>
      <c r="Q75" s="5"/>
      <c r="R75" s="2"/>
      <c r="S75" s="5"/>
      <c r="T75" s="5"/>
      <c r="U75" s="5"/>
      <c r="V75" s="2"/>
      <c r="W75" s="2"/>
    </row>
    <row r="76" spans="15:23">
      <c r="O76" s="5"/>
      <c r="P76" s="5"/>
      <c r="Q76" s="5"/>
      <c r="R76" s="2"/>
      <c r="S76" s="5"/>
      <c r="T76" s="5"/>
      <c r="U76" s="5"/>
      <c r="V76" s="2"/>
      <c r="W76" s="2"/>
    </row>
    <row r="77" spans="15:23">
      <c r="O77" s="5"/>
      <c r="P77" s="5"/>
      <c r="Q77" s="5"/>
      <c r="R77" s="2"/>
      <c r="S77" s="5"/>
      <c r="T77" s="5"/>
      <c r="U77" s="5"/>
      <c r="V77" s="2"/>
      <c r="W77" s="2"/>
    </row>
    <row r="78" spans="15:23">
      <c r="O78" s="5"/>
      <c r="P78" s="5"/>
      <c r="Q78" s="5"/>
      <c r="R78" s="2"/>
      <c r="S78" s="5"/>
      <c r="T78" s="5"/>
      <c r="U78" s="5"/>
      <c r="V78" s="2"/>
      <c r="W78" s="2"/>
    </row>
    <row r="79" spans="15:23">
      <c r="O79" s="5"/>
      <c r="P79" s="5"/>
      <c r="Q79" s="5"/>
      <c r="R79" s="2"/>
      <c r="S79" s="5"/>
      <c r="T79" s="5"/>
      <c r="U79" s="5"/>
      <c r="V79" s="2"/>
      <c r="W79" s="2"/>
    </row>
    <row r="80" spans="15:23">
      <c r="O80" s="5"/>
      <c r="P80" s="5"/>
      <c r="Q80" s="5"/>
      <c r="R80" s="2"/>
      <c r="S80" s="5"/>
      <c r="T80" s="5"/>
      <c r="U80" s="5"/>
      <c r="V80" s="2"/>
      <c r="W80" s="2"/>
    </row>
    <row r="81" spans="15:23">
      <c r="O81" s="5"/>
      <c r="P81" s="5"/>
      <c r="Q81" s="5"/>
      <c r="R81" s="2"/>
      <c r="S81" s="5"/>
      <c r="T81" s="5"/>
      <c r="U81" s="5"/>
      <c r="V81" s="2"/>
      <c r="W81" s="2"/>
    </row>
    <row r="82" spans="15:23">
      <c r="O82" s="5"/>
      <c r="P82" s="5"/>
      <c r="Q82" s="5"/>
      <c r="R82" s="2"/>
      <c r="S82" s="5"/>
      <c r="T82" s="5"/>
      <c r="U82" s="5"/>
      <c r="V82" s="2"/>
      <c r="W82" s="2"/>
    </row>
    <row r="83" spans="15:23">
      <c r="O83" s="5"/>
      <c r="P83" s="5"/>
      <c r="Q83" s="5"/>
      <c r="R83" s="2"/>
      <c r="S83" s="5"/>
      <c r="T83" s="5"/>
      <c r="U83" s="5"/>
      <c r="V83" s="2"/>
      <c r="W83" s="2"/>
    </row>
    <row r="84" spans="15:23">
      <c r="O84" s="5"/>
      <c r="P84" s="5"/>
      <c r="Q84" s="5"/>
      <c r="R84" s="2"/>
      <c r="S84" s="5"/>
      <c r="T84" s="5"/>
      <c r="U84" s="5"/>
      <c r="V84" s="2"/>
      <c r="W84" s="2"/>
    </row>
    <row r="85" spans="15:23">
      <c r="O85" s="5"/>
      <c r="P85" s="5"/>
      <c r="Q85" s="5"/>
      <c r="R85" s="2"/>
      <c r="S85" s="5"/>
      <c r="T85" s="5"/>
      <c r="U85" s="5"/>
      <c r="V85" s="2"/>
      <c r="W85" s="2"/>
    </row>
    <row r="86" spans="15:23">
      <c r="O86" s="5"/>
      <c r="P86" s="5"/>
      <c r="Q86" s="5"/>
      <c r="R86" s="2"/>
      <c r="S86" s="5"/>
      <c r="T86" s="5"/>
      <c r="U86" s="5"/>
      <c r="V86" s="2"/>
      <c r="W86" s="2"/>
    </row>
    <row r="87" spans="15:23">
      <c r="O87" s="5"/>
      <c r="P87" s="5"/>
      <c r="Q87" s="5"/>
      <c r="R87" s="2"/>
      <c r="S87" s="5"/>
      <c r="T87" s="5"/>
      <c r="U87" s="5"/>
      <c r="V87" s="2"/>
      <c r="W87" s="2"/>
    </row>
    <row r="88" spans="15:23">
      <c r="O88" s="5"/>
      <c r="P88" s="5"/>
      <c r="Q88" s="5"/>
      <c r="R88" s="2"/>
      <c r="S88" s="5"/>
      <c r="T88" s="5"/>
      <c r="U88" s="5"/>
      <c r="V88" s="2"/>
      <c r="W88" s="2"/>
    </row>
    <row r="89" spans="15:23">
      <c r="O89" s="5"/>
      <c r="P89" s="5"/>
      <c r="Q89" s="5"/>
      <c r="R89" s="2"/>
      <c r="S89" s="5"/>
      <c r="T89" s="5"/>
      <c r="U89" s="5"/>
      <c r="V89" s="2"/>
      <c r="W89" s="2"/>
    </row>
    <row r="90" spans="15:23">
      <c r="O90" s="5"/>
      <c r="P90" s="5"/>
      <c r="Q90" s="5"/>
      <c r="R90" s="2"/>
      <c r="S90" s="5"/>
      <c r="T90" s="5"/>
      <c r="U90" s="5"/>
      <c r="V90" s="2"/>
      <c r="W90" s="2"/>
    </row>
    <row r="91" spans="15:23">
      <c r="O91" s="5"/>
      <c r="P91" s="5"/>
      <c r="Q91" s="5"/>
      <c r="R91" s="2"/>
      <c r="S91" s="5"/>
      <c r="T91" s="5"/>
      <c r="U91" s="5"/>
      <c r="V91" s="2"/>
      <c r="W91" s="2"/>
    </row>
    <row r="92" spans="15:23">
      <c r="O92" s="5"/>
      <c r="P92" s="5"/>
      <c r="Q92" s="5"/>
      <c r="R92" s="2"/>
      <c r="S92" s="5"/>
      <c r="T92" s="5"/>
      <c r="U92" s="5"/>
      <c r="V92" s="2"/>
      <c r="W92" s="2"/>
    </row>
    <row r="93" spans="15:23">
      <c r="O93" s="5"/>
      <c r="P93" s="5"/>
      <c r="Q93" s="5"/>
      <c r="R93" s="2"/>
      <c r="S93" s="5"/>
      <c r="T93" s="5"/>
      <c r="U93" s="5"/>
      <c r="V93" s="2"/>
      <c r="W93" s="2"/>
    </row>
    <row r="94" spans="15:23">
      <c r="O94" s="5"/>
      <c r="P94" s="5"/>
      <c r="Q94" s="5"/>
      <c r="R94" s="2"/>
      <c r="S94" s="5"/>
      <c r="T94" s="5"/>
      <c r="U94" s="5"/>
      <c r="V94" s="2"/>
      <c r="W94" s="2"/>
    </row>
    <row r="95" spans="15:23">
      <c r="O95" s="5"/>
      <c r="P95" s="5"/>
      <c r="Q95" s="5"/>
      <c r="R95" s="2"/>
      <c r="S95" s="5"/>
      <c r="T95" s="5"/>
      <c r="U95" s="5"/>
      <c r="V95" s="2"/>
      <c r="W95" s="2"/>
    </row>
    <row r="96" spans="15:23">
      <c r="O96" s="5"/>
      <c r="P96" s="5"/>
      <c r="Q96" s="5"/>
      <c r="R96" s="2"/>
      <c r="S96" s="5"/>
      <c r="T96" s="5"/>
      <c r="U96" s="5"/>
      <c r="V96" s="2"/>
      <c r="W96" s="2"/>
    </row>
    <row r="97" spans="15:23">
      <c r="O97" s="5"/>
      <c r="P97" s="5"/>
      <c r="Q97" s="5"/>
      <c r="R97" s="2"/>
      <c r="S97" s="5"/>
      <c r="T97" s="5"/>
      <c r="U97" s="5"/>
      <c r="V97" s="2"/>
      <c r="W97" s="2"/>
    </row>
    <row r="98" spans="15:23">
      <c r="O98" s="5"/>
      <c r="P98" s="5"/>
      <c r="Q98" s="5"/>
      <c r="R98" s="2"/>
      <c r="S98" s="5"/>
      <c r="T98" s="5"/>
      <c r="U98" s="5"/>
      <c r="V98" s="2"/>
      <c r="W98" s="2"/>
    </row>
    <row r="99" spans="15:23">
      <c r="O99" s="5"/>
      <c r="P99" s="5"/>
      <c r="Q99" s="5"/>
      <c r="R99" s="2"/>
      <c r="S99" s="5"/>
      <c r="T99" s="5"/>
      <c r="U99" s="5"/>
      <c r="V99" s="2"/>
      <c r="W99" s="2"/>
    </row>
    <row r="100" spans="15:23">
      <c r="O100" s="5"/>
      <c r="P100" s="5"/>
      <c r="Q100" s="5"/>
      <c r="R100" s="2"/>
      <c r="S100" s="5"/>
      <c r="T100" s="5"/>
      <c r="U100" s="5"/>
      <c r="V100" s="2"/>
      <c r="W100" s="2"/>
    </row>
    <row r="101" spans="15:23">
      <c r="O101" s="5"/>
      <c r="P101" s="5"/>
      <c r="Q101" s="5"/>
      <c r="R101" s="2"/>
      <c r="S101" s="5"/>
      <c r="T101" s="5"/>
      <c r="U101" s="5"/>
      <c r="V101" s="2"/>
      <c r="W101" s="2"/>
    </row>
    <row r="102" spans="15:23">
      <c r="O102" s="5"/>
      <c r="P102" s="5"/>
      <c r="Q102" s="5"/>
      <c r="R102" s="2"/>
      <c r="S102" s="5"/>
      <c r="T102" s="5"/>
      <c r="U102" s="5"/>
      <c r="V102" s="2"/>
      <c r="W102" s="2"/>
    </row>
    <row r="103" spans="15:23">
      <c r="O103" s="5"/>
      <c r="P103" s="5"/>
      <c r="Q103" s="5"/>
      <c r="R103" s="2"/>
      <c r="S103" s="5"/>
      <c r="T103" s="5"/>
      <c r="U103" s="5"/>
      <c r="V103" s="2"/>
      <c r="W103" s="2"/>
    </row>
    <row r="104" spans="15:23">
      <c r="O104" s="5"/>
      <c r="P104" s="5"/>
      <c r="Q104" s="5"/>
      <c r="R104" s="2"/>
      <c r="S104" s="5"/>
      <c r="T104" s="5"/>
      <c r="U104" s="5"/>
      <c r="V104" s="2"/>
      <c r="W104" s="2"/>
    </row>
    <row r="105" spans="15:23">
      <c r="O105" s="5"/>
      <c r="P105" s="5"/>
      <c r="Q105" s="5"/>
      <c r="R105" s="2"/>
      <c r="S105" s="5"/>
      <c r="T105" s="5"/>
      <c r="U105" s="5"/>
      <c r="V105" s="2"/>
      <c r="W105" s="2"/>
    </row>
    <row r="106" spans="15:23">
      <c r="O106" s="5"/>
      <c r="P106" s="5"/>
      <c r="Q106" s="5"/>
      <c r="R106" s="2"/>
      <c r="S106" s="5"/>
      <c r="T106" s="5"/>
      <c r="U106" s="5"/>
      <c r="V106" s="2"/>
      <c r="W106" s="2"/>
    </row>
    <row r="107" spans="15:23">
      <c r="O107" s="5"/>
      <c r="P107" s="5"/>
      <c r="Q107" s="5"/>
      <c r="R107" s="2"/>
      <c r="S107" s="5"/>
      <c r="T107" s="5"/>
      <c r="U107" s="5"/>
      <c r="V107" s="2"/>
      <c r="W107" s="2"/>
    </row>
    <row r="108" spans="15:23">
      <c r="O108" s="5"/>
      <c r="P108" s="5"/>
      <c r="Q108" s="5"/>
      <c r="R108" s="2"/>
      <c r="S108" s="5"/>
      <c r="T108" s="5"/>
      <c r="U108" s="5"/>
      <c r="V108" s="2"/>
      <c r="W108" s="2"/>
    </row>
    <row r="109" spans="15:23">
      <c r="O109" s="5"/>
      <c r="P109" s="5"/>
      <c r="Q109" s="5"/>
      <c r="R109" s="2"/>
      <c r="S109" s="5"/>
      <c r="T109" s="5"/>
      <c r="U109" s="5"/>
      <c r="V109" s="2"/>
      <c r="W109" s="2"/>
    </row>
    <row r="110" spans="15:23">
      <c r="O110" s="5"/>
      <c r="P110" s="5"/>
      <c r="Q110" s="5"/>
      <c r="R110" s="2"/>
      <c r="S110" s="5"/>
      <c r="T110" s="5"/>
      <c r="U110" s="5"/>
      <c r="V110" s="2"/>
      <c r="W110" s="2"/>
    </row>
    <row r="111" spans="15:23">
      <c r="O111" s="5"/>
      <c r="P111" s="5"/>
      <c r="Q111" s="5"/>
      <c r="R111" s="2"/>
      <c r="S111" s="5"/>
      <c r="T111" s="5"/>
      <c r="U111" s="5"/>
      <c r="V111" s="2"/>
      <c r="W111" s="2"/>
    </row>
    <row r="112" spans="15:23">
      <c r="O112" s="5"/>
      <c r="P112" s="5"/>
      <c r="Q112" s="5"/>
      <c r="R112" s="2"/>
      <c r="S112" s="5"/>
      <c r="T112" s="5"/>
      <c r="U112" s="5"/>
      <c r="V112" s="2"/>
      <c r="W112" s="2"/>
    </row>
    <row r="113" spans="15:23">
      <c r="O113" s="5"/>
      <c r="P113" s="5"/>
      <c r="Q113" s="5"/>
      <c r="R113" s="2"/>
      <c r="S113" s="5"/>
      <c r="T113" s="5"/>
      <c r="U113" s="5"/>
      <c r="V113" s="2"/>
      <c r="W113" s="2"/>
    </row>
    <row r="114" spans="15:23">
      <c r="O114" s="5"/>
      <c r="P114" s="5"/>
      <c r="Q114" s="5"/>
      <c r="R114" s="2"/>
      <c r="S114" s="5"/>
      <c r="T114" s="5"/>
      <c r="U114" s="5"/>
      <c r="V114" s="2"/>
      <c r="W114" s="2"/>
    </row>
    <row r="115" spans="15:23">
      <c r="O115" s="5"/>
      <c r="P115" s="5"/>
      <c r="Q115" s="5"/>
      <c r="R115" s="2"/>
      <c r="S115" s="5"/>
      <c r="T115" s="5"/>
      <c r="U115" s="5"/>
      <c r="V115" s="2"/>
      <c r="W115" s="2"/>
    </row>
    <row r="116" spans="15:23">
      <c r="O116" s="5"/>
      <c r="P116" s="5"/>
      <c r="Q116" s="5"/>
      <c r="R116" s="2"/>
      <c r="S116" s="5"/>
      <c r="T116" s="5"/>
      <c r="U116" s="5"/>
      <c r="V116" s="2"/>
      <c r="W116" s="2"/>
    </row>
    <row r="117" spans="15:23">
      <c r="O117" s="5"/>
      <c r="P117" s="5"/>
      <c r="Q117" s="5"/>
      <c r="R117" s="2"/>
      <c r="S117" s="5"/>
      <c r="T117" s="5"/>
      <c r="U117" s="5"/>
      <c r="V117" s="2"/>
      <c r="W117" s="2"/>
    </row>
    <row r="118" spans="15:23">
      <c r="O118" s="5"/>
      <c r="P118" s="5"/>
      <c r="Q118" s="5"/>
      <c r="R118" s="2"/>
      <c r="S118" s="5"/>
      <c r="T118" s="5"/>
      <c r="U118" s="5"/>
      <c r="V118" s="2"/>
      <c r="W118" s="2"/>
    </row>
    <row r="119" spans="15:23">
      <c r="O119" s="5"/>
      <c r="P119" s="5"/>
      <c r="Q119" s="5"/>
      <c r="R119" s="2"/>
      <c r="S119" s="5"/>
      <c r="T119" s="5"/>
      <c r="U119" s="5"/>
      <c r="V119" s="2"/>
      <c r="W119" s="2"/>
    </row>
    <row r="120" spans="15:23">
      <c r="O120" s="5"/>
      <c r="P120" s="5"/>
      <c r="Q120" s="5"/>
      <c r="R120" s="2"/>
      <c r="S120" s="5"/>
      <c r="T120" s="5"/>
      <c r="U120" s="5"/>
      <c r="V120" s="2"/>
      <c r="W120" s="2"/>
    </row>
    <row r="121" spans="15:23">
      <c r="O121" s="5"/>
      <c r="P121" s="5"/>
      <c r="Q121" s="5"/>
      <c r="R121" s="2"/>
      <c r="S121" s="5"/>
      <c r="T121" s="5"/>
      <c r="U121" s="5"/>
      <c r="V121" s="2"/>
      <c r="W121" s="2"/>
    </row>
    <row r="122" spans="15:23">
      <c r="O122" s="5"/>
      <c r="P122" s="5"/>
      <c r="Q122" s="5"/>
      <c r="R122" s="2"/>
      <c r="S122" s="5"/>
      <c r="T122" s="5"/>
      <c r="U122" s="5"/>
      <c r="V122" s="2"/>
      <c r="W122" s="2"/>
    </row>
    <row r="123" spans="15:23">
      <c r="O123" s="5"/>
      <c r="P123" s="5"/>
      <c r="Q123" s="5"/>
      <c r="R123" s="2"/>
      <c r="S123" s="5"/>
      <c r="T123" s="5"/>
      <c r="U123" s="5"/>
      <c r="V123" s="2"/>
      <c r="W123" s="2"/>
    </row>
    <row r="124" spans="15:23">
      <c r="O124" s="5"/>
      <c r="P124" s="5"/>
      <c r="Q124" s="5"/>
      <c r="R124" s="2"/>
      <c r="S124" s="5"/>
      <c r="T124" s="5"/>
      <c r="U124" s="5"/>
      <c r="V124" s="2"/>
      <c r="W124" s="2"/>
    </row>
    <row r="125" spans="15:23">
      <c r="O125" s="5"/>
      <c r="P125" s="5"/>
      <c r="Q125" s="5"/>
      <c r="R125" s="2"/>
      <c r="S125" s="5"/>
      <c r="T125" s="5"/>
      <c r="U125" s="5"/>
      <c r="V125" s="2"/>
      <c r="W125" s="2"/>
    </row>
    <row r="126" spans="15:23">
      <c r="O126" s="5"/>
      <c r="P126" s="5"/>
      <c r="Q126" s="5"/>
      <c r="R126" s="2"/>
      <c r="S126" s="5"/>
      <c r="T126" s="5"/>
      <c r="U126" s="5"/>
      <c r="V126" s="2"/>
      <c r="W126" s="2"/>
    </row>
    <row r="127" spans="15:23">
      <c r="O127" s="5"/>
      <c r="P127" s="5"/>
      <c r="Q127" s="5"/>
      <c r="R127" s="2"/>
      <c r="S127" s="5"/>
      <c r="T127" s="5"/>
      <c r="U127" s="5"/>
      <c r="V127" s="2"/>
      <c r="W127" s="2"/>
    </row>
    <row r="128" spans="15:23">
      <c r="O128" s="5"/>
      <c r="P128" s="5"/>
      <c r="Q128" s="5"/>
      <c r="R128" s="2"/>
      <c r="S128" s="5"/>
      <c r="T128" s="5"/>
      <c r="U128" s="5"/>
      <c r="V128" s="2"/>
      <c r="W128" s="2"/>
    </row>
    <row r="129" spans="15:23">
      <c r="O129" s="5"/>
      <c r="P129" s="5"/>
      <c r="Q129" s="5"/>
      <c r="R129" s="2"/>
      <c r="S129" s="5"/>
      <c r="T129" s="5"/>
      <c r="U129" s="5"/>
      <c r="V129" s="2"/>
      <c r="W129" s="2"/>
    </row>
    <row r="130" spans="15:23">
      <c r="O130" s="5"/>
      <c r="P130" s="5"/>
      <c r="Q130" s="5"/>
      <c r="R130" s="2"/>
      <c r="S130" s="5"/>
      <c r="T130" s="5"/>
      <c r="U130" s="5"/>
      <c r="V130" s="2"/>
      <c r="W130" s="2"/>
    </row>
    <row r="131" spans="15:23">
      <c r="O131" s="5"/>
      <c r="P131" s="5"/>
      <c r="Q131" s="5"/>
      <c r="R131" s="2"/>
      <c r="S131" s="5"/>
      <c r="T131" s="5"/>
      <c r="U131" s="5"/>
      <c r="V131" s="2"/>
      <c r="W131" s="2"/>
    </row>
    <row r="132" spans="15:23">
      <c r="O132" s="5"/>
      <c r="P132" s="5"/>
      <c r="Q132" s="5"/>
      <c r="R132" s="2"/>
      <c r="S132" s="5"/>
      <c r="T132" s="5"/>
      <c r="U132" s="5"/>
      <c r="V132" s="2"/>
      <c r="W132" s="2"/>
    </row>
    <row r="133" spans="15:23">
      <c r="O133" s="5"/>
      <c r="P133" s="5"/>
      <c r="Q133" s="5"/>
      <c r="R133" s="2"/>
      <c r="S133" s="5"/>
      <c r="T133" s="5"/>
      <c r="U133" s="5"/>
      <c r="V133" s="2"/>
      <c r="W133" s="2"/>
    </row>
    <row r="134" spans="15:23">
      <c r="O134" s="5"/>
      <c r="P134" s="5"/>
      <c r="Q134" s="5"/>
      <c r="R134" s="2"/>
      <c r="S134" s="5"/>
      <c r="T134" s="5"/>
      <c r="U134" s="5"/>
      <c r="V134" s="2"/>
      <c r="W134" s="2"/>
    </row>
    <row r="135" spans="15:23">
      <c r="O135" s="5"/>
      <c r="P135" s="5"/>
      <c r="Q135" s="5"/>
      <c r="R135" s="2"/>
      <c r="S135" s="5"/>
      <c r="T135" s="5"/>
      <c r="U135" s="5"/>
      <c r="V135" s="2"/>
      <c r="W135" s="2"/>
    </row>
    <row r="136" spans="15:23">
      <c r="O136" s="5"/>
      <c r="P136" s="5"/>
      <c r="Q136" s="5"/>
      <c r="R136" s="2"/>
      <c r="S136" s="5"/>
      <c r="T136" s="5"/>
      <c r="U136" s="5"/>
      <c r="V136" s="2"/>
      <c r="W136" s="2"/>
    </row>
    <row r="137" spans="15:23">
      <c r="O137" s="5"/>
      <c r="P137" s="5"/>
      <c r="Q137" s="5"/>
      <c r="R137" s="2"/>
      <c r="S137" s="5"/>
      <c r="T137" s="5"/>
      <c r="U137" s="5"/>
      <c r="V137" s="2"/>
      <c r="W137" s="2"/>
    </row>
    <row r="138" spans="15:23">
      <c r="O138" s="5"/>
      <c r="P138" s="5"/>
      <c r="Q138" s="5"/>
      <c r="R138" s="2"/>
      <c r="S138" s="5"/>
      <c r="T138" s="5"/>
      <c r="U138" s="5"/>
      <c r="V138" s="2"/>
      <c r="W138" s="2"/>
    </row>
    <row r="139" spans="15:23">
      <c r="O139" s="5"/>
      <c r="P139" s="5"/>
      <c r="Q139" s="5"/>
      <c r="R139" s="2"/>
      <c r="S139" s="5"/>
      <c r="T139" s="5"/>
      <c r="U139" s="5"/>
      <c r="V139" s="2"/>
      <c r="W139" s="2"/>
    </row>
    <row r="140" spans="15:23">
      <c r="O140" s="5"/>
      <c r="P140" s="5"/>
      <c r="Q140" s="5"/>
      <c r="R140" s="2"/>
      <c r="S140" s="5"/>
      <c r="T140" s="5"/>
      <c r="U140" s="5"/>
      <c r="V140" s="2"/>
      <c r="W140" s="2"/>
    </row>
    <row r="141" spans="15:23">
      <c r="O141" s="5"/>
      <c r="P141" s="5"/>
      <c r="Q141" s="5"/>
      <c r="R141" s="2"/>
      <c r="S141" s="5"/>
      <c r="T141" s="5"/>
      <c r="U141" s="5"/>
      <c r="V141" s="2"/>
      <c r="W141" s="2"/>
    </row>
    <row r="142" spans="15:23">
      <c r="O142" s="5"/>
      <c r="P142" s="5"/>
      <c r="Q142" s="5"/>
      <c r="R142" s="2"/>
      <c r="S142" s="5"/>
      <c r="T142" s="5"/>
      <c r="U142" s="5"/>
      <c r="V142" s="2"/>
      <c r="W142" s="2"/>
    </row>
    <row r="143" spans="15:23">
      <c r="O143" s="5"/>
      <c r="P143" s="5"/>
      <c r="Q143" s="5"/>
      <c r="R143" s="2"/>
      <c r="S143" s="5"/>
      <c r="T143" s="5"/>
      <c r="U143" s="5"/>
      <c r="V143" s="2"/>
      <c r="W143" s="2"/>
    </row>
    <row r="144" spans="15:23">
      <c r="O144" s="5"/>
      <c r="P144" s="5"/>
      <c r="Q144" s="5"/>
      <c r="R144" s="2"/>
      <c r="S144" s="5"/>
      <c r="T144" s="5"/>
      <c r="U144" s="5"/>
      <c r="V144" s="2"/>
      <c r="W144" s="2"/>
    </row>
    <row r="145" spans="15:23">
      <c r="O145" s="5"/>
      <c r="P145" s="5"/>
      <c r="Q145" s="5"/>
      <c r="R145" s="2"/>
      <c r="S145" s="5"/>
      <c r="T145" s="5"/>
      <c r="U145" s="5"/>
      <c r="V145" s="2"/>
      <c r="W145" s="2"/>
    </row>
    <row r="146" spans="15:23">
      <c r="O146" s="5"/>
      <c r="P146" s="5"/>
      <c r="Q146" s="5"/>
      <c r="R146" s="2"/>
      <c r="S146" s="5"/>
      <c r="T146" s="5"/>
      <c r="U146" s="5"/>
      <c r="V146" s="2"/>
      <c r="W146" s="2"/>
    </row>
    <row r="147" spans="15:23">
      <c r="O147" s="5"/>
      <c r="P147" s="5"/>
      <c r="Q147" s="5"/>
      <c r="R147" s="2"/>
      <c r="S147" s="5"/>
      <c r="T147" s="5"/>
      <c r="U147" s="5"/>
      <c r="V147" s="2"/>
      <c r="W147" s="2"/>
    </row>
    <row r="148" spans="15:23">
      <c r="O148" s="5"/>
      <c r="P148" s="5"/>
      <c r="Q148" s="5"/>
      <c r="R148" s="2"/>
      <c r="S148" s="5"/>
      <c r="T148" s="5"/>
      <c r="U148" s="5"/>
      <c r="V148" s="2"/>
      <c r="W148" s="2"/>
    </row>
    <row r="149" spans="15:23">
      <c r="O149" s="5"/>
      <c r="P149" s="5"/>
      <c r="Q149" s="5"/>
      <c r="R149" s="2"/>
      <c r="S149" s="5"/>
      <c r="T149" s="5"/>
      <c r="U149" s="5"/>
      <c r="V149" s="2"/>
      <c r="W149" s="2"/>
    </row>
    <row r="150" spans="15:23">
      <c r="O150" s="5"/>
      <c r="P150" s="5"/>
      <c r="Q150" s="5"/>
      <c r="R150" s="2"/>
      <c r="S150" s="5"/>
      <c r="T150" s="5"/>
      <c r="U150" s="5"/>
      <c r="V150" s="2"/>
      <c r="W150" s="2"/>
    </row>
    <row r="151" spans="15:23">
      <c r="O151" s="5"/>
      <c r="P151" s="5"/>
      <c r="Q151" s="5"/>
      <c r="R151" s="2"/>
      <c r="S151" s="5"/>
      <c r="T151" s="5"/>
      <c r="U151" s="5"/>
      <c r="V151" s="2"/>
      <c r="W151" s="2"/>
    </row>
    <row r="152" spans="15:23">
      <c r="O152" s="5"/>
      <c r="P152" s="5"/>
      <c r="Q152" s="5"/>
      <c r="R152" s="2"/>
      <c r="S152" s="5"/>
      <c r="T152" s="5"/>
      <c r="U152" s="5"/>
      <c r="V152" s="2"/>
      <c r="W152" s="2"/>
    </row>
    <row r="153" spans="15:23">
      <c r="O153" s="5"/>
      <c r="P153" s="5"/>
      <c r="Q153" s="5"/>
      <c r="R153" s="2"/>
      <c r="S153" s="5"/>
      <c r="T153" s="5"/>
      <c r="U153" s="5"/>
      <c r="V153" s="2"/>
      <c r="W153" s="2"/>
    </row>
    <row r="154" spans="15:23">
      <c r="O154" s="5"/>
      <c r="P154" s="5"/>
      <c r="Q154" s="5"/>
      <c r="R154" s="2"/>
      <c r="S154" s="5"/>
      <c r="T154" s="5"/>
      <c r="U154" s="5"/>
      <c r="V154" s="2"/>
      <c r="W154" s="2"/>
    </row>
    <row r="155" spans="15:23">
      <c r="O155" s="5"/>
      <c r="P155" s="5"/>
      <c r="Q155" s="5"/>
      <c r="R155" s="2"/>
      <c r="S155" s="5"/>
      <c r="T155" s="5"/>
      <c r="U155" s="5"/>
      <c r="V155" s="2"/>
      <c r="W155" s="2"/>
    </row>
    <row r="156" spans="15:23">
      <c r="O156" s="5"/>
      <c r="P156" s="5"/>
      <c r="Q156" s="5"/>
      <c r="R156" s="2"/>
      <c r="S156" s="5"/>
      <c r="T156" s="5"/>
      <c r="U156" s="5"/>
      <c r="V156" s="2"/>
      <c r="W156" s="2"/>
    </row>
    <row r="157" spans="15:23">
      <c r="O157" s="5"/>
      <c r="P157" s="5"/>
      <c r="Q157" s="5"/>
      <c r="R157" s="2"/>
      <c r="S157" s="5"/>
      <c r="T157" s="5"/>
      <c r="U157" s="5"/>
      <c r="V157" s="2"/>
      <c r="W157" s="2"/>
    </row>
    <row r="158" spans="15:23">
      <c r="O158" s="5"/>
      <c r="P158" s="5"/>
      <c r="Q158" s="5"/>
      <c r="R158" s="2"/>
      <c r="S158" s="5"/>
      <c r="T158" s="5"/>
      <c r="U158" s="5"/>
      <c r="V158" s="2"/>
      <c r="W158" s="2"/>
    </row>
    <row r="159" spans="15:23">
      <c r="O159" s="5"/>
      <c r="P159" s="5"/>
      <c r="Q159" s="5"/>
      <c r="R159" s="2"/>
      <c r="S159" s="5"/>
      <c r="T159" s="5"/>
      <c r="U159" s="5"/>
      <c r="V159" s="2"/>
      <c r="W159" s="2"/>
    </row>
    <row r="160" spans="15:23">
      <c r="O160" s="5"/>
      <c r="P160" s="5"/>
      <c r="Q160" s="5"/>
      <c r="R160" s="2"/>
      <c r="S160" s="5"/>
      <c r="T160" s="5"/>
      <c r="U160" s="5"/>
      <c r="V160" s="2"/>
      <c r="W160" s="2"/>
    </row>
    <row r="161" spans="15:23">
      <c r="O161" s="5"/>
      <c r="P161" s="5"/>
      <c r="Q161" s="5"/>
      <c r="R161" s="2"/>
      <c r="S161" s="5"/>
      <c r="T161" s="5"/>
      <c r="U161" s="5"/>
      <c r="V161" s="2"/>
      <c r="W161" s="2"/>
    </row>
    <row r="162" spans="15:23">
      <c r="O162" s="5"/>
      <c r="P162" s="5"/>
      <c r="Q162" s="5"/>
      <c r="R162" s="2"/>
      <c r="S162" s="5"/>
      <c r="T162" s="5"/>
      <c r="U162" s="5"/>
      <c r="V162" s="2"/>
      <c r="W162" s="2"/>
    </row>
    <row r="163" spans="15:23">
      <c r="O163" s="5"/>
      <c r="P163" s="5"/>
      <c r="Q163" s="5"/>
      <c r="R163" s="2"/>
      <c r="S163" s="5"/>
      <c r="T163" s="5"/>
      <c r="U163" s="5"/>
      <c r="V163" s="2"/>
      <c r="W163" s="2"/>
    </row>
    <row r="164" spans="15:23">
      <c r="O164" s="5"/>
      <c r="P164" s="5"/>
      <c r="Q164" s="5"/>
      <c r="R164" s="2"/>
      <c r="S164" s="5"/>
      <c r="T164" s="5"/>
      <c r="U164" s="5"/>
      <c r="V164" s="2"/>
      <c r="W164" s="2"/>
    </row>
    <row r="165" spans="15:23">
      <c r="O165" s="5"/>
      <c r="P165" s="5"/>
      <c r="Q165" s="5"/>
      <c r="R165" s="2"/>
      <c r="S165" s="5"/>
      <c r="T165" s="5"/>
      <c r="U165" s="5"/>
      <c r="V165" s="2"/>
      <c r="W165" s="2"/>
    </row>
    <row r="166" spans="15:23">
      <c r="O166" s="5"/>
      <c r="P166" s="5"/>
      <c r="Q166" s="5"/>
      <c r="R166" s="2"/>
      <c r="S166" s="5"/>
      <c r="T166" s="5"/>
      <c r="U166" s="5"/>
      <c r="V166" s="2"/>
      <c r="W166" s="2"/>
    </row>
    <row r="167" spans="15:23">
      <c r="O167" s="5"/>
      <c r="P167" s="5"/>
      <c r="Q167" s="5"/>
      <c r="R167" s="2"/>
      <c r="S167" s="5"/>
      <c r="T167" s="5"/>
      <c r="U167" s="5"/>
      <c r="V167" s="2"/>
      <c r="W167" s="2"/>
    </row>
    <row r="168" spans="15:23">
      <c r="O168" s="5"/>
      <c r="P168" s="5"/>
      <c r="Q168" s="5"/>
      <c r="R168" s="2"/>
      <c r="S168" s="5"/>
      <c r="T168" s="5"/>
      <c r="U168" s="5"/>
      <c r="V168" s="2"/>
      <c r="W168" s="2"/>
    </row>
    <row r="169" spans="15:23">
      <c r="O169" s="5"/>
      <c r="P169" s="5"/>
      <c r="Q169" s="5"/>
      <c r="R169" s="2"/>
      <c r="S169" s="5"/>
      <c r="T169" s="5"/>
      <c r="U169" s="5"/>
      <c r="V169" s="2"/>
      <c r="W169" s="2"/>
    </row>
    <row r="170" spans="15:23">
      <c r="O170" s="5"/>
      <c r="P170" s="5"/>
      <c r="Q170" s="5"/>
      <c r="R170" s="2"/>
      <c r="S170" s="5"/>
      <c r="T170" s="5"/>
      <c r="U170" s="5"/>
      <c r="V170" s="2"/>
      <c r="W170" s="2"/>
    </row>
    <row r="171" spans="15:23">
      <c r="O171" s="5"/>
      <c r="P171" s="5"/>
      <c r="Q171" s="5"/>
      <c r="R171" s="2"/>
      <c r="S171" s="5"/>
      <c r="T171" s="5"/>
      <c r="U171" s="5"/>
      <c r="V171" s="2"/>
      <c r="W171" s="2"/>
    </row>
    <row r="172" spans="15:23">
      <c r="O172" s="5"/>
      <c r="P172" s="5"/>
      <c r="Q172" s="5"/>
      <c r="R172" s="2"/>
      <c r="S172" s="5"/>
      <c r="T172" s="5"/>
      <c r="U172" s="5"/>
      <c r="V172" s="2"/>
      <c r="W172" s="2"/>
    </row>
    <row r="173" spans="15:23">
      <c r="O173" s="5"/>
      <c r="P173" s="5"/>
      <c r="Q173" s="5"/>
      <c r="R173" s="2"/>
      <c r="S173" s="5"/>
      <c r="T173" s="5"/>
      <c r="U173" s="5"/>
      <c r="V173" s="2"/>
      <c r="W173" s="2"/>
    </row>
    <row r="174" spans="15:23">
      <c r="O174" s="5"/>
      <c r="P174" s="5"/>
      <c r="Q174" s="5"/>
      <c r="R174" s="2"/>
      <c r="S174" s="5"/>
      <c r="T174" s="5"/>
      <c r="U174" s="5"/>
      <c r="V174" s="2"/>
      <c r="W174" s="2"/>
    </row>
    <row r="175" spans="15:23">
      <c r="O175" s="5"/>
      <c r="P175" s="5"/>
      <c r="Q175" s="5"/>
      <c r="R175" s="2"/>
      <c r="S175" s="5"/>
      <c r="T175" s="5"/>
      <c r="U175" s="5"/>
      <c r="V175" s="2"/>
      <c r="W175" s="2"/>
    </row>
    <row r="176" spans="15:23">
      <c r="O176" s="5"/>
      <c r="P176" s="5"/>
      <c r="Q176" s="5"/>
      <c r="R176" s="2"/>
      <c r="S176" s="5"/>
      <c r="T176" s="5"/>
      <c r="U176" s="5"/>
      <c r="V176" s="2"/>
      <c r="W176" s="2"/>
    </row>
    <row r="177" spans="15:23">
      <c r="O177" s="5"/>
      <c r="P177" s="5"/>
      <c r="Q177" s="5"/>
      <c r="R177" s="2"/>
      <c r="S177" s="5"/>
      <c r="T177" s="5"/>
      <c r="U177" s="5"/>
      <c r="V177" s="2"/>
      <c r="W177" s="2"/>
    </row>
    <row r="178" spans="15:23">
      <c r="O178" s="5"/>
      <c r="P178" s="5"/>
      <c r="Q178" s="5"/>
      <c r="R178" s="2"/>
      <c r="S178" s="5"/>
      <c r="T178" s="5"/>
      <c r="U178" s="5"/>
      <c r="V178" s="2"/>
      <c r="W178" s="2"/>
    </row>
    <row r="179" spans="15:23">
      <c r="O179" s="5"/>
      <c r="P179" s="5"/>
      <c r="Q179" s="5"/>
      <c r="R179" s="2"/>
      <c r="S179" s="5"/>
      <c r="T179" s="5"/>
      <c r="U179" s="5"/>
      <c r="V179" s="2"/>
      <c r="W179" s="2"/>
    </row>
    <row r="180" spans="15:23">
      <c r="O180" s="5"/>
      <c r="P180" s="5"/>
      <c r="Q180" s="5"/>
      <c r="R180" s="2"/>
      <c r="S180" s="5"/>
      <c r="T180" s="5"/>
      <c r="U180" s="5"/>
      <c r="V180" s="2"/>
      <c r="W180" s="2"/>
    </row>
    <row r="181" spans="15:23">
      <c r="O181" s="5"/>
      <c r="P181" s="5"/>
      <c r="Q181" s="5"/>
      <c r="R181" s="2"/>
      <c r="S181" s="5"/>
      <c r="T181" s="5"/>
      <c r="U181" s="5"/>
      <c r="V181" s="2"/>
      <c r="W181" s="2"/>
    </row>
    <row r="182" spans="15:23">
      <c r="O182" s="5"/>
      <c r="P182" s="5"/>
      <c r="Q182" s="5"/>
      <c r="R182" s="2"/>
      <c r="S182" s="5"/>
      <c r="T182" s="5"/>
      <c r="U182" s="5"/>
      <c r="V182" s="2"/>
      <c r="W182" s="2"/>
    </row>
    <row r="183" spans="15:23">
      <c r="O183" s="5"/>
      <c r="P183" s="5"/>
      <c r="Q183" s="5"/>
      <c r="R183" s="2"/>
      <c r="S183" s="5"/>
      <c r="T183" s="5"/>
      <c r="U183" s="5"/>
      <c r="V183" s="2"/>
      <c r="W183" s="2"/>
    </row>
    <row r="184" spans="15:23">
      <c r="O184" s="5"/>
      <c r="P184" s="5"/>
      <c r="Q184" s="5"/>
      <c r="R184" s="2"/>
      <c r="S184" s="5"/>
      <c r="T184" s="5"/>
      <c r="U184" s="5"/>
      <c r="V184" s="2"/>
      <c r="W184" s="2"/>
    </row>
    <row r="185" spans="15:23">
      <c r="O185" s="5"/>
      <c r="P185" s="5"/>
      <c r="Q185" s="5"/>
      <c r="R185" s="2"/>
      <c r="S185" s="5"/>
      <c r="T185" s="5"/>
      <c r="U185" s="5"/>
      <c r="V185" s="2"/>
      <c r="W185" s="2"/>
    </row>
    <row r="186" spans="15:23">
      <c r="O186" s="5"/>
      <c r="P186" s="5"/>
      <c r="Q186" s="5"/>
      <c r="R186" s="2"/>
      <c r="S186" s="5"/>
      <c r="T186" s="5"/>
      <c r="U186" s="5"/>
      <c r="V186" s="2"/>
      <c r="W186" s="2"/>
    </row>
    <row r="187" spans="15:23">
      <c r="O187" s="5"/>
      <c r="P187" s="5"/>
      <c r="Q187" s="5"/>
      <c r="R187" s="2"/>
      <c r="S187" s="5"/>
      <c r="T187" s="5"/>
      <c r="U187" s="5"/>
      <c r="V187" s="2"/>
      <c r="W187" s="2"/>
    </row>
    <row r="188" spans="15:23">
      <c r="O188" s="5"/>
      <c r="P188" s="5"/>
      <c r="Q188" s="5"/>
      <c r="R188" s="2"/>
      <c r="S188" s="5"/>
      <c r="T188" s="5"/>
      <c r="U188" s="5"/>
      <c r="V188" s="2"/>
      <c r="W188" s="2"/>
    </row>
    <row r="189" spans="15:23">
      <c r="O189" s="5"/>
      <c r="P189" s="5"/>
      <c r="Q189" s="5"/>
      <c r="R189" s="2"/>
      <c r="S189" s="5"/>
      <c r="T189" s="5"/>
      <c r="U189" s="5"/>
      <c r="V189" s="2"/>
      <c r="W189" s="2"/>
    </row>
    <row r="190" spans="15:23">
      <c r="O190" s="5"/>
      <c r="P190" s="5"/>
      <c r="Q190" s="5"/>
      <c r="R190" s="2"/>
      <c r="S190" s="5"/>
      <c r="T190" s="5"/>
      <c r="U190" s="5"/>
      <c r="V190" s="2"/>
      <c r="W190" s="2"/>
    </row>
    <row r="191" spans="15:23">
      <c r="O191" s="5"/>
      <c r="P191" s="5"/>
      <c r="Q191" s="5"/>
      <c r="R191" s="2"/>
      <c r="S191" s="5"/>
      <c r="T191" s="5"/>
      <c r="U191" s="5"/>
      <c r="V191" s="2"/>
      <c r="W191" s="2"/>
    </row>
    <row r="192" spans="15:23">
      <c r="O192" s="5"/>
      <c r="P192" s="5"/>
      <c r="Q192" s="5"/>
      <c r="R192" s="2"/>
      <c r="S192" s="5"/>
      <c r="T192" s="5"/>
      <c r="U192" s="5"/>
      <c r="V192" s="2"/>
      <c r="W192" s="2"/>
    </row>
    <row r="193" spans="15:23">
      <c r="O193" s="5"/>
      <c r="P193" s="5"/>
      <c r="Q193" s="5"/>
      <c r="R193" s="2"/>
      <c r="S193" s="5"/>
      <c r="T193" s="5"/>
      <c r="U193" s="5"/>
      <c r="V193" s="2"/>
      <c r="W193" s="2"/>
    </row>
    <row r="194" spans="15:23">
      <c r="O194" s="5"/>
      <c r="P194" s="5"/>
      <c r="Q194" s="5"/>
      <c r="R194" s="2"/>
      <c r="S194" s="5"/>
      <c r="T194" s="5"/>
      <c r="U194" s="5"/>
      <c r="V194" s="2"/>
      <c r="W194" s="2"/>
    </row>
    <row r="195" spans="15:23">
      <c r="O195" s="5"/>
      <c r="P195" s="5"/>
      <c r="Q195" s="5"/>
      <c r="R195" s="2"/>
      <c r="S195" s="5"/>
      <c r="T195" s="5"/>
      <c r="U195" s="5"/>
      <c r="V195" s="2"/>
      <c r="W195" s="2"/>
    </row>
    <row r="196" spans="15:23">
      <c r="O196" s="5"/>
      <c r="P196" s="5"/>
      <c r="Q196" s="5"/>
      <c r="R196" s="2"/>
      <c r="S196" s="5"/>
      <c r="T196" s="5"/>
      <c r="U196" s="5"/>
      <c r="V196" s="2"/>
      <c r="W196" s="2"/>
    </row>
    <row r="197" spans="15:23">
      <c r="O197" s="5"/>
      <c r="P197" s="5"/>
      <c r="Q197" s="5"/>
      <c r="R197" s="2"/>
      <c r="S197" s="5"/>
      <c r="T197" s="5"/>
      <c r="U197" s="5"/>
      <c r="V197" s="2"/>
      <c r="W197" s="2"/>
    </row>
    <row r="198" spans="15:23">
      <c r="O198" s="5"/>
      <c r="P198" s="5"/>
      <c r="Q198" s="5"/>
      <c r="R198" s="2"/>
      <c r="S198" s="5"/>
      <c r="T198" s="5"/>
      <c r="U198" s="5"/>
      <c r="V198" s="2"/>
      <c r="W198" s="2"/>
    </row>
    <row r="199" spans="15:23">
      <c r="O199" s="5"/>
      <c r="P199" s="5"/>
      <c r="Q199" s="5"/>
      <c r="R199" s="2"/>
      <c r="S199" s="5"/>
      <c r="T199" s="5"/>
      <c r="U199" s="5"/>
      <c r="V199" s="2"/>
      <c r="W199" s="2"/>
    </row>
    <row r="200" spans="15:23">
      <c r="O200" s="5"/>
      <c r="P200" s="5"/>
      <c r="Q200" s="5"/>
      <c r="R200" s="2"/>
      <c r="S200" s="5"/>
      <c r="T200" s="5"/>
      <c r="U200" s="5"/>
      <c r="V200" s="2"/>
      <c r="W200" s="2"/>
    </row>
    <row r="201" spans="15:23">
      <c r="O201" s="5"/>
      <c r="P201" s="5"/>
      <c r="Q201" s="5"/>
      <c r="R201" s="2"/>
      <c r="S201" s="5"/>
      <c r="T201" s="5"/>
      <c r="U201" s="5"/>
      <c r="V201" s="2"/>
      <c r="W201" s="2"/>
    </row>
    <row r="202" spans="15:23">
      <c r="O202" s="5"/>
      <c r="P202" s="5"/>
      <c r="Q202" s="5"/>
      <c r="R202" s="2"/>
      <c r="S202" s="5"/>
      <c r="T202" s="5"/>
      <c r="U202" s="5"/>
      <c r="V202" s="2"/>
      <c r="W202" s="2"/>
    </row>
    <row r="203" spans="15:23">
      <c r="O203" s="5"/>
      <c r="P203" s="5"/>
      <c r="Q203" s="5"/>
      <c r="R203" s="2"/>
      <c r="S203" s="5"/>
      <c r="T203" s="5"/>
      <c r="U203" s="5"/>
      <c r="V203" s="2"/>
      <c r="W203" s="2"/>
    </row>
    <row r="204" spans="15:23">
      <c r="O204" s="5"/>
      <c r="P204" s="5"/>
      <c r="Q204" s="5"/>
      <c r="R204" s="2"/>
      <c r="S204" s="5"/>
      <c r="T204" s="5"/>
      <c r="U204" s="5"/>
      <c r="V204" s="2"/>
      <c r="W204" s="2"/>
    </row>
    <row r="205" spans="15:23">
      <c r="O205" s="5"/>
      <c r="P205" s="5"/>
      <c r="Q205" s="5"/>
      <c r="R205" s="2"/>
      <c r="S205" s="5"/>
      <c r="T205" s="5"/>
      <c r="U205" s="5"/>
      <c r="V205" s="2"/>
      <c r="W205" s="2"/>
    </row>
    <row r="206" spans="15:23">
      <c r="O206" s="5"/>
      <c r="P206" s="5"/>
      <c r="Q206" s="5"/>
      <c r="R206" s="2"/>
      <c r="S206" s="5"/>
      <c r="T206" s="5"/>
      <c r="U206" s="5"/>
      <c r="V206" s="2"/>
      <c r="W206" s="2"/>
    </row>
    <row r="207" spans="15:23">
      <c r="O207" s="5"/>
      <c r="P207" s="5"/>
      <c r="Q207" s="5"/>
      <c r="R207" s="2"/>
      <c r="S207" s="5"/>
      <c r="T207" s="5"/>
      <c r="U207" s="5"/>
      <c r="V207" s="2"/>
      <c r="W207" s="2"/>
    </row>
    <row r="208" spans="15:23">
      <c r="O208" s="5"/>
      <c r="P208" s="5"/>
      <c r="Q208" s="5"/>
      <c r="R208" s="2"/>
      <c r="S208" s="5"/>
      <c r="T208" s="5"/>
      <c r="U208" s="5"/>
      <c r="V208" s="2"/>
      <c r="W208" s="2"/>
    </row>
    <row r="209" spans="15:23">
      <c r="O209" s="5"/>
      <c r="P209" s="5"/>
      <c r="Q209" s="5"/>
      <c r="R209" s="2"/>
      <c r="S209" s="5"/>
      <c r="T209" s="5"/>
      <c r="U209" s="5"/>
      <c r="V209" s="2"/>
      <c r="W209" s="2"/>
    </row>
    <row r="210" spans="15:23">
      <c r="O210" s="5"/>
      <c r="P210" s="5"/>
      <c r="Q210" s="5"/>
      <c r="R210" s="2"/>
      <c r="S210" s="5"/>
      <c r="T210" s="5"/>
      <c r="U210" s="5"/>
      <c r="V210" s="2"/>
      <c r="W210" s="2"/>
    </row>
    <row r="211" spans="15:23">
      <c r="O211" s="5"/>
      <c r="P211" s="5"/>
      <c r="Q211" s="5"/>
      <c r="R211" s="2"/>
      <c r="S211" s="5"/>
      <c r="T211" s="5"/>
      <c r="U211" s="5"/>
      <c r="V211" s="2"/>
      <c r="W211" s="2"/>
    </row>
    <row r="212" spans="15:23">
      <c r="O212" s="5"/>
      <c r="P212" s="5"/>
      <c r="Q212" s="5"/>
      <c r="R212" s="2"/>
      <c r="S212" s="5"/>
      <c r="T212" s="5"/>
      <c r="U212" s="5"/>
      <c r="V212" s="2"/>
      <c r="W212" s="2"/>
    </row>
    <row r="213" spans="15:23">
      <c r="O213" s="5"/>
      <c r="P213" s="5"/>
      <c r="Q213" s="5"/>
      <c r="R213" s="2"/>
      <c r="S213" s="5"/>
      <c r="T213" s="5"/>
      <c r="U213" s="5"/>
      <c r="V213" s="2"/>
      <c r="W213" s="2"/>
    </row>
    <row r="214" spans="15:23">
      <c r="O214" s="5"/>
      <c r="P214" s="5"/>
      <c r="Q214" s="5"/>
      <c r="R214" s="2"/>
      <c r="S214" s="5"/>
      <c r="T214" s="5"/>
      <c r="U214" s="5"/>
      <c r="V214" s="2"/>
      <c r="W214" s="2"/>
    </row>
    <row r="215" spans="15:23">
      <c r="O215" s="5"/>
      <c r="P215" s="5"/>
      <c r="Q215" s="5"/>
      <c r="R215" s="2"/>
      <c r="S215" s="5"/>
      <c r="T215" s="5"/>
      <c r="U215" s="5"/>
      <c r="V215" s="2"/>
      <c r="W215" s="2"/>
    </row>
    <row r="216" spans="15:23">
      <c r="O216" s="5"/>
      <c r="P216" s="5"/>
      <c r="Q216" s="5"/>
      <c r="R216" s="2"/>
      <c r="S216" s="5"/>
      <c r="T216" s="5"/>
      <c r="U216" s="5"/>
      <c r="V216" s="2"/>
      <c r="W216" s="2"/>
    </row>
    <row r="217" spans="15:23">
      <c r="O217" s="5"/>
      <c r="P217" s="5"/>
      <c r="Q217" s="5"/>
      <c r="R217" s="2"/>
      <c r="S217" s="5"/>
      <c r="T217" s="5"/>
      <c r="U217" s="5"/>
      <c r="V217" s="2"/>
      <c r="W217" s="2"/>
    </row>
    <row r="218" spans="15:23">
      <c r="O218" s="5"/>
      <c r="P218" s="5"/>
      <c r="Q218" s="5"/>
      <c r="R218" s="2"/>
      <c r="S218" s="5"/>
      <c r="T218" s="5"/>
      <c r="U218" s="5"/>
      <c r="V218" s="2"/>
      <c r="W218" s="2"/>
    </row>
    <row r="219" spans="15:23">
      <c r="O219" s="5"/>
      <c r="P219" s="5"/>
      <c r="Q219" s="5"/>
      <c r="R219" s="2"/>
      <c r="S219" s="5"/>
      <c r="T219" s="5"/>
      <c r="U219" s="5"/>
      <c r="V219" s="2"/>
      <c r="W219" s="2"/>
    </row>
    <row r="220" spans="15:23">
      <c r="O220" s="5"/>
      <c r="P220" s="5"/>
      <c r="Q220" s="5"/>
      <c r="R220" s="2"/>
      <c r="S220" s="5"/>
      <c r="T220" s="5"/>
      <c r="U220" s="5"/>
      <c r="V220" s="2"/>
      <c r="W220" s="2"/>
    </row>
    <row r="221" spans="15:23">
      <c r="O221" s="5"/>
      <c r="P221" s="5"/>
      <c r="Q221" s="5"/>
      <c r="R221" s="2"/>
      <c r="S221" s="5"/>
      <c r="T221" s="5"/>
      <c r="U221" s="5"/>
      <c r="V221" s="2"/>
      <c r="W221" s="2"/>
    </row>
    <row r="222" spans="15:23">
      <c r="O222" s="5"/>
      <c r="P222" s="5"/>
      <c r="Q222" s="5"/>
      <c r="R222" s="2"/>
      <c r="S222" s="5"/>
      <c r="T222" s="5"/>
      <c r="U222" s="5"/>
      <c r="V222" s="2"/>
      <c r="W222" s="2"/>
    </row>
    <row r="223" spans="15:23">
      <c r="O223" s="5"/>
      <c r="P223" s="5"/>
      <c r="Q223" s="5"/>
      <c r="R223" s="2"/>
      <c r="S223" s="5"/>
      <c r="T223" s="5"/>
      <c r="U223" s="5"/>
      <c r="V223" s="2"/>
      <c r="W223" s="2"/>
    </row>
    <row r="224" spans="15:23">
      <c r="O224" s="5"/>
      <c r="P224" s="5"/>
      <c r="Q224" s="5"/>
      <c r="R224" s="2"/>
      <c r="S224" s="5"/>
      <c r="T224" s="5"/>
      <c r="U224" s="5"/>
      <c r="V224" s="2"/>
      <c r="W224" s="2"/>
    </row>
    <row r="225" spans="15:23">
      <c r="O225" s="5"/>
      <c r="P225" s="5"/>
      <c r="Q225" s="5"/>
      <c r="R225" s="2"/>
      <c r="S225" s="5"/>
      <c r="T225" s="5"/>
      <c r="U225" s="5"/>
      <c r="V225" s="2"/>
      <c r="W225" s="2"/>
    </row>
    <row r="226" spans="15:23">
      <c r="O226" s="5"/>
      <c r="P226" s="5"/>
      <c r="Q226" s="5"/>
      <c r="R226" s="2"/>
      <c r="S226" s="5"/>
      <c r="T226" s="5"/>
      <c r="U226" s="5"/>
      <c r="V226" s="2"/>
      <c r="W226" s="2"/>
    </row>
    <row r="227" spans="15:23">
      <c r="O227" s="5"/>
      <c r="P227" s="5"/>
      <c r="Q227" s="5"/>
      <c r="R227" s="2"/>
      <c r="S227" s="5"/>
      <c r="T227" s="5"/>
      <c r="U227" s="5"/>
      <c r="V227" s="2"/>
      <c r="W227" s="2"/>
    </row>
    <row r="228" spans="15:23">
      <c r="O228" s="5"/>
      <c r="P228" s="5"/>
      <c r="Q228" s="5"/>
      <c r="R228" s="2"/>
      <c r="S228" s="5"/>
      <c r="T228" s="5"/>
      <c r="U228" s="5"/>
      <c r="V228" s="2"/>
      <c r="W228" s="2"/>
    </row>
    <row r="229" spans="15:23">
      <c r="O229" s="5"/>
      <c r="P229" s="5"/>
      <c r="Q229" s="5"/>
      <c r="R229" s="2"/>
      <c r="S229" s="5"/>
      <c r="T229" s="5"/>
      <c r="U229" s="5"/>
      <c r="V229" s="2"/>
      <c r="W229" s="2"/>
    </row>
    <row r="230" spans="15:23">
      <c r="O230" s="5"/>
      <c r="P230" s="5"/>
      <c r="Q230" s="5"/>
      <c r="R230" s="2"/>
      <c r="S230" s="5"/>
      <c r="T230" s="5"/>
      <c r="U230" s="5"/>
      <c r="V230" s="2"/>
      <c r="W230" s="2"/>
    </row>
    <row r="231" spans="15:23">
      <c r="O231" s="5"/>
      <c r="P231" s="5"/>
      <c r="Q231" s="5"/>
      <c r="R231" s="2"/>
      <c r="S231" s="5"/>
      <c r="T231" s="5"/>
      <c r="U231" s="5"/>
      <c r="V231" s="2"/>
      <c r="W231" s="2"/>
    </row>
    <row r="232" spans="15:23">
      <c r="O232" s="5"/>
      <c r="P232" s="5"/>
      <c r="Q232" s="5"/>
      <c r="R232" s="2"/>
      <c r="S232" s="5"/>
      <c r="T232" s="5"/>
      <c r="U232" s="5"/>
      <c r="V232" s="2"/>
      <c r="W232" s="2"/>
    </row>
    <row r="233" spans="15:23">
      <c r="O233" s="5"/>
      <c r="P233" s="5"/>
      <c r="Q233" s="5"/>
      <c r="R233" s="2"/>
      <c r="S233" s="5"/>
      <c r="T233" s="5"/>
      <c r="U233" s="5"/>
      <c r="V233" s="2"/>
      <c r="W233" s="2"/>
    </row>
    <row r="234" spans="15:23">
      <c r="O234" s="5"/>
      <c r="P234" s="5"/>
      <c r="Q234" s="5"/>
      <c r="R234" s="2"/>
      <c r="S234" s="5"/>
      <c r="T234" s="5"/>
      <c r="U234" s="5"/>
      <c r="V234" s="2"/>
      <c r="W234" s="2"/>
    </row>
    <row r="235" spans="15:23">
      <c r="O235" s="5"/>
      <c r="P235" s="5"/>
      <c r="Q235" s="5"/>
      <c r="R235" s="2"/>
      <c r="S235" s="5"/>
      <c r="T235" s="5"/>
      <c r="U235" s="5"/>
      <c r="V235" s="2"/>
      <c r="W235" s="2"/>
    </row>
    <row r="236" spans="15:23">
      <c r="O236" s="5"/>
      <c r="P236" s="5"/>
      <c r="Q236" s="5"/>
      <c r="R236" s="2"/>
      <c r="S236" s="5"/>
      <c r="T236" s="5"/>
      <c r="U236" s="5"/>
      <c r="V236" s="2"/>
      <c r="W236" s="2"/>
    </row>
    <row r="237" spans="15:23">
      <c r="O237" s="5"/>
      <c r="P237" s="5"/>
      <c r="Q237" s="5"/>
      <c r="R237" s="2"/>
      <c r="S237" s="5"/>
      <c r="T237" s="5"/>
      <c r="U237" s="5"/>
      <c r="V237" s="2"/>
      <c r="W237" s="2"/>
    </row>
    <row r="238" spans="15:23">
      <c r="O238" s="5"/>
      <c r="P238" s="5"/>
      <c r="Q238" s="5"/>
      <c r="R238" s="2"/>
      <c r="S238" s="5"/>
      <c r="T238" s="5"/>
      <c r="U238" s="5"/>
      <c r="V238" s="2"/>
      <c r="W238" s="2"/>
    </row>
    <row r="239" spans="15:23">
      <c r="O239" s="5"/>
      <c r="P239" s="5"/>
      <c r="Q239" s="5"/>
      <c r="R239" s="2"/>
      <c r="S239" s="5"/>
      <c r="T239" s="5"/>
      <c r="U239" s="5"/>
      <c r="V239" s="2"/>
      <c r="W239" s="2"/>
    </row>
    <row r="240" spans="15:23">
      <c r="O240" s="5"/>
      <c r="P240" s="5"/>
      <c r="Q240" s="5"/>
      <c r="R240" s="2"/>
      <c r="S240" s="5"/>
      <c r="T240" s="5"/>
      <c r="U240" s="5"/>
      <c r="V240" s="2"/>
      <c r="W240" s="2"/>
    </row>
    <row r="241" spans="15:23">
      <c r="O241" s="5"/>
      <c r="P241" s="5"/>
      <c r="Q241" s="5"/>
      <c r="R241" s="2"/>
      <c r="S241" s="5"/>
      <c r="T241" s="5"/>
      <c r="U241" s="5"/>
      <c r="V241" s="2"/>
      <c r="W241" s="2"/>
    </row>
    <row r="242" spans="15:23">
      <c r="O242" s="5"/>
      <c r="P242" s="5"/>
      <c r="Q242" s="5"/>
      <c r="R242" s="2"/>
      <c r="S242" s="5"/>
      <c r="T242" s="5"/>
      <c r="U242" s="5"/>
      <c r="V242" s="2"/>
      <c r="W242" s="2"/>
    </row>
    <row r="243" spans="15:23">
      <c r="O243" s="5"/>
      <c r="P243" s="5"/>
      <c r="Q243" s="5"/>
      <c r="R243" s="2"/>
      <c r="S243" s="5"/>
      <c r="T243" s="5"/>
      <c r="U243" s="5"/>
      <c r="V243" s="2"/>
      <c r="W243" s="2"/>
    </row>
    <row r="244" spans="15:23">
      <c r="O244" s="5"/>
      <c r="P244" s="5"/>
      <c r="Q244" s="5"/>
      <c r="R244" s="2"/>
      <c r="S244" s="5"/>
      <c r="T244" s="5"/>
      <c r="U244" s="5"/>
      <c r="V244" s="2"/>
      <c r="W244" s="2"/>
    </row>
    <row r="245" spans="15:23">
      <c r="O245" s="5"/>
      <c r="P245" s="5"/>
      <c r="Q245" s="5"/>
      <c r="R245" s="2"/>
      <c r="S245" s="5"/>
      <c r="T245" s="5"/>
      <c r="U245" s="5"/>
      <c r="V245" s="2"/>
      <c r="W245" s="2"/>
    </row>
    <row r="246" spans="15:23">
      <c r="O246" s="5"/>
      <c r="P246" s="5"/>
      <c r="Q246" s="5"/>
      <c r="R246" s="2"/>
      <c r="S246" s="5"/>
      <c r="T246" s="5"/>
      <c r="U246" s="5"/>
      <c r="V246" s="2"/>
      <c r="W246" s="2"/>
    </row>
    <row r="247" spans="15:23">
      <c r="O247" s="5"/>
      <c r="P247" s="5"/>
      <c r="Q247" s="5"/>
      <c r="R247" s="2"/>
      <c r="S247" s="5"/>
      <c r="T247" s="5"/>
      <c r="U247" s="5"/>
      <c r="V247" s="2"/>
      <c r="W247" s="2"/>
    </row>
    <row r="248" spans="15:23">
      <c r="O248" s="5"/>
      <c r="P248" s="5"/>
      <c r="Q248" s="5"/>
      <c r="R248" s="2"/>
      <c r="S248" s="5"/>
      <c r="T248" s="5"/>
      <c r="U248" s="5"/>
      <c r="V248" s="2"/>
      <c r="W248" s="2"/>
    </row>
    <row r="249" spans="15:23">
      <c r="O249" s="5"/>
      <c r="P249" s="5"/>
      <c r="Q249" s="5"/>
      <c r="R249" s="2"/>
      <c r="S249" s="5"/>
      <c r="T249" s="5"/>
      <c r="U249" s="5"/>
      <c r="V249" s="2"/>
      <c r="W249" s="2"/>
    </row>
    <row r="250" spans="15:23">
      <c r="O250" s="5"/>
      <c r="P250" s="5"/>
      <c r="Q250" s="5"/>
      <c r="R250" s="2"/>
      <c r="S250" s="5"/>
      <c r="T250" s="5"/>
      <c r="U250" s="5"/>
      <c r="V250" s="2"/>
      <c r="W250" s="2"/>
    </row>
    <row r="251" spans="15:23">
      <c r="O251" s="5"/>
      <c r="P251" s="5"/>
      <c r="Q251" s="5"/>
      <c r="R251" s="2"/>
      <c r="S251" s="5"/>
      <c r="T251" s="5"/>
      <c r="U251" s="5"/>
      <c r="V251" s="2"/>
      <c r="W251" s="2"/>
    </row>
    <row r="252" spans="15:23">
      <c r="O252" s="5"/>
      <c r="P252" s="5"/>
      <c r="Q252" s="5"/>
      <c r="R252" s="2"/>
      <c r="S252" s="5"/>
      <c r="T252" s="5"/>
      <c r="U252" s="5"/>
      <c r="V252" s="2"/>
      <c r="W252" s="2"/>
    </row>
    <row r="253" spans="15:23">
      <c r="O253" s="5"/>
      <c r="P253" s="5"/>
      <c r="Q253" s="5"/>
      <c r="R253" s="2"/>
      <c r="S253" s="5"/>
      <c r="T253" s="5"/>
      <c r="U253" s="5"/>
      <c r="V253" s="2"/>
      <c r="W253" s="2"/>
    </row>
    <row r="254" spans="15:23">
      <c r="O254" s="5"/>
      <c r="P254" s="5"/>
      <c r="Q254" s="5"/>
      <c r="R254" s="2"/>
      <c r="S254" s="5"/>
      <c r="T254" s="5"/>
      <c r="U254" s="5"/>
      <c r="V254" s="2"/>
      <c r="W254" s="2"/>
    </row>
    <row r="255" spans="15:23">
      <c r="O255" s="5"/>
      <c r="P255" s="5"/>
      <c r="Q255" s="5"/>
      <c r="R255" s="2"/>
      <c r="S255" s="5"/>
      <c r="T255" s="5"/>
      <c r="U255" s="5"/>
      <c r="V255" s="2"/>
      <c r="W255" s="2"/>
    </row>
    <row r="256" spans="15:23">
      <c r="O256" s="5"/>
      <c r="P256" s="5"/>
      <c r="Q256" s="5"/>
      <c r="R256" s="2"/>
      <c r="S256" s="5"/>
      <c r="T256" s="5"/>
      <c r="U256" s="5"/>
      <c r="V256" s="2"/>
      <c r="W256" s="2"/>
    </row>
    <row r="257" spans="15:23">
      <c r="O257" s="5"/>
      <c r="P257" s="5"/>
      <c r="Q257" s="5"/>
      <c r="R257" s="2"/>
      <c r="S257" s="5"/>
      <c r="T257" s="5"/>
      <c r="U257" s="5"/>
      <c r="V257" s="2"/>
      <c r="W257" s="2"/>
    </row>
    <row r="258" spans="15:23">
      <c r="O258" s="5"/>
      <c r="P258" s="5"/>
      <c r="Q258" s="5"/>
      <c r="R258" s="2"/>
      <c r="S258" s="5"/>
      <c r="T258" s="5"/>
      <c r="U258" s="5"/>
      <c r="V258" s="2"/>
      <c r="W258" s="2"/>
    </row>
    <row r="259" spans="15:23">
      <c r="O259" s="5"/>
      <c r="P259" s="5"/>
      <c r="Q259" s="5"/>
      <c r="R259" s="2"/>
      <c r="S259" s="5"/>
      <c r="T259" s="5"/>
      <c r="U259" s="5"/>
      <c r="V259" s="2"/>
      <c r="W259" s="2"/>
    </row>
    <row r="260" spans="15:23">
      <c r="O260" s="5"/>
      <c r="P260" s="5"/>
      <c r="Q260" s="5"/>
      <c r="R260" s="2"/>
      <c r="S260" s="5"/>
      <c r="T260" s="5"/>
      <c r="U260" s="5"/>
      <c r="V260" s="2"/>
      <c r="W260" s="2"/>
    </row>
    <row r="261" spans="15:23">
      <c r="O261" s="5"/>
      <c r="P261" s="5"/>
      <c r="Q261" s="5"/>
      <c r="R261" s="2"/>
      <c r="S261" s="5"/>
      <c r="T261" s="5"/>
      <c r="U261" s="5"/>
      <c r="V261" s="2"/>
      <c r="W261" s="2"/>
    </row>
    <row r="262" spans="15:23">
      <c r="O262" s="5"/>
      <c r="P262" s="5"/>
      <c r="Q262" s="5"/>
      <c r="R262" s="2"/>
      <c r="S262" s="5"/>
      <c r="T262" s="5"/>
      <c r="U262" s="5"/>
      <c r="V262" s="2"/>
      <c r="W262" s="2"/>
    </row>
    <row r="263" spans="15:23">
      <c r="O263" s="5"/>
      <c r="P263" s="5"/>
      <c r="Q263" s="5"/>
      <c r="R263" s="2"/>
      <c r="S263" s="5"/>
      <c r="T263" s="5"/>
      <c r="U263" s="5"/>
      <c r="V263" s="2"/>
      <c r="W263" s="2"/>
    </row>
    <row r="264" spans="15:23">
      <c r="O264" s="5"/>
      <c r="P264" s="5"/>
      <c r="Q264" s="5"/>
      <c r="R264" s="2"/>
      <c r="S264" s="5"/>
      <c r="T264" s="5"/>
      <c r="U264" s="5"/>
      <c r="V264" s="2"/>
      <c r="W264" s="2"/>
    </row>
    <row r="265" spans="15:23">
      <c r="O265" s="5"/>
      <c r="P265" s="5"/>
      <c r="Q265" s="5"/>
      <c r="R265" s="2"/>
      <c r="S265" s="5"/>
      <c r="T265" s="5"/>
      <c r="U265" s="5"/>
      <c r="V265" s="2"/>
      <c r="W265" s="2"/>
    </row>
    <row r="266" spans="15:23">
      <c r="O266" s="5"/>
      <c r="P266" s="5"/>
      <c r="Q266" s="5"/>
      <c r="R266" s="2"/>
      <c r="S266" s="5"/>
      <c r="T266" s="5"/>
      <c r="U266" s="5"/>
      <c r="V266" s="2"/>
      <c r="W266" s="2"/>
    </row>
    <row r="267" spans="15:23">
      <c r="O267" s="5"/>
      <c r="P267" s="5"/>
      <c r="Q267" s="5"/>
      <c r="R267" s="2"/>
      <c r="S267" s="5"/>
      <c r="T267" s="5"/>
      <c r="U267" s="5"/>
      <c r="V267" s="2"/>
      <c r="W267" s="2"/>
    </row>
    <row r="268" spans="15:23">
      <c r="O268" s="5"/>
      <c r="P268" s="5"/>
      <c r="Q268" s="5"/>
      <c r="R268" s="2"/>
      <c r="S268" s="5"/>
      <c r="T268" s="5"/>
      <c r="U268" s="5"/>
      <c r="V268" s="2"/>
      <c r="W268" s="2"/>
    </row>
    <row r="269" spans="15:23">
      <c r="O269" s="5"/>
      <c r="P269" s="5"/>
      <c r="Q269" s="5"/>
      <c r="R269" s="2"/>
      <c r="S269" s="5"/>
      <c r="T269" s="5"/>
      <c r="U269" s="5"/>
      <c r="V269" s="2"/>
      <c r="W269" s="2"/>
    </row>
    <row r="270" spans="15:23">
      <c r="O270" s="5"/>
      <c r="P270" s="5"/>
      <c r="Q270" s="5"/>
      <c r="R270" s="2"/>
      <c r="S270" s="5"/>
      <c r="T270" s="5"/>
      <c r="U270" s="5"/>
      <c r="V270" s="2"/>
      <c r="W270" s="2"/>
    </row>
    <row r="271" spans="15:23">
      <c r="O271" s="5"/>
      <c r="P271" s="5"/>
      <c r="Q271" s="5"/>
      <c r="R271" s="2"/>
      <c r="S271" s="5"/>
      <c r="T271" s="5"/>
      <c r="U271" s="5"/>
      <c r="V271" s="2"/>
      <c r="W271" s="2"/>
    </row>
    <row r="272" spans="15:23">
      <c r="O272" s="5"/>
      <c r="P272" s="5"/>
      <c r="Q272" s="5"/>
      <c r="R272" s="2"/>
      <c r="S272" s="5"/>
      <c r="T272" s="5"/>
      <c r="U272" s="5"/>
      <c r="V272" s="2"/>
      <c r="W272" s="2"/>
    </row>
    <row r="273" spans="15:23">
      <c r="O273" s="5"/>
      <c r="P273" s="5"/>
      <c r="Q273" s="5"/>
      <c r="R273" s="2"/>
      <c r="S273" s="5"/>
      <c r="T273" s="5"/>
      <c r="U273" s="5"/>
      <c r="V273" s="2"/>
      <c r="W273" s="2"/>
    </row>
    <row r="274" spans="15:23">
      <c r="O274" s="5"/>
      <c r="P274" s="5"/>
      <c r="Q274" s="5"/>
      <c r="R274" s="2"/>
      <c r="S274" s="5"/>
      <c r="T274" s="5"/>
      <c r="U274" s="5"/>
      <c r="V274" s="2"/>
      <c r="W274" s="2"/>
    </row>
    <row r="275" spans="15:23">
      <c r="O275" s="5"/>
      <c r="P275" s="5"/>
      <c r="Q275" s="5"/>
      <c r="R275" s="2"/>
      <c r="S275" s="5"/>
      <c r="T275" s="5"/>
      <c r="U275" s="5"/>
      <c r="V275" s="2"/>
      <c r="W275" s="2"/>
    </row>
    <row r="276" spans="15:23">
      <c r="O276" s="5"/>
      <c r="P276" s="5"/>
      <c r="Q276" s="5"/>
      <c r="R276" s="2"/>
      <c r="S276" s="5"/>
      <c r="T276" s="5"/>
      <c r="U276" s="5"/>
      <c r="V276" s="2"/>
      <c r="W276" s="2"/>
    </row>
    <row r="277" spans="15:23">
      <c r="O277" s="5"/>
      <c r="P277" s="5"/>
      <c r="Q277" s="5"/>
      <c r="R277" s="2"/>
      <c r="S277" s="5"/>
      <c r="T277" s="5"/>
      <c r="U277" s="5"/>
      <c r="V277" s="2"/>
      <c r="W277" s="2"/>
    </row>
    <row r="278" spans="15:23">
      <c r="O278" s="5"/>
      <c r="P278" s="5"/>
      <c r="Q278" s="5"/>
      <c r="R278" s="2"/>
      <c r="S278" s="5"/>
      <c r="T278" s="5"/>
      <c r="U278" s="5"/>
      <c r="V278" s="2"/>
      <c r="W278" s="2"/>
    </row>
    <row r="279" spans="15:23">
      <c r="O279" s="5"/>
      <c r="P279" s="5"/>
      <c r="Q279" s="5"/>
      <c r="R279" s="2"/>
      <c r="S279" s="5"/>
      <c r="T279" s="5"/>
      <c r="U279" s="5"/>
      <c r="V279" s="2"/>
      <c r="W279" s="2"/>
    </row>
    <row r="280" spans="15:23">
      <c r="O280" s="5"/>
      <c r="P280" s="5"/>
      <c r="Q280" s="5"/>
      <c r="R280" s="2"/>
      <c r="S280" s="5"/>
      <c r="T280" s="5"/>
      <c r="U280" s="5"/>
      <c r="V280" s="2"/>
      <c r="W280" s="2"/>
    </row>
    <row r="281" spans="15:23">
      <c r="O281" s="5"/>
      <c r="P281" s="5"/>
      <c r="Q281" s="5"/>
      <c r="R281" s="2"/>
      <c r="S281" s="5"/>
      <c r="T281" s="5"/>
      <c r="U281" s="5"/>
      <c r="V281" s="2"/>
      <c r="W281" s="2"/>
    </row>
    <row r="282" spans="15:23">
      <c r="O282" s="5"/>
      <c r="P282" s="5"/>
      <c r="Q282" s="5"/>
      <c r="R282" s="2"/>
      <c r="S282" s="5"/>
      <c r="T282" s="5"/>
      <c r="U282" s="5"/>
      <c r="V282" s="2"/>
      <c r="W282" s="2"/>
    </row>
    <row r="283" spans="15:23">
      <c r="O283" s="5"/>
      <c r="P283" s="5"/>
      <c r="Q283" s="5"/>
      <c r="R283" s="2"/>
      <c r="S283" s="5"/>
      <c r="T283" s="5"/>
      <c r="U283" s="5"/>
      <c r="V283" s="2"/>
      <c r="W283" s="2"/>
    </row>
    <row r="284" spans="15:23">
      <c r="O284" s="5"/>
      <c r="P284" s="5"/>
      <c r="Q284" s="5"/>
      <c r="R284" s="2"/>
      <c r="S284" s="5"/>
      <c r="T284" s="5"/>
      <c r="U284" s="5"/>
      <c r="V284" s="2"/>
      <c r="W284" s="2"/>
    </row>
    <row r="285" spans="15:23">
      <c r="O285" s="5"/>
      <c r="P285" s="5"/>
      <c r="Q285" s="5"/>
      <c r="R285" s="2"/>
      <c r="S285" s="5"/>
      <c r="T285" s="5"/>
      <c r="U285" s="5"/>
      <c r="V285" s="2"/>
      <c r="W285" s="2"/>
    </row>
    <row r="286" spans="15:23">
      <c r="O286" s="5"/>
      <c r="P286" s="5"/>
      <c r="Q286" s="5"/>
      <c r="R286" s="2"/>
      <c r="S286" s="5"/>
      <c r="T286" s="5"/>
      <c r="U286" s="5"/>
      <c r="V286" s="2"/>
      <c r="W286" s="2"/>
    </row>
    <row r="287" spans="15:23">
      <c r="O287" s="5"/>
      <c r="P287" s="5"/>
      <c r="Q287" s="5"/>
      <c r="R287" s="2"/>
      <c r="S287" s="5"/>
      <c r="T287" s="5"/>
      <c r="U287" s="5"/>
      <c r="V287" s="2"/>
      <c r="W287" s="2"/>
    </row>
    <row r="288" spans="15:23">
      <c r="O288" s="5"/>
      <c r="P288" s="5"/>
      <c r="Q288" s="5"/>
      <c r="R288" s="2"/>
      <c r="S288" s="5"/>
      <c r="T288" s="5"/>
      <c r="U288" s="5"/>
      <c r="V288" s="2"/>
      <c r="W288" s="2"/>
    </row>
    <row r="289" spans="15:23">
      <c r="O289" s="5"/>
      <c r="P289" s="5"/>
      <c r="Q289" s="5"/>
      <c r="R289" s="2"/>
      <c r="S289" s="5"/>
      <c r="T289" s="5"/>
      <c r="U289" s="5"/>
      <c r="V289" s="2"/>
      <c r="W289" s="2"/>
    </row>
    <row r="290" spans="15:23">
      <c r="O290" s="5"/>
      <c r="P290" s="5"/>
      <c r="Q290" s="5"/>
      <c r="R290" s="2"/>
      <c r="S290" s="5"/>
      <c r="T290" s="5"/>
      <c r="U290" s="5"/>
      <c r="V290" s="2"/>
      <c r="W290" s="2"/>
    </row>
    <row r="291" spans="15:23">
      <c r="O291" s="5"/>
      <c r="P291" s="5"/>
      <c r="Q291" s="5"/>
      <c r="R291" s="2"/>
      <c r="S291" s="5"/>
      <c r="T291" s="5"/>
      <c r="U291" s="5"/>
      <c r="V291" s="2"/>
      <c r="W291" s="2"/>
    </row>
    <row r="292" spans="15:23">
      <c r="O292" s="5"/>
      <c r="P292" s="5"/>
      <c r="Q292" s="5"/>
      <c r="R292" s="2"/>
      <c r="S292" s="5"/>
      <c r="T292" s="5"/>
      <c r="U292" s="5"/>
      <c r="V292" s="2"/>
      <c r="W292" s="2"/>
    </row>
    <row r="293" spans="15:23">
      <c r="O293" s="5"/>
      <c r="P293" s="5"/>
      <c r="Q293" s="5"/>
      <c r="R293" s="2"/>
      <c r="S293" s="5"/>
      <c r="T293" s="5"/>
      <c r="U293" s="5"/>
      <c r="V293" s="2"/>
      <c r="W293" s="2"/>
    </row>
    <row r="294" spans="15:23">
      <c r="O294" s="5"/>
      <c r="P294" s="5"/>
      <c r="Q294" s="5"/>
      <c r="R294" s="2"/>
      <c r="S294" s="5"/>
      <c r="T294" s="5"/>
      <c r="U294" s="5"/>
      <c r="V294" s="2"/>
      <c r="W294" s="2"/>
    </row>
    <row r="295" spans="15:23">
      <c r="O295" s="5"/>
      <c r="P295" s="5"/>
      <c r="Q295" s="5"/>
      <c r="R295" s="2"/>
      <c r="S295" s="5"/>
      <c r="T295" s="5"/>
      <c r="U295" s="5"/>
      <c r="V295" s="2"/>
      <c r="W295" s="2"/>
    </row>
    <row r="296" spans="15:23">
      <c r="O296" s="5"/>
      <c r="P296" s="5"/>
      <c r="Q296" s="5"/>
      <c r="R296" s="2"/>
      <c r="S296" s="5"/>
      <c r="T296" s="5"/>
      <c r="U296" s="5"/>
      <c r="V296" s="2"/>
      <c r="W296" s="2"/>
    </row>
    <row r="297" spans="15:23">
      <c r="O297" s="5"/>
      <c r="P297" s="5"/>
      <c r="Q297" s="5"/>
      <c r="R297" s="2"/>
      <c r="S297" s="5"/>
      <c r="T297" s="5"/>
      <c r="U297" s="5"/>
      <c r="V297" s="2"/>
      <c r="W297" s="2"/>
    </row>
    <row r="298" spans="15:23">
      <c r="O298" s="5"/>
      <c r="P298" s="5"/>
      <c r="Q298" s="5"/>
      <c r="R298" s="2"/>
      <c r="S298" s="5"/>
      <c r="T298" s="5"/>
      <c r="U298" s="5"/>
      <c r="V298" s="2"/>
      <c r="W298" s="2"/>
    </row>
    <row r="299" spans="15:23">
      <c r="O299" s="5"/>
      <c r="P299" s="5"/>
      <c r="Q299" s="5"/>
      <c r="R299" s="2"/>
      <c r="S299" s="5"/>
      <c r="T299" s="5"/>
      <c r="U299" s="5"/>
      <c r="V299" s="2"/>
      <c r="W299" s="2"/>
    </row>
    <row r="300" spans="15:23">
      <c r="O300" s="5"/>
      <c r="P300" s="5"/>
      <c r="Q300" s="5"/>
      <c r="R300" s="2"/>
      <c r="S300" s="5"/>
      <c r="T300" s="5"/>
      <c r="U300" s="5"/>
      <c r="V300" s="2"/>
      <c r="W300" s="2"/>
    </row>
  </sheetData>
  <mergeCells count="44">
    <mergeCell ref="H27:H34"/>
    <mergeCell ref="I27:I34"/>
    <mergeCell ref="C27:C34"/>
    <mergeCell ref="D27:D34"/>
    <mergeCell ref="E27:E34"/>
    <mergeCell ref="F27:F34"/>
    <mergeCell ref="G27:G34"/>
    <mergeCell ref="C2:I2"/>
    <mergeCell ref="I3:I10"/>
    <mergeCell ref="C3:C10"/>
    <mergeCell ref="D3:D10"/>
    <mergeCell ref="E3:E10"/>
    <mergeCell ref="F3:F10"/>
    <mergeCell ref="G3:G10"/>
    <mergeCell ref="H3:H10"/>
    <mergeCell ref="C51:I51"/>
    <mergeCell ref="I11:I18"/>
    <mergeCell ref="C11:C18"/>
    <mergeCell ref="D11:D18"/>
    <mergeCell ref="E11:E18"/>
    <mergeCell ref="F11:F18"/>
    <mergeCell ref="G11:G18"/>
    <mergeCell ref="H11:H18"/>
    <mergeCell ref="C19:C26"/>
    <mergeCell ref="D19:D26"/>
    <mergeCell ref="E19:E26"/>
    <mergeCell ref="F19:F26"/>
    <mergeCell ref="G19:G26"/>
    <mergeCell ref="H19:H26"/>
    <mergeCell ref="I19:I26"/>
    <mergeCell ref="C43:C50"/>
    <mergeCell ref="I43:I50"/>
    <mergeCell ref="D43:D50"/>
    <mergeCell ref="E43:E50"/>
    <mergeCell ref="F43:F50"/>
    <mergeCell ref="G43:G50"/>
    <mergeCell ref="H43:H50"/>
    <mergeCell ref="H35:H42"/>
    <mergeCell ref="I35:I42"/>
    <mergeCell ref="C35:C42"/>
    <mergeCell ref="D35:D42"/>
    <mergeCell ref="E35:E42"/>
    <mergeCell ref="F35:F42"/>
    <mergeCell ref="G35:G4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7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Y275"/>
  <sheetViews>
    <sheetView showGridLines="0" zoomScale="80" zoomScaleNormal="80" zoomScaleSheetLayoutView="70" workbookViewId="0">
      <pane xSplit="10" ySplit="1" topLeftCell="T234" activePane="bottomRight" state="frozen"/>
      <selection activeCell="G34" sqref="G34:H34"/>
      <selection pane="topRight" activeCell="G34" sqref="G34:H34"/>
      <selection pane="bottomLeft" activeCell="G34" sqref="G34:H34"/>
      <selection pane="bottomRight" activeCell="F3" sqref="F3:F274"/>
    </sheetView>
  </sheetViews>
  <sheetFormatPr defaultRowHeight="12"/>
  <cols>
    <col min="1" max="1" width="9.08984375" style="17" bestFit="1" customWidth="1"/>
    <col min="2" max="2" width="11.08984375" style="17" bestFit="1" customWidth="1"/>
    <col min="3" max="3" width="8.90625" style="2" bestFit="1" customWidth="1"/>
    <col min="4" max="4" width="9.08984375" style="2" customWidth="1"/>
    <col min="5" max="5" width="5.08984375" style="2" customWidth="1"/>
    <col min="6" max="6" width="9.6328125" style="2" customWidth="1"/>
    <col min="7" max="8" width="11.90625" style="2" customWidth="1"/>
    <col min="9" max="9" width="9.08984375" style="2" customWidth="1"/>
    <col min="10" max="10" width="12.453125" style="94" bestFit="1" customWidth="1"/>
    <col min="11" max="14" width="13.36328125" style="5" customWidth="1"/>
    <col min="15" max="15" width="13.36328125" style="2" customWidth="1"/>
    <col min="16" max="17" width="13.36328125" style="5" customWidth="1"/>
    <col min="18" max="18" width="13.36328125" style="2" customWidth="1"/>
    <col min="19" max="19" width="13.36328125" style="5" customWidth="1"/>
    <col min="20" max="21" width="13.36328125" style="2" customWidth="1"/>
    <col min="22" max="22" width="13.90625" style="2" customWidth="1"/>
    <col min="23" max="23" width="16.453125" style="2" customWidth="1"/>
    <col min="24" max="24" width="9" style="2"/>
    <col min="25" max="25" width="12.08984375" style="2" bestFit="1" customWidth="1"/>
    <col min="26" max="258" width="9" style="2"/>
    <col min="259" max="259" width="9.90625" style="2" customWidth="1"/>
    <col min="260" max="261" width="5.08984375" style="2" customWidth="1"/>
    <col min="262" max="262" width="9.6328125" style="2" customWidth="1"/>
    <col min="263" max="264" width="11.90625" style="2" customWidth="1"/>
    <col min="265" max="265" width="15.36328125" style="2" customWidth="1"/>
    <col min="266" max="266" width="10.90625" style="2" customWidth="1"/>
    <col min="267" max="277" width="13.36328125" style="2" customWidth="1"/>
    <col min="278" max="278" width="13.90625" style="2" customWidth="1"/>
    <col min="279" max="279" width="16.453125" style="2" customWidth="1"/>
    <col min="280" max="514" width="9" style="2"/>
    <col min="515" max="515" width="9.90625" style="2" customWidth="1"/>
    <col min="516" max="517" width="5.08984375" style="2" customWidth="1"/>
    <col min="518" max="518" width="9.6328125" style="2" customWidth="1"/>
    <col min="519" max="520" width="11.90625" style="2" customWidth="1"/>
    <col min="521" max="521" width="15.36328125" style="2" customWidth="1"/>
    <col min="522" max="522" width="10.90625" style="2" customWidth="1"/>
    <col min="523" max="533" width="13.36328125" style="2" customWidth="1"/>
    <col min="534" max="534" width="13.90625" style="2" customWidth="1"/>
    <col min="535" max="535" width="16.453125" style="2" customWidth="1"/>
    <col min="536" max="770" width="9" style="2"/>
    <col min="771" max="771" width="9.90625" style="2" customWidth="1"/>
    <col min="772" max="773" width="5.08984375" style="2" customWidth="1"/>
    <col min="774" max="774" width="9.6328125" style="2" customWidth="1"/>
    <col min="775" max="776" width="11.90625" style="2" customWidth="1"/>
    <col min="777" max="777" width="15.36328125" style="2" customWidth="1"/>
    <col min="778" max="778" width="10.90625" style="2" customWidth="1"/>
    <col min="779" max="789" width="13.36328125" style="2" customWidth="1"/>
    <col min="790" max="790" width="13.90625" style="2" customWidth="1"/>
    <col min="791" max="791" width="16.453125" style="2" customWidth="1"/>
    <col min="792" max="1026" width="9" style="2"/>
    <col min="1027" max="1027" width="9.90625" style="2" customWidth="1"/>
    <col min="1028" max="1029" width="5.08984375" style="2" customWidth="1"/>
    <col min="1030" max="1030" width="9.6328125" style="2" customWidth="1"/>
    <col min="1031" max="1032" width="11.90625" style="2" customWidth="1"/>
    <col min="1033" max="1033" width="15.36328125" style="2" customWidth="1"/>
    <col min="1034" max="1034" width="10.90625" style="2" customWidth="1"/>
    <col min="1035" max="1045" width="13.36328125" style="2" customWidth="1"/>
    <col min="1046" max="1046" width="13.90625" style="2" customWidth="1"/>
    <col min="1047" max="1047" width="16.453125" style="2" customWidth="1"/>
    <col min="1048" max="1282" width="9" style="2"/>
    <col min="1283" max="1283" width="9.90625" style="2" customWidth="1"/>
    <col min="1284" max="1285" width="5.08984375" style="2" customWidth="1"/>
    <col min="1286" max="1286" width="9.6328125" style="2" customWidth="1"/>
    <col min="1287" max="1288" width="11.90625" style="2" customWidth="1"/>
    <col min="1289" max="1289" width="15.36328125" style="2" customWidth="1"/>
    <col min="1290" max="1290" width="10.90625" style="2" customWidth="1"/>
    <col min="1291" max="1301" width="13.36328125" style="2" customWidth="1"/>
    <col min="1302" max="1302" width="13.90625" style="2" customWidth="1"/>
    <col min="1303" max="1303" width="16.453125" style="2" customWidth="1"/>
    <col min="1304" max="1538" width="9" style="2"/>
    <col min="1539" max="1539" width="9.90625" style="2" customWidth="1"/>
    <col min="1540" max="1541" width="5.08984375" style="2" customWidth="1"/>
    <col min="1542" max="1542" width="9.6328125" style="2" customWidth="1"/>
    <col min="1543" max="1544" width="11.90625" style="2" customWidth="1"/>
    <col min="1545" max="1545" width="15.36328125" style="2" customWidth="1"/>
    <col min="1546" max="1546" width="10.90625" style="2" customWidth="1"/>
    <col min="1547" max="1557" width="13.36328125" style="2" customWidth="1"/>
    <col min="1558" max="1558" width="13.90625" style="2" customWidth="1"/>
    <col min="1559" max="1559" width="16.453125" style="2" customWidth="1"/>
    <col min="1560" max="1794" width="9" style="2"/>
    <col min="1795" max="1795" width="9.90625" style="2" customWidth="1"/>
    <col min="1796" max="1797" width="5.08984375" style="2" customWidth="1"/>
    <col min="1798" max="1798" width="9.6328125" style="2" customWidth="1"/>
    <col min="1799" max="1800" width="11.90625" style="2" customWidth="1"/>
    <col min="1801" max="1801" width="15.36328125" style="2" customWidth="1"/>
    <col min="1802" max="1802" width="10.90625" style="2" customWidth="1"/>
    <col min="1803" max="1813" width="13.36328125" style="2" customWidth="1"/>
    <col min="1814" max="1814" width="13.90625" style="2" customWidth="1"/>
    <col min="1815" max="1815" width="16.453125" style="2" customWidth="1"/>
    <col min="1816" max="2050" width="9" style="2"/>
    <col min="2051" max="2051" width="9.90625" style="2" customWidth="1"/>
    <col min="2052" max="2053" width="5.08984375" style="2" customWidth="1"/>
    <col min="2054" max="2054" width="9.6328125" style="2" customWidth="1"/>
    <col min="2055" max="2056" width="11.90625" style="2" customWidth="1"/>
    <col min="2057" max="2057" width="15.36328125" style="2" customWidth="1"/>
    <col min="2058" max="2058" width="10.90625" style="2" customWidth="1"/>
    <col min="2059" max="2069" width="13.36328125" style="2" customWidth="1"/>
    <col min="2070" max="2070" width="13.90625" style="2" customWidth="1"/>
    <col min="2071" max="2071" width="16.453125" style="2" customWidth="1"/>
    <col min="2072" max="2306" width="9" style="2"/>
    <col min="2307" max="2307" width="9.90625" style="2" customWidth="1"/>
    <col min="2308" max="2309" width="5.08984375" style="2" customWidth="1"/>
    <col min="2310" max="2310" width="9.6328125" style="2" customWidth="1"/>
    <col min="2311" max="2312" width="11.90625" style="2" customWidth="1"/>
    <col min="2313" max="2313" width="15.36328125" style="2" customWidth="1"/>
    <col min="2314" max="2314" width="10.90625" style="2" customWidth="1"/>
    <col min="2315" max="2325" width="13.36328125" style="2" customWidth="1"/>
    <col min="2326" max="2326" width="13.90625" style="2" customWidth="1"/>
    <col min="2327" max="2327" width="16.453125" style="2" customWidth="1"/>
    <col min="2328" max="2562" width="9" style="2"/>
    <col min="2563" max="2563" width="9.90625" style="2" customWidth="1"/>
    <col min="2564" max="2565" width="5.08984375" style="2" customWidth="1"/>
    <col min="2566" max="2566" width="9.6328125" style="2" customWidth="1"/>
    <col min="2567" max="2568" width="11.90625" style="2" customWidth="1"/>
    <col min="2569" max="2569" width="15.36328125" style="2" customWidth="1"/>
    <col min="2570" max="2570" width="10.90625" style="2" customWidth="1"/>
    <col min="2571" max="2581" width="13.36328125" style="2" customWidth="1"/>
    <col min="2582" max="2582" width="13.90625" style="2" customWidth="1"/>
    <col min="2583" max="2583" width="16.453125" style="2" customWidth="1"/>
    <col min="2584" max="2818" width="9" style="2"/>
    <col min="2819" max="2819" width="9.90625" style="2" customWidth="1"/>
    <col min="2820" max="2821" width="5.08984375" style="2" customWidth="1"/>
    <col min="2822" max="2822" width="9.6328125" style="2" customWidth="1"/>
    <col min="2823" max="2824" width="11.90625" style="2" customWidth="1"/>
    <col min="2825" max="2825" width="15.36328125" style="2" customWidth="1"/>
    <col min="2826" max="2826" width="10.90625" style="2" customWidth="1"/>
    <col min="2827" max="2837" width="13.36328125" style="2" customWidth="1"/>
    <col min="2838" max="2838" width="13.90625" style="2" customWidth="1"/>
    <col min="2839" max="2839" width="16.453125" style="2" customWidth="1"/>
    <col min="2840" max="3074" width="9" style="2"/>
    <col min="3075" max="3075" width="9.90625" style="2" customWidth="1"/>
    <col min="3076" max="3077" width="5.08984375" style="2" customWidth="1"/>
    <col min="3078" max="3078" width="9.6328125" style="2" customWidth="1"/>
    <col min="3079" max="3080" width="11.90625" style="2" customWidth="1"/>
    <col min="3081" max="3081" width="15.36328125" style="2" customWidth="1"/>
    <col min="3082" max="3082" width="10.90625" style="2" customWidth="1"/>
    <col min="3083" max="3093" width="13.36328125" style="2" customWidth="1"/>
    <col min="3094" max="3094" width="13.90625" style="2" customWidth="1"/>
    <col min="3095" max="3095" width="16.453125" style="2" customWidth="1"/>
    <col min="3096" max="3330" width="9" style="2"/>
    <col min="3331" max="3331" width="9.90625" style="2" customWidth="1"/>
    <col min="3332" max="3333" width="5.08984375" style="2" customWidth="1"/>
    <col min="3334" max="3334" width="9.6328125" style="2" customWidth="1"/>
    <col min="3335" max="3336" width="11.90625" style="2" customWidth="1"/>
    <col min="3337" max="3337" width="15.36328125" style="2" customWidth="1"/>
    <col min="3338" max="3338" width="10.90625" style="2" customWidth="1"/>
    <col min="3339" max="3349" width="13.36328125" style="2" customWidth="1"/>
    <col min="3350" max="3350" width="13.90625" style="2" customWidth="1"/>
    <col min="3351" max="3351" width="16.453125" style="2" customWidth="1"/>
    <col min="3352" max="3586" width="9" style="2"/>
    <col min="3587" max="3587" width="9.90625" style="2" customWidth="1"/>
    <col min="3588" max="3589" width="5.08984375" style="2" customWidth="1"/>
    <col min="3590" max="3590" width="9.6328125" style="2" customWidth="1"/>
    <col min="3591" max="3592" width="11.90625" style="2" customWidth="1"/>
    <col min="3593" max="3593" width="15.36328125" style="2" customWidth="1"/>
    <col min="3594" max="3594" width="10.90625" style="2" customWidth="1"/>
    <col min="3595" max="3605" width="13.36328125" style="2" customWidth="1"/>
    <col min="3606" max="3606" width="13.90625" style="2" customWidth="1"/>
    <col min="3607" max="3607" width="16.453125" style="2" customWidth="1"/>
    <col min="3608" max="3842" width="9" style="2"/>
    <col min="3843" max="3843" width="9.90625" style="2" customWidth="1"/>
    <col min="3844" max="3845" width="5.08984375" style="2" customWidth="1"/>
    <col min="3846" max="3846" width="9.6328125" style="2" customWidth="1"/>
    <col min="3847" max="3848" width="11.90625" style="2" customWidth="1"/>
    <col min="3849" max="3849" width="15.36328125" style="2" customWidth="1"/>
    <col min="3850" max="3850" width="10.90625" style="2" customWidth="1"/>
    <col min="3851" max="3861" width="13.36328125" style="2" customWidth="1"/>
    <col min="3862" max="3862" width="13.90625" style="2" customWidth="1"/>
    <col min="3863" max="3863" width="16.453125" style="2" customWidth="1"/>
    <col min="3864" max="4098" width="9" style="2"/>
    <col min="4099" max="4099" width="9.90625" style="2" customWidth="1"/>
    <col min="4100" max="4101" width="5.08984375" style="2" customWidth="1"/>
    <col min="4102" max="4102" width="9.6328125" style="2" customWidth="1"/>
    <col min="4103" max="4104" width="11.90625" style="2" customWidth="1"/>
    <col min="4105" max="4105" width="15.36328125" style="2" customWidth="1"/>
    <col min="4106" max="4106" width="10.90625" style="2" customWidth="1"/>
    <col min="4107" max="4117" width="13.36328125" style="2" customWidth="1"/>
    <col min="4118" max="4118" width="13.90625" style="2" customWidth="1"/>
    <col min="4119" max="4119" width="16.453125" style="2" customWidth="1"/>
    <col min="4120" max="4354" width="9" style="2"/>
    <col min="4355" max="4355" width="9.90625" style="2" customWidth="1"/>
    <col min="4356" max="4357" width="5.08984375" style="2" customWidth="1"/>
    <col min="4358" max="4358" width="9.6328125" style="2" customWidth="1"/>
    <col min="4359" max="4360" width="11.90625" style="2" customWidth="1"/>
    <col min="4361" max="4361" width="15.36328125" style="2" customWidth="1"/>
    <col min="4362" max="4362" width="10.90625" style="2" customWidth="1"/>
    <col min="4363" max="4373" width="13.36328125" style="2" customWidth="1"/>
    <col min="4374" max="4374" width="13.90625" style="2" customWidth="1"/>
    <col min="4375" max="4375" width="16.453125" style="2" customWidth="1"/>
    <col min="4376" max="4610" width="9" style="2"/>
    <col min="4611" max="4611" width="9.90625" style="2" customWidth="1"/>
    <col min="4612" max="4613" width="5.08984375" style="2" customWidth="1"/>
    <col min="4614" max="4614" width="9.6328125" style="2" customWidth="1"/>
    <col min="4615" max="4616" width="11.90625" style="2" customWidth="1"/>
    <col min="4617" max="4617" width="15.36328125" style="2" customWidth="1"/>
    <col min="4618" max="4618" width="10.90625" style="2" customWidth="1"/>
    <col min="4619" max="4629" width="13.36328125" style="2" customWidth="1"/>
    <col min="4630" max="4630" width="13.90625" style="2" customWidth="1"/>
    <col min="4631" max="4631" width="16.453125" style="2" customWidth="1"/>
    <col min="4632" max="4866" width="9" style="2"/>
    <col min="4867" max="4867" width="9.90625" style="2" customWidth="1"/>
    <col min="4868" max="4869" width="5.08984375" style="2" customWidth="1"/>
    <col min="4870" max="4870" width="9.6328125" style="2" customWidth="1"/>
    <col min="4871" max="4872" width="11.90625" style="2" customWidth="1"/>
    <col min="4873" max="4873" width="15.36328125" style="2" customWidth="1"/>
    <col min="4874" max="4874" width="10.90625" style="2" customWidth="1"/>
    <col min="4875" max="4885" width="13.36328125" style="2" customWidth="1"/>
    <col min="4886" max="4886" width="13.90625" style="2" customWidth="1"/>
    <col min="4887" max="4887" width="16.453125" style="2" customWidth="1"/>
    <col min="4888" max="5122" width="9" style="2"/>
    <col min="5123" max="5123" width="9.90625" style="2" customWidth="1"/>
    <col min="5124" max="5125" width="5.08984375" style="2" customWidth="1"/>
    <col min="5126" max="5126" width="9.6328125" style="2" customWidth="1"/>
    <col min="5127" max="5128" width="11.90625" style="2" customWidth="1"/>
    <col min="5129" max="5129" width="15.36328125" style="2" customWidth="1"/>
    <col min="5130" max="5130" width="10.90625" style="2" customWidth="1"/>
    <col min="5131" max="5141" width="13.36328125" style="2" customWidth="1"/>
    <col min="5142" max="5142" width="13.90625" style="2" customWidth="1"/>
    <col min="5143" max="5143" width="16.453125" style="2" customWidth="1"/>
    <col min="5144" max="5378" width="9" style="2"/>
    <col min="5379" max="5379" width="9.90625" style="2" customWidth="1"/>
    <col min="5380" max="5381" width="5.08984375" style="2" customWidth="1"/>
    <col min="5382" max="5382" width="9.6328125" style="2" customWidth="1"/>
    <col min="5383" max="5384" width="11.90625" style="2" customWidth="1"/>
    <col min="5385" max="5385" width="15.36328125" style="2" customWidth="1"/>
    <col min="5386" max="5386" width="10.90625" style="2" customWidth="1"/>
    <col min="5387" max="5397" width="13.36328125" style="2" customWidth="1"/>
    <col min="5398" max="5398" width="13.90625" style="2" customWidth="1"/>
    <col min="5399" max="5399" width="16.453125" style="2" customWidth="1"/>
    <col min="5400" max="5634" width="9" style="2"/>
    <col min="5635" max="5635" width="9.90625" style="2" customWidth="1"/>
    <col min="5636" max="5637" width="5.08984375" style="2" customWidth="1"/>
    <col min="5638" max="5638" width="9.6328125" style="2" customWidth="1"/>
    <col min="5639" max="5640" width="11.90625" style="2" customWidth="1"/>
    <col min="5641" max="5641" width="15.36328125" style="2" customWidth="1"/>
    <col min="5642" max="5642" width="10.90625" style="2" customWidth="1"/>
    <col min="5643" max="5653" width="13.36328125" style="2" customWidth="1"/>
    <col min="5654" max="5654" width="13.90625" style="2" customWidth="1"/>
    <col min="5655" max="5655" width="16.453125" style="2" customWidth="1"/>
    <col min="5656" max="5890" width="9" style="2"/>
    <col min="5891" max="5891" width="9.90625" style="2" customWidth="1"/>
    <col min="5892" max="5893" width="5.08984375" style="2" customWidth="1"/>
    <col min="5894" max="5894" width="9.6328125" style="2" customWidth="1"/>
    <col min="5895" max="5896" width="11.90625" style="2" customWidth="1"/>
    <col min="5897" max="5897" width="15.36328125" style="2" customWidth="1"/>
    <col min="5898" max="5898" width="10.90625" style="2" customWidth="1"/>
    <col min="5899" max="5909" width="13.36328125" style="2" customWidth="1"/>
    <col min="5910" max="5910" width="13.90625" style="2" customWidth="1"/>
    <col min="5911" max="5911" width="16.453125" style="2" customWidth="1"/>
    <col min="5912" max="6146" width="9" style="2"/>
    <col min="6147" max="6147" width="9.90625" style="2" customWidth="1"/>
    <col min="6148" max="6149" width="5.08984375" style="2" customWidth="1"/>
    <col min="6150" max="6150" width="9.6328125" style="2" customWidth="1"/>
    <col min="6151" max="6152" width="11.90625" style="2" customWidth="1"/>
    <col min="6153" max="6153" width="15.36328125" style="2" customWidth="1"/>
    <col min="6154" max="6154" width="10.90625" style="2" customWidth="1"/>
    <col min="6155" max="6165" width="13.36328125" style="2" customWidth="1"/>
    <col min="6166" max="6166" width="13.90625" style="2" customWidth="1"/>
    <col min="6167" max="6167" width="16.453125" style="2" customWidth="1"/>
    <col min="6168" max="6402" width="9" style="2"/>
    <col min="6403" max="6403" width="9.90625" style="2" customWidth="1"/>
    <col min="6404" max="6405" width="5.08984375" style="2" customWidth="1"/>
    <col min="6406" max="6406" width="9.6328125" style="2" customWidth="1"/>
    <col min="6407" max="6408" width="11.90625" style="2" customWidth="1"/>
    <col min="6409" max="6409" width="15.36328125" style="2" customWidth="1"/>
    <col min="6410" max="6410" width="10.90625" style="2" customWidth="1"/>
    <col min="6411" max="6421" width="13.36328125" style="2" customWidth="1"/>
    <col min="6422" max="6422" width="13.90625" style="2" customWidth="1"/>
    <col min="6423" max="6423" width="16.453125" style="2" customWidth="1"/>
    <col min="6424" max="6658" width="9" style="2"/>
    <col min="6659" max="6659" width="9.90625" style="2" customWidth="1"/>
    <col min="6660" max="6661" width="5.08984375" style="2" customWidth="1"/>
    <col min="6662" max="6662" width="9.6328125" style="2" customWidth="1"/>
    <col min="6663" max="6664" width="11.90625" style="2" customWidth="1"/>
    <col min="6665" max="6665" width="15.36328125" style="2" customWidth="1"/>
    <col min="6666" max="6666" width="10.90625" style="2" customWidth="1"/>
    <col min="6667" max="6677" width="13.36328125" style="2" customWidth="1"/>
    <col min="6678" max="6678" width="13.90625" style="2" customWidth="1"/>
    <col min="6679" max="6679" width="16.453125" style="2" customWidth="1"/>
    <col min="6680" max="6914" width="9" style="2"/>
    <col min="6915" max="6915" width="9.90625" style="2" customWidth="1"/>
    <col min="6916" max="6917" width="5.08984375" style="2" customWidth="1"/>
    <col min="6918" max="6918" width="9.6328125" style="2" customWidth="1"/>
    <col min="6919" max="6920" width="11.90625" style="2" customWidth="1"/>
    <col min="6921" max="6921" width="15.36328125" style="2" customWidth="1"/>
    <col min="6922" max="6922" width="10.90625" style="2" customWidth="1"/>
    <col min="6923" max="6933" width="13.36328125" style="2" customWidth="1"/>
    <col min="6934" max="6934" width="13.90625" style="2" customWidth="1"/>
    <col min="6935" max="6935" width="16.453125" style="2" customWidth="1"/>
    <col min="6936" max="7170" width="9" style="2"/>
    <col min="7171" max="7171" width="9.90625" style="2" customWidth="1"/>
    <col min="7172" max="7173" width="5.08984375" style="2" customWidth="1"/>
    <col min="7174" max="7174" width="9.6328125" style="2" customWidth="1"/>
    <col min="7175" max="7176" width="11.90625" style="2" customWidth="1"/>
    <col min="7177" max="7177" width="15.36328125" style="2" customWidth="1"/>
    <col min="7178" max="7178" width="10.90625" style="2" customWidth="1"/>
    <col min="7179" max="7189" width="13.36328125" style="2" customWidth="1"/>
    <col min="7190" max="7190" width="13.90625" style="2" customWidth="1"/>
    <col min="7191" max="7191" width="16.453125" style="2" customWidth="1"/>
    <col min="7192" max="7426" width="9" style="2"/>
    <col min="7427" max="7427" width="9.90625" style="2" customWidth="1"/>
    <col min="7428" max="7429" width="5.08984375" style="2" customWidth="1"/>
    <col min="7430" max="7430" width="9.6328125" style="2" customWidth="1"/>
    <col min="7431" max="7432" width="11.90625" style="2" customWidth="1"/>
    <col min="7433" max="7433" width="15.36328125" style="2" customWidth="1"/>
    <col min="7434" max="7434" width="10.90625" style="2" customWidth="1"/>
    <col min="7435" max="7445" width="13.36328125" style="2" customWidth="1"/>
    <col min="7446" max="7446" width="13.90625" style="2" customWidth="1"/>
    <col min="7447" max="7447" width="16.453125" style="2" customWidth="1"/>
    <col min="7448" max="7682" width="9" style="2"/>
    <col min="7683" max="7683" width="9.90625" style="2" customWidth="1"/>
    <col min="7684" max="7685" width="5.08984375" style="2" customWidth="1"/>
    <col min="7686" max="7686" width="9.6328125" style="2" customWidth="1"/>
    <col min="7687" max="7688" width="11.90625" style="2" customWidth="1"/>
    <col min="7689" max="7689" width="15.36328125" style="2" customWidth="1"/>
    <col min="7690" max="7690" width="10.90625" style="2" customWidth="1"/>
    <col min="7691" max="7701" width="13.36328125" style="2" customWidth="1"/>
    <col min="7702" max="7702" width="13.90625" style="2" customWidth="1"/>
    <col min="7703" max="7703" width="16.453125" style="2" customWidth="1"/>
    <col min="7704" max="7938" width="9" style="2"/>
    <col min="7939" max="7939" width="9.90625" style="2" customWidth="1"/>
    <col min="7940" max="7941" width="5.08984375" style="2" customWidth="1"/>
    <col min="7942" max="7942" width="9.6328125" style="2" customWidth="1"/>
    <col min="7943" max="7944" width="11.90625" style="2" customWidth="1"/>
    <col min="7945" max="7945" width="15.36328125" style="2" customWidth="1"/>
    <col min="7946" max="7946" width="10.90625" style="2" customWidth="1"/>
    <col min="7947" max="7957" width="13.36328125" style="2" customWidth="1"/>
    <col min="7958" max="7958" width="13.90625" style="2" customWidth="1"/>
    <col min="7959" max="7959" width="16.453125" style="2" customWidth="1"/>
    <col min="7960" max="8194" width="9" style="2"/>
    <col min="8195" max="8195" width="9.90625" style="2" customWidth="1"/>
    <col min="8196" max="8197" width="5.08984375" style="2" customWidth="1"/>
    <col min="8198" max="8198" width="9.6328125" style="2" customWidth="1"/>
    <col min="8199" max="8200" width="11.90625" style="2" customWidth="1"/>
    <col min="8201" max="8201" width="15.36328125" style="2" customWidth="1"/>
    <col min="8202" max="8202" width="10.90625" style="2" customWidth="1"/>
    <col min="8203" max="8213" width="13.36328125" style="2" customWidth="1"/>
    <col min="8214" max="8214" width="13.90625" style="2" customWidth="1"/>
    <col min="8215" max="8215" width="16.453125" style="2" customWidth="1"/>
    <col min="8216" max="8450" width="9" style="2"/>
    <col min="8451" max="8451" width="9.90625" style="2" customWidth="1"/>
    <col min="8452" max="8453" width="5.08984375" style="2" customWidth="1"/>
    <col min="8454" max="8454" width="9.6328125" style="2" customWidth="1"/>
    <col min="8455" max="8456" width="11.90625" style="2" customWidth="1"/>
    <col min="8457" max="8457" width="15.36328125" style="2" customWidth="1"/>
    <col min="8458" max="8458" width="10.90625" style="2" customWidth="1"/>
    <col min="8459" max="8469" width="13.36328125" style="2" customWidth="1"/>
    <col min="8470" max="8470" width="13.90625" style="2" customWidth="1"/>
    <col min="8471" max="8471" width="16.453125" style="2" customWidth="1"/>
    <col min="8472" max="8706" width="9" style="2"/>
    <col min="8707" max="8707" width="9.90625" style="2" customWidth="1"/>
    <col min="8708" max="8709" width="5.08984375" style="2" customWidth="1"/>
    <col min="8710" max="8710" width="9.6328125" style="2" customWidth="1"/>
    <col min="8711" max="8712" width="11.90625" style="2" customWidth="1"/>
    <col min="8713" max="8713" width="15.36328125" style="2" customWidth="1"/>
    <col min="8714" max="8714" width="10.90625" style="2" customWidth="1"/>
    <col min="8715" max="8725" width="13.36328125" style="2" customWidth="1"/>
    <col min="8726" max="8726" width="13.90625" style="2" customWidth="1"/>
    <col min="8727" max="8727" width="16.453125" style="2" customWidth="1"/>
    <col min="8728" max="8962" width="9" style="2"/>
    <col min="8963" max="8963" width="9.90625" style="2" customWidth="1"/>
    <col min="8964" max="8965" width="5.08984375" style="2" customWidth="1"/>
    <col min="8966" max="8966" width="9.6328125" style="2" customWidth="1"/>
    <col min="8967" max="8968" width="11.90625" style="2" customWidth="1"/>
    <col min="8969" max="8969" width="15.36328125" style="2" customWidth="1"/>
    <col min="8970" max="8970" width="10.90625" style="2" customWidth="1"/>
    <col min="8971" max="8981" width="13.36328125" style="2" customWidth="1"/>
    <col min="8982" max="8982" width="13.90625" style="2" customWidth="1"/>
    <col min="8983" max="8983" width="16.453125" style="2" customWidth="1"/>
    <col min="8984" max="9218" width="9" style="2"/>
    <col min="9219" max="9219" width="9.90625" style="2" customWidth="1"/>
    <col min="9220" max="9221" width="5.08984375" style="2" customWidth="1"/>
    <col min="9222" max="9222" width="9.6328125" style="2" customWidth="1"/>
    <col min="9223" max="9224" width="11.90625" style="2" customWidth="1"/>
    <col min="9225" max="9225" width="15.36328125" style="2" customWidth="1"/>
    <col min="9226" max="9226" width="10.90625" style="2" customWidth="1"/>
    <col min="9227" max="9237" width="13.36328125" style="2" customWidth="1"/>
    <col min="9238" max="9238" width="13.90625" style="2" customWidth="1"/>
    <col min="9239" max="9239" width="16.453125" style="2" customWidth="1"/>
    <col min="9240" max="9474" width="9" style="2"/>
    <col min="9475" max="9475" width="9.90625" style="2" customWidth="1"/>
    <col min="9476" max="9477" width="5.08984375" style="2" customWidth="1"/>
    <col min="9478" max="9478" width="9.6328125" style="2" customWidth="1"/>
    <col min="9479" max="9480" width="11.90625" style="2" customWidth="1"/>
    <col min="9481" max="9481" width="15.36328125" style="2" customWidth="1"/>
    <col min="9482" max="9482" width="10.90625" style="2" customWidth="1"/>
    <col min="9483" max="9493" width="13.36328125" style="2" customWidth="1"/>
    <col min="9494" max="9494" width="13.90625" style="2" customWidth="1"/>
    <col min="9495" max="9495" width="16.453125" style="2" customWidth="1"/>
    <col min="9496" max="9730" width="9" style="2"/>
    <col min="9731" max="9731" width="9.90625" style="2" customWidth="1"/>
    <col min="9732" max="9733" width="5.08984375" style="2" customWidth="1"/>
    <col min="9734" max="9734" width="9.6328125" style="2" customWidth="1"/>
    <col min="9735" max="9736" width="11.90625" style="2" customWidth="1"/>
    <col min="9737" max="9737" width="15.36328125" style="2" customWidth="1"/>
    <col min="9738" max="9738" width="10.90625" style="2" customWidth="1"/>
    <col min="9739" max="9749" width="13.36328125" style="2" customWidth="1"/>
    <col min="9750" max="9750" width="13.90625" style="2" customWidth="1"/>
    <col min="9751" max="9751" width="16.453125" style="2" customWidth="1"/>
    <col min="9752" max="9986" width="9" style="2"/>
    <col min="9987" max="9987" width="9.90625" style="2" customWidth="1"/>
    <col min="9988" max="9989" width="5.08984375" style="2" customWidth="1"/>
    <col min="9990" max="9990" width="9.6328125" style="2" customWidth="1"/>
    <col min="9991" max="9992" width="11.90625" style="2" customWidth="1"/>
    <col min="9993" max="9993" width="15.36328125" style="2" customWidth="1"/>
    <col min="9994" max="9994" width="10.90625" style="2" customWidth="1"/>
    <col min="9995" max="10005" width="13.36328125" style="2" customWidth="1"/>
    <col min="10006" max="10006" width="13.90625" style="2" customWidth="1"/>
    <col min="10007" max="10007" width="16.453125" style="2" customWidth="1"/>
    <col min="10008" max="10242" width="9" style="2"/>
    <col min="10243" max="10243" width="9.90625" style="2" customWidth="1"/>
    <col min="10244" max="10245" width="5.08984375" style="2" customWidth="1"/>
    <col min="10246" max="10246" width="9.6328125" style="2" customWidth="1"/>
    <col min="10247" max="10248" width="11.90625" style="2" customWidth="1"/>
    <col min="10249" max="10249" width="15.36328125" style="2" customWidth="1"/>
    <col min="10250" max="10250" width="10.90625" style="2" customWidth="1"/>
    <col min="10251" max="10261" width="13.36328125" style="2" customWidth="1"/>
    <col min="10262" max="10262" width="13.90625" style="2" customWidth="1"/>
    <col min="10263" max="10263" width="16.453125" style="2" customWidth="1"/>
    <col min="10264" max="10498" width="9" style="2"/>
    <col min="10499" max="10499" width="9.90625" style="2" customWidth="1"/>
    <col min="10500" max="10501" width="5.08984375" style="2" customWidth="1"/>
    <col min="10502" max="10502" width="9.6328125" style="2" customWidth="1"/>
    <col min="10503" max="10504" width="11.90625" style="2" customWidth="1"/>
    <col min="10505" max="10505" width="15.36328125" style="2" customWidth="1"/>
    <col min="10506" max="10506" width="10.90625" style="2" customWidth="1"/>
    <col min="10507" max="10517" width="13.36328125" style="2" customWidth="1"/>
    <col min="10518" max="10518" width="13.90625" style="2" customWidth="1"/>
    <col min="10519" max="10519" width="16.453125" style="2" customWidth="1"/>
    <col min="10520" max="10754" width="9" style="2"/>
    <col min="10755" max="10755" width="9.90625" style="2" customWidth="1"/>
    <col min="10756" max="10757" width="5.08984375" style="2" customWidth="1"/>
    <col min="10758" max="10758" width="9.6328125" style="2" customWidth="1"/>
    <col min="10759" max="10760" width="11.90625" style="2" customWidth="1"/>
    <col min="10761" max="10761" width="15.36328125" style="2" customWidth="1"/>
    <col min="10762" max="10762" width="10.90625" style="2" customWidth="1"/>
    <col min="10763" max="10773" width="13.36328125" style="2" customWidth="1"/>
    <col min="10774" max="10774" width="13.90625" style="2" customWidth="1"/>
    <col min="10775" max="10775" width="16.453125" style="2" customWidth="1"/>
    <col min="10776" max="11010" width="9" style="2"/>
    <col min="11011" max="11011" width="9.90625" style="2" customWidth="1"/>
    <col min="11012" max="11013" width="5.08984375" style="2" customWidth="1"/>
    <col min="11014" max="11014" width="9.6328125" style="2" customWidth="1"/>
    <col min="11015" max="11016" width="11.90625" style="2" customWidth="1"/>
    <col min="11017" max="11017" width="15.36328125" style="2" customWidth="1"/>
    <col min="11018" max="11018" width="10.90625" style="2" customWidth="1"/>
    <col min="11019" max="11029" width="13.36328125" style="2" customWidth="1"/>
    <col min="11030" max="11030" width="13.90625" style="2" customWidth="1"/>
    <col min="11031" max="11031" width="16.453125" style="2" customWidth="1"/>
    <col min="11032" max="11266" width="9" style="2"/>
    <col min="11267" max="11267" width="9.90625" style="2" customWidth="1"/>
    <col min="11268" max="11269" width="5.08984375" style="2" customWidth="1"/>
    <col min="11270" max="11270" width="9.6328125" style="2" customWidth="1"/>
    <col min="11271" max="11272" width="11.90625" style="2" customWidth="1"/>
    <col min="11273" max="11273" width="15.36328125" style="2" customWidth="1"/>
    <col min="11274" max="11274" width="10.90625" style="2" customWidth="1"/>
    <col min="11275" max="11285" width="13.36328125" style="2" customWidth="1"/>
    <col min="11286" max="11286" width="13.90625" style="2" customWidth="1"/>
    <col min="11287" max="11287" width="16.453125" style="2" customWidth="1"/>
    <col min="11288" max="11522" width="9" style="2"/>
    <col min="11523" max="11523" width="9.90625" style="2" customWidth="1"/>
    <col min="11524" max="11525" width="5.08984375" style="2" customWidth="1"/>
    <col min="11526" max="11526" width="9.6328125" style="2" customWidth="1"/>
    <col min="11527" max="11528" width="11.90625" style="2" customWidth="1"/>
    <col min="11529" max="11529" width="15.36328125" style="2" customWidth="1"/>
    <col min="11530" max="11530" width="10.90625" style="2" customWidth="1"/>
    <col min="11531" max="11541" width="13.36328125" style="2" customWidth="1"/>
    <col min="11542" max="11542" width="13.90625" style="2" customWidth="1"/>
    <col min="11543" max="11543" width="16.453125" style="2" customWidth="1"/>
    <col min="11544" max="11778" width="9" style="2"/>
    <col min="11779" max="11779" width="9.90625" style="2" customWidth="1"/>
    <col min="11780" max="11781" width="5.08984375" style="2" customWidth="1"/>
    <col min="11782" max="11782" width="9.6328125" style="2" customWidth="1"/>
    <col min="11783" max="11784" width="11.90625" style="2" customWidth="1"/>
    <col min="11785" max="11785" width="15.36328125" style="2" customWidth="1"/>
    <col min="11786" max="11786" width="10.90625" style="2" customWidth="1"/>
    <col min="11787" max="11797" width="13.36328125" style="2" customWidth="1"/>
    <col min="11798" max="11798" width="13.90625" style="2" customWidth="1"/>
    <col min="11799" max="11799" width="16.453125" style="2" customWidth="1"/>
    <col min="11800" max="12034" width="9" style="2"/>
    <col min="12035" max="12035" width="9.90625" style="2" customWidth="1"/>
    <col min="12036" max="12037" width="5.08984375" style="2" customWidth="1"/>
    <col min="12038" max="12038" width="9.6328125" style="2" customWidth="1"/>
    <col min="12039" max="12040" width="11.90625" style="2" customWidth="1"/>
    <col min="12041" max="12041" width="15.36328125" style="2" customWidth="1"/>
    <col min="12042" max="12042" width="10.90625" style="2" customWidth="1"/>
    <col min="12043" max="12053" width="13.36328125" style="2" customWidth="1"/>
    <col min="12054" max="12054" width="13.90625" style="2" customWidth="1"/>
    <col min="12055" max="12055" width="16.453125" style="2" customWidth="1"/>
    <col min="12056" max="12290" width="9" style="2"/>
    <col min="12291" max="12291" width="9.90625" style="2" customWidth="1"/>
    <col min="12292" max="12293" width="5.08984375" style="2" customWidth="1"/>
    <col min="12294" max="12294" width="9.6328125" style="2" customWidth="1"/>
    <col min="12295" max="12296" width="11.90625" style="2" customWidth="1"/>
    <col min="12297" max="12297" width="15.36328125" style="2" customWidth="1"/>
    <col min="12298" max="12298" width="10.90625" style="2" customWidth="1"/>
    <col min="12299" max="12309" width="13.36328125" style="2" customWidth="1"/>
    <col min="12310" max="12310" width="13.90625" style="2" customWidth="1"/>
    <col min="12311" max="12311" width="16.453125" style="2" customWidth="1"/>
    <col min="12312" max="12546" width="9" style="2"/>
    <col min="12547" max="12547" width="9.90625" style="2" customWidth="1"/>
    <col min="12548" max="12549" width="5.08984375" style="2" customWidth="1"/>
    <col min="12550" max="12550" width="9.6328125" style="2" customWidth="1"/>
    <col min="12551" max="12552" width="11.90625" style="2" customWidth="1"/>
    <col min="12553" max="12553" width="15.36328125" style="2" customWidth="1"/>
    <col min="12554" max="12554" width="10.90625" style="2" customWidth="1"/>
    <col min="12555" max="12565" width="13.36328125" style="2" customWidth="1"/>
    <col min="12566" max="12566" width="13.90625" style="2" customWidth="1"/>
    <col min="12567" max="12567" width="16.453125" style="2" customWidth="1"/>
    <col min="12568" max="12802" width="9" style="2"/>
    <col min="12803" max="12803" width="9.90625" style="2" customWidth="1"/>
    <col min="12804" max="12805" width="5.08984375" style="2" customWidth="1"/>
    <col min="12806" max="12806" width="9.6328125" style="2" customWidth="1"/>
    <col min="12807" max="12808" width="11.90625" style="2" customWidth="1"/>
    <col min="12809" max="12809" width="15.36328125" style="2" customWidth="1"/>
    <col min="12810" max="12810" width="10.90625" style="2" customWidth="1"/>
    <col min="12811" max="12821" width="13.36328125" style="2" customWidth="1"/>
    <col min="12822" max="12822" width="13.90625" style="2" customWidth="1"/>
    <col min="12823" max="12823" width="16.453125" style="2" customWidth="1"/>
    <col min="12824" max="13058" width="9" style="2"/>
    <col min="13059" max="13059" width="9.90625" style="2" customWidth="1"/>
    <col min="13060" max="13061" width="5.08984375" style="2" customWidth="1"/>
    <col min="13062" max="13062" width="9.6328125" style="2" customWidth="1"/>
    <col min="13063" max="13064" width="11.90625" style="2" customWidth="1"/>
    <col min="13065" max="13065" width="15.36328125" style="2" customWidth="1"/>
    <col min="13066" max="13066" width="10.90625" style="2" customWidth="1"/>
    <col min="13067" max="13077" width="13.36328125" style="2" customWidth="1"/>
    <col min="13078" max="13078" width="13.90625" style="2" customWidth="1"/>
    <col min="13079" max="13079" width="16.453125" style="2" customWidth="1"/>
    <col min="13080" max="13314" width="9" style="2"/>
    <col min="13315" max="13315" width="9.90625" style="2" customWidth="1"/>
    <col min="13316" max="13317" width="5.08984375" style="2" customWidth="1"/>
    <col min="13318" max="13318" width="9.6328125" style="2" customWidth="1"/>
    <col min="13319" max="13320" width="11.90625" style="2" customWidth="1"/>
    <col min="13321" max="13321" width="15.36328125" style="2" customWidth="1"/>
    <col min="13322" max="13322" width="10.90625" style="2" customWidth="1"/>
    <col min="13323" max="13333" width="13.36328125" style="2" customWidth="1"/>
    <col min="13334" max="13334" width="13.90625" style="2" customWidth="1"/>
    <col min="13335" max="13335" width="16.453125" style="2" customWidth="1"/>
    <col min="13336" max="13570" width="9" style="2"/>
    <col min="13571" max="13571" width="9.90625" style="2" customWidth="1"/>
    <col min="13572" max="13573" width="5.08984375" style="2" customWidth="1"/>
    <col min="13574" max="13574" width="9.6328125" style="2" customWidth="1"/>
    <col min="13575" max="13576" width="11.90625" style="2" customWidth="1"/>
    <col min="13577" max="13577" width="15.36328125" style="2" customWidth="1"/>
    <col min="13578" max="13578" width="10.90625" style="2" customWidth="1"/>
    <col min="13579" max="13589" width="13.36328125" style="2" customWidth="1"/>
    <col min="13590" max="13590" width="13.90625" style="2" customWidth="1"/>
    <col min="13591" max="13591" width="16.453125" style="2" customWidth="1"/>
    <col min="13592" max="13826" width="9" style="2"/>
    <col min="13827" max="13827" width="9.90625" style="2" customWidth="1"/>
    <col min="13828" max="13829" width="5.08984375" style="2" customWidth="1"/>
    <col min="13830" max="13830" width="9.6328125" style="2" customWidth="1"/>
    <col min="13831" max="13832" width="11.90625" style="2" customWidth="1"/>
    <col min="13833" max="13833" width="15.36328125" style="2" customWidth="1"/>
    <col min="13834" max="13834" width="10.90625" style="2" customWidth="1"/>
    <col min="13835" max="13845" width="13.36328125" style="2" customWidth="1"/>
    <col min="13846" max="13846" width="13.90625" style="2" customWidth="1"/>
    <col min="13847" max="13847" width="16.453125" style="2" customWidth="1"/>
    <col min="13848" max="14082" width="9" style="2"/>
    <col min="14083" max="14083" width="9.90625" style="2" customWidth="1"/>
    <col min="14084" max="14085" width="5.08984375" style="2" customWidth="1"/>
    <col min="14086" max="14086" width="9.6328125" style="2" customWidth="1"/>
    <col min="14087" max="14088" width="11.90625" style="2" customWidth="1"/>
    <col min="14089" max="14089" width="15.36328125" style="2" customWidth="1"/>
    <col min="14090" max="14090" width="10.90625" style="2" customWidth="1"/>
    <col min="14091" max="14101" width="13.36328125" style="2" customWidth="1"/>
    <col min="14102" max="14102" width="13.90625" style="2" customWidth="1"/>
    <col min="14103" max="14103" width="16.453125" style="2" customWidth="1"/>
    <col min="14104" max="14338" width="9" style="2"/>
    <col min="14339" max="14339" width="9.90625" style="2" customWidth="1"/>
    <col min="14340" max="14341" width="5.08984375" style="2" customWidth="1"/>
    <col min="14342" max="14342" width="9.6328125" style="2" customWidth="1"/>
    <col min="14343" max="14344" width="11.90625" style="2" customWidth="1"/>
    <col min="14345" max="14345" width="15.36328125" style="2" customWidth="1"/>
    <col min="14346" max="14346" width="10.90625" style="2" customWidth="1"/>
    <col min="14347" max="14357" width="13.36328125" style="2" customWidth="1"/>
    <col min="14358" max="14358" width="13.90625" style="2" customWidth="1"/>
    <col min="14359" max="14359" width="16.453125" style="2" customWidth="1"/>
    <col min="14360" max="14594" width="9" style="2"/>
    <col min="14595" max="14595" width="9.90625" style="2" customWidth="1"/>
    <col min="14596" max="14597" width="5.08984375" style="2" customWidth="1"/>
    <col min="14598" max="14598" width="9.6328125" style="2" customWidth="1"/>
    <col min="14599" max="14600" width="11.90625" style="2" customWidth="1"/>
    <col min="14601" max="14601" width="15.36328125" style="2" customWidth="1"/>
    <col min="14602" max="14602" width="10.90625" style="2" customWidth="1"/>
    <col min="14603" max="14613" width="13.36328125" style="2" customWidth="1"/>
    <col min="14614" max="14614" width="13.90625" style="2" customWidth="1"/>
    <col min="14615" max="14615" width="16.453125" style="2" customWidth="1"/>
    <col min="14616" max="14850" width="9" style="2"/>
    <col min="14851" max="14851" width="9.90625" style="2" customWidth="1"/>
    <col min="14852" max="14853" width="5.08984375" style="2" customWidth="1"/>
    <col min="14854" max="14854" width="9.6328125" style="2" customWidth="1"/>
    <col min="14855" max="14856" width="11.90625" style="2" customWidth="1"/>
    <col min="14857" max="14857" width="15.36328125" style="2" customWidth="1"/>
    <col min="14858" max="14858" width="10.90625" style="2" customWidth="1"/>
    <col min="14859" max="14869" width="13.36328125" style="2" customWidth="1"/>
    <col min="14870" max="14870" width="13.90625" style="2" customWidth="1"/>
    <col min="14871" max="14871" width="16.453125" style="2" customWidth="1"/>
    <col min="14872" max="15106" width="9" style="2"/>
    <col min="15107" max="15107" width="9.90625" style="2" customWidth="1"/>
    <col min="15108" max="15109" width="5.08984375" style="2" customWidth="1"/>
    <col min="15110" max="15110" width="9.6328125" style="2" customWidth="1"/>
    <col min="15111" max="15112" width="11.90625" style="2" customWidth="1"/>
    <col min="15113" max="15113" width="15.36328125" style="2" customWidth="1"/>
    <col min="15114" max="15114" width="10.90625" style="2" customWidth="1"/>
    <col min="15115" max="15125" width="13.36328125" style="2" customWidth="1"/>
    <col min="15126" max="15126" width="13.90625" style="2" customWidth="1"/>
    <col min="15127" max="15127" width="16.453125" style="2" customWidth="1"/>
    <col min="15128" max="15362" width="9" style="2"/>
    <col min="15363" max="15363" width="9.90625" style="2" customWidth="1"/>
    <col min="15364" max="15365" width="5.08984375" style="2" customWidth="1"/>
    <col min="15366" max="15366" width="9.6328125" style="2" customWidth="1"/>
    <col min="15367" max="15368" width="11.90625" style="2" customWidth="1"/>
    <col min="15369" max="15369" width="15.36328125" style="2" customWidth="1"/>
    <col min="15370" max="15370" width="10.90625" style="2" customWidth="1"/>
    <col min="15371" max="15381" width="13.36328125" style="2" customWidth="1"/>
    <col min="15382" max="15382" width="13.90625" style="2" customWidth="1"/>
    <col min="15383" max="15383" width="16.453125" style="2" customWidth="1"/>
    <col min="15384" max="15618" width="9" style="2"/>
    <col min="15619" max="15619" width="9.90625" style="2" customWidth="1"/>
    <col min="15620" max="15621" width="5.08984375" style="2" customWidth="1"/>
    <col min="15622" max="15622" width="9.6328125" style="2" customWidth="1"/>
    <col min="15623" max="15624" width="11.90625" style="2" customWidth="1"/>
    <col min="15625" max="15625" width="15.36328125" style="2" customWidth="1"/>
    <col min="15626" max="15626" width="10.90625" style="2" customWidth="1"/>
    <col min="15627" max="15637" width="13.36328125" style="2" customWidth="1"/>
    <col min="15638" max="15638" width="13.90625" style="2" customWidth="1"/>
    <col min="15639" max="15639" width="16.453125" style="2" customWidth="1"/>
    <col min="15640" max="15874" width="9" style="2"/>
    <col min="15875" max="15875" width="9.90625" style="2" customWidth="1"/>
    <col min="15876" max="15877" width="5.08984375" style="2" customWidth="1"/>
    <col min="15878" max="15878" width="9.6328125" style="2" customWidth="1"/>
    <col min="15879" max="15880" width="11.90625" style="2" customWidth="1"/>
    <col min="15881" max="15881" width="15.36328125" style="2" customWidth="1"/>
    <col min="15882" max="15882" width="10.90625" style="2" customWidth="1"/>
    <col min="15883" max="15893" width="13.36328125" style="2" customWidth="1"/>
    <col min="15894" max="15894" width="13.90625" style="2" customWidth="1"/>
    <col min="15895" max="15895" width="16.453125" style="2" customWidth="1"/>
    <col min="15896" max="16130" width="9" style="2"/>
    <col min="16131" max="16131" width="9.90625" style="2" customWidth="1"/>
    <col min="16132" max="16133" width="5.08984375" style="2" customWidth="1"/>
    <col min="16134" max="16134" width="9.6328125" style="2" customWidth="1"/>
    <col min="16135" max="16136" width="11.90625" style="2" customWidth="1"/>
    <col min="16137" max="16137" width="15.36328125" style="2" customWidth="1"/>
    <col min="16138" max="16138" width="10.90625" style="2" customWidth="1"/>
    <col min="16139" max="16149" width="13.36328125" style="2" customWidth="1"/>
    <col min="16150" max="16150" width="13.90625" style="2" customWidth="1"/>
    <col min="16151" max="16151" width="16.453125" style="2" customWidth="1"/>
    <col min="16152" max="16384" width="9" style="2"/>
  </cols>
  <sheetData>
    <row r="1" spans="1:25" s="1" customFormat="1" ht="36">
      <c r="A1" s="1" t="s">
        <v>32</v>
      </c>
      <c r="B1" s="1" t="s">
        <v>33</v>
      </c>
      <c r="C1" s="8" t="s">
        <v>0</v>
      </c>
      <c r="D1" s="9" t="s">
        <v>1</v>
      </c>
      <c r="E1" s="9" t="s">
        <v>2</v>
      </c>
      <c r="F1" s="10" t="s">
        <v>3</v>
      </c>
      <c r="G1" s="10" t="s">
        <v>4</v>
      </c>
      <c r="H1" s="11" t="s">
        <v>5</v>
      </c>
      <c r="I1" s="12" t="s">
        <v>6</v>
      </c>
      <c r="J1" s="95" t="s">
        <v>7</v>
      </c>
      <c r="K1" s="393" t="s">
        <v>8</v>
      </c>
      <c r="L1" s="37" t="s">
        <v>9</v>
      </c>
      <c r="M1" s="37" t="s">
        <v>10</v>
      </c>
      <c r="N1" s="37" t="s">
        <v>11</v>
      </c>
      <c r="O1" s="37" t="s">
        <v>12</v>
      </c>
      <c r="P1" s="37" t="s">
        <v>13</v>
      </c>
      <c r="Q1" s="37" t="s">
        <v>14</v>
      </c>
      <c r="R1" s="37" t="s">
        <v>15</v>
      </c>
      <c r="S1" s="37" t="s">
        <v>16</v>
      </c>
      <c r="T1" s="37" t="s">
        <v>17</v>
      </c>
      <c r="U1" s="37" t="s">
        <v>18</v>
      </c>
      <c r="V1" s="493" t="s">
        <v>19</v>
      </c>
      <c r="W1" s="6" t="s">
        <v>20</v>
      </c>
    </row>
    <row r="2" spans="1:25" s="1" customFormat="1" ht="27.75" customHeight="1">
      <c r="C2" s="605" t="s">
        <v>34</v>
      </c>
      <c r="D2" s="606"/>
      <c r="E2" s="606"/>
      <c r="F2" s="606"/>
      <c r="G2" s="606"/>
      <c r="H2" s="606"/>
      <c r="I2" s="607"/>
      <c r="J2" s="463" t="s">
        <v>35</v>
      </c>
      <c r="K2" s="398">
        <f>K275</f>
        <v>12139627</v>
      </c>
      <c r="L2" s="350">
        <f t="shared" ref="L2:U2" si="0">L275</f>
        <v>11842508</v>
      </c>
      <c r="M2" s="350">
        <f t="shared" si="0"/>
        <v>11678889</v>
      </c>
      <c r="N2" s="350">
        <f t="shared" si="0"/>
        <v>11799770</v>
      </c>
      <c r="O2" s="350">
        <f t="shared" si="0"/>
        <v>11649006</v>
      </c>
      <c r="P2" s="350">
        <f t="shared" si="0"/>
        <v>11628655</v>
      </c>
      <c r="Q2" s="350">
        <f>Q275</f>
        <v>11074498.968020039</v>
      </c>
      <c r="R2" s="350">
        <f t="shared" si="0"/>
        <v>10839365</v>
      </c>
      <c r="S2" s="350">
        <f t="shared" si="0"/>
        <v>10906869.423097797</v>
      </c>
      <c r="T2" s="350">
        <f t="shared" si="0"/>
        <v>10546971</v>
      </c>
      <c r="U2" s="350">
        <f t="shared" si="0"/>
        <v>10628334</v>
      </c>
      <c r="V2" s="504">
        <f>V275</f>
        <v>8364312</v>
      </c>
      <c r="W2" s="93">
        <f>SUM(K2:V2)</f>
        <v>133098805.39111784</v>
      </c>
      <c r="Y2" s="16">
        <f>AVERAGE(K2:V2)</f>
        <v>11091567.115926487</v>
      </c>
    </row>
    <row r="3" spans="1:25">
      <c r="A3" s="13">
        <v>2018038</v>
      </c>
      <c r="C3" s="611">
        <f>1</f>
        <v>1</v>
      </c>
      <c r="D3" s="598"/>
      <c r="E3" s="598"/>
      <c r="F3" s="598"/>
      <c r="G3" s="598"/>
      <c r="H3" s="598"/>
      <c r="I3" s="599" t="s">
        <v>31</v>
      </c>
      <c r="J3" s="187" t="s">
        <v>24</v>
      </c>
      <c r="K3" s="399">
        <f>SUM(K4:K10)</f>
        <v>462265</v>
      </c>
      <c r="L3" s="345">
        <f t="shared" ref="L3:V3" si="1">SUM(L4:L10)</f>
        <v>469467</v>
      </c>
      <c r="M3" s="345">
        <f t="shared" si="1"/>
        <v>463908</v>
      </c>
      <c r="N3" s="345">
        <f t="shared" si="1"/>
        <v>465676</v>
      </c>
      <c r="O3" s="345">
        <f t="shared" si="1"/>
        <v>478614</v>
      </c>
      <c r="P3" s="345">
        <f t="shared" si="1"/>
        <v>479900</v>
      </c>
      <c r="Q3" s="345">
        <f t="shared" si="1"/>
        <v>474338</v>
      </c>
      <c r="R3" s="345">
        <f t="shared" si="1"/>
        <v>493762</v>
      </c>
      <c r="S3" s="345">
        <f t="shared" si="1"/>
        <v>495926</v>
      </c>
      <c r="T3" s="345">
        <f t="shared" si="1"/>
        <v>481598</v>
      </c>
      <c r="U3" s="345">
        <f t="shared" si="1"/>
        <v>484989</v>
      </c>
      <c r="V3" s="495">
        <f t="shared" si="1"/>
        <v>382270</v>
      </c>
      <c r="W3" s="390">
        <f>SUM(K3:V3)</f>
        <v>5632713</v>
      </c>
    </row>
    <row r="4" spans="1:25">
      <c r="A4" s="14">
        <f>A3</f>
        <v>2018038</v>
      </c>
      <c r="B4" s="24"/>
      <c r="C4" s="612"/>
      <c r="D4" s="550"/>
      <c r="E4" s="550"/>
      <c r="F4" s="550"/>
      <c r="G4" s="550"/>
      <c r="H4" s="550"/>
      <c r="I4" s="553"/>
      <c r="J4" s="176" t="s">
        <v>25</v>
      </c>
      <c r="K4" s="400">
        <v>372680</v>
      </c>
      <c r="L4" s="352">
        <v>372680</v>
      </c>
      <c r="M4" s="352">
        <v>372680</v>
      </c>
      <c r="N4" s="352">
        <v>372680</v>
      </c>
      <c r="O4" s="352">
        <v>387680</v>
      </c>
      <c r="P4" s="352">
        <v>372680</v>
      </c>
      <c r="Q4" s="352">
        <v>372680</v>
      </c>
      <c r="R4" s="352">
        <v>397680</v>
      </c>
      <c r="S4" s="352">
        <v>377680</v>
      </c>
      <c r="T4" s="352">
        <v>377680</v>
      </c>
      <c r="U4" s="352">
        <v>377680</v>
      </c>
      <c r="V4" s="505">
        <v>321630</v>
      </c>
      <c r="W4" s="87">
        <f>SUM(K4:V4)</f>
        <v>4476110</v>
      </c>
      <c r="X4" s="58"/>
    </row>
    <row r="5" spans="1:25">
      <c r="A5" s="14">
        <f t="shared" ref="A5:A10" si="2">A4</f>
        <v>2018038</v>
      </c>
      <c r="B5" s="24"/>
      <c r="C5" s="612"/>
      <c r="D5" s="550"/>
      <c r="E5" s="550"/>
      <c r="F5" s="550"/>
      <c r="G5" s="550"/>
      <c r="H5" s="550"/>
      <c r="I5" s="553"/>
      <c r="J5" s="176" t="s">
        <v>37</v>
      </c>
      <c r="K5" s="400">
        <v>12500</v>
      </c>
      <c r="L5" s="352">
        <v>15000</v>
      </c>
      <c r="M5" s="352">
        <v>10000</v>
      </c>
      <c r="N5" s="352">
        <v>15000</v>
      </c>
      <c r="O5" s="352">
        <v>15000</v>
      </c>
      <c r="P5" s="352">
        <v>15000</v>
      </c>
      <c r="Q5" s="352">
        <v>15000</v>
      </c>
      <c r="R5" s="352">
        <v>15000</v>
      </c>
      <c r="S5" s="352">
        <v>36000</v>
      </c>
      <c r="T5" s="352">
        <v>24000</v>
      </c>
      <c r="U5" s="352">
        <v>24000</v>
      </c>
      <c r="V5" s="505" t="s">
        <v>114</v>
      </c>
      <c r="W5" s="87">
        <f t="shared" ref="W5:W10" si="3">SUM(K5:V5)</f>
        <v>196500</v>
      </c>
      <c r="X5" s="58"/>
    </row>
    <row r="6" spans="1:25">
      <c r="A6" s="14">
        <f t="shared" si="2"/>
        <v>2018038</v>
      </c>
      <c r="B6" s="24"/>
      <c r="C6" s="612"/>
      <c r="D6" s="550"/>
      <c r="E6" s="550"/>
      <c r="F6" s="550"/>
      <c r="G6" s="550"/>
      <c r="H6" s="550"/>
      <c r="I6" s="553"/>
      <c r="J6" s="176" t="s">
        <v>38</v>
      </c>
      <c r="K6" s="400">
        <v>20221</v>
      </c>
      <c r="L6" s="352">
        <v>24897</v>
      </c>
      <c r="M6" s="352">
        <v>24390</v>
      </c>
      <c r="N6" s="352">
        <v>17686</v>
      </c>
      <c r="O6" s="352">
        <v>15624</v>
      </c>
      <c r="P6" s="352">
        <v>31910</v>
      </c>
      <c r="Q6" s="352">
        <v>26073</v>
      </c>
      <c r="R6" s="462">
        <v>20509</v>
      </c>
      <c r="S6" s="462">
        <v>21663</v>
      </c>
      <c r="T6" s="352">
        <v>19461</v>
      </c>
      <c r="U6" s="352">
        <v>22669</v>
      </c>
      <c r="V6" s="505" t="s">
        <v>114</v>
      </c>
      <c r="W6" s="87">
        <f t="shared" si="3"/>
        <v>245103</v>
      </c>
      <c r="X6" s="58"/>
    </row>
    <row r="7" spans="1:25">
      <c r="A7" s="14">
        <f t="shared" si="2"/>
        <v>2018038</v>
      </c>
      <c r="B7" s="24"/>
      <c r="C7" s="612"/>
      <c r="D7" s="550"/>
      <c r="E7" s="550"/>
      <c r="F7" s="550"/>
      <c r="G7" s="550"/>
      <c r="H7" s="550"/>
      <c r="I7" s="553"/>
      <c r="J7" s="176" t="s">
        <v>26</v>
      </c>
      <c r="K7" s="401">
        <v>18050</v>
      </c>
      <c r="L7" s="346">
        <v>18050</v>
      </c>
      <c r="M7" s="346">
        <v>18050</v>
      </c>
      <c r="N7" s="346">
        <v>21470</v>
      </c>
      <c r="O7" s="346">
        <v>21470</v>
      </c>
      <c r="P7" s="346">
        <v>21470</v>
      </c>
      <c r="Q7" s="346">
        <v>21470</v>
      </c>
      <c r="R7" s="346">
        <v>21470</v>
      </c>
      <c r="S7" s="346">
        <v>21470</v>
      </c>
      <c r="T7" s="346">
        <v>21470</v>
      </c>
      <c r="U7" s="346">
        <v>21470</v>
      </c>
      <c r="V7" s="506">
        <v>21470</v>
      </c>
      <c r="W7" s="87">
        <f t="shared" si="3"/>
        <v>247380</v>
      </c>
      <c r="X7" s="58"/>
    </row>
    <row r="8" spans="1:25">
      <c r="A8" s="14">
        <f t="shared" si="2"/>
        <v>2018038</v>
      </c>
      <c r="B8" s="24"/>
      <c r="C8" s="612"/>
      <c r="D8" s="550"/>
      <c r="E8" s="550"/>
      <c r="F8" s="550"/>
      <c r="G8" s="550"/>
      <c r="H8" s="550"/>
      <c r="I8" s="553"/>
      <c r="J8" s="176" t="s">
        <v>27</v>
      </c>
      <c r="K8" s="401">
        <v>34770</v>
      </c>
      <c r="L8" s="346">
        <v>34770</v>
      </c>
      <c r="M8" s="346">
        <v>34770</v>
      </c>
      <c r="N8" s="346">
        <v>34770</v>
      </c>
      <c r="O8" s="346">
        <v>34770</v>
      </c>
      <c r="P8" s="346">
        <v>34770</v>
      </c>
      <c r="Q8" s="346">
        <v>34770</v>
      </c>
      <c r="R8" s="346">
        <v>34770</v>
      </c>
      <c r="S8" s="346">
        <v>34770</v>
      </c>
      <c r="T8" s="346">
        <v>34770</v>
      </c>
      <c r="U8" s="346">
        <v>34770</v>
      </c>
      <c r="V8" s="506">
        <v>34770</v>
      </c>
      <c r="W8" s="87">
        <f t="shared" si="3"/>
        <v>417240</v>
      </c>
      <c r="X8" s="58"/>
    </row>
    <row r="9" spans="1:25">
      <c r="A9" s="14">
        <f t="shared" si="2"/>
        <v>2018038</v>
      </c>
      <c r="B9" s="24"/>
      <c r="C9" s="612"/>
      <c r="D9" s="550"/>
      <c r="E9" s="550"/>
      <c r="F9" s="550"/>
      <c r="G9" s="550"/>
      <c r="H9" s="550"/>
      <c r="I9" s="553"/>
      <c r="J9" s="176" t="s">
        <v>28</v>
      </c>
      <c r="K9" s="401">
        <v>1926</v>
      </c>
      <c r="L9" s="346">
        <v>1938</v>
      </c>
      <c r="M9" s="346">
        <v>1913</v>
      </c>
      <c r="N9" s="346">
        <v>1938</v>
      </c>
      <c r="O9" s="346">
        <v>1938</v>
      </c>
      <c r="P9" s="346">
        <v>1938</v>
      </c>
      <c r="Q9" s="346">
        <v>2069</v>
      </c>
      <c r="R9" s="346">
        <v>2063</v>
      </c>
      <c r="S9" s="346">
        <v>2068</v>
      </c>
      <c r="T9" s="346">
        <v>2008</v>
      </c>
      <c r="U9" s="346">
        <v>2095</v>
      </c>
      <c r="V9" s="506">
        <v>2095</v>
      </c>
      <c r="W9" s="87">
        <f t="shared" si="3"/>
        <v>23989</v>
      </c>
      <c r="X9" s="58"/>
    </row>
    <row r="10" spans="1:25">
      <c r="A10" s="14">
        <f t="shared" si="2"/>
        <v>2018038</v>
      </c>
      <c r="B10" s="24"/>
      <c r="C10" s="613"/>
      <c r="D10" s="551"/>
      <c r="E10" s="551"/>
      <c r="F10" s="551"/>
      <c r="G10" s="551"/>
      <c r="H10" s="551"/>
      <c r="I10" s="554"/>
      <c r="J10" s="177" t="s">
        <v>29</v>
      </c>
      <c r="K10" s="402">
        <v>2118</v>
      </c>
      <c r="L10" s="394">
        <v>2132</v>
      </c>
      <c r="M10" s="394">
        <v>2105</v>
      </c>
      <c r="N10" s="394">
        <v>2132</v>
      </c>
      <c r="O10" s="394">
        <v>2132</v>
      </c>
      <c r="P10" s="394">
        <v>2132</v>
      </c>
      <c r="Q10" s="394">
        <v>2276</v>
      </c>
      <c r="R10" s="394">
        <v>2270</v>
      </c>
      <c r="S10" s="394">
        <v>2275</v>
      </c>
      <c r="T10" s="394">
        <v>2209</v>
      </c>
      <c r="U10" s="394">
        <v>2305</v>
      </c>
      <c r="V10" s="507">
        <v>2305</v>
      </c>
      <c r="W10" s="88">
        <f t="shared" si="3"/>
        <v>26391</v>
      </c>
      <c r="X10" s="58"/>
    </row>
    <row r="11" spans="1:25">
      <c r="A11" s="13">
        <v>2019002</v>
      </c>
      <c r="C11" s="614">
        <f>C3+1</f>
        <v>2</v>
      </c>
      <c r="D11" s="549"/>
      <c r="E11" s="549"/>
      <c r="F11" s="549"/>
      <c r="G11" s="549"/>
      <c r="H11" s="549"/>
      <c r="I11" s="552" t="s">
        <v>31</v>
      </c>
      <c r="J11" s="175" t="s">
        <v>24</v>
      </c>
      <c r="K11" s="395">
        <f t="shared" ref="K11:T11" si="4">SUM(K12:K18)</f>
        <v>632826</v>
      </c>
      <c r="L11" s="347">
        <f t="shared" si="4"/>
        <v>561913</v>
      </c>
      <c r="M11" s="347">
        <f t="shared" si="4"/>
        <v>561524</v>
      </c>
      <c r="N11" s="347">
        <f t="shared" si="4"/>
        <v>682605</v>
      </c>
      <c r="O11" s="347">
        <f t="shared" si="4"/>
        <v>576315</v>
      </c>
      <c r="P11" s="347">
        <f t="shared" si="4"/>
        <v>608651</v>
      </c>
      <c r="Q11" s="347">
        <f t="shared" si="4"/>
        <v>622908</v>
      </c>
      <c r="R11" s="347">
        <f t="shared" si="4"/>
        <v>576131</v>
      </c>
      <c r="S11" s="347">
        <f t="shared" si="4"/>
        <v>637181</v>
      </c>
      <c r="T11" s="347">
        <f t="shared" si="4"/>
        <v>534495</v>
      </c>
      <c r="U11" s="347">
        <f>SUM(U12:U18)</f>
        <v>507130</v>
      </c>
      <c r="V11" s="508">
        <f>SUM(V12:V18)</f>
        <v>422244</v>
      </c>
      <c r="W11" s="86">
        <f t="shared" ref="W11:W18" si="5">SUM(K11:V11)</f>
        <v>6923923</v>
      </c>
    </row>
    <row r="12" spans="1:25">
      <c r="A12" s="14">
        <f>A11</f>
        <v>2019002</v>
      </c>
      <c r="B12" s="24"/>
      <c r="C12" s="612"/>
      <c r="D12" s="550"/>
      <c r="E12" s="550"/>
      <c r="F12" s="550"/>
      <c r="G12" s="550"/>
      <c r="H12" s="550"/>
      <c r="I12" s="553"/>
      <c r="J12" s="176" t="s">
        <v>25</v>
      </c>
      <c r="K12" s="403">
        <v>525281</v>
      </c>
      <c r="L12" s="364">
        <v>453125</v>
      </c>
      <c r="M12" s="364">
        <v>448125</v>
      </c>
      <c r="N12" s="364">
        <v>574063</v>
      </c>
      <c r="O12" s="364">
        <v>464688</v>
      </c>
      <c r="P12" s="364">
        <v>486563</v>
      </c>
      <c r="Q12" s="364">
        <v>495938</v>
      </c>
      <c r="R12" s="364">
        <v>448125</v>
      </c>
      <c r="S12" s="364">
        <v>501250</v>
      </c>
      <c r="T12" s="364">
        <v>400625</v>
      </c>
      <c r="U12" s="364">
        <v>389531</v>
      </c>
      <c r="V12" s="509">
        <v>343750</v>
      </c>
      <c r="W12" s="87">
        <f t="shared" si="5"/>
        <v>5531064</v>
      </c>
      <c r="X12" s="58"/>
    </row>
    <row r="13" spans="1:25">
      <c r="A13" s="14">
        <f t="shared" ref="A13:A18" si="6">A12</f>
        <v>2019002</v>
      </c>
      <c r="B13" s="24"/>
      <c r="C13" s="612"/>
      <c r="D13" s="550"/>
      <c r="E13" s="550"/>
      <c r="F13" s="550"/>
      <c r="G13" s="550"/>
      <c r="H13" s="550"/>
      <c r="I13" s="553"/>
      <c r="J13" s="176" t="s">
        <v>37</v>
      </c>
      <c r="K13" s="403">
        <v>12500</v>
      </c>
      <c r="L13" s="364">
        <v>12500</v>
      </c>
      <c r="M13" s="364">
        <v>12500</v>
      </c>
      <c r="N13" s="364">
        <v>12500</v>
      </c>
      <c r="O13" s="364">
        <v>15000</v>
      </c>
      <c r="P13" s="364">
        <v>15000</v>
      </c>
      <c r="Q13" s="364">
        <v>15000</v>
      </c>
      <c r="R13" s="364">
        <v>17500</v>
      </c>
      <c r="S13" s="364">
        <v>33000</v>
      </c>
      <c r="T13" s="364">
        <v>33000</v>
      </c>
      <c r="U13" s="364">
        <v>21000</v>
      </c>
      <c r="V13" s="509" t="s">
        <v>114</v>
      </c>
      <c r="W13" s="87">
        <f t="shared" si="5"/>
        <v>199500</v>
      </c>
      <c r="X13" s="58"/>
    </row>
    <row r="14" spans="1:25">
      <c r="A14" s="14">
        <f t="shared" si="6"/>
        <v>2019002</v>
      </c>
      <c r="B14" s="24"/>
      <c r="C14" s="612"/>
      <c r="D14" s="550"/>
      <c r="E14" s="550"/>
      <c r="F14" s="550"/>
      <c r="G14" s="550"/>
      <c r="H14" s="550"/>
      <c r="I14" s="553"/>
      <c r="J14" s="176" t="s">
        <v>38</v>
      </c>
      <c r="K14" s="403">
        <v>19838</v>
      </c>
      <c r="L14" s="364">
        <v>21839</v>
      </c>
      <c r="M14" s="364">
        <v>26778</v>
      </c>
      <c r="N14" s="364">
        <v>20323</v>
      </c>
      <c r="O14" s="364">
        <v>22031</v>
      </c>
      <c r="P14" s="364">
        <v>27821</v>
      </c>
      <c r="Q14" s="364">
        <v>32266</v>
      </c>
      <c r="R14" s="364">
        <v>31617</v>
      </c>
      <c r="S14" s="364">
        <v>23322</v>
      </c>
      <c r="T14" s="364">
        <v>22317</v>
      </c>
      <c r="U14" s="364">
        <v>18105</v>
      </c>
      <c r="V14" s="509" t="s">
        <v>114</v>
      </c>
      <c r="W14" s="87">
        <f t="shared" si="5"/>
        <v>266257</v>
      </c>
      <c r="X14" s="58"/>
    </row>
    <row r="15" spans="1:25">
      <c r="A15" s="14">
        <f t="shared" si="6"/>
        <v>2019002</v>
      </c>
      <c r="B15" s="24"/>
      <c r="C15" s="612"/>
      <c r="D15" s="550"/>
      <c r="E15" s="550"/>
      <c r="F15" s="550"/>
      <c r="G15" s="550"/>
      <c r="H15" s="550"/>
      <c r="I15" s="553"/>
      <c r="J15" s="176" t="s">
        <v>26</v>
      </c>
      <c r="K15" s="396">
        <v>26555</v>
      </c>
      <c r="L15" s="365">
        <v>26555</v>
      </c>
      <c r="M15" s="365">
        <v>26555</v>
      </c>
      <c r="N15" s="365">
        <v>26555</v>
      </c>
      <c r="O15" s="365">
        <v>26555</v>
      </c>
      <c r="P15" s="365">
        <v>28250</v>
      </c>
      <c r="Q15" s="365">
        <v>28250</v>
      </c>
      <c r="R15" s="365">
        <v>28250</v>
      </c>
      <c r="S15" s="365">
        <v>28250</v>
      </c>
      <c r="T15" s="365">
        <v>28250</v>
      </c>
      <c r="U15" s="365">
        <v>28250</v>
      </c>
      <c r="V15" s="510">
        <v>28250</v>
      </c>
      <c r="W15" s="87">
        <f t="shared" si="5"/>
        <v>330525</v>
      </c>
      <c r="X15" s="58"/>
    </row>
    <row r="16" spans="1:25">
      <c r="A16" s="14">
        <f t="shared" si="6"/>
        <v>2019002</v>
      </c>
      <c r="B16" s="24"/>
      <c r="C16" s="612"/>
      <c r="D16" s="550"/>
      <c r="E16" s="550"/>
      <c r="F16" s="550"/>
      <c r="G16" s="550"/>
      <c r="H16" s="550"/>
      <c r="I16" s="553"/>
      <c r="J16" s="176" t="s">
        <v>27</v>
      </c>
      <c r="K16" s="396">
        <v>43005</v>
      </c>
      <c r="L16" s="365">
        <v>43005</v>
      </c>
      <c r="M16" s="365">
        <v>43005</v>
      </c>
      <c r="N16" s="365">
        <v>43005</v>
      </c>
      <c r="O16" s="365">
        <v>43005</v>
      </c>
      <c r="P16" s="365">
        <v>45750</v>
      </c>
      <c r="Q16" s="365">
        <v>45750</v>
      </c>
      <c r="R16" s="365">
        <v>45750</v>
      </c>
      <c r="S16" s="365">
        <v>45750</v>
      </c>
      <c r="T16" s="365">
        <v>45750</v>
      </c>
      <c r="U16" s="365">
        <v>45750</v>
      </c>
      <c r="V16" s="510">
        <v>45750</v>
      </c>
      <c r="W16" s="87">
        <f t="shared" si="5"/>
        <v>535275</v>
      </c>
      <c r="X16" s="58"/>
    </row>
    <row r="17" spans="1:24">
      <c r="A17" s="14">
        <f t="shared" si="6"/>
        <v>2019002</v>
      </c>
      <c r="B17" s="24"/>
      <c r="C17" s="612"/>
      <c r="D17" s="550"/>
      <c r="E17" s="550"/>
      <c r="F17" s="550"/>
      <c r="G17" s="550"/>
      <c r="H17" s="550"/>
      <c r="I17" s="553"/>
      <c r="J17" s="176" t="s">
        <v>28</v>
      </c>
      <c r="K17" s="396">
        <v>2689</v>
      </c>
      <c r="L17" s="365">
        <v>2328</v>
      </c>
      <c r="M17" s="365">
        <v>2172</v>
      </c>
      <c r="N17" s="365">
        <v>2933</v>
      </c>
      <c r="O17" s="365">
        <v>2398</v>
      </c>
      <c r="P17" s="365">
        <v>2508</v>
      </c>
      <c r="Q17" s="365">
        <v>2716</v>
      </c>
      <c r="R17" s="365">
        <v>2328</v>
      </c>
      <c r="S17" s="365">
        <v>2671</v>
      </c>
      <c r="T17" s="365">
        <v>2168</v>
      </c>
      <c r="U17" s="365">
        <v>2140</v>
      </c>
      <c r="V17" s="510">
        <v>2140</v>
      </c>
      <c r="W17" s="87">
        <f t="shared" si="5"/>
        <v>29191</v>
      </c>
      <c r="X17" s="58"/>
    </row>
    <row r="18" spans="1:24">
      <c r="A18" s="14">
        <f t="shared" si="6"/>
        <v>2019002</v>
      </c>
      <c r="B18" s="24"/>
      <c r="C18" s="613"/>
      <c r="D18" s="551"/>
      <c r="E18" s="551"/>
      <c r="F18" s="551"/>
      <c r="G18" s="551"/>
      <c r="H18" s="551"/>
      <c r="I18" s="554"/>
      <c r="J18" s="177" t="s">
        <v>29</v>
      </c>
      <c r="K18" s="396">
        <v>2958</v>
      </c>
      <c r="L18" s="365">
        <v>2561</v>
      </c>
      <c r="M18" s="365">
        <v>2389</v>
      </c>
      <c r="N18" s="365">
        <v>3226</v>
      </c>
      <c r="O18" s="365">
        <v>2638</v>
      </c>
      <c r="P18" s="365">
        <v>2759</v>
      </c>
      <c r="Q18" s="365">
        <v>2988</v>
      </c>
      <c r="R18" s="365">
        <v>2561</v>
      </c>
      <c r="S18" s="365">
        <v>2938</v>
      </c>
      <c r="T18" s="365">
        <v>2385</v>
      </c>
      <c r="U18" s="365">
        <v>2354</v>
      </c>
      <c r="V18" s="510">
        <v>2354</v>
      </c>
      <c r="W18" s="88">
        <f t="shared" si="5"/>
        <v>32111</v>
      </c>
      <c r="X18" s="58"/>
    </row>
    <row r="19" spans="1:24">
      <c r="A19" s="13">
        <v>2019024</v>
      </c>
      <c r="C19" s="546">
        <f>C11+1</f>
        <v>3</v>
      </c>
      <c r="D19" s="549"/>
      <c r="E19" s="549"/>
      <c r="F19" s="549"/>
      <c r="G19" s="549"/>
      <c r="H19" s="549"/>
      <c r="I19" s="552" t="s">
        <v>31</v>
      </c>
      <c r="J19" s="175" t="s">
        <v>24</v>
      </c>
      <c r="K19" s="395">
        <f t="shared" ref="K19:T19" si="7">SUM(K20:K26)</f>
        <v>479285</v>
      </c>
      <c r="L19" s="347">
        <f t="shared" si="7"/>
        <v>468150</v>
      </c>
      <c r="M19" s="347">
        <f t="shared" si="7"/>
        <v>463422</v>
      </c>
      <c r="N19" s="347">
        <f t="shared" si="7"/>
        <v>447922</v>
      </c>
      <c r="O19" s="347">
        <f t="shared" si="7"/>
        <v>428927</v>
      </c>
      <c r="P19" s="347">
        <f t="shared" si="7"/>
        <v>450525</v>
      </c>
      <c r="Q19" s="347">
        <f t="shared" si="7"/>
        <v>444950</v>
      </c>
      <c r="R19" s="347">
        <f t="shared" si="7"/>
        <v>432055</v>
      </c>
      <c r="S19" s="347">
        <f t="shared" si="7"/>
        <v>458703</v>
      </c>
      <c r="T19" s="347">
        <f t="shared" si="7"/>
        <v>460942</v>
      </c>
      <c r="U19" s="347">
        <f>SUM(U20:U26)</f>
        <v>449427</v>
      </c>
      <c r="V19" s="508">
        <f>SUM(V20:V26)</f>
        <v>349768</v>
      </c>
      <c r="W19" s="86">
        <f t="shared" ref="W19:W58" si="8">SUM(K19:V19)</f>
        <v>5334076</v>
      </c>
    </row>
    <row r="20" spans="1:24">
      <c r="A20" s="14">
        <f>A19</f>
        <v>2019024</v>
      </c>
      <c r="B20" s="24"/>
      <c r="C20" s="547"/>
      <c r="D20" s="550"/>
      <c r="E20" s="550"/>
      <c r="F20" s="550"/>
      <c r="G20" s="550"/>
      <c r="H20" s="550"/>
      <c r="I20" s="553"/>
      <c r="J20" s="176" t="s">
        <v>25</v>
      </c>
      <c r="K20" s="403">
        <v>338300</v>
      </c>
      <c r="L20" s="364">
        <v>338300</v>
      </c>
      <c r="M20" s="364">
        <v>338300</v>
      </c>
      <c r="N20" s="364">
        <v>342072</v>
      </c>
      <c r="O20" s="364">
        <v>338300</v>
      </c>
      <c r="P20" s="364">
        <v>338300</v>
      </c>
      <c r="Q20" s="364">
        <v>338300</v>
      </c>
      <c r="R20" s="364">
        <v>338300</v>
      </c>
      <c r="S20" s="364">
        <v>338300</v>
      </c>
      <c r="T20" s="364">
        <v>340586</v>
      </c>
      <c r="U20" s="364">
        <v>338300</v>
      </c>
      <c r="V20" s="509">
        <v>292575</v>
      </c>
      <c r="W20" s="87">
        <f t="shared" si="8"/>
        <v>4019933</v>
      </c>
      <c r="X20" s="58"/>
    </row>
    <row r="21" spans="1:24">
      <c r="A21" s="14">
        <f t="shared" ref="A21:A26" si="9">A20</f>
        <v>2019024</v>
      </c>
      <c r="B21" s="24"/>
      <c r="C21" s="547"/>
      <c r="D21" s="550"/>
      <c r="E21" s="550"/>
      <c r="F21" s="550"/>
      <c r="G21" s="550"/>
      <c r="H21" s="550"/>
      <c r="I21" s="553"/>
      <c r="J21" s="176" t="s">
        <v>37</v>
      </c>
      <c r="K21" s="403">
        <v>15000</v>
      </c>
      <c r="L21" s="364">
        <v>12500</v>
      </c>
      <c r="M21" s="364">
        <v>15000</v>
      </c>
      <c r="N21" s="364">
        <v>12500</v>
      </c>
      <c r="O21" s="364">
        <v>12500</v>
      </c>
      <c r="P21" s="364">
        <v>15000</v>
      </c>
      <c r="Q21" s="364">
        <v>15000</v>
      </c>
      <c r="R21" s="364">
        <v>12500</v>
      </c>
      <c r="S21" s="364">
        <v>25000</v>
      </c>
      <c r="T21" s="364">
        <v>29000</v>
      </c>
      <c r="U21" s="364">
        <v>17000</v>
      </c>
      <c r="V21" s="509" t="s">
        <v>114</v>
      </c>
      <c r="W21" s="87">
        <f t="shared" si="8"/>
        <v>181000</v>
      </c>
      <c r="X21" s="58"/>
    </row>
    <row r="22" spans="1:24">
      <c r="A22" s="14">
        <f t="shared" si="9"/>
        <v>2019024</v>
      </c>
      <c r="B22" s="24"/>
      <c r="C22" s="547"/>
      <c r="D22" s="550"/>
      <c r="E22" s="550"/>
      <c r="F22" s="550"/>
      <c r="G22" s="550"/>
      <c r="H22" s="550"/>
      <c r="I22" s="553"/>
      <c r="J22" s="176" t="s">
        <v>38</v>
      </c>
      <c r="K22" s="403">
        <v>71956</v>
      </c>
      <c r="L22" s="364">
        <v>63347</v>
      </c>
      <c r="M22" s="364">
        <v>56093</v>
      </c>
      <c r="N22" s="364">
        <v>39307</v>
      </c>
      <c r="O22" s="364">
        <v>24124</v>
      </c>
      <c r="P22" s="364">
        <v>40236</v>
      </c>
      <c r="Q22" s="364">
        <v>34300</v>
      </c>
      <c r="R22" s="364">
        <v>24292</v>
      </c>
      <c r="S22" s="364">
        <v>38309</v>
      </c>
      <c r="T22" s="364">
        <v>34195</v>
      </c>
      <c r="U22" s="364">
        <v>36934</v>
      </c>
      <c r="V22" s="509" t="s">
        <v>114</v>
      </c>
      <c r="W22" s="87">
        <f t="shared" si="8"/>
        <v>463093</v>
      </c>
      <c r="X22" s="58"/>
    </row>
    <row r="23" spans="1:24">
      <c r="A23" s="14">
        <f t="shared" si="9"/>
        <v>2019024</v>
      </c>
      <c r="B23" s="24"/>
      <c r="C23" s="547"/>
      <c r="D23" s="550"/>
      <c r="E23" s="550"/>
      <c r="F23" s="550"/>
      <c r="G23" s="550"/>
      <c r="H23" s="550"/>
      <c r="I23" s="553"/>
      <c r="J23" s="176" t="s">
        <v>26</v>
      </c>
      <c r="K23" s="396">
        <v>19210</v>
      </c>
      <c r="L23" s="365">
        <v>19210</v>
      </c>
      <c r="M23" s="365">
        <v>19210</v>
      </c>
      <c r="N23" s="365">
        <v>19210</v>
      </c>
      <c r="O23" s="365">
        <v>19210</v>
      </c>
      <c r="P23" s="365">
        <v>20340</v>
      </c>
      <c r="Q23" s="365">
        <v>20340</v>
      </c>
      <c r="R23" s="365">
        <v>20340</v>
      </c>
      <c r="S23" s="365">
        <v>20340</v>
      </c>
      <c r="T23" s="365">
        <v>20340</v>
      </c>
      <c r="U23" s="365">
        <v>20340</v>
      </c>
      <c r="V23" s="510">
        <v>20340</v>
      </c>
      <c r="W23" s="87">
        <f t="shared" si="8"/>
        <v>238430</v>
      </c>
      <c r="X23" s="58"/>
    </row>
    <row r="24" spans="1:24">
      <c r="A24" s="14">
        <f t="shared" si="9"/>
        <v>2019024</v>
      </c>
      <c r="B24" s="24"/>
      <c r="C24" s="547"/>
      <c r="D24" s="550"/>
      <c r="E24" s="550"/>
      <c r="F24" s="550"/>
      <c r="G24" s="550"/>
      <c r="H24" s="550"/>
      <c r="I24" s="553"/>
      <c r="J24" s="176" t="s">
        <v>27</v>
      </c>
      <c r="K24" s="396">
        <v>31110</v>
      </c>
      <c r="L24" s="365">
        <v>31110</v>
      </c>
      <c r="M24" s="365">
        <v>31110</v>
      </c>
      <c r="N24" s="365">
        <v>31110</v>
      </c>
      <c r="O24" s="365">
        <v>31110</v>
      </c>
      <c r="P24" s="365">
        <v>32940</v>
      </c>
      <c r="Q24" s="365">
        <v>32940</v>
      </c>
      <c r="R24" s="365">
        <v>32940</v>
      </c>
      <c r="S24" s="365">
        <v>32940</v>
      </c>
      <c r="T24" s="365">
        <v>32940</v>
      </c>
      <c r="U24" s="365">
        <v>32940</v>
      </c>
      <c r="V24" s="510">
        <v>32940</v>
      </c>
      <c r="W24" s="87">
        <f t="shared" si="8"/>
        <v>386130</v>
      </c>
      <c r="X24" s="58"/>
    </row>
    <row r="25" spans="1:24">
      <c r="A25" s="14">
        <f t="shared" si="9"/>
        <v>2019024</v>
      </c>
      <c r="B25" s="24"/>
      <c r="C25" s="547"/>
      <c r="D25" s="550"/>
      <c r="E25" s="550"/>
      <c r="F25" s="550"/>
      <c r="G25" s="550"/>
      <c r="H25" s="550"/>
      <c r="I25" s="553"/>
      <c r="J25" s="176" t="s">
        <v>28</v>
      </c>
      <c r="K25" s="396">
        <v>1766</v>
      </c>
      <c r="L25" s="365">
        <v>1754</v>
      </c>
      <c r="M25" s="365">
        <v>1766</v>
      </c>
      <c r="N25" s="365">
        <v>1773</v>
      </c>
      <c r="O25" s="365">
        <v>1754</v>
      </c>
      <c r="P25" s="365">
        <v>1766</v>
      </c>
      <c r="Q25" s="365">
        <v>1938</v>
      </c>
      <c r="R25" s="365">
        <v>1754</v>
      </c>
      <c r="S25" s="365">
        <v>1816</v>
      </c>
      <c r="T25" s="365">
        <v>1848</v>
      </c>
      <c r="U25" s="365">
        <v>1863</v>
      </c>
      <c r="V25" s="510">
        <v>1863</v>
      </c>
      <c r="W25" s="87">
        <f t="shared" si="8"/>
        <v>21661</v>
      </c>
      <c r="X25" s="58"/>
    </row>
    <row r="26" spans="1:24">
      <c r="A26" s="14">
        <f t="shared" si="9"/>
        <v>2019024</v>
      </c>
      <c r="B26" s="24"/>
      <c r="C26" s="547"/>
      <c r="D26" s="600"/>
      <c r="E26" s="600"/>
      <c r="F26" s="600"/>
      <c r="G26" s="600"/>
      <c r="H26" s="600"/>
      <c r="I26" s="601"/>
      <c r="J26" s="180" t="s">
        <v>29</v>
      </c>
      <c r="K26" s="404">
        <v>1943</v>
      </c>
      <c r="L26" s="412">
        <v>1929</v>
      </c>
      <c r="M26" s="412">
        <v>1943</v>
      </c>
      <c r="N26" s="412">
        <v>1950</v>
      </c>
      <c r="O26" s="412">
        <v>1929</v>
      </c>
      <c r="P26" s="412">
        <v>1943</v>
      </c>
      <c r="Q26" s="412">
        <v>2132</v>
      </c>
      <c r="R26" s="412">
        <v>1929</v>
      </c>
      <c r="S26" s="412">
        <v>1998</v>
      </c>
      <c r="T26" s="412">
        <v>2033</v>
      </c>
      <c r="U26" s="412">
        <v>2050</v>
      </c>
      <c r="V26" s="511">
        <v>2050</v>
      </c>
      <c r="W26" s="391">
        <f t="shared" si="8"/>
        <v>23829</v>
      </c>
      <c r="X26" s="58"/>
    </row>
    <row r="27" spans="1:24">
      <c r="A27" s="13">
        <v>2018024</v>
      </c>
      <c r="C27" s="546">
        <f t="shared" ref="C27" si="10">C19+1</f>
        <v>4</v>
      </c>
      <c r="D27" s="549"/>
      <c r="E27" s="549"/>
      <c r="F27" s="549"/>
      <c r="G27" s="549"/>
      <c r="H27" s="549"/>
      <c r="I27" s="552" t="s">
        <v>31</v>
      </c>
      <c r="J27" s="175" t="s">
        <v>24</v>
      </c>
      <c r="K27" s="395">
        <f>SUM(K28:K34)</f>
        <v>430584</v>
      </c>
      <c r="L27" s="347">
        <f t="shared" ref="L27:T27" si="11">SUM(L28:L34)</f>
        <v>401326</v>
      </c>
      <c r="M27" s="347">
        <f t="shared" si="11"/>
        <v>387759</v>
      </c>
      <c r="N27" s="347">
        <f t="shared" si="11"/>
        <v>404699</v>
      </c>
      <c r="O27" s="347">
        <f t="shared" si="11"/>
        <v>464834</v>
      </c>
      <c r="P27" s="347">
        <f t="shared" si="11"/>
        <v>413919</v>
      </c>
      <c r="Q27" s="347">
        <f t="shared" si="11"/>
        <v>418244</v>
      </c>
      <c r="R27" s="347">
        <f t="shared" si="11"/>
        <v>410986</v>
      </c>
      <c r="S27" s="347">
        <f t="shared" si="11"/>
        <v>421560</v>
      </c>
      <c r="T27" s="347">
        <f t="shared" si="11"/>
        <v>434645</v>
      </c>
      <c r="U27" s="347">
        <f>SUM(U28:U34)</f>
        <v>430177</v>
      </c>
      <c r="V27" s="508">
        <f>SUM(V28:V34)</f>
        <v>318677</v>
      </c>
      <c r="W27" s="86">
        <f t="shared" si="8"/>
        <v>4937410</v>
      </c>
    </row>
    <row r="28" spans="1:24">
      <c r="A28" s="14">
        <f>A27</f>
        <v>2018024</v>
      </c>
      <c r="B28" s="24"/>
      <c r="C28" s="547"/>
      <c r="D28" s="550"/>
      <c r="E28" s="550"/>
      <c r="F28" s="550"/>
      <c r="G28" s="550"/>
      <c r="H28" s="550"/>
      <c r="I28" s="553"/>
      <c r="J28" s="176" t="s">
        <v>25</v>
      </c>
      <c r="K28" s="403">
        <v>346612</v>
      </c>
      <c r="L28" s="364">
        <v>315000</v>
      </c>
      <c r="M28" s="364">
        <v>315000</v>
      </c>
      <c r="N28" s="364">
        <v>315000</v>
      </c>
      <c r="O28" s="364">
        <v>372370</v>
      </c>
      <c r="P28" s="364">
        <v>315000</v>
      </c>
      <c r="Q28" s="364">
        <v>320748</v>
      </c>
      <c r="R28" s="364">
        <v>315000</v>
      </c>
      <c r="S28" s="364">
        <v>315000</v>
      </c>
      <c r="T28" s="364">
        <v>315000</v>
      </c>
      <c r="U28" s="364">
        <v>315000</v>
      </c>
      <c r="V28" s="509">
        <v>267425</v>
      </c>
      <c r="W28" s="87">
        <f t="shared" ref="W28:W34" si="12">SUM(K28:V28)</f>
        <v>3827155</v>
      </c>
      <c r="X28" s="58"/>
    </row>
    <row r="29" spans="1:24">
      <c r="A29" s="14">
        <f t="shared" ref="A29:A34" si="13">A28</f>
        <v>2018024</v>
      </c>
      <c r="B29" s="24"/>
      <c r="C29" s="547"/>
      <c r="D29" s="550"/>
      <c r="E29" s="550"/>
      <c r="F29" s="550"/>
      <c r="G29" s="550"/>
      <c r="H29" s="550"/>
      <c r="I29" s="553"/>
      <c r="J29" s="176" t="s">
        <v>37</v>
      </c>
      <c r="K29" s="403">
        <v>24500</v>
      </c>
      <c r="L29" s="364">
        <v>27250</v>
      </c>
      <c r="M29" s="364">
        <v>17500</v>
      </c>
      <c r="N29" s="364">
        <v>30500</v>
      </c>
      <c r="O29" s="364">
        <v>21250</v>
      </c>
      <c r="P29" s="364">
        <v>27250</v>
      </c>
      <c r="Q29" s="364">
        <v>27250</v>
      </c>
      <c r="R29" s="364">
        <v>25500</v>
      </c>
      <c r="S29" s="364">
        <v>38000</v>
      </c>
      <c r="T29" s="364">
        <v>49250</v>
      </c>
      <c r="U29" s="364">
        <v>47750</v>
      </c>
      <c r="V29" s="509" t="s">
        <v>114</v>
      </c>
      <c r="W29" s="87">
        <f t="shared" si="12"/>
        <v>336000</v>
      </c>
      <c r="X29" s="58"/>
    </row>
    <row r="30" spans="1:24">
      <c r="A30" s="14">
        <f t="shared" si="13"/>
        <v>2018024</v>
      </c>
      <c r="B30" s="24"/>
      <c r="C30" s="547"/>
      <c r="D30" s="550"/>
      <c r="E30" s="550"/>
      <c r="F30" s="550"/>
      <c r="G30" s="550"/>
      <c r="H30" s="550"/>
      <c r="I30" s="553"/>
      <c r="J30" s="176" t="s">
        <v>38</v>
      </c>
      <c r="K30" s="403">
        <v>16655</v>
      </c>
      <c r="L30" s="364">
        <v>16563</v>
      </c>
      <c r="M30" s="364">
        <v>12848</v>
      </c>
      <c r="N30" s="364">
        <v>16652</v>
      </c>
      <c r="O30" s="364">
        <v>19821</v>
      </c>
      <c r="P30" s="364">
        <v>20816</v>
      </c>
      <c r="Q30" s="364">
        <v>19131</v>
      </c>
      <c r="R30" s="364">
        <v>19651</v>
      </c>
      <c r="S30" s="364">
        <v>17594</v>
      </c>
      <c r="T30" s="364">
        <v>19311</v>
      </c>
      <c r="U30" s="364">
        <v>16175</v>
      </c>
      <c r="V30" s="509" t="s">
        <v>114</v>
      </c>
      <c r="W30" s="87">
        <f t="shared" si="12"/>
        <v>195217</v>
      </c>
      <c r="X30" s="58"/>
    </row>
    <row r="31" spans="1:24">
      <c r="A31" s="14">
        <f t="shared" si="13"/>
        <v>2018024</v>
      </c>
      <c r="B31" s="24"/>
      <c r="C31" s="547"/>
      <c r="D31" s="550"/>
      <c r="E31" s="550"/>
      <c r="F31" s="550"/>
      <c r="G31" s="550"/>
      <c r="H31" s="550"/>
      <c r="I31" s="553"/>
      <c r="J31" s="176" t="s">
        <v>26</v>
      </c>
      <c r="K31" s="396">
        <v>13300</v>
      </c>
      <c r="L31" s="365">
        <v>13300</v>
      </c>
      <c r="M31" s="365">
        <v>13300</v>
      </c>
      <c r="N31" s="365">
        <v>13300</v>
      </c>
      <c r="O31" s="365">
        <v>16150</v>
      </c>
      <c r="P31" s="365">
        <v>16150</v>
      </c>
      <c r="Q31" s="365">
        <v>16150</v>
      </c>
      <c r="R31" s="365">
        <v>16150</v>
      </c>
      <c r="S31" s="365">
        <v>16150</v>
      </c>
      <c r="T31" s="365">
        <v>16150</v>
      </c>
      <c r="U31" s="365">
        <v>16150</v>
      </c>
      <c r="V31" s="510">
        <v>16150</v>
      </c>
      <c r="W31" s="87">
        <f t="shared" si="12"/>
        <v>182400</v>
      </c>
      <c r="X31" s="58"/>
    </row>
    <row r="32" spans="1:24">
      <c r="A32" s="14">
        <f t="shared" si="13"/>
        <v>2018024</v>
      </c>
      <c r="B32" s="24"/>
      <c r="C32" s="547"/>
      <c r="D32" s="550"/>
      <c r="E32" s="550"/>
      <c r="F32" s="550"/>
      <c r="G32" s="550"/>
      <c r="H32" s="550"/>
      <c r="I32" s="553"/>
      <c r="J32" s="176" t="s">
        <v>27</v>
      </c>
      <c r="K32" s="396">
        <v>25620</v>
      </c>
      <c r="L32" s="365">
        <v>25620</v>
      </c>
      <c r="M32" s="365">
        <v>25620</v>
      </c>
      <c r="N32" s="365">
        <v>25620</v>
      </c>
      <c r="O32" s="365">
        <v>31110</v>
      </c>
      <c r="P32" s="365">
        <v>31110</v>
      </c>
      <c r="Q32" s="365">
        <v>31110</v>
      </c>
      <c r="R32" s="365">
        <v>31110</v>
      </c>
      <c r="S32" s="365">
        <v>31110</v>
      </c>
      <c r="T32" s="365">
        <v>31110</v>
      </c>
      <c r="U32" s="365">
        <v>31110</v>
      </c>
      <c r="V32" s="510">
        <v>31110</v>
      </c>
      <c r="W32" s="87">
        <f t="shared" si="12"/>
        <v>351360</v>
      </c>
      <c r="X32" s="58"/>
    </row>
    <row r="33" spans="1:24">
      <c r="A33" s="14">
        <f t="shared" si="13"/>
        <v>2018024</v>
      </c>
      <c r="B33" s="24"/>
      <c r="C33" s="547"/>
      <c r="D33" s="550"/>
      <c r="E33" s="550"/>
      <c r="F33" s="550"/>
      <c r="G33" s="550"/>
      <c r="H33" s="550"/>
      <c r="I33" s="553"/>
      <c r="J33" s="176" t="s">
        <v>28</v>
      </c>
      <c r="K33" s="396">
        <v>1856</v>
      </c>
      <c r="L33" s="365">
        <v>1711</v>
      </c>
      <c r="M33" s="365">
        <v>1662</v>
      </c>
      <c r="N33" s="365">
        <v>1727</v>
      </c>
      <c r="O33" s="365">
        <v>1968</v>
      </c>
      <c r="P33" s="365">
        <v>1711</v>
      </c>
      <c r="Q33" s="365">
        <v>1836</v>
      </c>
      <c r="R33" s="365">
        <v>1702</v>
      </c>
      <c r="S33" s="365">
        <v>1765</v>
      </c>
      <c r="T33" s="365">
        <v>1821</v>
      </c>
      <c r="U33" s="365">
        <v>1901</v>
      </c>
      <c r="V33" s="510">
        <v>1901</v>
      </c>
      <c r="W33" s="87">
        <f t="shared" si="12"/>
        <v>21561</v>
      </c>
      <c r="X33" s="58"/>
    </row>
    <row r="34" spans="1:24">
      <c r="A34" s="14">
        <f t="shared" si="13"/>
        <v>2018024</v>
      </c>
      <c r="B34" s="24"/>
      <c r="C34" s="548"/>
      <c r="D34" s="551"/>
      <c r="E34" s="551"/>
      <c r="F34" s="551"/>
      <c r="G34" s="551"/>
      <c r="H34" s="551"/>
      <c r="I34" s="554"/>
      <c r="J34" s="177" t="s">
        <v>29</v>
      </c>
      <c r="K34" s="397">
        <v>2041</v>
      </c>
      <c r="L34" s="366">
        <v>1882</v>
      </c>
      <c r="M34" s="366">
        <v>1829</v>
      </c>
      <c r="N34" s="366">
        <v>1900</v>
      </c>
      <c r="O34" s="366">
        <v>2165</v>
      </c>
      <c r="P34" s="366">
        <v>1882</v>
      </c>
      <c r="Q34" s="366">
        <v>2019</v>
      </c>
      <c r="R34" s="366">
        <v>1873</v>
      </c>
      <c r="S34" s="366">
        <v>1941</v>
      </c>
      <c r="T34" s="366">
        <v>2003</v>
      </c>
      <c r="U34" s="366">
        <v>2091</v>
      </c>
      <c r="V34" s="512">
        <v>2091</v>
      </c>
      <c r="W34" s="88">
        <f t="shared" si="12"/>
        <v>23717</v>
      </c>
      <c r="X34" s="58"/>
    </row>
    <row r="35" spans="1:24">
      <c r="A35" s="13">
        <v>2018032</v>
      </c>
      <c r="C35" s="528">
        <f t="shared" ref="C35" si="14">C27+1</f>
        <v>5</v>
      </c>
      <c r="D35" s="522"/>
      <c r="E35" s="522" t="s">
        <v>97</v>
      </c>
      <c r="F35" s="522"/>
      <c r="G35" s="522"/>
      <c r="H35" s="522"/>
      <c r="I35" s="525" t="s">
        <v>31</v>
      </c>
      <c r="J35" s="175" t="s">
        <v>24</v>
      </c>
      <c r="K35" s="420">
        <f t="shared" ref="K35:R35" si="15">SUM(K36:K42)</f>
        <v>471508</v>
      </c>
      <c r="L35" s="285">
        <f t="shared" si="15"/>
        <v>457739</v>
      </c>
      <c r="M35" s="285">
        <f t="shared" si="15"/>
        <v>472452</v>
      </c>
      <c r="N35" s="285">
        <f t="shared" si="15"/>
        <v>441123</v>
      </c>
      <c r="O35" s="285">
        <f t="shared" si="15"/>
        <v>384804</v>
      </c>
      <c r="P35" s="285">
        <f t="shared" si="15"/>
        <v>351291</v>
      </c>
      <c r="Q35" s="285">
        <f t="shared" si="15"/>
        <v>0</v>
      </c>
      <c r="R35" s="347">
        <f t="shared" si="15"/>
        <v>0</v>
      </c>
      <c r="S35" s="347">
        <f>SUM(S36:S42)</f>
        <v>0</v>
      </c>
      <c r="T35" s="347">
        <f>SUM(T36:T42)</f>
        <v>0</v>
      </c>
      <c r="U35" s="347">
        <f>SUM(U36:U42)</f>
        <v>0</v>
      </c>
      <c r="V35" s="508">
        <f>SUM(V36:V42)</f>
        <v>0</v>
      </c>
      <c r="W35" s="427">
        <f t="shared" si="8"/>
        <v>2578917</v>
      </c>
    </row>
    <row r="36" spans="1:24">
      <c r="A36" s="14">
        <f>A35</f>
        <v>2018032</v>
      </c>
      <c r="B36" s="24"/>
      <c r="C36" s="529"/>
      <c r="D36" s="523"/>
      <c r="E36" s="523"/>
      <c r="F36" s="523"/>
      <c r="G36" s="523"/>
      <c r="H36" s="523"/>
      <c r="I36" s="526"/>
      <c r="J36" s="176" t="s">
        <v>25</v>
      </c>
      <c r="K36" s="429">
        <v>373085</v>
      </c>
      <c r="L36" s="430">
        <v>356443</v>
      </c>
      <c r="M36" s="430">
        <v>371977</v>
      </c>
      <c r="N36" s="430">
        <v>339314</v>
      </c>
      <c r="O36" s="430">
        <v>305620</v>
      </c>
      <c r="P36" s="430">
        <v>298120</v>
      </c>
      <c r="Q36" s="430"/>
      <c r="R36" s="364"/>
      <c r="S36" s="364"/>
      <c r="T36" s="364"/>
      <c r="U36" s="364"/>
      <c r="V36" s="509"/>
      <c r="W36" s="428">
        <f t="shared" si="8"/>
        <v>2044559</v>
      </c>
      <c r="X36" s="58"/>
    </row>
    <row r="37" spans="1:24">
      <c r="A37" s="14">
        <f t="shared" ref="A37:A42" si="16">A36</f>
        <v>2018032</v>
      </c>
      <c r="B37" s="24"/>
      <c r="C37" s="529"/>
      <c r="D37" s="523"/>
      <c r="E37" s="523"/>
      <c r="F37" s="523"/>
      <c r="G37" s="523"/>
      <c r="H37" s="523"/>
      <c r="I37" s="526"/>
      <c r="J37" s="176" t="s">
        <v>37</v>
      </c>
      <c r="K37" s="429">
        <v>12500</v>
      </c>
      <c r="L37" s="430">
        <v>15000</v>
      </c>
      <c r="M37" s="430">
        <v>12500</v>
      </c>
      <c r="N37" s="430">
        <v>12500</v>
      </c>
      <c r="O37" s="430">
        <v>7500</v>
      </c>
      <c r="P37" s="430">
        <v>0</v>
      </c>
      <c r="Q37" s="430"/>
      <c r="R37" s="364"/>
      <c r="S37" s="364"/>
      <c r="T37" s="364"/>
      <c r="U37" s="364"/>
      <c r="V37" s="509"/>
      <c r="W37" s="428">
        <f t="shared" si="8"/>
        <v>60000</v>
      </c>
      <c r="X37" s="58"/>
    </row>
    <row r="38" spans="1:24">
      <c r="A38" s="14">
        <f t="shared" si="16"/>
        <v>2018032</v>
      </c>
      <c r="B38" s="24"/>
      <c r="C38" s="529"/>
      <c r="D38" s="523"/>
      <c r="E38" s="523"/>
      <c r="F38" s="523"/>
      <c r="G38" s="523"/>
      <c r="H38" s="523"/>
      <c r="I38" s="526"/>
      <c r="J38" s="176" t="s">
        <v>38</v>
      </c>
      <c r="K38" s="429">
        <v>29186</v>
      </c>
      <c r="L38" s="430">
        <v>29734</v>
      </c>
      <c r="M38" s="430">
        <v>31249</v>
      </c>
      <c r="N38" s="430">
        <v>32926</v>
      </c>
      <c r="O38" s="430">
        <v>15655</v>
      </c>
      <c r="P38" s="430">
        <v>0</v>
      </c>
      <c r="Q38" s="430"/>
      <c r="R38" s="364"/>
      <c r="S38" s="364"/>
      <c r="T38" s="364"/>
      <c r="U38" s="364"/>
      <c r="V38" s="509"/>
      <c r="W38" s="428">
        <f t="shared" si="8"/>
        <v>138750</v>
      </c>
      <c r="X38" s="58"/>
    </row>
    <row r="39" spans="1:24">
      <c r="A39" s="14">
        <f t="shared" si="16"/>
        <v>2018032</v>
      </c>
      <c r="B39" s="24"/>
      <c r="C39" s="529"/>
      <c r="D39" s="523"/>
      <c r="E39" s="523"/>
      <c r="F39" s="523"/>
      <c r="G39" s="523"/>
      <c r="H39" s="523"/>
      <c r="I39" s="526"/>
      <c r="J39" s="176" t="s">
        <v>26</v>
      </c>
      <c r="K39" s="422">
        <v>18050</v>
      </c>
      <c r="L39" s="362">
        <v>18050</v>
      </c>
      <c r="M39" s="362">
        <v>18050</v>
      </c>
      <c r="N39" s="362">
        <v>18050</v>
      </c>
      <c r="O39" s="362">
        <v>18050</v>
      </c>
      <c r="P39" s="362">
        <v>17100</v>
      </c>
      <c r="Q39" s="362"/>
      <c r="R39" s="365"/>
      <c r="S39" s="365"/>
      <c r="T39" s="365"/>
      <c r="U39" s="365"/>
      <c r="V39" s="510"/>
      <c r="W39" s="428">
        <f t="shared" si="8"/>
        <v>107350</v>
      </c>
      <c r="X39" s="58"/>
    </row>
    <row r="40" spans="1:24">
      <c r="A40" s="14">
        <f t="shared" si="16"/>
        <v>2018032</v>
      </c>
      <c r="B40" s="24"/>
      <c r="C40" s="529"/>
      <c r="D40" s="523"/>
      <c r="E40" s="523"/>
      <c r="F40" s="523"/>
      <c r="G40" s="523"/>
      <c r="H40" s="523"/>
      <c r="I40" s="526"/>
      <c r="J40" s="176" t="s">
        <v>27</v>
      </c>
      <c r="K40" s="422">
        <v>34770</v>
      </c>
      <c r="L40" s="362">
        <v>34770</v>
      </c>
      <c r="M40" s="362">
        <v>34770</v>
      </c>
      <c r="N40" s="362">
        <v>34770</v>
      </c>
      <c r="O40" s="362">
        <v>34770</v>
      </c>
      <c r="P40" s="362">
        <v>32940</v>
      </c>
      <c r="Q40" s="362"/>
      <c r="R40" s="365"/>
      <c r="S40" s="365"/>
      <c r="T40" s="365"/>
      <c r="U40" s="365"/>
      <c r="V40" s="510"/>
      <c r="W40" s="428">
        <f t="shared" si="8"/>
        <v>206790</v>
      </c>
      <c r="X40" s="58"/>
    </row>
    <row r="41" spans="1:24">
      <c r="A41" s="14">
        <f t="shared" si="16"/>
        <v>2018032</v>
      </c>
      <c r="B41" s="24"/>
      <c r="C41" s="529"/>
      <c r="D41" s="523"/>
      <c r="E41" s="523"/>
      <c r="F41" s="523"/>
      <c r="G41" s="523"/>
      <c r="H41" s="523"/>
      <c r="I41" s="526"/>
      <c r="J41" s="176" t="s">
        <v>28</v>
      </c>
      <c r="K41" s="422">
        <v>1865</v>
      </c>
      <c r="L41" s="362">
        <v>1782</v>
      </c>
      <c r="M41" s="362">
        <v>1860</v>
      </c>
      <c r="N41" s="362">
        <v>1697</v>
      </c>
      <c r="O41" s="362">
        <v>1528</v>
      </c>
      <c r="P41" s="362">
        <v>1491</v>
      </c>
      <c r="Q41" s="362"/>
      <c r="R41" s="365"/>
      <c r="S41" s="365"/>
      <c r="T41" s="365"/>
      <c r="U41" s="365"/>
      <c r="V41" s="510"/>
      <c r="W41" s="428">
        <f t="shared" si="8"/>
        <v>10223</v>
      </c>
      <c r="X41" s="58"/>
    </row>
    <row r="42" spans="1:24">
      <c r="A42" s="14">
        <f t="shared" si="16"/>
        <v>2018032</v>
      </c>
      <c r="B42" s="24"/>
      <c r="C42" s="530"/>
      <c r="D42" s="524"/>
      <c r="E42" s="524"/>
      <c r="F42" s="524"/>
      <c r="G42" s="524"/>
      <c r="H42" s="524"/>
      <c r="I42" s="527"/>
      <c r="J42" s="177" t="s">
        <v>29</v>
      </c>
      <c r="K42" s="423">
        <v>2052</v>
      </c>
      <c r="L42" s="363">
        <v>1960</v>
      </c>
      <c r="M42" s="363">
        <v>2046</v>
      </c>
      <c r="N42" s="363">
        <v>1866</v>
      </c>
      <c r="O42" s="363">
        <v>1681</v>
      </c>
      <c r="P42" s="363">
        <v>1640</v>
      </c>
      <c r="Q42" s="363"/>
      <c r="R42" s="366"/>
      <c r="S42" s="366"/>
      <c r="T42" s="366"/>
      <c r="U42" s="366"/>
      <c r="V42" s="512"/>
      <c r="W42" s="431">
        <f t="shared" si="8"/>
        <v>11245</v>
      </c>
      <c r="X42" s="58"/>
    </row>
    <row r="43" spans="1:24">
      <c r="A43" s="13">
        <v>2018040</v>
      </c>
      <c r="C43" s="546">
        <f t="shared" ref="C43" si="17">C35+1</f>
        <v>6</v>
      </c>
      <c r="D43" s="549"/>
      <c r="E43" s="549"/>
      <c r="F43" s="549"/>
      <c r="G43" s="549"/>
      <c r="H43" s="549"/>
      <c r="I43" s="552" t="s">
        <v>31</v>
      </c>
      <c r="J43" s="175" t="s">
        <v>24</v>
      </c>
      <c r="K43" s="395">
        <f t="shared" ref="K43:R43" si="18">SUM(K44:K50)</f>
        <v>500334</v>
      </c>
      <c r="L43" s="347">
        <f t="shared" si="18"/>
        <v>487621</v>
      </c>
      <c r="M43" s="347">
        <f t="shared" si="18"/>
        <v>485475</v>
      </c>
      <c r="N43" s="347">
        <f t="shared" si="18"/>
        <v>530188</v>
      </c>
      <c r="O43" s="347">
        <f t="shared" si="18"/>
        <v>483465</v>
      </c>
      <c r="P43" s="347">
        <f t="shared" si="18"/>
        <v>466065</v>
      </c>
      <c r="Q43" s="347">
        <f t="shared" si="18"/>
        <v>541093</v>
      </c>
      <c r="R43" s="347">
        <f t="shared" si="18"/>
        <v>469339</v>
      </c>
      <c r="S43" s="347">
        <f>SUM(S44:S50)</f>
        <v>535161</v>
      </c>
      <c r="T43" s="347">
        <f>SUM(T44:T50)</f>
        <v>468475</v>
      </c>
      <c r="U43" s="347">
        <f>SUM(U44:U50)</f>
        <v>481536</v>
      </c>
      <c r="V43" s="508">
        <f>SUM(V44:V50)</f>
        <v>356560</v>
      </c>
      <c r="W43" s="86">
        <f t="shared" si="8"/>
        <v>5805312</v>
      </c>
    </row>
    <row r="44" spans="1:24">
      <c r="A44" s="14">
        <f>A43</f>
        <v>2018040</v>
      </c>
      <c r="B44" s="24"/>
      <c r="C44" s="547"/>
      <c r="D44" s="550"/>
      <c r="E44" s="550"/>
      <c r="F44" s="550"/>
      <c r="G44" s="550"/>
      <c r="H44" s="550"/>
      <c r="I44" s="553"/>
      <c r="J44" s="176" t="s">
        <v>25</v>
      </c>
      <c r="K44" s="403">
        <v>404710</v>
      </c>
      <c r="L44" s="364">
        <v>375000</v>
      </c>
      <c r="M44" s="364">
        <v>392238</v>
      </c>
      <c r="N44" s="364">
        <v>420833</v>
      </c>
      <c r="O44" s="364">
        <v>375000</v>
      </c>
      <c r="P44" s="364">
        <v>375000</v>
      </c>
      <c r="Q44" s="364">
        <v>439896</v>
      </c>
      <c r="R44" s="364">
        <v>375000</v>
      </c>
      <c r="S44" s="364">
        <v>417081</v>
      </c>
      <c r="T44" s="364">
        <v>375000</v>
      </c>
      <c r="U44" s="364">
        <v>375000</v>
      </c>
      <c r="V44" s="509">
        <v>299300</v>
      </c>
      <c r="W44" s="87">
        <f t="shared" si="8"/>
        <v>4624058</v>
      </c>
      <c r="X44" s="58"/>
    </row>
    <row r="45" spans="1:24">
      <c r="A45" s="14">
        <f t="shared" ref="A45:A50" si="19">A44</f>
        <v>2018040</v>
      </c>
      <c r="B45" s="24"/>
      <c r="C45" s="547"/>
      <c r="D45" s="550"/>
      <c r="E45" s="550"/>
      <c r="F45" s="550"/>
      <c r="G45" s="550"/>
      <c r="H45" s="550"/>
      <c r="I45" s="553"/>
      <c r="J45" s="176" t="s">
        <v>37</v>
      </c>
      <c r="K45" s="403">
        <v>25000</v>
      </c>
      <c r="L45" s="364">
        <v>21250</v>
      </c>
      <c r="M45" s="364">
        <v>17500</v>
      </c>
      <c r="N45" s="364">
        <v>29000</v>
      </c>
      <c r="O45" s="364">
        <v>28500</v>
      </c>
      <c r="P45" s="364">
        <v>19250</v>
      </c>
      <c r="Q45" s="364">
        <v>19250</v>
      </c>
      <c r="R45" s="364">
        <v>23750</v>
      </c>
      <c r="S45" s="364">
        <v>33250</v>
      </c>
      <c r="T45" s="364">
        <v>17500</v>
      </c>
      <c r="U45" s="364">
        <v>30500</v>
      </c>
      <c r="V45" s="509" t="s">
        <v>114</v>
      </c>
      <c r="W45" s="87">
        <f t="shared" si="8"/>
        <v>264750</v>
      </c>
      <c r="X45" s="58"/>
    </row>
    <row r="46" spans="1:24">
      <c r="A46" s="14">
        <f t="shared" si="19"/>
        <v>2018040</v>
      </c>
      <c r="B46" s="24"/>
      <c r="C46" s="547"/>
      <c r="D46" s="550"/>
      <c r="E46" s="550"/>
      <c r="F46" s="550"/>
      <c r="G46" s="550"/>
      <c r="H46" s="550"/>
      <c r="I46" s="553"/>
      <c r="J46" s="176" t="s">
        <v>38</v>
      </c>
      <c r="K46" s="403">
        <v>13292</v>
      </c>
      <c r="L46" s="364">
        <v>34391</v>
      </c>
      <c r="M46" s="364">
        <v>18614</v>
      </c>
      <c r="N46" s="364">
        <v>22812</v>
      </c>
      <c r="O46" s="364">
        <v>22909</v>
      </c>
      <c r="P46" s="364">
        <v>14856</v>
      </c>
      <c r="Q46" s="364">
        <v>24053</v>
      </c>
      <c r="R46" s="364">
        <v>13582</v>
      </c>
      <c r="S46" s="364">
        <v>27281</v>
      </c>
      <c r="T46" s="364">
        <v>19034</v>
      </c>
      <c r="U46" s="364">
        <v>18776</v>
      </c>
      <c r="V46" s="509" t="s">
        <v>114</v>
      </c>
      <c r="W46" s="87">
        <f t="shared" si="8"/>
        <v>229600</v>
      </c>
      <c r="X46" s="58"/>
    </row>
    <row r="47" spans="1:24">
      <c r="A47" s="14">
        <f t="shared" si="19"/>
        <v>2018040</v>
      </c>
      <c r="B47" s="24"/>
      <c r="C47" s="547"/>
      <c r="D47" s="550"/>
      <c r="E47" s="550"/>
      <c r="F47" s="550"/>
      <c r="G47" s="550"/>
      <c r="H47" s="550"/>
      <c r="I47" s="553"/>
      <c r="J47" s="176" t="s">
        <v>26</v>
      </c>
      <c r="K47" s="396">
        <v>18050</v>
      </c>
      <c r="L47" s="365">
        <v>18050</v>
      </c>
      <c r="M47" s="365">
        <v>18050</v>
      </c>
      <c r="N47" s="365">
        <v>18050</v>
      </c>
      <c r="O47" s="365">
        <v>18050</v>
      </c>
      <c r="P47" s="365">
        <v>18050</v>
      </c>
      <c r="Q47" s="365">
        <v>18050</v>
      </c>
      <c r="R47" s="365">
        <v>18050</v>
      </c>
      <c r="S47" s="365">
        <v>18050</v>
      </c>
      <c r="T47" s="365">
        <v>18050</v>
      </c>
      <c r="U47" s="365">
        <v>18050</v>
      </c>
      <c r="V47" s="510">
        <v>18050</v>
      </c>
      <c r="W47" s="87">
        <f t="shared" si="8"/>
        <v>216600</v>
      </c>
      <c r="X47" s="58"/>
    </row>
    <row r="48" spans="1:24">
      <c r="A48" s="14">
        <f t="shared" si="19"/>
        <v>2018040</v>
      </c>
      <c r="B48" s="24"/>
      <c r="C48" s="547"/>
      <c r="D48" s="550"/>
      <c r="E48" s="550"/>
      <c r="F48" s="550"/>
      <c r="G48" s="550"/>
      <c r="H48" s="550"/>
      <c r="I48" s="553"/>
      <c r="J48" s="176" t="s">
        <v>27</v>
      </c>
      <c r="K48" s="396">
        <v>34770</v>
      </c>
      <c r="L48" s="365">
        <v>34770</v>
      </c>
      <c r="M48" s="365">
        <v>34770</v>
      </c>
      <c r="N48" s="365">
        <v>34770</v>
      </c>
      <c r="O48" s="365">
        <v>34770</v>
      </c>
      <c r="P48" s="365">
        <v>34770</v>
      </c>
      <c r="Q48" s="365">
        <v>34770</v>
      </c>
      <c r="R48" s="365">
        <v>34770</v>
      </c>
      <c r="S48" s="365">
        <v>34770</v>
      </c>
      <c r="T48" s="365">
        <v>34770</v>
      </c>
      <c r="U48" s="365">
        <v>34770</v>
      </c>
      <c r="V48" s="510">
        <v>34770</v>
      </c>
      <c r="W48" s="87">
        <f t="shared" si="8"/>
        <v>417240</v>
      </c>
      <c r="X48" s="58"/>
    </row>
    <row r="49" spans="1:24">
      <c r="A49" s="14">
        <f t="shared" si="19"/>
        <v>2018040</v>
      </c>
      <c r="B49" s="24"/>
      <c r="C49" s="547"/>
      <c r="D49" s="550"/>
      <c r="E49" s="550"/>
      <c r="F49" s="550"/>
      <c r="G49" s="550"/>
      <c r="H49" s="550"/>
      <c r="I49" s="553"/>
      <c r="J49" s="176" t="s">
        <v>28</v>
      </c>
      <c r="K49" s="396">
        <v>2149</v>
      </c>
      <c r="L49" s="365">
        <v>1981</v>
      </c>
      <c r="M49" s="365">
        <v>2049</v>
      </c>
      <c r="N49" s="365">
        <v>2249</v>
      </c>
      <c r="O49" s="365">
        <v>2017</v>
      </c>
      <c r="P49" s="365">
        <v>1971</v>
      </c>
      <c r="Q49" s="365">
        <v>2416</v>
      </c>
      <c r="R49" s="365">
        <v>1994</v>
      </c>
      <c r="S49" s="365">
        <v>2252</v>
      </c>
      <c r="T49" s="365">
        <v>1962</v>
      </c>
      <c r="U49" s="365">
        <v>2114</v>
      </c>
      <c r="V49" s="510">
        <v>2114</v>
      </c>
      <c r="W49" s="87">
        <f t="shared" si="8"/>
        <v>25268</v>
      </c>
      <c r="X49" s="58"/>
    </row>
    <row r="50" spans="1:24">
      <c r="A50" s="14">
        <f t="shared" si="19"/>
        <v>2018040</v>
      </c>
      <c r="B50" s="24"/>
      <c r="C50" s="548"/>
      <c r="D50" s="551"/>
      <c r="E50" s="551"/>
      <c r="F50" s="551"/>
      <c r="G50" s="551"/>
      <c r="H50" s="551"/>
      <c r="I50" s="554"/>
      <c r="J50" s="177" t="s">
        <v>29</v>
      </c>
      <c r="K50" s="397">
        <v>2363</v>
      </c>
      <c r="L50" s="366">
        <v>2179</v>
      </c>
      <c r="M50" s="366">
        <v>2254</v>
      </c>
      <c r="N50" s="366">
        <v>2474</v>
      </c>
      <c r="O50" s="366">
        <v>2219</v>
      </c>
      <c r="P50" s="366">
        <v>2168</v>
      </c>
      <c r="Q50" s="366">
        <v>2658</v>
      </c>
      <c r="R50" s="366">
        <v>2193</v>
      </c>
      <c r="S50" s="366">
        <v>2477</v>
      </c>
      <c r="T50" s="366">
        <v>2159</v>
      </c>
      <c r="U50" s="366">
        <v>2326</v>
      </c>
      <c r="V50" s="512">
        <v>2326</v>
      </c>
      <c r="W50" s="88">
        <f t="shared" si="8"/>
        <v>27796</v>
      </c>
      <c r="X50" s="58"/>
    </row>
    <row r="51" spans="1:24">
      <c r="A51" s="13">
        <v>2018047</v>
      </c>
      <c r="C51" s="546">
        <f t="shared" ref="C51" si="20">C43+1</f>
        <v>7</v>
      </c>
      <c r="D51" s="549"/>
      <c r="E51" s="549"/>
      <c r="F51" s="549"/>
      <c r="G51" s="549"/>
      <c r="H51" s="549"/>
      <c r="I51" s="552" t="s">
        <v>31</v>
      </c>
      <c r="J51" s="175" t="s">
        <v>24</v>
      </c>
      <c r="K51" s="405">
        <f t="shared" ref="K51:R51" si="21">SUM(K52:K58)</f>
        <v>393667</v>
      </c>
      <c r="L51" s="351">
        <f t="shared" si="21"/>
        <v>439442</v>
      </c>
      <c r="M51" s="351">
        <f t="shared" si="21"/>
        <v>383452</v>
      </c>
      <c r="N51" s="351">
        <f t="shared" si="21"/>
        <v>378399</v>
      </c>
      <c r="O51" s="351">
        <f t="shared" si="21"/>
        <v>418803</v>
      </c>
      <c r="P51" s="351">
        <f t="shared" si="21"/>
        <v>403511</v>
      </c>
      <c r="Q51" s="351">
        <f t="shared" si="21"/>
        <v>394548</v>
      </c>
      <c r="R51" s="351">
        <f t="shared" si="21"/>
        <v>406905</v>
      </c>
      <c r="S51" s="351">
        <f>SUM(S52:S58)</f>
        <v>419833</v>
      </c>
      <c r="T51" s="351">
        <f>SUM(T52:T58)</f>
        <v>448127</v>
      </c>
      <c r="U51" s="351">
        <f>SUM(U52:U58)</f>
        <v>412942</v>
      </c>
      <c r="V51" s="513">
        <f>SUM(V52:V58)</f>
        <v>294367</v>
      </c>
      <c r="W51" s="86">
        <f t="shared" si="8"/>
        <v>4793996</v>
      </c>
    </row>
    <row r="52" spans="1:24">
      <c r="A52" s="14">
        <f>A51</f>
        <v>2018047</v>
      </c>
      <c r="B52" s="24"/>
      <c r="C52" s="547"/>
      <c r="D52" s="550"/>
      <c r="E52" s="550"/>
      <c r="F52" s="550"/>
      <c r="G52" s="550"/>
      <c r="H52" s="550"/>
      <c r="I52" s="553"/>
      <c r="J52" s="176" t="s">
        <v>25</v>
      </c>
      <c r="K52" s="403">
        <v>288058</v>
      </c>
      <c r="L52" s="364">
        <v>325858</v>
      </c>
      <c r="M52" s="364">
        <v>277950</v>
      </c>
      <c r="N52" s="364">
        <v>277950</v>
      </c>
      <c r="O52" s="364">
        <v>299931</v>
      </c>
      <c r="P52" s="364">
        <v>277950</v>
      </c>
      <c r="Q52" s="364">
        <v>298428</v>
      </c>
      <c r="R52" s="364">
        <v>277950</v>
      </c>
      <c r="S52" s="364">
        <v>277950</v>
      </c>
      <c r="T52" s="364">
        <v>277950</v>
      </c>
      <c r="U52" s="364">
        <v>277950</v>
      </c>
      <c r="V52" s="509">
        <v>240375</v>
      </c>
      <c r="W52" s="87">
        <f t="shared" si="8"/>
        <v>3398300</v>
      </c>
      <c r="X52" s="58"/>
    </row>
    <row r="53" spans="1:24">
      <c r="A53" s="14">
        <f t="shared" ref="A53:A58" si="22">A52</f>
        <v>2018047</v>
      </c>
      <c r="B53" s="24"/>
      <c r="C53" s="547"/>
      <c r="D53" s="550"/>
      <c r="E53" s="550"/>
      <c r="F53" s="550"/>
      <c r="G53" s="550"/>
      <c r="H53" s="550"/>
      <c r="I53" s="553"/>
      <c r="J53" s="176" t="s">
        <v>37</v>
      </c>
      <c r="K53" s="403">
        <v>57500</v>
      </c>
      <c r="L53" s="364">
        <v>65000</v>
      </c>
      <c r="M53" s="364">
        <v>57500</v>
      </c>
      <c r="N53" s="364">
        <v>52500</v>
      </c>
      <c r="O53" s="364">
        <v>65000</v>
      </c>
      <c r="P53" s="364">
        <v>60000</v>
      </c>
      <c r="Q53" s="364">
        <v>42500</v>
      </c>
      <c r="R53" s="364">
        <v>65000</v>
      </c>
      <c r="S53" s="364">
        <v>88000</v>
      </c>
      <c r="T53" s="364">
        <v>116000</v>
      </c>
      <c r="U53" s="364">
        <v>81000</v>
      </c>
      <c r="V53" s="509" t="s">
        <v>114</v>
      </c>
      <c r="W53" s="87">
        <f t="shared" si="8"/>
        <v>750000</v>
      </c>
      <c r="X53" s="58"/>
    </row>
    <row r="54" spans="1:24">
      <c r="A54" s="14">
        <f t="shared" si="22"/>
        <v>2018047</v>
      </c>
      <c r="B54" s="24"/>
      <c r="C54" s="547"/>
      <c r="D54" s="550"/>
      <c r="E54" s="550"/>
      <c r="F54" s="550"/>
      <c r="G54" s="550"/>
      <c r="H54" s="550"/>
      <c r="I54" s="553"/>
      <c r="J54" s="176" t="s">
        <v>38</v>
      </c>
      <c r="K54" s="403">
        <v>0</v>
      </c>
      <c r="L54" s="364">
        <v>0</v>
      </c>
      <c r="M54" s="364">
        <v>0</v>
      </c>
      <c r="N54" s="364">
        <v>0</v>
      </c>
      <c r="O54" s="364">
        <v>0</v>
      </c>
      <c r="P54" s="364">
        <v>11972</v>
      </c>
      <c r="Q54" s="364">
        <v>0</v>
      </c>
      <c r="R54" s="364">
        <v>10314</v>
      </c>
      <c r="S54" s="364">
        <v>0</v>
      </c>
      <c r="T54" s="364">
        <v>0</v>
      </c>
      <c r="U54" s="364">
        <v>0</v>
      </c>
      <c r="V54" s="509" t="s">
        <v>114</v>
      </c>
      <c r="W54" s="87">
        <f t="shared" si="8"/>
        <v>22286</v>
      </c>
      <c r="X54" s="58"/>
    </row>
    <row r="55" spans="1:24">
      <c r="A55" s="14">
        <f t="shared" si="22"/>
        <v>2018047</v>
      </c>
      <c r="B55" s="24"/>
      <c r="C55" s="547"/>
      <c r="D55" s="550"/>
      <c r="E55" s="550"/>
      <c r="F55" s="550"/>
      <c r="G55" s="550"/>
      <c r="H55" s="550"/>
      <c r="I55" s="553"/>
      <c r="J55" s="176" t="s">
        <v>26</v>
      </c>
      <c r="K55" s="396">
        <v>15200</v>
      </c>
      <c r="L55" s="365">
        <v>15200</v>
      </c>
      <c r="M55" s="365">
        <v>15200</v>
      </c>
      <c r="N55" s="365">
        <v>15200</v>
      </c>
      <c r="O55" s="365">
        <v>17100</v>
      </c>
      <c r="P55" s="365">
        <v>17100</v>
      </c>
      <c r="Q55" s="365">
        <v>17100</v>
      </c>
      <c r="R55" s="365">
        <v>17100</v>
      </c>
      <c r="S55" s="365">
        <v>17100</v>
      </c>
      <c r="T55" s="365">
        <v>17100</v>
      </c>
      <c r="U55" s="365">
        <v>17100</v>
      </c>
      <c r="V55" s="510">
        <v>17100</v>
      </c>
      <c r="W55" s="87">
        <f t="shared" si="8"/>
        <v>197600</v>
      </c>
      <c r="X55" s="58"/>
    </row>
    <row r="56" spans="1:24">
      <c r="A56" s="14">
        <f t="shared" si="22"/>
        <v>2018047</v>
      </c>
      <c r="B56" s="24"/>
      <c r="C56" s="547"/>
      <c r="D56" s="550"/>
      <c r="E56" s="550"/>
      <c r="F56" s="550"/>
      <c r="G56" s="550"/>
      <c r="H56" s="550"/>
      <c r="I56" s="553"/>
      <c r="J56" s="176" t="s">
        <v>27</v>
      </c>
      <c r="K56" s="396">
        <v>29280</v>
      </c>
      <c r="L56" s="365">
        <v>29280</v>
      </c>
      <c r="M56" s="365">
        <v>29280</v>
      </c>
      <c r="N56" s="365">
        <v>29280</v>
      </c>
      <c r="O56" s="365">
        <v>32940</v>
      </c>
      <c r="P56" s="365">
        <v>32940</v>
      </c>
      <c r="Q56" s="365">
        <v>32940</v>
      </c>
      <c r="R56" s="365">
        <v>32940</v>
      </c>
      <c r="S56" s="365">
        <v>32940</v>
      </c>
      <c r="T56" s="365">
        <v>32940</v>
      </c>
      <c r="U56" s="365">
        <v>32940</v>
      </c>
      <c r="V56" s="510">
        <v>32940</v>
      </c>
      <c r="W56" s="87">
        <f t="shared" si="8"/>
        <v>380640</v>
      </c>
      <c r="X56" s="58"/>
    </row>
    <row r="57" spans="1:24">
      <c r="A57" s="14">
        <f t="shared" si="22"/>
        <v>2018047</v>
      </c>
      <c r="B57" s="24"/>
      <c r="C57" s="547"/>
      <c r="D57" s="550"/>
      <c r="E57" s="550"/>
      <c r="F57" s="550"/>
      <c r="G57" s="550"/>
      <c r="H57" s="550"/>
      <c r="I57" s="553"/>
      <c r="J57" s="176" t="s">
        <v>28</v>
      </c>
      <c r="K57" s="396">
        <v>1728</v>
      </c>
      <c r="L57" s="365">
        <v>1954</v>
      </c>
      <c r="M57" s="365">
        <v>1677</v>
      </c>
      <c r="N57" s="365">
        <v>1652</v>
      </c>
      <c r="O57" s="365">
        <v>1825</v>
      </c>
      <c r="P57" s="365">
        <v>1690</v>
      </c>
      <c r="Q57" s="365">
        <v>1705</v>
      </c>
      <c r="R57" s="365">
        <v>1715</v>
      </c>
      <c r="S57" s="365">
        <v>1830</v>
      </c>
      <c r="T57" s="365">
        <v>1970</v>
      </c>
      <c r="U57" s="365">
        <v>1882</v>
      </c>
      <c r="V57" s="510">
        <v>1882</v>
      </c>
      <c r="W57" s="87">
        <f t="shared" si="8"/>
        <v>21510</v>
      </c>
      <c r="X57" s="58"/>
    </row>
    <row r="58" spans="1:24">
      <c r="A58" s="14">
        <f t="shared" si="22"/>
        <v>2018047</v>
      </c>
      <c r="B58" s="24"/>
      <c r="C58" s="548"/>
      <c r="D58" s="551"/>
      <c r="E58" s="551"/>
      <c r="F58" s="551"/>
      <c r="G58" s="551"/>
      <c r="H58" s="551"/>
      <c r="I58" s="554"/>
      <c r="J58" s="177" t="s">
        <v>29</v>
      </c>
      <c r="K58" s="397">
        <v>1901</v>
      </c>
      <c r="L58" s="366">
        <v>2150</v>
      </c>
      <c r="M58" s="366">
        <v>1845</v>
      </c>
      <c r="N58" s="366">
        <v>1817</v>
      </c>
      <c r="O58" s="366">
        <v>2007</v>
      </c>
      <c r="P58" s="366">
        <v>1859</v>
      </c>
      <c r="Q58" s="366">
        <v>1875</v>
      </c>
      <c r="R58" s="366">
        <v>1886</v>
      </c>
      <c r="S58" s="366">
        <v>2013</v>
      </c>
      <c r="T58" s="366">
        <v>2167</v>
      </c>
      <c r="U58" s="366">
        <v>2070</v>
      </c>
      <c r="V58" s="512">
        <v>2070</v>
      </c>
      <c r="W58" s="88">
        <f t="shared" si="8"/>
        <v>23660</v>
      </c>
      <c r="X58" s="58"/>
    </row>
    <row r="59" spans="1:24">
      <c r="A59" s="13">
        <v>2019020</v>
      </c>
      <c r="C59" s="528">
        <f t="shared" ref="C59" si="23">C51+1</f>
        <v>8</v>
      </c>
      <c r="D59" s="522"/>
      <c r="E59" s="522" t="s">
        <v>97</v>
      </c>
      <c r="F59" s="608"/>
      <c r="G59" s="522"/>
      <c r="H59" s="522"/>
      <c r="I59" s="525" t="s">
        <v>31</v>
      </c>
      <c r="J59" s="175" t="s">
        <v>24</v>
      </c>
      <c r="K59" s="420">
        <f t="shared" ref="K59:R59" si="24">SUM(K60:K66)</f>
        <v>400577</v>
      </c>
      <c r="L59" s="285">
        <f t="shared" si="24"/>
        <v>400797</v>
      </c>
      <c r="M59" s="285">
        <f t="shared" si="24"/>
        <v>391857</v>
      </c>
      <c r="N59" s="285">
        <f t="shared" si="24"/>
        <v>398674</v>
      </c>
      <c r="O59" s="285">
        <f t="shared" si="24"/>
        <v>383736</v>
      </c>
      <c r="P59" s="285">
        <f t="shared" si="24"/>
        <v>376244</v>
      </c>
      <c r="Q59" s="285">
        <f t="shared" si="24"/>
        <v>379507</v>
      </c>
      <c r="R59" s="285">
        <f t="shared" si="24"/>
        <v>364731</v>
      </c>
      <c r="S59" s="285">
        <f>SUM(S60:S66)</f>
        <v>125280</v>
      </c>
      <c r="T59" s="347">
        <f>SUM(T60:T66)</f>
        <v>0</v>
      </c>
      <c r="U59" s="347">
        <f>SUM(U60:U66)</f>
        <v>0</v>
      </c>
      <c r="V59" s="508">
        <f>SUM(V60:V66)</f>
        <v>0</v>
      </c>
      <c r="W59" s="427">
        <f t="shared" ref="W59:W90" si="25">SUM(K59:V59)</f>
        <v>3221403</v>
      </c>
    </row>
    <row r="60" spans="1:24">
      <c r="A60" s="14">
        <f>A59</f>
        <v>2019020</v>
      </c>
      <c r="B60" s="24"/>
      <c r="C60" s="529"/>
      <c r="D60" s="523"/>
      <c r="E60" s="523"/>
      <c r="F60" s="609"/>
      <c r="G60" s="523"/>
      <c r="H60" s="523"/>
      <c r="I60" s="526"/>
      <c r="J60" s="176" t="s">
        <v>25</v>
      </c>
      <c r="K60" s="429">
        <v>313108</v>
      </c>
      <c r="L60" s="430">
        <v>297680</v>
      </c>
      <c r="M60" s="430">
        <v>299435</v>
      </c>
      <c r="N60" s="430">
        <v>297680</v>
      </c>
      <c r="O60" s="430">
        <v>290180</v>
      </c>
      <c r="P60" s="430">
        <v>290180</v>
      </c>
      <c r="Q60" s="430">
        <v>292680</v>
      </c>
      <c r="R60" s="430">
        <v>287680</v>
      </c>
      <c r="S60" s="430">
        <v>29000</v>
      </c>
      <c r="T60" s="364"/>
      <c r="U60" s="364"/>
      <c r="V60" s="509"/>
      <c r="W60" s="428">
        <f t="shared" si="25"/>
        <v>2397623</v>
      </c>
      <c r="X60" s="58"/>
    </row>
    <row r="61" spans="1:24">
      <c r="A61" s="14">
        <f t="shared" ref="A61:A66" si="26">A60</f>
        <v>2019020</v>
      </c>
      <c r="B61" s="24"/>
      <c r="C61" s="529"/>
      <c r="D61" s="523"/>
      <c r="E61" s="523"/>
      <c r="F61" s="609"/>
      <c r="G61" s="523"/>
      <c r="H61" s="523"/>
      <c r="I61" s="526"/>
      <c r="J61" s="176" t="s">
        <v>37</v>
      </c>
      <c r="K61" s="429">
        <v>12500</v>
      </c>
      <c r="L61" s="430">
        <v>20000</v>
      </c>
      <c r="M61" s="430">
        <v>15000</v>
      </c>
      <c r="N61" s="430">
        <v>20000</v>
      </c>
      <c r="O61" s="430">
        <v>12500</v>
      </c>
      <c r="P61" s="430">
        <v>12500</v>
      </c>
      <c r="Q61" s="430">
        <v>15000</v>
      </c>
      <c r="R61" s="430">
        <v>10000</v>
      </c>
      <c r="S61" s="430">
        <v>29000</v>
      </c>
      <c r="T61" s="364"/>
      <c r="U61" s="364"/>
      <c r="V61" s="509"/>
      <c r="W61" s="428">
        <f t="shared" si="25"/>
        <v>146500</v>
      </c>
      <c r="X61" s="58"/>
    </row>
    <row r="62" spans="1:24">
      <c r="A62" s="14">
        <f t="shared" si="26"/>
        <v>2019020</v>
      </c>
      <c r="B62" s="24"/>
      <c r="C62" s="529"/>
      <c r="D62" s="523"/>
      <c r="E62" s="523"/>
      <c r="F62" s="609"/>
      <c r="G62" s="523"/>
      <c r="H62" s="523"/>
      <c r="I62" s="526"/>
      <c r="J62" s="176" t="s">
        <v>38</v>
      </c>
      <c r="K62" s="429">
        <v>24421</v>
      </c>
      <c r="L62" s="430">
        <v>32732</v>
      </c>
      <c r="M62" s="430">
        <v>27018</v>
      </c>
      <c r="N62" s="430">
        <v>30609</v>
      </c>
      <c r="O62" s="430">
        <v>30749</v>
      </c>
      <c r="P62" s="430">
        <v>28817</v>
      </c>
      <c r="Q62" s="430">
        <v>26773</v>
      </c>
      <c r="R62" s="430">
        <v>22331</v>
      </c>
      <c r="S62" s="430">
        <v>25276</v>
      </c>
      <c r="T62" s="364"/>
      <c r="U62" s="364"/>
      <c r="V62" s="509"/>
      <c r="W62" s="428">
        <f t="shared" si="25"/>
        <v>248726</v>
      </c>
      <c r="X62" s="58"/>
    </row>
    <row r="63" spans="1:24">
      <c r="A63" s="14">
        <f t="shared" si="26"/>
        <v>2019020</v>
      </c>
      <c r="B63" s="24"/>
      <c r="C63" s="529"/>
      <c r="D63" s="523"/>
      <c r="E63" s="523"/>
      <c r="F63" s="609"/>
      <c r="G63" s="523"/>
      <c r="H63" s="523"/>
      <c r="I63" s="526"/>
      <c r="J63" s="176" t="s">
        <v>26</v>
      </c>
      <c r="K63" s="429">
        <v>16150</v>
      </c>
      <c r="L63" s="430">
        <v>16150</v>
      </c>
      <c r="M63" s="430">
        <v>16150</v>
      </c>
      <c r="N63" s="430">
        <v>16150</v>
      </c>
      <c r="O63" s="430">
        <v>16150</v>
      </c>
      <c r="P63" s="430">
        <v>14250</v>
      </c>
      <c r="Q63" s="430">
        <v>14250</v>
      </c>
      <c r="R63" s="430">
        <v>14250</v>
      </c>
      <c r="S63" s="430">
        <v>14250</v>
      </c>
      <c r="T63" s="364"/>
      <c r="U63" s="364"/>
      <c r="V63" s="509"/>
      <c r="W63" s="428">
        <f t="shared" si="25"/>
        <v>137750</v>
      </c>
      <c r="X63" s="58"/>
    </row>
    <row r="64" spans="1:24">
      <c r="A64" s="14">
        <f t="shared" si="26"/>
        <v>2019020</v>
      </c>
      <c r="B64" s="24"/>
      <c r="C64" s="529"/>
      <c r="D64" s="523"/>
      <c r="E64" s="523"/>
      <c r="F64" s="609"/>
      <c r="G64" s="523"/>
      <c r="H64" s="523"/>
      <c r="I64" s="526"/>
      <c r="J64" s="176" t="s">
        <v>27</v>
      </c>
      <c r="K64" s="429">
        <v>31110</v>
      </c>
      <c r="L64" s="430">
        <v>31110</v>
      </c>
      <c r="M64" s="430">
        <v>31110</v>
      </c>
      <c r="N64" s="430">
        <v>31110</v>
      </c>
      <c r="O64" s="430">
        <v>31110</v>
      </c>
      <c r="P64" s="430">
        <v>27450</v>
      </c>
      <c r="Q64" s="430">
        <v>27450</v>
      </c>
      <c r="R64" s="430">
        <v>27450</v>
      </c>
      <c r="S64" s="430">
        <v>27450</v>
      </c>
      <c r="T64" s="364"/>
      <c r="U64" s="364"/>
      <c r="V64" s="509"/>
      <c r="W64" s="428">
        <f t="shared" si="25"/>
        <v>265350</v>
      </c>
      <c r="X64" s="58"/>
    </row>
    <row r="65" spans="1:24">
      <c r="A65" s="14">
        <f t="shared" si="26"/>
        <v>2019020</v>
      </c>
      <c r="B65" s="24"/>
      <c r="C65" s="529"/>
      <c r="D65" s="523"/>
      <c r="E65" s="523"/>
      <c r="F65" s="609"/>
      <c r="G65" s="523"/>
      <c r="H65" s="523"/>
      <c r="I65" s="526"/>
      <c r="J65" s="176" t="s">
        <v>28</v>
      </c>
      <c r="K65" s="429">
        <v>1566</v>
      </c>
      <c r="L65" s="430">
        <v>1488</v>
      </c>
      <c r="M65" s="430">
        <v>1497</v>
      </c>
      <c r="N65" s="430">
        <v>1488</v>
      </c>
      <c r="O65" s="430">
        <v>1451</v>
      </c>
      <c r="P65" s="430">
        <v>1451</v>
      </c>
      <c r="Q65" s="430">
        <v>1597</v>
      </c>
      <c r="R65" s="430">
        <v>1438</v>
      </c>
      <c r="S65" s="430">
        <v>145</v>
      </c>
      <c r="T65" s="364"/>
      <c r="U65" s="364"/>
      <c r="V65" s="509"/>
      <c r="W65" s="428">
        <f t="shared" si="25"/>
        <v>12121</v>
      </c>
      <c r="X65" s="58"/>
    </row>
    <row r="66" spans="1:24">
      <c r="A66" s="14">
        <f t="shared" si="26"/>
        <v>2019020</v>
      </c>
      <c r="B66" s="24"/>
      <c r="C66" s="530"/>
      <c r="D66" s="524"/>
      <c r="E66" s="524"/>
      <c r="F66" s="610"/>
      <c r="G66" s="524"/>
      <c r="H66" s="524"/>
      <c r="I66" s="527"/>
      <c r="J66" s="177" t="s">
        <v>29</v>
      </c>
      <c r="K66" s="465">
        <v>1722</v>
      </c>
      <c r="L66" s="466">
        <v>1637</v>
      </c>
      <c r="M66" s="466">
        <v>1647</v>
      </c>
      <c r="N66" s="466">
        <v>1637</v>
      </c>
      <c r="O66" s="466">
        <v>1596</v>
      </c>
      <c r="P66" s="466">
        <v>1596</v>
      </c>
      <c r="Q66" s="466">
        <v>1757</v>
      </c>
      <c r="R66" s="466">
        <v>1582</v>
      </c>
      <c r="S66" s="466">
        <v>159</v>
      </c>
      <c r="T66" s="477"/>
      <c r="U66" s="477"/>
      <c r="V66" s="514"/>
      <c r="W66" s="431">
        <f t="shared" si="25"/>
        <v>13333</v>
      </c>
      <c r="X66" s="58"/>
    </row>
    <row r="67" spans="1:24">
      <c r="A67" s="13">
        <v>2019027</v>
      </c>
      <c r="C67" s="546">
        <f t="shared" ref="C67" si="27">C59+1</f>
        <v>9</v>
      </c>
      <c r="D67" s="549"/>
      <c r="E67" s="549"/>
      <c r="F67" s="549"/>
      <c r="G67" s="549"/>
      <c r="H67" s="549"/>
      <c r="I67" s="552" t="s">
        <v>31</v>
      </c>
      <c r="J67" s="175" t="s">
        <v>24</v>
      </c>
      <c r="K67" s="395">
        <f t="shared" ref="K67:Q67" si="28">SUM(K68:K74)</f>
        <v>430314</v>
      </c>
      <c r="L67" s="347">
        <f t="shared" si="28"/>
        <v>428809</v>
      </c>
      <c r="M67" s="347">
        <f t="shared" si="28"/>
        <v>429820</v>
      </c>
      <c r="N67" s="347">
        <f t="shared" si="28"/>
        <v>441974</v>
      </c>
      <c r="O67" s="347">
        <f t="shared" si="28"/>
        <v>423357</v>
      </c>
      <c r="P67" s="347">
        <f t="shared" si="28"/>
        <v>419352</v>
      </c>
      <c r="Q67" s="347">
        <f t="shared" si="28"/>
        <v>467904</v>
      </c>
      <c r="R67" s="347">
        <f>SUM(R68:R74)</f>
        <v>435982</v>
      </c>
      <c r="S67" s="347">
        <f>SUM(S68:S74)</f>
        <v>431182</v>
      </c>
      <c r="T67" s="347">
        <f>SUM(T68:T74)</f>
        <v>432380</v>
      </c>
      <c r="U67" s="347">
        <f>SUM(U68:U74)</f>
        <v>441487</v>
      </c>
      <c r="V67" s="508">
        <f>SUM(V68:V74)</f>
        <v>318551</v>
      </c>
      <c r="W67" s="86">
        <f t="shared" si="25"/>
        <v>5101112</v>
      </c>
    </row>
    <row r="68" spans="1:24">
      <c r="A68" s="14">
        <f>A67</f>
        <v>2019027</v>
      </c>
      <c r="B68" s="24"/>
      <c r="C68" s="547"/>
      <c r="D68" s="550"/>
      <c r="E68" s="550"/>
      <c r="F68" s="550"/>
      <c r="G68" s="550"/>
      <c r="H68" s="550"/>
      <c r="I68" s="553"/>
      <c r="J68" s="176" t="s">
        <v>25</v>
      </c>
      <c r="K68" s="403">
        <v>330050</v>
      </c>
      <c r="L68" s="364">
        <v>328624</v>
      </c>
      <c r="M68" s="364">
        <v>321812</v>
      </c>
      <c r="N68" s="364">
        <v>329901</v>
      </c>
      <c r="O68" s="364">
        <v>315000</v>
      </c>
      <c r="P68" s="364">
        <v>315000</v>
      </c>
      <c r="Q68" s="364">
        <v>343951</v>
      </c>
      <c r="R68" s="364">
        <v>315000</v>
      </c>
      <c r="S68" s="364">
        <v>315000</v>
      </c>
      <c r="T68" s="364">
        <v>315000</v>
      </c>
      <c r="U68" s="364">
        <v>315000</v>
      </c>
      <c r="V68" s="509">
        <v>267425</v>
      </c>
      <c r="W68" s="87">
        <f t="shared" si="25"/>
        <v>3811763</v>
      </c>
      <c r="X68" s="58"/>
    </row>
    <row r="69" spans="1:24">
      <c r="A69" s="14">
        <f t="shared" ref="A69:A74" si="29">A68</f>
        <v>2019027</v>
      </c>
      <c r="B69" s="24"/>
      <c r="C69" s="547"/>
      <c r="D69" s="550"/>
      <c r="E69" s="550"/>
      <c r="F69" s="550"/>
      <c r="G69" s="550"/>
      <c r="H69" s="550"/>
      <c r="I69" s="553"/>
      <c r="J69" s="176" t="s">
        <v>37</v>
      </c>
      <c r="K69" s="403">
        <v>17500</v>
      </c>
      <c r="L69" s="364">
        <v>15000</v>
      </c>
      <c r="M69" s="364">
        <v>15000</v>
      </c>
      <c r="N69" s="364">
        <v>12500</v>
      </c>
      <c r="O69" s="364">
        <v>15000</v>
      </c>
      <c r="P69" s="364">
        <v>26750</v>
      </c>
      <c r="Q69" s="364">
        <v>23750</v>
      </c>
      <c r="R69" s="364">
        <v>25000</v>
      </c>
      <c r="S69" s="364">
        <v>15500</v>
      </c>
      <c r="T69" s="364">
        <v>23500</v>
      </c>
      <c r="U69" s="364">
        <v>35750</v>
      </c>
      <c r="V69" s="509" t="s">
        <v>114</v>
      </c>
      <c r="W69" s="87">
        <f t="shared" si="25"/>
        <v>225250</v>
      </c>
      <c r="X69" s="58"/>
    </row>
    <row r="70" spans="1:24">
      <c r="A70" s="14">
        <f t="shared" si="29"/>
        <v>2019027</v>
      </c>
      <c r="B70" s="24"/>
      <c r="C70" s="547"/>
      <c r="D70" s="550"/>
      <c r="E70" s="550"/>
      <c r="F70" s="550"/>
      <c r="G70" s="550"/>
      <c r="H70" s="550"/>
      <c r="I70" s="553"/>
      <c r="J70" s="176" t="s">
        <v>38</v>
      </c>
      <c r="K70" s="403">
        <v>37414</v>
      </c>
      <c r="L70" s="364">
        <v>39877</v>
      </c>
      <c r="M70" s="364">
        <v>47772</v>
      </c>
      <c r="N70" s="364">
        <v>54278</v>
      </c>
      <c r="O70" s="364">
        <v>42632</v>
      </c>
      <c r="P70" s="364">
        <v>26753</v>
      </c>
      <c r="Q70" s="364">
        <v>48572</v>
      </c>
      <c r="R70" s="364">
        <v>45152</v>
      </c>
      <c r="S70" s="364">
        <v>49952</v>
      </c>
      <c r="T70" s="364">
        <v>43066</v>
      </c>
      <c r="U70" s="364">
        <v>39611</v>
      </c>
      <c r="V70" s="509" t="s">
        <v>114</v>
      </c>
      <c r="W70" s="87">
        <f t="shared" si="25"/>
        <v>475079</v>
      </c>
      <c r="X70" s="58"/>
    </row>
    <row r="71" spans="1:24">
      <c r="A71" s="14">
        <f t="shared" si="29"/>
        <v>2019027</v>
      </c>
      <c r="B71" s="24"/>
      <c r="C71" s="547"/>
      <c r="D71" s="550"/>
      <c r="E71" s="550"/>
      <c r="F71" s="550"/>
      <c r="G71" s="550"/>
      <c r="H71" s="550"/>
      <c r="I71" s="553"/>
      <c r="J71" s="176" t="s">
        <v>26</v>
      </c>
      <c r="K71" s="396">
        <v>14250</v>
      </c>
      <c r="L71" s="365">
        <v>14250</v>
      </c>
      <c r="M71" s="365">
        <v>14250</v>
      </c>
      <c r="N71" s="365">
        <v>14250</v>
      </c>
      <c r="O71" s="365">
        <v>16150</v>
      </c>
      <c r="P71" s="365">
        <v>16150</v>
      </c>
      <c r="Q71" s="365">
        <v>16150</v>
      </c>
      <c r="R71" s="365">
        <v>16150</v>
      </c>
      <c r="S71" s="365">
        <v>16150</v>
      </c>
      <c r="T71" s="365">
        <v>16150</v>
      </c>
      <c r="U71" s="365">
        <v>16150</v>
      </c>
      <c r="V71" s="510">
        <v>16150</v>
      </c>
      <c r="W71" s="87">
        <f t="shared" si="25"/>
        <v>186200</v>
      </c>
      <c r="X71" s="58"/>
    </row>
    <row r="72" spans="1:24">
      <c r="A72" s="14">
        <f t="shared" si="29"/>
        <v>2019027</v>
      </c>
      <c r="B72" s="24"/>
      <c r="C72" s="547"/>
      <c r="D72" s="550"/>
      <c r="E72" s="550"/>
      <c r="F72" s="550"/>
      <c r="G72" s="550"/>
      <c r="H72" s="550"/>
      <c r="I72" s="553"/>
      <c r="J72" s="176" t="s">
        <v>27</v>
      </c>
      <c r="K72" s="396">
        <v>27450</v>
      </c>
      <c r="L72" s="365">
        <v>27450</v>
      </c>
      <c r="M72" s="365">
        <v>27450</v>
      </c>
      <c r="N72" s="365">
        <v>27450</v>
      </c>
      <c r="O72" s="365">
        <v>31110</v>
      </c>
      <c r="P72" s="365">
        <v>31110</v>
      </c>
      <c r="Q72" s="365">
        <v>31110</v>
      </c>
      <c r="R72" s="365">
        <v>31110</v>
      </c>
      <c r="S72" s="365">
        <v>31110</v>
      </c>
      <c r="T72" s="365">
        <v>31110</v>
      </c>
      <c r="U72" s="365">
        <v>31110</v>
      </c>
      <c r="V72" s="510">
        <v>31110</v>
      </c>
      <c r="W72" s="87">
        <f t="shared" si="25"/>
        <v>358680</v>
      </c>
      <c r="X72" s="58"/>
    </row>
    <row r="73" spans="1:24">
      <c r="A73" s="14">
        <f t="shared" si="29"/>
        <v>2019027</v>
      </c>
      <c r="B73" s="24"/>
      <c r="C73" s="547"/>
      <c r="D73" s="550"/>
      <c r="E73" s="550"/>
      <c r="F73" s="550"/>
      <c r="G73" s="550"/>
      <c r="H73" s="550"/>
      <c r="I73" s="553"/>
      <c r="J73" s="176" t="s">
        <v>28</v>
      </c>
      <c r="K73" s="396">
        <v>1738</v>
      </c>
      <c r="L73" s="365">
        <v>1718</v>
      </c>
      <c r="M73" s="365">
        <v>1684</v>
      </c>
      <c r="N73" s="365">
        <v>1712</v>
      </c>
      <c r="O73" s="365">
        <v>1650</v>
      </c>
      <c r="P73" s="365">
        <v>1709</v>
      </c>
      <c r="Q73" s="365">
        <v>2081</v>
      </c>
      <c r="R73" s="365">
        <v>1700</v>
      </c>
      <c r="S73" s="365">
        <v>1652</v>
      </c>
      <c r="T73" s="365">
        <v>1692</v>
      </c>
      <c r="U73" s="365">
        <v>1841</v>
      </c>
      <c r="V73" s="510">
        <v>1841</v>
      </c>
      <c r="W73" s="87">
        <f t="shared" si="25"/>
        <v>21018</v>
      </c>
      <c r="X73" s="58"/>
    </row>
    <row r="74" spans="1:24">
      <c r="A74" s="14">
        <f t="shared" si="29"/>
        <v>2019027</v>
      </c>
      <c r="B74" s="24"/>
      <c r="C74" s="548"/>
      <c r="D74" s="600"/>
      <c r="E74" s="600"/>
      <c r="F74" s="600"/>
      <c r="G74" s="600"/>
      <c r="H74" s="600"/>
      <c r="I74" s="601"/>
      <c r="J74" s="180" t="s">
        <v>29</v>
      </c>
      <c r="K74" s="397">
        <v>1912</v>
      </c>
      <c r="L74" s="366">
        <v>1890</v>
      </c>
      <c r="M74" s="366">
        <v>1852</v>
      </c>
      <c r="N74" s="366">
        <v>1883</v>
      </c>
      <c r="O74" s="366">
        <v>1815</v>
      </c>
      <c r="P74" s="366">
        <v>1880</v>
      </c>
      <c r="Q74" s="366">
        <v>2290</v>
      </c>
      <c r="R74" s="366">
        <v>1870</v>
      </c>
      <c r="S74" s="366">
        <v>1818</v>
      </c>
      <c r="T74" s="366">
        <v>1862</v>
      </c>
      <c r="U74" s="366">
        <v>2025</v>
      </c>
      <c r="V74" s="512">
        <v>2025</v>
      </c>
      <c r="W74" s="391">
        <f t="shared" si="25"/>
        <v>23122</v>
      </c>
      <c r="X74" s="58"/>
    </row>
    <row r="75" spans="1:24">
      <c r="A75" s="13">
        <v>2019023</v>
      </c>
      <c r="C75" s="546">
        <f t="shared" ref="C75" si="30">C67+1</f>
        <v>10</v>
      </c>
      <c r="D75" s="549"/>
      <c r="E75" s="549"/>
      <c r="F75" s="549"/>
      <c r="G75" s="549"/>
      <c r="H75" s="549"/>
      <c r="I75" s="552" t="s">
        <v>31</v>
      </c>
      <c r="J75" s="175" t="s">
        <v>24</v>
      </c>
      <c r="K75" s="395">
        <f t="shared" ref="K75:R75" si="31">SUM(K76:K82)</f>
        <v>422680</v>
      </c>
      <c r="L75" s="347">
        <f t="shared" si="31"/>
        <v>365687</v>
      </c>
      <c r="M75" s="347">
        <f t="shared" si="31"/>
        <v>405840</v>
      </c>
      <c r="N75" s="347">
        <f t="shared" si="31"/>
        <v>382415</v>
      </c>
      <c r="O75" s="347">
        <f t="shared" si="31"/>
        <v>377044</v>
      </c>
      <c r="P75" s="347">
        <f t="shared" si="31"/>
        <v>377909</v>
      </c>
      <c r="Q75" s="347">
        <f t="shared" si="31"/>
        <v>358093</v>
      </c>
      <c r="R75" s="347">
        <f t="shared" si="31"/>
        <v>365245</v>
      </c>
      <c r="S75" s="347">
        <f>SUM(S76:S82)</f>
        <v>416325</v>
      </c>
      <c r="T75" s="347">
        <f>SUM(T76:T82)</f>
        <v>406868</v>
      </c>
      <c r="U75" s="347">
        <f>SUM(U76:U82)</f>
        <v>384668</v>
      </c>
      <c r="V75" s="508">
        <f>SUM(V76:V82)</f>
        <v>285384</v>
      </c>
      <c r="W75" s="86">
        <f t="shared" si="25"/>
        <v>4548158</v>
      </c>
    </row>
    <row r="76" spans="1:24">
      <c r="A76" s="14">
        <f>A75</f>
        <v>2019023</v>
      </c>
      <c r="B76" s="24"/>
      <c r="C76" s="547"/>
      <c r="D76" s="550"/>
      <c r="E76" s="550"/>
      <c r="F76" s="550"/>
      <c r="G76" s="550"/>
      <c r="H76" s="550"/>
      <c r="I76" s="553"/>
      <c r="J76" s="176" t="s">
        <v>25</v>
      </c>
      <c r="K76" s="403">
        <v>308094</v>
      </c>
      <c r="L76" s="364">
        <v>274700</v>
      </c>
      <c r="M76" s="364">
        <v>301504</v>
      </c>
      <c r="N76" s="364">
        <v>286209</v>
      </c>
      <c r="O76" s="364">
        <v>274700</v>
      </c>
      <c r="P76" s="364">
        <v>274700</v>
      </c>
      <c r="Q76" s="364">
        <v>274700</v>
      </c>
      <c r="R76" s="364">
        <v>274700</v>
      </c>
      <c r="S76" s="364">
        <v>301523</v>
      </c>
      <c r="T76" s="364">
        <v>274700</v>
      </c>
      <c r="U76" s="364">
        <v>274700</v>
      </c>
      <c r="V76" s="509">
        <v>237575</v>
      </c>
      <c r="W76" s="87">
        <f t="shared" si="25"/>
        <v>3357805</v>
      </c>
      <c r="X76" s="58"/>
    </row>
    <row r="77" spans="1:24">
      <c r="A77" s="14">
        <f t="shared" ref="A77:A82" si="32">A76</f>
        <v>2019023</v>
      </c>
      <c r="B77" s="24"/>
      <c r="C77" s="547"/>
      <c r="D77" s="550"/>
      <c r="E77" s="550"/>
      <c r="F77" s="550"/>
      <c r="G77" s="550"/>
      <c r="H77" s="550"/>
      <c r="I77" s="553"/>
      <c r="J77" s="176" t="s">
        <v>37</v>
      </c>
      <c r="K77" s="403">
        <v>25000</v>
      </c>
      <c r="L77" s="364">
        <v>10000</v>
      </c>
      <c r="M77" s="364">
        <v>17500</v>
      </c>
      <c r="N77" s="364">
        <v>17500</v>
      </c>
      <c r="O77" s="364">
        <v>15000</v>
      </c>
      <c r="P77" s="364">
        <v>17500</v>
      </c>
      <c r="Q77" s="364">
        <v>10000</v>
      </c>
      <c r="R77" s="364">
        <v>12500</v>
      </c>
      <c r="S77" s="364">
        <v>34000</v>
      </c>
      <c r="T77" s="364">
        <v>39000</v>
      </c>
      <c r="U77" s="364">
        <v>25000</v>
      </c>
      <c r="V77" s="509" t="s">
        <v>114</v>
      </c>
      <c r="W77" s="87">
        <f t="shared" si="25"/>
        <v>223000</v>
      </c>
      <c r="X77" s="58"/>
    </row>
    <row r="78" spans="1:24">
      <c r="A78" s="14">
        <f t="shared" si="32"/>
        <v>2019023</v>
      </c>
      <c r="B78" s="24"/>
      <c r="C78" s="547"/>
      <c r="D78" s="550"/>
      <c r="E78" s="550"/>
      <c r="F78" s="550"/>
      <c r="G78" s="550"/>
      <c r="H78" s="550"/>
      <c r="I78" s="553"/>
      <c r="J78" s="176" t="s">
        <v>38</v>
      </c>
      <c r="K78" s="403">
        <v>47169</v>
      </c>
      <c r="L78" s="364">
        <v>39078</v>
      </c>
      <c r="M78" s="364">
        <v>44566</v>
      </c>
      <c r="N78" s="364">
        <v>36597</v>
      </c>
      <c r="O78" s="364">
        <v>39823</v>
      </c>
      <c r="P78" s="364">
        <v>38161</v>
      </c>
      <c r="Q78" s="364">
        <v>25654</v>
      </c>
      <c r="R78" s="364">
        <v>30549</v>
      </c>
      <c r="S78" s="364">
        <v>32799</v>
      </c>
      <c r="T78" s="364">
        <v>45395</v>
      </c>
      <c r="U78" s="364">
        <v>37159</v>
      </c>
      <c r="V78" s="509" t="s">
        <v>114</v>
      </c>
      <c r="W78" s="87">
        <f t="shared" si="25"/>
        <v>416950</v>
      </c>
      <c r="X78" s="58"/>
    </row>
    <row r="79" spans="1:24">
      <c r="A79" s="14">
        <f t="shared" si="32"/>
        <v>2019023</v>
      </c>
      <c r="B79" s="24"/>
      <c r="C79" s="547"/>
      <c r="D79" s="550"/>
      <c r="E79" s="550"/>
      <c r="F79" s="550"/>
      <c r="G79" s="550"/>
      <c r="H79" s="550"/>
      <c r="I79" s="553"/>
      <c r="J79" s="176" t="s">
        <v>26</v>
      </c>
      <c r="K79" s="396">
        <v>13300</v>
      </c>
      <c r="L79" s="365">
        <v>13300</v>
      </c>
      <c r="M79" s="365">
        <v>13300</v>
      </c>
      <c r="N79" s="365">
        <v>13300</v>
      </c>
      <c r="O79" s="365">
        <v>15200</v>
      </c>
      <c r="P79" s="365">
        <v>15200</v>
      </c>
      <c r="Q79" s="365">
        <v>15200</v>
      </c>
      <c r="R79" s="365">
        <v>15200</v>
      </c>
      <c r="S79" s="365">
        <v>15200</v>
      </c>
      <c r="T79" s="365">
        <v>15200</v>
      </c>
      <c r="U79" s="365">
        <v>15200</v>
      </c>
      <c r="V79" s="510">
        <v>15200</v>
      </c>
      <c r="W79" s="87">
        <f t="shared" si="25"/>
        <v>174800</v>
      </c>
      <c r="X79" s="58"/>
    </row>
    <row r="80" spans="1:24">
      <c r="A80" s="14">
        <f t="shared" si="32"/>
        <v>2019023</v>
      </c>
      <c r="B80" s="24"/>
      <c r="C80" s="547"/>
      <c r="D80" s="550"/>
      <c r="E80" s="550"/>
      <c r="F80" s="550"/>
      <c r="G80" s="550"/>
      <c r="H80" s="550"/>
      <c r="I80" s="553"/>
      <c r="J80" s="176" t="s">
        <v>27</v>
      </c>
      <c r="K80" s="396">
        <v>25620</v>
      </c>
      <c r="L80" s="365">
        <v>25620</v>
      </c>
      <c r="M80" s="365">
        <v>25620</v>
      </c>
      <c r="N80" s="365">
        <v>25620</v>
      </c>
      <c r="O80" s="365">
        <v>29280</v>
      </c>
      <c r="P80" s="365">
        <v>29280</v>
      </c>
      <c r="Q80" s="365">
        <v>29280</v>
      </c>
      <c r="R80" s="365">
        <v>29280</v>
      </c>
      <c r="S80" s="365">
        <v>29280</v>
      </c>
      <c r="T80" s="365">
        <v>29280</v>
      </c>
      <c r="U80" s="365">
        <v>29280</v>
      </c>
      <c r="V80" s="510">
        <v>29280</v>
      </c>
      <c r="W80" s="87">
        <f t="shared" si="25"/>
        <v>336720</v>
      </c>
      <c r="X80" s="58"/>
    </row>
    <row r="81" spans="1:24">
      <c r="A81" s="14">
        <f t="shared" si="32"/>
        <v>2019023</v>
      </c>
      <c r="B81" s="24"/>
      <c r="C81" s="547"/>
      <c r="D81" s="550"/>
      <c r="E81" s="550"/>
      <c r="F81" s="550"/>
      <c r="G81" s="550"/>
      <c r="H81" s="550"/>
      <c r="I81" s="553"/>
      <c r="J81" s="176" t="s">
        <v>28</v>
      </c>
      <c r="K81" s="396">
        <v>1665</v>
      </c>
      <c r="L81" s="365">
        <v>1423</v>
      </c>
      <c r="M81" s="365">
        <v>1595</v>
      </c>
      <c r="N81" s="365">
        <v>1519</v>
      </c>
      <c r="O81" s="365">
        <v>1448</v>
      </c>
      <c r="P81" s="365">
        <v>1461</v>
      </c>
      <c r="Q81" s="365">
        <v>1552</v>
      </c>
      <c r="R81" s="365">
        <v>1436</v>
      </c>
      <c r="S81" s="365">
        <v>1678</v>
      </c>
      <c r="T81" s="365">
        <v>1568</v>
      </c>
      <c r="U81" s="365">
        <v>1585</v>
      </c>
      <c r="V81" s="510">
        <v>1585</v>
      </c>
      <c r="W81" s="87">
        <f t="shared" si="25"/>
        <v>18515</v>
      </c>
      <c r="X81" s="58"/>
    </row>
    <row r="82" spans="1:24">
      <c r="A82" s="14">
        <f t="shared" si="32"/>
        <v>2019023</v>
      </c>
      <c r="B82" s="24"/>
      <c r="C82" s="548"/>
      <c r="D82" s="551"/>
      <c r="E82" s="551"/>
      <c r="F82" s="551"/>
      <c r="G82" s="551"/>
      <c r="H82" s="551"/>
      <c r="I82" s="554"/>
      <c r="J82" s="180" t="s">
        <v>29</v>
      </c>
      <c r="K82" s="397">
        <v>1832</v>
      </c>
      <c r="L82" s="366">
        <v>1566</v>
      </c>
      <c r="M82" s="366">
        <v>1755</v>
      </c>
      <c r="N82" s="366">
        <v>1670</v>
      </c>
      <c r="O82" s="366">
        <v>1593</v>
      </c>
      <c r="P82" s="366">
        <v>1607</v>
      </c>
      <c r="Q82" s="366">
        <v>1707</v>
      </c>
      <c r="R82" s="366">
        <v>1580</v>
      </c>
      <c r="S82" s="366">
        <v>1845</v>
      </c>
      <c r="T82" s="366">
        <v>1725</v>
      </c>
      <c r="U82" s="366">
        <v>1744</v>
      </c>
      <c r="V82" s="512">
        <v>1744</v>
      </c>
      <c r="W82" s="391">
        <f t="shared" si="25"/>
        <v>20368</v>
      </c>
      <c r="X82" s="58"/>
    </row>
    <row r="83" spans="1:24">
      <c r="A83" s="13">
        <v>2020008</v>
      </c>
      <c r="C83" s="546">
        <f t="shared" ref="C83" si="33">C75+1</f>
        <v>11</v>
      </c>
      <c r="D83" s="549"/>
      <c r="E83" s="549"/>
      <c r="F83" s="549"/>
      <c r="G83" s="549"/>
      <c r="H83" s="549"/>
      <c r="I83" s="552" t="s">
        <v>31</v>
      </c>
      <c r="J83" s="175" t="s">
        <v>24</v>
      </c>
      <c r="K83" s="395">
        <f t="shared" ref="K83:R83" si="34">SUM(K84:K90)</f>
        <v>481606</v>
      </c>
      <c r="L83" s="347">
        <f t="shared" si="34"/>
        <v>475085</v>
      </c>
      <c r="M83" s="347">
        <f t="shared" si="34"/>
        <v>465817</v>
      </c>
      <c r="N83" s="347">
        <f t="shared" si="34"/>
        <v>443702</v>
      </c>
      <c r="O83" s="347">
        <f t="shared" si="34"/>
        <v>443211</v>
      </c>
      <c r="P83" s="347">
        <f t="shared" si="34"/>
        <v>444235</v>
      </c>
      <c r="Q83" s="347">
        <f t="shared" si="34"/>
        <v>448538</v>
      </c>
      <c r="R83" s="347">
        <f t="shared" si="34"/>
        <v>445174</v>
      </c>
      <c r="S83" s="347">
        <f>SUM(S84:S90)</f>
        <v>413685</v>
      </c>
      <c r="T83" s="347">
        <f>SUM(T84:T90)</f>
        <v>489886</v>
      </c>
      <c r="U83" s="347">
        <f>SUM(U84:U90)</f>
        <v>437815</v>
      </c>
      <c r="V83" s="508">
        <f>SUM(V84:V90)</f>
        <v>366011</v>
      </c>
      <c r="W83" s="86">
        <f t="shared" si="25"/>
        <v>5354765</v>
      </c>
    </row>
    <row r="84" spans="1:24">
      <c r="A84" s="14">
        <f>A83</f>
        <v>2020008</v>
      </c>
      <c r="B84" s="24"/>
      <c r="C84" s="547"/>
      <c r="D84" s="550"/>
      <c r="E84" s="550"/>
      <c r="F84" s="550"/>
      <c r="G84" s="550"/>
      <c r="H84" s="550"/>
      <c r="I84" s="553"/>
      <c r="J84" s="176" t="s">
        <v>25</v>
      </c>
      <c r="K84" s="403">
        <v>360354</v>
      </c>
      <c r="L84" s="364">
        <v>353730</v>
      </c>
      <c r="M84" s="364">
        <v>353730</v>
      </c>
      <c r="N84" s="364">
        <v>353730</v>
      </c>
      <c r="O84" s="364">
        <v>353730</v>
      </c>
      <c r="P84" s="364">
        <v>353730</v>
      </c>
      <c r="Q84" s="364">
        <v>353730</v>
      </c>
      <c r="R84" s="364">
        <v>353730</v>
      </c>
      <c r="S84" s="364">
        <v>353730</v>
      </c>
      <c r="T84" s="364">
        <v>353730</v>
      </c>
      <c r="U84" s="364">
        <v>350740</v>
      </c>
      <c r="V84" s="509">
        <v>305905</v>
      </c>
      <c r="W84" s="87">
        <f t="shared" si="25"/>
        <v>4200569</v>
      </c>
      <c r="X84" s="58"/>
    </row>
    <row r="85" spans="1:24">
      <c r="A85" s="14">
        <f t="shared" ref="A85:A90" si="35">A84</f>
        <v>2020008</v>
      </c>
      <c r="B85" s="24"/>
      <c r="C85" s="547"/>
      <c r="D85" s="550"/>
      <c r="E85" s="550"/>
      <c r="F85" s="550"/>
      <c r="G85" s="550"/>
      <c r="H85" s="550"/>
      <c r="I85" s="553"/>
      <c r="J85" s="176" t="s">
        <v>37</v>
      </c>
      <c r="K85" s="403">
        <v>25000</v>
      </c>
      <c r="L85" s="364">
        <v>27500</v>
      </c>
      <c r="M85" s="364">
        <v>20000</v>
      </c>
      <c r="N85" s="364">
        <v>2500</v>
      </c>
      <c r="O85" s="364">
        <v>0</v>
      </c>
      <c r="P85" s="364">
        <v>0</v>
      </c>
      <c r="Q85" s="364">
        <v>0</v>
      </c>
      <c r="R85" s="364">
        <v>0</v>
      </c>
      <c r="S85" s="364">
        <v>0</v>
      </c>
      <c r="T85" s="364">
        <v>14000</v>
      </c>
      <c r="U85" s="364">
        <v>0</v>
      </c>
      <c r="V85" s="509" t="s">
        <v>114</v>
      </c>
      <c r="W85" s="87">
        <f t="shared" si="25"/>
        <v>89000</v>
      </c>
      <c r="X85" s="58"/>
    </row>
    <row r="86" spans="1:24">
      <c r="A86" s="14">
        <f t="shared" si="35"/>
        <v>2020008</v>
      </c>
      <c r="B86" s="24"/>
      <c r="C86" s="547"/>
      <c r="D86" s="550"/>
      <c r="E86" s="550"/>
      <c r="F86" s="550"/>
      <c r="G86" s="550"/>
      <c r="H86" s="550"/>
      <c r="I86" s="553"/>
      <c r="J86" s="176" t="s">
        <v>38</v>
      </c>
      <c r="K86" s="403">
        <v>31526</v>
      </c>
      <c r="L86" s="364">
        <v>29172</v>
      </c>
      <c r="M86" s="364">
        <v>27482</v>
      </c>
      <c r="N86" s="364">
        <v>23052</v>
      </c>
      <c r="O86" s="364">
        <v>25086</v>
      </c>
      <c r="P86" s="364">
        <v>30550</v>
      </c>
      <c r="Q86" s="364">
        <v>34492</v>
      </c>
      <c r="R86" s="364">
        <v>31489</v>
      </c>
      <c r="S86" s="364">
        <v>0</v>
      </c>
      <c r="T86" s="364">
        <v>62054</v>
      </c>
      <c r="U86" s="364">
        <v>26969</v>
      </c>
      <c r="V86" s="509" t="s">
        <v>114</v>
      </c>
      <c r="W86" s="87">
        <f t="shared" si="25"/>
        <v>321872</v>
      </c>
      <c r="X86" s="58"/>
    </row>
    <row r="87" spans="1:24">
      <c r="A87" s="14">
        <f t="shared" si="35"/>
        <v>2020008</v>
      </c>
      <c r="B87" s="24"/>
      <c r="C87" s="547"/>
      <c r="D87" s="550"/>
      <c r="E87" s="550"/>
      <c r="F87" s="550"/>
      <c r="G87" s="550"/>
      <c r="H87" s="550"/>
      <c r="I87" s="553"/>
      <c r="J87" s="176" t="s">
        <v>26</v>
      </c>
      <c r="K87" s="396">
        <v>23165</v>
      </c>
      <c r="L87" s="365">
        <v>23165</v>
      </c>
      <c r="M87" s="365">
        <v>23165</v>
      </c>
      <c r="N87" s="365">
        <v>23165</v>
      </c>
      <c r="O87" s="365">
        <v>23165</v>
      </c>
      <c r="P87" s="365">
        <v>21470</v>
      </c>
      <c r="Q87" s="365">
        <v>21470</v>
      </c>
      <c r="R87" s="365">
        <v>21470</v>
      </c>
      <c r="S87" s="365">
        <v>21470</v>
      </c>
      <c r="T87" s="365">
        <v>21470</v>
      </c>
      <c r="U87" s="365">
        <v>21470</v>
      </c>
      <c r="V87" s="510">
        <v>21470</v>
      </c>
      <c r="W87" s="87">
        <f t="shared" si="25"/>
        <v>266115</v>
      </c>
      <c r="X87" s="58"/>
    </row>
    <row r="88" spans="1:24">
      <c r="A88" s="14">
        <f t="shared" si="35"/>
        <v>2020008</v>
      </c>
      <c r="B88" s="24"/>
      <c r="C88" s="547"/>
      <c r="D88" s="550"/>
      <c r="E88" s="550"/>
      <c r="F88" s="550"/>
      <c r="G88" s="550"/>
      <c r="H88" s="550"/>
      <c r="I88" s="553"/>
      <c r="J88" s="176" t="s">
        <v>27</v>
      </c>
      <c r="K88" s="396">
        <v>37515</v>
      </c>
      <c r="L88" s="365">
        <v>37515</v>
      </c>
      <c r="M88" s="365">
        <v>37515</v>
      </c>
      <c r="N88" s="365">
        <v>37515</v>
      </c>
      <c r="O88" s="365">
        <v>37515</v>
      </c>
      <c r="P88" s="365">
        <v>34770</v>
      </c>
      <c r="Q88" s="365">
        <v>34770</v>
      </c>
      <c r="R88" s="365">
        <v>34770</v>
      </c>
      <c r="S88" s="365">
        <v>34770</v>
      </c>
      <c r="T88" s="365">
        <v>34770</v>
      </c>
      <c r="U88" s="365">
        <v>34770</v>
      </c>
      <c r="V88" s="510">
        <v>34770</v>
      </c>
      <c r="W88" s="87">
        <f t="shared" si="25"/>
        <v>430965</v>
      </c>
      <c r="X88" s="58"/>
    </row>
    <row r="89" spans="1:24">
      <c r="A89" s="14">
        <f t="shared" si="35"/>
        <v>2020008</v>
      </c>
      <c r="B89" s="24"/>
      <c r="C89" s="547"/>
      <c r="D89" s="550"/>
      <c r="E89" s="550"/>
      <c r="F89" s="550"/>
      <c r="G89" s="550"/>
      <c r="H89" s="550"/>
      <c r="I89" s="553"/>
      <c r="J89" s="176" t="s">
        <v>28</v>
      </c>
      <c r="K89" s="396">
        <v>1927</v>
      </c>
      <c r="L89" s="365">
        <v>1906</v>
      </c>
      <c r="M89" s="365">
        <v>1869</v>
      </c>
      <c r="N89" s="365">
        <v>1781</v>
      </c>
      <c r="O89" s="365">
        <v>1769</v>
      </c>
      <c r="P89" s="365">
        <v>1769</v>
      </c>
      <c r="Q89" s="365">
        <v>1941</v>
      </c>
      <c r="R89" s="365">
        <v>1769</v>
      </c>
      <c r="S89" s="365">
        <v>1769</v>
      </c>
      <c r="T89" s="365">
        <v>1839</v>
      </c>
      <c r="U89" s="365">
        <v>1841</v>
      </c>
      <c r="V89" s="510">
        <v>1841</v>
      </c>
      <c r="W89" s="87">
        <f t="shared" si="25"/>
        <v>22021</v>
      </c>
      <c r="X89" s="58"/>
    </row>
    <row r="90" spans="1:24">
      <c r="A90" s="14">
        <f t="shared" si="35"/>
        <v>2020008</v>
      </c>
      <c r="B90" s="24"/>
      <c r="C90" s="548"/>
      <c r="D90" s="600"/>
      <c r="E90" s="600"/>
      <c r="F90" s="600"/>
      <c r="G90" s="600"/>
      <c r="H90" s="600"/>
      <c r="I90" s="601"/>
      <c r="J90" s="180" t="s">
        <v>29</v>
      </c>
      <c r="K90" s="397">
        <v>2119</v>
      </c>
      <c r="L90" s="366">
        <v>2097</v>
      </c>
      <c r="M90" s="366">
        <v>2056</v>
      </c>
      <c r="N90" s="366">
        <v>1959</v>
      </c>
      <c r="O90" s="366">
        <v>1946</v>
      </c>
      <c r="P90" s="366">
        <v>1946</v>
      </c>
      <c r="Q90" s="366">
        <v>2135</v>
      </c>
      <c r="R90" s="366">
        <v>1946</v>
      </c>
      <c r="S90" s="366">
        <v>1946</v>
      </c>
      <c r="T90" s="366">
        <v>2023</v>
      </c>
      <c r="U90" s="366">
        <v>2025</v>
      </c>
      <c r="V90" s="512">
        <v>2025</v>
      </c>
      <c r="W90" s="391">
        <f t="shared" si="25"/>
        <v>24223</v>
      </c>
      <c r="X90" s="58"/>
    </row>
    <row r="91" spans="1:24">
      <c r="A91" s="13">
        <v>2020006</v>
      </c>
      <c r="C91" s="528">
        <f t="shared" ref="C91" si="36">C83+1</f>
        <v>12</v>
      </c>
      <c r="D91" s="522"/>
      <c r="E91" s="522" t="s">
        <v>97</v>
      </c>
      <c r="F91" s="522"/>
      <c r="G91" s="522"/>
      <c r="H91" s="522"/>
      <c r="I91" s="525" t="s">
        <v>31</v>
      </c>
      <c r="J91" s="175" t="s">
        <v>24</v>
      </c>
      <c r="K91" s="420">
        <f t="shared" ref="K91:R91" si="37">SUM(K92:K98)</f>
        <v>486463</v>
      </c>
      <c r="L91" s="285">
        <f t="shared" si="37"/>
        <v>424752</v>
      </c>
      <c r="M91" s="285">
        <f t="shared" si="37"/>
        <v>393755</v>
      </c>
      <c r="N91" s="285">
        <f t="shared" si="37"/>
        <v>417534</v>
      </c>
      <c r="O91" s="285">
        <f t="shared" si="37"/>
        <v>390105</v>
      </c>
      <c r="P91" s="285">
        <f t="shared" si="37"/>
        <v>382099</v>
      </c>
      <c r="Q91" s="285">
        <f t="shared" si="37"/>
        <v>404946</v>
      </c>
      <c r="R91" s="285">
        <f t="shared" si="37"/>
        <v>377007</v>
      </c>
      <c r="S91" s="285">
        <f>SUM(S92:S98)</f>
        <v>321207</v>
      </c>
      <c r="T91" s="347">
        <f>SUM(T92:T98)</f>
        <v>0</v>
      </c>
      <c r="U91" s="347">
        <f>SUM(U92:U98)</f>
        <v>0</v>
      </c>
      <c r="V91" s="508">
        <f>SUM(V92:V98)</f>
        <v>0</v>
      </c>
      <c r="W91" s="427">
        <f t="shared" ref="W91:W114" si="38">SUM(K91:V91)</f>
        <v>3597868</v>
      </c>
    </row>
    <row r="92" spans="1:24">
      <c r="A92" s="14">
        <f>A91</f>
        <v>2020006</v>
      </c>
      <c r="B92" s="24"/>
      <c r="C92" s="529"/>
      <c r="D92" s="523"/>
      <c r="E92" s="523"/>
      <c r="F92" s="523"/>
      <c r="G92" s="523"/>
      <c r="H92" s="523"/>
      <c r="I92" s="526"/>
      <c r="J92" s="176" t="s">
        <v>25</v>
      </c>
      <c r="K92" s="429">
        <v>371093</v>
      </c>
      <c r="L92" s="430">
        <v>306810</v>
      </c>
      <c r="M92" s="430">
        <v>301037</v>
      </c>
      <c r="N92" s="430">
        <v>318907</v>
      </c>
      <c r="O92" s="430">
        <v>294310</v>
      </c>
      <c r="P92" s="430">
        <v>294310</v>
      </c>
      <c r="Q92" s="430">
        <v>318132</v>
      </c>
      <c r="R92" s="430">
        <v>294310</v>
      </c>
      <c r="S92" s="430">
        <v>274310</v>
      </c>
      <c r="T92" s="364"/>
      <c r="U92" s="364"/>
      <c r="V92" s="509"/>
      <c r="W92" s="428">
        <f t="shared" si="38"/>
        <v>2773219</v>
      </c>
      <c r="X92" s="58"/>
    </row>
    <row r="93" spans="1:24">
      <c r="A93" s="14">
        <f t="shared" ref="A93:A98" si="39">A92</f>
        <v>2020006</v>
      </c>
      <c r="B93" s="24"/>
      <c r="C93" s="529"/>
      <c r="D93" s="523"/>
      <c r="E93" s="523"/>
      <c r="F93" s="523"/>
      <c r="G93" s="523"/>
      <c r="H93" s="523"/>
      <c r="I93" s="526"/>
      <c r="J93" s="176" t="s">
        <v>37</v>
      </c>
      <c r="K93" s="429">
        <v>20000</v>
      </c>
      <c r="L93" s="430">
        <v>22500</v>
      </c>
      <c r="M93" s="430">
        <v>12500</v>
      </c>
      <c r="N93" s="430">
        <v>15000</v>
      </c>
      <c r="O93" s="430">
        <v>10000</v>
      </c>
      <c r="P93" s="430">
        <v>10000</v>
      </c>
      <c r="Q93" s="430">
        <v>7500</v>
      </c>
      <c r="R93" s="430">
        <v>10000</v>
      </c>
      <c r="S93" s="430">
        <v>0</v>
      </c>
      <c r="T93" s="364"/>
      <c r="U93" s="364"/>
      <c r="V93" s="509"/>
      <c r="W93" s="428">
        <f t="shared" si="38"/>
        <v>107500</v>
      </c>
      <c r="X93" s="58"/>
    </row>
    <row r="94" spans="1:24">
      <c r="A94" s="14">
        <f t="shared" si="39"/>
        <v>2020006</v>
      </c>
      <c r="B94" s="24"/>
      <c r="C94" s="529"/>
      <c r="D94" s="523"/>
      <c r="E94" s="523"/>
      <c r="F94" s="523"/>
      <c r="G94" s="523"/>
      <c r="H94" s="523"/>
      <c r="I94" s="526"/>
      <c r="J94" s="176" t="s">
        <v>38</v>
      </c>
      <c r="K94" s="429">
        <v>41434</v>
      </c>
      <c r="L94" s="430">
        <v>42181</v>
      </c>
      <c r="M94" s="430">
        <v>27017</v>
      </c>
      <c r="N94" s="430">
        <v>30238</v>
      </c>
      <c r="O94" s="430">
        <v>32664</v>
      </c>
      <c r="P94" s="430">
        <v>30218</v>
      </c>
      <c r="Q94" s="430">
        <v>31167</v>
      </c>
      <c r="R94" s="430">
        <v>25126</v>
      </c>
      <c r="S94" s="430">
        <v>0</v>
      </c>
      <c r="T94" s="364"/>
      <c r="U94" s="364"/>
      <c r="V94" s="509"/>
      <c r="W94" s="428">
        <f t="shared" si="38"/>
        <v>260045</v>
      </c>
      <c r="X94" s="58"/>
    </row>
    <row r="95" spans="1:24">
      <c r="A95" s="14">
        <f t="shared" si="39"/>
        <v>2020006</v>
      </c>
      <c r="B95" s="24"/>
      <c r="C95" s="529"/>
      <c r="D95" s="523"/>
      <c r="E95" s="523"/>
      <c r="F95" s="523"/>
      <c r="G95" s="523"/>
      <c r="H95" s="523"/>
      <c r="I95" s="526"/>
      <c r="J95" s="176" t="s">
        <v>26</v>
      </c>
      <c r="K95" s="422">
        <v>17100</v>
      </c>
      <c r="L95" s="362">
        <v>17100</v>
      </c>
      <c r="M95" s="362">
        <v>17100</v>
      </c>
      <c r="N95" s="362">
        <v>17100</v>
      </c>
      <c r="O95" s="362">
        <v>17100</v>
      </c>
      <c r="P95" s="362">
        <v>15200</v>
      </c>
      <c r="Q95" s="362">
        <v>15200</v>
      </c>
      <c r="R95" s="362">
        <v>15200</v>
      </c>
      <c r="S95" s="362">
        <v>15200</v>
      </c>
      <c r="T95" s="365"/>
      <c r="U95" s="365"/>
      <c r="V95" s="510"/>
      <c r="W95" s="428">
        <f t="shared" si="38"/>
        <v>146300</v>
      </c>
      <c r="X95" s="58"/>
    </row>
    <row r="96" spans="1:24">
      <c r="A96" s="14">
        <f t="shared" si="39"/>
        <v>2020006</v>
      </c>
      <c r="B96" s="24"/>
      <c r="C96" s="529"/>
      <c r="D96" s="523"/>
      <c r="E96" s="523"/>
      <c r="F96" s="523"/>
      <c r="G96" s="523"/>
      <c r="H96" s="523"/>
      <c r="I96" s="526"/>
      <c r="J96" s="176" t="s">
        <v>27</v>
      </c>
      <c r="K96" s="422">
        <v>32940</v>
      </c>
      <c r="L96" s="362">
        <v>32940</v>
      </c>
      <c r="M96" s="362">
        <v>32940</v>
      </c>
      <c r="N96" s="362">
        <v>32940</v>
      </c>
      <c r="O96" s="362">
        <v>32940</v>
      </c>
      <c r="P96" s="362">
        <v>29280</v>
      </c>
      <c r="Q96" s="362">
        <v>29280</v>
      </c>
      <c r="R96" s="362">
        <v>29280</v>
      </c>
      <c r="S96" s="362">
        <v>29280</v>
      </c>
      <c r="T96" s="365"/>
      <c r="U96" s="365"/>
      <c r="V96" s="510"/>
      <c r="W96" s="428">
        <f t="shared" si="38"/>
        <v>281820</v>
      </c>
      <c r="X96" s="58"/>
    </row>
    <row r="97" spans="1:24">
      <c r="A97" s="14">
        <f t="shared" si="39"/>
        <v>2020006</v>
      </c>
      <c r="B97" s="24"/>
      <c r="C97" s="529"/>
      <c r="D97" s="523"/>
      <c r="E97" s="523"/>
      <c r="F97" s="523"/>
      <c r="G97" s="523"/>
      <c r="H97" s="523"/>
      <c r="I97" s="526"/>
      <c r="J97" s="176" t="s">
        <v>28</v>
      </c>
      <c r="K97" s="422">
        <v>1855</v>
      </c>
      <c r="L97" s="362">
        <v>1534</v>
      </c>
      <c r="M97" s="362">
        <v>1505</v>
      </c>
      <c r="N97" s="362">
        <v>1595</v>
      </c>
      <c r="O97" s="362">
        <v>1472</v>
      </c>
      <c r="P97" s="362">
        <v>1472</v>
      </c>
      <c r="Q97" s="362">
        <v>1746</v>
      </c>
      <c r="R97" s="362">
        <v>1472</v>
      </c>
      <c r="S97" s="362">
        <v>1422</v>
      </c>
      <c r="T97" s="365"/>
      <c r="U97" s="365"/>
      <c r="V97" s="510"/>
      <c r="W97" s="428">
        <f t="shared" si="38"/>
        <v>14073</v>
      </c>
      <c r="X97" s="58"/>
    </row>
    <row r="98" spans="1:24">
      <c r="A98" s="14">
        <f t="shared" si="39"/>
        <v>2020006</v>
      </c>
      <c r="B98" s="24"/>
      <c r="C98" s="530"/>
      <c r="D98" s="562"/>
      <c r="E98" s="562"/>
      <c r="F98" s="562"/>
      <c r="G98" s="562"/>
      <c r="H98" s="562"/>
      <c r="I98" s="563"/>
      <c r="J98" s="180" t="s">
        <v>29</v>
      </c>
      <c r="K98" s="423">
        <v>2041</v>
      </c>
      <c r="L98" s="363">
        <v>1687</v>
      </c>
      <c r="M98" s="363">
        <v>1656</v>
      </c>
      <c r="N98" s="363">
        <v>1754</v>
      </c>
      <c r="O98" s="363">
        <v>1619</v>
      </c>
      <c r="P98" s="363">
        <v>1619</v>
      </c>
      <c r="Q98" s="363">
        <v>1921</v>
      </c>
      <c r="R98" s="363">
        <v>1619</v>
      </c>
      <c r="S98" s="363">
        <v>995</v>
      </c>
      <c r="T98" s="366"/>
      <c r="U98" s="366"/>
      <c r="V98" s="512"/>
      <c r="W98" s="432">
        <f t="shared" si="38"/>
        <v>14911</v>
      </c>
      <c r="X98" s="58"/>
    </row>
    <row r="99" spans="1:24">
      <c r="A99" s="13">
        <v>2020021</v>
      </c>
      <c r="C99" s="546">
        <f t="shared" ref="C99" si="40">C91+1</f>
        <v>13</v>
      </c>
      <c r="D99" s="549"/>
      <c r="E99" s="549"/>
      <c r="F99" s="549"/>
      <c r="G99" s="549"/>
      <c r="H99" s="549"/>
      <c r="I99" s="552" t="s">
        <v>31</v>
      </c>
      <c r="J99" s="175" t="s">
        <v>24</v>
      </c>
      <c r="K99" s="395">
        <f t="shared" ref="K99:R99" si="41">SUM(K100:K106)</f>
        <v>388509</v>
      </c>
      <c r="L99" s="347">
        <f t="shared" si="41"/>
        <v>351680</v>
      </c>
      <c r="M99" s="347">
        <f t="shared" si="41"/>
        <v>370925</v>
      </c>
      <c r="N99" s="347">
        <f t="shared" si="41"/>
        <v>376542</v>
      </c>
      <c r="O99" s="347">
        <f t="shared" si="41"/>
        <v>369518</v>
      </c>
      <c r="P99" s="347">
        <f t="shared" si="41"/>
        <v>375362</v>
      </c>
      <c r="Q99" s="347">
        <f t="shared" si="41"/>
        <v>377508</v>
      </c>
      <c r="R99" s="347">
        <f t="shared" si="41"/>
        <v>368973</v>
      </c>
      <c r="S99" s="347">
        <f>SUM(S100:S106)</f>
        <v>376322</v>
      </c>
      <c r="T99" s="347">
        <f>SUM(T100:T106)</f>
        <v>383785</v>
      </c>
      <c r="U99" s="347">
        <f>SUM(U100:U106)</f>
        <v>390040</v>
      </c>
      <c r="V99" s="508">
        <f>SUM(V100:V106)</f>
        <v>286929</v>
      </c>
      <c r="W99" s="86">
        <f t="shared" si="38"/>
        <v>4416093</v>
      </c>
    </row>
    <row r="100" spans="1:24">
      <c r="A100" s="14">
        <f>A99</f>
        <v>2020021</v>
      </c>
      <c r="B100" s="24"/>
      <c r="C100" s="547"/>
      <c r="D100" s="550"/>
      <c r="E100" s="550"/>
      <c r="F100" s="550"/>
      <c r="G100" s="550"/>
      <c r="H100" s="550"/>
      <c r="I100" s="553"/>
      <c r="J100" s="176" t="s">
        <v>25</v>
      </c>
      <c r="K100" s="403">
        <v>298678</v>
      </c>
      <c r="L100" s="364">
        <v>279700</v>
      </c>
      <c r="M100" s="364">
        <v>279700</v>
      </c>
      <c r="N100" s="364">
        <v>284425</v>
      </c>
      <c r="O100" s="364">
        <v>279700</v>
      </c>
      <c r="P100" s="364">
        <v>279700</v>
      </c>
      <c r="Q100" s="364">
        <v>290095</v>
      </c>
      <c r="R100" s="364">
        <v>279700</v>
      </c>
      <c r="S100" s="364">
        <v>279700</v>
      </c>
      <c r="T100" s="364">
        <v>279700</v>
      </c>
      <c r="U100" s="364">
        <v>299700</v>
      </c>
      <c r="V100" s="509">
        <v>241900</v>
      </c>
      <c r="W100" s="87">
        <f t="shared" si="38"/>
        <v>3372698</v>
      </c>
      <c r="X100" s="58"/>
    </row>
    <row r="101" spans="1:24">
      <c r="A101" s="14">
        <f t="shared" ref="A101:A106" si="42">A100</f>
        <v>2020021</v>
      </c>
      <c r="B101" s="24"/>
      <c r="C101" s="547"/>
      <c r="D101" s="550"/>
      <c r="E101" s="550"/>
      <c r="F101" s="550"/>
      <c r="G101" s="550"/>
      <c r="H101" s="550"/>
      <c r="I101" s="553"/>
      <c r="J101" s="176" t="s">
        <v>37</v>
      </c>
      <c r="K101" s="403">
        <v>10000</v>
      </c>
      <c r="L101" s="364">
        <v>12500</v>
      </c>
      <c r="M101" s="364">
        <v>15000</v>
      </c>
      <c r="N101" s="364">
        <v>15000</v>
      </c>
      <c r="O101" s="364">
        <v>12500</v>
      </c>
      <c r="P101" s="364">
        <v>12500</v>
      </c>
      <c r="Q101" s="364">
        <v>15000</v>
      </c>
      <c r="R101" s="364">
        <v>12500</v>
      </c>
      <c r="S101" s="364">
        <v>25000</v>
      </c>
      <c r="T101" s="364">
        <v>34000</v>
      </c>
      <c r="U101" s="364">
        <v>20000</v>
      </c>
      <c r="V101" s="509" t="s">
        <v>114</v>
      </c>
      <c r="W101" s="87">
        <f t="shared" si="38"/>
        <v>184000</v>
      </c>
      <c r="X101" s="58"/>
    </row>
    <row r="102" spans="1:24">
      <c r="A102" s="14">
        <f t="shared" si="42"/>
        <v>2020021</v>
      </c>
      <c r="B102" s="24"/>
      <c r="C102" s="547"/>
      <c r="D102" s="550"/>
      <c r="E102" s="550"/>
      <c r="F102" s="550"/>
      <c r="G102" s="550"/>
      <c r="H102" s="550"/>
      <c r="I102" s="553"/>
      <c r="J102" s="176" t="s">
        <v>38</v>
      </c>
      <c r="K102" s="403">
        <v>34995</v>
      </c>
      <c r="L102" s="364">
        <v>14712</v>
      </c>
      <c r="M102" s="364">
        <v>31431</v>
      </c>
      <c r="N102" s="364">
        <v>32273</v>
      </c>
      <c r="O102" s="364">
        <v>32550</v>
      </c>
      <c r="P102" s="364">
        <v>38394</v>
      </c>
      <c r="Q102" s="364">
        <v>27223</v>
      </c>
      <c r="R102" s="364">
        <v>32005</v>
      </c>
      <c r="S102" s="364">
        <v>26723</v>
      </c>
      <c r="T102" s="364">
        <v>25092</v>
      </c>
      <c r="U102" s="364">
        <v>25311</v>
      </c>
      <c r="V102" s="509" t="s">
        <v>114</v>
      </c>
      <c r="W102" s="87">
        <f t="shared" si="38"/>
        <v>320709</v>
      </c>
      <c r="X102" s="58"/>
    </row>
    <row r="103" spans="1:24">
      <c r="A103" s="14">
        <f t="shared" si="42"/>
        <v>2020021</v>
      </c>
      <c r="B103" s="24"/>
      <c r="C103" s="547"/>
      <c r="D103" s="550"/>
      <c r="E103" s="550"/>
      <c r="F103" s="550"/>
      <c r="G103" s="550"/>
      <c r="H103" s="550"/>
      <c r="I103" s="553"/>
      <c r="J103" s="176" t="s">
        <v>26</v>
      </c>
      <c r="K103" s="396">
        <v>14250</v>
      </c>
      <c r="L103" s="365">
        <v>14250</v>
      </c>
      <c r="M103" s="365">
        <v>14250</v>
      </c>
      <c r="N103" s="365">
        <v>14250</v>
      </c>
      <c r="O103" s="365">
        <v>14250</v>
      </c>
      <c r="P103" s="365">
        <v>14250</v>
      </c>
      <c r="Q103" s="365">
        <v>14250</v>
      </c>
      <c r="R103" s="365">
        <v>14250</v>
      </c>
      <c r="S103" s="365">
        <v>14250</v>
      </c>
      <c r="T103" s="365">
        <v>14250</v>
      </c>
      <c r="U103" s="365">
        <v>14250</v>
      </c>
      <c r="V103" s="510">
        <v>14250</v>
      </c>
      <c r="W103" s="87">
        <f t="shared" si="38"/>
        <v>171000</v>
      </c>
      <c r="X103" s="58"/>
    </row>
    <row r="104" spans="1:24">
      <c r="A104" s="14">
        <f t="shared" si="42"/>
        <v>2020021</v>
      </c>
      <c r="B104" s="24"/>
      <c r="C104" s="547"/>
      <c r="D104" s="550"/>
      <c r="E104" s="550"/>
      <c r="F104" s="550"/>
      <c r="G104" s="550"/>
      <c r="H104" s="550"/>
      <c r="I104" s="553"/>
      <c r="J104" s="176" t="s">
        <v>27</v>
      </c>
      <c r="K104" s="396">
        <v>27450</v>
      </c>
      <c r="L104" s="365">
        <v>27450</v>
      </c>
      <c r="M104" s="365">
        <v>27450</v>
      </c>
      <c r="N104" s="365">
        <v>27450</v>
      </c>
      <c r="O104" s="365">
        <v>27450</v>
      </c>
      <c r="P104" s="365">
        <v>27450</v>
      </c>
      <c r="Q104" s="365">
        <v>27450</v>
      </c>
      <c r="R104" s="365">
        <v>27450</v>
      </c>
      <c r="S104" s="365">
        <v>27450</v>
      </c>
      <c r="T104" s="365">
        <v>27450</v>
      </c>
      <c r="U104" s="365">
        <v>27450</v>
      </c>
      <c r="V104" s="510">
        <v>27450</v>
      </c>
      <c r="W104" s="87">
        <f t="shared" si="38"/>
        <v>329400</v>
      </c>
      <c r="X104" s="58"/>
    </row>
    <row r="105" spans="1:24">
      <c r="A105" s="14">
        <f t="shared" si="42"/>
        <v>2020021</v>
      </c>
      <c r="B105" s="24"/>
      <c r="C105" s="547"/>
      <c r="D105" s="550"/>
      <c r="E105" s="550"/>
      <c r="F105" s="550"/>
      <c r="G105" s="550"/>
      <c r="H105" s="550"/>
      <c r="I105" s="553"/>
      <c r="J105" s="176" t="s">
        <v>28</v>
      </c>
      <c r="K105" s="396">
        <v>1493</v>
      </c>
      <c r="L105" s="365">
        <v>1461</v>
      </c>
      <c r="M105" s="365">
        <v>1473</v>
      </c>
      <c r="N105" s="365">
        <v>1497</v>
      </c>
      <c r="O105" s="365">
        <v>1461</v>
      </c>
      <c r="P105" s="365">
        <v>1461</v>
      </c>
      <c r="Q105" s="365">
        <v>1662</v>
      </c>
      <c r="R105" s="365">
        <v>1461</v>
      </c>
      <c r="S105" s="365">
        <v>1523</v>
      </c>
      <c r="T105" s="365">
        <v>1568</v>
      </c>
      <c r="U105" s="365">
        <v>1585</v>
      </c>
      <c r="V105" s="510">
        <v>1585</v>
      </c>
      <c r="W105" s="87">
        <f t="shared" si="38"/>
        <v>18230</v>
      </c>
      <c r="X105" s="58"/>
    </row>
    <row r="106" spans="1:24">
      <c r="A106" s="14">
        <f t="shared" si="42"/>
        <v>2020021</v>
      </c>
      <c r="B106" s="24"/>
      <c r="C106" s="548"/>
      <c r="D106" s="600"/>
      <c r="E106" s="600"/>
      <c r="F106" s="600"/>
      <c r="G106" s="600"/>
      <c r="H106" s="600"/>
      <c r="I106" s="601"/>
      <c r="J106" s="180" t="s">
        <v>29</v>
      </c>
      <c r="K106" s="397">
        <v>1643</v>
      </c>
      <c r="L106" s="366">
        <v>1607</v>
      </c>
      <c r="M106" s="366">
        <v>1621</v>
      </c>
      <c r="N106" s="366">
        <v>1647</v>
      </c>
      <c r="O106" s="366">
        <v>1607</v>
      </c>
      <c r="P106" s="366">
        <v>1607</v>
      </c>
      <c r="Q106" s="366">
        <v>1828</v>
      </c>
      <c r="R106" s="366">
        <v>1607</v>
      </c>
      <c r="S106" s="366">
        <v>1676</v>
      </c>
      <c r="T106" s="366">
        <v>1725</v>
      </c>
      <c r="U106" s="366">
        <v>1744</v>
      </c>
      <c r="V106" s="512">
        <v>1744</v>
      </c>
      <c r="W106" s="391">
        <f t="shared" si="38"/>
        <v>20056</v>
      </c>
      <c r="X106" s="58"/>
    </row>
    <row r="107" spans="1:24">
      <c r="A107" s="13">
        <v>2020025</v>
      </c>
      <c r="C107" s="546">
        <f t="shared" ref="C107" si="43">C99+1</f>
        <v>14</v>
      </c>
      <c r="D107" s="549"/>
      <c r="E107" s="549"/>
      <c r="F107" s="602"/>
      <c r="G107" s="549"/>
      <c r="H107" s="549"/>
      <c r="I107" s="552" t="s">
        <v>31</v>
      </c>
      <c r="J107" s="175" t="s">
        <v>24</v>
      </c>
      <c r="K107" s="395">
        <f t="shared" ref="K107:R107" si="44">SUM(K108:K114)</f>
        <v>526344</v>
      </c>
      <c r="L107" s="347">
        <f t="shared" si="44"/>
        <v>538564</v>
      </c>
      <c r="M107" s="347">
        <f t="shared" si="44"/>
        <v>508269</v>
      </c>
      <c r="N107" s="347">
        <f t="shared" si="44"/>
        <v>531894</v>
      </c>
      <c r="O107" s="347">
        <f t="shared" si="44"/>
        <v>495580</v>
      </c>
      <c r="P107" s="347">
        <f t="shared" si="44"/>
        <v>500912</v>
      </c>
      <c r="Q107" s="347">
        <f t="shared" si="44"/>
        <v>561039</v>
      </c>
      <c r="R107" s="347">
        <f t="shared" si="44"/>
        <v>495701</v>
      </c>
      <c r="S107" s="347">
        <f>SUM(S108:S114)</f>
        <v>558030</v>
      </c>
      <c r="T107" s="347">
        <f>SUM(T108:T114)</f>
        <v>548475</v>
      </c>
      <c r="U107" s="347">
        <f>SUM(U108:U114)</f>
        <v>528220</v>
      </c>
      <c r="V107" s="508">
        <f>SUM(V108:V114)</f>
        <v>375070</v>
      </c>
      <c r="W107" s="86">
        <f t="shared" si="38"/>
        <v>6168098</v>
      </c>
    </row>
    <row r="108" spans="1:24">
      <c r="A108" s="14">
        <f>A107</f>
        <v>2020025</v>
      </c>
      <c r="B108" s="24"/>
      <c r="C108" s="547"/>
      <c r="D108" s="550"/>
      <c r="E108" s="550"/>
      <c r="F108" s="603"/>
      <c r="G108" s="550"/>
      <c r="H108" s="550"/>
      <c r="I108" s="553"/>
      <c r="J108" s="176" t="s">
        <v>25</v>
      </c>
      <c r="K108" s="403">
        <v>424705</v>
      </c>
      <c r="L108" s="364">
        <v>421299</v>
      </c>
      <c r="M108" s="364">
        <v>402569</v>
      </c>
      <c r="N108" s="364">
        <v>433948</v>
      </c>
      <c r="O108" s="364">
        <v>364379</v>
      </c>
      <c r="P108" s="364">
        <v>372406</v>
      </c>
      <c r="Q108" s="364">
        <v>435408</v>
      </c>
      <c r="R108" s="364">
        <v>360000</v>
      </c>
      <c r="S108" s="364">
        <v>402180</v>
      </c>
      <c r="T108" s="364">
        <v>378974</v>
      </c>
      <c r="U108" s="364">
        <v>360000</v>
      </c>
      <c r="V108" s="509">
        <v>286350</v>
      </c>
      <c r="W108" s="87">
        <f t="shared" si="38"/>
        <v>4642218</v>
      </c>
      <c r="X108" s="58"/>
    </row>
    <row r="109" spans="1:24">
      <c r="A109" s="14">
        <f t="shared" ref="A109:A114" si="45">A108</f>
        <v>2020025</v>
      </c>
      <c r="B109" s="24"/>
      <c r="C109" s="547"/>
      <c r="D109" s="550"/>
      <c r="E109" s="550"/>
      <c r="F109" s="603"/>
      <c r="G109" s="550"/>
      <c r="H109" s="550"/>
      <c r="I109" s="553"/>
      <c r="J109" s="176" t="s">
        <v>37</v>
      </c>
      <c r="K109" s="403">
        <v>31000</v>
      </c>
      <c r="L109" s="364">
        <v>46500</v>
      </c>
      <c r="M109" s="364">
        <v>35250</v>
      </c>
      <c r="N109" s="364">
        <v>27250</v>
      </c>
      <c r="O109" s="364">
        <v>43000</v>
      </c>
      <c r="P109" s="364">
        <v>40250</v>
      </c>
      <c r="Q109" s="364">
        <v>36750</v>
      </c>
      <c r="R109" s="364">
        <v>47500</v>
      </c>
      <c r="S109" s="364">
        <v>67000</v>
      </c>
      <c r="T109" s="364">
        <v>80750</v>
      </c>
      <c r="U109" s="364">
        <v>79500</v>
      </c>
      <c r="V109" s="509" t="s">
        <v>114</v>
      </c>
      <c r="W109" s="87">
        <f t="shared" si="38"/>
        <v>534750</v>
      </c>
      <c r="X109" s="58"/>
    </row>
    <row r="110" spans="1:24">
      <c r="A110" s="14">
        <f t="shared" si="45"/>
        <v>2020025</v>
      </c>
      <c r="B110" s="24"/>
      <c r="C110" s="547"/>
      <c r="D110" s="550"/>
      <c r="E110" s="550"/>
      <c r="F110" s="603"/>
      <c r="G110" s="550"/>
      <c r="H110" s="550"/>
      <c r="I110" s="553"/>
      <c r="J110" s="176" t="s">
        <v>38</v>
      </c>
      <c r="K110" s="403">
        <v>18400</v>
      </c>
      <c r="L110" s="364">
        <v>18400</v>
      </c>
      <c r="M110" s="364">
        <v>18400</v>
      </c>
      <c r="N110" s="364">
        <v>18400</v>
      </c>
      <c r="O110" s="364">
        <v>18400</v>
      </c>
      <c r="P110" s="364">
        <v>18400</v>
      </c>
      <c r="Q110" s="364">
        <v>18400</v>
      </c>
      <c r="R110" s="364">
        <v>18400</v>
      </c>
      <c r="S110" s="364">
        <v>18400</v>
      </c>
      <c r="T110" s="364">
        <v>18400</v>
      </c>
      <c r="U110" s="364">
        <v>18400</v>
      </c>
      <c r="V110" s="509">
        <v>18400</v>
      </c>
      <c r="W110" s="87">
        <f t="shared" si="38"/>
        <v>220800</v>
      </c>
      <c r="X110" s="58"/>
    </row>
    <row r="111" spans="1:24">
      <c r="A111" s="14">
        <f t="shared" si="45"/>
        <v>2020025</v>
      </c>
      <c r="B111" s="24"/>
      <c r="C111" s="547"/>
      <c r="D111" s="550"/>
      <c r="E111" s="550"/>
      <c r="F111" s="603"/>
      <c r="G111" s="550"/>
      <c r="H111" s="550"/>
      <c r="I111" s="553"/>
      <c r="J111" s="176" t="s">
        <v>26</v>
      </c>
      <c r="K111" s="396">
        <v>16150</v>
      </c>
      <c r="L111" s="365">
        <v>16150</v>
      </c>
      <c r="M111" s="365">
        <v>16150</v>
      </c>
      <c r="N111" s="365">
        <v>16150</v>
      </c>
      <c r="O111" s="365">
        <v>22325</v>
      </c>
      <c r="P111" s="365">
        <v>22325</v>
      </c>
      <c r="Q111" s="365">
        <v>22325</v>
      </c>
      <c r="R111" s="365">
        <v>22325</v>
      </c>
      <c r="S111" s="365">
        <v>22325</v>
      </c>
      <c r="T111" s="365">
        <v>22325</v>
      </c>
      <c r="U111" s="365">
        <v>22325</v>
      </c>
      <c r="V111" s="510">
        <v>22325</v>
      </c>
      <c r="W111" s="87">
        <f t="shared" si="38"/>
        <v>243200</v>
      </c>
      <c r="X111" s="58"/>
    </row>
    <row r="112" spans="1:24">
      <c r="A112" s="14">
        <f t="shared" si="45"/>
        <v>2020025</v>
      </c>
      <c r="B112" s="24"/>
      <c r="C112" s="547"/>
      <c r="D112" s="550"/>
      <c r="E112" s="550"/>
      <c r="F112" s="603"/>
      <c r="G112" s="550"/>
      <c r="H112" s="550"/>
      <c r="I112" s="553"/>
      <c r="J112" s="176" t="s">
        <v>27</v>
      </c>
      <c r="K112" s="396">
        <v>31110</v>
      </c>
      <c r="L112" s="365">
        <v>31110</v>
      </c>
      <c r="M112" s="365">
        <v>31110</v>
      </c>
      <c r="N112" s="365">
        <v>31110</v>
      </c>
      <c r="O112" s="365">
        <v>43005</v>
      </c>
      <c r="P112" s="365">
        <v>43005</v>
      </c>
      <c r="Q112" s="365">
        <v>43005</v>
      </c>
      <c r="R112" s="365">
        <v>43005</v>
      </c>
      <c r="S112" s="365">
        <v>43005</v>
      </c>
      <c r="T112" s="365">
        <v>43005</v>
      </c>
      <c r="U112" s="365">
        <v>43005</v>
      </c>
      <c r="V112" s="510">
        <v>43005</v>
      </c>
      <c r="W112" s="87">
        <f t="shared" si="38"/>
        <v>468480</v>
      </c>
      <c r="X112" s="58"/>
    </row>
    <row r="113" spans="1:24">
      <c r="A113" s="14">
        <f t="shared" si="45"/>
        <v>2020025</v>
      </c>
      <c r="B113" s="24"/>
      <c r="C113" s="547"/>
      <c r="D113" s="550"/>
      <c r="E113" s="550"/>
      <c r="F113" s="603"/>
      <c r="G113" s="550"/>
      <c r="H113" s="550"/>
      <c r="I113" s="553"/>
      <c r="J113" s="176" t="s">
        <v>28</v>
      </c>
      <c r="K113" s="396">
        <v>2371</v>
      </c>
      <c r="L113" s="365">
        <v>2431</v>
      </c>
      <c r="M113" s="365">
        <v>2281</v>
      </c>
      <c r="N113" s="365">
        <v>2398</v>
      </c>
      <c r="O113" s="365">
        <v>2129</v>
      </c>
      <c r="P113" s="365">
        <v>2155</v>
      </c>
      <c r="Q113" s="365">
        <v>2453</v>
      </c>
      <c r="R113" s="365">
        <v>2129</v>
      </c>
      <c r="S113" s="365">
        <v>2438</v>
      </c>
      <c r="T113" s="365">
        <v>2391</v>
      </c>
      <c r="U113" s="365">
        <v>2376</v>
      </c>
      <c r="V113" s="510">
        <v>2376</v>
      </c>
      <c r="W113" s="87">
        <f t="shared" si="38"/>
        <v>27928</v>
      </c>
      <c r="X113" s="58"/>
    </row>
    <row r="114" spans="1:24">
      <c r="A114" s="14">
        <f t="shared" si="45"/>
        <v>2020025</v>
      </c>
      <c r="B114" s="24"/>
      <c r="C114" s="548"/>
      <c r="D114" s="600"/>
      <c r="E114" s="600"/>
      <c r="F114" s="604"/>
      <c r="G114" s="600"/>
      <c r="H114" s="600"/>
      <c r="I114" s="601"/>
      <c r="J114" s="180" t="s">
        <v>29</v>
      </c>
      <c r="K114" s="397">
        <v>2608</v>
      </c>
      <c r="L114" s="366">
        <v>2674</v>
      </c>
      <c r="M114" s="366">
        <v>2509</v>
      </c>
      <c r="N114" s="366">
        <v>2638</v>
      </c>
      <c r="O114" s="366">
        <v>2342</v>
      </c>
      <c r="P114" s="366">
        <v>2371</v>
      </c>
      <c r="Q114" s="366">
        <v>2698</v>
      </c>
      <c r="R114" s="366">
        <v>2342</v>
      </c>
      <c r="S114" s="366">
        <v>2682</v>
      </c>
      <c r="T114" s="366">
        <v>2630</v>
      </c>
      <c r="U114" s="366">
        <v>2614</v>
      </c>
      <c r="V114" s="512">
        <v>2614</v>
      </c>
      <c r="W114" s="391">
        <f t="shared" si="38"/>
        <v>30722</v>
      </c>
      <c r="X114" s="58"/>
    </row>
    <row r="115" spans="1:24">
      <c r="A115" s="13">
        <v>2021022</v>
      </c>
      <c r="C115" s="528">
        <f t="shared" ref="C115" si="46">C107+1</f>
        <v>15</v>
      </c>
      <c r="D115" s="522"/>
      <c r="E115" s="522" t="s">
        <v>97</v>
      </c>
      <c r="F115" s="522"/>
      <c r="G115" s="522"/>
      <c r="H115" s="522"/>
      <c r="I115" s="525" t="s">
        <v>31</v>
      </c>
      <c r="J115" s="175" t="s">
        <v>24</v>
      </c>
      <c r="K115" s="420">
        <f t="shared" ref="K115:R115" si="47">SUM(K116:K122)</f>
        <v>392147</v>
      </c>
      <c r="L115" s="285">
        <f t="shared" si="47"/>
        <v>393454</v>
      </c>
      <c r="M115" s="285">
        <f t="shared" si="47"/>
        <v>0</v>
      </c>
      <c r="N115" s="285">
        <f t="shared" si="47"/>
        <v>0</v>
      </c>
      <c r="O115" s="285">
        <f t="shared" si="47"/>
        <v>0</v>
      </c>
      <c r="P115" s="285">
        <f t="shared" si="47"/>
        <v>0</v>
      </c>
      <c r="Q115" s="285">
        <f t="shared" si="47"/>
        <v>0</v>
      </c>
      <c r="R115" s="285">
        <f t="shared" si="47"/>
        <v>0</v>
      </c>
      <c r="S115" s="285">
        <f>SUM(S116:S122)</f>
        <v>0</v>
      </c>
      <c r="T115" s="347">
        <f>SUM(T116:T122)</f>
        <v>0</v>
      </c>
      <c r="U115" s="347">
        <f>SUM(U116:U122)</f>
        <v>0</v>
      </c>
      <c r="V115" s="508">
        <f>SUM(V116:V122)</f>
        <v>0</v>
      </c>
      <c r="W115" s="427">
        <f t="shared" ref="W115:W122" si="48">SUM(K115:V115)</f>
        <v>785601</v>
      </c>
    </row>
    <row r="116" spans="1:24">
      <c r="A116" s="14">
        <f>A115</f>
        <v>2021022</v>
      </c>
      <c r="B116" s="24"/>
      <c r="C116" s="529"/>
      <c r="D116" s="523"/>
      <c r="E116" s="523"/>
      <c r="F116" s="523"/>
      <c r="G116" s="523"/>
      <c r="H116" s="523"/>
      <c r="I116" s="526"/>
      <c r="J116" s="176" t="s">
        <v>25</v>
      </c>
      <c r="K116" s="429">
        <v>314000</v>
      </c>
      <c r="L116" s="430">
        <v>315500</v>
      </c>
      <c r="M116" s="223"/>
      <c r="N116" s="223"/>
      <c r="O116" s="430"/>
      <c r="P116" s="430"/>
      <c r="Q116" s="430"/>
      <c r="R116" s="430"/>
      <c r="S116" s="430"/>
      <c r="T116" s="364"/>
      <c r="U116" s="364"/>
      <c r="V116" s="509"/>
      <c r="W116" s="428">
        <f t="shared" si="48"/>
        <v>629500</v>
      </c>
      <c r="X116" s="58"/>
    </row>
    <row r="117" spans="1:24">
      <c r="A117" s="14">
        <f t="shared" ref="A117:A122" si="49">A116</f>
        <v>2021022</v>
      </c>
      <c r="B117" s="24"/>
      <c r="C117" s="529"/>
      <c r="D117" s="523"/>
      <c r="E117" s="523"/>
      <c r="F117" s="523"/>
      <c r="G117" s="523"/>
      <c r="H117" s="523"/>
      <c r="I117" s="526"/>
      <c r="J117" s="176" t="s">
        <v>37</v>
      </c>
      <c r="K117" s="429">
        <v>9000</v>
      </c>
      <c r="L117" s="430">
        <v>10500</v>
      </c>
      <c r="M117" s="430"/>
      <c r="N117" s="430"/>
      <c r="O117" s="430"/>
      <c r="P117" s="430"/>
      <c r="Q117" s="430"/>
      <c r="R117" s="430"/>
      <c r="S117" s="430"/>
      <c r="T117" s="364"/>
      <c r="U117" s="364"/>
      <c r="V117" s="509"/>
      <c r="W117" s="428">
        <f t="shared" si="48"/>
        <v>19500</v>
      </c>
      <c r="X117" s="58"/>
    </row>
    <row r="118" spans="1:24">
      <c r="A118" s="14">
        <f t="shared" si="49"/>
        <v>2021022</v>
      </c>
      <c r="B118" s="24"/>
      <c r="C118" s="529"/>
      <c r="D118" s="523"/>
      <c r="E118" s="523"/>
      <c r="F118" s="523"/>
      <c r="G118" s="523"/>
      <c r="H118" s="523"/>
      <c r="I118" s="526"/>
      <c r="J118" s="176" t="s">
        <v>38</v>
      </c>
      <c r="K118" s="429">
        <v>18490</v>
      </c>
      <c r="L118" s="430">
        <v>16782</v>
      </c>
      <c r="M118" s="430"/>
      <c r="N118" s="430"/>
      <c r="O118" s="430"/>
      <c r="P118" s="430"/>
      <c r="Q118" s="430"/>
      <c r="R118" s="430"/>
      <c r="S118" s="430"/>
      <c r="T118" s="364"/>
      <c r="U118" s="364"/>
      <c r="V118" s="509"/>
      <c r="W118" s="428">
        <f t="shared" si="48"/>
        <v>35272</v>
      </c>
      <c r="X118" s="58"/>
    </row>
    <row r="119" spans="1:24">
      <c r="A119" s="14">
        <f t="shared" si="49"/>
        <v>2021022</v>
      </c>
      <c r="B119" s="24"/>
      <c r="C119" s="529"/>
      <c r="D119" s="523"/>
      <c r="E119" s="523"/>
      <c r="F119" s="523"/>
      <c r="G119" s="523"/>
      <c r="H119" s="523"/>
      <c r="I119" s="526"/>
      <c r="J119" s="176" t="s">
        <v>26</v>
      </c>
      <c r="K119" s="422">
        <v>18080</v>
      </c>
      <c r="L119" s="362">
        <v>18080</v>
      </c>
      <c r="M119" s="362"/>
      <c r="N119" s="362"/>
      <c r="O119" s="362"/>
      <c r="P119" s="362"/>
      <c r="Q119" s="362"/>
      <c r="R119" s="362"/>
      <c r="S119" s="362"/>
      <c r="T119" s="365"/>
      <c r="U119" s="365"/>
      <c r="V119" s="510"/>
      <c r="W119" s="428">
        <f t="shared" si="48"/>
        <v>36160</v>
      </c>
      <c r="X119" s="58"/>
    </row>
    <row r="120" spans="1:24">
      <c r="A120" s="14">
        <f t="shared" si="49"/>
        <v>2021022</v>
      </c>
      <c r="B120" s="24"/>
      <c r="C120" s="529"/>
      <c r="D120" s="523"/>
      <c r="E120" s="523"/>
      <c r="F120" s="523"/>
      <c r="G120" s="523"/>
      <c r="H120" s="523"/>
      <c r="I120" s="526"/>
      <c r="J120" s="176" t="s">
        <v>27</v>
      </c>
      <c r="K120" s="422">
        <v>29280</v>
      </c>
      <c r="L120" s="362">
        <v>29280</v>
      </c>
      <c r="M120" s="362"/>
      <c r="N120" s="362"/>
      <c r="O120" s="362"/>
      <c r="P120" s="362"/>
      <c r="Q120" s="362"/>
      <c r="R120" s="362"/>
      <c r="S120" s="362"/>
      <c r="T120" s="365"/>
      <c r="U120" s="365"/>
      <c r="V120" s="510"/>
      <c r="W120" s="428">
        <f t="shared" si="48"/>
        <v>58560</v>
      </c>
      <c r="X120" s="58"/>
    </row>
    <row r="121" spans="1:24">
      <c r="A121" s="14">
        <f t="shared" si="49"/>
        <v>2021022</v>
      </c>
      <c r="B121" s="24"/>
      <c r="C121" s="529"/>
      <c r="D121" s="523"/>
      <c r="E121" s="523"/>
      <c r="F121" s="523"/>
      <c r="G121" s="523"/>
      <c r="H121" s="523"/>
      <c r="I121" s="526"/>
      <c r="J121" s="176" t="s">
        <v>28</v>
      </c>
      <c r="K121" s="422">
        <v>1570</v>
      </c>
      <c r="L121" s="362">
        <v>1577</v>
      </c>
      <c r="M121" s="362"/>
      <c r="N121" s="362"/>
      <c r="O121" s="362"/>
      <c r="P121" s="362"/>
      <c r="Q121" s="362"/>
      <c r="R121" s="362"/>
      <c r="S121" s="362"/>
      <c r="T121" s="365"/>
      <c r="U121" s="365"/>
      <c r="V121" s="510"/>
      <c r="W121" s="428">
        <f t="shared" si="48"/>
        <v>3147</v>
      </c>
      <c r="X121" s="58"/>
    </row>
    <row r="122" spans="1:24">
      <c r="A122" s="14">
        <f t="shared" si="49"/>
        <v>2021022</v>
      </c>
      <c r="B122" s="24"/>
      <c r="C122" s="530"/>
      <c r="D122" s="562"/>
      <c r="E122" s="562"/>
      <c r="F122" s="562"/>
      <c r="G122" s="562"/>
      <c r="H122" s="562"/>
      <c r="I122" s="563"/>
      <c r="J122" s="180" t="s">
        <v>29</v>
      </c>
      <c r="K122" s="423">
        <v>1727</v>
      </c>
      <c r="L122" s="363">
        <v>1735</v>
      </c>
      <c r="M122" s="363"/>
      <c r="N122" s="363"/>
      <c r="O122" s="363"/>
      <c r="P122" s="363"/>
      <c r="Q122" s="363"/>
      <c r="R122" s="363"/>
      <c r="S122" s="363"/>
      <c r="T122" s="366"/>
      <c r="U122" s="366"/>
      <c r="V122" s="512"/>
      <c r="W122" s="432">
        <f t="shared" si="48"/>
        <v>3462</v>
      </c>
      <c r="X122" s="58"/>
    </row>
    <row r="123" spans="1:24">
      <c r="A123" s="13">
        <v>2022005</v>
      </c>
      <c r="C123" s="528">
        <f t="shared" ref="C123" si="50">C115+1</f>
        <v>16</v>
      </c>
      <c r="D123" s="522"/>
      <c r="E123" s="522" t="s">
        <v>97</v>
      </c>
      <c r="F123" s="522"/>
      <c r="G123" s="522"/>
      <c r="H123" s="522"/>
      <c r="I123" s="525" t="s">
        <v>31</v>
      </c>
      <c r="J123" s="175" t="s">
        <v>24</v>
      </c>
      <c r="K123" s="420">
        <f t="shared" ref="K123:R123" si="51">SUM(K124:K130)</f>
        <v>344369</v>
      </c>
      <c r="L123" s="285">
        <f t="shared" si="51"/>
        <v>352422</v>
      </c>
      <c r="M123" s="285">
        <f t="shared" si="51"/>
        <v>362670</v>
      </c>
      <c r="N123" s="285">
        <f t="shared" si="51"/>
        <v>359935</v>
      </c>
      <c r="O123" s="285">
        <f t="shared" si="51"/>
        <v>354033</v>
      </c>
      <c r="P123" s="285">
        <f t="shared" si="51"/>
        <v>360075</v>
      </c>
      <c r="Q123" s="285">
        <f t="shared" si="51"/>
        <v>355987</v>
      </c>
      <c r="R123" s="285">
        <f t="shared" si="51"/>
        <v>354995</v>
      </c>
      <c r="S123" s="285">
        <f>SUM(S124:S130)</f>
        <v>361191</v>
      </c>
      <c r="T123" s="347">
        <f>SUM(T124:T130)</f>
        <v>0</v>
      </c>
      <c r="U123" s="347">
        <f>SUM(U124:U130)</f>
        <v>0</v>
      </c>
      <c r="V123" s="508">
        <f>SUM(V124:V130)</f>
        <v>0</v>
      </c>
      <c r="W123" s="427">
        <f t="shared" ref="W123:W130" si="52">SUM(K123:V123)</f>
        <v>3205677</v>
      </c>
    </row>
    <row r="124" spans="1:24">
      <c r="A124" s="14">
        <f>A123</f>
        <v>2022005</v>
      </c>
      <c r="B124" s="24"/>
      <c r="C124" s="529"/>
      <c r="D124" s="523"/>
      <c r="E124" s="523"/>
      <c r="F124" s="523"/>
      <c r="G124" s="523"/>
      <c r="H124" s="523"/>
      <c r="I124" s="526"/>
      <c r="J124" s="176" t="s">
        <v>25</v>
      </c>
      <c r="K124" s="429">
        <v>272440</v>
      </c>
      <c r="L124" s="430">
        <v>272440</v>
      </c>
      <c r="M124" s="430">
        <v>272440</v>
      </c>
      <c r="N124" s="430">
        <v>272440</v>
      </c>
      <c r="O124" s="430">
        <v>272440</v>
      </c>
      <c r="P124" s="430">
        <v>272440</v>
      </c>
      <c r="Q124" s="430">
        <v>272440</v>
      </c>
      <c r="R124" s="430">
        <v>272440</v>
      </c>
      <c r="S124" s="430">
        <v>272440</v>
      </c>
      <c r="T124" s="364"/>
      <c r="U124" s="364"/>
      <c r="V124" s="509"/>
      <c r="W124" s="428">
        <f t="shared" si="52"/>
        <v>2451960</v>
      </c>
      <c r="X124" s="58"/>
    </row>
    <row r="125" spans="1:24">
      <c r="A125" s="14">
        <f t="shared" ref="A125:A130" si="53">A124</f>
        <v>2022005</v>
      </c>
      <c r="B125" s="24"/>
      <c r="C125" s="529"/>
      <c r="D125" s="523"/>
      <c r="E125" s="523"/>
      <c r="F125" s="523"/>
      <c r="G125" s="523"/>
      <c r="H125" s="523"/>
      <c r="I125" s="526"/>
      <c r="J125" s="176" t="s">
        <v>37</v>
      </c>
      <c r="K125" s="429">
        <v>10000</v>
      </c>
      <c r="L125" s="430">
        <v>12500</v>
      </c>
      <c r="M125" s="430">
        <v>15000</v>
      </c>
      <c r="N125" s="430">
        <v>15000</v>
      </c>
      <c r="O125" s="430">
        <v>12500</v>
      </c>
      <c r="P125" s="430">
        <v>12500</v>
      </c>
      <c r="Q125" s="430">
        <v>12500</v>
      </c>
      <c r="R125" s="430">
        <v>12500</v>
      </c>
      <c r="S125" s="430">
        <v>16000</v>
      </c>
      <c r="T125" s="364"/>
      <c r="U125" s="364"/>
      <c r="V125" s="509"/>
      <c r="W125" s="428">
        <f t="shared" si="52"/>
        <v>118500</v>
      </c>
      <c r="X125" s="58"/>
    </row>
    <row r="126" spans="1:24">
      <c r="A126" s="14">
        <f t="shared" si="53"/>
        <v>2022005</v>
      </c>
      <c r="B126" s="24"/>
      <c r="C126" s="529"/>
      <c r="D126" s="523"/>
      <c r="E126" s="523"/>
      <c r="F126" s="523"/>
      <c r="G126" s="523"/>
      <c r="H126" s="523"/>
      <c r="I126" s="526"/>
      <c r="J126" s="176" t="s">
        <v>38</v>
      </c>
      <c r="K126" s="429">
        <v>22824</v>
      </c>
      <c r="L126" s="430">
        <v>28339</v>
      </c>
      <c r="M126" s="430">
        <v>35993</v>
      </c>
      <c r="N126" s="430">
        <v>33253</v>
      </c>
      <c r="O126" s="430">
        <v>29961</v>
      </c>
      <c r="P126" s="430">
        <v>33223</v>
      </c>
      <c r="Q126" s="430">
        <v>28790</v>
      </c>
      <c r="R126" s="430">
        <v>28143</v>
      </c>
      <c r="S126" s="430">
        <v>31347</v>
      </c>
      <c r="T126" s="364"/>
      <c r="U126" s="364"/>
      <c r="V126" s="509"/>
      <c r="W126" s="428">
        <f t="shared" si="52"/>
        <v>271873</v>
      </c>
      <c r="X126" s="58"/>
    </row>
    <row r="127" spans="1:24">
      <c r="A127" s="14">
        <f t="shared" si="53"/>
        <v>2022005</v>
      </c>
      <c r="B127" s="24"/>
      <c r="C127" s="529"/>
      <c r="D127" s="523"/>
      <c r="E127" s="523"/>
      <c r="F127" s="523"/>
      <c r="G127" s="523"/>
      <c r="H127" s="523"/>
      <c r="I127" s="526"/>
      <c r="J127" s="176" t="s">
        <v>26</v>
      </c>
      <c r="K127" s="422">
        <v>12350</v>
      </c>
      <c r="L127" s="362">
        <v>12350</v>
      </c>
      <c r="M127" s="362">
        <v>12350</v>
      </c>
      <c r="N127" s="362">
        <v>12350</v>
      </c>
      <c r="O127" s="362">
        <v>12350</v>
      </c>
      <c r="P127" s="362">
        <v>13300</v>
      </c>
      <c r="Q127" s="362">
        <v>13300</v>
      </c>
      <c r="R127" s="362">
        <v>13300</v>
      </c>
      <c r="S127" s="362">
        <v>13300</v>
      </c>
      <c r="T127" s="365"/>
      <c r="U127" s="365"/>
      <c r="V127" s="510"/>
      <c r="W127" s="428">
        <f t="shared" si="52"/>
        <v>114950</v>
      </c>
      <c r="X127" s="58"/>
    </row>
    <row r="128" spans="1:24">
      <c r="A128" s="14">
        <f t="shared" si="53"/>
        <v>2022005</v>
      </c>
      <c r="B128" s="24"/>
      <c r="C128" s="529"/>
      <c r="D128" s="523"/>
      <c r="E128" s="523"/>
      <c r="F128" s="523"/>
      <c r="G128" s="523"/>
      <c r="H128" s="523"/>
      <c r="I128" s="526"/>
      <c r="J128" s="176" t="s">
        <v>27</v>
      </c>
      <c r="K128" s="422">
        <v>23790</v>
      </c>
      <c r="L128" s="362">
        <v>23790</v>
      </c>
      <c r="M128" s="362">
        <v>23790</v>
      </c>
      <c r="N128" s="362">
        <v>23790</v>
      </c>
      <c r="O128" s="362">
        <v>23790</v>
      </c>
      <c r="P128" s="362">
        <v>25620</v>
      </c>
      <c r="Q128" s="362">
        <v>25620</v>
      </c>
      <c r="R128" s="362">
        <v>25620</v>
      </c>
      <c r="S128" s="362">
        <v>25620</v>
      </c>
      <c r="T128" s="365"/>
      <c r="U128" s="365"/>
      <c r="V128" s="510"/>
      <c r="W128" s="428">
        <f t="shared" si="52"/>
        <v>221430</v>
      </c>
      <c r="X128" s="58"/>
    </row>
    <row r="129" spans="1:24">
      <c r="A129" s="14">
        <f t="shared" si="53"/>
        <v>2022005</v>
      </c>
      <c r="B129" s="24"/>
      <c r="C129" s="529"/>
      <c r="D129" s="523"/>
      <c r="E129" s="523"/>
      <c r="F129" s="523"/>
      <c r="G129" s="523"/>
      <c r="H129" s="523"/>
      <c r="I129" s="526"/>
      <c r="J129" s="176" t="s">
        <v>28</v>
      </c>
      <c r="K129" s="422">
        <v>1412</v>
      </c>
      <c r="L129" s="362">
        <v>1430</v>
      </c>
      <c r="M129" s="362">
        <v>1475</v>
      </c>
      <c r="N129" s="362">
        <v>1477</v>
      </c>
      <c r="O129" s="362">
        <v>1425</v>
      </c>
      <c r="P129" s="362">
        <v>1425</v>
      </c>
      <c r="Q129" s="362">
        <v>1589</v>
      </c>
      <c r="R129" s="362">
        <v>1425</v>
      </c>
      <c r="S129" s="362">
        <v>1442</v>
      </c>
      <c r="T129" s="365"/>
      <c r="U129" s="365"/>
      <c r="V129" s="510"/>
      <c r="W129" s="428">
        <f t="shared" si="52"/>
        <v>13100</v>
      </c>
      <c r="X129" s="58"/>
    </row>
    <row r="130" spans="1:24">
      <c r="A130" s="14">
        <f t="shared" si="53"/>
        <v>2022005</v>
      </c>
      <c r="B130" s="24"/>
      <c r="C130" s="530"/>
      <c r="D130" s="562"/>
      <c r="E130" s="562"/>
      <c r="F130" s="562"/>
      <c r="G130" s="562"/>
      <c r="H130" s="562"/>
      <c r="I130" s="563"/>
      <c r="J130" s="180" t="s">
        <v>29</v>
      </c>
      <c r="K130" s="423">
        <v>1553</v>
      </c>
      <c r="L130" s="363">
        <v>1573</v>
      </c>
      <c r="M130" s="363">
        <v>1622</v>
      </c>
      <c r="N130" s="363">
        <v>1625</v>
      </c>
      <c r="O130" s="363">
        <v>1567</v>
      </c>
      <c r="P130" s="363">
        <v>1567</v>
      </c>
      <c r="Q130" s="363">
        <v>1748</v>
      </c>
      <c r="R130" s="363">
        <v>1567</v>
      </c>
      <c r="S130" s="363">
        <v>1042</v>
      </c>
      <c r="T130" s="366"/>
      <c r="U130" s="366"/>
      <c r="V130" s="512"/>
      <c r="W130" s="432">
        <f t="shared" si="52"/>
        <v>13864</v>
      </c>
      <c r="X130" s="58"/>
    </row>
    <row r="131" spans="1:24">
      <c r="A131" s="13">
        <v>2022010</v>
      </c>
      <c r="C131" s="546">
        <f t="shared" ref="C131" si="54">C123+1</f>
        <v>17</v>
      </c>
      <c r="D131" s="549"/>
      <c r="E131" s="549"/>
      <c r="F131" s="549"/>
      <c r="G131" s="549"/>
      <c r="H131" s="549"/>
      <c r="I131" s="552" t="s">
        <v>31</v>
      </c>
      <c r="J131" s="175" t="s">
        <v>24</v>
      </c>
      <c r="K131" s="395">
        <f t="shared" ref="K131:R131" si="55">SUM(K132:K138)</f>
        <v>366092</v>
      </c>
      <c r="L131" s="347">
        <f t="shared" si="55"/>
        <v>366385</v>
      </c>
      <c r="M131" s="347">
        <f t="shared" si="55"/>
        <v>395701</v>
      </c>
      <c r="N131" s="347">
        <f t="shared" si="55"/>
        <v>402260</v>
      </c>
      <c r="O131" s="347">
        <f t="shared" si="55"/>
        <v>378363</v>
      </c>
      <c r="P131" s="347">
        <f t="shared" si="55"/>
        <v>379502</v>
      </c>
      <c r="Q131" s="347">
        <f t="shared" si="55"/>
        <v>385741</v>
      </c>
      <c r="R131" s="347">
        <f t="shared" si="55"/>
        <v>375000</v>
      </c>
      <c r="S131" s="347">
        <f>SUM(S132:S138)</f>
        <v>408605</v>
      </c>
      <c r="T131" s="347">
        <f>SUM(T132:T138)</f>
        <v>406498</v>
      </c>
      <c r="U131" s="347">
        <f>SUM(U132:U138)</f>
        <v>386801</v>
      </c>
      <c r="V131" s="508">
        <f>SUM(V132:V138)</f>
        <v>293268</v>
      </c>
      <c r="W131" s="86">
        <f t="shared" ref="W131:W138" si="56">SUM(K131:V131)</f>
        <v>4544216</v>
      </c>
    </row>
    <row r="132" spans="1:24">
      <c r="A132" s="14">
        <f>A131</f>
        <v>2022010</v>
      </c>
      <c r="B132" s="24"/>
      <c r="C132" s="547"/>
      <c r="D132" s="550"/>
      <c r="E132" s="550"/>
      <c r="F132" s="550"/>
      <c r="G132" s="550"/>
      <c r="H132" s="550"/>
      <c r="I132" s="553"/>
      <c r="J132" s="176" t="s">
        <v>25</v>
      </c>
      <c r="K132" s="403">
        <v>289280</v>
      </c>
      <c r="L132" s="364">
        <v>289280</v>
      </c>
      <c r="M132" s="364">
        <v>310590</v>
      </c>
      <c r="N132" s="364">
        <v>322476</v>
      </c>
      <c r="O132" s="364">
        <v>289280</v>
      </c>
      <c r="P132" s="364">
        <v>289280</v>
      </c>
      <c r="Q132" s="364">
        <v>289671</v>
      </c>
      <c r="R132" s="364">
        <v>289280</v>
      </c>
      <c r="S132" s="364">
        <v>291040</v>
      </c>
      <c r="T132" s="364">
        <v>289280</v>
      </c>
      <c r="U132" s="364">
        <v>289280</v>
      </c>
      <c r="V132" s="509">
        <v>245180</v>
      </c>
      <c r="W132" s="87">
        <f t="shared" si="56"/>
        <v>3483917</v>
      </c>
      <c r="X132" s="58"/>
    </row>
    <row r="133" spans="1:24">
      <c r="A133" s="14">
        <f t="shared" ref="A133:A138" si="57">A132</f>
        <v>2022010</v>
      </c>
      <c r="B133" s="24"/>
      <c r="C133" s="547"/>
      <c r="D133" s="550"/>
      <c r="E133" s="550"/>
      <c r="F133" s="550"/>
      <c r="G133" s="550"/>
      <c r="H133" s="550"/>
      <c r="I133" s="553"/>
      <c r="J133" s="176" t="s">
        <v>37</v>
      </c>
      <c r="K133" s="403">
        <v>17500</v>
      </c>
      <c r="L133" s="364">
        <v>10000</v>
      </c>
      <c r="M133" s="364">
        <v>15000</v>
      </c>
      <c r="N133" s="364">
        <v>17500</v>
      </c>
      <c r="O133" s="364">
        <v>17500</v>
      </c>
      <c r="P133" s="364">
        <v>21250</v>
      </c>
      <c r="Q133" s="364">
        <v>26250</v>
      </c>
      <c r="R133" s="364">
        <v>20000</v>
      </c>
      <c r="S133" s="364">
        <v>46250</v>
      </c>
      <c r="T133" s="364">
        <v>53750</v>
      </c>
      <c r="U133" s="364">
        <v>37000</v>
      </c>
      <c r="V133" s="509" t="s">
        <v>114</v>
      </c>
      <c r="W133" s="87">
        <f t="shared" si="56"/>
        <v>282000</v>
      </c>
      <c r="X133" s="58"/>
    </row>
    <row r="134" spans="1:24">
      <c r="A134" s="14">
        <f t="shared" si="57"/>
        <v>2022010</v>
      </c>
      <c r="B134" s="24"/>
      <c r="C134" s="547"/>
      <c r="D134" s="550"/>
      <c r="E134" s="550"/>
      <c r="F134" s="550"/>
      <c r="G134" s="550"/>
      <c r="H134" s="550"/>
      <c r="I134" s="553"/>
      <c r="J134" s="176" t="s">
        <v>38</v>
      </c>
      <c r="K134" s="403">
        <v>17171</v>
      </c>
      <c r="L134" s="364">
        <v>25043</v>
      </c>
      <c r="M134" s="364">
        <v>27772</v>
      </c>
      <c r="N134" s="364">
        <v>19794</v>
      </c>
      <c r="O134" s="364">
        <v>23882</v>
      </c>
      <c r="P134" s="364">
        <v>21231</v>
      </c>
      <c r="Q134" s="364">
        <v>21794</v>
      </c>
      <c r="R134" s="364">
        <v>17993</v>
      </c>
      <c r="S134" s="364">
        <v>23294</v>
      </c>
      <c r="T134" s="364">
        <v>15386</v>
      </c>
      <c r="U134" s="364">
        <v>12433</v>
      </c>
      <c r="V134" s="509" t="s">
        <v>114</v>
      </c>
      <c r="W134" s="87">
        <f t="shared" si="56"/>
        <v>225793</v>
      </c>
      <c r="X134" s="58"/>
    </row>
    <row r="135" spans="1:24">
      <c r="A135" s="14">
        <f t="shared" si="57"/>
        <v>2022010</v>
      </c>
      <c r="B135" s="24"/>
      <c r="C135" s="547"/>
      <c r="D135" s="550"/>
      <c r="E135" s="550"/>
      <c r="F135" s="550"/>
      <c r="G135" s="550"/>
      <c r="H135" s="550"/>
      <c r="I135" s="553"/>
      <c r="J135" s="176" t="s">
        <v>26</v>
      </c>
      <c r="K135" s="396">
        <v>13300</v>
      </c>
      <c r="L135" s="365">
        <v>13300</v>
      </c>
      <c r="M135" s="365">
        <v>13300</v>
      </c>
      <c r="N135" s="365">
        <v>13300</v>
      </c>
      <c r="O135" s="365">
        <v>15200</v>
      </c>
      <c r="P135" s="365">
        <v>15200</v>
      </c>
      <c r="Q135" s="365">
        <v>15200</v>
      </c>
      <c r="R135" s="365">
        <v>15200</v>
      </c>
      <c r="S135" s="365">
        <v>15200</v>
      </c>
      <c r="T135" s="365">
        <v>15200</v>
      </c>
      <c r="U135" s="365">
        <v>15200</v>
      </c>
      <c r="V135" s="510">
        <v>15200</v>
      </c>
      <c r="W135" s="87">
        <f t="shared" si="56"/>
        <v>174800</v>
      </c>
      <c r="X135" s="58"/>
    </row>
    <row r="136" spans="1:24">
      <c r="A136" s="14">
        <f t="shared" si="57"/>
        <v>2022010</v>
      </c>
      <c r="B136" s="24"/>
      <c r="C136" s="547"/>
      <c r="D136" s="550"/>
      <c r="E136" s="550"/>
      <c r="F136" s="550"/>
      <c r="G136" s="550"/>
      <c r="H136" s="550"/>
      <c r="I136" s="553"/>
      <c r="J136" s="176" t="s">
        <v>27</v>
      </c>
      <c r="K136" s="396">
        <v>25620</v>
      </c>
      <c r="L136" s="365">
        <v>25620</v>
      </c>
      <c r="M136" s="365">
        <v>25620</v>
      </c>
      <c r="N136" s="365">
        <v>25620</v>
      </c>
      <c r="O136" s="365">
        <v>29280</v>
      </c>
      <c r="P136" s="365">
        <v>29280</v>
      </c>
      <c r="Q136" s="365">
        <v>29280</v>
      </c>
      <c r="R136" s="365">
        <v>29280</v>
      </c>
      <c r="S136" s="365">
        <v>29280</v>
      </c>
      <c r="T136" s="365">
        <v>29280</v>
      </c>
      <c r="U136" s="365">
        <v>29280</v>
      </c>
      <c r="V136" s="510">
        <v>29280</v>
      </c>
      <c r="W136" s="87">
        <f t="shared" si="56"/>
        <v>336720</v>
      </c>
      <c r="X136" s="58"/>
    </row>
    <row r="137" spans="1:24">
      <c r="A137" s="14">
        <f t="shared" si="57"/>
        <v>2022010</v>
      </c>
      <c r="B137" s="24"/>
      <c r="C137" s="547"/>
      <c r="D137" s="550"/>
      <c r="E137" s="550"/>
      <c r="F137" s="550"/>
      <c r="G137" s="550"/>
      <c r="H137" s="550"/>
      <c r="I137" s="553"/>
      <c r="J137" s="176" t="s">
        <v>28</v>
      </c>
      <c r="K137" s="396">
        <v>1534</v>
      </c>
      <c r="L137" s="365">
        <v>1496</v>
      </c>
      <c r="M137" s="365">
        <v>1628</v>
      </c>
      <c r="N137" s="365">
        <v>1700</v>
      </c>
      <c r="O137" s="365">
        <v>1534</v>
      </c>
      <c r="P137" s="365">
        <v>1553</v>
      </c>
      <c r="Q137" s="365">
        <v>1689</v>
      </c>
      <c r="R137" s="365">
        <v>1546</v>
      </c>
      <c r="S137" s="365">
        <v>1686</v>
      </c>
      <c r="T137" s="365">
        <v>1715</v>
      </c>
      <c r="U137" s="365">
        <v>1718</v>
      </c>
      <c r="V137" s="510">
        <v>1718</v>
      </c>
      <c r="W137" s="87">
        <f t="shared" si="56"/>
        <v>19517</v>
      </c>
      <c r="X137" s="58"/>
    </row>
    <row r="138" spans="1:24">
      <c r="A138" s="14">
        <f t="shared" si="57"/>
        <v>2022010</v>
      </c>
      <c r="B138" s="24"/>
      <c r="C138" s="548"/>
      <c r="D138" s="600"/>
      <c r="E138" s="600"/>
      <c r="F138" s="600"/>
      <c r="G138" s="600"/>
      <c r="H138" s="600"/>
      <c r="I138" s="601"/>
      <c r="J138" s="180" t="s">
        <v>29</v>
      </c>
      <c r="K138" s="397">
        <v>1687</v>
      </c>
      <c r="L138" s="366">
        <v>1646</v>
      </c>
      <c r="M138" s="366">
        <v>1791</v>
      </c>
      <c r="N138" s="366">
        <v>1870</v>
      </c>
      <c r="O138" s="366">
        <v>1687</v>
      </c>
      <c r="P138" s="366">
        <v>1708</v>
      </c>
      <c r="Q138" s="366">
        <v>1857</v>
      </c>
      <c r="R138" s="366">
        <v>1701</v>
      </c>
      <c r="S138" s="366">
        <v>1855</v>
      </c>
      <c r="T138" s="366">
        <v>1887</v>
      </c>
      <c r="U138" s="366">
        <v>1890</v>
      </c>
      <c r="V138" s="512">
        <v>1890</v>
      </c>
      <c r="W138" s="391">
        <f t="shared" si="56"/>
        <v>21469</v>
      </c>
      <c r="X138" s="58"/>
    </row>
    <row r="139" spans="1:24">
      <c r="A139" s="13">
        <v>2022020</v>
      </c>
      <c r="C139" s="546">
        <f t="shared" ref="C139" si="58">C131+1</f>
        <v>18</v>
      </c>
      <c r="D139" s="549"/>
      <c r="E139" s="549"/>
      <c r="F139" s="549"/>
      <c r="G139" s="549"/>
      <c r="H139" s="549"/>
      <c r="I139" s="552" t="s">
        <v>31</v>
      </c>
      <c r="J139" s="175" t="s">
        <v>24</v>
      </c>
      <c r="K139" s="395">
        <f t="shared" ref="K139:R139" si="59">SUM(K140:K146)</f>
        <v>342149</v>
      </c>
      <c r="L139" s="347">
        <f t="shared" si="59"/>
        <v>340994</v>
      </c>
      <c r="M139" s="347">
        <f t="shared" si="59"/>
        <v>346283</v>
      </c>
      <c r="N139" s="347">
        <f t="shared" si="59"/>
        <v>365629</v>
      </c>
      <c r="O139" s="347">
        <f t="shared" si="59"/>
        <v>353452</v>
      </c>
      <c r="P139" s="347">
        <f t="shared" si="59"/>
        <v>346736</v>
      </c>
      <c r="Q139" s="347">
        <f t="shared" si="59"/>
        <v>362766</v>
      </c>
      <c r="R139" s="347">
        <f t="shared" si="59"/>
        <v>350143</v>
      </c>
      <c r="S139" s="347">
        <f>SUM(S140:S146)</f>
        <v>383487</v>
      </c>
      <c r="T139" s="347">
        <f>SUM(T140:T146)</f>
        <v>371291</v>
      </c>
      <c r="U139" s="347">
        <f>SUM(U140:U146)</f>
        <v>376140</v>
      </c>
      <c r="V139" s="508">
        <f>SUM(V140:V146)</f>
        <v>277112</v>
      </c>
      <c r="W139" s="86">
        <f t="shared" ref="W139:W146" si="60">SUM(K139:V139)</f>
        <v>4216182</v>
      </c>
    </row>
    <row r="140" spans="1:24">
      <c r="A140" s="14">
        <f>A139</f>
        <v>2022020</v>
      </c>
      <c r="B140" s="24"/>
      <c r="C140" s="547"/>
      <c r="D140" s="550"/>
      <c r="E140" s="550"/>
      <c r="F140" s="550"/>
      <c r="G140" s="550"/>
      <c r="H140" s="550"/>
      <c r="I140" s="553"/>
      <c r="J140" s="176" t="s">
        <v>25</v>
      </c>
      <c r="K140" s="403">
        <v>271630</v>
      </c>
      <c r="L140" s="364">
        <v>271630</v>
      </c>
      <c r="M140" s="364">
        <v>271630</v>
      </c>
      <c r="N140" s="364">
        <v>292012</v>
      </c>
      <c r="O140" s="364">
        <v>271630</v>
      </c>
      <c r="P140" s="364">
        <v>271630</v>
      </c>
      <c r="Q140" s="364">
        <v>271630</v>
      </c>
      <c r="R140" s="364">
        <v>271630</v>
      </c>
      <c r="S140" s="364">
        <v>271630</v>
      </c>
      <c r="T140" s="364">
        <v>271630</v>
      </c>
      <c r="U140" s="364">
        <v>271630</v>
      </c>
      <c r="V140" s="509">
        <v>234905</v>
      </c>
      <c r="W140" s="87">
        <f t="shared" si="60"/>
        <v>3243217</v>
      </c>
      <c r="X140" s="58"/>
    </row>
    <row r="141" spans="1:24">
      <c r="A141" s="14">
        <f t="shared" ref="A141:A146" si="61">A140</f>
        <v>2022020</v>
      </c>
      <c r="B141" s="24"/>
      <c r="C141" s="547"/>
      <c r="D141" s="550"/>
      <c r="E141" s="550"/>
      <c r="F141" s="550"/>
      <c r="G141" s="550"/>
      <c r="H141" s="550"/>
      <c r="I141" s="553"/>
      <c r="J141" s="176" t="s">
        <v>37</v>
      </c>
      <c r="K141" s="403">
        <v>7500</v>
      </c>
      <c r="L141" s="364">
        <v>10000</v>
      </c>
      <c r="M141" s="364">
        <v>10000</v>
      </c>
      <c r="N141" s="364">
        <v>10000</v>
      </c>
      <c r="O141" s="364">
        <v>12500</v>
      </c>
      <c r="P141" s="364">
        <v>10000</v>
      </c>
      <c r="Q141" s="364">
        <v>12500</v>
      </c>
      <c r="R141" s="364">
        <v>7500</v>
      </c>
      <c r="S141" s="364">
        <v>33000</v>
      </c>
      <c r="T141" s="364">
        <v>26000</v>
      </c>
      <c r="U141" s="364">
        <v>24000</v>
      </c>
      <c r="V141" s="509" t="s">
        <v>114</v>
      </c>
      <c r="W141" s="87">
        <f t="shared" si="60"/>
        <v>163000</v>
      </c>
      <c r="X141" s="58"/>
    </row>
    <row r="142" spans="1:24">
      <c r="A142" s="14">
        <f t="shared" si="61"/>
        <v>2022020</v>
      </c>
      <c r="B142" s="24"/>
      <c r="C142" s="547"/>
      <c r="D142" s="550"/>
      <c r="E142" s="550"/>
      <c r="F142" s="550"/>
      <c r="G142" s="550"/>
      <c r="H142" s="550"/>
      <c r="I142" s="553"/>
      <c r="J142" s="176" t="s">
        <v>38</v>
      </c>
      <c r="K142" s="403">
        <v>23948</v>
      </c>
      <c r="L142" s="364">
        <v>20267</v>
      </c>
      <c r="M142" s="364">
        <v>25556</v>
      </c>
      <c r="N142" s="364">
        <v>24306</v>
      </c>
      <c r="O142" s="364">
        <v>30198</v>
      </c>
      <c r="P142" s="364">
        <v>23229</v>
      </c>
      <c r="Q142" s="364">
        <v>36351</v>
      </c>
      <c r="R142" s="364">
        <v>29162</v>
      </c>
      <c r="S142" s="364">
        <v>36739</v>
      </c>
      <c r="T142" s="364">
        <v>31616</v>
      </c>
      <c r="U142" s="364">
        <v>38303</v>
      </c>
      <c r="V142" s="509" t="s">
        <v>114</v>
      </c>
      <c r="W142" s="87">
        <f t="shared" si="60"/>
        <v>319675</v>
      </c>
      <c r="X142" s="58"/>
    </row>
    <row r="143" spans="1:24">
      <c r="A143" s="14">
        <f t="shared" si="61"/>
        <v>2022020</v>
      </c>
      <c r="B143" s="24"/>
      <c r="C143" s="547"/>
      <c r="D143" s="550"/>
      <c r="E143" s="550"/>
      <c r="F143" s="550"/>
      <c r="G143" s="550"/>
      <c r="H143" s="550"/>
      <c r="I143" s="553"/>
      <c r="J143" s="176" t="s">
        <v>26</v>
      </c>
      <c r="K143" s="396">
        <v>12350</v>
      </c>
      <c r="L143" s="365">
        <v>12350</v>
      </c>
      <c r="M143" s="365">
        <v>12350</v>
      </c>
      <c r="N143" s="365">
        <v>12350</v>
      </c>
      <c r="O143" s="365">
        <v>12350</v>
      </c>
      <c r="P143" s="365">
        <v>13300</v>
      </c>
      <c r="Q143" s="365">
        <v>13300</v>
      </c>
      <c r="R143" s="365">
        <v>13300</v>
      </c>
      <c r="S143" s="365">
        <v>13300</v>
      </c>
      <c r="T143" s="365">
        <v>13300</v>
      </c>
      <c r="U143" s="365">
        <v>13300</v>
      </c>
      <c r="V143" s="510">
        <v>13300</v>
      </c>
      <c r="W143" s="87">
        <f t="shared" si="60"/>
        <v>154850</v>
      </c>
      <c r="X143" s="58"/>
    </row>
    <row r="144" spans="1:24">
      <c r="A144" s="14">
        <f t="shared" si="61"/>
        <v>2022020</v>
      </c>
      <c r="B144" s="24"/>
      <c r="C144" s="547"/>
      <c r="D144" s="550"/>
      <c r="E144" s="550"/>
      <c r="F144" s="550"/>
      <c r="G144" s="550"/>
      <c r="H144" s="550"/>
      <c r="I144" s="553"/>
      <c r="J144" s="176" t="s">
        <v>27</v>
      </c>
      <c r="K144" s="396">
        <v>23790</v>
      </c>
      <c r="L144" s="365">
        <v>23790</v>
      </c>
      <c r="M144" s="365">
        <v>23790</v>
      </c>
      <c r="N144" s="365">
        <v>23790</v>
      </c>
      <c r="O144" s="365">
        <v>23790</v>
      </c>
      <c r="P144" s="365">
        <v>25620</v>
      </c>
      <c r="Q144" s="365">
        <v>25620</v>
      </c>
      <c r="R144" s="365">
        <v>25620</v>
      </c>
      <c r="S144" s="365">
        <v>25620</v>
      </c>
      <c r="T144" s="365">
        <v>25620</v>
      </c>
      <c r="U144" s="365">
        <v>25620</v>
      </c>
      <c r="V144" s="510">
        <v>25620</v>
      </c>
      <c r="W144" s="87">
        <f t="shared" si="60"/>
        <v>298290</v>
      </c>
      <c r="X144" s="58"/>
    </row>
    <row r="145" spans="1:24">
      <c r="A145" s="14">
        <f t="shared" si="61"/>
        <v>2022020</v>
      </c>
      <c r="B145" s="24"/>
      <c r="C145" s="547"/>
      <c r="D145" s="550"/>
      <c r="E145" s="550"/>
      <c r="F145" s="550"/>
      <c r="G145" s="550"/>
      <c r="H145" s="550"/>
      <c r="I145" s="553"/>
      <c r="J145" s="176" t="s">
        <v>28</v>
      </c>
      <c r="K145" s="396">
        <v>1396</v>
      </c>
      <c r="L145" s="365">
        <v>1408</v>
      </c>
      <c r="M145" s="365">
        <v>1408</v>
      </c>
      <c r="N145" s="365">
        <v>1510</v>
      </c>
      <c r="O145" s="365">
        <v>1421</v>
      </c>
      <c r="P145" s="365">
        <v>1408</v>
      </c>
      <c r="Q145" s="365">
        <v>1602</v>
      </c>
      <c r="R145" s="365">
        <v>1396</v>
      </c>
      <c r="S145" s="365">
        <v>1523</v>
      </c>
      <c r="T145" s="365">
        <v>1488</v>
      </c>
      <c r="U145" s="365">
        <v>1565</v>
      </c>
      <c r="V145" s="510">
        <v>1565</v>
      </c>
      <c r="W145" s="87">
        <f t="shared" si="60"/>
        <v>17690</v>
      </c>
      <c r="X145" s="58"/>
    </row>
    <row r="146" spans="1:24">
      <c r="A146" s="14">
        <f t="shared" si="61"/>
        <v>2022020</v>
      </c>
      <c r="B146" s="24"/>
      <c r="C146" s="548"/>
      <c r="D146" s="600"/>
      <c r="E146" s="600"/>
      <c r="F146" s="600"/>
      <c r="G146" s="600"/>
      <c r="H146" s="600"/>
      <c r="I146" s="601"/>
      <c r="J146" s="180" t="s">
        <v>29</v>
      </c>
      <c r="K146" s="397">
        <v>1535</v>
      </c>
      <c r="L146" s="366">
        <v>1549</v>
      </c>
      <c r="M146" s="366">
        <v>1549</v>
      </c>
      <c r="N146" s="366">
        <v>1661</v>
      </c>
      <c r="O146" s="366">
        <v>1563</v>
      </c>
      <c r="P146" s="366">
        <v>1549</v>
      </c>
      <c r="Q146" s="366">
        <v>1763</v>
      </c>
      <c r="R146" s="366">
        <v>1535</v>
      </c>
      <c r="S146" s="366">
        <v>1675</v>
      </c>
      <c r="T146" s="366">
        <v>1637</v>
      </c>
      <c r="U146" s="366">
        <v>1722</v>
      </c>
      <c r="V146" s="512">
        <v>1722</v>
      </c>
      <c r="W146" s="391">
        <f t="shared" si="60"/>
        <v>19460</v>
      </c>
      <c r="X146" s="58"/>
    </row>
    <row r="147" spans="1:24">
      <c r="A147" s="13">
        <v>2022021</v>
      </c>
      <c r="C147" s="546">
        <f t="shared" ref="C147" si="62">C139+1</f>
        <v>19</v>
      </c>
      <c r="D147" s="549"/>
      <c r="E147" s="549"/>
      <c r="F147" s="595"/>
      <c r="G147" s="549"/>
      <c r="H147" s="549"/>
      <c r="I147" s="552" t="s">
        <v>31</v>
      </c>
      <c r="J147" s="175" t="s">
        <v>24</v>
      </c>
      <c r="K147" s="395">
        <f t="shared" ref="K147:R147" si="63">SUM(K148:K154)</f>
        <v>345159</v>
      </c>
      <c r="L147" s="347">
        <f t="shared" si="63"/>
        <v>331536</v>
      </c>
      <c r="M147" s="347">
        <f t="shared" si="63"/>
        <v>340392</v>
      </c>
      <c r="N147" s="347">
        <f t="shared" si="63"/>
        <v>341116</v>
      </c>
      <c r="O147" s="347">
        <f t="shared" si="63"/>
        <v>348968</v>
      </c>
      <c r="P147" s="347">
        <f t="shared" si="63"/>
        <v>340027</v>
      </c>
      <c r="Q147" s="347">
        <f>SUM(Q148:Q154)</f>
        <v>355515</v>
      </c>
      <c r="R147" s="347">
        <f t="shared" si="63"/>
        <v>339261</v>
      </c>
      <c r="S147" s="347">
        <f>SUM(S148:S154)</f>
        <v>341344</v>
      </c>
      <c r="T147" s="347">
        <f>SUM(T148:T154)</f>
        <v>377051</v>
      </c>
      <c r="U147" s="347">
        <f>SUM(U148:U154)</f>
        <v>372290</v>
      </c>
      <c r="V147" s="508">
        <f>SUM(V148:V154)</f>
        <v>274717</v>
      </c>
      <c r="W147" s="86">
        <f>SUM(K147:V147)</f>
        <v>4107376</v>
      </c>
    </row>
    <row r="148" spans="1:24">
      <c r="A148" s="14">
        <f>A147</f>
        <v>2022021</v>
      </c>
      <c r="B148" s="24"/>
      <c r="C148" s="547"/>
      <c r="D148" s="550"/>
      <c r="E148" s="550"/>
      <c r="F148" s="596"/>
      <c r="G148" s="550"/>
      <c r="H148" s="550"/>
      <c r="I148" s="553"/>
      <c r="J148" s="176" t="s">
        <v>25</v>
      </c>
      <c r="K148" s="403">
        <v>275117</v>
      </c>
      <c r="L148" s="364">
        <v>268760</v>
      </c>
      <c r="M148" s="364">
        <v>268760</v>
      </c>
      <c r="N148" s="364">
        <v>270031</v>
      </c>
      <c r="O148" s="364">
        <v>268760</v>
      </c>
      <c r="P148" s="364">
        <v>268760</v>
      </c>
      <c r="Q148" s="364">
        <v>276933</v>
      </c>
      <c r="R148" s="364">
        <v>268760</v>
      </c>
      <c r="S148" s="364">
        <v>268760</v>
      </c>
      <c r="T148" s="364">
        <v>268760</v>
      </c>
      <c r="U148" s="364">
        <v>268760</v>
      </c>
      <c r="V148" s="509">
        <v>232435</v>
      </c>
      <c r="W148" s="87">
        <f t="shared" ref="W148:W154" si="64">SUM(K148:V148)</f>
        <v>3204596</v>
      </c>
      <c r="X148" s="58"/>
    </row>
    <row r="149" spans="1:24">
      <c r="A149" s="14">
        <f t="shared" ref="A149:A154" si="65">A148</f>
        <v>2022021</v>
      </c>
      <c r="B149" s="24"/>
      <c r="C149" s="547"/>
      <c r="D149" s="550"/>
      <c r="E149" s="550"/>
      <c r="F149" s="596"/>
      <c r="G149" s="550"/>
      <c r="H149" s="550"/>
      <c r="I149" s="553"/>
      <c r="J149" s="176" t="s">
        <v>37</v>
      </c>
      <c r="K149" s="403">
        <v>15000</v>
      </c>
      <c r="L149" s="364">
        <v>10000</v>
      </c>
      <c r="M149" s="364">
        <v>12500</v>
      </c>
      <c r="N149" s="364">
        <v>12500</v>
      </c>
      <c r="O149" s="364">
        <v>15000</v>
      </c>
      <c r="P149" s="364">
        <v>12500</v>
      </c>
      <c r="Q149" s="364">
        <v>12500</v>
      </c>
      <c r="R149" s="364">
        <v>12500</v>
      </c>
      <c r="S149" s="364">
        <v>4000</v>
      </c>
      <c r="T149" s="364">
        <v>37000</v>
      </c>
      <c r="U149" s="364">
        <v>34000</v>
      </c>
      <c r="V149" s="509" t="s">
        <v>114</v>
      </c>
      <c r="W149" s="87">
        <f t="shared" si="64"/>
        <v>177500</v>
      </c>
      <c r="X149" s="58"/>
    </row>
    <row r="150" spans="1:24">
      <c r="A150" s="14">
        <f t="shared" si="65"/>
        <v>2022021</v>
      </c>
      <c r="B150" s="24"/>
      <c r="C150" s="547"/>
      <c r="D150" s="550"/>
      <c r="E150" s="550"/>
      <c r="F150" s="596"/>
      <c r="G150" s="550"/>
      <c r="H150" s="550"/>
      <c r="I150" s="553"/>
      <c r="J150" s="176" t="s">
        <v>38</v>
      </c>
      <c r="K150" s="403">
        <v>18635</v>
      </c>
      <c r="L150" s="364">
        <v>16489</v>
      </c>
      <c r="M150" s="364">
        <v>22819</v>
      </c>
      <c r="N150" s="364">
        <v>22258</v>
      </c>
      <c r="O150" s="364">
        <v>23308</v>
      </c>
      <c r="P150" s="364">
        <v>16894</v>
      </c>
      <c r="Q150" s="364">
        <v>23872</v>
      </c>
      <c r="R150" s="364">
        <v>16128</v>
      </c>
      <c r="S150" s="364">
        <v>26800</v>
      </c>
      <c r="T150" s="364">
        <v>29160</v>
      </c>
      <c r="U150" s="364">
        <v>27248</v>
      </c>
      <c r="V150" s="509" t="s">
        <v>114</v>
      </c>
      <c r="W150" s="87">
        <f t="shared" si="64"/>
        <v>243611</v>
      </c>
      <c r="X150" s="58"/>
    </row>
    <row r="151" spans="1:24">
      <c r="A151" s="14">
        <f t="shared" si="65"/>
        <v>2022021</v>
      </c>
      <c r="B151" s="24"/>
      <c r="C151" s="547"/>
      <c r="D151" s="550"/>
      <c r="E151" s="550"/>
      <c r="F151" s="596"/>
      <c r="G151" s="550"/>
      <c r="H151" s="550"/>
      <c r="I151" s="553"/>
      <c r="J151" s="176" t="s">
        <v>26</v>
      </c>
      <c r="K151" s="396">
        <v>11400</v>
      </c>
      <c r="L151" s="365">
        <v>11400</v>
      </c>
      <c r="M151" s="365">
        <v>11400</v>
      </c>
      <c r="N151" s="365">
        <v>11400</v>
      </c>
      <c r="O151" s="365">
        <v>13300</v>
      </c>
      <c r="P151" s="365">
        <v>13300</v>
      </c>
      <c r="Q151" s="365">
        <v>13300</v>
      </c>
      <c r="R151" s="365">
        <v>13300</v>
      </c>
      <c r="S151" s="364">
        <v>13300</v>
      </c>
      <c r="T151" s="365">
        <v>13300</v>
      </c>
      <c r="U151" s="365">
        <v>13300</v>
      </c>
      <c r="V151" s="510">
        <v>13300</v>
      </c>
      <c r="W151" s="87">
        <f t="shared" si="64"/>
        <v>152000</v>
      </c>
      <c r="X151" s="58"/>
    </row>
    <row r="152" spans="1:24">
      <c r="A152" s="14">
        <f t="shared" si="65"/>
        <v>2022021</v>
      </c>
      <c r="B152" s="24"/>
      <c r="C152" s="547"/>
      <c r="D152" s="550"/>
      <c r="E152" s="550"/>
      <c r="F152" s="596"/>
      <c r="G152" s="550"/>
      <c r="H152" s="550"/>
      <c r="I152" s="553"/>
      <c r="J152" s="176" t="s">
        <v>27</v>
      </c>
      <c r="K152" s="396">
        <v>21960</v>
      </c>
      <c r="L152" s="365">
        <v>21960</v>
      </c>
      <c r="M152" s="365">
        <v>21960</v>
      </c>
      <c r="N152" s="365">
        <v>21960</v>
      </c>
      <c r="O152" s="365">
        <v>25620</v>
      </c>
      <c r="P152" s="365">
        <v>25620</v>
      </c>
      <c r="Q152" s="365">
        <v>25620</v>
      </c>
      <c r="R152" s="365">
        <v>25620</v>
      </c>
      <c r="S152" s="365">
        <v>25620</v>
      </c>
      <c r="T152" s="365">
        <v>25620</v>
      </c>
      <c r="U152" s="365">
        <v>25620</v>
      </c>
      <c r="V152" s="510">
        <v>25620</v>
      </c>
      <c r="W152" s="87">
        <f t="shared" si="64"/>
        <v>292800</v>
      </c>
      <c r="X152" s="58"/>
    </row>
    <row r="153" spans="1:24">
      <c r="A153" s="14">
        <f t="shared" si="65"/>
        <v>2022021</v>
      </c>
      <c r="B153" s="24"/>
      <c r="C153" s="547"/>
      <c r="D153" s="550"/>
      <c r="E153" s="550"/>
      <c r="F153" s="596"/>
      <c r="G153" s="550"/>
      <c r="H153" s="550"/>
      <c r="I153" s="553"/>
      <c r="J153" s="176" t="s">
        <v>28</v>
      </c>
      <c r="K153" s="396">
        <v>1451</v>
      </c>
      <c r="L153" s="365">
        <v>1394</v>
      </c>
      <c r="M153" s="365">
        <v>1406</v>
      </c>
      <c r="N153" s="365">
        <v>1413</v>
      </c>
      <c r="O153" s="365">
        <v>1419</v>
      </c>
      <c r="P153" s="365">
        <v>1406</v>
      </c>
      <c r="Q153" s="365">
        <v>1567</v>
      </c>
      <c r="R153" s="365">
        <v>1406</v>
      </c>
      <c r="S153" s="365">
        <v>1364</v>
      </c>
      <c r="T153" s="365">
        <v>1529</v>
      </c>
      <c r="U153" s="365">
        <v>1601</v>
      </c>
      <c r="V153" s="510">
        <v>1601</v>
      </c>
      <c r="W153" s="87">
        <f t="shared" si="64"/>
        <v>17557</v>
      </c>
      <c r="X153" s="58"/>
    </row>
    <row r="154" spans="1:24">
      <c r="A154" s="14">
        <f t="shared" si="65"/>
        <v>2022021</v>
      </c>
      <c r="B154" s="24"/>
      <c r="C154" s="548"/>
      <c r="D154" s="551"/>
      <c r="E154" s="551"/>
      <c r="F154" s="597"/>
      <c r="G154" s="551"/>
      <c r="H154" s="551"/>
      <c r="I154" s="554"/>
      <c r="J154" s="177" t="s">
        <v>29</v>
      </c>
      <c r="K154" s="397">
        <v>1596</v>
      </c>
      <c r="L154" s="366">
        <v>1533</v>
      </c>
      <c r="M154" s="366">
        <v>1547</v>
      </c>
      <c r="N154" s="366">
        <v>1554</v>
      </c>
      <c r="O154" s="366">
        <v>1561</v>
      </c>
      <c r="P154" s="366">
        <v>1547</v>
      </c>
      <c r="Q154" s="366">
        <v>1723</v>
      </c>
      <c r="R154" s="366">
        <v>1547</v>
      </c>
      <c r="S154" s="366">
        <v>1500</v>
      </c>
      <c r="T154" s="366">
        <v>1682</v>
      </c>
      <c r="U154" s="366">
        <v>1761</v>
      </c>
      <c r="V154" s="512">
        <v>1761</v>
      </c>
      <c r="W154" s="88">
        <f t="shared" si="64"/>
        <v>19312</v>
      </c>
      <c r="X154" s="58"/>
    </row>
    <row r="155" spans="1:24">
      <c r="A155" s="13">
        <v>2022034</v>
      </c>
      <c r="C155" s="546">
        <f t="shared" ref="C155" si="66">C147+1</f>
        <v>20</v>
      </c>
      <c r="D155" s="598"/>
      <c r="E155" s="598"/>
      <c r="F155" s="598"/>
      <c r="G155" s="598"/>
      <c r="H155" s="598"/>
      <c r="I155" s="599" t="s">
        <v>31</v>
      </c>
      <c r="J155" s="187" t="s">
        <v>24</v>
      </c>
      <c r="K155" s="395">
        <f t="shared" ref="K155:R155" si="67">SUM(K156:K162)</f>
        <v>333717</v>
      </c>
      <c r="L155" s="347">
        <f t="shared" si="67"/>
        <v>338629</v>
      </c>
      <c r="M155" s="347">
        <f t="shared" si="67"/>
        <v>342678</v>
      </c>
      <c r="N155" s="347">
        <f t="shared" si="67"/>
        <v>344314</v>
      </c>
      <c r="O155" s="347">
        <f t="shared" si="67"/>
        <v>344359</v>
      </c>
      <c r="P155" s="347">
        <f t="shared" si="67"/>
        <v>355874</v>
      </c>
      <c r="Q155" s="347">
        <f t="shared" si="67"/>
        <v>360730</v>
      </c>
      <c r="R155" s="347">
        <f t="shared" si="67"/>
        <v>351709</v>
      </c>
      <c r="S155" s="347">
        <f>SUM(S156:S162)</f>
        <v>362952</v>
      </c>
      <c r="T155" s="347">
        <f>SUM(T156:T162)</f>
        <v>363547</v>
      </c>
      <c r="U155" s="347">
        <f>SUM(U156:U162)</f>
        <v>376812</v>
      </c>
      <c r="V155" s="508">
        <f>SUM(V156:V162)</f>
        <v>274142</v>
      </c>
      <c r="W155" s="390">
        <f>SUM(K155:V155)</f>
        <v>4149463</v>
      </c>
    </row>
    <row r="156" spans="1:24">
      <c r="A156" s="14">
        <f>A155</f>
        <v>2022034</v>
      </c>
      <c r="B156" s="24"/>
      <c r="C156" s="547"/>
      <c r="D156" s="550"/>
      <c r="E156" s="550"/>
      <c r="F156" s="550"/>
      <c r="G156" s="550"/>
      <c r="H156" s="550"/>
      <c r="I156" s="553"/>
      <c r="J156" s="176" t="s">
        <v>25</v>
      </c>
      <c r="K156" s="396">
        <v>268030</v>
      </c>
      <c r="L156" s="365">
        <v>268030</v>
      </c>
      <c r="M156" s="365">
        <v>268030</v>
      </c>
      <c r="N156" s="365">
        <v>268030</v>
      </c>
      <c r="O156" s="365">
        <v>268030</v>
      </c>
      <c r="P156" s="365">
        <v>268030</v>
      </c>
      <c r="Q156" s="365">
        <v>268030</v>
      </c>
      <c r="R156" s="365">
        <v>268030</v>
      </c>
      <c r="S156" s="365">
        <v>268030</v>
      </c>
      <c r="T156" s="365">
        <v>268030</v>
      </c>
      <c r="U156" s="365">
        <v>268030</v>
      </c>
      <c r="V156" s="510">
        <v>231805</v>
      </c>
      <c r="W156" s="87">
        <f t="shared" ref="W156:W162" si="68">SUM(K156:V156)</f>
        <v>3180135</v>
      </c>
      <c r="X156" s="58"/>
    </row>
    <row r="157" spans="1:24">
      <c r="A157" s="14">
        <f t="shared" ref="A157:A162" si="69">A156</f>
        <v>2022034</v>
      </c>
      <c r="B157" s="24"/>
      <c r="C157" s="547"/>
      <c r="D157" s="550"/>
      <c r="E157" s="550"/>
      <c r="F157" s="550"/>
      <c r="G157" s="550"/>
      <c r="H157" s="550"/>
      <c r="I157" s="553"/>
      <c r="J157" s="176" t="s">
        <v>37</v>
      </c>
      <c r="K157" s="396">
        <v>7500</v>
      </c>
      <c r="L157" s="365">
        <v>15000</v>
      </c>
      <c r="M157" s="365">
        <v>15000</v>
      </c>
      <c r="N157" s="365">
        <v>12500</v>
      </c>
      <c r="O157" s="365">
        <v>10000</v>
      </c>
      <c r="P157" s="365">
        <v>22250</v>
      </c>
      <c r="Q157" s="365">
        <v>29250</v>
      </c>
      <c r="R157" s="365">
        <v>18000</v>
      </c>
      <c r="S157" s="365">
        <v>35000</v>
      </c>
      <c r="T157" s="365">
        <v>28000</v>
      </c>
      <c r="U157" s="365">
        <v>40000</v>
      </c>
      <c r="V157" s="510" t="s">
        <v>114</v>
      </c>
      <c r="W157" s="87">
        <f t="shared" si="68"/>
        <v>232500</v>
      </c>
      <c r="X157" s="58"/>
    </row>
    <row r="158" spans="1:24">
      <c r="A158" s="14">
        <f t="shared" si="69"/>
        <v>2022034</v>
      </c>
      <c r="B158" s="24"/>
      <c r="C158" s="547"/>
      <c r="D158" s="550"/>
      <c r="E158" s="550"/>
      <c r="F158" s="550"/>
      <c r="G158" s="550"/>
      <c r="H158" s="550"/>
      <c r="I158" s="553"/>
      <c r="J158" s="176" t="s">
        <v>38</v>
      </c>
      <c r="K158" s="396">
        <v>21934</v>
      </c>
      <c r="L158" s="365">
        <v>19267</v>
      </c>
      <c r="M158" s="365">
        <v>23316</v>
      </c>
      <c r="N158" s="365">
        <v>27478</v>
      </c>
      <c r="O158" s="365">
        <v>24490</v>
      </c>
      <c r="P158" s="365">
        <v>23626</v>
      </c>
      <c r="Q158" s="365">
        <v>21186</v>
      </c>
      <c r="R158" s="365">
        <v>23756</v>
      </c>
      <c r="S158" s="365">
        <v>17820</v>
      </c>
      <c r="T158" s="365">
        <v>25489</v>
      </c>
      <c r="U158" s="365">
        <v>26445</v>
      </c>
      <c r="V158" s="510" t="s">
        <v>114</v>
      </c>
      <c r="W158" s="87">
        <f t="shared" si="68"/>
        <v>254807</v>
      </c>
      <c r="X158" s="58"/>
    </row>
    <row r="159" spans="1:24">
      <c r="A159" s="14">
        <f t="shared" si="69"/>
        <v>2022034</v>
      </c>
      <c r="B159" s="24"/>
      <c r="C159" s="547"/>
      <c r="D159" s="550"/>
      <c r="E159" s="550"/>
      <c r="F159" s="550"/>
      <c r="G159" s="550"/>
      <c r="H159" s="550"/>
      <c r="I159" s="553"/>
      <c r="J159" s="176" t="s">
        <v>26</v>
      </c>
      <c r="K159" s="396">
        <v>11400</v>
      </c>
      <c r="L159" s="365">
        <v>11400</v>
      </c>
      <c r="M159" s="365">
        <v>11400</v>
      </c>
      <c r="N159" s="365">
        <v>11400</v>
      </c>
      <c r="O159" s="365">
        <v>13300</v>
      </c>
      <c r="P159" s="365">
        <v>13300</v>
      </c>
      <c r="Q159" s="365">
        <v>13300</v>
      </c>
      <c r="R159" s="365">
        <v>13300</v>
      </c>
      <c r="S159" s="365">
        <v>13300</v>
      </c>
      <c r="T159" s="365">
        <v>13300</v>
      </c>
      <c r="U159" s="365">
        <v>13300</v>
      </c>
      <c r="V159" s="510">
        <v>13300</v>
      </c>
      <c r="W159" s="87">
        <f t="shared" si="68"/>
        <v>152000</v>
      </c>
      <c r="X159" s="58"/>
    </row>
    <row r="160" spans="1:24">
      <c r="A160" s="14">
        <f t="shared" si="69"/>
        <v>2022034</v>
      </c>
      <c r="B160" s="24"/>
      <c r="C160" s="547"/>
      <c r="D160" s="550"/>
      <c r="E160" s="550"/>
      <c r="F160" s="550"/>
      <c r="G160" s="550"/>
      <c r="H160" s="550"/>
      <c r="I160" s="553"/>
      <c r="J160" s="176" t="s">
        <v>27</v>
      </c>
      <c r="K160" s="396">
        <v>21960</v>
      </c>
      <c r="L160" s="365">
        <v>21960</v>
      </c>
      <c r="M160" s="365">
        <v>21960</v>
      </c>
      <c r="N160" s="365">
        <v>21960</v>
      </c>
      <c r="O160" s="365">
        <v>25620</v>
      </c>
      <c r="P160" s="365">
        <v>25620</v>
      </c>
      <c r="Q160" s="365">
        <v>25620</v>
      </c>
      <c r="R160" s="365">
        <v>25620</v>
      </c>
      <c r="S160" s="365">
        <v>25620</v>
      </c>
      <c r="T160" s="365">
        <v>25620</v>
      </c>
      <c r="U160" s="365">
        <v>25620</v>
      </c>
      <c r="V160" s="510">
        <v>25620</v>
      </c>
      <c r="W160" s="87">
        <f t="shared" si="68"/>
        <v>292800</v>
      </c>
      <c r="X160" s="58"/>
    </row>
    <row r="161" spans="1:24">
      <c r="A161" s="14">
        <f t="shared" si="69"/>
        <v>2022034</v>
      </c>
      <c r="B161" s="24"/>
      <c r="C161" s="547"/>
      <c r="D161" s="550"/>
      <c r="E161" s="550"/>
      <c r="F161" s="550"/>
      <c r="G161" s="550"/>
      <c r="H161" s="550"/>
      <c r="I161" s="553"/>
      <c r="J161" s="176" t="s">
        <v>28</v>
      </c>
      <c r="K161" s="396">
        <v>1378</v>
      </c>
      <c r="L161" s="365">
        <v>1415</v>
      </c>
      <c r="M161" s="365">
        <v>1415</v>
      </c>
      <c r="N161" s="365">
        <v>1403</v>
      </c>
      <c r="O161" s="365">
        <v>1390</v>
      </c>
      <c r="P161" s="365">
        <v>1451</v>
      </c>
      <c r="Q161" s="365">
        <v>1592</v>
      </c>
      <c r="R161" s="365">
        <v>1430</v>
      </c>
      <c r="S161" s="365">
        <v>1515</v>
      </c>
      <c r="T161" s="365">
        <v>1480</v>
      </c>
      <c r="U161" s="365">
        <v>1627</v>
      </c>
      <c r="V161" s="510">
        <v>1627</v>
      </c>
      <c r="W161" s="87">
        <f t="shared" si="68"/>
        <v>17723</v>
      </c>
      <c r="X161" s="58"/>
    </row>
    <row r="162" spans="1:24">
      <c r="A162" s="14">
        <f t="shared" si="69"/>
        <v>2022034</v>
      </c>
      <c r="B162" s="24"/>
      <c r="C162" s="548"/>
      <c r="D162" s="551"/>
      <c r="E162" s="551"/>
      <c r="F162" s="551"/>
      <c r="G162" s="551"/>
      <c r="H162" s="551"/>
      <c r="I162" s="554"/>
      <c r="J162" s="177" t="s">
        <v>29</v>
      </c>
      <c r="K162" s="397">
        <v>1515</v>
      </c>
      <c r="L162" s="366">
        <v>1557</v>
      </c>
      <c r="M162" s="366">
        <v>1557</v>
      </c>
      <c r="N162" s="366">
        <v>1543</v>
      </c>
      <c r="O162" s="366">
        <v>1529</v>
      </c>
      <c r="P162" s="366">
        <v>1597</v>
      </c>
      <c r="Q162" s="366">
        <v>1752</v>
      </c>
      <c r="R162" s="366">
        <v>1573</v>
      </c>
      <c r="S162" s="366">
        <v>1667</v>
      </c>
      <c r="T162" s="366">
        <v>1628</v>
      </c>
      <c r="U162" s="366">
        <v>1790</v>
      </c>
      <c r="V162" s="512">
        <v>1790</v>
      </c>
      <c r="W162" s="88">
        <f t="shared" si="68"/>
        <v>19498</v>
      </c>
      <c r="X162" s="58"/>
    </row>
    <row r="163" spans="1:24">
      <c r="A163" s="29">
        <v>2020004</v>
      </c>
      <c r="B163" s="26"/>
      <c r="C163" s="546">
        <f t="shared" ref="C163" si="70">C155+1</f>
        <v>21</v>
      </c>
      <c r="D163" s="598"/>
      <c r="E163" s="598"/>
      <c r="F163" s="549"/>
      <c r="G163" s="598"/>
      <c r="H163" s="598"/>
      <c r="I163" s="599" t="s">
        <v>31</v>
      </c>
      <c r="J163" s="187" t="s">
        <v>24</v>
      </c>
      <c r="K163" s="395">
        <f t="shared" ref="K163:R163" si="71">SUM(K164:K170)</f>
        <v>640046</v>
      </c>
      <c r="L163" s="347">
        <f t="shared" si="71"/>
        <v>640494</v>
      </c>
      <c r="M163" s="347">
        <f t="shared" si="71"/>
        <v>640046</v>
      </c>
      <c r="N163" s="347">
        <f t="shared" si="71"/>
        <v>640046</v>
      </c>
      <c r="O163" s="347">
        <f t="shared" si="71"/>
        <v>640046</v>
      </c>
      <c r="P163" s="347">
        <f t="shared" si="71"/>
        <v>640046</v>
      </c>
      <c r="Q163" s="347">
        <f t="shared" si="71"/>
        <v>640544</v>
      </c>
      <c r="R163" s="347">
        <f t="shared" si="71"/>
        <v>640046</v>
      </c>
      <c r="S163" s="347">
        <f>SUM(S164:S170)</f>
        <v>640046</v>
      </c>
      <c r="T163" s="347">
        <f>SUM(T164:T170)</f>
        <v>643784</v>
      </c>
      <c r="U163" s="347">
        <f>SUM(U164:U170)</f>
        <v>641973</v>
      </c>
      <c r="V163" s="508">
        <f>SUM(V164:V170)</f>
        <v>580246</v>
      </c>
      <c r="W163" s="390">
        <f>SUM(K163:V163)</f>
        <v>7627363</v>
      </c>
    </row>
    <row r="164" spans="1:24">
      <c r="A164" s="14">
        <f t="shared" ref="A164:A170" si="72">A163</f>
        <v>2020004</v>
      </c>
      <c r="B164" s="24"/>
      <c r="C164" s="547"/>
      <c r="D164" s="550"/>
      <c r="E164" s="550"/>
      <c r="F164" s="550"/>
      <c r="G164" s="550"/>
      <c r="H164" s="550"/>
      <c r="I164" s="553"/>
      <c r="J164" s="176" t="s">
        <v>25</v>
      </c>
      <c r="K164" s="406">
        <v>532000</v>
      </c>
      <c r="L164" s="367">
        <v>532444</v>
      </c>
      <c r="M164" s="367">
        <v>532000</v>
      </c>
      <c r="N164" s="367">
        <v>532000</v>
      </c>
      <c r="O164" s="367">
        <v>532000</v>
      </c>
      <c r="P164" s="367">
        <v>532000</v>
      </c>
      <c r="Q164" s="367">
        <v>532494</v>
      </c>
      <c r="R164" s="367">
        <v>532000</v>
      </c>
      <c r="S164" s="367">
        <v>532000</v>
      </c>
      <c r="T164" s="367">
        <v>535700</v>
      </c>
      <c r="U164" s="367">
        <v>533727</v>
      </c>
      <c r="V164" s="515">
        <v>472000</v>
      </c>
      <c r="W164" s="87">
        <f t="shared" ref="W164:W170" si="73">SUM(K164:V164)</f>
        <v>6330365</v>
      </c>
      <c r="X164" s="58"/>
    </row>
    <row r="165" spans="1:24">
      <c r="A165" s="14">
        <f t="shared" si="72"/>
        <v>2020004</v>
      </c>
      <c r="B165" s="24"/>
      <c r="C165" s="547"/>
      <c r="D165" s="550"/>
      <c r="E165" s="550"/>
      <c r="F165" s="550"/>
      <c r="G165" s="550"/>
      <c r="H165" s="550"/>
      <c r="I165" s="553"/>
      <c r="J165" s="176" t="s">
        <v>37</v>
      </c>
      <c r="K165" s="407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516" t="s">
        <v>114</v>
      </c>
      <c r="W165" s="87">
        <f t="shared" si="73"/>
        <v>0</v>
      </c>
      <c r="X165" s="58"/>
    </row>
    <row r="166" spans="1:24">
      <c r="A166" s="14">
        <f t="shared" si="72"/>
        <v>2020004</v>
      </c>
      <c r="B166" s="24"/>
      <c r="C166" s="547"/>
      <c r="D166" s="550"/>
      <c r="E166" s="550"/>
      <c r="F166" s="550"/>
      <c r="G166" s="550"/>
      <c r="H166" s="550"/>
      <c r="I166" s="553"/>
      <c r="J166" s="176" t="s">
        <v>38</v>
      </c>
      <c r="K166" s="407">
        <v>23770</v>
      </c>
      <c r="L166" s="368">
        <v>23770</v>
      </c>
      <c r="M166" s="368">
        <v>23770</v>
      </c>
      <c r="N166" s="368">
        <v>23770</v>
      </c>
      <c r="O166" s="368">
        <v>23770</v>
      </c>
      <c r="P166" s="368">
        <v>23770</v>
      </c>
      <c r="Q166" s="368">
        <v>23770</v>
      </c>
      <c r="R166" s="368">
        <v>23770</v>
      </c>
      <c r="S166" s="368">
        <v>23770</v>
      </c>
      <c r="T166" s="368">
        <v>23770</v>
      </c>
      <c r="U166" s="368">
        <v>23770</v>
      </c>
      <c r="V166" s="516">
        <v>23770</v>
      </c>
      <c r="W166" s="87">
        <f t="shared" si="73"/>
        <v>285240</v>
      </c>
      <c r="X166" s="58"/>
    </row>
    <row r="167" spans="1:24">
      <c r="A167" s="14">
        <f t="shared" si="72"/>
        <v>2020004</v>
      </c>
      <c r="B167" s="24"/>
      <c r="C167" s="547"/>
      <c r="D167" s="550"/>
      <c r="E167" s="550"/>
      <c r="F167" s="550"/>
      <c r="G167" s="550"/>
      <c r="H167" s="550"/>
      <c r="I167" s="553"/>
      <c r="J167" s="176" t="s">
        <v>26</v>
      </c>
      <c r="K167" s="406">
        <v>29945</v>
      </c>
      <c r="L167" s="367">
        <v>29945</v>
      </c>
      <c r="M167" s="367">
        <v>29945</v>
      </c>
      <c r="N167" s="367">
        <v>29945</v>
      </c>
      <c r="O167" s="367">
        <v>29945</v>
      </c>
      <c r="P167" s="367">
        <v>29945</v>
      </c>
      <c r="Q167" s="367">
        <v>29945</v>
      </c>
      <c r="R167" s="367">
        <v>29945</v>
      </c>
      <c r="S167" s="367">
        <v>29945</v>
      </c>
      <c r="T167" s="367">
        <v>29945</v>
      </c>
      <c r="U167" s="367">
        <v>29945</v>
      </c>
      <c r="V167" s="515">
        <v>29945</v>
      </c>
      <c r="W167" s="87">
        <f t="shared" si="73"/>
        <v>359340</v>
      </c>
      <c r="X167" s="58"/>
    </row>
    <row r="168" spans="1:24">
      <c r="A168" s="14">
        <f t="shared" si="72"/>
        <v>2020004</v>
      </c>
      <c r="B168" s="24"/>
      <c r="C168" s="547"/>
      <c r="D168" s="550"/>
      <c r="E168" s="550"/>
      <c r="F168" s="550"/>
      <c r="G168" s="550"/>
      <c r="H168" s="550"/>
      <c r="I168" s="553"/>
      <c r="J168" s="176" t="s">
        <v>27</v>
      </c>
      <c r="K168" s="406">
        <v>48495</v>
      </c>
      <c r="L168" s="367">
        <v>48495</v>
      </c>
      <c r="M168" s="367">
        <v>48495</v>
      </c>
      <c r="N168" s="367">
        <v>48495</v>
      </c>
      <c r="O168" s="367">
        <v>48495</v>
      </c>
      <c r="P168" s="367">
        <v>48495</v>
      </c>
      <c r="Q168" s="367">
        <v>48495</v>
      </c>
      <c r="R168" s="367">
        <v>48495</v>
      </c>
      <c r="S168" s="367">
        <v>48495</v>
      </c>
      <c r="T168" s="367">
        <v>48495</v>
      </c>
      <c r="U168" s="367">
        <v>48495</v>
      </c>
      <c r="V168" s="515">
        <v>48495</v>
      </c>
      <c r="W168" s="87">
        <f t="shared" si="73"/>
        <v>581940</v>
      </c>
      <c r="X168" s="58"/>
    </row>
    <row r="169" spans="1:24">
      <c r="A169" s="14">
        <f t="shared" si="72"/>
        <v>2020004</v>
      </c>
      <c r="B169" s="24"/>
      <c r="C169" s="547"/>
      <c r="D169" s="550"/>
      <c r="E169" s="550"/>
      <c r="F169" s="550"/>
      <c r="G169" s="550"/>
      <c r="H169" s="550"/>
      <c r="I169" s="553"/>
      <c r="J169" s="176" t="s">
        <v>28</v>
      </c>
      <c r="K169" s="406">
        <v>2779</v>
      </c>
      <c r="L169" s="367">
        <v>2781</v>
      </c>
      <c r="M169" s="367">
        <v>2779</v>
      </c>
      <c r="N169" s="367">
        <v>2779</v>
      </c>
      <c r="O169" s="367">
        <v>2779</v>
      </c>
      <c r="P169" s="367">
        <v>2779</v>
      </c>
      <c r="Q169" s="367">
        <v>2781</v>
      </c>
      <c r="R169" s="367">
        <v>2779</v>
      </c>
      <c r="S169" s="367">
        <v>2779</v>
      </c>
      <c r="T169" s="367">
        <v>2797</v>
      </c>
      <c r="U169" s="367">
        <v>2874</v>
      </c>
      <c r="V169" s="515">
        <v>2874</v>
      </c>
      <c r="W169" s="87">
        <f t="shared" si="73"/>
        <v>33560</v>
      </c>
      <c r="X169" s="58"/>
    </row>
    <row r="170" spans="1:24">
      <c r="A170" s="14">
        <f t="shared" si="72"/>
        <v>2020004</v>
      </c>
      <c r="B170" s="24"/>
      <c r="C170" s="548"/>
      <c r="D170" s="551"/>
      <c r="E170" s="551"/>
      <c r="F170" s="551"/>
      <c r="G170" s="551"/>
      <c r="H170" s="551"/>
      <c r="I170" s="554"/>
      <c r="J170" s="177" t="s">
        <v>29</v>
      </c>
      <c r="K170" s="408">
        <v>3057</v>
      </c>
      <c r="L170" s="413">
        <v>3059</v>
      </c>
      <c r="M170" s="413">
        <v>3057</v>
      </c>
      <c r="N170" s="413">
        <v>3057</v>
      </c>
      <c r="O170" s="413">
        <v>3057</v>
      </c>
      <c r="P170" s="413">
        <v>3057</v>
      </c>
      <c r="Q170" s="413">
        <v>3059</v>
      </c>
      <c r="R170" s="413">
        <v>3057</v>
      </c>
      <c r="S170" s="413">
        <v>3057</v>
      </c>
      <c r="T170" s="413">
        <v>3077</v>
      </c>
      <c r="U170" s="413">
        <v>3162</v>
      </c>
      <c r="V170" s="517">
        <v>3162</v>
      </c>
      <c r="W170" s="88">
        <f t="shared" si="73"/>
        <v>36918</v>
      </c>
      <c r="X170" s="58"/>
    </row>
    <row r="171" spans="1:24">
      <c r="A171" s="29">
        <v>2018017</v>
      </c>
      <c r="B171" s="26"/>
      <c r="C171" s="546">
        <f t="shared" ref="C171" si="74">C163+1</f>
        <v>22</v>
      </c>
      <c r="D171" s="549"/>
      <c r="E171" s="549"/>
      <c r="F171" s="615"/>
      <c r="G171" s="598"/>
      <c r="H171" s="598"/>
      <c r="I171" s="552" t="s">
        <v>31</v>
      </c>
      <c r="J171" s="186" t="s">
        <v>24</v>
      </c>
      <c r="K171" s="395">
        <f t="shared" ref="K171:T171" si="75">SUM(K172:K178)</f>
        <v>452768</v>
      </c>
      <c r="L171" s="347">
        <f t="shared" si="75"/>
        <v>445621</v>
      </c>
      <c r="M171" s="347">
        <f t="shared" si="75"/>
        <v>441812</v>
      </c>
      <c r="N171" s="347">
        <f t="shared" si="75"/>
        <v>445503</v>
      </c>
      <c r="O171" s="347">
        <f t="shared" si="75"/>
        <v>447247</v>
      </c>
      <c r="P171" s="347">
        <f t="shared" si="75"/>
        <v>451484</v>
      </c>
      <c r="Q171" s="347">
        <f t="shared" si="75"/>
        <v>446646</v>
      </c>
      <c r="R171" s="347">
        <f t="shared" si="75"/>
        <v>444372</v>
      </c>
      <c r="S171" s="347">
        <f t="shared" si="75"/>
        <v>463440</v>
      </c>
      <c r="T171" s="347">
        <f t="shared" si="75"/>
        <v>454347</v>
      </c>
      <c r="U171" s="347">
        <f>SUM(U172:U178)</f>
        <v>465526</v>
      </c>
      <c r="V171" s="508">
        <f>SUM(V172:V178)</f>
        <v>358819</v>
      </c>
      <c r="W171" s="86">
        <f t="shared" ref="W171:W178" si="76">SUM(K171:V171)</f>
        <v>5317585</v>
      </c>
    </row>
    <row r="172" spans="1:24">
      <c r="A172" s="30">
        <f t="shared" ref="A172:A178" si="77">A171</f>
        <v>2018017</v>
      </c>
      <c r="B172" s="27"/>
      <c r="C172" s="547"/>
      <c r="D172" s="550"/>
      <c r="E172" s="550"/>
      <c r="F172" s="616"/>
      <c r="G172" s="550"/>
      <c r="H172" s="550"/>
      <c r="I172" s="553"/>
      <c r="J172" s="181" t="s">
        <v>25</v>
      </c>
      <c r="K172" s="396">
        <v>351178</v>
      </c>
      <c r="L172" s="365">
        <v>345000</v>
      </c>
      <c r="M172" s="365">
        <v>345000</v>
      </c>
      <c r="N172" s="365">
        <v>345000</v>
      </c>
      <c r="O172" s="365">
        <v>345000</v>
      </c>
      <c r="P172" s="365">
        <v>345000</v>
      </c>
      <c r="Q172" s="365">
        <v>345000</v>
      </c>
      <c r="R172" s="365">
        <v>345000</v>
      </c>
      <c r="S172" s="365">
        <v>345000</v>
      </c>
      <c r="T172" s="365">
        <v>345000</v>
      </c>
      <c r="U172" s="365">
        <v>345000</v>
      </c>
      <c r="V172" s="510">
        <v>298375</v>
      </c>
      <c r="W172" s="87">
        <f t="shared" si="76"/>
        <v>4099553</v>
      </c>
      <c r="X172" s="58"/>
    </row>
    <row r="173" spans="1:24">
      <c r="A173" s="30">
        <f t="shared" si="77"/>
        <v>2018017</v>
      </c>
      <c r="B173" s="27"/>
      <c r="C173" s="547"/>
      <c r="D173" s="550"/>
      <c r="E173" s="550"/>
      <c r="F173" s="616"/>
      <c r="G173" s="550"/>
      <c r="H173" s="550"/>
      <c r="I173" s="553"/>
      <c r="J173" s="181" t="s">
        <v>37</v>
      </c>
      <c r="K173" s="403">
        <v>27500</v>
      </c>
      <c r="L173" s="364">
        <v>25000</v>
      </c>
      <c r="M173" s="364">
        <v>22500</v>
      </c>
      <c r="N173" s="364">
        <v>20000</v>
      </c>
      <c r="O173" s="364">
        <v>17500</v>
      </c>
      <c r="P173" s="364">
        <v>25000</v>
      </c>
      <c r="Q173" s="364">
        <v>17500</v>
      </c>
      <c r="R173" s="364">
        <v>20000</v>
      </c>
      <c r="S173" s="364">
        <v>38000</v>
      </c>
      <c r="T173" s="364">
        <v>30000</v>
      </c>
      <c r="U173" s="364">
        <v>38000</v>
      </c>
      <c r="V173" s="509" t="s">
        <v>114</v>
      </c>
      <c r="W173" s="87">
        <f t="shared" si="76"/>
        <v>281000</v>
      </c>
      <c r="X173" s="58"/>
    </row>
    <row r="174" spans="1:24">
      <c r="A174" s="30">
        <f t="shared" si="77"/>
        <v>2018017</v>
      </c>
      <c r="B174" s="27"/>
      <c r="C174" s="547"/>
      <c r="D174" s="550"/>
      <c r="E174" s="550"/>
      <c r="F174" s="616"/>
      <c r="G174" s="550"/>
      <c r="H174" s="550"/>
      <c r="I174" s="553"/>
      <c r="J174" s="181" t="s">
        <v>38</v>
      </c>
      <c r="K174" s="403">
        <v>16834</v>
      </c>
      <c r="L174" s="364">
        <v>18456</v>
      </c>
      <c r="M174" s="364">
        <v>17174</v>
      </c>
      <c r="N174" s="364">
        <v>23391</v>
      </c>
      <c r="O174" s="364">
        <v>27661</v>
      </c>
      <c r="P174" s="364">
        <v>21359</v>
      </c>
      <c r="Q174" s="364">
        <v>23849</v>
      </c>
      <c r="R174" s="364">
        <v>19300</v>
      </c>
      <c r="S174" s="364">
        <v>20179</v>
      </c>
      <c r="T174" s="364">
        <v>19170</v>
      </c>
      <c r="U174" s="364">
        <v>22082</v>
      </c>
      <c r="V174" s="509" t="s">
        <v>114</v>
      </c>
      <c r="W174" s="87">
        <f t="shared" si="76"/>
        <v>229455</v>
      </c>
      <c r="X174" s="58"/>
    </row>
    <row r="175" spans="1:24">
      <c r="A175" s="30">
        <f t="shared" si="77"/>
        <v>2018017</v>
      </c>
      <c r="B175" s="27"/>
      <c r="C175" s="547"/>
      <c r="D175" s="550"/>
      <c r="E175" s="550"/>
      <c r="F175" s="616"/>
      <c r="G175" s="550"/>
      <c r="H175" s="550"/>
      <c r="I175" s="553"/>
      <c r="J175" s="181" t="s">
        <v>26</v>
      </c>
      <c r="K175" s="396">
        <v>20340</v>
      </c>
      <c r="L175" s="365">
        <v>20340</v>
      </c>
      <c r="M175" s="365">
        <v>20340</v>
      </c>
      <c r="N175" s="365">
        <v>20340</v>
      </c>
      <c r="O175" s="365">
        <v>20340</v>
      </c>
      <c r="P175" s="365">
        <v>21470</v>
      </c>
      <c r="Q175" s="365">
        <v>21470</v>
      </c>
      <c r="R175" s="365">
        <v>21470</v>
      </c>
      <c r="S175" s="365">
        <v>21470</v>
      </c>
      <c r="T175" s="365">
        <v>21470</v>
      </c>
      <c r="U175" s="365">
        <v>21470</v>
      </c>
      <c r="V175" s="510">
        <v>21470</v>
      </c>
      <c r="W175" s="87">
        <f t="shared" si="76"/>
        <v>251990</v>
      </c>
      <c r="X175" s="58"/>
    </row>
    <row r="176" spans="1:24">
      <c r="A176" s="30">
        <f t="shared" si="77"/>
        <v>2018017</v>
      </c>
      <c r="B176" s="27"/>
      <c r="C176" s="547"/>
      <c r="D176" s="550"/>
      <c r="E176" s="550"/>
      <c r="F176" s="616"/>
      <c r="G176" s="550"/>
      <c r="H176" s="550"/>
      <c r="I176" s="553"/>
      <c r="J176" s="181" t="s">
        <v>27</v>
      </c>
      <c r="K176" s="396">
        <v>32940</v>
      </c>
      <c r="L176" s="365">
        <v>32940</v>
      </c>
      <c r="M176" s="365">
        <v>32940</v>
      </c>
      <c r="N176" s="365">
        <v>32940</v>
      </c>
      <c r="O176" s="365">
        <v>32940</v>
      </c>
      <c r="P176" s="365">
        <v>34770</v>
      </c>
      <c r="Q176" s="365">
        <v>34770</v>
      </c>
      <c r="R176" s="365">
        <v>34770</v>
      </c>
      <c r="S176" s="365">
        <v>34770</v>
      </c>
      <c r="T176" s="365">
        <v>34770</v>
      </c>
      <c r="U176" s="365">
        <v>34770</v>
      </c>
      <c r="V176" s="510">
        <v>34770</v>
      </c>
      <c r="W176" s="87">
        <f t="shared" si="76"/>
        <v>408090</v>
      </c>
      <c r="X176" s="58"/>
    </row>
    <row r="177" spans="1:24">
      <c r="A177" s="30">
        <f t="shared" si="77"/>
        <v>2018017</v>
      </c>
      <c r="B177" s="27"/>
      <c r="C177" s="547"/>
      <c r="D177" s="550"/>
      <c r="E177" s="550"/>
      <c r="F177" s="616"/>
      <c r="G177" s="550"/>
      <c r="H177" s="550"/>
      <c r="I177" s="553"/>
      <c r="J177" s="181" t="s">
        <v>28</v>
      </c>
      <c r="K177" s="396">
        <v>1893</v>
      </c>
      <c r="L177" s="365">
        <v>1850</v>
      </c>
      <c r="M177" s="365">
        <v>1837</v>
      </c>
      <c r="N177" s="365">
        <v>1825</v>
      </c>
      <c r="O177" s="365">
        <v>1812</v>
      </c>
      <c r="P177" s="365">
        <v>1850</v>
      </c>
      <c r="Q177" s="365">
        <v>1932</v>
      </c>
      <c r="R177" s="365">
        <v>1825</v>
      </c>
      <c r="S177" s="365">
        <v>1915</v>
      </c>
      <c r="T177" s="365">
        <v>1875</v>
      </c>
      <c r="U177" s="365">
        <v>2002</v>
      </c>
      <c r="V177" s="510">
        <v>2002</v>
      </c>
      <c r="W177" s="87">
        <f t="shared" si="76"/>
        <v>22618</v>
      </c>
      <c r="X177" s="58"/>
    </row>
    <row r="178" spans="1:24">
      <c r="A178" s="30">
        <f t="shared" si="77"/>
        <v>2018017</v>
      </c>
      <c r="B178" s="27"/>
      <c r="C178" s="548"/>
      <c r="D178" s="551"/>
      <c r="E178" s="551"/>
      <c r="F178" s="617"/>
      <c r="G178" s="551"/>
      <c r="H178" s="551"/>
      <c r="I178" s="554"/>
      <c r="J178" s="182" t="s">
        <v>29</v>
      </c>
      <c r="K178" s="397">
        <v>2083</v>
      </c>
      <c r="L178" s="366">
        <v>2035</v>
      </c>
      <c r="M178" s="366">
        <v>2021</v>
      </c>
      <c r="N178" s="366">
        <v>2007</v>
      </c>
      <c r="O178" s="366">
        <v>1994</v>
      </c>
      <c r="P178" s="366">
        <v>2035</v>
      </c>
      <c r="Q178" s="366">
        <v>2125</v>
      </c>
      <c r="R178" s="366">
        <v>2007</v>
      </c>
      <c r="S178" s="366">
        <v>2106</v>
      </c>
      <c r="T178" s="366">
        <v>2062</v>
      </c>
      <c r="U178" s="366">
        <v>2202</v>
      </c>
      <c r="V178" s="512">
        <v>2202</v>
      </c>
      <c r="W178" s="88">
        <f t="shared" si="76"/>
        <v>24879</v>
      </c>
      <c r="X178" s="58"/>
    </row>
    <row r="179" spans="1:24">
      <c r="A179" s="29">
        <v>2019034</v>
      </c>
      <c r="B179" s="26"/>
      <c r="C179" s="546">
        <f t="shared" ref="C179" si="78">C171+1</f>
        <v>23</v>
      </c>
      <c r="D179" s="549"/>
      <c r="E179" s="549"/>
      <c r="F179" s="615"/>
      <c r="G179" s="598"/>
      <c r="H179" s="598"/>
      <c r="I179" s="599" t="s">
        <v>31</v>
      </c>
      <c r="J179" s="186" t="s">
        <v>24</v>
      </c>
      <c r="K179" s="395">
        <f t="shared" ref="K179:T179" si="79">SUM(K180:K186)</f>
        <v>446092</v>
      </c>
      <c r="L179" s="347">
        <f t="shared" si="79"/>
        <v>452932</v>
      </c>
      <c r="M179" s="347">
        <f t="shared" si="79"/>
        <v>443640</v>
      </c>
      <c r="N179" s="347">
        <f t="shared" si="79"/>
        <v>445931</v>
      </c>
      <c r="O179" s="347">
        <f t="shared" si="79"/>
        <v>454203</v>
      </c>
      <c r="P179" s="347">
        <f t="shared" si="79"/>
        <v>447175</v>
      </c>
      <c r="Q179" s="347">
        <f t="shared" si="79"/>
        <v>452099</v>
      </c>
      <c r="R179" s="347">
        <f t="shared" si="79"/>
        <v>449701</v>
      </c>
      <c r="S179" s="347">
        <f t="shared" si="79"/>
        <v>456473</v>
      </c>
      <c r="T179" s="347">
        <f t="shared" si="79"/>
        <v>462753</v>
      </c>
      <c r="U179" s="347">
        <f>SUM(U180:U186)</f>
        <v>448527</v>
      </c>
      <c r="V179" s="508">
        <f>SUM(V180:V186)</f>
        <v>349416</v>
      </c>
      <c r="W179" s="86">
        <f t="shared" ref="W179:W186" si="80">SUM(K179:V179)</f>
        <v>5308942</v>
      </c>
    </row>
    <row r="180" spans="1:24">
      <c r="A180" s="30">
        <f t="shared" ref="A180:A186" si="81">A179</f>
        <v>2019034</v>
      </c>
      <c r="B180" s="27"/>
      <c r="C180" s="547"/>
      <c r="D180" s="550"/>
      <c r="E180" s="550"/>
      <c r="F180" s="616"/>
      <c r="G180" s="550"/>
      <c r="H180" s="550"/>
      <c r="I180" s="553"/>
      <c r="J180" s="181" t="s">
        <v>25</v>
      </c>
      <c r="K180" s="396">
        <v>337840</v>
      </c>
      <c r="L180" s="365">
        <v>337840</v>
      </c>
      <c r="M180" s="365">
        <v>337840</v>
      </c>
      <c r="N180" s="365">
        <v>337840</v>
      </c>
      <c r="O180" s="365">
        <v>337840</v>
      </c>
      <c r="P180" s="365">
        <v>337840</v>
      </c>
      <c r="Q180" s="365">
        <v>337840</v>
      </c>
      <c r="R180" s="365">
        <v>337840</v>
      </c>
      <c r="S180" s="365">
        <v>337840</v>
      </c>
      <c r="T180" s="365">
        <v>337840</v>
      </c>
      <c r="U180" s="365">
        <v>337840</v>
      </c>
      <c r="V180" s="510">
        <v>292165</v>
      </c>
      <c r="W180" s="87">
        <f t="shared" si="80"/>
        <v>4008405</v>
      </c>
      <c r="X180" s="58"/>
    </row>
    <row r="181" spans="1:24">
      <c r="A181" s="30">
        <f t="shared" si="81"/>
        <v>2019034</v>
      </c>
      <c r="B181" s="27"/>
      <c r="C181" s="547"/>
      <c r="D181" s="550"/>
      <c r="E181" s="550"/>
      <c r="F181" s="616"/>
      <c r="G181" s="550"/>
      <c r="H181" s="550"/>
      <c r="I181" s="553"/>
      <c r="J181" s="181" t="s">
        <v>37</v>
      </c>
      <c r="K181" s="403">
        <v>17500</v>
      </c>
      <c r="L181" s="364">
        <v>25000</v>
      </c>
      <c r="M181" s="364">
        <v>20000</v>
      </c>
      <c r="N181" s="364">
        <v>20000</v>
      </c>
      <c r="O181" s="364">
        <v>25000</v>
      </c>
      <c r="P181" s="364">
        <v>17500</v>
      </c>
      <c r="Q181" s="364">
        <v>22500</v>
      </c>
      <c r="R181" s="364">
        <v>25000</v>
      </c>
      <c r="S181" s="364">
        <v>31000</v>
      </c>
      <c r="T181" s="364">
        <v>34000</v>
      </c>
      <c r="U181" s="364">
        <v>23000</v>
      </c>
      <c r="V181" s="509" t="s">
        <v>114</v>
      </c>
      <c r="W181" s="87">
        <f t="shared" si="80"/>
        <v>260500</v>
      </c>
      <c r="X181" s="58"/>
    </row>
    <row r="182" spans="1:24">
      <c r="A182" s="30">
        <f t="shared" si="81"/>
        <v>2019034</v>
      </c>
      <c r="B182" s="27"/>
      <c r="C182" s="547"/>
      <c r="D182" s="550"/>
      <c r="E182" s="550"/>
      <c r="F182" s="616"/>
      <c r="G182" s="550"/>
      <c r="H182" s="550"/>
      <c r="I182" s="553"/>
      <c r="J182" s="181" t="s">
        <v>38</v>
      </c>
      <c r="K182" s="403">
        <v>33741</v>
      </c>
      <c r="L182" s="364">
        <v>33002</v>
      </c>
      <c r="M182" s="364">
        <v>28763</v>
      </c>
      <c r="N182" s="364">
        <v>31054</v>
      </c>
      <c r="O182" s="364">
        <v>34273</v>
      </c>
      <c r="P182" s="364">
        <v>34824</v>
      </c>
      <c r="Q182" s="364">
        <v>34335</v>
      </c>
      <c r="R182" s="364">
        <v>29771</v>
      </c>
      <c r="S182" s="364">
        <v>30480</v>
      </c>
      <c r="T182" s="364">
        <v>33729</v>
      </c>
      <c r="U182" s="364">
        <v>30436</v>
      </c>
      <c r="V182" s="509" t="s">
        <v>114</v>
      </c>
      <c r="W182" s="87">
        <f t="shared" si="80"/>
        <v>354408</v>
      </c>
      <c r="X182" s="58"/>
    </row>
    <row r="183" spans="1:24">
      <c r="A183" s="30">
        <f t="shared" si="81"/>
        <v>2019034</v>
      </c>
      <c r="B183" s="27"/>
      <c r="C183" s="547"/>
      <c r="D183" s="550"/>
      <c r="E183" s="550"/>
      <c r="F183" s="616"/>
      <c r="G183" s="550"/>
      <c r="H183" s="550"/>
      <c r="I183" s="553"/>
      <c r="J183" s="181" t="s">
        <v>26</v>
      </c>
      <c r="K183" s="396">
        <v>20340</v>
      </c>
      <c r="L183" s="365">
        <v>20340</v>
      </c>
      <c r="M183" s="365">
        <v>20340</v>
      </c>
      <c r="N183" s="365">
        <v>20340</v>
      </c>
      <c r="O183" s="365">
        <v>20340</v>
      </c>
      <c r="P183" s="365">
        <v>20340</v>
      </c>
      <c r="Q183" s="365">
        <v>20340</v>
      </c>
      <c r="R183" s="365">
        <v>20340</v>
      </c>
      <c r="S183" s="365">
        <v>20340</v>
      </c>
      <c r="T183" s="365">
        <v>20340</v>
      </c>
      <c r="U183" s="365">
        <v>20340</v>
      </c>
      <c r="V183" s="510">
        <v>20340</v>
      </c>
      <c r="W183" s="87">
        <f t="shared" si="80"/>
        <v>244080</v>
      </c>
      <c r="X183" s="58"/>
    </row>
    <row r="184" spans="1:24">
      <c r="A184" s="30">
        <f t="shared" si="81"/>
        <v>2019034</v>
      </c>
      <c r="B184" s="27"/>
      <c r="C184" s="547"/>
      <c r="D184" s="550"/>
      <c r="E184" s="550"/>
      <c r="F184" s="616"/>
      <c r="G184" s="550"/>
      <c r="H184" s="550"/>
      <c r="I184" s="553"/>
      <c r="J184" s="181" t="s">
        <v>27</v>
      </c>
      <c r="K184" s="396">
        <v>32940</v>
      </c>
      <c r="L184" s="365">
        <v>32940</v>
      </c>
      <c r="M184" s="365">
        <v>32940</v>
      </c>
      <c r="N184" s="365">
        <v>32940</v>
      </c>
      <c r="O184" s="365">
        <v>32940</v>
      </c>
      <c r="P184" s="365">
        <v>32940</v>
      </c>
      <c r="Q184" s="365">
        <v>32940</v>
      </c>
      <c r="R184" s="365">
        <v>32940</v>
      </c>
      <c r="S184" s="365">
        <v>32940</v>
      </c>
      <c r="T184" s="365">
        <v>32940</v>
      </c>
      <c r="U184" s="365">
        <v>32940</v>
      </c>
      <c r="V184" s="510">
        <v>32940</v>
      </c>
      <c r="W184" s="87">
        <f t="shared" si="80"/>
        <v>395280</v>
      </c>
      <c r="X184" s="58"/>
    </row>
    <row r="185" spans="1:24">
      <c r="A185" s="30">
        <f t="shared" si="81"/>
        <v>2019034</v>
      </c>
      <c r="B185" s="27"/>
      <c r="C185" s="547"/>
      <c r="D185" s="550"/>
      <c r="E185" s="550"/>
      <c r="F185" s="616"/>
      <c r="G185" s="550"/>
      <c r="H185" s="550"/>
      <c r="I185" s="553"/>
      <c r="J185" s="181" t="s">
        <v>28</v>
      </c>
      <c r="K185" s="396">
        <v>1777</v>
      </c>
      <c r="L185" s="365">
        <v>1814</v>
      </c>
      <c r="M185" s="365">
        <v>1789</v>
      </c>
      <c r="N185" s="365">
        <v>1789</v>
      </c>
      <c r="O185" s="365">
        <v>1814</v>
      </c>
      <c r="P185" s="365">
        <v>1777</v>
      </c>
      <c r="Q185" s="365">
        <v>1973</v>
      </c>
      <c r="R185" s="365">
        <v>1814</v>
      </c>
      <c r="S185" s="365">
        <v>1844</v>
      </c>
      <c r="T185" s="365">
        <v>1859</v>
      </c>
      <c r="U185" s="365">
        <v>1891</v>
      </c>
      <c r="V185" s="510">
        <v>1891</v>
      </c>
      <c r="W185" s="87">
        <f t="shared" si="80"/>
        <v>22032</v>
      </c>
      <c r="X185" s="58"/>
    </row>
    <row r="186" spans="1:24">
      <c r="A186" s="30">
        <f t="shared" si="81"/>
        <v>2019034</v>
      </c>
      <c r="B186" s="27"/>
      <c r="C186" s="548"/>
      <c r="D186" s="551"/>
      <c r="E186" s="551"/>
      <c r="F186" s="617"/>
      <c r="G186" s="551"/>
      <c r="H186" s="551"/>
      <c r="I186" s="554"/>
      <c r="J186" s="182" t="s">
        <v>29</v>
      </c>
      <c r="K186" s="397">
        <v>1954</v>
      </c>
      <c r="L186" s="366">
        <v>1996</v>
      </c>
      <c r="M186" s="366">
        <v>1968</v>
      </c>
      <c r="N186" s="366">
        <v>1968</v>
      </c>
      <c r="O186" s="366">
        <v>1996</v>
      </c>
      <c r="P186" s="366">
        <v>1954</v>
      </c>
      <c r="Q186" s="366">
        <v>2171</v>
      </c>
      <c r="R186" s="366">
        <v>1996</v>
      </c>
      <c r="S186" s="366">
        <v>2029</v>
      </c>
      <c r="T186" s="366">
        <v>2045</v>
      </c>
      <c r="U186" s="366">
        <v>2080</v>
      </c>
      <c r="V186" s="512">
        <v>2080</v>
      </c>
      <c r="W186" s="88">
        <f t="shared" si="80"/>
        <v>24237</v>
      </c>
      <c r="X186" s="58"/>
    </row>
    <row r="187" spans="1:24">
      <c r="A187" s="29">
        <v>2021008</v>
      </c>
      <c r="B187" s="26"/>
      <c r="C187" s="546">
        <f t="shared" ref="C187" si="82">C179+1</f>
        <v>24</v>
      </c>
      <c r="D187" s="549"/>
      <c r="E187" s="549"/>
      <c r="F187" s="621"/>
      <c r="G187" s="549"/>
      <c r="H187" s="549"/>
      <c r="I187" s="552" t="s">
        <v>31</v>
      </c>
      <c r="J187" s="186" t="s">
        <v>24</v>
      </c>
      <c r="K187" s="395">
        <f t="shared" ref="K187:T187" si="83">SUM(K188:K194)</f>
        <v>548040</v>
      </c>
      <c r="L187" s="347">
        <f t="shared" si="83"/>
        <v>547113</v>
      </c>
      <c r="M187" s="347">
        <f t="shared" si="83"/>
        <v>548783</v>
      </c>
      <c r="N187" s="347">
        <f t="shared" si="83"/>
        <v>598801</v>
      </c>
      <c r="O187" s="347">
        <f t="shared" si="83"/>
        <v>555509</v>
      </c>
      <c r="P187" s="347">
        <f t="shared" si="83"/>
        <v>646680</v>
      </c>
      <c r="Q187" s="347">
        <f>SUM(Q188:Q194)</f>
        <v>492221.96802003833</v>
      </c>
      <c r="R187" s="347">
        <f t="shared" si="83"/>
        <v>552653</v>
      </c>
      <c r="S187" s="347">
        <f t="shared" si="83"/>
        <v>518661.42309779656</v>
      </c>
      <c r="T187" s="347">
        <f t="shared" si="83"/>
        <v>577304</v>
      </c>
      <c r="U187" s="347">
        <f>SUM(U188:U194)</f>
        <v>558304</v>
      </c>
      <c r="V187" s="508">
        <f>SUM(V188:V194)</f>
        <v>418951</v>
      </c>
      <c r="W187" s="86">
        <f t="shared" ref="W187:W194" si="84">SUM(K187:V187)</f>
        <v>6563021.3911178354</v>
      </c>
    </row>
    <row r="188" spans="1:24">
      <c r="A188" s="30">
        <f t="shared" ref="A188:A194" si="85">A187</f>
        <v>2021008</v>
      </c>
      <c r="B188" s="27"/>
      <c r="C188" s="547"/>
      <c r="D188" s="550"/>
      <c r="E188" s="550"/>
      <c r="F188" s="616"/>
      <c r="G188" s="550"/>
      <c r="H188" s="550"/>
      <c r="I188" s="553"/>
      <c r="J188" s="181" t="s">
        <v>25</v>
      </c>
      <c r="K188" s="396">
        <v>427200</v>
      </c>
      <c r="L188" s="365">
        <v>427200</v>
      </c>
      <c r="M188" s="365">
        <v>427200</v>
      </c>
      <c r="N188" s="365">
        <v>463005</v>
      </c>
      <c r="O188" s="365">
        <v>427518</v>
      </c>
      <c r="P188" s="365">
        <v>498521</v>
      </c>
      <c r="Q188" s="365">
        <f>427200/171.67*154.67</f>
        <v>384895.57872662664</v>
      </c>
      <c r="R188" s="365">
        <v>427200</v>
      </c>
      <c r="S188" s="365">
        <f>443803/184.26*156.76</f>
        <v>377567.34114837728</v>
      </c>
      <c r="T188" s="365">
        <v>427200</v>
      </c>
      <c r="U188" s="365">
        <v>427200</v>
      </c>
      <c r="V188" s="510">
        <v>344450</v>
      </c>
      <c r="W188" s="87">
        <f t="shared" si="84"/>
        <v>5059156.9198750034</v>
      </c>
      <c r="X188" s="58"/>
    </row>
    <row r="189" spans="1:24">
      <c r="A189" s="30">
        <f t="shared" si="85"/>
        <v>2021008</v>
      </c>
      <c r="B189" s="27"/>
      <c r="C189" s="547"/>
      <c r="D189" s="550"/>
      <c r="E189" s="550"/>
      <c r="F189" s="616"/>
      <c r="G189" s="550"/>
      <c r="H189" s="550"/>
      <c r="I189" s="553"/>
      <c r="J189" s="181" t="s">
        <v>37</v>
      </c>
      <c r="K189" s="403">
        <v>25000</v>
      </c>
      <c r="L189" s="364">
        <v>20000</v>
      </c>
      <c r="M189" s="364">
        <v>22500</v>
      </c>
      <c r="N189" s="364">
        <v>40000</v>
      </c>
      <c r="O189" s="364">
        <v>27500</v>
      </c>
      <c r="P189" s="364">
        <v>25000</v>
      </c>
      <c r="Q189" s="364">
        <v>25000</v>
      </c>
      <c r="R189" s="364">
        <v>22500</v>
      </c>
      <c r="S189" s="364">
        <v>37000</v>
      </c>
      <c r="T189" s="364">
        <v>41000</v>
      </c>
      <c r="U189" s="364">
        <v>26000</v>
      </c>
      <c r="V189" s="509" t="s">
        <v>114</v>
      </c>
      <c r="W189" s="87">
        <f t="shared" si="84"/>
        <v>311500</v>
      </c>
      <c r="X189" s="58"/>
    </row>
    <row r="190" spans="1:24">
      <c r="A190" s="30">
        <f t="shared" si="85"/>
        <v>2021008</v>
      </c>
      <c r="B190" s="27"/>
      <c r="C190" s="547"/>
      <c r="D190" s="550"/>
      <c r="E190" s="550"/>
      <c r="F190" s="616"/>
      <c r="G190" s="550"/>
      <c r="H190" s="550"/>
      <c r="I190" s="553"/>
      <c r="J190" s="181" t="s">
        <v>38</v>
      </c>
      <c r="K190" s="403">
        <v>25972</v>
      </c>
      <c r="L190" s="364">
        <v>30097</v>
      </c>
      <c r="M190" s="364">
        <v>29242</v>
      </c>
      <c r="N190" s="364">
        <v>25394</v>
      </c>
      <c r="O190" s="364">
        <v>30593</v>
      </c>
      <c r="P190" s="364">
        <v>48102</v>
      </c>
      <c r="Q190" s="364">
        <f>16890/171.67*154.67</f>
        <v>15217.430535329411</v>
      </c>
      <c r="R190" s="364">
        <v>28672</v>
      </c>
      <c r="S190" s="364">
        <v>40621</v>
      </c>
      <c r="T190" s="364">
        <v>34628</v>
      </c>
      <c r="U190" s="364">
        <v>30603</v>
      </c>
      <c r="V190" s="509" t="s">
        <v>114</v>
      </c>
      <c r="W190" s="87">
        <f t="shared" si="84"/>
        <v>339141.43053532939</v>
      </c>
      <c r="X190" s="58"/>
    </row>
    <row r="191" spans="1:24">
      <c r="A191" s="30">
        <f t="shared" si="85"/>
        <v>2021008</v>
      </c>
      <c r="B191" s="27"/>
      <c r="C191" s="547"/>
      <c r="D191" s="550"/>
      <c r="E191" s="550"/>
      <c r="F191" s="616"/>
      <c r="G191" s="550"/>
      <c r="H191" s="550"/>
      <c r="I191" s="553"/>
      <c r="J191" s="181" t="s">
        <v>26</v>
      </c>
      <c r="K191" s="396">
        <v>24860</v>
      </c>
      <c r="L191" s="365">
        <v>24860</v>
      </c>
      <c r="M191" s="365">
        <v>24860</v>
      </c>
      <c r="N191" s="365">
        <v>24860</v>
      </c>
      <c r="O191" s="365">
        <v>24860</v>
      </c>
      <c r="P191" s="365">
        <v>26555</v>
      </c>
      <c r="Q191" s="365">
        <f>26555/171.67*154.67</f>
        <v>23925.332614900683</v>
      </c>
      <c r="R191" s="365">
        <v>26555</v>
      </c>
      <c r="S191" s="365">
        <f>26555/184.26*156.76</f>
        <v>22591.782264191901</v>
      </c>
      <c r="T191" s="365">
        <v>26555</v>
      </c>
      <c r="U191" s="365">
        <v>26555</v>
      </c>
      <c r="V191" s="510">
        <v>26555</v>
      </c>
      <c r="W191" s="87">
        <f t="shared" si="84"/>
        <v>303592.11487909255</v>
      </c>
      <c r="X191" s="58"/>
    </row>
    <row r="192" spans="1:24">
      <c r="A192" s="30">
        <f t="shared" si="85"/>
        <v>2021008</v>
      </c>
      <c r="B192" s="27"/>
      <c r="C192" s="547"/>
      <c r="D192" s="550"/>
      <c r="E192" s="550"/>
      <c r="F192" s="616"/>
      <c r="G192" s="550"/>
      <c r="H192" s="550"/>
      <c r="I192" s="553"/>
      <c r="J192" s="181" t="s">
        <v>27</v>
      </c>
      <c r="K192" s="396">
        <v>40260</v>
      </c>
      <c r="L192" s="365">
        <v>40260</v>
      </c>
      <c r="M192" s="365">
        <v>40260</v>
      </c>
      <c r="N192" s="365">
        <v>40260</v>
      </c>
      <c r="O192" s="365">
        <v>40260</v>
      </c>
      <c r="P192" s="365">
        <v>43005</v>
      </c>
      <c r="Q192" s="365">
        <f>43005/171.67*154.67</f>
        <v>38746.335119706411</v>
      </c>
      <c r="R192" s="365">
        <v>43005</v>
      </c>
      <c r="S192" s="365">
        <f>43005/184.26*156.76</f>
        <v>36586.691631390422</v>
      </c>
      <c r="T192" s="365">
        <v>43005</v>
      </c>
      <c r="U192" s="365">
        <v>43005</v>
      </c>
      <c r="V192" s="510">
        <v>43005</v>
      </c>
      <c r="W192" s="87">
        <f t="shared" si="84"/>
        <v>491658.02675109683</v>
      </c>
      <c r="X192" s="58"/>
    </row>
    <row r="193" spans="1:24">
      <c r="A193" s="30">
        <f t="shared" si="85"/>
        <v>2021008</v>
      </c>
      <c r="B193" s="27"/>
      <c r="C193" s="547"/>
      <c r="D193" s="550"/>
      <c r="E193" s="550"/>
      <c r="F193" s="616"/>
      <c r="G193" s="550"/>
      <c r="H193" s="550"/>
      <c r="I193" s="553"/>
      <c r="J193" s="181" t="s">
        <v>28</v>
      </c>
      <c r="K193" s="396">
        <v>2261</v>
      </c>
      <c r="L193" s="365">
        <v>2236</v>
      </c>
      <c r="M193" s="365">
        <v>2248</v>
      </c>
      <c r="N193" s="365">
        <v>2515</v>
      </c>
      <c r="O193" s="365">
        <v>2275</v>
      </c>
      <c r="P193" s="365">
        <v>2618</v>
      </c>
      <c r="Q193" s="365">
        <f>2345/171.67*154.67</f>
        <v>2112.7812081318807</v>
      </c>
      <c r="R193" s="365">
        <v>2248</v>
      </c>
      <c r="S193" s="365">
        <f>2404/184.26*156.76</f>
        <v>2045.2135026592857</v>
      </c>
      <c r="T193" s="365">
        <v>2341</v>
      </c>
      <c r="U193" s="365">
        <v>2353</v>
      </c>
      <c r="V193" s="510">
        <v>2353</v>
      </c>
      <c r="W193" s="87">
        <f t="shared" si="84"/>
        <v>27605.994710791165</v>
      </c>
      <c r="X193" s="58"/>
    </row>
    <row r="194" spans="1:24">
      <c r="A194" s="30">
        <f t="shared" si="85"/>
        <v>2021008</v>
      </c>
      <c r="B194" s="27"/>
      <c r="C194" s="548"/>
      <c r="D194" s="551"/>
      <c r="E194" s="551"/>
      <c r="F194" s="617"/>
      <c r="G194" s="551"/>
      <c r="H194" s="551"/>
      <c r="I194" s="554"/>
      <c r="J194" s="182" t="s">
        <v>29</v>
      </c>
      <c r="K194" s="397">
        <v>2487</v>
      </c>
      <c r="L194" s="366">
        <v>2460</v>
      </c>
      <c r="M194" s="366">
        <v>2473</v>
      </c>
      <c r="N194" s="366">
        <v>2767</v>
      </c>
      <c r="O194" s="366">
        <v>2503</v>
      </c>
      <c r="P194" s="366">
        <v>2879</v>
      </c>
      <c r="Q194" s="366">
        <f>2580/171.67*154.67</f>
        <v>2324.5098153433914</v>
      </c>
      <c r="R194" s="366">
        <v>2473</v>
      </c>
      <c r="S194" s="366">
        <f>2644/184.26*156.76</f>
        <v>2249.3945511776838</v>
      </c>
      <c r="T194" s="366">
        <v>2575</v>
      </c>
      <c r="U194" s="366">
        <v>2588</v>
      </c>
      <c r="V194" s="512">
        <v>2588</v>
      </c>
      <c r="W194" s="88">
        <f t="shared" si="84"/>
        <v>30366.904366521074</v>
      </c>
      <c r="X194" s="58"/>
    </row>
    <row r="195" spans="1:24">
      <c r="A195" s="13">
        <v>2018026</v>
      </c>
      <c r="C195" s="546">
        <f t="shared" ref="C195" si="86">C187+1</f>
        <v>25</v>
      </c>
      <c r="D195" s="549"/>
      <c r="E195" s="549"/>
      <c r="F195" s="618"/>
      <c r="G195" s="549"/>
      <c r="H195" s="549"/>
      <c r="I195" s="552" t="s">
        <v>31</v>
      </c>
      <c r="J195" s="186" t="s">
        <v>24</v>
      </c>
      <c r="K195" s="395">
        <f t="shared" ref="K195:T195" si="87">SUM(K196:K202)</f>
        <v>466342</v>
      </c>
      <c r="L195" s="347">
        <f t="shared" si="87"/>
        <v>421657</v>
      </c>
      <c r="M195" s="347">
        <f t="shared" si="87"/>
        <v>417818</v>
      </c>
      <c r="N195" s="347">
        <f t="shared" si="87"/>
        <v>446714</v>
      </c>
      <c r="O195" s="347">
        <f t="shared" si="87"/>
        <v>404903</v>
      </c>
      <c r="P195" s="347">
        <f t="shared" si="87"/>
        <v>420858</v>
      </c>
      <c r="Q195" s="347">
        <f t="shared" si="87"/>
        <v>419047</v>
      </c>
      <c r="R195" s="347">
        <f t="shared" si="87"/>
        <v>414386</v>
      </c>
      <c r="S195" s="347">
        <f t="shared" si="87"/>
        <v>414903</v>
      </c>
      <c r="T195" s="347">
        <f t="shared" si="87"/>
        <v>432717</v>
      </c>
      <c r="U195" s="347">
        <f>SUM(U196:U202)</f>
        <v>429637</v>
      </c>
      <c r="V195" s="508">
        <f>SUM(V196:V202)</f>
        <v>332015</v>
      </c>
      <c r="W195" s="86">
        <f t="shared" ref="W195:W202" si="88">SUM(K195:V195)</f>
        <v>5020997</v>
      </c>
    </row>
    <row r="196" spans="1:24">
      <c r="A196" s="30">
        <f t="shared" ref="A196" si="89">A195</f>
        <v>2018026</v>
      </c>
      <c r="B196" s="27"/>
      <c r="C196" s="547"/>
      <c r="D196" s="550"/>
      <c r="E196" s="550"/>
      <c r="F196" s="619"/>
      <c r="G196" s="550"/>
      <c r="H196" s="550"/>
      <c r="I196" s="553"/>
      <c r="J196" s="181" t="s">
        <v>25</v>
      </c>
      <c r="K196" s="400">
        <v>324800</v>
      </c>
      <c r="L196" s="352">
        <v>324800</v>
      </c>
      <c r="M196" s="352">
        <v>324800</v>
      </c>
      <c r="N196" s="352">
        <v>338629</v>
      </c>
      <c r="O196" s="352">
        <v>324800</v>
      </c>
      <c r="P196" s="352">
        <v>324800</v>
      </c>
      <c r="Q196" s="352">
        <v>324800</v>
      </c>
      <c r="R196" s="352">
        <v>324800</v>
      </c>
      <c r="S196" s="352">
        <v>324800</v>
      </c>
      <c r="T196" s="352">
        <v>324800</v>
      </c>
      <c r="U196" s="352">
        <v>324800</v>
      </c>
      <c r="V196" s="505">
        <v>280900</v>
      </c>
      <c r="W196" s="87">
        <f t="shared" si="88"/>
        <v>3867529</v>
      </c>
      <c r="X196" s="58"/>
    </row>
    <row r="197" spans="1:24">
      <c r="A197" s="30">
        <f t="shared" ref="A197" si="90">A196</f>
        <v>2018026</v>
      </c>
      <c r="B197" s="27"/>
      <c r="C197" s="547"/>
      <c r="D197" s="550"/>
      <c r="E197" s="550"/>
      <c r="F197" s="619"/>
      <c r="G197" s="550"/>
      <c r="H197" s="550"/>
      <c r="I197" s="553"/>
      <c r="J197" s="181" t="s">
        <v>37</v>
      </c>
      <c r="K197" s="400">
        <v>15000</v>
      </c>
      <c r="L197" s="352">
        <v>12500</v>
      </c>
      <c r="M197" s="352">
        <v>12500</v>
      </c>
      <c r="N197" s="352">
        <v>12500</v>
      </c>
      <c r="O197" s="352">
        <v>10000</v>
      </c>
      <c r="P197" s="352">
        <v>12500</v>
      </c>
      <c r="Q197" s="352">
        <v>7500</v>
      </c>
      <c r="R197" s="352">
        <v>7500</v>
      </c>
      <c r="S197" s="352">
        <v>12000</v>
      </c>
      <c r="T197" s="352">
        <v>34000</v>
      </c>
      <c r="U197" s="352">
        <v>25000</v>
      </c>
      <c r="V197" s="505" t="s">
        <v>114</v>
      </c>
      <c r="W197" s="87">
        <f t="shared" si="88"/>
        <v>161000</v>
      </c>
      <c r="X197" s="58"/>
    </row>
    <row r="198" spans="1:24">
      <c r="A198" s="30">
        <f t="shared" ref="A198:A202" si="91">A197</f>
        <v>2018026</v>
      </c>
      <c r="B198" s="27"/>
      <c r="C198" s="547"/>
      <c r="D198" s="550"/>
      <c r="E198" s="550"/>
      <c r="F198" s="619"/>
      <c r="G198" s="550"/>
      <c r="H198" s="550"/>
      <c r="I198" s="553"/>
      <c r="J198" s="181" t="s">
        <v>38</v>
      </c>
      <c r="K198" s="400">
        <v>78494</v>
      </c>
      <c r="L198" s="352">
        <v>36336</v>
      </c>
      <c r="M198" s="352">
        <v>32497</v>
      </c>
      <c r="N198" s="352">
        <v>47418</v>
      </c>
      <c r="O198" s="352">
        <v>22108</v>
      </c>
      <c r="P198" s="352">
        <v>32757</v>
      </c>
      <c r="Q198" s="352">
        <v>35623</v>
      </c>
      <c r="R198" s="352">
        <v>31337</v>
      </c>
      <c r="S198" s="352">
        <v>27307</v>
      </c>
      <c r="T198" s="352">
        <v>22890</v>
      </c>
      <c r="U198" s="352">
        <v>28722</v>
      </c>
      <c r="V198" s="505" t="s">
        <v>114</v>
      </c>
      <c r="W198" s="87">
        <f t="shared" si="88"/>
        <v>395489</v>
      </c>
      <c r="X198" s="58"/>
    </row>
    <row r="199" spans="1:24">
      <c r="A199" s="30">
        <f t="shared" si="91"/>
        <v>2018026</v>
      </c>
      <c r="B199" s="27"/>
      <c r="C199" s="547"/>
      <c r="D199" s="550"/>
      <c r="E199" s="550"/>
      <c r="F199" s="619"/>
      <c r="G199" s="550"/>
      <c r="H199" s="550"/>
      <c r="I199" s="553"/>
      <c r="J199" s="181" t="s">
        <v>26</v>
      </c>
      <c r="K199" s="401">
        <v>15200</v>
      </c>
      <c r="L199" s="346">
        <v>15200</v>
      </c>
      <c r="M199" s="346">
        <v>15200</v>
      </c>
      <c r="N199" s="346">
        <v>15200</v>
      </c>
      <c r="O199" s="346">
        <v>15200</v>
      </c>
      <c r="P199" s="346">
        <v>16150</v>
      </c>
      <c r="Q199" s="346">
        <v>16150</v>
      </c>
      <c r="R199" s="346">
        <v>16150</v>
      </c>
      <c r="S199" s="346">
        <v>16150</v>
      </c>
      <c r="T199" s="346">
        <v>16150</v>
      </c>
      <c r="U199" s="346">
        <v>16150</v>
      </c>
      <c r="V199" s="506">
        <v>16150</v>
      </c>
      <c r="W199" s="87">
        <f t="shared" si="88"/>
        <v>189050</v>
      </c>
      <c r="X199" s="58"/>
    </row>
    <row r="200" spans="1:24">
      <c r="A200" s="30">
        <f t="shared" si="91"/>
        <v>2018026</v>
      </c>
      <c r="B200" s="27"/>
      <c r="C200" s="547"/>
      <c r="D200" s="550"/>
      <c r="E200" s="550"/>
      <c r="F200" s="619"/>
      <c r="G200" s="550"/>
      <c r="H200" s="550"/>
      <c r="I200" s="553"/>
      <c r="J200" s="181" t="s">
        <v>27</v>
      </c>
      <c r="K200" s="401">
        <v>29280</v>
      </c>
      <c r="L200" s="346">
        <v>29280</v>
      </c>
      <c r="M200" s="346">
        <v>29280</v>
      </c>
      <c r="N200" s="346">
        <v>29280</v>
      </c>
      <c r="O200" s="346">
        <v>29280</v>
      </c>
      <c r="P200" s="346">
        <v>31110</v>
      </c>
      <c r="Q200" s="346">
        <v>31110</v>
      </c>
      <c r="R200" s="346">
        <v>31110</v>
      </c>
      <c r="S200" s="346">
        <v>31110</v>
      </c>
      <c r="T200" s="346">
        <v>31110</v>
      </c>
      <c r="U200" s="346">
        <v>31110</v>
      </c>
      <c r="V200" s="506">
        <v>31110</v>
      </c>
      <c r="W200" s="87">
        <f t="shared" si="88"/>
        <v>364170</v>
      </c>
      <c r="X200" s="58"/>
    </row>
    <row r="201" spans="1:24">
      <c r="A201" s="30">
        <f t="shared" si="91"/>
        <v>2018026</v>
      </c>
      <c r="B201" s="27"/>
      <c r="C201" s="547"/>
      <c r="D201" s="550"/>
      <c r="E201" s="550"/>
      <c r="F201" s="619"/>
      <c r="G201" s="550"/>
      <c r="H201" s="550"/>
      <c r="I201" s="553"/>
      <c r="J201" s="181" t="s">
        <v>28</v>
      </c>
      <c r="K201" s="401">
        <v>1699</v>
      </c>
      <c r="L201" s="346">
        <v>1686</v>
      </c>
      <c r="M201" s="346">
        <v>1686</v>
      </c>
      <c r="N201" s="346">
        <v>1756</v>
      </c>
      <c r="O201" s="346">
        <v>1674</v>
      </c>
      <c r="P201" s="346">
        <v>1686</v>
      </c>
      <c r="Q201" s="346">
        <v>1840</v>
      </c>
      <c r="R201" s="346">
        <v>1661</v>
      </c>
      <c r="S201" s="346">
        <v>1684</v>
      </c>
      <c r="T201" s="346">
        <v>1794</v>
      </c>
      <c r="U201" s="346">
        <v>1836</v>
      </c>
      <c r="V201" s="506">
        <v>1836</v>
      </c>
      <c r="W201" s="87">
        <f t="shared" si="88"/>
        <v>20838</v>
      </c>
      <c r="X201" s="58"/>
    </row>
    <row r="202" spans="1:24">
      <c r="A202" s="30">
        <f t="shared" si="91"/>
        <v>2018026</v>
      </c>
      <c r="B202" s="27"/>
      <c r="C202" s="548"/>
      <c r="D202" s="551"/>
      <c r="E202" s="551"/>
      <c r="F202" s="620"/>
      <c r="G202" s="551"/>
      <c r="H202" s="551"/>
      <c r="I202" s="554"/>
      <c r="J202" s="182" t="s">
        <v>29</v>
      </c>
      <c r="K202" s="409">
        <v>1869</v>
      </c>
      <c r="L202" s="414">
        <v>1855</v>
      </c>
      <c r="M202" s="414">
        <v>1855</v>
      </c>
      <c r="N202" s="414">
        <v>1931</v>
      </c>
      <c r="O202" s="414">
        <v>1841</v>
      </c>
      <c r="P202" s="414">
        <v>1855</v>
      </c>
      <c r="Q202" s="414">
        <v>2024</v>
      </c>
      <c r="R202" s="414">
        <v>1828</v>
      </c>
      <c r="S202" s="414">
        <v>1852</v>
      </c>
      <c r="T202" s="414">
        <v>1973</v>
      </c>
      <c r="U202" s="414">
        <v>2019</v>
      </c>
      <c r="V202" s="518">
        <v>2019</v>
      </c>
      <c r="W202" s="88">
        <f t="shared" si="88"/>
        <v>22921</v>
      </c>
      <c r="X202" s="58"/>
    </row>
    <row r="203" spans="1:24">
      <c r="A203" s="13">
        <v>2021011</v>
      </c>
      <c r="B203" s="2"/>
      <c r="C203" s="528">
        <f t="shared" ref="C203" si="92">C195+1</f>
        <v>26</v>
      </c>
      <c r="D203" s="522"/>
      <c r="E203" s="522" t="s">
        <v>97</v>
      </c>
      <c r="F203" s="522"/>
      <c r="G203" s="522"/>
      <c r="H203" s="522"/>
      <c r="I203" s="525" t="s">
        <v>31</v>
      </c>
      <c r="J203" s="186" t="s">
        <v>24</v>
      </c>
      <c r="K203" s="420">
        <f t="shared" ref="K203:T203" si="93">SUM(K204:K210)</f>
        <v>330048</v>
      </c>
      <c r="L203" s="285">
        <f t="shared" si="93"/>
        <v>333153</v>
      </c>
      <c r="M203" s="285">
        <f t="shared" si="93"/>
        <v>307905</v>
      </c>
      <c r="N203" s="285">
        <f t="shared" si="93"/>
        <v>0</v>
      </c>
      <c r="O203" s="285">
        <f t="shared" si="93"/>
        <v>0</v>
      </c>
      <c r="P203" s="285">
        <f t="shared" si="93"/>
        <v>0</v>
      </c>
      <c r="Q203" s="347">
        <f t="shared" si="93"/>
        <v>0</v>
      </c>
      <c r="R203" s="347">
        <f t="shared" si="93"/>
        <v>0</v>
      </c>
      <c r="S203" s="347">
        <f t="shared" si="93"/>
        <v>0</v>
      </c>
      <c r="T203" s="347">
        <f t="shared" si="93"/>
        <v>0</v>
      </c>
      <c r="U203" s="347">
        <f>SUM(U204:U210)</f>
        <v>0</v>
      </c>
      <c r="V203" s="508">
        <f>SUM(V204:V210)</f>
        <v>0</v>
      </c>
      <c r="W203" s="427">
        <f t="shared" ref="W203:W210" si="94">SUM(K203:V203)</f>
        <v>971106</v>
      </c>
    </row>
    <row r="204" spans="1:24">
      <c r="A204" s="30">
        <f t="shared" ref="A204:A210" si="95">A203</f>
        <v>2021011</v>
      </c>
      <c r="B204" s="27"/>
      <c r="C204" s="529"/>
      <c r="D204" s="523"/>
      <c r="E204" s="523"/>
      <c r="F204" s="523"/>
      <c r="G204" s="523"/>
      <c r="H204" s="523"/>
      <c r="I204" s="526"/>
      <c r="J204" s="181" t="s">
        <v>25</v>
      </c>
      <c r="K204" s="422">
        <v>266190</v>
      </c>
      <c r="L204" s="362">
        <v>266190</v>
      </c>
      <c r="M204" s="362">
        <v>266190</v>
      </c>
      <c r="N204" s="362"/>
      <c r="O204" s="362"/>
      <c r="P204" s="362"/>
      <c r="Q204" s="365"/>
      <c r="R204" s="365"/>
      <c r="S204" s="365"/>
      <c r="T204" s="365"/>
      <c r="U204" s="365"/>
      <c r="V204" s="510"/>
      <c r="W204" s="428">
        <f t="shared" si="94"/>
        <v>798570</v>
      </c>
      <c r="X204" s="58"/>
    </row>
    <row r="205" spans="1:24">
      <c r="A205" s="30">
        <f t="shared" si="95"/>
        <v>2021011</v>
      </c>
      <c r="B205" s="27"/>
      <c r="C205" s="529"/>
      <c r="D205" s="523"/>
      <c r="E205" s="523"/>
      <c r="F205" s="523"/>
      <c r="G205" s="523"/>
      <c r="H205" s="523"/>
      <c r="I205" s="526"/>
      <c r="J205" s="181" t="s">
        <v>37</v>
      </c>
      <c r="K205" s="429"/>
      <c r="L205" s="430"/>
      <c r="M205" s="430"/>
      <c r="N205" s="430"/>
      <c r="O205" s="430"/>
      <c r="P205" s="430"/>
      <c r="Q205" s="364"/>
      <c r="R205" s="364"/>
      <c r="S205" s="364"/>
      <c r="T205" s="364"/>
      <c r="U205" s="364"/>
      <c r="V205" s="509"/>
      <c r="W205" s="428">
        <f t="shared" si="94"/>
        <v>0</v>
      </c>
      <c r="X205" s="58"/>
    </row>
    <row r="206" spans="1:24">
      <c r="A206" s="30">
        <f t="shared" si="95"/>
        <v>2021011</v>
      </c>
      <c r="B206" s="27"/>
      <c r="C206" s="529"/>
      <c r="D206" s="523"/>
      <c r="E206" s="523"/>
      <c r="F206" s="523"/>
      <c r="G206" s="523"/>
      <c r="H206" s="523"/>
      <c r="I206" s="526"/>
      <c r="J206" s="181" t="s">
        <v>38</v>
      </c>
      <c r="K206" s="429">
        <v>22143</v>
      </c>
      <c r="L206" s="430">
        <v>25248</v>
      </c>
      <c r="M206" s="430">
        <v>0</v>
      </c>
      <c r="N206" s="430"/>
      <c r="O206" s="430"/>
      <c r="P206" s="430"/>
      <c r="Q206" s="364"/>
      <c r="R206" s="364"/>
      <c r="S206" s="364"/>
      <c r="T206" s="364"/>
      <c r="U206" s="364"/>
      <c r="V206" s="509"/>
      <c r="W206" s="428">
        <f t="shared" si="94"/>
        <v>47391</v>
      </c>
      <c r="X206" s="58"/>
    </row>
    <row r="207" spans="1:24">
      <c r="A207" s="30">
        <f t="shared" si="95"/>
        <v>2021011</v>
      </c>
      <c r="B207" s="27"/>
      <c r="C207" s="529"/>
      <c r="D207" s="523"/>
      <c r="E207" s="523"/>
      <c r="F207" s="523"/>
      <c r="G207" s="523"/>
      <c r="H207" s="523"/>
      <c r="I207" s="526"/>
      <c r="J207" s="181" t="s">
        <v>26</v>
      </c>
      <c r="K207" s="422">
        <v>13300</v>
      </c>
      <c r="L207" s="362">
        <v>13300</v>
      </c>
      <c r="M207" s="362">
        <v>13300</v>
      </c>
      <c r="N207" s="362"/>
      <c r="O207" s="362"/>
      <c r="P207" s="362"/>
      <c r="Q207" s="365"/>
      <c r="R207" s="365"/>
      <c r="S207" s="365"/>
      <c r="T207" s="365"/>
      <c r="U207" s="365"/>
      <c r="V207" s="510"/>
      <c r="W207" s="428">
        <f t="shared" si="94"/>
        <v>39900</v>
      </c>
      <c r="X207" s="58"/>
    </row>
    <row r="208" spans="1:24">
      <c r="A208" s="30">
        <f t="shared" si="95"/>
        <v>2021011</v>
      </c>
      <c r="B208" s="27"/>
      <c r="C208" s="529"/>
      <c r="D208" s="523"/>
      <c r="E208" s="523"/>
      <c r="F208" s="523"/>
      <c r="G208" s="523"/>
      <c r="H208" s="523"/>
      <c r="I208" s="526"/>
      <c r="J208" s="181" t="s">
        <v>27</v>
      </c>
      <c r="K208" s="422">
        <v>25620</v>
      </c>
      <c r="L208" s="362">
        <v>25620</v>
      </c>
      <c r="M208" s="362">
        <v>25620</v>
      </c>
      <c r="N208" s="362"/>
      <c r="O208" s="362"/>
      <c r="P208" s="362"/>
      <c r="Q208" s="365"/>
      <c r="R208" s="365"/>
      <c r="S208" s="365"/>
      <c r="T208" s="365"/>
      <c r="U208" s="365"/>
      <c r="V208" s="510"/>
      <c r="W208" s="428">
        <f t="shared" si="94"/>
        <v>76860</v>
      </c>
      <c r="X208" s="58"/>
    </row>
    <row r="209" spans="1:24">
      <c r="A209" s="30">
        <f t="shared" si="95"/>
        <v>2021011</v>
      </c>
      <c r="B209" s="27"/>
      <c r="C209" s="529"/>
      <c r="D209" s="523"/>
      <c r="E209" s="523"/>
      <c r="F209" s="523"/>
      <c r="G209" s="523"/>
      <c r="H209" s="523"/>
      <c r="I209" s="526"/>
      <c r="J209" s="181" t="s">
        <v>28</v>
      </c>
      <c r="K209" s="422">
        <v>1331</v>
      </c>
      <c r="L209" s="362">
        <v>1331</v>
      </c>
      <c r="M209" s="362">
        <v>1331</v>
      </c>
      <c r="N209" s="362"/>
      <c r="O209" s="362"/>
      <c r="P209" s="362"/>
      <c r="Q209" s="365"/>
      <c r="R209" s="365"/>
      <c r="S209" s="365"/>
      <c r="T209" s="365"/>
      <c r="U209" s="365"/>
      <c r="V209" s="510"/>
      <c r="W209" s="428">
        <f t="shared" si="94"/>
        <v>3993</v>
      </c>
      <c r="X209" s="58"/>
    </row>
    <row r="210" spans="1:24">
      <c r="A210" s="30">
        <f t="shared" si="95"/>
        <v>2021011</v>
      </c>
      <c r="B210" s="27"/>
      <c r="C210" s="530"/>
      <c r="D210" s="524"/>
      <c r="E210" s="524"/>
      <c r="F210" s="524"/>
      <c r="G210" s="524"/>
      <c r="H210" s="524"/>
      <c r="I210" s="527"/>
      <c r="J210" s="182" t="s">
        <v>29</v>
      </c>
      <c r="K210" s="423">
        <v>1464</v>
      </c>
      <c r="L210" s="363">
        <v>1464</v>
      </c>
      <c r="M210" s="363">
        <v>1464</v>
      </c>
      <c r="N210" s="363"/>
      <c r="O210" s="363"/>
      <c r="P210" s="363"/>
      <c r="Q210" s="366"/>
      <c r="R210" s="366"/>
      <c r="S210" s="366"/>
      <c r="T210" s="366"/>
      <c r="U210" s="366"/>
      <c r="V210" s="512"/>
      <c r="W210" s="431">
        <f t="shared" si="94"/>
        <v>4392</v>
      </c>
      <c r="X210" s="58"/>
    </row>
    <row r="211" spans="1:24">
      <c r="A211" s="13">
        <v>2023032</v>
      </c>
      <c r="B211" s="2"/>
      <c r="C211" s="528">
        <f t="shared" ref="C211:C243" si="96">C203+1</f>
        <v>27</v>
      </c>
      <c r="D211" s="549"/>
      <c r="E211" s="549"/>
      <c r="F211" s="549"/>
      <c r="G211" s="549"/>
      <c r="H211" s="549"/>
      <c r="I211" s="552" t="s">
        <v>31</v>
      </c>
      <c r="J211" s="186" t="s">
        <v>24</v>
      </c>
      <c r="K211" s="395">
        <f t="shared" ref="K211:T211" si="97">SUM(K212:K218)</f>
        <v>325161</v>
      </c>
      <c r="L211" s="347">
        <f t="shared" si="97"/>
        <v>316454</v>
      </c>
      <c r="M211" s="347">
        <f t="shared" si="97"/>
        <v>325937</v>
      </c>
      <c r="N211" s="347">
        <f t="shared" si="97"/>
        <v>336692</v>
      </c>
      <c r="O211" s="347">
        <f t="shared" si="97"/>
        <v>335618</v>
      </c>
      <c r="P211" s="347">
        <f t="shared" si="97"/>
        <v>273359</v>
      </c>
      <c r="Q211" s="347">
        <f t="shared" si="97"/>
        <v>303707</v>
      </c>
      <c r="R211" s="347">
        <f t="shared" si="97"/>
        <v>322996</v>
      </c>
      <c r="S211" s="347">
        <f t="shared" si="97"/>
        <v>337713</v>
      </c>
      <c r="T211" s="347">
        <f t="shared" si="97"/>
        <v>297354</v>
      </c>
      <c r="U211" s="347">
        <f>SUM(U212:U218)</f>
        <v>266458</v>
      </c>
      <c r="V211" s="508">
        <f>SUM(V212:V218)</f>
        <v>262264</v>
      </c>
      <c r="W211" s="86">
        <f t="shared" ref="W211:W226" si="98">SUM(K211:V211)</f>
        <v>3703713</v>
      </c>
    </row>
    <row r="212" spans="1:24">
      <c r="A212" s="30">
        <f t="shared" ref="A212" si="99">A211</f>
        <v>2023032</v>
      </c>
      <c r="B212" s="27"/>
      <c r="C212" s="529"/>
      <c r="D212" s="550"/>
      <c r="E212" s="550"/>
      <c r="F212" s="550"/>
      <c r="G212" s="550"/>
      <c r="H212" s="550"/>
      <c r="I212" s="553"/>
      <c r="J212" s="181" t="s">
        <v>25</v>
      </c>
      <c r="K212" s="396">
        <v>258500</v>
      </c>
      <c r="L212" s="365">
        <v>258500</v>
      </c>
      <c r="M212" s="365">
        <v>258500</v>
      </c>
      <c r="N212" s="365">
        <v>258500</v>
      </c>
      <c r="O212" s="365">
        <v>258500</v>
      </c>
      <c r="P212" s="365">
        <v>230540</v>
      </c>
      <c r="Q212" s="365">
        <v>252559</v>
      </c>
      <c r="R212" s="365">
        <v>258500</v>
      </c>
      <c r="S212" s="365">
        <v>258500</v>
      </c>
      <c r="T212" s="365">
        <v>258500</v>
      </c>
      <c r="U212" s="365">
        <v>227744</v>
      </c>
      <c r="V212" s="510">
        <v>223550</v>
      </c>
      <c r="W212" s="87">
        <f t="shared" si="98"/>
        <v>3002393</v>
      </c>
      <c r="X212" s="58"/>
    </row>
    <row r="213" spans="1:24">
      <c r="A213" s="30">
        <f t="shared" ref="A213" si="100">A212</f>
        <v>2023032</v>
      </c>
      <c r="B213" s="27"/>
      <c r="C213" s="529"/>
      <c r="D213" s="550"/>
      <c r="E213" s="550"/>
      <c r="F213" s="550"/>
      <c r="G213" s="550"/>
      <c r="H213" s="550"/>
      <c r="I213" s="553"/>
      <c r="J213" s="181" t="s">
        <v>37</v>
      </c>
      <c r="K213" s="403">
        <v>0</v>
      </c>
      <c r="L213" s="364">
        <v>0</v>
      </c>
      <c r="M213" s="364">
        <v>5000</v>
      </c>
      <c r="N213" s="364">
        <v>10000</v>
      </c>
      <c r="O213" s="364">
        <v>12500</v>
      </c>
      <c r="P213" s="364">
        <v>2500</v>
      </c>
      <c r="Q213" s="364">
        <v>5000</v>
      </c>
      <c r="R213" s="364">
        <v>10000</v>
      </c>
      <c r="S213" s="364">
        <v>12000</v>
      </c>
      <c r="T213" s="364">
        <v>0</v>
      </c>
      <c r="U213" s="364">
        <v>0</v>
      </c>
      <c r="V213" s="509" t="s">
        <v>114</v>
      </c>
      <c r="W213" s="87">
        <f t="shared" si="98"/>
        <v>57000</v>
      </c>
      <c r="X213" s="58"/>
    </row>
    <row r="214" spans="1:24">
      <c r="A214" s="30">
        <f t="shared" ref="A214" si="101">A213</f>
        <v>2023032</v>
      </c>
      <c r="B214" s="27"/>
      <c r="C214" s="529"/>
      <c r="D214" s="550"/>
      <c r="E214" s="550"/>
      <c r="F214" s="550"/>
      <c r="G214" s="550"/>
      <c r="H214" s="550"/>
      <c r="I214" s="553"/>
      <c r="J214" s="181" t="s">
        <v>38</v>
      </c>
      <c r="K214" s="403">
        <v>30587</v>
      </c>
      <c r="L214" s="364">
        <v>21880</v>
      </c>
      <c r="M214" s="364">
        <v>26311</v>
      </c>
      <c r="N214" s="364">
        <v>32013</v>
      </c>
      <c r="O214" s="364">
        <v>28413</v>
      </c>
      <c r="P214" s="364">
        <v>1732</v>
      </c>
      <c r="Q214" s="364">
        <v>7228</v>
      </c>
      <c r="R214" s="364">
        <v>15537</v>
      </c>
      <c r="S214" s="364">
        <v>28233</v>
      </c>
      <c r="T214" s="364">
        <v>0</v>
      </c>
      <c r="U214" s="364" t="s">
        <v>114</v>
      </c>
      <c r="V214" s="509" t="s">
        <v>114</v>
      </c>
      <c r="W214" s="87">
        <f t="shared" si="98"/>
        <v>191934</v>
      </c>
      <c r="X214" s="58"/>
    </row>
    <row r="215" spans="1:24">
      <c r="A215" s="30">
        <f t="shared" ref="A215" si="102">A214</f>
        <v>2023032</v>
      </c>
      <c r="B215" s="27"/>
      <c r="C215" s="529"/>
      <c r="D215" s="550"/>
      <c r="E215" s="550"/>
      <c r="F215" s="550"/>
      <c r="G215" s="550"/>
      <c r="H215" s="550"/>
      <c r="I215" s="553"/>
      <c r="J215" s="181" t="s">
        <v>26</v>
      </c>
      <c r="K215" s="396">
        <v>11400</v>
      </c>
      <c r="L215" s="365">
        <v>11400</v>
      </c>
      <c r="M215" s="365">
        <v>11400</v>
      </c>
      <c r="N215" s="365">
        <v>11400</v>
      </c>
      <c r="O215" s="365">
        <v>11400</v>
      </c>
      <c r="P215" s="365">
        <v>12350</v>
      </c>
      <c r="Q215" s="365">
        <v>12350</v>
      </c>
      <c r="R215" s="365">
        <v>12350</v>
      </c>
      <c r="S215" s="365">
        <v>12350</v>
      </c>
      <c r="T215" s="365">
        <v>12350</v>
      </c>
      <c r="U215" s="365">
        <v>12350</v>
      </c>
      <c r="V215" s="510">
        <v>12350</v>
      </c>
      <c r="W215" s="87">
        <f t="shared" si="98"/>
        <v>143450</v>
      </c>
      <c r="X215" s="58"/>
    </row>
    <row r="216" spans="1:24">
      <c r="A216" s="30">
        <f t="shared" ref="A216" si="103">A215</f>
        <v>2023032</v>
      </c>
      <c r="B216" s="27"/>
      <c r="C216" s="529"/>
      <c r="D216" s="550"/>
      <c r="E216" s="550"/>
      <c r="F216" s="550"/>
      <c r="G216" s="550"/>
      <c r="H216" s="550"/>
      <c r="I216" s="553"/>
      <c r="J216" s="181" t="s">
        <v>27</v>
      </c>
      <c r="K216" s="396">
        <v>21960</v>
      </c>
      <c r="L216" s="365">
        <v>21960</v>
      </c>
      <c r="M216" s="365">
        <v>21960</v>
      </c>
      <c r="N216" s="365">
        <v>21960</v>
      </c>
      <c r="O216" s="365">
        <v>21960</v>
      </c>
      <c r="P216" s="365">
        <v>23790</v>
      </c>
      <c r="Q216" s="365">
        <v>23790</v>
      </c>
      <c r="R216" s="365">
        <v>23790</v>
      </c>
      <c r="S216" s="365">
        <v>23790</v>
      </c>
      <c r="T216" s="365">
        <v>23790</v>
      </c>
      <c r="U216" s="365">
        <v>23790</v>
      </c>
      <c r="V216" s="510">
        <v>23790</v>
      </c>
      <c r="W216" s="87">
        <f t="shared" si="98"/>
        <v>276330</v>
      </c>
      <c r="X216" s="58"/>
    </row>
    <row r="217" spans="1:24">
      <c r="A217" s="30">
        <f t="shared" ref="A217" si="104">A216</f>
        <v>2023032</v>
      </c>
      <c r="B217" s="27"/>
      <c r="C217" s="529"/>
      <c r="D217" s="550"/>
      <c r="E217" s="550"/>
      <c r="F217" s="550"/>
      <c r="G217" s="550"/>
      <c r="H217" s="550"/>
      <c r="I217" s="553"/>
      <c r="J217" s="181" t="s">
        <v>28</v>
      </c>
      <c r="K217" s="396">
        <v>1292</v>
      </c>
      <c r="L217" s="365">
        <v>1292</v>
      </c>
      <c r="M217" s="365">
        <v>1317</v>
      </c>
      <c r="N217" s="365">
        <v>1342</v>
      </c>
      <c r="O217" s="365">
        <v>1355</v>
      </c>
      <c r="P217" s="365">
        <v>1165</v>
      </c>
      <c r="Q217" s="365">
        <v>1324</v>
      </c>
      <c r="R217" s="365">
        <v>1342</v>
      </c>
      <c r="S217" s="365">
        <v>1352</v>
      </c>
      <c r="T217" s="365">
        <v>1292</v>
      </c>
      <c r="U217" s="365">
        <v>1226</v>
      </c>
      <c r="V217" s="510">
        <v>1226</v>
      </c>
      <c r="W217" s="87">
        <f t="shared" si="98"/>
        <v>15525</v>
      </c>
      <c r="X217" s="58"/>
    </row>
    <row r="218" spans="1:24">
      <c r="A218" s="30">
        <f t="shared" ref="A218" si="105">A217</f>
        <v>2023032</v>
      </c>
      <c r="B218" s="27"/>
      <c r="C218" s="530"/>
      <c r="D218" s="551"/>
      <c r="E218" s="551"/>
      <c r="F218" s="551"/>
      <c r="G218" s="551"/>
      <c r="H218" s="551"/>
      <c r="I218" s="554"/>
      <c r="J218" s="182" t="s">
        <v>29</v>
      </c>
      <c r="K218" s="397">
        <v>1422</v>
      </c>
      <c r="L218" s="366">
        <v>1422</v>
      </c>
      <c r="M218" s="366">
        <v>1449</v>
      </c>
      <c r="N218" s="366">
        <v>1477</v>
      </c>
      <c r="O218" s="366">
        <v>1490</v>
      </c>
      <c r="P218" s="366">
        <v>1282</v>
      </c>
      <c r="Q218" s="366">
        <v>1456</v>
      </c>
      <c r="R218" s="366">
        <v>1477</v>
      </c>
      <c r="S218" s="366">
        <v>1488</v>
      </c>
      <c r="T218" s="366">
        <v>1422</v>
      </c>
      <c r="U218" s="366">
        <v>1348</v>
      </c>
      <c r="V218" s="512">
        <v>1348</v>
      </c>
      <c r="W218" s="88">
        <f t="shared" si="98"/>
        <v>17081</v>
      </c>
      <c r="X218" s="58"/>
    </row>
    <row r="219" spans="1:24">
      <c r="A219" s="13">
        <v>2024020</v>
      </c>
      <c r="B219" s="2"/>
      <c r="C219" s="528">
        <f t="shared" si="96"/>
        <v>28</v>
      </c>
      <c r="D219" s="522"/>
      <c r="E219" s="522" t="s">
        <v>97</v>
      </c>
      <c r="F219" s="522"/>
      <c r="G219" s="522"/>
      <c r="H219" s="522"/>
      <c r="I219" s="525" t="s">
        <v>31</v>
      </c>
      <c r="J219" s="186" t="s">
        <v>24</v>
      </c>
      <c r="K219" s="420">
        <f t="shared" ref="K219:V219" si="106">SUM(K220:K226)</f>
        <v>300535</v>
      </c>
      <c r="L219" s="285">
        <f t="shared" si="106"/>
        <v>290632</v>
      </c>
      <c r="M219" s="285">
        <f t="shared" si="106"/>
        <v>282836</v>
      </c>
      <c r="N219" s="285">
        <f t="shared" si="106"/>
        <v>126390</v>
      </c>
      <c r="O219" s="285">
        <f t="shared" si="106"/>
        <v>0</v>
      </c>
      <c r="P219" s="285">
        <f t="shared" si="106"/>
        <v>0</v>
      </c>
      <c r="Q219" s="347">
        <f t="shared" si="106"/>
        <v>0</v>
      </c>
      <c r="R219" s="347">
        <f t="shared" si="106"/>
        <v>0</v>
      </c>
      <c r="S219" s="347">
        <f t="shared" si="106"/>
        <v>0</v>
      </c>
      <c r="T219" s="347">
        <f t="shared" si="106"/>
        <v>0</v>
      </c>
      <c r="U219" s="347">
        <f t="shared" si="106"/>
        <v>0</v>
      </c>
      <c r="V219" s="508">
        <f t="shared" si="106"/>
        <v>0</v>
      </c>
      <c r="W219" s="427">
        <f t="shared" si="98"/>
        <v>1000393</v>
      </c>
    </row>
    <row r="220" spans="1:24">
      <c r="A220" s="30">
        <f t="shared" ref="A220" si="107">A219</f>
        <v>2024020</v>
      </c>
      <c r="B220" s="27"/>
      <c r="C220" s="529"/>
      <c r="D220" s="523"/>
      <c r="E220" s="523"/>
      <c r="F220" s="523"/>
      <c r="G220" s="523"/>
      <c r="H220" s="523"/>
      <c r="I220" s="526"/>
      <c r="J220" s="181" t="s">
        <v>25</v>
      </c>
      <c r="K220" s="422">
        <v>245000</v>
      </c>
      <c r="L220" s="362">
        <v>236470</v>
      </c>
      <c r="M220" s="362">
        <v>229762</v>
      </c>
      <c r="N220" s="362">
        <v>89312</v>
      </c>
      <c r="O220" s="362"/>
      <c r="P220" s="362"/>
      <c r="Q220" s="365"/>
      <c r="R220" s="365"/>
      <c r="S220" s="365"/>
      <c r="T220" s="365"/>
      <c r="U220" s="365"/>
      <c r="V220" s="510"/>
      <c r="W220" s="428">
        <f t="shared" si="98"/>
        <v>800544</v>
      </c>
      <c r="X220" s="58"/>
    </row>
    <row r="221" spans="1:24">
      <c r="A221" s="30">
        <f t="shared" ref="A221" si="108">A220</f>
        <v>2024020</v>
      </c>
      <c r="B221" s="27"/>
      <c r="C221" s="529"/>
      <c r="D221" s="523"/>
      <c r="E221" s="523"/>
      <c r="F221" s="523"/>
      <c r="G221" s="523"/>
      <c r="H221" s="523"/>
      <c r="I221" s="526"/>
      <c r="J221" s="181" t="s">
        <v>37</v>
      </c>
      <c r="K221" s="429"/>
      <c r="L221" s="430"/>
      <c r="M221" s="430"/>
      <c r="N221" s="430"/>
      <c r="O221" s="430"/>
      <c r="P221" s="430"/>
      <c r="Q221" s="364"/>
      <c r="R221" s="364"/>
      <c r="S221" s="364"/>
      <c r="T221" s="364"/>
      <c r="U221" s="364"/>
      <c r="V221" s="509"/>
      <c r="W221" s="428">
        <f t="shared" si="98"/>
        <v>0</v>
      </c>
      <c r="X221" s="58"/>
    </row>
    <row r="222" spans="1:24">
      <c r="A222" s="30">
        <f t="shared" ref="A222" si="109">A221</f>
        <v>2024020</v>
      </c>
      <c r="B222" s="27"/>
      <c r="C222" s="529"/>
      <c r="D222" s="523"/>
      <c r="E222" s="523"/>
      <c r="F222" s="523"/>
      <c r="G222" s="523"/>
      <c r="H222" s="523"/>
      <c r="I222" s="526"/>
      <c r="J222" s="181" t="s">
        <v>38</v>
      </c>
      <c r="K222" s="429">
        <v>16823</v>
      </c>
      <c r="L222" s="430">
        <v>15539</v>
      </c>
      <c r="M222" s="430">
        <v>14521</v>
      </c>
      <c r="N222" s="430">
        <v>0</v>
      </c>
      <c r="O222" s="430"/>
      <c r="P222" s="430"/>
      <c r="Q222" s="364"/>
      <c r="R222" s="364"/>
      <c r="S222" s="364"/>
      <c r="T222" s="364"/>
      <c r="U222" s="364"/>
      <c r="V222" s="509"/>
      <c r="W222" s="428">
        <f t="shared" si="98"/>
        <v>46883</v>
      </c>
      <c r="X222" s="58"/>
    </row>
    <row r="223" spans="1:24">
      <c r="A223" s="30">
        <f t="shared" ref="A223" si="110">A222</f>
        <v>2024020</v>
      </c>
      <c r="B223" s="27"/>
      <c r="C223" s="529"/>
      <c r="D223" s="523"/>
      <c r="E223" s="523"/>
      <c r="F223" s="523"/>
      <c r="G223" s="523"/>
      <c r="H223" s="523"/>
      <c r="I223" s="526"/>
      <c r="J223" s="181" t="s">
        <v>26</v>
      </c>
      <c r="K223" s="422">
        <v>12350</v>
      </c>
      <c r="L223" s="362">
        <v>12350</v>
      </c>
      <c r="M223" s="362">
        <v>12350</v>
      </c>
      <c r="N223" s="362">
        <v>12350</v>
      </c>
      <c r="O223" s="362"/>
      <c r="P223" s="362"/>
      <c r="Q223" s="365"/>
      <c r="R223" s="365"/>
      <c r="S223" s="365"/>
      <c r="T223" s="365"/>
      <c r="U223" s="365"/>
      <c r="V223" s="510"/>
      <c r="W223" s="428">
        <f t="shared" si="98"/>
        <v>49400</v>
      </c>
      <c r="X223" s="58"/>
    </row>
    <row r="224" spans="1:24">
      <c r="A224" s="30">
        <f t="shared" ref="A224" si="111">A223</f>
        <v>2024020</v>
      </c>
      <c r="B224" s="27"/>
      <c r="C224" s="529"/>
      <c r="D224" s="523"/>
      <c r="E224" s="523"/>
      <c r="F224" s="523"/>
      <c r="G224" s="523"/>
      <c r="H224" s="523"/>
      <c r="I224" s="526"/>
      <c r="J224" s="181" t="s">
        <v>27</v>
      </c>
      <c r="K224" s="422">
        <v>23790</v>
      </c>
      <c r="L224" s="362">
        <v>23790</v>
      </c>
      <c r="M224" s="362">
        <v>23790</v>
      </c>
      <c r="N224" s="362">
        <v>23790</v>
      </c>
      <c r="O224" s="362"/>
      <c r="P224" s="362"/>
      <c r="Q224" s="365"/>
      <c r="R224" s="365"/>
      <c r="S224" s="365"/>
      <c r="T224" s="365"/>
      <c r="U224" s="365"/>
      <c r="V224" s="510"/>
      <c r="W224" s="428">
        <f t="shared" si="98"/>
        <v>95160</v>
      </c>
      <c r="X224" s="58"/>
    </row>
    <row r="225" spans="1:24">
      <c r="A225" s="30">
        <f t="shared" ref="A225" si="112">A224</f>
        <v>2024020</v>
      </c>
      <c r="B225" s="27"/>
      <c r="C225" s="529"/>
      <c r="D225" s="523"/>
      <c r="E225" s="523"/>
      <c r="F225" s="523"/>
      <c r="G225" s="523"/>
      <c r="H225" s="523"/>
      <c r="I225" s="526"/>
      <c r="J225" s="181" t="s">
        <v>28</v>
      </c>
      <c r="K225" s="422">
        <v>1225</v>
      </c>
      <c r="L225" s="362">
        <v>1182</v>
      </c>
      <c r="M225" s="362">
        <v>1149</v>
      </c>
      <c r="N225" s="362">
        <v>447</v>
      </c>
      <c r="O225" s="362"/>
      <c r="P225" s="362"/>
      <c r="Q225" s="365"/>
      <c r="R225" s="365"/>
      <c r="S225" s="365"/>
      <c r="T225" s="365"/>
      <c r="U225" s="365"/>
      <c r="V225" s="510"/>
      <c r="W225" s="428">
        <f t="shared" si="98"/>
        <v>4003</v>
      </c>
      <c r="X225" s="58"/>
    </row>
    <row r="226" spans="1:24">
      <c r="A226" s="30">
        <f t="shared" ref="A226" si="113">A225</f>
        <v>2024020</v>
      </c>
      <c r="B226" s="27"/>
      <c r="C226" s="530"/>
      <c r="D226" s="524"/>
      <c r="E226" s="524"/>
      <c r="F226" s="524"/>
      <c r="G226" s="524"/>
      <c r="H226" s="524"/>
      <c r="I226" s="527"/>
      <c r="J226" s="182" t="s">
        <v>29</v>
      </c>
      <c r="K226" s="423">
        <v>1347</v>
      </c>
      <c r="L226" s="363">
        <v>1301</v>
      </c>
      <c r="M226" s="363">
        <v>1264</v>
      </c>
      <c r="N226" s="363">
        <v>491</v>
      </c>
      <c r="O226" s="363"/>
      <c r="P226" s="363"/>
      <c r="Q226" s="366"/>
      <c r="R226" s="366"/>
      <c r="S226" s="366"/>
      <c r="T226" s="366"/>
      <c r="U226" s="366"/>
      <c r="V226" s="512"/>
      <c r="W226" s="431">
        <f t="shared" si="98"/>
        <v>4403</v>
      </c>
      <c r="X226" s="58"/>
    </row>
    <row r="227" spans="1:24">
      <c r="A227" s="392">
        <v>2025002</v>
      </c>
      <c r="B227" s="2"/>
      <c r="C227" s="528">
        <f t="shared" si="96"/>
        <v>29</v>
      </c>
      <c r="D227" s="549"/>
      <c r="E227" s="549"/>
      <c r="F227" s="549"/>
      <c r="G227" s="549"/>
      <c r="H227" s="549"/>
      <c r="I227" s="552" t="s">
        <v>31</v>
      </c>
      <c r="J227" s="186" t="s">
        <v>24</v>
      </c>
      <c r="K227" s="395">
        <f t="shared" ref="K227:V227" si="114">SUM(K228:K234)</f>
        <v>0</v>
      </c>
      <c r="L227" s="347">
        <f t="shared" si="114"/>
        <v>0</v>
      </c>
      <c r="M227" s="347">
        <f t="shared" si="114"/>
        <v>298113</v>
      </c>
      <c r="N227" s="347">
        <f t="shared" si="114"/>
        <v>298563</v>
      </c>
      <c r="O227" s="347">
        <f t="shared" si="114"/>
        <v>295660</v>
      </c>
      <c r="P227" s="347">
        <f t="shared" si="114"/>
        <v>298464</v>
      </c>
      <c r="Q227" s="347">
        <f t="shared" si="114"/>
        <v>299915</v>
      </c>
      <c r="R227" s="347">
        <f t="shared" si="114"/>
        <v>299522</v>
      </c>
      <c r="S227" s="347">
        <f t="shared" si="114"/>
        <v>305571</v>
      </c>
      <c r="T227" s="347">
        <f t="shared" si="114"/>
        <v>304073</v>
      </c>
      <c r="U227" s="347">
        <f t="shared" si="114"/>
        <v>281494</v>
      </c>
      <c r="V227" s="508">
        <f t="shared" si="114"/>
        <v>246319</v>
      </c>
      <c r="W227" s="86">
        <f>SUM(K227:V227)</f>
        <v>2927694</v>
      </c>
    </row>
    <row r="228" spans="1:24">
      <c r="A228" s="30">
        <f t="shared" ref="A228" si="115">A227</f>
        <v>2025002</v>
      </c>
      <c r="B228" s="27"/>
      <c r="C228" s="529"/>
      <c r="D228" s="550"/>
      <c r="E228" s="550"/>
      <c r="F228" s="550"/>
      <c r="G228" s="550"/>
      <c r="H228" s="550"/>
      <c r="I228" s="553"/>
      <c r="J228" s="181" t="s">
        <v>25</v>
      </c>
      <c r="K228" s="396"/>
      <c r="L228" s="365"/>
      <c r="M228" s="365">
        <v>240000</v>
      </c>
      <c r="N228" s="365">
        <v>240000</v>
      </c>
      <c r="O228" s="365">
        <v>240000</v>
      </c>
      <c r="P228" s="365">
        <v>240000</v>
      </c>
      <c r="Q228" s="365">
        <v>240000</v>
      </c>
      <c r="R228" s="365">
        <v>240000</v>
      </c>
      <c r="S228" s="365">
        <v>240000</v>
      </c>
      <c r="T228" s="365">
        <v>240000</v>
      </c>
      <c r="U228" s="365">
        <v>232942</v>
      </c>
      <c r="V228" s="365">
        <v>207550</v>
      </c>
      <c r="W228" s="87">
        <f t="shared" ref="W228:W234" si="116">SUM(K228:V228)</f>
        <v>2360492</v>
      </c>
      <c r="X228" s="58"/>
    </row>
    <row r="229" spans="1:24">
      <c r="A229" s="30">
        <f t="shared" ref="A229" si="117">A228</f>
        <v>2025002</v>
      </c>
      <c r="B229" s="27"/>
      <c r="C229" s="529"/>
      <c r="D229" s="550"/>
      <c r="E229" s="550"/>
      <c r="F229" s="550"/>
      <c r="G229" s="550"/>
      <c r="H229" s="550"/>
      <c r="I229" s="553"/>
      <c r="J229" s="181" t="s">
        <v>37</v>
      </c>
      <c r="K229" s="403"/>
      <c r="L229" s="364"/>
      <c r="M229" s="364"/>
      <c r="N229" s="364"/>
      <c r="O229" s="364"/>
      <c r="P229" s="364"/>
      <c r="Q229" s="364"/>
      <c r="R229" s="364"/>
      <c r="S229" s="364"/>
      <c r="T229" s="364"/>
      <c r="U229" s="364"/>
      <c r="V229" s="364" t="s">
        <v>114</v>
      </c>
      <c r="W229" s="87">
        <f t="shared" si="116"/>
        <v>0</v>
      </c>
      <c r="X229" s="58"/>
    </row>
    <row r="230" spans="1:24">
      <c r="A230" s="30">
        <f t="shared" ref="A230" si="118">A229</f>
        <v>2025002</v>
      </c>
      <c r="B230" s="27"/>
      <c r="C230" s="529"/>
      <c r="D230" s="550"/>
      <c r="E230" s="550"/>
      <c r="F230" s="550"/>
      <c r="G230" s="550"/>
      <c r="H230" s="550"/>
      <c r="I230" s="553"/>
      <c r="J230" s="181" t="s">
        <v>38</v>
      </c>
      <c r="K230" s="403"/>
      <c r="L230" s="364"/>
      <c r="M230" s="364">
        <v>19453</v>
      </c>
      <c r="N230" s="364">
        <v>19903</v>
      </c>
      <c r="O230" s="364">
        <v>17000</v>
      </c>
      <c r="P230" s="364">
        <v>19804</v>
      </c>
      <c r="Q230" s="364">
        <v>21034</v>
      </c>
      <c r="R230" s="364">
        <v>20862</v>
      </c>
      <c r="S230" s="364">
        <v>26911</v>
      </c>
      <c r="T230" s="364">
        <v>25413</v>
      </c>
      <c r="U230" s="364">
        <v>9783</v>
      </c>
      <c r="V230" s="364" t="s">
        <v>114</v>
      </c>
      <c r="W230" s="87">
        <f t="shared" si="116"/>
        <v>180163</v>
      </c>
      <c r="X230" s="58"/>
    </row>
    <row r="231" spans="1:24">
      <c r="A231" s="30">
        <f t="shared" ref="A231" si="119">A230</f>
        <v>2025002</v>
      </c>
      <c r="B231" s="27"/>
      <c r="C231" s="529"/>
      <c r="D231" s="550"/>
      <c r="E231" s="550"/>
      <c r="F231" s="550"/>
      <c r="G231" s="550"/>
      <c r="H231" s="550"/>
      <c r="I231" s="553"/>
      <c r="J231" s="181" t="s">
        <v>26</v>
      </c>
      <c r="K231" s="396"/>
      <c r="L231" s="365"/>
      <c r="M231" s="365">
        <v>12350</v>
      </c>
      <c r="N231" s="365">
        <v>12350</v>
      </c>
      <c r="O231" s="365">
        <v>12350</v>
      </c>
      <c r="P231" s="365">
        <v>12350</v>
      </c>
      <c r="Q231" s="365">
        <v>12350</v>
      </c>
      <c r="R231" s="365">
        <v>12350</v>
      </c>
      <c r="S231" s="365">
        <v>12350</v>
      </c>
      <c r="T231" s="365">
        <v>12350</v>
      </c>
      <c r="U231" s="365">
        <v>12350</v>
      </c>
      <c r="V231" s="365">
        <v>12350</v>
      </c>
      <c r="W231" s="87">
        <f t="shared" si="116"/>
        <v>123500</v>
      </c>
      <c r="X231" s="58"/>
    </row>
    <row r="232" spans="1:24">
      <c r="A232" s="30">
        <f t="shared" ref="A232" si="120">A231</f>
        <v>2025002</v>
      </c>
      <c r="B232" s="27"/>
      <c r="C232" s="529"/>
      <c r="D232" s="550"/>
      <c r="E232" s="550"/>
      <c r="F232" s="550"/>
      <c r="G232" s="550"/>
      <c r="H232" s="550"/>
      <c r="I232" s="553"/>
      <c r="J232" s="181" t="s">
        <v>27</v>
      </c>
      <c r="K232" s="396"/>
      <c r="L232" s="365"/>
      <c r="M232" s="365">
        <v>23790</v>
      </c>
      <c r="N232" s="365">
        <v>23790</v>
      </c>
      <c r="O232" s="365">
        <v>23790</v>
      </c>
      <c r="P232" s="365">
        <v>23790</v>
      </c>
      <c r="Q232" s="365">
        <v>23790</v>
      </c>
      <c r="R232" s="365">
        <v>23790</v>
      </c>
      <c r="S232" s="365">
        <v>23790</v>
      </c>
      <c r="T232" s="365">
        <v>23790</v>
      </c>
      <c r="U232" s="365">
        <v>23790</v>
      </c>
      <c r="V232" s="365">
        <v>23790</v>
      </c>
      <c r="W232" s="87">
        <f t="shared" si="116"/>
        <v>237900</v>
      </c>
      <c r="X232" s="58"/>
    </row>
    <row r="233" spans="1:24">
      <c r="A233" s="30">
        <f t="shared" ref="A233" si="121">A232</f>
        <v>2025002</v>
      </c>
      <c r="B233" s="27"/>
      <c r="C233" s="529"/>
      <c r="D233" s="550"/>
      <c r="E233" s="550"/>
      <c r="F233" s="550"/>
      <c r="G233" s="550"/>
      <c r="H233" s="550"/>
      <c r="I233" s="553"/>
      <c r="J233" s="181" t="s">
        <v>28</v>
      </c>
      <c r="K233" s="396"/>
      <c r="L233" s="365"/>
      <c r="M233" s="365">
        <v>1200</v>
      </c>
      <c r="N233" s="365">
        <v>1200</v>
      </c>
      <c r="O233" s="365">
        <v>1200</v>
      </c>
      <c r="P233" s="365">
        <v>1200</v>
      </c>
      <c r="Q233" s="365">
        <v>1305</v>
      </c>
      <c r="R233" s="365">
        <v>1200</v>
      </c>
      <c r="S233" s="365">
        <v>1200</v>
      </c>
      <c r="T233" s="365">
        <v>1200</v>
      </c>
      <c r="U233" s="365">
        <v>1252</v>
      </c>
      <c r="V233" s="365">
        <v>1252</v>
      </c>
      <c r="W233" s="87">
        <f t="shared" si="116"/>
        <v>12209</v>
      </c>
      <c r="X233" s="58"/>
    </row>
    <row r="234" spans="1:24">
      <c r="A234" s="30">
        <f t="shared" ref="A234" si="122">A233</f>
        <v>2025002</v>
      </c>
      <c r="B234" s="27"/>
      <c r="C234" s="530"/>
      <c r="D234" s="551"/>
      <c r="E234" s="551"/>
      <c r="F234" s="551"/>
      <c r="G234" s="551"/>
      <c r="H234" s="551"/>
      <c r="I234" s="554"/>
      <c r="J234" s="182" t="s">
        <v>29</v>
      </c>
      <c r="K234" s="397"/>
      <c r="L234" s="366"/>
      <c r="M234" s="366">
        <v>1320</v>
      </c>
      <c r="N234" s="366">
        <v>1320</v>
      </c>
      <c r="O234" s="366">
        <v>1320</v>
      </c>
      <c r="P234" s="366">
        <v>1320</v>
      </c>
      <c r="Q234" s="366">
        <v>1436</v>
      </c>
      <c r="R234" s="366">
        <v>1320</v>
      </c>
      <c r="S234" s="366">
        <v>1320</v>
      </c>
      <c r="T234" s="366">
        <v>1320</v>
      </c>
      <c r="U234" s="366">
        <v>1377</v>
      </c>
      <c r="V234" s="366">
        <v>1377</v>
      </c>
      <c r="W234" s="88">
        <f t="shared" si="116"/>
        <v>13430</v>
      </c>
      <c r="X234" s="58"/>
    </row>
    <row r="235" spans="1:24">
      <c r="A235" s="392">
        <v>2025003</v>
      </c>
      <c r="B235" s="2"/>
      <c r="C235" s="528">
        <f t="shared" si="96"/>
        <v>30</v>
      </c>
      <c r="D235" s="549"/>
      <c r="E235" s="549"/>
      <c r="F235" s="549"/>
      <c r="G235" s="549"/>
      <c r="H235" s="549"/>
      <c r="I235" s="552" t="s">
        <v>31</v>
      </c>
      <c r="J235" s="186" t="s">
        <v>24</v>
      </c>
      <c r="K235" s="395">
        <f t="shared" ref="K235:V235" si="123">SUM(K236:K242)</f>
        <v>0</v>
      </c>
      <c r="L235" s="347">
        <f t="shared" si="123"/>
        <v>0</v>
      </c>
      <c r="M235" s="347">
        <f t="shared" si="123"/>
        <v>0</v>
      </c>
      <c r="N235" s="347">
        <f t="shared" si="123"/>
        <v>304529</v>
      </c>
      <c r="O235" s="347">
        <f t="shared" si="123"/>
        <v>299446</v>
      </c>
      <c r="P235" s="347">
        <f t="shared" si="123"/>
        <v>304326</v>
      </c>
      <c r="Q235" s="347">
        <f t="shared" si="123"/>
        <v>305964</v>
      </c>
      <c r="R235" s="347">
        <f t="shared" si="123"/>
        <v>302590</v>
      </c>
      <c r="S235" s="347">
        <f t="shared" si="123"/>
        <v>302088</v>
      </c>
      <c r="T235" s="347">
        <f t="shared" si="123"/>
        <v>293884</v>
      </c>
      <c r="U235" s="347">
        <f t="shared" si="123"/>
        <v>286668</v>
      </c>
      <c r="V235" s="508">
        <f t="shared" si="123"/>
        <v>246287</v>
      </c>
      <c r="W235" s="86">
        <f>SUM(K235:V235)</f>
        <v>2645782</v>
      </c>
    </row>
    <row r="236" spans="1:24">
      <c r="A236" s="30">
        <f t="shared" ref="A236" si="124">A235</f>
        <v>2025003</v>
      </c>
      <c r="B236" s="27"/>
      <c r="C236" s="529"/>
      <c r="D236" s="550"/>
      <c r="E236" s="550"/>
      <c r="F236" s="550"/>
      <c r="G236" s="550"/>
      <c r="H236" s="550"/>
      <c r="I236" s="553"/>
      <c r="J236" s="181" t="s">
        <v>25</v>
      </c>
      <c r="K236" s="396"/>
      <c r="L236" s="365"/>
      <c r="M236" s="365"/>
      <c r="N236" s="365">
        <v>240000</v>
      </c>
      <c r="O236" s="365">
        <v>240000</v>
      </c>
      <c r="P236" s="365">
        <v>240000</v>
      </c>
      <c r="Q236" s="365">
        <v>240000</v>
      </c>
      <c r="R236" s="365">
        <v>240000</v>
      </c>
      <c r="S236" s="365">
        <v>240000</v>
      </c>
      <c r="T236" s="365">
        <v>240400</v>
      </c>
      <c r="U236" s="365">
        <v>229940</v>
      </c>
      <c r="V236" s="365">
        <v>207550</v>
      </c>
      <c r="W236" s="87">
        <f t="shared" ref="W236:W242" si="125">SUM(K236:V236)</f>
        <v>2117890</v>
      </c>
      <c r="X236" s="58"/>
    </row>
    <row r="237" spans="1:24">
      <c r="A237" s="30">
        <f t="shared" ref="A237" si="126">A236</f>
        <v>2025003</v>
      </c>
      <c r="B237" s="27"/>
      <c r="C237" s="529"/>
      <c r="D237" s="550"/>
      <c r="E237" s="550"/>
      <c r="F237" s="550"/>
      <c r="G237" s="550"/>
      <c r="H237" s="550"/>
      <c r="I237" s="553"/>
      <c r="J237" s="181" t="s">
        <v>37</v>
      </c>
      <c r="K237" s="403"/>
      <c r="L237" s="364"/>
      <c r="M237" s="364"/>
      <c r="N237" s="364"/>
      <c r="O237" s="364"/>
      <c r="P237" s="364"/>
      <c r="Q237" s="364"/>
      <c r="R237" s="364"/>
      <c r="S237" s="364"/>
      <c r="T237" s="364"/>
      <c r="U237" s="364"/>
      <c r="V237" s="364" t="s">
        <v>114</v>
      </c>
      <c r="W237" s="87">
        <f t="shared" si="125"/>
        <v>0</v>
      </c>
      <c r="X237" s="58"/>
    </row>
    <row r="238" spans="1:24">
      <c r="A238" s="30">
        <f t="shared" ref="A238" si="127">A237</f>
        <v>2025003</v>
      </c>
      <c r="B238" s="27"/>
      <c r="C238" s="529"/>
      <c r="D238" s="550"/>
      <c r="E238" s="550"/>
      <c r="F238" s="550"/>
      <c r="G238" s="550"/>
      <c r="H238" s="550"/>
      <c r="I238" s="553"/>
      <c r="J238" s="181" t="s">
        <v>38</v>
      </c>
      <c r="K238" s="403"/>
      <c r="L238" s="364"/>
      <c r="M238" s="364"/>
      <c r="N238" s="364">
        <v>25869</v>
      </c>
      <c r="O238" s="364">
        <v>20786</v>
      </c>
      <c r="P238" s="364">
        <v>25666</v>
      </c>
      <c r="Q238" s="364">
        <v>27020</v>
      </c>
      <c r="R238" s="364">
        <v>23930</v>
      </c>
      <c r="S238" s="364">
        <v>23428</v>
      </c>
      <c r="T238" s="364">
        <v>14820</v>
      </c>
      <c r="U238" s="364">
        <v>17991</v>
      </c>
      <c r="V238" s="364" t="s">
        <v>114</v>
      </c>
      <c r="W238" s="87">
        <f t="shared" si="125"/>
        <v>179510</v>
      </c>
      <c r="X238" s="58"/>
    </row>
    <row r="239" spans="1:24">
      <c r="A239" s="30">
        <f t="shared" ref="A239" si="128">A238</f>
        <v>2025003</v>
      </c>
      <c r="B239" s="27"/>
      <c r="C239" s="529"/>
      <c r="D239" s="550"/>
      <c r="E239" s="550"/>
      <c r="F239" s="550"/>
      <c r="G239" s="550"/>
      <c r="H239" s="550"/>
      <c r="I239" s="553"/>
      <c r="J239" s="181" t="s">
        <v>26</v>
      </c>
      <c r="K239" s="396"/>
      <c r="L239" s="365"/>
      <c r="M239" s="365"/>
      <c r="N239" s="365">
        <v>12350</v>
      </c>
      <c r="O239" s="365">
        <v>12350</v>
      </c>
      <c r="P239" s="365">
        <v>12350</v>
      </c>
      <c r="Q239" s="365">
        <v>12350</v>
      </c>
      <c r="R239" s="365">
        <v>12350</v>
      </c>
      <c r="S239" s="365">
        <v>12350</v>
      </c>
      <c r="T239" s="365">
        <v>12350</v>
      </c>
      <c r="U239" s="365">
        <v>12350</v>
      </c>
      <c r="V239" s="365">
        <v>12350</v>
      </c>
      <c r="W239" s="87">
        <f t="shared" si="125"/>
        <v>111150</v>
      </c>
      <c r="X239" s="58"/>
    </row>
    <row r="240" spans="1:24">
      <c r="A240" s="30">
        <f t="shared" ref="A240" si="129">A239</f>
        <v>2025003</v>
      </c>
      <c r="B240" s="27"/>
      <c r="C240" s="529"/>
      <c r="D240" s="550"/>
      <c r="E240" s="550"/>
      <c r="F240" s="550"/>
      <c r="G240" s="550"/>
      <c r="H240" s="550"/>
      <c r="I240" s="553"/>
      <c r="J240" s="181" t="s">
        <v>27</v>
      </c>
      <c r="K240" s="396"/>
      <c r="L240" s="365"/>
      <c r="M240" s="365"/>
      <c r="N240" s="365">
        <v>23790</v>
      </c>
      <c r="O240" s="365">
        <v>23790</v>
      </c>
      <c r="P240" s="365">
        <v>23790</v>
      </c>
      <c r="Q240" s="365">
        <v>23790</v>
      </c>
      <c r="R240" s="365">
        <v>23790</v>
      </c>
      <c r="S240" s="365">
        <v>23790</v>
      </c>
      <c r="T240" s="365">
        <v>23790</v>
      </c>
      <c r="U240" s="365">
        <v>23790</v>
      </c>
      <c r="V240" s="365">
        <v>23790</v>
      </c>
      <c r="W240" s="87">
        <f t="shared" si="125"/>
        <v>214110</v>
      </c>
      <c r="X240" s="58"/>
    </row>
    <row r="241" spans="1:24">
      <c r="A241" s="30">
        <f t="shared" ref="A241" si="130">A240</f>
        <v>2025003</v>
      </c>
      <c r="B241" s="27"/>
      <c r="C241" s="529"/>
      <c r="D241" s="550"/>
      <c r="E241" s="550"/>
      <c r="F241" s="550"/>
      <c r="G241" s="550"/>
      <c r="H241" s="550"/>
      <c r="I241" s="553"/>
      <c r="J241" s="181" t="s">
        <v>28</v>
      </c>
      <c r="K241" s="396"/>
      <c r="L241" s="365"/>
      <c r="M241" s="365"/>
      <c r="N241" s="365">
        <v>1200</v>
      </c>
      <c r="O241" s="365">
        <v>1200</v>
      </c>
      <c r="P241" s="365">
        <v>1200</v>
      </c>
      <c r="Q241" s="365">
        <v>1335</v>
      </c>
      <c r="R241" s="365">
        <v>1200</v>
      </c>
      <c r="S241" s="365">
        <v>1200</v>
      </c>
      <c r="T241" s="365">
        <v>1202</v>
      </c>
      <c r="U241" s="365">
        <v>1237</v>
      </c>
      <c r="V241" s="365">
        <v>1237</v>
      </c>
      <c r="W241" s="87">
        <f t="shared" si="125"/>
        <v>11011</v>
      </c>
      <c r="X241" s="58"/>
    </row>
    <row r="242" spans="1:24">
      <c r="A242" s="30">
        <f t="shared" ref="A242" si="131">A241</f>
        <v>2025003</v>
      </c>
      <c r="B242" s="27"/>
      <c r="C242" s="530"/>
      <c r="D242" s="551"/>
      <c r="E242" s="551"/>
      <c r="F242" s="551"/>
      <c r="G242" s="551"/>
      <c r="H242" s="551"/>
      <c r="I242" s="554"/>
      <c r="J242" s="182" t="s">
        <v>29</v>
      </c>
      <c r="K242" s="397"/>
      <c r="L242" s="366"/>
      <c r="M242" s="366"/>
      <c r="N242" s="366">
        <v>1320</v>
      </c>
      <c r="O242" s="366">
        <v>1320</v>
      </c>
      <c r="P242" s="366">
        <v>1320</v>
      </c>
      <c r="Q242" s="366">
        <v>1469</v>
      </c>
      <c r="R242" s="366">
        <v>1320</v>
      </c>
      <c r="S242" s="366">
        <v>1320</v>
      </c>
      <c r="T242" s="366">
        <v>1322</v>
      </c>
      <c r="U242" s="366">
        <v>1360</v>
      </c>
      <c r="V242" s="366">
        <v>1360</v>
      </c>
      <c r="W242" s="88">
        <f t="shared" si="125"/>
        <v>12111</v>
      </c>
      <c r="X242" s="58"/>
    </row>
    <row r="243" spans="1:24">
      <c r="A243" s="392">
        <v>2025007</v>
      </c>
      <c r="B243" s="2"/>
      <c r="C243" s="528">
        <f t="shared" si="96"/>
        <v>31</v>
      </c>
      <c r="D243" s="522"/>
      <c r="E243" s="522" t="s">
        <v>97</v>
      </c>
      <c r="F243" s="522"/>
      <c r="G243" s="522"/>
      <c r="H243" s="522"/>
      <c r="I243" s="525" t="s">
        <v>31</v>
      </c>
      <c r="J243" s="186" t="s">
        <v>24</v>
      </c>
      <c r="K243" s="420">
        <f t="shared" ref="K243:V243" si="132">SUM(K244:K250)</f>
        <v>0</v>
      </c>
      <c r="L243" s="285">
        <f t="shared" si="132"/>
        <v>0</v>
      </c>
      <c r="M243" s="285">
        <f t="shared" si="132"/>
        <v>0</v>
      </c>
      <c r="N243" s="285">
        <f t="shared" si="132"/>
        <v>0</v>
      </c>
      <c r="O243" s="285">
        <f t="shared" si="132"/>
        <v>318886</v>
      </c>
      <c r="P243" s="285">
        <f t="shared" si="132"/>
        <v>314074</v>
      </c>
      <c r="Q243" s="285">
        <f t="shared" si="132"/>
        <v>0</v>
      </c>
      <c r="R243" s="285">
        <f t="shared" si="132"/>
        <v>0</v>
      </c>
      <c r="S243" s="285">
        <f t="shared" si="132"/>
        <v>0</v>
      </c>
      <c r="T243" s="347">
        <f t="shared" si="132"/>
        <v>0</v>
      </c>
      <c r="U243" s="347">
        <f t="shared" si="132"/>
        <v>0</v>
      </c>
      <c r="V243" s="508">
        <f t="shared" si="132"/>
        <v>0</v>
      </c>
      <c r="W243" s="427">
        <f>SUM(K243:V243)</f>
        <v>632960</v>
      </c>
    </row>
    <row r="244" spans="1:24">
      <c r="A244" s="30">
        <f t="shared" ref="A244" si="133">A243</f>
        <v>2025007</v>
      </c>
      <c r="B244" s="27"/>
      <c r="C244" s="529"/>
      <c r="D244" s="523"/>
      <c r="E244" s="523"/>
      <c r="F244" s="523"/>
      <c r="G244" s="523"/>
      <c r="H244" s="523"/>
      <c r="I244" s="526"/>
      <c r="J244" s="181" t="s">
        <v>25</v>
      </c>
      <c r="K244" s="422"/>
      <c r="L244" s="362"/>
      <c r="M244" s="362"/>
      <c r="N244" s="362"/>
      <c r="O244" s="362">
        <v>250000</v>
      </c>
      <c r="P244" s="362">
        <v>250000</v>
      </c>
      <c r="Q244" s="362"/>
      <c r="R244" s="362"/>
      <c r="S244" s="362"/>
      <c r="T244" s="365"/>
      <c r="U244" s="365"/>
      <c r="V244" s="365"/>
      <c r="W244" s="428">
        <f t="shared" ref="W244:W250" si="134">SUM(K244:V244)</f>
        <v>500000</v>
      </c>
      <c r="X244" s="58"/>
    </row>
    <row r="245" spans="1:24">
      <c r="A245" s="30">
        <f t="shared" ref="A245" si="135">A244</f>
        <v>2025007</v>
      </c>
      <c r="B245" s="27"/>
      <c r="C245" s="529"/>
      <c r="D245" s="523"/>
      <c r="E245" s="523"/>
      <c r="F245" s="523"/>
      <c r="G245" s="523"/>
      <c r="H245" s="523"/>
      <c r="I245" s="526"/>
      <c r="J245" s="181" t="s">
        <v>37</v>
      </c>
      <c r="K245" s="429"/>
      <c r="L245" s="430"/>
      <c r="M245" s="430"/>
      <c r="N245" s="430"/>
      <c r="O245" s="430"/>
      <c r="P245" s="430"/>
      <c r="Q245" s="430"/>
      <c r="R245" s="430"/>
      <c r="S245" s="430"/>
      <c r="T245" s="364"/>
      <c r="U245" s="364"/>
      <c r="V245" s="364"/>
      <c r="W245" s="428">
        <f t="shared" si="134"/>
        <v>0</v>
      </c>
      <c r="X245" s="58"/>
    </row>
    <row r="246" spans="1:24">
      <c r="A246" s="30">
        <f t="shared" ref="A246" si="136">A245</f>
        <v>2025007</v>
      </c>
      <c r="B246" s="27"/>
      <c r="C246" s="529"/>
      <c r="D246" s="523"/>
      <c r="E246" s="523"/>
      <c r="F246" s="523"/>
      <c r="G246" s="523"/>
      <c r="H246" s="523"/>
      <c r="I246" s="526"/>
      <c r="J246" s="181" t="s">
        <v>38</v>
      </c>
      <c r="K246" s="429"/>
      <c r="L246" s="430"/>
      <c r="M246" s="430"/>
      <c r="N246" s="430"/>
      <c r="O246" s="430">
        <v>27341</v>
      </c>
      <c r="P246" s="430">
        <v>22295</v>
      </c>
      <c r="Q246" s="430"/>
      <c r="R246" s="430"/>
      <c r="S246" s="430"/>
      <c r="T246" s="364"/>
      <c r="U246" s="364"/>
      <c r="V246" s="364"/>
      <c r="W246" s="428">
        <f t="shared" si="134"/>
        <v>49636</v>
      </c>
      <c r="X246" s="58"/>
    </row>
    <row r="247" spans="1:24">
      <c r="A247" s="30">
        <f t="shared" ref="A247" si="137">A246</f>
        <v>2025007</v>
      </c>
      <c r="B247" s="27"/>
      <c r="C247" s="529"/>
      <c r="D247" s="523"/>
      <c r="E247" s="523"/>
      <c r="F247" s="523"/>
      <c r="G247" s="523"/>
      <c r="H247" s="523"/>
      <c r="I247" s="526"/>
      <c r="J247" s="181" t="s">
        <v>26</v>
      </c>
      <c r="K247" s="422"/>
      <c r="L247" s="362"/>
      <c r="M247" s="362"/>
      <c r="N247" s="362"/>
      <c r="O247" s="362">
        <v>13300</v>
      </c>
      <c r="P247" s="362">
        <v>13300</v>
      </c>
      <c r="Q247" s="362"/>
      <c r="R247" s="362"/>
      <c r="S247" s="362"/>
      <c r="T247" s="365"/>
      <c r="U247" s="365"/>
      <c r="V247" s="365"/>
      <c r="W247" s="428">
        <f t="shared" si="134"/>
        <v>26600</v>
      </c>
      <c r="X247" s="58"/>
    </row>
    <row r="248" spans="1:24">
      <c r="A248" s="30">
        <f t="shared" ref="A248" si="138">A247</f>
        <v>2025007</v>
      </c>
      <c r="B248" s="27"/>
      <c r="C248" s="529"/>
      <c r="D248" s="523"/>
      <c r="E248" s="523"/>
      <c r="F248" s="523"/>
      <c r="G248" s="523"/>
      <c r="H248" s="523"/>
      <c r="I248" s="526"/>
      <c r="J248" s="181" t="s">
        <v>27</v>
      </c>
      <c r="K248" s="422"/>
      <c r="L248" s="362"/>
      <c r="M248" s="362"/>
      <c r="N248" s="362"/>
      <c r="O248" s="362">
        <v>25620</v>
      </c>
      <c r="P248" s="362">
        <v>25620</v>
      </c>
      <c r="Q248" s="362"/>
      <c r="R248" s="362"/>
      <c r="S248" s="362"/>
      <c r="T248" s="365"/>
      <c r="U248" s="365"/>
      <c r="V248" s="365"/>
      <c r="W248" s="428">
        <f t="shared" si="134"/>
        <v>51240</v>
      </c>
      <c r="X248" s="58"/>
    </row>
    <row r="249" spans="1:24">
      <c r="A249" s="30">
        <f t="shared" ref="A249" si="139">A248</f>
        <v>2025007</v>
      </c>
      <c r="B249" s="27"/>
      <c r="C249" s="529"/>
      <c r="D249" s="523"/>
      <c r="E249" s="523"/>
      <c r="F249" s="523"/>
      <c r="G249" s="523"/>
      <c r="H249" s="523"/>
      <c r="I249" s="526"/>
      <c r="J249" s="181" t="s">
        <v>28</v>
      </c>
      <c r="K249" s="422"/>
      <c r="L249" s="362"/>
      <c r="M249" s="362"/>
      <c r="N249" s="362"/>
      <c r="O249" s="362">
        <v>1250</v>
      </c>
      <c r="P249" s="362">
        <v>1361</v>
      </c>
      <c r="Q249" s="362"/>
      <c r="R249" s="362"/>
      <c r="S249" s="362"/>
      <c r="T249" s="365"/>
      <c r="U249" s="365"/>
      <c r="V249" s="365"/>
      <c r="W249" s="428">
        <f t="shared" si="134"/>
        <v>2611</v>
      </c>
      <c r="X249" s="58"/>
    </row>
    <row r="250" spans="1:24">
      <c r="A250" s="30">
        <f t="shared" ref="A250" si="140">A249</f>
        <v>2025007</v>
      </c>
      <c r="B250" s="27"/>
      <c r="C250" s="530"/>
      <c r="D250" s="524"/>
      <c r="E250" s="524"/>
      <c r="F250" s="524"/>
      <c r="G250" s="524"/>
      <c r="H250" s="524"/>
      <c r="I250" s="527"/>
      <c r="J250" s="182" t="s">
        <v>29</v>
      </c>
      <c r="K250" s="423"/>
      <c r="L250" s="363"/>
      <c r="M250" s="363"/>
      <c r="N250" s="363"/>
      <c r="O250" s="363">
        <v>1375</v>
      </c>
      <c r="P250" s="363">
        <v>1498</v>
      </c>
      <c r="Q250" s="363"/>
      <c r="R250" s="363"/>
      <c r="S250" s="363"/>
      <c r="T250" s="366"/>
      <c r="U250" s="366"/>
      <c r="V250" s="366"/>
      <c r="W250" s="431">
        <f t="shared" si="134"/>
        <v>2873</v>
      </c>
      <c r="X250" s="58"/>
    </row>
    <row r="251" spans="1:24" ht="12" customHeight="1">
      <c r="A251" s="29">
        <v>2024012</v>
      </c>
      <c r="B251" s="26"/>
      <c r="C251" s="528">
        <f>C235+1</f>
        <v>31</v>
      </c>
      <c r="D251" s="625"/>
      <c r="E251" s="625"/>
      <c r="F251" s="625"/>
      <c r="G251" s="625"/>
      <c r="H251" s="625"/>
      <c r="I251" s="628" t="s">
        <v>31</v>
      </c>
      <c r="J251" s="186" t="s">
        <v>24</v>
      </c>
      <c r="K251" s="395">
        <f t="shared" ref="K251:V251" si="141">SUM(K252:K258)</f>
        <v>0</v>
      </c>
      <c r="L251" s="347">
        <f t="shared" si="141"/>
        <v>0</v>
      </c>
      <c r="M251" s="347">
        <f t="shared" si="141"/>
        <v>0</v>
      </c>
      <c r="N251" s="347">
        <f t="shared" si="141"/>
        <v>0</v>
      </c>
      <c r="O251" s="347">
        <f t="shared" si="141"/>
        <v>0</v>
      </c>
      <c r="P251" s="347">
        <f t="shared" si="141"/>
        <v>0</v>
      </c>
      <c r="Q251" s="347">
        <f t="shared" si="141"/>
        <v>305889</v>
      </c>
      <c r="R251" s="347">
        <f t="shared" si="141"/>
        <v>302719</v>
      </c>
      <c r="S251" s="347">
        <f t="shared" si="141"/>
        <v>298272</v>
      </c>
      <c r="T251" s="347">
        <f t="shared" si="141"/>
        <v>312799</v>
      </c>
      <c r="U251" s="347">
        <f t="shared" si="141"/>
        <v>313623</v>
      </c>
      <c r="V251" s="508">
        <f t="shared" si="141"/>
        <v>250770</v>
      </c>
      <c r="W251" s="86">
        <f>SUM(K251:V251)</f>
        <v>1784072</v>
      </c>
    </row>
    <row r="252" spans="1:24">
      <c r="A252" s="30">
        <f t="shared" ref="A252" si="142">A251</f>
        <v>2024012</v>
      </c>
      <c r="B252" s="27"/>
      <c r="C252" s="529"/>
      <c r="D252" s="626"/>
      <c r="E252" s="626"/>
      <c r="F252" s="626"/>
      <c r="G252" s="626"/>
      <c r="H252" s="626"/>
      <c r="I252" s="629"/>
      <c r="J252" s="181" t="s">
        <v>25</v>
      </c>
      <c r="K252" s="396"/>
      <c r="L252" s="365"/>
      <c r="M252" s="365"/>
      <c r="N252" s="365"/>
      <c r="O252" s="365"/>
      <c r="P252" s="365"/>
      <c r="Q252" s="348">
        <v>245000</v>
      </c>
      <c r="R252" s="348">
        <v>245000</v>
      </c>
      <c r="S252" s="348">
        <v>245000</v>
      </c>
      <c r="T252" s="348">
        <v>245000</v>
      </c>
      <c r="U252" s="348">
        <v>245000</v>
      </c>
      <c r="V252" s="519">
        <v>211875</v>
      </c>
      <c r="W252" s="87">
        <f t="shared" ref="W252:W258" si="143">SUM(K252:V252)</f>
        <v>1436875</v>
      </c>
      <c r="X252" s="58"/>
    </row>
    <row r="253" spans="1:24">
      <c r="A253" s="30">
        <f t="shared" ref="A253" si="144">A252</f>
        <v>2024012</v>
      </c>
      <c r="B253" s="27"/>
      <c r="C253" s="529"/>
      <c r="D253" s="626"/>
      <c r="E253" s="626"/>
      <c r="F253" s="626"/>
      <c r="G253" s="626"/>
      <c r="H253" s="626"/>
      <c r="I253" s="629"/>
      <c r="J253" s="181" t="s">
        <v>37</v>
      </c>
      <c r="K253" s="403"/>
      <c r="L253" s="364"/>
      <c r="M253" s="364"/>
      <c r="N253" s="364"/>
      <c r="O253" s="364"/>
      <c r="P253" s="364"/>
      <c r="Q253" s="348"/>
      <c r="R253" s="348"/>
      <c r="S253" s="348"/>
      <c r="T253" s="348"/>
      <c r="U253" s="348"/>
      <c r="V253" s="519" t="s">
        <v>114</v>
      </c>
      <c r="W253" s="87">
        <f t="shared" si="143"/>
        <v>0</v>
      </c>
      <c r="X253" s="58"/>
    </row>
    <row r="254" spans="1:24">
      <c r="A254" s="30">
        <f t="shared" ref="A254" si="145">A253</f>
        <v>2024012</v>
      </c>
      <c r="B254" s="27"/>
      <c r="C254" s="529"/>
      <c r="D254" s="626"/>
      <c r="E254" s="626"/>
      <c r="F254" s="626"/>
      <c r="G254" s="626"/>
      <c r="H254" s="626"/>
      <c r="I254" s="629"/>
      <c r="J254" s="181" t="s">
        <v>38</v>
      </c>
      <c r="K254" s="403"/>
      <c r="L254" s="364"/>
      <c r="M254" s="364"/>
      <c r="N254" s="364"/>
      <c r="O254" s="364"/>
      <c r="P254" s="364"/>
      <c r="Q254" s="348">
        <v>21946</v>
      </c>
      <c r="R254" s="348">
        <v>19007</v>
      </c>
      <c r="S254" s="348">
        <v>14560</v>
      </c>
      <c r="T254" s="348">
        <v>29087</v>
      </c>
      <c r="U254" s="348">
        <v>29728</v>
      </c>
      <c r="V254" s="519" t="s">
        <v>114</v>
      </c>
      <c r="W254" s="87">
        <f t="shared" si="143"/>
        <v>114328</v>
      </c>
      <c r="X254" s="58"/>
    </row>
    <row r="255" spans="1:24">
      <c r="A255" s="30">
        <f t="shared" ref="A255" si="146">A254</f>
        <v>2024012</v>
      </c>
      <c r="B255" s="27"/>
      <c r="C255" s="529"/>
      <c r="D255" s="626"/>
      <c r="E255" s="626"/>
      <c r="F255" s="626"/>
      <c r="G255" s="626"/>
      <c r="H255" s="626"/>
      <c r="I255" s="629"/>
      <c r="J255" s="181" t="s">
        <v>26</v>
      </c>
      <c r="K255" s="396"/>
      <c r="L255" s="365"/>
      <c r="M255" s="365"/>
      <c r="N255" s="365"/>
      <c r="O255" s="365"/>
      <c r="P255" s="365"/>
      <c r="Q255" s="349">
        <v>12350</v>
      </c>
      <c r="R255" s="349">
        <v>12350</v>
      </c>
      <c r="S255" s="349">
        <v>12350</v>
      </c>
      <c r="T255" s="349">
        <v>12350</v>
      </c>
      <c r="U255" s="349">
        <v>12350</v>
      </c>
      <c r="V255" s="520">
        <v>12350</v>
      </c>
      <c r="W255" s="87">
        <f t="shared" si="143"/>
        <v>74100</v>
      </c>
      <c r="X255" s="58"/>
    </row>
    <row r="256" spans="1:24">
      <c r="A256" s="30">
        <f t="shared" ref="A256" si="147">A255</f>
        <v>2024012</v>
      </c>
      <c r="B256" s="27"/>
      <c r="C256" s="529"/>
      <c r="D256" s="626"/>
      <c r="E256" s="626"/>
      <c r="F256" s="626"/>
      <c r="G256" s="626"/>
      <c r="H256" s="626"/>
      <c r="I256" s="629"/>
      <c r="J256" s="181" t="s">
        <v>27</v>
      </c>
      <c r="K256" s="396"/>
      <c r="L256" s="365"/>
      <c r="M256" s="365"/>
      <c r="N256" s="365"/>
      <c r="O256" s="365"/>
      <c r="P256" s="365"/>
      <c r="Q256" s="349">
        <v>23790</v>
      </c>
      <c r="R256" s="349">
        <v>23790</v>
      </c>
      <c r="S256" s="349">
        <v>23790</v>
      </c>
      <c r="T256" s="349">
        <v>23790</v>
      </c>
      <c r="U256" s="349">
        <v>23790</v>
      </c>
      <c r="V256" s="520">
        <v>23790</v>
      </c>
      <c r="W256" s="87">
        <f t="shared" si="143"/>
        <v>142740</v>
      </c>
      <c r="X256" s="58"/>
    </row>
    <row r="257" spans="1:24">
      <c r="A257" s="30">
        <f t="shared" ref="A257" si="148">A256</f>
        <v>2024012</v>
      </c>
      <c r="B257" s="27"/>
      <c r="C257" s="529"/>
      <c r="D257" s="626"/>
      <c r="E257" s="626"/>
      <c r="F257" s="626"/>
      <c r="G257" s="626"/>
      <c r="H257" s="626"/>
      <c r="I257" s="629"/>
      <c r="J257" s="181" t="s">
        <v>28</v>
      </c>
      <c r="K257" s="396"/>
      <c r="L257" s="365"/>
      <c r="M257" s="365"/>
      <c r="N257" s="365"/>
      <c r="O257" s="365"/>
      <c r="P257" s="365"/>
      <c r="Q257" s="349">
        <v>1335</v>
      </c>
      <c r="R257" s="349">
        <v>1225</v>
      </c>
      <c r="S257" s="349">
        <v>1225</v>
      </c>
      <c r="T257" s="349">
        <v>1225</v>
      </c>
      <c r="U257" s="349">
        <v>1312</v>
      </c>
      <c r="V257" s="520">
        <v>1312</v>
      </c>
      <c r="W257" s="87">
        <f t="shared" si="143"/>
        <v>7634</v>
      </c>
      <c r="X257" s="58"/>
    </row>
    <row r="258" spans="1:24">
      <c r="A258" s="30">
        <f t="shared" ref="A258" si="149">A257</f>
        <v>2024012</v>
      </c>
      <c r="B258" s="27"/>
      <c r="C258" s="530"/>
      <c r="D258" s="627"/>
      <c r="E258" s="627"/>
      <c r="F258" s="627"/>
      <c r="G258" s="627"/>
      <c r="H258" s="627"/>
      <c r="I258" s="630"/>
      <c r="J258" s="182" t="s">
        <v>29</v>
      </c>
      <c r="K258" s="397"/>
      <c r="L258" s="366"/>
      <c r="M258" s="366"/>
      <c r="N258" s="366"/>
      <c r="O258" s="366"/>
      <c r="P258" s="366"/>
      <c r="Q258" s="464">
        <v>1468</v>
      </c>
      <c r="R258" s="464">
        <v>1347</v>
      </c>
      <c r="S258" s="464">
        <v>1347</v>
      </c>
      <c r="T258" s="464">
        <v>1347</v>
      </c>
      <c r="U258" s="464">
        <v>1443</v>
      </c>
      <c r="V258" s="521">
        <v>1443</v>
      </c>
      <c r="W258" s="88">
        <f t="shared" si="143"/>
        <v>8395</v>
      </c>
      <c r="X258" s="58"/>
    </row>
    <row r="259" spans="1:24" ht="12" customHeight="1">
      <c r="A259" s="29">
        <v>2025026</v>
      </c>
      <c r="B259" s="26"/>
      <c r="C259" s="528">
        <f>C243+1</f>
        <v>32</v>
      </c>
      <c r="D259" s="625"/>
      <c r="E259" s="625"/>
      <c r="F259" s="625"/>
      <c r="G259" s="625"/>
      <c r="H259" s="625"/>
      <c r="I259" s="628" t="s">
        <v>31</v>
      </c>
      <c r="J259" s="186" t="s">
        <v>24</v>
      </c>
      <c r="K259" s="395">
        <f t="shared" ref="K259:V259" si="150">SUM(K260:K266)</f>
        <v>0</v>
      </c>
      <c r="L259" s="347">
        <f t="shared" si="150"/>
        <v>0</v>
      </c>
      <c r="M259" s="347">
        <f t="shared" si="150"/>
        <v>0</v>
      </c>
      <c r="N259" s="347">
        <f t="shared" si="150"/>
        <v>0</v>
      </c>
      <c r="O259" s="347">
        <f t="shared" si="150"/>
        <v>0</v>
      </c>
      <c r="P259" s="347">
        <f t="shared" si="150"/>
        <v>0</v>
      </c>
      <c r="Q259" s="347">
        <f t="shared" si="150"/>
        <v>0</v>
      </c>
      <c r="R259" s="347">
        <f t="shared" si="150"/>
        <v>0</v>
      </c>
      <c r="S259" s="347">
        <f t="shared" si="150"/>
        <v>0</v>
      </c>
      <c r="T259" s="347">
        <f t="shared" si="150"/>
        <v>0</v>
      </c>
      <c r="U259" s="492">
        <f t="shared" si="150"/>
        <v>318455</v>
      </c>
      <c r="V259" s="508">
        <f t="shared" si="150"/>
        <v>278182</v>
      </c>
      <c r="W259" s="86">
        <f>SUM(K259:V259)</f>
        <v>596637</v>
      </c>
    </row>
    <row r="260" spans="1:24">
      <c r="A260" s="30">
        <f t="shared" ref="A260" si="151">A259</f>
        <v>2025026</v>
      </c>
      <c r="B260" s="27"/>
      <c r="C260" s="529"/>
      <c r="D260" s="626"/>
      <c r="E260" s="626"/>
      <c r="F260" s="626"/>
      <c r="G260" s="626"/>
      <c r="H260" s="626"/>
      <c r="I260" s="629"/>
      <c r="J260" s="181" t="s">
        <v>25</v>
      </c>
      <c r="K260" s="396"/>
      <c r="L260" s="365"/>
      <c r="M260" s="365"/>
      <c r="N260" s="365"/>
      <c r="O260" s="365"/>
      <c r="P260" s="365"/>
      <c r="Q260" s="348"/>
      <c r="R260" s="348"/>
      <c r="S260" s="348"/>
      <c r="T260" s="178"/>
      <c r="U260" s="184">
        <v>245000</v>
      </c>
      <c r="V260" s="519">
        <v>211875</v>
      </c>
      <c r="W260" s="87">
        <f t="shared" ref="W260:W266" si="152">SUM(K260:V260)</f>
        <v>456875</v>
      </c>
      <c r="X260" s="58"/>
    </row>
    <row r="261" spans="1:24">
      <c r="A261" s="30">
        <f t="shared" ref="A261" si="153">A260</f>
        <v>2025026</v>
      </c>
      <c r="B261" s="27"/>
      <c r="C261" s="529"/>
      <c r="D261" s="626"/>
      <c r="E261" s="626"/>
      <c r="F261" s="626"/>
      <c r="G261" s="626"/>
      <c r="H261" s="626"/>
      <c r="I261" s="629"/>
      <c r="J261" s="181" t="s">
        <v>37</v>
      </c>
      <c r="K261" s="403"/>
      <c r="L261" s="364"/>
      <c r="M261" s="364"/>
      <c r="N261" s="364"/>
      <c r="O261" s="364"/>
      <c r="P261" s="364"/>
      <c r="Q261" s="348"/>
      <c r="R261" s="348"/>
      <c r="S261" s="348"/>
      <c r="T261" s="178"/>
      <c r="U261" s="184"/>
      <c r="V261" s="519" t="s">
        <v>114</v>
      </c>
      <c r="W261" s="87">
        <f t="shared" si="152"/>
        <v>0</v>
      </c>
      <c r="X261" s="58"/>
    </row>
    <row r="262" spans="1:24">
      <c r="A262" s="30">
        <f t="shared" ref="A262" si="154">A261</f>
        <v>2025026</v>
      </c>
      <c r="B262" s="27"/>
      <c r="C262" s="529"/>
      <c r="D262" s="626"/>
      <c r="E262" s="626"/>
      <c r="F262" s="626"/>
      <c r="G262" s="626"/>
      <c r="H262" s="626"/>
      <c r="I262" s="629"/>
      <c r="J262" s="181" t="s">
        <v>38</v>
      </c>
      <c r="K262" s="403"/>
      <c r="L262" s="364"/>
      <c r="M262" s="364"/>
      <c r="N262" s="364"/>
      <c r="O262" s="364"/>
      <c r="P262" s="364"/>
      <c r="Q262" s="348"/>
      <c r="R262" s="348"/>
      <c r="S262" s="348"/>
      <c r="T262" s="178"/>
      <c r="U262" s="178">
        <v>34930</v>
      </c>
      <c r="V262" s="348">
        <v>27192</v>
      </c>
      <c r="W262" s="87">
        <f t="shared" si="152"/>
        <v>62122</v>
      </c>
      <c r="X262" s="58"/>
    </row>
    <row r="263" spans="1:24">
      <c r="A263" s="30">
        <f t="shared" ref="A263" si="155">A262</f>
        <v>2025026</v>
      </c>
      <c r="B263" s="27"/>
      <c r="C263" s="529"/>
      <c r="D263" s="626"/>
      <c r="E263" s="626"/>
      <c r="F263" s="626"/>
      <c r="G263" s="626"/>
      <c r="H263" s="626"/>
      <c r="I263" s="629"/>
      <c r="J263" s="181" t="s">
        <v>26</v>
      </c>
      <c r="K263" s="396"/>
      <c r="L263" s="365"/>
      <c r="M263" s="365"/>
      <c r="N263" s="365"/>
      <c r="O263" s="365"/>
      <c r="P263" s="365"/>
      <c r="Q263" s="349"/>
      <c r="R263" s="349"/>
      <c r="S263" s="349"/>
      <c r="T263" s="179"/>
      <c r="U263" s="179">
        <v>12350</v>
      </c>
      <c r="V263" s="349">
        <v>12350</v>
      </c>
      <c r="W263" s="87">
        <f t="shared" si="152"/>
        <v>24700</v>
      </c>
      <c r="X263" s="58"/>
    </row>
    <row r="264" spans="1:24">
      <c r="A264" s="30">
        <f t="shared" ref="A264" si="156">A263</f>
        <v>2025026</v>
      </c>
      <c r="B264" s="27"/>
      <c r="C264" s="529"/>
      <c r="D264" s="626"/>
      <c r="E264" s="626"/>
      <c r="F264" s="626"/>
      <c r="G264" s="626"/>
      <c r="H264" s="626"/>
      <c r="I264" s="629"/>
      <c r="J264" s="181" t="s">
        <v>27</v>
      </c>
      <c r="K264" s="396"/>
      <c r="L264" s="365"/>
      <c r="M264" s="365"/>
      <c r="N264" s="365"/>
      <c r="O264" s="365"/>
      <c r="P264" s="365"/>
      <c r="Q264" s="349"/>
      <c r="R264" s="349"/>
      <c r="S264" s="349"/>
      <c r="T264" s="179"/>
      <c r="U264" s="179">
        <v>23790</v>
      </c>
      <c r="V264" s="349">
        <v>23790</v>
      </c>
      <c r="W264" s="87">
        <f t="shared" si="152"/>
        <v>47580</v>
      </c>
      <c r="X264" s="58"/>
    </row>
    <row r="265" spans="1:24">
      <c r="A265" s="30">
        <f t="shared" ref="A265" si="157">A264</f>
        <v>2025026</v>
      </c>
      <c r="B265" s="27"/>
      <c r="C265" s="529"/>
      <c r="D265" s="626"/>
      <c r="E265" s="626"/>
      <c r="F265" s="626"/>
      <c r="G265" s="626"/>
      <c r="H265" s="626"/>
      <c r="I265" s="629"/>
      <c r="J265" s="181" t="s">
        <v>28</v>
      </c>
      <c r="K265" s="396"/>
      <c r="L265" s="365"/>
      <c r="M265" s="365"/>
      <c r="N265" s="365"/>
      <c r="O265" s="365"/>
      <c r="P265" s="365"/>
      <c r="Q265" s="349"/>
      <c r="R265" s="349"/>
      <c r="S265" s="349"/>
      <c r="T265" s="179"/>
      <c r="U265" s="179">
        <v>795</v>
      </c>
      <c r="V265" s="349">
        <v>1417</v>
      </c>
      <c r="W265" s="87">
        <f t="shared" si="152"/>
        <v>2212</v>
      </c>
      <c r="X265" s="58"/>
    </row>
    <row r="266" spans="1:24">
      <c r="A266" s="30">
        <f t="shared" ref="A266" si="158">A265</f>
        <v>2025026</v>
      </c>
      <c r="B266" s="27"/>
      <c r="C266" s="530"/>
      <c r="D266" s="627"/>
      <c r="E266" s="627"/>
      <c r="F266" s="627"/>
      <c r="G266" s="627"/>
      <c r="H266" s="627"/>
      <c r="I266" s="630"/>
      <c r="J266" s="182" t="s">
        <v>29</v>
      </c>
      <c r="K266" s="397"/>
      <c r="L266" s="366"/>
      <c r="M266" s="366"/>
      <c r="N266" s="366"/>
      <c r="O266" s="366"/>
      <c r="P266" s="366"/>
      <c r="Q266" s="464"/>
      <c r="R266" s="464"/>
      <c r="S266" s="464"/>
      <c r="T266" s="491"/>
      <c r="U266" s="491">
        <v>1590</v>
      </c>
      <c r="V266" s="464">
        <v>1558</v>
      </c>
      <c r="W266" s="88">
        <f t="shared" si="152"/>
        <v>3148</v>
      </c>
      <c r="X266" s="58"/>
    </row>
    <row r="267" spans="1:24">
      <c r="A267" s="29">
        <v>2025025</v>
      </c>
      <c r="B267" s="26"/>
      <c r="C267" s="528">
        <f t="shared" ref="C267" si="159">C259+1</f>
        <v>33</v>
      </c>
      <c r="D267" s="549"/>
      <c r="E267" s="549"/>
      <c r="F267" s="549"/>
      <c r="G267" s="549"/>
      <c r="H267" s="549"/>
      <c r="I267" s="552" t="s">
        <v>31</v>
      </c>
      <c r="J267" s="186" t="s">
        <v>24</v>
      </c>
      <c r="K267" s="395">
        <f t="shared" ref="K267:V267" si="160">SUM(K268:K274)</f>
        <v>0</v>
      </c>
      <c r="L267" s="347">
        <f t="shared" si="160"/>
        <v>0</v>
      </c>
      <c r="M267" s="347">
        <f t="shared" si="160"/>
        <v>0</v>
      </c>
      <c r="N267" s="347">
        <f t="shared" si="160"/>
        <v>0</v>
      </c>
      <c r="O267" s="347">
        <f t="shared" si="160"/>
        <v>0</v>
      </c>
      <c r="P267" s="347">
        <f t="shared" si="160"/>
        <v>0</v>
      </c>
      <c r="Q267" s="347">
        <f t="shared" si="160"/>
        <v>0</v>
      </c>
      <c r="R267" s="347">
        <f t="shared" si="160"/>
        <v>0</v>
      </c>
      <c r="S267" s="347">
        <f t="shared" si="160"/>
        <v>0</v>
      </c>
      <c r="T267" s="347">
        <f t="shared" si="160"/>
        <v>472692</v>
      </c>
      <c r="U267" s="347">
        <f t="shared" si="160"/>
        <v>470818</v>
      </c>
      <c r="V267" s="508">
        <f t="shared" si="160"/>
        <v>416743</v>
      </c>
      <c r="W267" s="86">
        <f>SUM(K267:V267)</f>
        <v>1360253</v>
      </c>
    </row>
    <row r="268" spans="1:24">
      <c r="A268" s="30">
        <f t="shared" ref="A268" si="161">A267</f>
        <v>2025025</v>
      </c>
      <c r="B268" s="27"/>
      <c r="C268" s="529"/>
      <c r="D268" s="550"/>
      <c r="E268" s="550"/>
      <c r="F268" s="550"/>
      <c r="G268" s="550"/>
      <c r="H268" s="550"/>
      <c r="I268" s="553"/>
      <c r="J268" s="181" t="s">
        <v>25</v>
      </c>
      <c r="K268" s="396"/>
      <c r="L268" s="365"/>
      <c r="M268" s="365"/>
      <c r="N268" s="365"/>
      <c r="O268" s="365"/>
      <c r="P268" s="365"/>
      <c r="Q268" s="348"/>
      <c r="R268" s="348"/>
      <c r="S268" s="348"/>
      <c r="T268" s="348">
        <v>400000</v>
      </c>
      <c r="U268" s="348">
        <v>400000</v>
      </c>
      <c r="V268" s="348">
        <v>345925</v>
      </c>
      <c r="W268" s="87">
        <f t="shared" ref="W268:W274" si="162">SUM(K268:V268)</f>
        <v>1145925</v>
      </c>
      <c r="X268" s="58"/>
    </row>
    <row r="269" spans="1:24">
      <c r="A269" s="30">
        <f t="shared" ref="A269:B269" si="163">A268</f>
        <v>2025025</v>
      </c>
      <c r="B269" s="27">
        <f t="shared" si="163"/>
        <v>0</v>
      </c>
      <c r="C269" s="529"/>
      <c r="D269" s="550"/>
      <c r="E269" s="550"/>
      <c r="F269" s="550"/>
      <c r="G269" s="550"/>
      <c r="H269" s="550"/>
      <c r="I269" s="553"/>
      <c r="J269" s="181" t="s">
        <v>37</v>
      </c>
      <c r="K269" s="403"/>
      <c r="L269" s="364"/>
      <c r="M269" s="364"/>
      <c r="N269" s="364"/>
      <c r="O269" s="364"/>
      <c r="P269" s="364"/>
      <c r="Q269" s="348"/>
      <c r="R269" s="348"/>
      <c r="S269" s="348"/>
      <c r="T269" s="348"/>
      <c r="U269" s="348"/>
      <c r="V269" s="348" t="s">
        <v>114</v>
      </c>
      <c r="W269" s="87">
        <f t="shared" si="162"/>
        <v>0</v>
      </c>
      <c r="X269" s="58"/>
    </row>
    <row r="270" spans="1:24">
      <c r="A270" s="30">
        <f t="shared" ref="A270:B270" si="164">A269</f>
        <v>2025025</v>
      </c>
      <c r="B270" s="27">
        <f t="shared" si="164"/>
        <v>0</v>
      </c>
      <c r="C270" s="529"/>
      <c r="D270" s="550"/>
      <c r="E270" s="550"/>
      <c r="F270" s="550"/>
      <c r="G270" s="550"/>
      <c r="H270" s="550"/>
      <c r="I270" s="553"/>
      <c r="J270" s="181" t="s">
        <v>38</v>
      </c>
      <c r="K270" s="403"/>
      <c r="L270" s="364"/>
      <c r="M270" s="364"/>
      <c r="N270" s="364"/>
      <c r="O270" s="364"/>
      <c r="P270" s="364"/>
      <c r="Q270" s="348"/>
      <c r="R270" s="348"/>
      <c r="S270" s="348"/>
      <c r="T270" s="348">
        <v>7730</v>
      </c>
      <c r="U270" s="348">
        <v>5696</v>
      </c>
      <c r="V270" s="348">
        <v>5696</v>
      </c>
      <c r="W270" s="87">
        <f t="shared" si="162"/>
        <v>19122</v>
      </c>
      <c r="X270" s="58"/>
    </row>
    <row r="271" spans="1:24">
      <c r="A271" s="30">
        <f t="shared" ref="A271:B271" si="165">A270</f>
        <v>2025025</v>
      </c>
      <c r="B271" s="27">
        <f t="shared" si="165"/>
        <v>0</v>
      </c>
      <c r="C271" s="529"/>
      <c r="D271" s="550"/>
      <c r="E271" s="550"/>
      <c r="F271" s="550"/>
      <c r="G271" s="550"/>
      <c r="H271" s="550"/>
      <c r="I271" s="553"/>
      <c r="J271" s="181" t="s">
        <v>26</v>
      </c>
      <c r="K271" s="396"/>
      <c r="L271" s="365"/>
      <c r="M271" s="365"/>
      <c r="N271" s="365"/>
      <c r="O271" s="365"/>
      <c r="P271" s="365"/>
      <c r="Q271" s="349"/>
      <c r="R271" s="349"/>
      <c r="S271" s="349"/>
      <c r="T271" s="349">
        <v>23165</v>
      </c>
      <c r="U271" s="349">
        <v>23165</v>
      </c>
      <c r="V271" s="349">
        <v>23165</v>
      </c>
      <c r="W271" s="87">
        <f t="shared" si="162"/>
        <v>69495</v>
      </c>
      <c r="X271" s="58"/>
    </row>
    <row r="272" spans="1:24">
      <c r="A272" s="30">
        <f t="shared" ref="A272:B272" si="166">A271</f>
        <v>2025025</v>
      </c>
      <c r="B272" s="27">
        <f t="shared" si="166"/>
        <v>0</v>
      </c>
      <c r="C272" s="529"/>
      <c r="D272" s="550"/>
      <c r="E272" s="550"/>
      <c r="F272" s="550"/>
      <c r="G272" s="550"/>
      <c r="H272" s="550"/>
      <c r="I272" s="553"/>
      <c r="J272" s="181" t="s">
        <v>27</v>
      </c>
      <c r="K272" s="396"/>
      <c r="L272" s="365"/>
      <c r="M272" s="365"/>
      <c r="N272" s="365"/>
      <c r="O272" s="365"/>
      <c r="P272" s="365"/>
      <c r="Q272" s="349"/>
      <c r="R272" s="349"/>
      <c r="S272" s="349"/>
      <c r="T272" s="349">
        <v>37515</v>
      </c>
      <c r="U272" s="349">
        <v>37515</v>
      </c>
      <c r="V272" s="349">
        <v>37515</v>
      </c>
      <c r="W272" s="87">
        <f t="shared" si="162"/>
        <v>112545</v>
      </c>
      <c r="X272" s="58"/>
    </row>
    <row r="273" spans="1:24">
      <c r="A273" s="30">
        <f t="shared" ref="A273:B273" si="167">A272</f>
        <v>2025025</v>
      </c>
      <c r="B273" s="27">
        <f t="shared" si="167"/>
        <v>0</v>
      </c>
      <c r="C273" s="529"/>
      <c r="D273" s="550"/>
      <c r="E273" s="550"/>
      <c r="F273" s="550"/>
      <c r="G273" s="550"/>
      <c r="H273" s="550"/>
      <c r="I273" s="553"/>
      <c r="J273" s="181" t="s">
        <v>28</v>
      </c>
      <c r="K273" s="396"/>
      <c r="L273" s="365"/>
      <c r="M273" s="365"/>
      <c r="N273" s="365"/>
      <c r="O273" s="365"/>
      <c r="P273" s="365"/>
      <c r="Q273" s="349"/>
      <c r="R273" s="349"/>
      <c r="S273" s="349"/>
      <c r="T273" s="349">
        <v>2039</v>
      </c>
      <c r="U273" s="349">
        <v>2115</v>
      </c>
      <c r="V273" s="349">
        <v>2115</v>
      </c>
      <c r="W273" s="87">
        <f t="shared" si="162"/>
        <v>6269</v>
      </c>
      <c r="X273" s="58"/>
    </row>
    <row r="274" spans="1:24" ht="12.5" thickBot="1">
      <c r="A274" s="30">
        <f t="shared" ref="A274:B274" si="168">A273</f>
        <v>2025025</v>
      </c>
      <c r="B274" s="27">
        <f t="shared" si="168"/>
        <v>0</v>
      </c>
      <c r="C274" s="622"/>
      <c r="D274" s="623"/>
      <c r="E274" s="623"/>
      <c r="F274" s="623"/>
      <c r="G274" s="623"/>
      <c r="H274" s="623"/>
      <c r="I274" s="624"/>
      <c r="J274" s="212" t="s">
        <v>29</v>
      </c>
      <c r="K274" s="410"/>
      <c r="L274" s="415"/>
      <c r="M274" s="415"/>
      <c r="N274" s="415"/>
      <c r="O274" s="415"/>
      <c r="P274" s="415"/>
      <c r="Q274" s="435"/>
      <c r="R274" s="435"/>
      <c r="S274" s="435"/>
      <c r="T274" s="435">
        <v>2243</v>
      </c>
      <c r="U274" s="435">
        <v>2327</v>
      </c>
      <c r="V274" s="435">
        <v>2327</v>
      </c>
      <c r="W274" s="213">
        <f t="shared" si="162"/>
        <v>6897</v>
      </c>
      <c r="X274" s="58"/>
    </row>
    <row r="275" spans="1:24" s="1" customFormat="1" ht="39" customHeight="1" thickTop="1">
      <c r="A275" s="28"/>
      <c r="B275" s="25"/>
      <c r="C275" s="540"/>
      <c r="D275" s="541"/>
      <c r="E275" s="541"/>
      <c r="F275" s="541"/>
      <c r="G275" s="541"/>
      <c r="H275" s="541"/>
      <c r="I275" s="542"/>
      <c r="J275" s="205" t="str">
        <f>J2</f>
        <v>人件費合計</v>
      </c>
      <c r="K275" s="411">
        <f>K3+K11+K19+K27+K35+K43+K51+K59+K67+K75+K83+K91+K99+K107+K115+K123+K131+K139+K147+K155+K163+K171+K179+K187+K195+K203+K211+K219+K227+K235+K243+K259+K267</f>
        <v>12139627</v>
      </c>
      <c r="L275" s="411">
        <f t="shared" ref="L275:V275" si="169">L3+L11+L19+L27+L35+L43+L51+L59+L67+L75+L83+L91+L99+L107+L115+L123+L131+L139+L147+L155+L163+L171+L179+L187+L195+L203+L211+L219+L227+L235+L243+L259+L267</f>
        <v>11842508</v>
      </c>
      <c r="M275" s="411">
        <f t="shared" si="169"/>
        <v>11678889</v>
      </c>
      <c r="N275" s="411">
        <f t="shared" si="169"/>
        <v>11799770</v>
      </c>
      <c r="O275" s="411">
        <f t="shared" si="169"/>
        <v>11649006</v>
      </c>
      <c r="P275" s="411">
        <f t="shared" si="169"/>
        <v>11628655</v>
      </c>
      <c r="Q275" s="411">
        <f t="shared" si="169"/>
        <v>11074498.968020039</v>
      </c>
      <c r="R275" s="411">
        <f t="shared" si="169"/>
        <v>10839365</v>
      </c>
      <c r="S275" s="411">
        <f t="shared" si="169"/>
        <v>10906869.423097797</v>
      </c>
      <c r="T275" s="411">
        <f t="shared" si="169"/>
        <v>10546971</v>
      </c>
      <c r="U275" s="411">
        <f t="shared" si="169"/>
        <v>10628334</v>
      </c>
      <c r="V275" s="411">
        <f t="shared" si="169"/>
        <v>8364312</v>
      </c>
      <c r="W275" s="90">
        <f>SUM(K275:V275)</f>
        <v>133098805.39111784</v>
      </c>
      <c r="X275" s="206"/>
    </row>
  </sheetData>
  <mergeCells count="240">
    <mergeCell ref="H259:H266"/>
    <mergeCell ref="I259:I266"/>
    <mergeCell ref="C243:C250"/>
    <mergeCell ref="D243:D250"/>
    <mergeCell ref="E243:E250"/>
    <mergeCell ref="C251:C258"/>
    <mergeCell ref="D251:D258"/>
    <mergeCell ref="E251:E258"/>
    <mergeCell ref="I235:I242"/>
    <mergeCell ref="G251:G258"/>
    <mergeCell ref="H251:H258"/>
    <mergeCell ref="I251:I258"/>
    <mergeCell ref="C235:C242"/>
    <mergeCell ref="D235:D242"/>
    <mergeCell ref="E235:E242"/>
    <mergeCell ref="F235:F242"/>
    <mergeCell ref="G235:G242"/>
    <mergeCell ref="H235:H242"/>
    <mergeCell ref="C227:C234"/>
    <mergeCell ref="D227:D234"/>
    <mergeCell ref="E227:E234"/>
    <mergeCell ref="F227:F234"/>
    <mergeCell ref="G227:G234"/>
    <mergeCell ref="H227:H234"/>
    <mergeCell ref="I227:I234"/>
    <mergeCell ref="C267:C274"/>
    <mergeCell ref="D267:D274"/>
    <mergeCell ref="E267:E274"/>
    <mergeCell ref="F267:F274"/>
    <mergeCell ref="G267:G274"/>
    <mergeCell ref="H267:H274"/>
    <mergeCell ref="I267:I274"/>
    <mergeCell ref="F243:F250"/>
    <mergeCell ref="G243:G250"/>
    <mergeCell ref="H243:H250"/>
    <mergeCell ref="I243:I250"/>
    <mergeCell ref="C259:C266"/>
    <mergeCell ref="D259:D266"/>
    <mergeCell ref="E259:E266"/>
    <mergeCell ref="F259:F266"/>
    <mergeCell ref="G259:G266"/>
    <mergeCell ref="F251:F258"/>
    <mergeCell ref="F195:F202"/>
    <mergeCell ref="G195:G202"/>
    <mergeCell ref="H195:H202"/>
    <mergeCell ref="I195:I202"/>
    <mergeCell ref="C187:C194"/>
    <mergeCell ref="D187:D194"/>
    <mergeCell ref="E187:E194"/>
    <mergeCell ref="F187:F194"/>
    <mergeCell ref="G187:G194"/>
    <mergeCell ref="H187:H194"/>
    <mergeCell ref="I187:I194"/>
    <mergeCell ref="C203:C210"/>
    <mergeCell ref="D203:D210"/>
    <mergeCell ref="E203:E210"/>
    <mergeCell ref="F203:F210"/>
    <mergeCell ref="G203:G210"/>
    <mergeCell ref="H203:H210"/>
    <mergeCell ref="I203:I210"/>
    <mergeCell ref="C171:C178"/>
    <mergeCell ref="D171:D178"/>
    <mergeCell ref="E171:E178"/>
    <mergeCell ref="F171:F178"/>
    <mergeCell ref="G171:G178"/>
    <mergeCell ref="H171:H178"/>
    <mergeCell ref="I171:I178"/>
    <mergeCell ref="C179:C186"/>
    <mergeCell ref="D179:D186"/>
    <mergeCell ref="E179:E186"/>
    <mergeCell ref="F179:F186"/>
    <mergeCell ref="G179:G186"/>
    <mergeCell ref="H179:H186"/>
    <mergeCell ref="I179:I186"/>
    <mergeCell ref="C195:C202"/>
    <mergeCell ref="D195:D202"/>
    <mergeCell ref="E195:E202"/>
    <mergeCell ref="C131:C138"/>
    <mergeCell ref="D131:D138"/>
    <mergeCell ref="E131:E138"/>
    <mergeCell ref="F131:F138"/>
    <mergeCell ref="G131:G138"/>
    <mergeCell ref="H131:H138"/>
    <mergeCell ref="I131:I138"/>
    <mergeCell ref="C139:C146"/>
    <mergeCell ref="D139:D146"/>
    <mergeCell ref="E139:E146"/>
    <mergeCell ref="F139:F146"/>
    <mergeCell ref="G139:G146"/>
    <mergeCell ref="H139:H146"/>
    <mergeCell ref="I139:I146"/>
    <mergeCell ref="F99:F106"/>
    <mergeCell ref="G99:G106"/>
    <mergeCell ref="H99:H106"/>
    <mergeCell ref="I99:I106"/>
    <mergeCell ref="I67:I74"/>
    <mergeCell ref="C75:C82"/>
    <mergeCell ref="D75:D82"/>
    <mergeCell ref="I91:I98"/>
    <mergeCell ref="C83:C90"/>
    <mergeCell ref="D83:D90"/>
    <mergeCell ref="E83:E90"/>
    <mergeCell ref="F83:F90"/>
    <mergeCell ref="G83:G90"/>
    <mergeCell ref="H83:H90"/>
    <mergeCell ref="I83:I90"/>
    <mergeCell ref="H91:H98"/>
    <mergeCell ref="C91:C98"/>
    <mergeCell ref="D91:D98"/>
    <mergeCell ref="E91:E98"/>
    <mergeCell ref="F91:F98"/>
    <mergeCell ref="G91:G98"/>
    <mergeCell ref="C275:I275"/>
    <mergeCell ref="C3:C10"/>
    <mergeCell ref="D3:D10"/>
    <mergeCell ref="E3:E10"/>
    <mergeCell ref="F3:F10"/>
    <mergeCell ref="G3:G10"/>
    <mergeCell ref="H3:H10"/>
    <mergeCell ref="C11:C18"/>
    <mergeCell ref="D11:D18"/>
    <mergeCell ref="C115:C122"/>
    <mergeCell ref="D115:D122"/>
    <mergeCell ref="E115:E122"/>
    <mergeCell ref="F115:F122"/>
    <mergeCell ref="C19:C26"/>
    <mergeCell ref="I19:I26"/>
    <mergeCell ref="I115:I122"/>
    <mergeCell ref="E19:E26"/>
    <mergeCell ref="D19:D26"/>
    <mergeCell ref="C27:C34"/>
    <mergeCell ref="C99:C106"/>
    <mergeCell ref="D99:D106"/>
    <mergeCell ref="E99:E106"/>
    <mergeCell ref="E75:E82"/>
    <mergeCell ref="F75:F82"/>
    <mergeCell ref="C2:I2"/>
    <mergeCell ref="I3:I10"/>
    <mergeCell ref="I11:I18"/>
    <mergeCell ref="E11:E18"/>
    <mergeCell ref="F11:F18"/>
    <mergeCell ref="G11:G18"/>
    <mergeCell ref="H11:H18"/>
    <mergeCell ref="F19:F26"/>
    <mergeCell ref="G75:G82"/>
    <mergeCell ref="G19:G26"/>
    <mergeCell ref="D59:D66"/>
    <mergeCell ref="E59:E66"/>
    <mergeCell ref="H19:H26"/>
    <mergeCell ref="F59:F66"/>
    <mergeCell ref="G59:G66"/>
    <mergeCell ref="H75:H82"/>
    <mergeCell ref="I75:I82"/>
    <mergeCell ref="C67:C74"/>
    <mergeCell ref="D67:D74"/>
    <mergeCell ref="E67:E74"/>
    <mergeCell ref="F67:F74"/>
    <mergeCell ref="G67:G74"/>
    <mergeCell ref="H67:H74"/>
    <mergeCell ref="D27:D34"/>
    <mergeCell ref="E27:E34"/>
    <mergeCell ref="F27:F34"/>
    <mergeCell ref="G27:G34"/>
    <mergeCell ref="H27:H34"/>
    <mergeCell ref="I27:I34"/>
    <mergeCell ref="I43:I50"/>
    <mergeCell ref="C43:C50"/>
    <mergeCell ref="D43:D50"/>
    <mergeCell ref="E43:E50"/>
    <mergeCell ref="F43:F50"/>
    <mergeCell ref="I35:I42"/>
    <mergeCell ref="H43:H50"/>
    <mergeCell ref="I51:I58"/>
    <mergeCell ref="H59:H66"/>
    <mergeCell ref="I59:I66"/>
    <mergeCell ref="G35:G42"/>
    <mergeCell ref="G43:G50"/>
    <mergeCell ref="G51:G58"/>
    <mergeCell ref="C51:C58"/>
    <mergeCell ref="D51:D58"/>
    <mergeCell ref="E51:E58"/>
    <mergeCell ref="F51:F58"/>
    <mergeCell ref="H35:H42"/>
    <mergeCell ref="H51:H58"/>
    <mergeCell ref="C35:C42"/>
    <mergeCell ref="D35:D42"/>
    <mergeCell ref="E35:E42"/>
    <mergeCell ref="F35:F42"/>
    <mergeCell ref="C59:C66"/>
    <mergeCell ref="C123:C130"/>
    <mergeCell ref="D123:D130"/>
    <mergeCell ref="E123:E130"/>
    <mergeCell ref="F123:F130"/>
    <mergeCell ref="G123:G130"/>
    <mergeCell ref="H123:H130"/>
    <mergeCell ref="I123:I130"/>
    <mergeCell ref="H107:H114"/>
    <mergeCell ref="I107:I114"/>
    <mergeCell ref="G115:G122"/>
    <mergeCell ref="E107:E114"/>
    <mergeCell ref="F107:F114"/>
    <mergeCell ref="G107:G114"/>
    <mergeCell ref="H115:H122"/>
    <mergeCell ref="C107:C114"/>
    <mergeCell ref="D107:D114"/>
    <mergeCell ref="F147:F154"/>
    <mergeCell ref="G147:G154"/>
    <mergeCell ref="H147:H154"/>
    <mergeCell ref="I147:I154"/>
    <mergeCell ref="C163:C170"/>
    <mergeCell ref="D163:D170"/>
    <mergeCell ref="E163:E170"/>
    <mergeCell ref="F163:F170"/>
    <mergeCell ref="G163:G170"/>
    <mergeCell ref="H163:H170"/>
    <mergeCell ref="I163:I170"/>
    <mergeCell ref="C155:C162"/>
    <mergeCell ref="D155:D162"/>
    <mergeCell ref="E155:E162"/>
    <mergeCell ref="F155:F162"/>
    <mergeCell ref="G155:G162"/>
    <mergeCell ref="H155:H162"/>
    <mergeCell ref="I155:I162"/>
    <mergeCell ref="C147:C154"/>
    <mergeCell ref="D147:D154"/>
    <mergeCell ref="E147:E154"/>
    <mergeCell ref="C211:C218"/>
    <mergeCell ref="D211:D218"/>
    <mergeCell ref="E211:E218"/>
    <mergeCell ref="F211:F218"/>
    <mergeCell ref="G211:G218"/>
    <mergeCell ref="H211:H218"/>
    <mergeCell ref="I211:I218"/>
    <mergeCell ref="C219:C226"/>
    <mergeCell ref="D219:D226"/>
    <mergeCell ref="E219:E226"/>
    <mergeCell ref="F219:F226"/>
    <mergeCell ref="G219:G226"/>
    <mergeCell ref="H219:H226"/>
    <mergeCell ref="I219:I226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8" scale="37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5219-ECD9-4B7D-A84A-EB9FB37491D0}">
  <sheetPr codeName="Sheet2">
    <pageSetUpPr fitToPage="1"/>
  </sheetPr>
  <dimension ref="A1:Z370"/>
  <sheetViews>
    <sheetView showGridLines="0" zoomScale="80" zoomScaleNormal="80" zoomScaleSheetLayoutView="70" workbookViewId="0">
      <pane xSplit="11" ySplit="4" topLeftCell="L89" activePane="bottomRight" state="frozen"/>
      <selection sqref="A1:B1048576"/>
      <selection pane="topRight" sqref="A1:B1048576"/>
      <selection pane="bottomLeft" sqref="A1:B1048576"/>
      <selection pane="bottomRight" activeCell="F5" sqref="F5:F124"/>
    </sheetView>
  </sheetViews>
  <sheetFormatPr defaultRowHeight="12"/>
  <cols>
    <col min="1" max="1" width="9.08984375" style="23" bestFit="1" customWidth="1"/>
    <col min="2" max="2" width="11.36328125" style="26" bestFit="1" customWidth="1"/>
    <col min="3" max="3" width="6.08984375" style="2" bestFit="1" customWidth="1"/>
    <col min="4" max="4" width="9.08984375" style="2" customWidth="1"/>
    <col min="5" max="5" width="5.08984375" style="2" customWidth="1"/>
    <col min="6" max="6" width="10.6328125" style="1" customWidth="1"/>
    <col min="7" max="7" width="9.6328125" style="2" customWidth="1"/>
    <col min="8" max="9" width="11.90625" style="2" customWidth="1"/>
    <col min="10" max="10" width="8.36328125" style="2" customWidth="1"/>
    <col min="11" max="11" width="13.36328125" style="2" bestFit="1" customWidth="1"/>
    <col min="12" max="15" width="13.36328125" style="5" customWidth="1"/>
    <col min="16" max="16" width="13.36328125" style="111" customWidth="1"/>
    <col min="17" max="18" width="13.36328125" style="15" customWidth="1"/>
    <col min="19" max="19" width="13.36328125" style="3" customWidth="1"/>
    <col min="20" max="22" width="13.36328125" style="15" customWidth="1"/>
    <col min="23" max="23" width="13.90625" style="3" customWidth="1"/>
    <col min="24" max="24" width="16.453125" style="4" customWidth="1"/>
    <col min="25" max="25" width="9.6328125" style="2" bestFit="1" customWidth="1"/>
    <col min="26" max="26" width="11" style="17" bestFit="1" customWidth="1"/>
    <col min="27" max="259" width="8.90625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8.90625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8.90625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8.90625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8.90625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8.90625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8.90625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8.90625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8.90625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8.90625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8.90625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8.90625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8.90625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8.90625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8.90625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8.90625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8.90625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8.90625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8.90625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8.90625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8.90625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8.90625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8.90625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8.90625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8.90625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8.90625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8.90625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8.90625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8.90625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8.90625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8.90625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8.90625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8.90625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8.90625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8.90625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8.90625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8.90625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8.90625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8.90625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8.90625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8.90625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8.90625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8.90625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8.90625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8.90625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8.90625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8.90625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8.90625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8.90625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8.90625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8.90625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8.90625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8.90625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8.90625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8.90625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8.90625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8.90625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8.90625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8.90625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8.90625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8.90625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8.90625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8.90625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8.90625" style="2"/>
  </cols>
  <sheetData>
    <row r="1" spans="1:26" s="1" customFormat="1" ht="36">
      <c r="A1" s="1" t="s">
        <v>32</v>
      </c>
      <c r="B1" s="1" t="s">
        <v>33</v>
      </c>
      <c r="C1" s="31" t="s">
        <v>0</v>
      </c>
      <c r="D1" s="32" t="s">
        <v>1</v>
      </c>
      <c r="E1" s="32" t="s">
        <v>2</v>
      </c>
      <c r="F1" s="33" t="s">
        <v>3</v>
      </c>
      <c r="G1" s="33" t="s">
        <v>41</v>
      </c>
      <c r="H1" s="33" t="s">
        <v>4</v>
      </c>
      <c r="I1" s="34" t="s">
        <v>5</v>
      </c>
      <c r="J1" s="35" t="s">
        <v>6</v>
      </c>
      <c r="K1" s="7" t="s">
        <v>7</v>
      </c>
      <c r="L1" s="20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37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37" t="s">
        <v>18</v>
      </c>
      <c r="W1" s="22" t="s">
        <v>19</v>
      </c>
      <c r="X1" s="161" t="s">
        <v>20</v>
      </c>
    </row>
    <row r="2" spans="1:26" s="1" customFormat="1">
      <c r="A2" s="28"/>
      <c r="B2" s="25"/>
      <c r="C2" s="658" t="s">
        <v>49</v>
      </c>
      <c r="D2" s="659"/>
      <c r="E2" s="659"/>
      <c r="F2" s="659"/>
      <c r="G2" s="659"/>
      <c r="H2" s="659"/>
      <c r="I2" s="659"/>
      <c r="J2" s="660"/>
      <c r="K2" s="40" t="s">
        <v>21</v>
      </c>
      <c r="L2" s="225">
        <f>L125</f>
        <v>3822500</v>
      </c>
      <c r="M2" s="290">
        <f t="shared" ref="M2:W3" si="0">M125</f>
        <v>3822500</v>
      </c>
      <c r="N2" s="290">
        <f t="shared" si="0"/>
        <v>3817500</v>
      </c>
      <c r="O2" s="290">
        <f t="shared" si="0"/>
        <v>3819455</v>
      </c>
      <c r="P2" s="290">
        <f t="shared" si="0"/>
        <v>3602025</v>
      </c>
      <c r="Q2" s="369">
        <f t="shared" si="0"/>
        <v>3687320</v>
      </c>
      <c r="R2" s="369">
        <f t="shared" si="0"/>
        <v>3302435</v>
      </c>
      <c r="S2" s="369">
        <f t="shared" si="0"/>
        <v>3179855</v>
      </c>
      <c r="T2" s="369">
        <f t="shared" si="0"/>
        <v>3718440</v>
      </c>
      <c r="U2" s="369">
        <f t="shared" si="0"/>
        <v>4025275</v>
      </c>
      <c r="V2" s="369">
        <f t="shared" si="0"/>
        <v>4082725</v>
      </c>
      <c r="W2" s="153">
        <f t="shared" si="0"/>
        <v>4140000</v>
      </c>
      <c r="X2" s="162">
        <f>SUM(L2:W2)</f>
        <v>45020030</v>
      </c>
      <c r="Z2" s="16"/>
    </row>
    <row r="3" spans="1:26" s="1" customFormat="1">
      <c r="A3" s="28"/>
      <c r="B3" s="25"/>
      <c r="C3" s="661"/>
      <c r="D3" s="662"/>
      <c r="E3" s="662"/>
      <c r="F3" s="662"/>
      <c r="G3" s="662"/>
      <c r="H3" s="662"/>
      <c r="I3" s="662"/>
      <c r="J3" s="663"/>
      <c r="K3" s="43" t="s">
        <v>22</v>
      </c>
      <c r="L3" s="226">
        <f>L126</f>
        <v>2573624</v>
      </c>
      <c r="M3" s="291">
        <f t="shared" si="0"/>
        <v>2556425</v>
      </c>
      <c r="N3" s="291">
        <f t="shared" si="0"/>
        <v>2555803</v>
      </c>
      <c r="O3" s="291">
        <f t="shared" si="0"/>
        <v>2555021</v>
      </c>
      <c r="P3" s="291">
        <f t="shared" si="0"/>
        <v>2540089</v>
      </c>
      <c r="Q3" s="370">
        <f t="shared" si="0"/>
        <v>2588419</v>
      </c>
      <c r="R3" s="370">
        <f t="shared" si="0"/>
        <v>2305130</v>
      </c>
      <c r="S3" s="370">
        <f t="shared" si="0"/>
        <v>2286257</v>
      </c>
      <c r="T3" s="370">
        <f t="shared" si="0"/>
        <v>2619829</v>
      </c>
      <c r="U3" s="370">
        <f t="shared" si="0"/>
        <v>2956040</v>
      </c>
      <c r="V3" s="370">
        <f t="shared" si="0"/>
        <v>2914638</v>
      </c>
      <c r="W3" s="154">
        <f t="shared" si="0"/>
        <v>2911560.4444444445</v>
      </c>
      <c r="X3" s="163">
        <f>SUM(L3:W3)</f>
        <v>31362835.444444444</v>
      </c>
      <c r="Z3" s="16"/>
    </row>
    <row r="4" spans="1:26" s="1" customFormat="1" ht="12.5" thickBot="1">
      <c r="A4" s="28"/>
      <c r="B4" s="25"/>
      <c r="C4" s="664"/>
      <c r="D4" s="665"/>
      <c r="E4" s="665"/>
      <c r="F4" s="665"/>
      <c r="G4" s="665"/>
      <c r="H4" s="665"/>
      <c r="I4" s="665"/>
      <c r="J4" s="666"/>
      <c r="K4" s="46" t="s">
        <v>23</v>
      </c>
      <c r="L4" s="227">
        <f t="shared" ref="L4:W4" si="1">L2-L3</f>
        <v>1248876</v>
      </c>
      <c r="M4" s="292">
        <f t="shared" si="1"/>
        <v>1266075</v>
      </c>
      <c r="N4" s="292">
        <f t="shared" si="1"/>
        <v>1261697</v>
      </c>
      <c r="O4" s="292">
        <f t="shared" si="1"/>
        <v>1264434</v>
      </c>
      <c r="P4" s="292">
        <f t="shared" si="1"/>
        <v>1061936</v>
      </c>
      <c r="Q4" s="371">
        <f t="shared" si="1"/>
        <v>1098901</v>
      </c>
      <c r="R4" s="371">
        <f t="shared" si="1"/>
        <v>997305</v>
      </c>
      <c r="S4" s="371">
        <f t="shared" si="1"/>
        <v>893598</v>
      </c>
      <c r="T4" s="371">
        <f t="shared" si="1"/>
        <v>1098611</v>
      </c>
      <c r="U4" s="371">
        <f t="shared" si="1"/>
        <v>1069235</v>
      </c>
      <c r="V4" s="371">
        <f t="shared" si="1"/>
        <v>1168087</v>
      </c>
      <c r="W4" s="155">
        <f t="shared" si="1"/>
        <v>1228439.5555555555</v>
      </c>
      <c r="X4" s="164">
        <f>SUM(L4:W4)</f>
        <v>13657194.555555556</v>
      </c>
      <c r="Z4" s="16"/>
    </row>
    <row r="5" spans="1:26" ht="12.75" customHeight="1" thickTop="1">
      <c r="A5" s="13">
        <v>2020031</v>
      </c>
      <c r="B5" s="2"/>
      <c r="C5" s="641">
        <v>1</v>
      </c>
      <c r="D5" s="643" t="s">
        <v>90</v>
      </c>
      <c r="E5" s="647"/>
      <c r="F5" s="667"/>
      <c r="G5" s="647" t="s">
        <v>40</v>
      </c>
      <c r="H5" s="653"/>
      <c r="I5" s="635"/>
      <c r="J5" s="638" t="s">
        <v>42</v>
      </c>
      <c r="K5" s="49" t="s">
        <v>43</v>
      </c>
      <c r="L5" s="228">
        <f t="shared" ref="L5:W5" si="2">L6+L7</f>
        <v>600000</v>
      </c>
      <c r="M5" s="246">
        <f t="shared" si="2"/>
        <v>600000</v>
      </c>
      <c r="N5" s="246">
        <f t="shared" si="2"/>
        <v>600000</v>
      </c>
      <c r="O5" s="246">
        <f t="shared" si="2"/>
        <v>600000</v>
      </c>
      <c r="P5" s="246">
        <f t="shared" si="2"/>
        <v>600000</v>
      </c>
      <c r="Q5" s="372">
        <f t="shared" si="2"/>
        <v>600000</v>
      </c>
      <c r="R5" s="372">
        <f t="shared" si="2"/>
        <v>607500</v>
      </c>
      <c r="S5" s="372">
        <f t="shared" si="2"/>
        <v>570000</v>
      </c>
      <c r="T5" s="372">
        <f t="shared" si="2"/>
        <v>600000</v>
      </c>
      <c r="U5" s="372">
        <f t="shared" si="2"/>
        <v>600000</v>
      </c>
      <c r="V5" s="372">
        <f t="shared" si="2"/>
        <v>600000</v>
      </c>
      <c r="W5" s="156">
        <f t="shared" si="2"/>
        <v>580000</v>
      </c>
      <c r="X5" s="169">
        <f>SUM(L5:W5)</f>
        <v>7157500</v>
      </c>
      <c r="Z5" s="52"/>
    </row>
    <row r="6" spans="1:26">
      <c r="A6" s="53">
        <f t="shared" ref="A6:A16" si="3">+A5</f>
        <v>2020031</v>
      </c>
      <c r="B6" s="54"/>
      <c r="C6" s="641"/>
      <c r="D6" s="644"/>
      <c r="E6" s="647"/>
      <c r="F6" s="667"/>
      <c r="G6" s="647"/>
      <c r="H6" s="653"/>
      <c r="I6" s="635"/>
      <c r="J6" s="638"/>
      <c r="K6" s="55" t="s">
        <v>44</v>
      </c>
      <c r="L6" s="229">
        <v>600000</v>
      </c>
      <c r="M6" s="240">
        <v>600000</v>
      </c>
      <c r="N6" s="240">
        <v>600000</v>
      </c>
      <c r="O6" s="240">
        <v>600000</v>
      </c>
      <c r="P6" s="240">
        <v>600000</v>
      </c>
      <c r="Q6" s="373">
        <v>600000</v>
      </c>
      <c r="R6" s="373">
        <v>607500</v>
      </c>
      <c r="S6" s="373">
        <v>570000</v>
      </c>
      <c r="T6" s="373">
        <v>600000</v>
      </c>
      <c r="U6" s="373">
        <v>600000</v>
      </c>
      <c r="V6" s="373">
        <v>600000</v>
      </c>
      <c r="W6" s="114">
        <v>580000</v>
      </c>
      <c r="X6" s="165">
        <f>SUM(L6:W6)</f>
        <v>7157500</v>
      </c>
      <c r="Y6" s="58"/>
      <c r="Z6" s="52"/>
    </row>
    <row r="7" spans="1:26">
      <c r="A7" s="53">
        <f t="shared" si="3"/>
        <v>2020031</v>
      </c>
      <c r="B7" s="54"/>
      <c r="C7" s="641"/>
      <c r="D7" s="644"/>
      <c r="E7" s="647"/>
      <c r="F7" s="667"/>
      <c r="G7" s="647"/>
      <c r="H7" s="653"/>
      <c r="I7" s="635"/>
      <c r="J7" s="638"/>
      <c r="K7" s="55" t="s">
        <v>38</v>
      </c>
      <c r="L7" s="230"/>
      <c r="M7" s="247"/>
      <c r="N7" s="247"/>
      <c r="O7" s="247"/>
      <c r="P7" s="247"/>
      <c r="Q7" s="374"/>
      <c r="R7" s="374"/>
      <c r="S7" s="374"/>
      <c r="T7" s="374"/>
      <c r="U7" s="374"/>
      <c r="V7" s="374"/>
      <c r="W7" s="157"/>
      <c r="X7" s="165">
        <v>0</v>
      </c>
      <c r="Y7" s="58"/>
      <c r="Z7" s="52"/>
    </row>
    <row r="8" spans="1:26">
      <c r="A8" s="53">
        <f t="shared" si="3"/>
        <v>2020031</v>
      </c>
      <c r="B8" s="54"/>
      <c r="C8" s="641"/>
      <c r="D8" s="644"/>
      <c r="E8" s="647"/>
      <c r="F8" s="667"/>
      <c r="G8" s="647"/>
      <c r="H8" s="653"/>
      <c r="I8" s="635"/>
      <c r="J8" s="638"/>
      <c r="K8" s="61" t="s">
        <v>24</v>
      </c>
      <c r="L8" s="231">
        <f t="shared" ref="L8:W8" si="4">SUM(L9:L15)</f>
        <v>418728</v>
      </c>
      <c r="M8" s="286">
        <f t="shared" si="4"/>
        <v>417920</v>
      </c>
      <c r="N8" s="286">
        <f t="shared" si="4"/>
        <v>418768</v>
      </c>
      <c r="O8" s="286">
        <f t="shared" si="4"/>
        <v>420132</v>
      </c>
      <c r="P8" s="286">
        <f t="shared" si="4"/>
        <v>419173</v>
      </c>
      <c r="Q8" s="375">
        <f t="shared" si="4"/>
        <v>422941</v>
      </c>
      <c r="R8" s="375">
        <f t="shared" si="4"/>
        <v>439048</v>
      </c>
      <c r="S8" s="375">
        <f t="shared" si="4"/>
        <v>422016</v>
      </c>
      <c r="T8" s="375">
        <f t="shared" si="4"/>
        <v>431500</v>
      </c>
      <c r="U8" s="375">
        <f t="shared" si="4"/>
        <v>422133</v>
      </c>
      <c r="V8" s="375">
        <f t="shared" si="4"/>
        <v>421911</v>
      </c>
      <c r="W8" s="191">
        <f t="shared" si="4"/>
        <v>421052</v>
      </c>
      <c r="X8" s="166">
        <f>SUM(L8:W8)</f>
        <v>5075322</v>
      </c>
      <c r="Y8" s="58"/>
      <c r="Z8" s="52"/>
    </row>
    <row r="9" spans="1:26">
      <c r="A9" s="53">
        <f t="shared" si="3"/>
        <v>2020031</v>
      </c>
      <c r="B9" s="54"/>
      <c r="C9" s="641"/>
      <c r="D9" s="644"/>
      <c r="E9" s="647"/>
      <c r="F9" s="667"/>
      <c r="G9" s="647"/>
      <c r="H9" s="653"/>
      <c r="I9" s="635"/>
      <c r="J9" s="638"/>
      <c r="K9" s="188" t="s">
        <v>25</v>
      </c>
      <c r="L9" s="223">
        <v>343640</v>
      </c>
      <c r="M9" s="223">
        <v>342840</v>
      </c>
      <c r="N9" s="223">
        <v>342840</v>
      </c>
      <c r="O9" s="223">
        <v>344040</v>
      </c>
      <c r="P9" s="223">
        <v>343240</v>
      </c>
      <c r="Q9" s="348">
        <v>344040</v>
      </c>
      <c r="R9" s="348">
        <v>359979</v>
      </c>
      <c r="S9" s="348">
        <v>343124</v>
      </c>
      <c r="T9" s="348">
        <v>352510</v>
      </c>
      <c r="U9" s="348">
        <v>343240</v>
      </c>
      <c r="V9" s="348">
        <v>342840</v>
      </c>
      <c r="W9" s="178">
        <v>342840</v>
      </c>
      <c r="X9" s="165">
        <f t="shared" ref="X9:X15" si="5">SUM(L9:W9)</f>
        <v>4145173</v>
      </c>
      <c r="Y9" s="58"/>
      <c r="Z9" s="52"/>
    </row>
    <row r="10" spans="1:26">
      <c r="A10" s="53">
        <f t="shared" si="3"/>
        <v>2020031</v>
      </c>
      <c r="B10" s="54"/>
      <c r="C10" s="641"/>
      <c r="D10" s="644"/>
      <c r="E10" s="647"/>
      <c r="F10" s="667"/>
      <c r="G10" s="647"/>
      <c r="H10" s="653"/>
      <c r="I10" s="635"/>
      <c r="J10" s="638"/>
      <c r="K10" s="188" t="s">
        <v>30</v>
      </c>
      <c r="L10" s="223"/>
      <c r="M10" s="223"/>
      <c r="N10" s="223"/>
      <c r="O10" s="223"/>
      <c r="P10" s="223"/>
      <c r="Q10" s="348"/>
      <c r="R10" s="348"/>
      <c r="S10" s="348"/>
      <c r="T10" s="348"/>
      <c r="U10" s="348"/>
      <c r="V10" s="348"/>
      <c r="W10" s="178"/>
      <c r="X10" s="165">
        <f t="shared" si="5"/>
        <v>0</v>
      </c>
      <c r="Y10" s="58"/>
      <c r="Z10" s="52"/>
    </row>
    <row r="11" spans="1:26">
      <c r="A11" s="53">
        <f t="shared" si="3"/>
        <v>2020031</v>
      </c>
      <c r="B11" s="54"/>
      <c r="C11" s="641"/>
      <c r="D11" s="644"/>
      <c r="E11" s="647"/>
      <c r="F11" s="667"/>
      <c r="G11" s="647"/>
      <c r="H11" s="653"/>
      <c r="I11" s="635"/>
      <c r="J11" s="638"/>
      <c r="K11" s="188" t="s">
        <v>36</v>
      </c>
      <c r="L11" s="223">
        <v>20940</v>
      </c>
      <c r="M11" s="223">
        <v>20940</v>
      </c>
      <c r="N11" s="223">
        <v>21780</v>
      </c>
      <c r="O11" s="223">
        <v>21780</v>
      </c>
      <c r="P11" s="223">
        <v>21780</v>
      </c>
      <c r="Q11" s="348">
        <v>21780</v>
      </c>
      <c r="R11" s="348">
        <v>21780</v>
      </c>
      <c r="S11" s="348">
        <v>21780</v>
      </c>
      <c r="T11" s="348">
        <v>21780</v>
      </c>
      <c r="U11" s="348">
        <v>21780</v>
      </c>
      <c r="V11" s="348">
        <v>21780</v>
      </c>
      <c r="W11" s="178">
        <v>20940</v>
      </c>
      <c r="X11" s="165">
        <f t="shared" si="5"/>
        <v>258840</v>
      </c>
      <c r="Y11" s="58"/>
      <c r="Z11" s="52"/>
    </row>
    <row r="12" spans="1:26">
      <c r="A12" s="53">
        <f t="shared" si="3"/>
        <v>2020031</v>
      </c>
      <c r="B12" s="54"/>
      <c r="C12" s="641"/>
      <c r="D12" s="644"/>
      <c r="E12" s="647"/>
      <c r="F12" s="667"/>
      <c r="G12" s="647"/>
      <c r="H12" s="653"/>
      <c r="I12" s="635"/>
      <c r="J12" s="638"/>
      <c r="K12" s="189" t="s">
        <v>26</v>
      </c>
      <c r="L12" s="224">
        <v>19210</v>
      </c>
      <c r="M12" s="224">
        <v>19210</v>
      </c>
      <c r="N12" s="224">
        <v>19210</v>
      </c>
      <c r="O12" s="224">
        <v>19210</v>
      </c>
      <c r="P12" s="224">
        <v>19210</v>
      </c>
      <c r="Q12" s="349">
        <v>20340</v>
      </c>
      <c r="R12" s="349">
        <v>20340</v>
      </c>
      <c r="S12" s="349">
        <v>20340</v>
      </c>
      <c r="T12" s="349">
        <v>20340</v>
      </c>
      <c r="U12" s="349">
        <v>20340</v>
      </c>
      <c r="V12" s="349">
        <v>20340</v>
      </c>
      <c r="W12" s="179">
        <v>20340</v>
      </c>
      <c r="X12" s="165">
        <f t="shared" si="5"/>
        <v>238430</v>
      </c>
      <c r="Y12" s="58"/>
      <c r="Z12" s="52"/>
    </row>
    <row r="13" spans="1:26">
      <c r="A13" s="53">
        <f t="shared" si="3"/>
        <v>2020031</v>
      </c>
      <c r="B13" s="54"/>
      <c r="C13" s="641"/>
      <c r="D13" s="644"/>
      <c r="E13" s="647"/>
      <c r="F13" s="667"/>
      <c r="G13" s="647"/>
      <c r="H13" s="653"/>
      <c r="I13" s="635"/>
      <c r="J13" s="638"/>
      <c r="K13" s="189" t="s">
        <v>27</v>
      </c>
      <c r="L13" s="224">
        <v>31110</v>
      </c>
      <c r="M13" s="224">
        <v>31110</v>
      </c>
      <c r="N13" s="224">
        <v>31110</v>
      </c>
      <c r="O13" s="224">
        <v>31110</v>
      </c>
      <c r="P13" s="224">
        <v>31110</v>
      </c>
      <c r="Q13" s="349">
        <v>32940</v>
      </c>
      <c r="R13" s="349">
        <v>32940</v>
      </c>
      <c r="S13" s="349">
        <v>32940</v>
      </c>
      <c r="T13" s="349">
        <v>32940</v>
      </c>
      <c r="U13" s="349">
        <v>32940</v>
      </c>
      <c r="V13" s="349">
        <v>32940</v>
      </c>
      <c r="W13" s="179">
        <v>32940</v>
      </c>
      <c r="X13" s="165">
        <f t="shared" si="5"/>
        <v>386130</v>
      </c>
      <c r="Y13" s="58"/>
      <c r="Z13" s="52"/>
    </row>
    <row r="14" spans="1:26">
      <c r="A14" s="53">
        <f t="shared" si="3"/>
        <v>2020031</v>
      </c>
      <c r="B14" s="54"/>
      <c r="C14" s="641"/>
      <c r="D14" s="644"/>
      <c r="E14" s="647"/>
      <c r="F14" s="667"/>
      <c r="G14" s="647"/>
      <c r="H14" s="653"/>
      <c r="I14" s="635"/>
      <c r="J14" s="638"/>
      <c r="K14" s="189" t="s">
        <v>28</v>
      </c>
      <c r="L14" s="224">
        <v>1823</v>
      </c>
      <c r="M14" s="224">
        <v>1819</v>
      </c>
      <c r="N14" s="224">
        <v>1823</v>
      </c>
      <c r="O14" s="224">
        <v>1711</v>
      </c>
      <c r="P14" s="224">
        <v>1825</v>
      </c>
      <c r="Q14" s="349">
        <v>1829</v>
      </c>
      <c r="R14" s="349">
        <v>1909</v>
      </c>
      <c r="S14" s="349">
        <v>1825</v>
      </c>
      <c r="T14" s="349">
        <v>1871</v>
      </c>
      <c r="U14" s="349">
        <v>1825</v>
      </c>
      <c r="V14" s="349">
        <v>1910</v>
      </c>
      <c r="W14" s="179">
        <v>1711</v>
      </c>
      <c r="X14" s="165">
        <f t="shared" si="5"/>
        <v>21881</v>
      </c>
      <c r="Y14" s="58"/>
      <c r="Z14" s="52"/>
    </row>
    <row r="15" spans="1:26">
      <c r="A15" s="53">
        <f t="shared" si="3"/>
        <v>2020031</v>
      </c>
      <c r="B15" s="54"/>
      <c r="C15" s="641"/>
      <c r="D15" s="644"/>
      <c r="E15" s="647"/>
      <c r="F15" s="667"/>
      <c r="G15" s="647"/>
      <c r="H15" s="653"/>
      <c r="I15" s="635"/>
      <c r="J15" s="638"/>
      <c r="K15" s="190" t="s">
        <v>29</v>
      </c>
      <c r="L15" s="224">
        <v>2005</v>
      </c>
      <c r="M15" s="224">
        <v>2001</v>
      </c>
      <c r="N15" s="224">
        <v>2005</v>
      </c>
      <c r="O15" s="224">
        <v>2281</v>
      </c>
      <c r="P15" s="224">
        <v>2008</v>
      </c>
      <c r="Q15" s="349">
        <v>2012</v>
      </c>
      <c r="R15" s="349">
        <v>2100</v>
      </c>
      <c r="S15" s="349">
        <v>2007</v>
      </c>
      <c r="T15" s="349">
        <v>2059</v>
      </c>
      <c r="U15" s="349">
        <v>2008</v>
      </c>
      <c r="V15" s="349">
        <v>2101</v>
      </c>
      <c r="W15" s="179">
        <v>2281</v>
      </c>
      <c r="X15" s="167">
        <f t="shared" si="5"/>
        <v>24868</v>
      </c>
      <c r="Y15" s="58"/>
      <c r="Z15" s="52"/>
    </row>
    <row r="16" spans="1:26">
      <c r="A16" s="53">
        <f t="shared" si="3"/>
        <v>2020031</v>
      </c>
      <c r="B16" s="54"/>
      <c r="C16" s="642"/>
      <c r="D16" s="645"/>
      <c r="E16" s="648"/>
      <c r="F16" s="668"/>
      <c r="G16" s="648"/>
      <c r="H16" s="669"/>
      <c r="I16" s="636"/>
      <c r="J16" s="639"/>
      <c r="K16" s="104" t="s">
        <v>45</v>
      </c>
      <c r="L16" s="238">
        <f t="shared" ref="L16:X16" si="6">L5-L8</f>
        <v>181272</v>
      </c>
      <c r="M16" s="251">
        <f t="shared" si="6"/>
        <v>182080</v>
      </c>
      <c r="N16" s="251">
        <f t="shared" si="6"/>
        <v>181232</v>
      </c>
      <c r="O16" s="251">
        <f t="shared" si="6"/>
        <v>179868</v>
      </c>
      <c r="P16" s="251">
        <f t="shared" si="6"/>
        <v>180827</v>
      </c>
      <c r="Q16" s="376">
        <f t="shared" si="6"/>
        <v>177059</v>
      </c>
      <c r="R16" s="376">
        <f t="shared" si="6"/>
        <v>168452</v>
      </c>
      <c r="S16" s="376">
        <f t="shared" si="6"/>
        <v>147984</v>
      </c>
      <c r="T16" s="376">
        <f t="shared" si="6"/>
        <v>168500</v>
      </c>
      <c r="U16" s="376">
        <f t="shared" si="6"/>
        <v>177867</v>
      </c>
      <c r="V16" s="376">
        <f t="shared" si="6"/>
        <v>178089</v>
      </c>
      <c r="W16" s="192">
        <f t="shared" si="6"/>
        <v>158948</v>
      </c>
      <c r="X16" s="168">
        <f t="shared" si="6"/>
        <v>2082178</v>
      </c>
      <c r="Y16" s="58"/>
      <c r="Z16" s="52"/>
    </row>
    <row r="17" spans="1:26" ht="12.75" customHeight="1">
      <c r="A17" s="29">
        <v>2022014</v>
      </c>
      <c r="B17" s="36"/>
      <c r="C17" s="641">
        <f>C5+1</f>
        <v>2</v>
      </c>
      <c r="D17" s="644" t="s">
        <v>90</v>
      </c>
      <c r="E17" s="647"/>
      <c r="F17" s="644"/>
      <c r="G17" s="647" t="s">
        <v>40</v>
      </c>
      <c r="H17" s="653"/>
      <c r="I17" s="635"/>
      <c r="J17" s="638" t="s">
        <v>42</v>
      </c>
      <c r="K17" s="193" t="s">
        <v>43</v>
      </c>
      <c r="L17" s="255">
        <f t="shared" ref="L17:W17" si="7">L18+L19</f>
        <v>460000</v>
      </c>
      <c r="M17" s="255">
        <f t="shared" si="7"/>
        <v>460000</v>
      </c>
      <c r="N17" s="255">
        <f t="shared" si="7"/>
        <v>460000</v>
      </c>
      <c r="O17" s="255">
        <f t="shared" si="7"/>
        <v>460000</v>
      </c>
      <c r="P17" s="255">
        <f t="shared" si="7"/>
        <v>447040</v>
      </c>
      <c r="Q17" s="377">
        <f t="shared" si="7"/>
        <v>460000</v>
      </c>
      <c r="R17" s="377">
        <f t="shared" si="7"/>
        <v>460000</v>
      </c>
      <c r="S17" s="377">
        <f t="shared" si="7"/>
        <v>403840</v>
      </c>
      <c r="T17" s="377">
        <f t="shared" si="7"/>
        <v>460000</v>
      </c>
      <c r="U17" s="377">
        <f t="shared" si="7"/>
        <v>460000</v>
      </c>
      <c r="V17" s="377">
        <f t="shared" si="7"/>
        <v>447040</v>
      </c>
      <c r="W17" s="256">
        <f t="shared" si="7"/>
        <v>430000</v>
      </c>
      <c r="X17" s="257">
        <f>SUM(L17:W17)</f>
        <v>5407920</v>
      </c>
      <c r="Z17" s="52"/>
    </row>
    <row r="18" spans="1:26">
      <c r="A18" s="53">
        <f t="shared" ref="A18:A28" si="8">+A17</f>
        <v>2022014</v>
      </c>
      <c r="B18" s="54"/>
      <c r="C18" s="641"/>
      <c r="D18" s="644"/>
      <c r="E18" s="647"/>
      <c r="F18" s="644"/>
      <c r="G18" s="647"/>
      <c r="H18" s="653"/>
      <c r="I18" s="635"/>
      <c r="J18" s="638"/>
      <c r="K18" s="194" t="s">
        <v>44</v>
      </c>
      <c r="L18" s="224">
        <v>460000</v>
      </c>
      <c r="M18" s="224">
        <v>460000</v>
      </c>
      <c r="N18" s="224">
        <v>460000</v>
      </c>
      <c r="O18" s="224">
        <v>460000</v>
      </c>
      <c r="P18" s="224">
        <v>447040</v>
      </c>
      <c r="Q18" s="349">
        <v>460000</v>
      </c>
      <c r="R18" s="349">
        <v>460000</v>
      </c>
      <c r="S18" s="349">
        <v>403840</v>
      </c>
      <c r="T18" s="349">
        <v>460000</v>
      </c>
      <c r="U18" s="349">
        <v>460000</v>
      </c>
      <c r="V18" s="349">
        <v>447040</v>
      </c>
      <c r="W18" s="179">
        <v>430000</v>
      </c>
      <c r="X18" s="165">
        <f>SUM(L18:W18)</f>
        <v>5407920</v>
      </c>
      <c r="Y18" s="58"/>
      <c r="Z18" s="52"/>
    </row>
    <row r="19" spans="1:26">
      <c r="A19" s="53">
        <f t="shared" si="8"/>
        <v>2022014</v>
      </c>
      <c r="B19" s="54"/>
      <c r="C19" s="641"/>
      <c r="D19" s="644"/>
      <c r="E19" s="647"/>
      <c r="F19" s="644"/>
      <c r="G19" s="647"/>
      <c r="H19" s="653"/>
      <c r="I19" s="635"/>
      <c r="J19" s="638"/>
      <c r="K19" s="194" t="s">
        <v>38</v>
      </c>
      <c r="L19" s="232"/>
      <c r="M19" s="232"/>
      <c r="N19" s="232"/>
      <c r="O19" s="232"/>
      <c r="P19" s="232"/>
      <c r="Q19" s="378"/>
      <c r="R19" s="378"/>
      <c r="S19" s="378"/>
      <c r="T19" s="378"/>
      <c r="U19" s="378"/>
      <c r="V19" s="378"/>
      <c r="W19" s="183"/>
      <c r="X19" s="165">
        <v>0</v>
      </c>
      <c r="Y19" s="58"/>
      <c r="Z19" s="52"/>
    </row>
    <row r="20" spans="1:26">
      <c r="A20" s="53">
        <f t="shared" si="8"/>
        <v>2022014</v>
      </c>
      <c r="B20" s="54"/>
      <c r="C20" s="641"/>
      <c r="D20" s="644"/>
      <c r="E20" s="647"/>
      <c r="F20" s="644"/>
      <c r="G20" s="647"/>
      <c r="H20" s="653"/>
      <c r="I20" s="635"/>
      <c r="J20" s="638"/>
      <c r="K20" s="195" t="s">
        <v>24</v>
      </c>
      <c r="L20" s="233">
        <f t="shared" ref="L20:W20" si="9">SUM(L21:L27)</f>
        <v>310095</v>
      </c>
      <c r="M20" s="233">
        <f t="shared" si="9"/>
        <v>309287</v>
      </c>
      <c r="N20" s="233">
        <f t="shared" si="9"/>
        <v>310452</v>
      </c>
      <c r="O20" s="233">
        <f t="shared" si="9"/>
        <v>308404</v>
      </c>
      <c r="P20" s="233">
        <f t="shared" si="9"/>
        <v>306146</v>
      </c>
      <c r="Q20" s="379">
        <f t="shared" si="9"/>
        <v>309287</v>
      </c>
      <c r="R20" s="379">
        <f t="shared" si="9"/>
        <v>310846</v>
      </c>
      <c r="S20" s="379">
        <f t="shared" si="9"/>
        <v>308273</v>
      </c>
      <c r="T20" s="379">
        <f t="shared" si="9"/>
        <v>307716</v>
      </c>
      <c r="U20" s="379">
        <f t="shared" si="9"/>
        <v>307716</v>
      </c>
      <c r="V20" s="379">
        <f t="shared" si="9"/>
        <v>299934</v>
      </c>
      <c r="W20" s="197">
        <f t="shared" si="9"/>
        <v>311345.44444444444</v>
      </c>
      <c r="X20" s="166">
        <f>SUM(L20:W20)</f>
        <v>3699501.4444444445</v>
      </c>
      <c r="Y20" s="58"/>
      <c r="Z20" s="52"/>
    </row>
    <row r="21" spans="1:26">
      <c r="A21" s="53">
        <f t="shared" si="8"/>
        <v>2022014</v>
      </c>
      <c r="B21" s="54"/>
      <c r="C21" s="641"/>
      <c r="D21" s="644"/>
      <c r="E21" s="647"/>
      <c r="F21" s="644"/>
      <c r="G21" s="647"/>
      <c r="H21" s="653"/>
      <c r="I21" s="635"/>
      <c r="J21" s="638"/>
      <c r="K21" s="188" t="s">
        <v>25</v>
      </c>
      <c r="L21" s="223">
        <v>268000</v>
      </c>
      <c r="M21" s="223">
        <v>267200</v>
      </c>
      <c r="N21" s="223">
        <v>266800</v>
      </c>
      <c r="O21" s="223">
        <v>267200</v>
      </c>
      <c r="P21" s="223">
        <v>267200</v>
      </c>
      <c r="Q21" s="348">
        <v>267200</v>
      </c>
      <c r="R21" s="348">
        <v>267200</v>
      </c>
      <c r="S21" s="348">
        <v>256873</v>
      </c>
      <c r="T21" s="348">
        <v>267200</v>
      </c>
      <c r="U21" s="348">
        <v>267200</v>
      </c>
      <c r="V21" s="348">
        <v>260873</v>
      </c>
      <c r="W21" s="178">
        <v>260000</v>
      </c>
      <c r="X21" s="165">
        <f t="shared" ref="X21:X27" si="10">SUM(L21:W21)</f>
        <v>3182946</v>
      </c>
      <c r="Y21" s="58"/>
      <c r="Z21" s="52"/>
    </row>
    <row r="22" spans="1:26">
      <c r="A22" s="53">
        <f t="shared" si="8"/>
        <v>2022014</v>
      </c>
      <c r="B22" s="54"/>
      <c r="C22" s="641"/>
      <c r="D22" s="644"/>
      <c r="E22" s="647"/>
      <c r="F22" s="644"/>
      <c r="G22" s="647"/>
      <c r="H22" s="653"/>
      <c r="I22" s="635"/>
      <c r="J22" s="638"/>
      <c r="K22" s="188" t="s">
        <v>30</v>
      </c>
      <c r="L22" s="223"/>
      <c r="M22" s="223"/>
      <c r="N22" s="223"/>
      <c r="O22" s="223"/>
      <c r="P22" s="223"/>
      <c r="Q22" s="348"/>
      <c r="R22" s="348"/>
      <c r="S22" s="348"/>
      <c r="T22" s="348"/>
      <c r="U22" s="348"/>
      <c r="V22" s="348"/>
      <c r="W22" s="178"/>
      <c r="X22" s="165">
        <f t="shared" si="10"/>
        <v>0</v>
      </c>
      <c r="Y22" s="58"/>
      <c r="Z22" s="52"/>
    </row>
    <row r="23" spans="1:26">
      <c r="A23" s="53">
        <f t="shared" si="8"/>
        <v>2022014</v>
      </c>
      <c r="B23" s="54"/>
      <c r="C23" s="641"/>
      <c r="D23" s="644"/>
      <c r="E23" s="647"/>
      <c r="F23" s="644"/>
      <c r="G23" s="647"/>
      <c r="H23" s="653"/>
      <c r="I23" s="635"/>
      <c r="J23" s="638"/>
      <c r="K23" s="188" t="s">
        <v>36</v>
      </c>
      <c r="L23" s="223">
        <v>3108</v>
      </c>
      <c r="M23" s="223">
        <v>3108</v>
      </c>
      <c r="N23" s="223">
        <v>4662</v>
      </c>
      <c r="O23" s="223">
        <v>1554</v>
      </c>
      <c r="P23" s="232">
        <v>0</v>
      </c>
      <c r="Q23" s="348">
        <v>3108</v>
      </c>
      <c r="R23" s="348">
        <v>4652</v>
      </c>
      <c r="S23" s="348">
        <v>12432</v>
      </c>
      <c r="T23" s="348">
        <v>1554</v>
      </c>
      <c r="U23" s="348">
        <v>1554</v>
      </c>
      <c r="V23" s="448">
        <v>0</v>
      </c>
      <c r="W23" s="178">
        <v>11695.444444444445</v>
      </c>
      <c r="X23" s="165">
        <f t="shared" si="10"/>
        <v>47427.444444444445</v>
      </c>
      <c r="Y23" s="58"/>
      <c r="Z23" s="52"/>
    </row>
    <row r="24" spans="1:26">
      <c r="A24" s="53">
        <f t="shared" si="8"/>
        <v>2022014</v>
      </c>
      <c r="B24" s="54"/>
      <c r="C24" s="641"/>
      <c r="D24" s="644"/>
      <c r="E24" s="647"/>
      <c r="F24" s="644"/>
      <c r="G24" s="647"/>
      <c r="H24" s="653"/>
      <c r="I24" s="635"/>
      <c r="J24" s="638"/>
      <c r="K24" s="189" t="s">
        <v>26</v>
      </c>
      <c r="L24" s="224">
        <v>12350</v>
      </c>
      <c r="M24" s="232">
        <v>12350</v>
      </c>
      <c r="N24" s="232">
        <v>12350</v>
      </c>
      <c r="O24" s="232">
        <v>12350</v>
      </c>
      <c r="P24" s="232">
        <v>12350</v>
      </c>
      <c r="Q24" s="378">
        <v>12350</v>
      </c>
      <c r="R24" s="378">
        <v>12350</v>
      </c>
      <c r="S24" s="378">
        <v>12350</v>
      </c>
      <c r="T24" s="378">
        <v>12350</v>
      </c>
      <c r="U24" s="378">
        <v>12350</v>
      </c>
      <c r="V24" s="378">
        <v>12350</v>
      </c>
      <c r="W24" s="183">
        <v>12350</v>
      </c>
      <c r="X24" s="165">
        <f t="shared" si="10"/>
        <v>148200</v>
      </c>
      <c r="Y24" s="58"/>
      <c r="Z24" s="52"/>
    </row>
    <row r="25" spans="1:26">
      <c r="A25" s="53">
        <f t="shared" si="8"/>
        <v>2022014</v>
      </c>
      <c r="B25" s="54"/>
      <c r="C25" s="641"/>
      <c r="D25" s="644"/>
      <c r="E25" s="647"/>
      <c r="F25" s="644"/>
      <c r="G25" s="647"/>
      <c r="H25" s="653"/>
      <c r="I25" s="635"/>
      <c r="J25" s="638"/>
      <c r="K25" s="189" t="s">
        <v>27</v>
      </c>
      <c r="L25" s="224">
        <v>23790</v>
      </c>
      <c r="M25" s="232">
        <v>23790</v>
      </c>
      <c r="N25" s="232">
        <v>23790</v>
      </c>
      <c r="O25" s="232">
        <v>23790</v>
      </c>
      <c r="P25" s="232">
        <v>23790</v>
      </c>
      <c r="Q25" s="378">
        <v>23790</v>
      </c>
      <c r="R25" s="378">
        <v>23790</v>
      </c>
      <c r="S25" s="378">
        <v>23790</v>
      </c>
      <c r="T25" s="378">
        <v>23790</v>
      </c>
      <c r="U25" s="378">
        <v>23790</v>
      </c>
      <c r="V25" s="378">
        <v>23790</v>
      </c>
      <c r="W25" s="183">
        <v>23790</v>
      </c>
      <c r="X25" s="165">
        <f t="shared" si="10"/>
        <v>285480</v>
      </c>
      <c r="Y25" s="58"/>
      <c r="Z25" s="52"/>
    </row>
    <row r="26" spans="1:26">
      <c r="A26" s="53">
        <f t="shared" si="8"/>
        <v>2022014</v>
      </c>
      <c r="B26" s="54"/>
      <c r="C26" s="641"/>
      <c r="D26" s="644"/>
      <c r="E26" s="647"/>
      <c r="F26" s="644"/>
      <c r="G26" s="647"/>
      <c r="H26" s="653"/>
      <c r="I26" s="635"/>
      <c r="J26" s="638"/>
      <c r="K26" s="189" t="s">
        <v>28</v>
      </c>
      <c r="L26" s="224">
        <v>1356</v>
      </c>
      <c r="M26" s="224">
        <v>1352</v>
      </c>
      <c r="N26" s="224">
        <v>1357</v>
      </c>
      <c r="O26" s="224">
        <v>1300</v>
      </c>
      <c r="P26" s="224">
        <v>1336</v>
      </c>
      <c r="Q26" s="349">
        <v>1352</v>
      </c>
      <c r="R26" s="349">
        <v>1359</v>
      </c>
      <c r="S26" s="349">
        <v>1347</v>
      </c>
      <c r="T26" s="349">
        <v>1344</v>
      </c>
      <c r="U26" s="349">
        <v>1344</v>
      </c>
      <c r="V26" s="349">
        <v>1391</v>
      </c>
      <c r="W26" s="179">
        <v>1300</v>
      </c>
      <c r="X26" s="165">
        <f t="shared" si="10"/>
        <v>16138</v>
      </c>
      <c r="Y26" s="58"/>
      <c r="Z26" s="52"/>
    </row>
    <row r="27" spans="1:26">
      <c r="A27" s="53">
        <f t="shared" si="8"/>
        <v>2022014</v>
      </c>
      <c r="B27" s="54"/>
      <c r="C27" s="641"/>
      <c r="D27" s="644"/>
      <c r="E27" s="647"/>
      <c r="F27" s="644"/>
      <c r="G27" s="647"/>
      <c r="H27" s="653"/>
      <c r="I27" s="635"/>
      <c r="J27" s="638"/>
      <c r="K27" s="190" t="s">
        <v>29</v>
      </c>
      <c r="L27" s="224">
        <v>1491</v>
      </c>
      <c r="M27" s="224">
        <v>1487</v>
      </c>
      <c r="N27" s="224">
        <v>1493</v>
      </c>
      <c r="O27" s="224">
        <v>2210</v>
      </c>
      <c r="P27" s="224">
        <v>1470</v>
      </c>
      <c r="Q27" s="349">
        <v>1487</v>
      </c>
      <c r="R27" s="349">
        <v>1495</v>
      </c>
      <c r="S27" s="349">
        <v>1481</v>
      </c>
      <c r="T27" s="349">
        <v>1478</v>
      </c>
      <c r="U27" s="349">
        <v>1478</v>
      </c>
      <c r="V27" s="349">
        <v>1530</v>
      </c>
      <c r="W27" s="179">
        <v>2210</v>
      </c>
      <c r="X27" s="167">
        <f t="shared" si="10"/>
        <v>19310</v>
      </c>
      <c r="Y27" s="58"/>
      <c r="Z27" s="52"/>
    </row>
    <row r="28" spans="1:26">
      <c r="A28" s="53">
        <f t="shared" si="8"/>
        <v>2022014</v>
      </c>
      <c r="B28" s="54"/>
      <c r="C28" s="642"/>
      <c r="D28" s="645"/>
      <c r="E28" s="648"/>
      <c r="F28" s="645"/>
      <c r="G28" s="648"/>
      <c r="H28" s="669"/>
      <c r="I28" s="636"/>
      <c r="J28" s="639"/>
      <c r="K28" s="196" t="s">
        <v>45</v>
      </c>
      <c r="L28" s="234">
        <f t="shared" ref="L28:X28" si="11">L17-L20</f>
        <v>149905</v>
      </c>
      <c r="M28" s="234">
        <f t="shared" si="11"/>
        <v>150713</v>
      </c>
      <c r="N28" s="234">
        <f t="shared" si="11"/>
        <v>149548</v>
      </c>
      <c r="O28" s="234">
        <f t="shared" si="11"/>
        <v>151596</v>
      </c>
      <c r="P28" s="234">
        <f t="shared" si="11"/>
        <v>140894</v>
      </c>
      <c r="Q28" s="380">
        <f t="shared" si="11"/>
        <v>150713</v>
      </c>
      <c r="R28" s="380">
        <f t="shared" si="11"/>
        <v>149154</v>
      </c>
      <c r="S28" s="380">
        <f t="shared" si="11"/>
        <v>95567</v>
      </c>
      <c r="T28" s="380">
        <f t="shared" si="11"/>
        <v>152284</v>
      </c>
      <c r="U28" s="380">
        <f t="shared" si="11"/>
        <v>152284</v>
      </c>
      <c r="V28" s="380">
        <f t="shared" si="11"/>
        <v>147106</v>
      </c>
      <c r="W28" s="198">
        <f t="shared" si="11"/>
        <v>118654.55555555556</v>
      </c>
      <c r="X28" s="168">
        <f t="shared" si="11"/>
        <v>1708418.5555555555</v>
      </c>
      <c r="Y28" s="58"/>
      <c r="Z28" s="52"/>
    </row>
    <row r="29" spans="1:26" ht="12.75" customHeight="1">
      <c r="A29" s="143">
        <v>2023021</v>
      </c>
      <c r="B29" s="144"/>
      <c r="C29" s="656">
        <f>C17+1</f>
        <v>3</v>
      </c>
      <c r="D29" s="643" t="s">
        <v>90</v>
      </c>
      <c r="E29" s="643"/>
      <c r="F29" s="643"/>
      <c r="G29" s="643"/>
      <c r="H29" s="643"/>
      <c r="I29" s="652" t="s">
        <v>93</v>
      </c>
      <c r="J29" s="654" t="s">
        <v>91</v>
      </c>
      <c r="K29" s="149" t="s">
        <v>43</v>
      </c>
      <c r="L29" s="235">
        <f t="shared" ref="L29:W29" si="12">L30+L31</f>
        <v>462500</v>
      </c>
      <c r="M29" s="239">
        <f t="shared" si="12"/>
        <v>462500</v>
      </c>
      <c r="N29" s="239">
        <f t="shared" si="12"/>
        <v>465000</v>
      </c>
      <c r="O29" s="239">
        <f t="shared" si="12"/>
        <v>462500</v>
      </c>
      <c r="P29" s="239">
        <f t="shared" si="12"/>
        <v>465000</v>
      </c>
      <c r="Q29" s="381">
        <f t="shared" si="12"/>
        <v>462500</v>
      </c>
      <c r="R29" s="381">
        <f t="shared" si="12"/>
        <v>462500</v>
      </c>
      <c r="S29" s="381">
        <f t="shared" si="12"/>
        <v>458270</v>
      </c>
      <c r="T29" s="381">
        <f t="shared" si="12"/>
        <v>462500</v>
      </c>
      <c r="U29" s="381">
        <f t="shared" si="12"/>
        <v>462500</v>
      </c>
      <c r="V29" s="381">
        <f t="shared" si="12"/>
        <v>432890</v>
      </c>
      <c r="W29" s="159">
        <f t="shared" si="12"/>
        <v>450000</v>
      </c>
      <c r="X29" s="169">
        <f>SUM(L29:W29)</f>
        <v>5508660</v>
      </c>
      <c r="Z29" s="58"/>
    </row>
    <row r="30" spans="1:26">
      <c r="A30" s="145">
        <f>+A29</f>
        <v>2023021</v>
      </c>
      <c r="B30" s="146"/>
      <c r="C30" s="657"/>
      <c r="D30" s="644"/>
      <c r="E30" s="644"/>
      <c r="F30" s="644"/>
      <c r="G30" s="644"/>
      <c r="H30" s="644"/>
      <c r="I30" s="653"/>
      <c r="J30" s="655"/>
      <c r="K30" s="147" t="s">
        <v>44</v>
      </c>
      <c r="L30" s="230">
        <v>450000</v>
      </c>
      <c r="M30" s="247">
        <v>450000</v>
      </c>
      <c r="N30" s="247">
        <v>450000</v>
      </c>
      <c r="O30" s="247">
        <v>450000</v>
      </c>
      <c r="P30" s="247">
        <v>450000</v>
      </c>
      <c r="Q30" s="374">
        <v>450000</v>
      </c>
      <c r="R30" s="374">
        <v>450000</v>
      </c>
      <c r="S30" s="374">
        <v>445770</v>
      </c>
      <c r="T30" s="374">
        <v>450000</v>
      </c>
      <c r="U30" s="374">
        <v>450000</v>
      </c>
      <c r="V30" s="374">
        <v>420390</v>
      </c>
      <c r="W30" s="157">
        <v>450000</v>
      </c>
      <c r="X30" s="165">
        <f>SUM(L30:W30)</f>
        <v>5366160</v>
      </c>
      <c r="Y30" s="58"/>
      <c r="Z30" s="58"/>
    </row>
    <row r="31" spans="1:26">
      <c r="A31" s="145">
        <f>+A30</f>
        <v>2023021</v>
      </c>
      <c r="B31" s="146"/>
      <c r="C31" s="657"/>
      <c r="D31" s="644"/>
      <c r="E31" s="644"/>
      <c r="F31" s="644"/>
      <c r="G31" s="644"/>
      <c r="H31" s="644"/>
      <c r="I31" s="653"/>
      <c r="J31" s="655"/>
      <c r="K31" s="147" t="s">
        <v>92</v>
      </c>
      <c r="L31" s="444">
        <v>12500</v>
      </c>
      <c r="M31" s="444">
        <v>12500</v>
      </c>
      <c r="N31" s="444">
        <v>15000</v>
      </c>
      <c r="O31" s="444">
        <v>12500</v>
      </c>
      <c r="P31" s="444">
        <v>15000</v>
      </c>
      <c r="Q31" s="444">
        <v>12500</v>
      </c>
      <c r="R31" s="444">
        <v>12500</v>
      </c>
      <c r="S31" s="444">
        <v>12500</v>
      </c>
      <c r="T31" s="444">
        <v>12500</v>
      </c>
      <c r="U31" s="444">
        <v>12500</v>
      </c>
      <c r="V31" s="444">
        <v>12500</v>
      </c>
      <c r="W31" s="455">
        <v>0</v>
      </c>
      <c r="X31" s="165">
        <f t="shared" ref="X31:X39" si="13">SUM(L31:W31)</f>
        <v>142500</v>
      </c>
      <c r="Y31" s="58"/>
      <c r="Z31" s="58"/>
    </row>
    <row r="32" spans="1:26">
      <c r="A32" s="145">
        <f t="shared" ref="A32:A39" si="14">+A31</f>
        <v>2023021</v>
      </c>
      <c r="B32" s="146"/>
      <c r="C32" s="657"/>
      <c r="D32" s="644"/>
      <c r="E32" s="644"/>
      <c r="F32" s="644"/>
      <c r="G32" s="644"/>
      <c r="H32" s="644"/>
      <c r="I32" s="653"/>
      <c r="J32" s="655"/>
      <c r="K32" s="148" t="s">
        <v>24</v>
      </c>
      <c r="L32" s="236">
        <f t="shared" ref="L32:V32" si="15">SUM(L33:L39)</f>
        <v>320999</v>
      </c>
      <c r="M32" s="287">
        <f t="shared" si="15"/>
        <v>321808</v>
      </c>
      <c r="N32" s="287">
        <f t="shared" si="15"/>
        <v>324335</v>
      </c>
      <c r="O32" s="287">
        <f t="shared" si="15"/>
        <v>321990</v>
      </c>
      <c r="P32" s="287">
        <f t="shared" si="15"/>
        <v>324335</v>
      </c>
      <c r="Q32" s="382">
        <f t="shared" si="15"/>
        <v>323779</v>
      </c>
      <c r="R32" s="382">
        <f t="shared" si="15"/>
        <v>324588</v>
      </c>
      <c r="S32" s="382">
        <f t="shared" si="15"/>
        <v>321968</v>
      </c>
      <c r="T32" s="382">
        <f t="shared" si="15"/>
        <v>324992</v>
      </c>
      <c r="U32" s="382">
        <f t="shared" si="15"/>
        <v>324588</v>
      </c>
      <c r="V32" s="382">
        <f t="shared" si="15"/>
        <v>323962</v>
      </c>
      <c r="W32" s="201">
        <f>SUM(W33:W39)</f>
        <v>306670</v>
      </c>
      <c r="X32" s="170">
        <f t="shared" si="13"/>
        <v>3864014</v>
      </c>
      <c r="Y32" s="58"/>
      <c r="Z32" s="58"/>
    </row>
    <row r="33" spans="1:26">
      <c r="A33" s="145">
        <f t="shared" si="14"/>
        <v>2023021</v>
      </c>
      <c r="B33" s="146"/>
      <c r="C33" s="657"/>
      <c r="D33" s="644"/>
      <c r="E33" s="644"/>
      <c r="F33" s="644"/>
      <c r="G33" s="644"/>
      <c r="H33" s="644"/>
      <c r="I33" s="653"/>
      <c r="J33" s="655"/>
      <c r="K33" s="199" t="s">
        <v>25</v>
      </c>
      <c r="L33" s="224">
        <v>261900</v>
      </c>
      <c r="M33" s="224">
        <v>262700</v>
      </c>
      <c r="N33" s="224">
        <v>265200</v>
      </c>
      <c r="O33" s="224">
        <v>263100</v>
      </c>
      <c r="P33" s="224">
        <v>265200</v>
      </c>
      <c r="Q33" s="349">
        <v>261900</v>
      </c>
      <c r="R33" s="349">
        <v>262700</v>
      </c>
      <c r="S33" s="349">
        <v>260106</v>
      </c>
      <c r="T33" s="349">
        <v>263100</v>
      </c>
      <c r="U33" s="349">
        <v>262700</v>
      </c>
      <c r="V33" s="349">
        <v>261900</v>
      </c>
      <c r="W33" s="179">
        <v>245000</v>
      </c>
      <c r="X33" s="165">
        <f t="shared" si="13"/>
        <v>3135506</v>
      </c>
      <c r="Y33" s="58"/>
      <c r="Z33" s="58"/>
    </row>
    <row r="34" spans="1:26">
      <c r="A34" s="145">
        <f t="shared" si="14"/>
        <v>2023021</v>
      </c>
      <c r="B34" s="146"/>
      <c r="C34" s="657"/>
      <c r="D34" s="644"/>
      <c r="E34" s="644"/>
      <c r="F34" s="644"/>
      <c r="G34" s="644"/>
      <c r="H34" s="644"/>
      <c r="I34" s="653"/>
      <c r="J34" s="655"/>
      <c r="K34" s="199" t="s">
        <v>30</v>
      </c>
      <c r="L34" s="224"/>
      <c r="M34" s="224"/>
      <c r="N34" s="224"/>
      <c r="O34" s="224"/>
      <c r="P34" s="224"/>
      <c r="Q34" s="349"/>
      <c r="R34" s="349"/>
      <c r="S34" s="349"/>
      <c r="T34" s="349"/>
      <c r="U34" s="349"/>
      <c r="V34" s="349"/>
      <c r="W34" s="179"/>
      <c r="X34" s="165">
        <f t="shared" si="13"/>
        <v>0</v>
      </c>
      <c r="Y34" s="58"/>
      <c r="Z34" s="58"/>
    </row>
    <row r="35" spans="1:26">
      <c r="A35" s="145">
        <f t="shared" si="14"/>
        <v>2023021</v>
      </c>
      <c r="B35" s="146"/>
      <c r="C35" s="657"/>
      <c r="D35" s="644"/>
      <c r="E35" s="644"/>
      <c r="F35" s="644"/>
      <c r="G35" s="644"/>
      <c r="H35" s="644"/>
      <c r="I35" s="653"/>
      <c r="J35" s="655"/>
      <c r="K35" s="199" t="s">
        <v>36</v>
      </c>
      <c r="L35" s="224">
        <v>20000</v>
      </c>
      <c r="M35" s="224">
        <v>20000</v>
      </c>
      <c r="N35" s="224">
        <v>20000</v>
      </c>
      <c r="O35" s="224">
        <v>20000</v>
      </c>
      <c r="P35" s="224">
        <v>20000</v>
      </c>
      <c r="Q35" s="349">
        <v>20000</v>
      </c>
      <c r="R35" s="349">
        <v>20000</v>
      </c>
      <c r="S35" s="349">
        <v>20000</v>
      </c>
      <c r="T35" s="349">
        <v>20000</v>
      </c>
      <c r="U35" s="349">
        <v>20000</v>
      </c>
      <c r="V35" s="349">
        <v>20000</v>
      </c>
      <c r="W35" s="179">
        <v>20000</v>
      </c>
      <c r="X35" s="165">
        <f t="shared" si="13"/>
        <v>240000</v>
      </c>
      <c r="Y35" s="58"/>
      <c r="Z35" s="58"/>
    </row>
    <row r="36" spans="1:26">
      <c r="A36" s="145">
        <f t="shared" si="14"/>
        <v>2023021</v>
      </c>
      <c r="B36" s="146"/>
      <c r="C36" s="657"/>
      <c r="D36" s="644"/>
      <c r="E36" s="644"/>
      <c r="F36" s="644"/>
      <c r="G36" s="644"/>
      <c r="H36" s="644"/>
      <c r="I36" s="653"/>
      <c r="J36" s="655"/>
      <c r="K36" s="199" t="s">
        <v>26</v>
      </c>
      <c r="L36" s="224">
        <v>12350</v>
      </c>
      <c r="M36" s="224">
        <v>12350</v>
      </c>
      <c r="N36" s="224">
        <v>12350</v>
      </c>
      <c r="O36" s="224">
        <v>12350</v>
      </c>
      <c r="P36" s="224">
        <v>12350</v>
      </c>
      <c r="Q36" s="349">
        <v>13300</v>
      </c>
      <c r="R36" s="349">
        <v>13300</v>
      </c>
      <c r="S36" s="349">
        <v>13300</v>
      </c>
      <c r="T36" s="349">
        <v>13300</v>
      </c>
      <c r="U36" s="349">
        <v>13300</v>
      </c>
      <c r="V36" s="349">
        <v>13300</v>
      </c>
      <c r="W36" s="179">
        <v>13300</v>
      </c>
      <c r="X36" s="165">
        <f t="shared" si="13"/>
        <v>154850</v>
      </c>
      <c r="Y36" s="58"/>
      <c r="Z36" s="58"/>
    </row>
    <row r="37" spans="1:26">
      <c r="A37" s="145">
        <f t="shared" si="14"/>
        <v>2023021</v>
      </c>
      <c r="B37" s="146"/>
      <c r="C37" s="657"/>
      <c r="D37" s="644"/>
      <c r="E37" s="644"/>
      <c r="F37" s="644"/>
      <c r="G37" s="644"/>
      <c r="H37" s="644"/>
      <c r="I37" s="653"/>
      <c r="J37" s="655"/>
      <c r="K37" s="199" t="s">
        <v>27</v>
      </c>
      <c r="L37" s="224">
        <v>23790</v>
      </c>
      <c r="M37" s="224">
        <v>23790</v>
      </c>
      <c r="N37" s="224">
        <v>23790</v>
      </c>
      <c r="O37" s="224">
        <v>23790</v>
      </c>
      <c r="P37" s="224">
        <v>23790</v>
      </c>
      <c r="Q37" s="349">
        <v>25620</v>
      </c>
      <c r="R37" s="349">
        <v>25620</v>
      </c>
      <c r="S37" s="349">
        <v>25620</v>
      </c>
      <c r="T37" s="349">
        <v>25620</v>
      </c>
      <c r="U37" s="349">
        <v>25620</v>
      </c>
      <c r="V37" s="349">
        <v>25620</v>
      </c>
      <c r="W37" s="179">
        <v>25620</v>
      </c>
      <c r="X37" s="165">
        <f t="shared" si="13"/>
        <v>298290</v>
      </c>
      <c r="Y37" s="58"/>
      <c r="Z37" s="58"/>
    </row>
    <row r="38" spans="1:26">
      <c r="A38" s="145">
        <f t="shared" si="14"/>
        <v>2023021</v>
      </c>
      <c r="B38" s="146"/>
      <c r="C38" s="657"/>
      <c r="D38" s="644"/>
      <c r="E38" s="644"/>
      <c r="F38" s="644"/>
      <c r="G38" s="644"/>
      <c r="H38" s="644"/>
      <c r="I38" s="653"/>
      <c r="J38" s="655"/>
      <c r="K38" s="199" t="s">
        <v>28</v>
      </c>
      <c r="L38" s="224">
        <v>1409</v>
      </c>
      <c r="M38" s="224">
        <v>1413</v>
      </c>
      <c r="N38" s="224">
        <v>1426</v>
      </c>
      <c r="O38" s="224">
        <v>1250</v>
      </c>
      <c r="P38" s="224">
        <v>1426</v>
      </c>
      <c r="Q38" s="349">
        <v>1409</v>
      </c>
      <c r="R38" s="349">
        <v>1413</v>
      </c>
      <c r="S38" s="349">
        <v>1401</v>
      </c>
      <c r="T38" s="349">
        <v>1415</v>
      </c>
      <c r="U38" s="349">
        <v>1413</v>
      </c>
      <c r="V38" s="349">
        <v>1496</v>
      </c>
      <c r="W38" s="179">
        <v>1250</v>
      </c>
      <c r="X38" s="165">
        <f t="shared" si="13"/>
        <v>16721</v>
      </c>
      <c r="Y38" s="58"/>
      <c r="Z38" s="58"/>
    </row>
    <row r="39" spans="1:26">
      <c r="A39" s="145">
        <f t="shared" si="14"/>
        <v>2023021</v>
      </c>
      <c r="B39" s="146"/>
      <c r="C39" s="657"/>
      <c r="D39" s="644"/>
      <c r="E39" s="644"/>
      <c r="F39" s="644"/>
      <c r="G39" s="644"/>
      <c r="H39" s="644"/>
      <c r="I39" s="653"/>
      <c r="J39" s="655"/>
      <c r="K39" s="200" t="s">
        <v>29</v>
      </c>
      <c r="L39" s="224">
        <v>1550</v>
      </c>
      <c r="M39" s="224">
        <v>1555</v>
      </c>
      <c r="N39" s="224">
        <v>1569</v>
      </c>
      <c r="O39" s="224">
        <v>1500</v>
      </c>
      <c r="P39" s="224">
        <v>1569</v>
      </c>
      <c r="Q39" s="349">
        <v>1550</v>
      </c>
      <c r="R39" s="349">
        <v>1555</v>
      </c>
      <c r="S39" s="349">
        <v>1541</v>
      </c>
      <c r="T39" s="349">
        <v>1557</v>
      </c>
      <c r="U39" s="349">
        <v>1555</v>
      </c>
      <c r="V39" s="349">
        <v>1646</v>
      </c>
      <c r="W39" s="179">
        <v>1500</v>
      </c>
      <c r="X39" s="165">
        <f t="shared" si="13"/>
        <v>18647</v>
      </c>
      <c r="Y39" s="58"/>
      <c r="Z39" s="58"/>
    </row>
    <row r="40" spans="1:26">
      <c r="A40" s="145">
        <f>+A39</f>
        <v>2023021</v>
      </c>
      <c r="B40" s="146"/>
      <c r="C40" s="657"/>
      <c r="D40" s="644"/>
      <c r="E40" s="644"/>
      <c r="F40" s="644"/>
      <c r="G40" s="644"/>
      <c r="H40" s="644"/>
      <c r="I40" s="653"/>
      <c r="J40" s="655"/>
      <c r="K40" s="150" t="s">
        <v>45</v>
      </c>
      <c r="L40" s="237">
        <f t="shared" ref="L40:X40" si="16">L29-L32</f>
        <v>141501</v>
      </c>
      <c r="M40" s="288">
        <f t="shared" si="16"/>
        <v>140692</v>
      </c>
      <c r="N40" s="288">
        <f t="shared" si="16"/>
        <v>140665</v>
      </c>
      <c r="O40" s="288">
        <f t="shared" si="16"/>
        <v>140510</v>
      </c>
      <c r="P40" s="288">
        <f t="shared" si="16"/>
        <v>140665</v>
      </c>
      <c r="Q40" s="383">
        <f t="shared" si="16"/>
        <v>138721</v>
      </c>
      <c r="R40" s="383">
        <f t="shared" si="16"/>
        <v>137912</v>
      </c>
      <c r="S40" s="383">
        <f t="shared" si="16"/>
        <v>136302</v>
      </c>
      <c r="T40" s="383">
        <f t="shared" si="16"/>
        <v>137508</v>
      </c>
      <c r="U40" s="383">
        <f t="shared" si="16"/>
        <v>137912</v>
      </c>
      <c r="V40" s="383">
        <f t="shared" si="16"/>
        <v>108928</v>
      </c>
      <c r="W40" s="202">
        <f t="shared" si="16"/>
        <v>143330</v>
      </c>
      <c r="X40" s="204">
        <f t="shared" si="16"/>
        <v>1644646</v>
      </c>
      <c r="Y40" s="58"/>
      <c r="Z40" s="58"/>
    </row>
    <row r="41" spans="1:26" ht="12.75" customHeight="1">
      <c r="A41" s="29">
        <v>2023024</v>
      </c>
      <c r="C41" s="640">
        <f>C29+1</f>
        <v>4</v>
      </c>
      <c r="D41" s="643" t="s">
        <v>90</v>
      </c>
      <c r="E41" s="646"/>
      <c r="F41" s="649"/>
      <c r="G41" s="646"/>
      <c r="H41" s="631"/>
      <c r="I41" s="634" t="s">
        <v>94</v>
      </c>
      <c r="J41" s="637" t="s">
        <v>42</v>
      </c>
      <c r="K41" s="151" t="s">
        <v>43</v>
      </c>
      <c r="L41" s="235">
        <f t="shared" ref="L41:Q41" si="17">L42+L43</f>
        <v>487500</v>
      </c>
      <c r="M41" s="239">
        <f t="shared" si="17"/>
        <v>485000</v>
      </c>
      <c r="N41" s="239">
        <f t="shared" si="17"/>
        <v>482500</v>
      </c>
      <c r="O41" s="239">
        <f t="shared" si="17"/>
        <v>485000</v>
      </c>
      <c r="P41" s="353">
        <f t="shared" si="17"/>
        <v>391650</v>
      </c>
      <c r="Q41" s="384">
        <f t="shared" si="17"/>
        <v>439430</v>
      </c>
      <c r="R41" s="384">
        <f t="shared" ref="R41:W41" si="18">R42+R43</f>
        <v>480000</v>
      </c>
      <c r="S41" s="384">
        <f t="shared" si="18"/>
        <v>490000</v>
      </c>
      <c r="T41" s="384">
        <f t="shared" si="18"/>
        <v>487500</v>
      </c>
      <c r="U41" s="384">
        <f t="shared" si="18"/>
        <v>490000</v>
      </c>
      <c r="V41" s="384">
        <f t="shared" si="18"/>
        <v>485000</v>
      </c>
      <c r="W41" s="160">
        <f t="shared" si="18"/>
        <v>450000</v>
      </c>
      <c r="X41" s="169">
        <f>SUM(L41:W41)</f>
        <v>5653580</v>
      </c>
      <c r="Z41" s="52"/>
    </row>
    <row r="42" spans="1:26">
      <c r="A42" s="145">
        <f>+A41</f>
        <v>2023024</v>
      </c>
      <c r="B42" s="146"/>
      <c r="C42" s="641"/>
      <c r="D42" s="644"/>
      <c r="E42" s="647"/>
      <c r="F42" s="650"/>
      <c r="G42" s="647"/>
      <c r="H42" s="632"/>
      <c r="I42" s="635"/>
      <c r="J42" s="638"/>
      <c r="K42" s="55" t="s">
        <v>44</v>
      </c>
      <c r="L42" s="229">
        <v>470000</v>
      </c>
      <c r="M42" s="240">
        <v>470000</v>
      </c>
      <c r="N42" s="240">
        <v>470000</v>
      </c>
      <c r="O42" s="240">
        <v>470000</v>
      </c>
      <c r="P42" s="240">
        <v>389150</v>
      </c>
      <c r="Q42" s="373">
        <v>424430</v>
      </c>
      <c r="R42" s="373">
        <v>470000</v>
      </c>
      <c r="S42" s="373">
        <v>470000</v>
      </c>
      <c r="T42" s="373">
        <v>470000</v>
      </c>
      <c r="U42" s="373">
        <v>470000</v>
      </c>
      <c r="V42" s="373">
        <v>470000</v>
      </c>
      <c r="W42" s="114">
        <v>450000</v>
      </c>
      <c r="X42" s="165">
        <f>SUM(L42:W42)</f>
        <v>5493580</v>
      </c>
      <c r="Y42" s="58"/>
      <c r="Z42" s="52"/>
    </row>
    <row r="43" spans="1:26">
      <c r="A43" s="145">
        <f>+A42</f>
        <v>2023024</v>
      </c>
      <c r="B43" s="146"/>
      <c r="C43" s="641"/>
      <c r="D43" s="644"/>
      <c r="E43" s="647"/>
      <c r="F43" s="650"/>
      <c r="G43" s="647"/>
      <c r="H43" s="632"/>
      <c r="I43" s="635"/>
      <c r="J43" s="638"/>
      <c r="K43" s="147" t="s">
        <v>92</v>
      </c>
      <c r="L43" s="444">
        <v>17500</v>
      </c>
      <c r="M43" s="444">
        <v>15000</v>
      </c>
      <c r="N43" s="444">
        <v>12500</v>
      </c>
      <c r="O43" s="444">
        <v>15000</v>
      </c>
      <c r="P43" s="444">
        <v>2500</v>
      </c>
      <c r="Q43" s="444">
        <v>15000</v>
      </c>
      <c r="R43" s="444">
        <v>10000</v>
      </c>
      <c r="S43" s="444">
        <v>20000</v>
      </c>
      <c r="T43" s="444">
        <v>17500</v>
      </c>
      <c r="U43" s="444">
        <v>20000</v>
      </c>
      <c r="V43" s="444">
        <v>15000</v>
      </c>
      <c r="W43" s="455">
        <v>0</v>
      </c>
      <c r="X43" s="165">
        <v>0</v>
      </c>
      <c r="Y43" s="58"/>
      <c r="Z43" s="52"/>
    </row>
    <row r="44" spans="1:26">
      <c r="A44" s="145">
        <f t="shared" ref="A44:A51" si="19">+A43</f>
        <v>2023024</v>
      </c>
      <c r="B44" s="146"/>
      <c r="C44" s="641"/>
      <c r="D44" s="644"/>
      <c r="E44" s="647"/>
      <c r="F44" s="650"/>
      <c r="G44" s="647"/>
      <c r="H44" s="632"/>
      <c r="I44" s="635"/>
      <c r="J44" s="638"/>
      <c r="K44" s="61" t="s">
        <v>24</v>
      </c>
      <c r="L44" s="236">
        <f t="shared" ref="L44:Q44" si="20">SUM(L45:L51)</f>
        <v>312965</v>
      </c>
      <c r="M44" s="287">
        <f t="shared" si="20"/>
        <v>311550</v>
      </c>
      <c r="N44" s="287">
        <f t="shared" si="20"/>
        <v>307458</v>
      </c>
      <c r="O44" s="286">
        <f t="shared" si="20"/>
        <v>313263</v>
      </c>
      <c r="P44" s="286">
        <f t="shared" si="20"/>
        <v>294530</v>
      </c>
      <c r="Q44" s="375">
        <f t="shared" si="20"/>
        <v>313700</v>
      </c>
      <c r="R44" s="375">
        <f t="shared" ref="R44:W44" si="21">SUM(R45:R51)</f>
        <v>311603</v>
      </c>
      <c r="S44" s="375">
        <f t="shared" si="21"/>
        <v>321464</v>
      </c>
      <c r="T44" s="375">
        <f t="shared" si="21"/>
        <v>320361</v>
      </c>
      <c r="U44" s="375">
        <f t="shared" si="21"/>
        <v>321752</v>
      </c>
      <c r="V44" s="375">
        <f t="shared" si="21"/>
        <v>313037</v>
      </c>
      <c r="W44" s="191">
        <f t="shared" si="21"/>
        <v>306584</v>
      </c>
      <c r="X44" s="166">
        <f>SUM(L44:W44)</f>
        <v>3748267</v>
      </c>
      <c r="Y44" s="58"/>
      <c r="Z44" s="52"/>
    </row>
    <row r="45" spans="1:26">
      <c r="A45" s="145">
        <f t="shared" si="19"/>
        <v>2023024</v>
      </c>
      <c r="B45" s="146"/>
      <c r="C45" s="641"/>
      <c r="D45" s="644"/>
      <c r="E45" s="647"/>
      <c r="F45" s="650"/>
      <c r="G45" s="647"/>
      <c r="H45" s="632"/>
      <c r="I45" s="635"/>
      <c r="J45" s="638"/>
      <c r="K45" s="188" t="s">
        <v>25</v>
      </c>
      <c r="L45" s="223">
        <v>262500</v>
      </c>
      <c r="M45" s="223">
        <v>260000</v>
      </c>
      <c r="N45" s="223">
        <v>257500</v>
      </c>
      <c r="O45" s="223">
        <v>260000</v>
      </c>
      <c r="P45" s="223">
        <v>247500</v>
      </c>
      <c r="Q45" s="348">
        <v>260000</v>
      </c>
      <c r="R45" s="348">
        <v>255000</v>
      </c>
      <c r="S45" s="348">
        <v>265000</v>
      </c>
      <c r="T45" s="348">
        <v>262500</v>
      </c>
      <c r="U45" s="348">
        <v>265000</v>
      </c>
      <c r="V45" s="348">
        <v>260000</v>
      </c>
      <c r="W45" s="178">
        <v>245000</v>
      </c>
      <c r="X45" s="165">
        <f t="shared" ref="X45:X51" si="22">SUM(L45:W45)</f>
        <v>3100000</v>
      </c>
      <c r="Y45" s="58"/>
      <c r="Z45" s="52"/>
    </row>
    <row r="46" spans="1:26" ht="12" customHeight="1">
      <c r="A46" s="145">
        <f t="shared" si="19"/>
        <v>2023024</v>
      </c>
      <c r="B46" s="146"/>
      <c r="C46" s="641"/>
      <c r="D46" s="644"/>
      <c r="E46" s="647"/>
      <c r="F46" s="650"/>
      <c r="G46" s="647"/>
      <c r="H46" s="632"/>
      <c r="I46" s="635"/>
      <c r="J46" s="638"/>
      <c r="K46" s="188" t="s">
        <v>30</v>
      </c>
      <c r="L46" s="223"/>
      <c r="M46" s="223"/>
      <c r="N46" s="223"/>
      <c r="O46" s="223"/>
      <c r="P46" s="223"/>
      <c r="Q46" s="348"/>
      <c r="R46" s="348"/>
      <c r="S46" s="348"/>
      <c r="T46" s="348"/>
      <c r="U46" s="348"/>
      <c r="V46" s="348"/>
      <c r="W46" s="178"/>
      <c r="X46" s="165">
        <f t="shared" si="22"/>
        <v>0</v>
      </c>
      <c r="Y46" s="58"/>
      <c r="Z46" s="52"/>
    </row>
    <row r="47" spans="1:26">
      <c r="A47" s="145">
        <f t="shared" si="19"/>
        <v>2023024</v>
      </c>
      <c r="B47" s="146"/>
      <c r="C47" s="641"/>
      <c r="D47" s="644"/>
      <c r="E47" s="647"/>
      <c r="F47" s="650"/>
      <c r="G47" s="647"/>
      <c r="H47" s="632"/>
      <c r="I47" s="635"/>
      <c r="J47" s="638"/>
      <c r="K47" s="189" t="s">
        <v>36</v>
      </c>
      <c r="L47" s="223">
        <v>14200</v>
      </c>
      <c r="M47" s="223">
        <v>15300</v>
      </c>
      <c r="N47" s="223">
        <v>13750</v>
      </c>
      <c r="O47" s="223">
        <v>17666</v>
      </c>
      <c r="P47" s="223">
        <v>10956</v>
      </c>
      <c r="Q47" s="348">
        <v>11924</v>
      </c>
      <c r="R47" s="348">
        <v>14850</v>
      </c>
      <c r="S47" s="348">
        <v>14608</v>
      </c>
      <c r="T47" s="348">
        <v>16016</v>
      </c>
      <c r="U47" s="348">
        <v>14894</v>
      </c>
      <c r="V47" s="348">
        <v>11088</v>
      </c>
      <c r="W47" s="178">
        <v>20427</v>
      </c>
      <c r="X47" s="165">
        <f t="shared" si="22"/>
        <v>175679</v>
      </c>
      <c r="Y47" s="58"/>
      <c r="Z47" s="52"/>
    </row>
    <row r="48" spans="1:26">
      <c r="A48" s="145">
        <f t="shared" si="19"/>
        <v>2023024</v>
      </c>
      <c r="B48" s="146"/>
      <c r="C48" s="641"/>
      <c r="D48" s="644"/>
      <c r="E48" s="647"/>
      <c r="F48" s="650"/>
      <c r="G48" s="647"/>
      <c r="H48" s="632"/>
      <c r="I48" s="635"/>
      <c r="J48" s="638"/>
      <c r="K48" s="189" t="s">
        <v>26</v>
      </c>
      <c r="L48" s="224">
        <v>11400</v>
      </c>
      <c r="M48" s="224">
        <v>11400</v>
      </c>
      <c r="N48" s="224">
        <v>11400</v>
      </c>
      <c r="O48" s="224">
        <v>11400</v>
      </c>
      <c r="P48" s="224">
        <v>11400</v>
      </c>
      <c r="Q48" s="349">
        <v>13300</v>
      </c>
      <c r="R48" s="349">
        <v>13300</v>
      </c>
      <c r="S48" s="349">
        <v>13300</v>
      </c>
      <c r="T48" s="349">
        <v>13300</v>
      </c>
      <c r="U48" s="349">
        <v>13300</v>
      </c>
      <c r="V48" s="349">
        <v>13300</v>
      </c>
      <c r="W48" s="179">
        <v>13300</v>
      </c>
      <c r="X48" s="165">
        <f t="shared" si="22"/>
        <v>150100</v>
      </c>
      <c r="Y48" s="58"/>
      <c r="Z48" s="52"/>
    </row>
    <row r="49" spans="1:26">
      <c r="A49" s="145">
        <f t="shared" si="19"/>
        <v>2023024</v>
      </c>
      <c r="B49" s="146"/>
      <c r="C49" s="641"/>
      <c r="D49" s="644"/>
      <c r="E49" s="647"/>
      <c r="F49" s="650"/>
      <c r="G49" s="647"/>
      <c r="H49" s="632"/>
      <c r="I49" s="635"/>
      <c r="J49" s="638"/>
      <c r="K49" s="189" t="s">
        <v>27</v>
      </c>
      <c r="L49" s="224">
        <v>21960</v>
      </c>
      <c r="M49" s="224">
        <v>21960</v>
      </c>
      <c r="N49" s="224">
        <v>21960</v>
      </c>
      <c r="O49" s="224">
        <v>21960</v>
      </c>
      <c r="P49" s="224">
        <v>21960</v>
      </c>
      <c r="Q49" s="349">
        <v>25620</v>
      </c>
      <c r="R49" s="349">
        <v>25620</v>
      </c>
      <c r="S49" s="349">
        <v>25620</v>
      </c>
      <c r="T49" s="349">
        <v>25620</v>
      </c>
      <c r="U49" s="349">
        <v>25620</v>
      </c>
      <c r="V49" s="349">
        <v>25620</v>
      </c>
      <c r="W49" s="179">
        <v>25620</v>
      </c>
      <c r="X49" s="165">
        <f t="shared" si="22"/>
        <v>289140</v>
      </c>
      <c r="Y49" s="58"/>
      <c r="Z49" s="52"/>
    </row>
    <row r="50" spans="1:26">
      <c r="A50" s="145">
        <f t="shared" si="19"/>
        <v>2023024</v>
      </c>
      <c r="B50" s="146"/>
      <c r="C50" s="641"/>
      <c r="D50" s="644"/>
      <c r="E50" s="647"/>
      <c r="F50" s="650"/>
      <c r="G50" s="647"/>
      <c r="H50" s="632"/>
      <c r="I50" s="635"/>
      <c r="J50" s="638"/>
      <c r="K50" s="189" t="s">
        <v>28</v>
      </c>
      <c r="L50" s="224">
        <v>1383</v>
      </c>
      <c r="M50" s="224">
        <v>1376</v>
      </c>
      <c r="N50" s="224">
        <v>1356</v>
      </c>
      <c r="O50" s="224">
        <v>746</v>
      </c>
      <c r="P50" s="224">
        <v>1292</v>
      </c>
      <c r="Q50" s="349">
        <v>1360</v>
      </c>
      <c r="R50" s="349">
        <v>1349</v>
      </c>
      <c r="S50" s="349">
        <v>1398</v>
      </c>
      <c r="T50" s="349">
        <v>1393</v>
      </c>
      <c r="U50" s="349">
        <v>1399</v>
      </c>
      <c r="V50" s="349">
        <v>1442</v>
      </c>
      <c r="W50" s="179">
        <v>746</v>
      </c>
      <c r="X50" s="165">
        <f t="shared" si="22"/>
        <v>15240</v>
      </c>
      <c r="Y50" s="58"/>
      <c r="Z50" s="52"/>
    </row>
    <row r="51" spans="1:26">
      <c r="A51" s="145">
        <f t="shared" si="19"/>
        <v>2023024</v>
      </c>
      <c r="B51" s="146"/>
      <c r="C51" s="641"/>
      <c r="D51" s="644"/>
      <c r="E51" s="647"/>
      <c r="F51" s="650"/>
      <c r="G51" s="647"/>
      <c r="H51" s="632"/>
      <c r="I51" s="635"/>
      <c r="J51" s="638"/>
      <c r="K51" s="190" t="s">
        <v>29</v>
      </c>
      <c r="L51" s="224">
        <v>1522</v>
      </c>
      <c r="M51" s="224">
        <v>1514</v>
      </c>
      <c r="N51" s="224">
        <v>1492</v>
      </c>
      <c r="O51" s="224">
        <v>1491</v>
      </c>
      <c r="P51" s="224">
        <v>1422</v>
      </c>
      <c r="Q51" s="349">
        <v>1496</v>
      </c>
      <c r="R51" s="349">
        <v>1484</v>
      </c>
      <c r="S51" s="349">
        <v>1538</v>
      </c>
      <c r="T51" s="349">
        <v>1532</v>
      </c>
      <c r="U51" s="349">
        <v>1539</v>
      </c>
      <c r="V51" s="349">
        <v>1587</v>
      </c>
      <c r="W51" s="179">
        <v>1491</v>
      </c>
      <c r="X51" s="167">
        <f t="shared" si="22"/>
        <v>18108</v>
      </c>
      <c r="Y51" s="58"/>
      <c r="Z51" s="52"/>
    </row>
    <row r="52" spans="1:26">
      <c r="A52" s="145">
        <f>+A51</f>
        <v>2023024</v>
      </c>
      <c r="B52" s="146"/>
      <c r="C52" s="642"/>
      <c r="D52" s="645"/>
      <c r="E52" s="648"/>
      <c r="F52" s="651"/>
      <c r="G52" s="648"/>
      <c r="H52" s="633"/>
      <c r="I52" s="636"/>
      <c r="J52" s="639"/>
      <c r="K52" s="104" t="s">
        <v>45</v>
      </c>
      <c r="L52" s="238">
        <f t="shared" ref="L52:Q52" si="23">L41-L44</f>
        <v>174535</v>
      </c>
      <c r="M52" s="251">
        <f t="shared" si="23"/>
        <v>173450</v>
      </c>
      <c r="N52" s="251">
        <f t="shared" si="23"/>
        <v>175042</v>
      </c>
      <c r="O52" s="251">
        <f t="shared" si="23"/>
        <v>171737</v>
      </c>
      <c r="P52" s="251">
        <f t="shared" si="23"/>
        <v>97120</v>
      </c>
      <c r="Q52" s="376">
        <f t="shared" si="23"/>
        <v>125730</v>
      </c>
      <c r="R52" s="376">
        <f t="shared" ref="R52:X52" si="24">R41-R44</f>
        <v>168397</v>
      </c>
      <c r="S52" s="376">
        <f t="shared" si="24"/>
        <v>168536</v>
      </c>
      <c r="T52" s="376">
        <f t="shared" si="24"/>
        <v>167139</v>
      </c>
      <c r="U52" s="376">
        <f t="shared" si="24"/>
        <v>168248</v>
      </c>
      <c r="V52" s="376">
        <f t="shared" si="24"/>
        <v>171963</v>
      </c>
      <c r="W52" s="192">
        <f t="shared" si="24"/>
        <v>143416</v>
      </c>
      <c r="X52" s="168">
        <f t="shared" si="24"/>
        <v>1905313</v>
      </c>
      <c r="Y52" s="58"/>
      <c r="Z52" s="52"/>
    </row>
    <row r="53" spans="1:26" ht="12.75" customHeight="1">
      <c r="A53" s="29">
        <v>2025021</v>
      </c>
      <c r="B53" s="445"/>
      <c r="C53" s="640">
        <f>C41+1</f>
        <v>5</v>
      </c>
      <c r="D53" s="643" t="s">
        <v>90</v>
      </c>
      <c r="E53" s="646"/>
      <c r="F53" s="643"/>
      <c r="G53" s="646"/>
      <c r="H53" s="631"/>
      <c r="I53" s="634" t="s">
        <v>94</v>
      </c>
      <c r="J53" s="637" t="s">
        <v>42</v>
      </c>
      <c r="K53" s="151" t="s">
        <v>43</v>
      </c>
      <c r="L53" s="235">
        <f t="shared" ref="L53:W53" si="25">L54+L55</f>
        <v>0</v>
      </c>
      <c r="M53" s="239">
        <f t="shared" si="25"/>
        <v>0</v>
      </c>
      <c r="N53" s="239">
        <f t="shared" si="25"/>
        <v>0</v>
      </c>
      <c r="O53" s="239">
        <f t="shared" si="25"/>
        <v>0</v>
      </c>
      <c r="P53" s="353">
        <f t="shared" si="25"/>
        <v>0</v>
      </c>
      <c r="Q53" s="384">
        <f t="shared" si="25"/>
        <v>0</v>
      </c>
      <c r="R53" s="384">
        <f t="shared" si="25"/>
        <v>0</v>
      </c>
      <c r="S53" s="384">
        <f t="shared" si="25"/>
        <v>0</v>
      </c>
      <c r="T53" s="384">
        <f t="shared" si="25"/>
        <v>0</v>
      </c>
      <c r="U53" s="384">
        <f t="shared" si="25"/>
        <v>277900</v>
      </c>
      <c r="V53" s="384">
        <f t="shared" si="25"/>
        <v>471000</v>
      </c>
      <c r="W53" s="160">
        <f t="shared" si="25"/>
        <v>480000</v>
      </c>
      <c r="X53" s="169">
        <f>SUM(L53:W53)</f>
        <v>1228900</v>
      </c>
      <c r="Z53" s="52"/>
    </row>
    <row r="54" spans="1:26">
      <c r="A54" s="145">
        <f>+A53</f>
        <v>2025021</v>
      </c>
      <c r="B54" s="146"/>
      <c r="C54" s="641"/>
      <c r="D54" s="644"/>
      <c r="E54" s="647"/>
      <c r="F54" s="644"/>
      <c r="G54" s="647"/>
      <c r="H54" s="632"/>
      <c r="I54" s="635"/>
      <c r="J54" s="638"/>
      <c r="K54" s="55" t="s">
        <v>44</v>
      </c>
      <c r="L54" s="229"/>
      <c r="M54" s="240"/>
      <c r="N54" s="240"/>
      <c r="O54" s="240"/>
      <c r="P54" s="240"/>
      <c r="Q54" s="373"/>
      <c r="R54" s="373"/>
      <c r="S54" s="373"/>
      <c r="T54" s="373"/>
      <c r="U54" s="373">
        <v>277900</v>
      </c>
      <c r="V54" s="373">
        <v>471000</v>
      </c>
      <c r="W54" s="56">
        <v>480000</v>
      </c>
      <c r="X54" s="165">
        <f>SUM(L54:W54)</f>
        <v>1228900</v>
      </c>
      <c r="Y54" s="58"/>
      <c r="Z54" s="52"/>
    </row>
    <row r="55" spans="1:26">
      <c r="A55" s="145">
        <f>+A54</f>
        <v>2025021</v>
      </c>
      <c r="B55" s="146"/>
      <c r="C55" s="641"/>
      <c r="D55" s="644"/>
      <c r="E55" s="647"/>
      <c r="F55" s="644"/>
      <c r="G55" s="647"/>
      <c r="H55" s="632"/>
      <c r="I55" s="635"/>
      <c r="J55" s="638"/>
      <c r="K55" s="147" t="s">
        <v>92</v>
      </c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59"/>
      <c r="X55" s="165">
        <v>0</v>
      </c>
      <c r="Y55" s="58"/>
      <c r="Z55" s="52"/>
    </row>
    <row r="56" spans="1:26">
      <c r="A56" s="145">
        <f t="shared" ref="A56:A63" si="26">+A55</f>
        <v>2025021</v>
      </c>
      <c r="B56" s="146"/>
      <c r="C56" s="641"/>
      <c r="D56" s="644"/>
      <c r="E56" s="647"/>
      <c r="F56" s="644"/>
      <c r="G56" s="647"/>
      <c r="H56" s="632"/>
      <c r="I56" s="635"/>
      <c r="J56" s="638"/>
      <c r="K56" s="61" t="s">
        <v>24</v>
      </c>
      <c r="L56" s="236">
        <f t="shared" ref="L56:W56" si="27">SUM(L57:L63)</f>
        <v>0</v>
      </c>
      <c r="M56" s="287">
        <f t="shared" si="27"/>
        <v>0</v>
      </c>
      <c r="N56" s="287">
        <f t="shared" si="27"/>
        <v>0</v>
      </c>
      <c r="O56" s="287">
        <f t="shared" si="27"/>
        <v>0</v>
      </c>
      <c r="P56" s="287">
        <f t="shared" si="27"/>
        <v>0</v>
      </c>
      <c r="Q56" s="287">
        <f t="shared" si="27"/>
        <v>0</v>
      </c>
      <c r="R56" s="287">
        <f t="shared" si="27"/>
        <v>0</v>
      </c>
      <c r="S56" s="287">
        <f t="shared" si="27"/>
        <v>0</v>
      </c>
      <c r="T56" s="382">
        <f t="shared" si="27"/>
        <v>0</v>
      </c>
      <c r="U56" s="375">
        <f t="shared" si="27"/>
        <v>369551</v>
      </c>
      <c r="V56" s="375">
        <f t="shared" si="27"/>
        <v>369791</v>
      </c>
      <c r="W56" s="191">
        <f t="shared" si="27"/>
        <v>365897</v>
      </c>
      <c r="X56" s="166">
        <f>SUM(L56:W56)</f>
        <v>1105239</v>
      </c>
      <c r="Y56" s="58"/>
      <c r="Z56" s="52"/>
    </row>
    <row r="57" spans="1:26">
      <c r="A57" s="145">
        <f t="shared" si="26"/>
        <v>2025021</v>
      </c>
      <c r="B57" s="146"/>
      <c r="C57" s="641"/>
      <c r="D57" s="644"/>
      <c r="E57" s="647"/>
      <c r="F57" s="644"/>
      <c r="G57" s="647"/>
      <c r="H57" s="632"/>
      <c r="I57" s="635"/>
      <c r="J57" s="638"/>
      <c r="K57" s="188" t="s">
        <v>25</v>
      </c>
      <c r="L57" s="223"/>
      <c r="M57" s="223"/>
      <c r="N57" s="223"/>
      <c r="O57" s="223"/>
      <c r="P57" s="223"/>
      <c r="Q57" s="348"/>
      <c r="R57" s="348"/>
      <c r="S57" s="348"/>
      <c r="T57" s="348"/>
      <c r="U57" s="348">
        <v>300000</v>
      </c>
      <c r="V57" s="348">
        <v>300000</v>
      </c>
      <c r="W57" s="178">
        <v>300000</v>
      </c>
      <c r="X57" s="165">
        <f t="shared" ref="X57:X63" si="28">SUM(L57:W57)</f>
        <v>900000</v>
      </c>
      <c r="Y57" s="58"/>
      <c r="Z57" s="52"/>
    </row>
    <row r="58" spans="1:26" ht="12" customHeight="1">
      <c r="A58" s="145">
        <f t="shared" si="26"/>
        <v>2025021</v>
      </c>
      <c r="B58" s="146"/>
      <c r="C58" s="641"/>
      <c r="D58" s="644"/>
      <c r="E58" s="647"/>
      <c r="F58" s="644"/>
      <c r="G58" s="647"/>
      <c r="H58" s="632"/>
      <c r="I58" s="635"/>
      <c r="J58" s="638"/>
      <c r="K58" s="188" t="s">
        <v>30</v>
      </c>
      <c r="L58" s="223"/>
      <c r="M58" s="223"/>
      <c r="N58" s="223"/>
      <c r="O58" s="223"/>
      <c r="P58" s="223"/>
      <c r="Q58" s="348"/>
      <c r="R58" s="348"/>
      <c r="S58" s="348"/>
      <c r="T58" s="348"/>
      <c r="U58" s="348"/>
      <c r="V58" s="348"/>
      <c r="W58" s="178"/>
      <c r="X58" s="165">
        <f t="shared" si="28"/>
        <v>0</v>
      </c>
      <c r="Y58" s="58"/>
      <c r="Z58" s="52"/>
    </row>
    <row r="59" spans="1:26">
      <c r="A59" s="145">
        <f t="shared" si="26"/>
        <v>2025021</v>
      </c>
      <c r="B59" s="146"/>
      <c r="C59" s="641"/>
      <c r="D59" s="644"/>
      <c r="E59" s="647"/>
      <c r="F59" s="644"/>
      <c r="G59" s="647"/>
      <c r="H59" s="632"/>
      <c r="I59" s="635"/>
      <c r="J59" s="638"/>
      <c r="K59" s="189" t="s">
        <v>36</v>
      </c>
      <c r="L59" s="223"/>
      <c r="M59" s="223"/>
      <c r="N59" s="223"/>
      <c r="O59" s="223"/>
      <c r="P59" s="223"/>
      <c r="Q59" s="348"/>
      <c r="R59" s="348"/>
      <c r="S59" s="448"/>
      <c r="T59" s="448"/>
      <c r="U59" s="348">
        <v>21694</v>
      </c>
      <c r="V59" s="348">
        <v>21750</v>
      </c>
      <c r="W59" s="178">
        <v>21750</v>
      </c>
      <c r="X59" s="165">
        <f t="shared" si="28"/>
        <v>65194</v>
      </c>
      <c r="Y59" s="58"/>
      <c r="Z59" s="52"/>
    </row>
    <row r="60" spans="1:26">
      <c r="A60" s="145">
        <f t="shared" si="26"/>
        <v>2025021</v>
      </c>
      <c r="B60" s="146"/>
      <c r="C60" s="641"/>
      <c r="D60" s="644"/>
      <c r="E60" s="647"/>
      <c r="F60" s="644"/>
      <c r="G60" s="647"/>
      <c r="H60" s="632"/>
      <c r="I60" s="635"/>
      <c r="J60" s="638"/>
      <c r="K60" s="189" t="s">
        <v>26</v>
      </c>
      <c r="L60" s="224"/>
      <c r="M60" s="224"/>
      <c r="N60" s="224"/>
      <c r="O60" s="224"/>
      <c r="P60" s="224"/>
      <c r="Q60" s="349"/>
      <c r="R60" s="349"/>
      <c r="S60" s="449"/>
      <c r="T60" s="449"/>
      <c r="U60" s="349">
        <v>15200</v>
      </c>
      <c r="V60" s="349">
        <v>15200</v>
      </c>
      <c r="W60" s="179">
        <v>14250</v>
      </c>
      <c r="X60" s="165">
        <f t="shared" si="28"/>
        <v>44650</v>
      </c>
      <c r="Y60" s="58"/>
      <c r="Z60" s="52"/>
    </row>
    <row r="61" spans="1:26">
      <c r="A61" s="145">
        <f t="shared" si="26"/>
        <v>2025021</v>
      </c>
      <c r="B61" s="146"/>
      <c r="C61" s="641"/>
      <c r="D61" s="644"/>
      <c r="E61" s="647"/>
      <c r="F61" s="644"/>
      <c r="G61" s="647"/>
      <c r="H61" s="632"/>
      <c r="I61" s="635"/>
      <c r="J61" s="638"/>
      <c r="K61" s="189" t="s">
        <v>27</v>
      </c>
      <c r="L61" s="224"/>
      <c r="M61" s="224"/>
      <c r="N61" s="224"/>
      <c r="O61" s="224"/>
      <c r="P61" s="224"/>
      <c r="Q61" s="349"/>
      <c r="R61" s="349"/>
      <c r="S61" s="449"/>
      <c r="T61" s="449"/>
      <c r="U61" s="349">
        <v>29280</v>
      </c>
      <c r="V61" s="349">
        <v>29280</v>
      </c>
      <c r="W61" s="179">
        <v>27450</v>
      </c>
      <c r="X61" s="165">
        <f t="shared" si="28"/>
        <v>86010</v>
      </c>
      <c r="Y61" s="58"/>
      <c r="Z61" s="52"/>
    </row>
    <row r="62" spans="1:26">
      <c r="A62" s="145">
        <f t="shared" si="26"/>
        <v>2025021</v>
      </c>
      <c r="B62" s="146"/>
      <c r="C62" s="641"/>
      <c r="D62" s="644"/>
      <c r="E62" s="647"/>
      <c r="F62" s="644"/>
      <c r="G62" s="647"/>
      <c r="H62" s="632"/>
      <c r="I62" s="635"/>
      <c r="J62" s="638"/>
      <c r="K62" s="189" t="s">
        <v>28</v>
      </c>
      <c r="L62" s="224"/>
      <c r="M62" s="224"/>
      <c r="N62" s="224"/>
      <c r="O62" s="224"/>
      <c r="P62" s="224"/>
      <c r="Q62" s="349"/>
      <c r="R62" s="349"/>
      <c r="S62" s="449"/>
      <c r="T62" s="449"/>
      <c r="U62" s="349">
        <v>1608</v>
      </c>
      <c r="V62" s="349">
        <v>1696</v>
      </c>
      <c r="W62" s="179">
        <v>816</v>
      </c>
      <c r="X62" s="165">
        <f t="shared" si="28"/>
        <v>4120</v>
      </c>
      <c r="Y62" s="58"/>
      <c r="Z62" s="52"/>
    </row>
    <row r="63" spans="1:26">
      <c r="A63" s="145">
        <f t="shared" si="26"/>
        <v>2025021</v>
      </c>
      <c r="B63" s="146"/>
      <c r="C63" s="641"/>
      <c r="D63" s="644"/>
      <c r="E63" s="647"/>
      <c r="F63" s="644"/>
      <c r="G63" s="647"/>
      <c r="H63" s="632"/>
      <c r="I63" s="635"/>
      <c r="J63" s="638"/>
      <c r="K63" s="190" t="s">
        <v>29</v>
      </c>
      <c r="L63" s="224"/>
      <c r="M63" s="224"/>
      <c r="N63" s="224"/>
      <c r="O63" s="224"/>
      <c r="P63" s="224"/>
      <c r="Q63" s="349"/>
      <c r="R63" s="349"/>
      <c r="S63" s="449"/>
      <c r="T63" s="449"/>
      <c r="U63" s="349">
        <v>1769</v>
      </c>
      <c r="V63" s="349">
        <v>1865</v>
      </c>
      <c r="W63" s="179">
        <v>1631</v>
      </c>
      <c r="X63" s="167">
        <f t="shared" si="28"/>
        <v>5265</v>
      </c>
      <c r="Y63" s="58"/>
      <c r="Z63" s="52"/>
    </row>
    <row r="64" spans="1:26">
      <c r="A64" s="145">
        <f>+A63</f>
        <v>2025021</v>
      </c>
      <c r="B64" s="146"/>
      <c r="C64" s="642"/>
      <c r="D64" s="645"/>
      <c r="E64" s="648"/>
      <c r="F64" s="645"/>
      <c r="G64" s="648"/>
      <c r="H64" s="633"/>
      <c r="I64" s="636"/>
      <c r="J64" s="639"/>
      <c r="K64" s="104" t="s">
        <v>45</v>
      </c>
      <c r="L64" s="238">
        <f t="shared" ref="L64:X64" si="29">L53-L56</f>
        <v>0</v>
      </c>
      <c r="M64" s="251">
        <f t="shared" si="29"/>
        <v>0</v>
      </c>
      <c r="N64" s="251">
        <f t="shared" si="29"/>
        <v>0</v>
      </c>
      <c r="O64" s="251">
        <f t="shared" si="29"/>
        <v>0</v>
      </c>
      <c r="P64" s="251">
        <f t="shared" si="29"/>
        <v>0</v>
      </c>
      <c r="Q64" s="376">
        <f t="shared" si="29"/>
        <v>0</v>
      </c>
      <c r="R64" s="376">
        <f t="shared" si="29"/>
        <v>0</v>
      </c>
      <c r="S64" s="376">
        <f t="shared" si="29"/>
        <v>0</v>
      </c>
      <c r="T64" s="376">
        <f t="shared" si="29"/>
        <v>0</v>
      </c>
      <c r="U64" s="376">
        <f t="shared" si="29"/>
        <v>-91651</v>
      </c>
      <c r="V64" s="376">
        <f t="shared" si="29"/>
        <v>101209</v>
      </c>
      <c r="W64" s="192">
        <f t="shared" si="29"/>
        <v>114103</v>
      </c>
      <c r="X64" s="168">
        <f t="shared" si="29"/>
        <v>123661</v>
      </c>
      <c r="Y64" s="58"/>
      <c r="Z64" s="52"/>
    </row>
    <row r="65" spans="1:26" ht="12.75" customHeight="1">
      <c r="A65" s="29">
        <v>2024008</v>
      </c>
      <c r="C65" s="640">
        <f>C41+1</f>
        <v>5</v>
      </c>
      <c r="D65" s="643" t="s">
        <v>90</v>
      </c>
      <c r="E65" s="646"/>
      <c r="F65" s="649"/>
      <c r="G65" s="646"/>
      <c r="H65" s="631"/>
      <c r="I65" s="634" t="s">
        <v>95</v>
      </c>
      <c r="J65" s="637" t="s">
        <v>42</v>
      </c>
      <c r="K65" s="151" t="s">
        <v>43</v>
      </c>
      <c r="L65" s="239">
        <f t="shared" ref="L65" si="30">L66+L67</f>
        <v>492500</v>
      </c>
      <c r="M65" s="239">
        <f t="shared" ref="M65:Q65" si="31">M66+M67</f>
        <v>495000</v>
      </c>
      <c r="N65" s="239">
        <f t="shared" si="31"/>
        <v>490000</v>
      </c>
      <c r="O65" s="239">
        <f t="shared" si="31"/>
        <v>491955</v>
      </c>
      <c r="P65" s="353">
        <f t="shared" si="31"/>
        <v>490000</v>
      </c>
      <c r="Q65" s="384">
        <f t="shared" si="31"/>
        <v>492500</v>
      </c>
      <c r="R65" s="384">
        <f t="shared" ref="R65:W65" si="32">R66+R67</f>
        <v>495000</v>
      </c>
      <c r="S65" s="384">
        <f t="shared" si="32"/>
        <v>401445</v>
      </c>
      <c r="T65" s="384">
        <f t="shared" si="32"/>
        <v>498440</v>
      </c>
      <c r="U65" s="384">
        <f t="shared" si="32"/>
        <v>500000</v>
      </c>
      <c r="V65" s="384">
        <f t="shared" si="32"/>
        <v>462180</v>
      </c>
      <c r="W65" s="160">
        <f t="shared" si="32"/>
        <v>460000</v>
      </c>
      <c r="X65" s="169">
        <f>SUM(L65:W65)</f>
        <v>5769020</v>
      </c>
      <c r="Z65" s="52"/>
    </row>
    <row r="66" spans="1:26">
      <c r="A66" s="145">
        <f>+A65</f>
        <v>2024008</v>
      </c>
      <c r="B66" s="146"/>
      <c r="C66" s="641"/>
      <c r="D66" s="644"/>
      <c r="E66" s="647"/>
      <c r="F66" s="650"/>
      <c r="G66" s="647"/>
      <c r="H66" s="632"/>
      <c r="I66" s="635"/>
      <c r="J66" s="638"/>
      <c r="K66" s="55" t="s">
        <v>44</v>
      </c>
      <c r="L66" s="240">
        <v>475000</v>
      </c>
      <c r="M66" s="240">
        <v>475000</v>
      </c>
      <c r="N66" s="240">
        <v>475000</v>
      </c>
      <c r="O66" s="240">
        <v>479455</v>
      </c>
      <c r="P66" s="240">
        <v>475000</v>
      </c>
      <c r="Q66" s="373">
        <v>475000</v>
      </c>
      <c r="R66" s="373">
        <v>475000</v>
      </c>
      <c r="S66" s="373">
        <v>381445</v>
      </c>
      <c r="T66" s="373">
        <v>480940</v>
      </c>
      <c r="U66" s="373">
        <v>475000</v>
      </c>
      <c r="V66" s="373">
        <v>457180</v>
      </c>
      <c r="W66" s="114">
        <v>460000</v>
      </c>
      <c r="X66" s="165">
        <f>SUM(L66:W66)</f>
        <v>5584020</v>
      </c>
      <c r="Y66" s="58"/>
      <c r="Z66" s="52"/>
    </row>
    <row r="67" spans="1:26">
      <c r="A67" s="145">
        <f>+A66</f>
        <v>2024008</v>
      </c>
      <c r="B67" s="146"/>
      <c r="C67" s="641"/>
      <c r="D67" s="644"/>
      <c r="E67" s="647"/>
      <c r="F67" s="650"/>
      <c r="G67" s="647"/>
      <c r="H67" s="632"/>
      <c r="I67" s="635"/>
      <c r="J67" s="638"/>
      <c r="K67" s="147" t="s">
        <v>92</v>
      </c>
      <c r="L67" s="444">
        <v>17500</v>
      </c>
      <c r="M67" s="444">
        <v>20000</v>
      </c>
      <c r="N67" s="444">
        <v>15000</v>
      </c>
      <c r="O67" s="444">
        <v>12500</v>
      </c>
      <c r="P67" s="444">
        <v>15000</v>
      </c>
      <c r="Q67" s="444">
        <v>17500</v>
      </c>
      <c r="R67" s="444">
        <v>20000</v>
      </c>
      <c r="S67" s="444">
        <v>20000</v>
      </c>
      <c r="T67" s="444">
        <v>17500</v>
      </c>
      <c r="U67" s="444">
        <v>25000</v>
      </c>
      <c r="V67" s="444">
        <v>5000</v>
      </c>
      <c r="W67" s="455">
        <v>0</v>
      </c>
      <c r="X67" s="165">
        <v>0</v>
      </c>
      <c r="Y67" s="58"/>
      <c r="Z67" s="52"/>
    </row>
    <row r="68" spans="1:26">
      <c r="A68" s="145">
        <f t="shared" ref="A68:A75" si="33">+A67</f>
        <v>2024008</v>
      </c>
      <c r="B68" s="146"/>
      <c r="C68" s="641"/>
      <c r="D68" s="644"/>
      <c r="E68" s="647"/>
      <c r="F68" s="650"/>
      <c r="G68" s="647"/>
      <c r="H68" s="632"/>
      <c r="I68" s="635"/>
      <c r="J68" s="638"/>
      <c r="K68" s="61" t="s">
        <v>24</v>
      </c>
      <c r="L68" s="236">
        <f t="shared" ref="L68:Q68" si="34">SUM(L69:L75)</f>
        <v>307590</v>
      </c>
      <c r="M68" s="287">
        <f t="shared" si="34"/>
        <v>312136</v>
      </c>
      <c r="N68" s="287">
        <f t="shared" si="34"/>
        <v>303062</v>
      </c>
      <c r="O68" s="286">
        <f t="shared" si="34"/>
        <v>299141</v>
      </c>
      <c r="P68" s="286">
        <f t="shared" si="34"/>
        <v>301203</v>
      </c>
      <c r="Q68" s="375">
        <f t="shared" si="34"/>
        <v>309298</v>
      </c>
      <c r="R68" s="375">
        <f t="shared" ref="R68:W68" si="35">SUM(R69:R75)</f>
        <v>311249</v>
      </c>
      <c r="S68" s="375">
        <f t="shared" si="35"/>
        <v>310158</v>
      </c>
      <c r="T68" s="375">
        <f t="shared" si="35"/>
        <v>314145</v>
      </c>
      <c r="U68" s="375">
        <f t="shared" si="35"/>
        <v>318630</v>
      </c>
      <c r="V68" s="375">
        <f t="shared" si="35"/>
        <v>296648</v>
      </c>
      <c r="W68" s="191">
        <f t="shared" si="35"/>
        <v>298890</v>
      </c>
      <c r="X68" s="166">
        <f>SUM(L68:W68)</f>
        <v>3682150</v>
      </c>
      <c r="Y68" s="58"/>
      <c r="Z68" s="52"/>
    </row>
    <row r="69" spans="1:26">
      <c r="A69" s="145">
        <f t="shared" si="33"/>
        <v>2024008</v>
      </c>
      <c r="B69" s="146"/>
      <c r="C69" s="641"/>
      <c r="D69" s="644"/>
      <c r="E69" s="647"/>
      <c r="F69" s="650"/>
      <c r="G69" s="647"/>
      <c r="H69" s="632"/>
      <c r="I69" s="635"/>
      <c r="J69" s="638"/>
      <c r="K69" s="188" t="s">
        <v>25</v>
      </c>
      <c r="L69" s="223">
        <v>266100</v>
      </c>
      <c r="M69" s="223">
        <v>270600</v>
      </c>
      <c r="N69" s="223">
        <v>265200</v>
      </c>
      <c r="O69" s="223">
        <v>262466</v>
      </c>
      <c r="P69" s="223">
        <v>262000</v>
      </c>
      <c r="Q69" s="348">
        <v>266900</v>
      </c>
      <c r="R69" s="348">
        <v>267800</v>
      </c>
      <c r="S69" s="348">
        <v>267400</v>
      </c>
      <c r="T69" s="348">
        <v>270325</v>
      </c>
      <c r="U69" s="348">
        <v>274800</v>
      </c>
      <c r="V69" s="348">
        <v>253200</v>
      </c>
      <c r="W69" s="178">
        <v>245000</v>
      </c>
      <c r="X69" s="165">
        <f t="shared" ref="X69:X75" si="36">SUM(L69:W69)</f>
        <v>3171791</v>
      </c>
      <c r="Y69" s="58"/>
      <c r="Z69" s="52"/>
    </row>
    <row r="70" spans="1:26" ht="12" customHeight="1">
      <c r="A70" s="145">
        <f t="shared" si="33"/>
        <v>2024008</v>
      </c>
      <c r="B70" s="146"/>
      <c r="C70" s="641"/>
      <c r="D70" s="644"/>
      <c r="E70" s="647"/>
      <c r="F70" s="650"/>
      <c r="G70" s="647"/>
      <c r="H70" s="632"/>
      <c r="I70" s="635"/>
      <c r="J70" s="638"/>
      <c r="K70" s="188" t="s">
        <v>30</v>
      </c>
      <c r="L70" s="223"/>
      <c r="M70" s="223"/>
      <c r="N70" s="223"/>
      <c r="O70" s="223"/>
      <c r="P70" s="223"/>
      <c r="Q70" s="348"/>
      <c r="R70" s="348"/>
      <c r="S70" s="348"/>
      <c r="T70" s="348"/>
      <c r="U70" s="348"/>
      <c r="V70" s="348"/>
      <c r="W70" s="178"/>
      <c r="X70" s="165">
        <f t="shared" si="36"/>
        <v>0</v>
      </c>
      <c r="Y70" s="58"/>
      <c r="Z70" s="52"/>
    </row>
    <row r="71" spans="1:26">
      <c r="A71" s="145">
        <f t="shared" si="33"/>
        <v>2024008</v>
      </c>
      <c r="B71" s="146"/>
      <c r="C71" s="641"/>
      <c r="D71" s="644"/>
      <c r="E71" s="647"/>
      <c r="F71" s="650"/>
      <c r="G71" s="647"/>
      <c r="H71" s="632"/>
      <c r="I71" s="635"/>
      <c r="J71" s="638"/>
      <c r="K71" s="189" t="s">
        <v>36</v>
      </c>
      <c r="L71" s="223">
        <v>5280</v>
      </c>
      <c r="M71" s="223">
        <v>5280</v>
      </c>
      <c r="N71" s="223">
        <v>1700</v>
      </c>
      <c r="O71" s="223">
        <v>1020</v>
      </c>
      <c r="P71" s="223">
        <v>3060</v>
      </c>
      <c r="Q71" s="348">
        <v>668</v>
      </c>
      <c r="R71" s="348">
        <v>1700</v>
      </c>
      <c r="S71" s="348">
        <v>1020</v>
      </c>
      <c r="T71" s="348">
        <v>2040</v>
      </c>
      <c r="U71" s="348">
        <v>2004</v>
      </c>
      <c r="V71" s="348">
        <v>1670</v>
      </c>
      <c r="W71" s="178">
        <v>12675</v>
      </c>
      <c r="X71" s="165">
        <f t="shared" si="36"/>
        <v>38117</v>
      </c>
      <c r="Y71" s="58"/>
      <c r="Z71" s="52"/>
    </row>
    <row r="72" spans="1:26">
      <c r="A72" s="145">
        <f t="shared" si="33"/>
        <v>2024008</v>
      </c>
      <c r="B72" s="146"/>
      <c r="C72" s="641"/>
      <c r="D72" s="644"/>
      <c r="E72" s="647"/>
      <c r="F72" s="650"/>
      <c r="G72" s="647"/>
      <c r="H72" s="632"/>
      <c r="I72" s="635"/>
      <c r="J72" s="638"/>
      <c r="K72" s="189" t="s">
        <v>26</v>
      </c>
      <c r="L72" s="224">
        <v>11400</v>
      </c>
      <c r="M72" s="224">
        <v>11400</v>
      </c>
      <c r="N72" s="224">
        <v>11400</v>
      </c>
      <c r="O72" s="224">
        <v>11400</v>
      </c>
      <c r="P72" s="224">
        <v>11400</v>
      </c>
      <c r="Q72" s="349">
        <v>13300</v>
      </c>
      <c r="R72" s="349">
        <v>13300</v>
      </c>
      <c r="S72" s="349">
        <v>13300</v>
      </c>
      <c r="T72" s="349">
        <v>13300</v>
      </c>
      <c r="U72" s="349">
        <v>13300</v>
      </c>
      <c r="V72" s="349">
        <v>13300</v>
      </c>
      <c r="W72" s="179">
        <v>13300</v>
      </c>
      <c r="X72" s="165">
        <f t="shared" si="36"/>
        <v>150100</v>
      </c>
      <c r="Y72" s="58"/>
      <c r="Z72" s="52"/>
    </row>
    <row r="73" spans="1:26">
      <c r="A73" s="145">
        <f t="shared" si="33"/>
        <v>2024008</v>
      </c>
      <c r="B73" s="146"/>
      <c r="C73" s="641"/>
      <c r="D73" s="644"/>
      <c r="E73" s="647"/>
      <c r="F73" s="650"/>
      <c r="G73" s="647"/>
      <c r="H73" s="632"/>
      <c r="I73" s="635"/>
      <c r="J73" s="638"/>
      <c r="K73" s="189" t="s">
        <v>27</v>
      </c>
      <c r="L73" s="224">
        <v>21960</v>
      </c>
      <c r="M73" s="224">
        <v>21960</v>
      </c>
      <c r="N73" s="224">
        <v>21960</v>
      </c>
      <c r="O73" s="224">
        <v>21960</v>
      </c>
      <c r="P73" s="224">
        <v>21960</v>
      </c>
      <c r="Q73" s="349">
        <v>25620</v>
      </c>
      <c r="R73" s="349">
        <v>25620</v>
      </c>
      <c r="S73" s="349">
        <v>25620</v>
      </c>
      <c r="T73" s="349">
        <v>25620</v>
      </c>
      <c r="U73" s="349">
        <v>25620</v>
      </c>
      <c r="V73" s="349">
        <v>25620</v>
      </c>
      <c r="W73" s="179">
        <v>25620</v>
      </c>
      <c r="X73" s="165">
        <f t="shared" si="36"/>
        <v>289140</v>
      </c>
      <c r="Y73" s="58"/>
      <c r="Z73" s="52"/>
    </row>
    <row r="74" spans="1:26">
      <c r="A74" s="145">
        <f t="shared" si="33"/>
        <v>2024008</v>
      </c>
      <c r="B74" s="146"/>
      <c r="C74" s="641"/>
      <c r="D74" s="644"/>
      <c r="E74" s="647"/>
      <c r="F74" s="650"/>
      <c r="G74" s="647"/>
      <c r="H74" s="632"/>
      <c r="I74" s="635"/>
      <c r="J74" s="638"/>
      <c r="K74" s="189" t="s">
        <v>28</v>
      </c>
      <c r="L74" s="224">
        <v>1357</v>
      </c>
      <c r="M74" s="224">
        <v>1379</v>
      </c>
      <c r="N74" s="224">
        <v>1334</v>
      </c>
      <c r="O74" s="224">
        <v>765</v>
      </c>
      <c r="P74" s="224">
        <v>1325</v>
      </c>
      <c r="Q74" s="349">
        <v>1338</v>
      </c>
      <c r="R74" s="349">
        <v>1347</v>
      </c>
      <c r="S74" s="349">
        <v>1342</v>
      </c>
      <c r="T74" s="349">
        <v>1362</v>
      </c>
      <c r="U74" s="349">
        <v>1384</v>
      </c>
      <c r="V74" s="349">
        <v>1361</v>
      </c>
      <c r="W74" s="179">
        <v>765</v>
      </c>
      <c r="X74" s="165">
        <f t="shared" si="36"/>
        <v>15059</v>
      </c>
      <c r="Y74" s="58"/>
      <c r="Z74" s="52"/>
    </row>
    <row r="75" spans="1:26">
      <c r="A75" s="145">
        <f t="shared" si="33"/>
        <v>2024008</v>
      </c>
      <c r="B75" s="146"/>
      <c r="C75" s="641"/>
      <c r="D75" s="644"/>
      <c r="E75" s="647"/>
      <c r="F75" s="650"/>
      <c r="G75" s="647"/>
      <c r="H75" s="632"/>
      <c r="I75" s="635"/>
      <c r="J75" s="638"/>
      <c r="K75" s="190" t="s">
        <v>29</v>
      </c>
      <c r="L75" s="224">
        <v>1493</v>
      </c>
      <c r="M75" s="224">
        <v>1517</v>
      </c>
      <c r="N75" s="224">
        <v>1468</v>
      </c>
      <c r="O75" s="224">
        <v>1530</v>
      </c>
      <c r="P75" s="224">
        <v>1458</v>
      </c>
      <c r="Q75" s="349">
        <v>1472</v>
      </c>
      <c r="R75" s="349">
        <v>1482</v>
      </c>
      <c r="S75" s="349">
        <v>1476</v>
      </c>
      <c r="T75" s="349">
        <v>1498</v>
      </c>
      <c r="U75" s="349">
        <v>1522</v>
      </c>
      <c r="V75" s="349">
        <v>1497</v>
      </c>
      <c r="W75" s="179">
        <v>1530</v>
      </c>
      <c r="X75" s="167">
        <f t="shared" si="36"/>
        <v>17943</v>
      </c>
      <c r="Y75" s="58"/>
      <c r="Z75" s="52"/>
    </row>
    <row r="76" spans="1:26">
      <c r="A76" s="145">
        <f>+A75</f>
        <v>2024008</v>
      </c>
      <c r="B76" s="146"/>
      <c r="C76" s="642"/>
      <c r="D76" s="645"/>
      <c r="E76" s="648"/>
      <c r="F76" s="651"/>
      <c r="G76" s="648"/>
      <c r="H76" s="633"/>
      <c r="I76" s="636"/>
      <c r="J76" s="639"/>
      <c r="K76" s="104" t="s">
        <v>45</v>
      </c>
      <c r="L76" s="238">
        <f t="shared" ref="L76:Q76" si="37">L65-L68</f>
        <v>184910</v>
      </c>
      <c r="M76" s="251">
        <f t="shared" si="37"/>
        <v>182864</v>
      </c>
      <c r="N76" s="251">
        <f t="shared" si="37"/>
        <v>186938</v>
      </c>
      <c r="O76" s="251">
        <f t="shared" si="37"/>
        <v>192814</v>
      </c>
      <c r="P76" s="251">
        <f t="shared" si="37"/>
        <v>188797</v>
      </c>
      <c r="Q76" s="376">
        <f t="shared" si="37"/>
        <v>183202</v>
      </c>
      <c r="R76" s="376">
        <f t="shared" ref="R76:X76" si="38">R65-R68</f>
        <v>183751</v>
      </c>
      <c r="S76" s="376">
        <f t="shared" si="38"/>
        <v>91287</v>
      </c>
      <c r="T76" s="376">
        <f t="shared" si="38"/>
        <v>184295</v>
      </c>
      <c r="U76" s="376">
        <f t="shared" si="38"/>
        <v>181370</v>
      </c>
      <c r="V76" s="376">
        <f t="shared" si="38"/>
        <v>165532</v>
      </c>
      <c r="W76" s="192">
        <f t="shared" si="38"/>
        <v>161110</v>
      </c>
      <c r="X76" s="168">
        <f t="shared" si="38"/>
        <v>2086870</v>
      </c>
      <c r="Y76" s="58"/>
      <c r="Z76" s="52"/>
    </row>
    <row r="77" spans="1:26" ht="12.75" customHeight="1">
      <c r="A77" s="29">
        <v>2024012</v>
      </c>
      <c r="C77" s="656">
        <f>C65+1</f>
        <v>6</v>
      </c>
      <c r="D77" s="643" t="s">
        <v>90</v>
      </c>
      <c r="E77" s="643" t="s">
        <v>97</v>
      </c>
      <c r="F77" s="643"/>
      <c r="G77" s="643"/>
      <c r="H77" s="652"/>
      <c r="I77" s="652" t="s">
        <v>96</v>
      </c>
      <c r="J77" s="654" t="s">
        <v>42</v>
      </c>
      <c r="K77" s="388" t="s">
        <v>43</v>
      </c>
      <c r="L77" s="239">
        <f t="shared" ref="L77" si="39">L78+L79</f>
        <v>420000</v>
      </c>
      <c r="M77" s="239">
        <f t="shared" ref="M77:Q77" si="40">M78+M79</f>
        <v>420000</v>
      </c>
      <c r="N77" s="239">
        <f t="shared" si="40"/>
        <v>420000</v>
      </c>
      <c r="O77" s="239">
        <f t="shared" si="40"/>
        <v>420000</v>
      </c>
      <c r="P77" s="353">
        <f t="shared" si="40"/>
        <v>347675</v>
      </c>
      <c r="Q77" s="353">
        <f t="shared" si="40"/>
        <v>420000</v>
      </c>
      <c r="R77" s="353">
        <f t="shared" ref="R77:W77" si="41">R78+R79</f>
        <v>0</v>
      </c>
      <c r="S77" s="353">
        <f t="shared" si="41"/>
        <v>0</v>
      </c>
      <c r="T77" s="353">
        <f t="shared" si="41"/>
        <v>0</v>
      </c>
      <c r="U77" s="384">
        <f t="shared" si="41"/>
        <v>0</v>
      </c>
      <c r="V77" s="384">
        <f t="shared" si="41"/>
        <v>0</v>
      </c>
      <c r="W77" s="467">
        <f t="shared" si="41"/>
        <v>0</v>
      </c>
      <c r="X77" s="468">
        <f>SUM(L77:W77)</f>
        <v>2447675</v>
      </c>
      <c r="Z77" s="52"/>
    </row>
    <row r="78" spans="1:26">
      <c r="A78" s="145">
        <f>+A77</f>
        <v>2024012</v>
      </c>
      <c r="B78" s="146"/>
      <c r="C78" s="657"/>
      <c r="D78" s="644"/>
      <c r="E78" s="644"/>
      <c r="F78" s="644"/>
      <c r="G78" s="644"/>
      <c r="H78" s="653"/>
      <c r="I78" s="653"/>
      <c r="J78" s="655"/>
      <c r="K78" s="106" t="s">
        <v>44</v>
      </c>
      <c r="L78" s="240">
        <v>420000</v>
      </c>
      <c r="M78" s="240">
        <v>420000</v>
      </c>
      <c r="N78" s="240">
        <v>420000</v>
      </c>
      <c r="O78" s="240">
        <v>420000</v>
      </c>
      <c r="P78" s="240">
        <v>347675</v>
      </c>
      <c r="Q78" s="240">
        <v>420000</v>
      </c>
      <c r="R78" s="240"/>
      <c r="S78" s="240"/>
      <c r="T78" s="240"/>
      <c r="U78" s="373"/>
      <c r="V78" s="373"/>
      <c r="W78" s="361"/>
      <c r="X78" s="469">
        <f>SUM(L78:W78)</f>
        <v>2447675</v>
      </c>
      <c r="Y78" s="58"/>
      <c r="Z78" s="52"/>
    </row>
    <row r="79" spans="1:26">
      <c r="A79" s="145">
        <f>+A78</f>
        <v>2024012</v>
      </c>
      <c r="B79" s="146"/>
      <c r="C79" s="657"/>
      <c r="D79" s="644"/>
      <c r="E79" s="644"/>
      <c r="F79" s="644"/>
      <c r="G79" s="644"/>
      <c r="H79" s="653"/>
      <c r="I79" s="653"/>
      <c r="J79" s="655"/>
      <c r="K79" s="106" t="s">
        <v>38</v>
      </c>
      <c r="L79" s="229"/>
      <c r="M79" s="240"/>
      <c r="N79" s="240"/>
      <c r="O79" s="247"/>
      <c r="P79" s="247"/>
      <c r="Q79" s="247"/>
      <c r="R79" s="247"/>
      <c r="S79" s="247"/>
      <c r="T79" s="247"/>
      <c r="U79" s="374"/>
      <c r="V79" s="374"/>
      <c r="W79" s="470"/>
      <c r="X79" s="469">
        <v>0</v>
      </c>
      <c r="Y79" s="58"/>
      <c r="Z79" s="52"/>
    </row>
    <row r="80" spans="1:26">
      <c r="A80" s="145">
        <f t="shared" ref="A80:A87" si="42">+A79</f>
        <v>2024012</v>
      </c>
      <c r="B80" s="146"/>
      <c r="C80" s="657"/>
      <c r="D80" s="644"/>
      <c r="E80" s="644"/>
      <c r="F80" s="644"/>
      <c r="G80" s="644"/>
      <c r="H80" s="653"/>
      <c r="I80" s="653"/>
      <c r="J80" s="655"/>
      <c r="K80" s="107" t="s">
        <v>24</v>
      </c>
      <c r="L80" s="236">
        <f t="shared" ref="L80:Q80" si="43">SUM(L81:L87)</f>
        <v>303922</v>
      </c>
      <c r="M80" s="287">
        <f t="shared" si="43"/>
        <v>303922</v>
      </c>
      <c r="N80" s="287">
        <f t="shared" si="43"/>
        <v>303922</v>
      </c>
      <c r="O80" s="286">
        <f t="shared" si="43"/>
        <v>303922</v>
      </c>
      <c r="P80" s="286">
        <f t="shared" si="43"/>
        <v>298242</v>
      </c>
      <c r="Q80" s="286">
        <f t="shared" si="43"/>
        <v>303922</v>
      </c>
      <c r="R80" s="286">
        <f t="shared" ref="R80:W80" si="44">SUM(R81:R87)</f>
        <v>0</v>
      </c>
      <c r="S80" s="286">
        <f t="shared" si="44"/>
        <v>0</v>
      </c>
      <c r="T80" s="286">
        <f t="shared" si="44"/>
        <v>0</v>
      </c>
      <c r="U80" s="375">
        <f t="shared" si="44"/>
        <v>0</v>
      </c>
      <c r="V80" s="375">
        <f t="shared" si="44"/>
        <v>0</v>
      </c>
      <c r="W80" s="471">
        <f t="shared" si="44"/>
        <v>0</v>
      </c>
      <c r="X80" s="472">
        <f>SUM(L80:W80)</f>
        <v>1817852</v>
      </c>
      <c r="Y80" s="58"/>
      <c r="Z80" s="52"/>
    </row>
    <row r="81" spans="1:26">
      <c r="A81" s="145">
        <f t="shared" si="42"/>
        <v>2024012</v>
      </c>
      <c r="B81" s="146"/>
      <c r="C81" s="657"/>
      <c r="D81" s="644"/>
      <c r="E81" s="644"/>
      <c r="F81" s="644"/>
      <c r="G81" s="644"/>
      <c r="H81" s="653"/>
      <c r="I81" s="653"/>
      <c r="J81" s="655"/>
      <c r="K81" s="189" t="s">
        <v>25</v>
      </c>
      <c r="L81" s="223">
        <v>245000</v>
      </c>
      <c r="M81" s="223">
        <v>245000</v>
      </c>
      <c r="N81" s="223">
        <v>245000</v>
      </c>
      <c r="O81" s="223">
        <v>245000</v>
      </c>
      <c r="P81" s="223">
        <v>245000</v>
      </c>
      <c r="Q81" s="223">
        <v>245000</v>
      </c>
      <c r="R81" s="223"/>
      <c r="S81" s="223"/>
      <c r="T81" s="223"/>
      <c r="U81" s="348"/>
      <c r="V81" s="348"/>
      <c r="W81" s="223"/>
      <c r="X81" s="469">
        <f t="shared" ref="X81:X87" si="45">SUM(L81:W81)</f>
        <v>1470000</v>
      </c>
      <c r="Y81" s="58"/>
      <c r="Z81" s="52"/>
    </row>
    <row r="82" spans="1:26" ht="12" customHeight="1">
      <c r="A82" s="145">
        <f t="shared" si="42"/>
        <v>2024012</v>
      </c>
      <c r="B82" s="146"/>
      <c r="C82" s="657"/>
      <c r="D82" s="644"/>
      <c r="E82" s="644"/>
      <c r="F82" s="644"/>
      <c r="G82" s="644"/>
      <c r="H82" s="653"/>
      <c r="I82" s="653"/>
      <c r="J82" s="655"/>
      <c r="K82" s="189" t="s">
        <v>30</v>
      </c>
      <c r="L82" s="223"/>
      <c r="M82" s="223"/>
      <c r="N82" s="223"/>
      <c r="O82" s="223"/>
      <c r="P82" s="223"/>
      <c r="Q82" s="223"/>
      <c r="R82" s="223"/>
      <c r="S82" s="223"/>
      <c r="T82" s="223"/>
      <c r="U82" s="348"/>
      <c r="V82" s="348"/>
      <c r="W82" s="223"/>
      <c r="X82" s="469">
        <f t="shared" si="45"/>
        <v>0</v>
      </c>
      <c r="Y82" s="58"/>
      <c r="Z82" s="52"/>
    </row>
    <row r="83" spans="1:26">
      <c r="A83" s="145">
        <f t="shared" si="42"/>
        <v>2024012</v>
      </c>
      <c r="B83" s="146"/>
      <c r="C83" s="657"/>
      <c r="D83" s="644"/>
      <c r="E83" s="644"/>
      <c r="F83" s="644"/>
      <c r="G83" s="644"/>
      <c r="H83" s="653"/>
      <c r="I83" s="653"/>
      <c r="J83" s="655"/>
      <c r="K83" s="189" t="s">
        <v>36</v>
      </c>
      <c r="L83" s="223">
        <v>20000</v>
      </c>
      <c r="M83" s="223">
        <v>20000</v>
      </c>
      <c r="N83" s="223">
        <v>20000</v>
      </c>
      <c r="O83" s="223">
        <v>20000</v>
      </c>
      <c r="P83" s="223">
        <v>14320</v>
      </c>
      <c r="Q83" s="223">
        <v>20000</v>
      </c>
      <c r="R83" s="223"/>
      <c r="S83" s="223"/>
      <c r="T83" s="223"/>
      <c r="U83" s="348"/>
      <c r="V83" s="348"/>
      <c r="W83" s="223"/>
      <c r="X83" s="469">
        <f t="shared" si="45"/>
        <v>114320</v>
      </c>
      <c r="Y83" s="58"/>
      <c r="Z83" s="52"/>
    </row>
    <row r="84" spans="1:26">
      <c r="A84" s="145">
        <f t="shared" si="42"/>
        <v>2024012</v>
      </c>
      <c r="B84" s="146"/>
      <c r="C84" s="657"/>
      <c r="D84" s="644"/>
      <c r="E84" s="644"/>
      <c r="F84" s="644"/>
      <c r="G84" s="644"/>
      <c r="H84" s="653"/>
      <c r="I84" s="653"/>
      <c r="J84" s="655"/>
      <c r="K84" s="189" t="s">
        <v>26</v>
      </c>
      <c r="L84" s="224">
        <v>12350</v>
      </c>
      <c r="M84" s="224">
        <v>12350</v>
      </c>
      <c r="N84" s="224">
        <v>12350</v>
      </c>
      <c r="O84" s="224">
        <v>12350</v>
      </c>
      <c r="P84" s="224">
        <v>12350</v>
      </c>
      <c r="Q84" s="224">
        <v>12350</v>
      </c>
      <c r="R84" s="224"/>
      <c r="S84" s="224"/>
      <c r="T84" s="224"/>
      <c r="U84" s="349"/>
      <c r="V84" s="349"/>
      <c r="W84" s="224"/>
      <c r="X84" s="469">
        <f t="shared" si="45"/>
        <v>74100</v>
      </c>
      <c r="Y84" s="58"/>
      <c r="Z84" s="52"/>
    </row>
    <row r="85" spans="1:26">
      <c r="A85" s="145">
        <f t="shared" si="42"/>
        <v>2024012</v>
      </c>
      <c r="B85" s="146"/>
      <c r="C85" s="657"/>
      <c r="D85" s="644"/>
      <c r="E85" s="644"/>
      <c r="F85" s="644"/>
      <c r="G85" s="644"/>
      <c r="H85" s="653"/>
      <c r="I85" s="653"/>
      <c r="J85" s="655"/>
      <c r="K85" s="189" t="s">
        <v>27</v>
      </c>
      <c r="L85" s="224">
        <v>23790</v>
      </c>
      <c r="M85" s="224">
        <v>23790</v>
      </c>
      <c r="N85" s="224">
        <v>23790</v>
      </c>
      <c r="O85" s="224">
        <v>23790</v>
      </c>
      <c r="P85" s="224">
        <v>23790</v>
      </c>
      <c r="Q85" s="224">
        <v>23790</v>
      </c>
      <c r="R85" s="224"/>
      <c r="S85" s="224"/>
      <c r="T85" s="224"/>
      <c r="U85" s="349"/>
      <c r="V85" s="349"/>
      <c r="W85" s="224"/>
      <c r="X85" s="469">
        <f t="shared" si="45"/>
        <v>142740</v>
      </c>
      <c r="Y85" s="58"/>
      <c r="Z85" s="52"/>
    </row>
    <row r="86" spans="1:26">
      <c r="A86" s="145">
        <f t="shared" si="42"/>
        <v>2024012</v>
      </c>
      <c r="B86" s="146"/>
      <c r="C86" s="657"/>
      <c r="D86" s="644"/>
      <c r="E86" s="644"/>
      <c r="F86" s="644"/>
      <c r="G86" s="644"/>
      <c r="H86" s="653"/>
      <c r="I86" s="653"/>
      <c r="J86" s="655"/>
      <c r="K86" s="189" t="s">
        <v>28</v>
      </c>
      <c r="L86" s="224">
        <v>1325</v>
      </c>
      <c r="M86" s="224">
        <v>1325</v>
      </c>
      <c r="N86" s="224">
        <v>1325</v>
      </c>
      <c r="O86" s="224">
        <v>1325</v>
      </c>
      <c r="P86" s="224">
        <v>1325</v>
      </c>
      <c r="Q86" s="224">
        <v>1325</v>
      </c>
      <c r="R86" s="224"/>
      <c r="S86" s="224"/>
      <c r="T86" s="224"/>
      <c r="U86" s="349"/>
      <c r="V86" s="349"/>
      <c r="W86" s="224"/>
      <c r="X86" s="469">
        <f t="shared" si="45"/>
        <v>7950</v>
      </c>
      <c r="Y86" s="58"/>
      <c r="Z86" s="52"/>
    </row>
    <row r="87" spans="1:26">
      <c r="A87" s="145">
        <f t="shared" si="42"/>
        <v>2024012</v>
      </c>
      <c r="B87" s="146"/>
      <c r="C87" s="657"/>
      <c r="D87" s="644"/>
      <c r="E87" s="644"/>
      <c r="F87" s="644"/>
      <c r="G87" s="644"/>
      <c r="H87" s="653"/>
      <c r="I87" s="653"/>
      <c r="J87" s="655"/>
      <c r="K87" s="190" t="s">
        <v>29</v>
      </c>
      <c r="L87" s="224">
        <v>1457</v>
      </c>
      <c r="M87" s="224">
        <v>1457</v>
      </c>
      <c r="N87" s="224">
        <v>1457</v>
      </c>
      <c r="O87" s="224">
        <v>1457</v>
      </c>
      <c r="P87" s="224">
        <v>1457</v>
      </c>
      <c r="Q87" s="224">
        <v>1457</v>
      </c>
      <c r="R87" s="224"/>
      <c r="S87" s="224"/>
      <c r="T87" s="224"/>
      <c r="U87" s="349"/>
      <c r="V87" s="349"/>
      <c r="W87" s="224"/>
      <c r="X87" s="473">
        <f t="shared" si="45"/>
        <v>8742</v>
      </c>
      <c r="Y87" s="58"/>
      <c r="Z87" s="52"/>
    </row>
    <row r="88" spans="1:26">
      <c r="A88" s="145">
        <f>+A87</f>
        <v>2024012</v>
      </c>
      <c r="B88" s="146"/>
      <c r="C88" s="686"/>
      <c r="D88" s="645"/>
      <c r="E88" s="645"/>
      <c r="F88" s="645"/>
      <c r="G88" s="645"/>
      <c r="H88" s="669"/>
      <c r="I88" s="669"/>
      <c r="J88" s="687"/>
      <c r="K88" s="389" t="s">
        <v>45</v>
      </c>
      <c r="L88" s="238">
        <f t="shared" ref="L88:Q88" si="46">L77-L80</f>
        <v>116078</v>
      </c>
      <c r="M88" s="251">
        <f t="shared" si="46"/>
        <v>116078</v>
      </c>
      <c r="N88" s="251">
        <f t="shared" si="46"/>
        <v>116078</v>
      </c>
      <c r="O88" s="251">
        <f t="shared" si="46"/>
        <v>116078</v>
      </c>
      <c r="P88" s="251">
        <f t="shared" si="46"/>
        <v>49433</v>
      </c>
      <c r="Q88" s="251">
        <f t="shared" si="46"/>
        <v>116078</v>
      </c>
      <c r="R88" s="251">
        <f t="shared" ref="R88:X88" si="47">R77-R80</f>
        <v>0</v>
      </c>
      <c r="S88" s="251">
        <f t="shared" si="47"/>
        <v>0</v>
      </c>
      <c r="T88" s="251">
        <f t="shared" si="47"/>
        <v>0</v>
      </c>
      <c r="U88" s="376">
        <f t="shared" si="47"/>
        <v>0</v>
      </c>
      <c r="V88" s="376">
        <f t="shared" si="47"/>
        <v>0</v>
      </c>
      <c r="W88" s="474">
        <f t="shared" si="47"/>
        <v>0</v>
      </c>
      <c r="X88" s="475">
        <f t="shared" si="47"/>
        <v>629823</v>
      </c>
      <c r="Y88" s="58"/>
      <c r="Z88" s="52"/>
    </row>
    <row r="89" spans="1:26" ht="12.75" customHeight="1">
      <c r="A89" s="29">
        <v>2024010</v>
      </c>
      <c r="C89" s="640">
        <f>C77+1</f>
        <v>7</v>
      </c>
      <c r="D89" s="643" t="s">
        <v>90</v>
      </c>
      <c r="E89" s="646"/>
      <c r="F89" s="649"/>
      <c r="G89" s="646" t="s">
        <v>71</v>
      </c>
      <c r="H89" s="631"/>
      <c r="I89" s="634"/>
      <c r="J89" s="637" t="s">
        <v>42</v>
      </c>
      <c r="K89" s="151" t="s">
        <v>43</v>
      </c>
      <c r="L89" s="239">
        <f t="shared" ref="L89:N89" si="48">L90+L91</f>
        <v>450000</v>
      </c>
      <c r="M89" s="239">
        <f t="shared" si="48"/>
        <v>450000</v>
      </c>
      <c r="N89" s="239">
        <f t="shared" si="48"/>
        <v>450000</v>
      </c>
      <c r="O89" s="239">
        <f t="shared" ref="O89:W89" si="49">O90+O91</f>
        <v>450000</v>
      </c>
      <c r="P89" s="353">
        <f t="shared" si="49"/>
        <v>410660</v>
      </c>
      <c r="Q89" s="384">
        <f t="shared" si="49"/>
        <v>435950</v>
      </c>
      <c r="R89" s="384">
        <f t="shared" si="49"/>
        <v>347435</v>
      </c>
      <c r="S89" s="384">
        <f t="shared" si="49"/>
        <v>434545</v>
      </c>
      <c r="T89" s="384">
        <f t="shared" si="49"/>
        <v>450000</v>
      </c>
      <c r="U89" s="384">
        <f t="shared" si="49"/>
        <v>414875</v>
      </c>
      <c r="V89" s="384">
        <f t="shared" si="49"/>
        <v>417685</v>
      </c>
      <c r="W89" s="160">
        <f t="shared" si="49"/>
        <v>440000</v>
      </c>
      <c r="X89" s="169">
        <f>SUM(L89:W89)</f>
        <v>5151150</v>
      </c>
      <c r="Z89" s="52"/>
    </row>
    <row r="90" spans="1:26">
      <c r="A90" s="145">
        <f>+A89</f>
        <v>2024010</v>
      </c>
      <c r="B90" s="146"/>
      <c r="C90" s="641"/>
      <c r="D90" s="644"/>
      <c r="E90" s="647"/>
      <c r="F90" s="650"/>
      <c r="G90" s="647"/>
      <c r="H90" s="632"/>
      <c r="I90" s="635"/>
      <c r="J90" s="638"/>
      <c r="K90" s="55" t="s">
        <v>44</v>
      </c>
      <c r="L90" s="240">
        <v>450000</v>
      </c>
      <c r="M90" s="240">
        <v>450000</v>
      </c>
      <c r="N90" s="240">
        <v>450000</v>
      </c>
      <c r="O90" s="240">
        <v>450000</v>
      </c>
      <c r="P90" s="240">
        <v>410660</v>
      </c>
      <c r="Q90" s="373">
        <v>435950</v>
      </c>
      <c r="R90" s="373">
        <v>347435</v>
      </c>
      <c r="S90" s="373">
        <v>434545</v>
      </c>
      <c r="T90" s="373">
        <v>450000</v>
      </c>
      <c r="U90" s="373">
        <v>414875</v>
      </c>
      <c r="V90" s="373">
        <v>417685</v>
      </c>
      <c r="W90" s="114">
        <v>440000</v>
      </c>
      <c r="X90" s="165">
        <f>SUM(L90:W90)</f>
        <v>5151150</v>
      </c>
      <c r="Y90" s="58"/>
      <c r="Z90" s="52"/>
    </row>
    <row r="91" spans="1:26">
      <c r="A91" s="145">
        <f>+A90</f>
        <v>2024010</v>
      </c>
      <c r="B91" s="146"/>
      <c r="C91" s="641"/>
      <c r="D91" s="644"/>
      <c r="E91" s="647"/>
      <c r="F91" s="650"/>
      <c r="G91" s="647"/>
      <c r="H91" s="632"/>
      <c r="I91" s="635"/>
      <c r="J91" s="638"/>
      <c r="K91" s="55" t="s">
        <v>38</v>
      </c>
      <c r="L91" s="229"/>
      <c r="M91" s="240"/>
      <c r="N91" s="240"/>
      <c r="O91" s="247"/>
      <c r="P91" s="247"/>
      <c r="Q91" s="374"/>
      <c r="R91" s="374"/>
      <c r="S91" s="374"/>
      <c r="T91" s="374"/>
      <c r="U91" s="374"/>
      <c r="V91" s="374"/>
      <c r="W91" s="157"/>
      <c r="X91" s="165">
        <v>0</v>
      </c>
      <c r="Y91" s="58"/>
      <c r="Z91" s="52"/>
    </row>
    <row r="92" spans="1:26">
      <c r="A92" s="145">
        <f t="shared" ref="A92:A99" si="50">+A91</f>
        <v>2024010</v>
      </c>
      <c r="B92" s="146"/>
      <c r="C92" s="641"/>
      <c r="D92" s="644"/>
      <c r="E92" s="647"/>
      <c r="F92" s="650"/>
      <c r="G92" s="647"/>
      <c r="H92" s="632"/>
      <c r="I92" s="635"/>
      <c r="J92" s="638"/>
      <c r="K92" s="61" t="s">
        <v>24</v>
      </c>
      <c r="L92" s="236">
        <f t="shared" ref="L92:W92" si="51">SUM(L93:L99)</f>
        <v>303922</v>
      </c>
      <c r="M92" s="287">
        <f t="shared" si="51"/>
        <v>303922</v>
      </c>
      <c r="N92" s="287">
        <f t="shared" si="51"/>
        <v>303922</v>
      </c>
      <c r="O92" s="286">
        <f t="shared" si="51"/>
        <v>303922</v>
      </c>
      <c r="P92" s="286">
        <f t="shared" si="51"/>
        <v>311122</v>
      </c>
      <c r="Q92" s="375">
        <f t="shared" si="51"/>
        <v>302822</v>
      </c>
      <c r="R92" s="375">
        <f t="shared" si="51"/>
        <v>296699</v>
      </c>
      <c r="S92" s="375">
        <f t="shared" si="51"/>
        <v>296293</v>
      </c>
      <c r="T92" s="375">
        <f t="shared" si="51"/>
        <v>302822</v>
      </c>
      <c r="U92" s="375">
        <f t="shared" si="51"/>
        <v>288093</v>
      </c>
      <c r="V92" s="375">
        <f t="shared" si="51"/>
        <v>285597</v>
      </c>
      <c r="W92" s="191">
        <f t="shared" si="51"/>
        <v>303922</v>
      </c>
      <c r="X92" s="166">
        <f>SUM(L92:W92)</f>
        <v>3603058</v>
      </c>
      <c r="Y92" s="58"/>
      <c r="Z92" s="52"/>
    </row>
    <row r="93" spans="1:26">
      <c r="A93" s="145">
        <f t="shared" si="50"/>
        <v>2024010</v>
      </c>
      <c r="B93" s="146"/>
      <c r="C93" s="641"/>
      <c r="D93" s="644"/>
      <c r="E93" s="647"/>
      <c r="F93" s="650"/>
      <c r="G93" s="647"/>
      <c r="H93" s="632"/>
      <c r="I93" s="635"/>
      <c r="J93" s="638"/>
      <c r="K93" s="188" t="s">
        <v>25</v>
      </c>
      <c r="L93" s="223">
        <v>245000</v>
      </c>
      <c r="M93" s="223">
        <v>245000</v>
      </c>
      <c r="N93" s="223">
        <v>245000</v>
      </c>
      <c r="O93" s="223">
        <v>245000</v>
      </c>
      <c r="P93" s="223">
        <v>252200</v>
      </c>
      <c r="Q93" s="348">
        <v>245000</v>
      </c>
      <c r="R93" s="348">
        <v>245000</v>
      </c>
      <c r="S93" s="348">
        <v>238540</v>
      </c>
      <c r="T93" s="348">
        <v>245000</v>
      </c>
      <c r="U93" s="348">
        <v>230425</v>
      </c>
      <c r="V93" s="348">
        <v>227775</v>
      </c>
      <c r="W93" s="184">
        <v>245000</v>
      </c>
      <c r="X93" s="165">
        <f t="shared" ref="X93:X99" si="52">SUM(L93:W93)</f>
        <v>2908940</v>
      </c>
      <c r="Y93" s="58"/>
      <c r="Z93" s="52"/>
    </row>
    <row r="94" spans="1:26" ht="12" customHeight="1">
      <c r="A94" s="145">
        <f t="shared" si="50"/>
        <v>2024010</v>
      </c>
      <c r="B94" s="146"/>
      <c r="C94" s="641"/>
      <c r="D94" s="644"/>
      <c r="E94" s="647"/>
      <c r="F94" s="650"/>
      <c r="G94" s="647"/>
      <c r="H94" s="632"/>
      <c r="I94" s="635"/>
      <c r="J94" s="638"/>
      <c r="K94" s="188" t="s">
        <v>30</v>
      </c>
      <c r="L94" s="223"/>
      <c r="M94" s="223"/>
      <c r="N94" s="223"/>
      <c r="O94" s="223"/>
      <c r="P94" s="223"/>
      <c r="Q94" s="348"/>
      <c r="R94" s="348"/>
      <c r="S94" s="348"/>
      <c r="T94" s="348"/>
      <c r="U94" s="348"/>
      <c r="V94" s="348"/>
      <c r="W94" s="184"/>
      <c r="X94" s="165">
        <f t="shared" si="52"/>
        <v>0</v>
      </c>
      <c r="Y94" s="58"/>
      <c r="Z94" s="52"/>
    </row>
    <row r="95" spans="1:26">
      <c r="A95" s="145">
        <f t="shared" si="50"/>
        <v>2024010</v>
      </c>
      <c r="B95" s="146"/>
      <c r="C95" s="641"/>
      <c r="D95" s="644"/>
      <c r="E95" s="647"/>
      <c r="F95" s="650"/>
      <c r="G95" s="647"/>
      <c r="H95" s="632"/>
      <c r="I95" s="635"/>
      <c r="J95" s="638"/>
      <c r="K95" s="189" t="s">
        <v>36</v>
      </c>
      <c r="L95" s="223">
        <v>20000</v>
      </c>
      <c r="M95" s="223">
        <v>20000</v>
      </c>
      <c r="N95" s="223">
        <v>20000</v>
      </c>
      <c r="O95" s="223">
        <v>20000</v>
      </c>
      <c r="P95" s="223">
        <v>20000</v>
      </c>
      <c r="Q95" s="348">
        <v>18910</v>
      </c>
      <c r="R95" s="348">
        <v>12852</v>
      </c>
      <c r="S95" s="348">
        <v>18910</v>
      </c>
      <c r="T95" s="348">
        <v>18910</v>
      </c>
      <c r="U95" s="348">
        <v>18910</v>
      </c>
      <c r="V95" s="348">
        <v>18910</v>
      </c>
      <c r="W95" s="184">
        <v>20000</v>
      </c>
      <c r="X95" s="165">
        <f t="shared" si="52"/>
        <v>227402</v>
      </c>
      <c r="Y95" s="58"/>
      <c r="Z95" s="52"/>
    </row>
    <row r="96" spans="1:26">
      <c r="A96" s="145">
        <f t="shared" si="50"/>
        <v>2024010</v>
      </c>
      <c r="B96" s="146"/>
      <c r="C96" s="641"/>
      <c r="D96" s="644"/>
      <c r="E96" s="647"/>
      <c r="F96" s="650"/>
      <c r="G96" s="647"/>
      <c r="H96" s="632"/>
      <c r="I96" s="635"/>
      <c r="J96" s="638"/>
      <c r="K96" s="189" t="s">
        <v>26</v>
      </c>
      <c r="L96" s="224">
        <v>12350</v>
      </c>
      <c r="M96" s="224">
        <v>12350</v>
      </c>
      <c r="N96" s="224">
        <v>12350</v>
      </c>
      <c r="O96" s="224">
        <v>12350</v>
      </c>
      <c r="P96" s="224">
        <v>12350</v>
      </c>
      <c r="Q96" s="349">
        <v>12350</v>
      </c>
      <c r="R96" s="349">
        <v>12350</v>
      </c>
      <c r="S96" s="349">
        <v>12350</v>
      </c>
      <c r="T96" s="349">
        <v>12350</v>
      </c>
      <c r="U96" s="349">
        <v>12350</v>
      </c>
      <c r="V96" s="349">
        <v>12350</v>
      </c>
      <c r="W96" s="179">
        <v>12350</v>
      </c>
      <c r="X96" s="165">
        <f t="shared" si="52"/>
        <v>148200</v>
      </c>
      <c r="Y96" s="58"/>
      <c r="Z96" s="52"/>
    </row>
    <row r="97" spans="1:26">
      <c r="A97" s="145">
        <f t="shared" si="50"/>
        <v>2024010</v>
      </c>
      <c r="B97" s="146"/>
      <c r="C97" s="641"/>
      <c r="D97" s="644"/>
      <c r="E97" s="647"/>
      <c r="F97" s="650"/>
      <c r="G97" s="647"/>
      <c r="H97" s="632"/>
      <c r="I97" s="635"/>
      <c r="J97" s="638"/>
      <c r="K97" s="189" t="s">
        <v>27</v>
      </c>
      <c r="L97" s="224">
        <v>23790</v>
      </c>
      <c r="M97" s="224">
        <v>23790</v>
      </c>
      <c r="N97" s="224">
        <v>23790</v>
      </c>
      <c r="O97" s="224">
        <v>23790</v>
      </c>
      <c r="P97" s="224">
        <v>23790</v>
      </c>
      <c r="Q97" s="349">
        <v>23790</v>
      </c>
      <c r="R97" s="349">
        <v>23790</v>
      </c>
      <c r="S97" s="349">
        <v>23790</v>
      </c>
      <c r="T97" s="349">
        <v>23790</v>
      </c>
      <c r="U97" s="349">
        <v>23790</v>
      </c>
      <c r="V97" s="349">
        <v>23790</v>
      </c>
      <c r="W97" s="179">
        <v>23790</v>
      </c>
      <c r="X97" s="165">
        <f t="shared" si="52"/>
        <v>285480</v>
      </c>
      <c r="Y97" s="58"/>
      <c r="Z97" s="52"/>
    </row>
    <row r="98" spans="1:26">
      <c r="A98" s="145">
        <f t="shared" si="50"/>
        <v>2024010</v>
      </c>
      <c r="B98" s="146"/>
      <c r="C98" s="641"/>
      <c r="D98" s="644"/>
      <c r="E98" s="647"/>
      <c r="F98" s="650"/>
      <c r="G98" s="647"/>
      <c r="H98" s="632"/>
      <c r="I98" s="635"/>
      <c r="J98" s="638"/>
      <c r="K98" s="189" t="s">
        <v>28</v>
      </c>
      <c r="L98" s="224">
        <v>1325</v>
      </c>
      <c r="M98" s="224">
        <v>1325</v>
      </c>
      <c r="N98" s="224">
        <v>1325</v>
      </c>
      <c r="O98" s="224">
        <v>1325</v>
      </c>
      <c r="P98" s="224">
        <v>1325</v>
      </c>
      <c r="Q98" s="349">
        <v>1320</v>
      </c>
      <c r="R98" s="349">
        <v>1289</v>
      </c>
      <c r="S98" s="349">
        <v>1287</v>
      </c>
      <c r="T98" s="349">
        <v>1320</v>
      </c>
      <c r="U98" s="349">
        <v>1247</v>
      </c>
      <c r="V98" s="349">
        <v>1320</v>
      </c>
      <c r="W98" s="179">
        <v>1325</v>
      </c>
      <c r="X98" s="165">
        <f t="shared" si="52"/>
        <v>15733</v>
      </c>
      <c r="Y98" s="58"/>
      <c r="Z98" s="52"/>
    </row>
    <row r="99" spans="1:26">
      <c r="A99" s="145">
        <f t="shared" si="50"/>
        <v>2024010</v>
      </c>
      <c r="B99" s="146"/>
      <c r="C99" s="641"/>
      <c r="D99" s="644"/>
      <c r="E99" s="647"/>
      <c r="F99" s="650"/>
      <c r="G99" s="647"/>
      <c r="H99" s="632"/>
      <c r="I99" s="635"/>
      <c r="J99" s="638"/>
      <c r="K99" s="190" t="s">
        <v>29</v>
      </c>
      <c r="L99" s="224">
        <v>1457</v>
      </c>
      <c r="M99" s="224">
        <v>1457</v>
      </c>
      <c r="N99" s="224">
        <v>1457</v>
      </c>
      <c r="O99" s="224">
        <v>1457</v>
      </c>
      <c r="P99" s="224">
        <v>1457</v>
      </c>
      <c r="Q99" s="349">
        <v>1452</v>
      </c>
      <c r="R99" s="349">
        <v>1418</v>
      </c>
      <c r="S99" s="349">
        <v>1416</v>
      </c>
      <c r="T99" s="349">
        <v>1452</v>
      </c>
      <c r="U99" s="349">
        <v>1371</v>
      </c>
      <c r="V99" s="349">
        <v>1452</v>
      </c>
      <c r="W99" s="179">
        <v>1457</v>
      </c>
      <c r="X99" s="167">
        <f t="shared" si="52"/>
        <v>17303</v>
      </c>
      <c r="Y99" s="58"/>
      <c r="Z99" s="52"/>
    </row>
    <row r="100" spans="1:26">
      <c r="A100" s="145">
        <f>+A99</f>
        <v>2024010</v>
      </c>
      <c r="B100" s="146"/>
      <c r="C100" s="642"/>
      <c r="D100" s="645"/>
      <c r="E100" s="648"/>
      <c r="F100" s="651"/>
      <c r="G100" s="648"/>
      <c r="H100" s="633"/>
      <c r="I100" s="636"/>
      <c r="J100" s="639"/>
      <c r="K100" s="104" t="s">
        <v>45</v>
      </c>
      <c r="L100" s="238">
        <f t="shared" ref="L100:X100" si="53">L89-L92</f>
        <v>146078</v>
      </c>
      <c r="M100" s="251">
        <f t="shared" si="53"/>
        <v>146078</v>
      </c>
      <c r="N100" s="251">
        <f t="shared" si="53"/>
        <v>146078</v>
      </c>
      <c r="O100" s="251">
        <f t="shared" si="53"/>
        <v>146078</v>
      </c>
      <c r="P100" s="251">
        <f t="shared" si="53"/>
        <v>99538</v>
      </c>
      <c r="Q100" s="376">
        <f t="shared" si="53"/>
        <v>133128</v>
      </c>
      <c r="R100" s="376">
        <f t="shared" si="53"/>
        <v>50736</v>
      </c>
      <c r="S100" s="376">
        <f t="shared" si="53"/>
        <v>138252</v>
      </c>
      <c r="T100" s="376">
        <f t="shared" si="53"/>
        <v>147178</v>
      </c>
      <c r="U100" s="376">
        <f t="shared" si="53"/>
        <v>126782</v>
      </c>
      <c r="V100" s="376">
        <f t="shared" si="53"/>
        <v>132088</v>
      </c>
      <c r="W100" s="192">
        <f t="shared" si="53"/>
        <v>136078</v>
      </c>
      <c r="X100" s="168">
        <f t="shared" si="53"/>
        <v>1548092</v>
      </c>
      <c r="Y100" s="58"/>
      <c r="Z100" s="52"/>
    </row>
    <row r="101" spans="1:26" ht="12.75" customHeight="1">
      <c r="A101" s="29">
        <v>2024043</v>
      </c>
      <c r="C101" s="640">
        <f>C89+1</f>
        <v>8</v>
      </c>
      <c r="D101" s="643" t="s">
        <v>90</v>
      </c>
      <c r="E101" s="646"/>
      <c r="F101" s="649"/>
      <c r="G101" s="646"/>
      <c r="H101" s="631"/>
      <c r="I101" s="634"/>
      <c r="J101" s="637" t="s">
        <v>42</v>
      </c>
      <c r="K101" s="151" t="s">
        <v>43</v>
      </c>
      <c r="L101" s="353">
        <f t="shared" ref="L101:S101" si="54">L102+L103</f>
        <v>450000</v>
      </c>
      <c r="M101" s="353">
        <f t="shared" si="54"/>
        <v>450000</v>
      </c>
      <c r="N101" s="353">
        <f t="shared" si="54"/>
        <v>450000</v>
      </c>
      <c r="O101" s="353">
        <f t="shared" si="54"/>
        <v>450000</v>
      </c>
      <c r="P101" s="353">
        <f t="shared" si="54"/>
        <v>450000</v>
      </c>
      <c r="Q101" s="384">
        <f t="shared" si="54"/>
        <v>376940</v>
      </c>
      <c r="R101" s="384">
        <f t="shared" si="54"/>
        <v>450000</v>
      </c>
      <c r="S101" s="384">
        <f t="shared" si="54"/>
        <v>421755</v>
      </c>
      <c r="T101" s="384">
        <f t="shared" ref="T101:W101" si="55">T102+T103</f>
        <v>467500</v>
      </c>
      <c r="U101" s="384">
        <f t="shared" si="55"/>
        <v>467500</v>
      </c>
      <c r="V101" s="384">
        <f t="shared" si="55"/>
        <v>398180</v>
      </c>
      <c r="W101" s="160">
        <f t="shared" si="55"/>
        <v>450000</v>
      </c>
      <c r="X101" s="169">
        <f>SUM(L101:W101)</f>
        <v>5281875</v>
      </c>
      <c r="Z101" s="52"/>
    </row>
    <row r="102" spans="1:26">
      <c r="A102" s="145">
        <f>+A101</f>
        <v>2024043</v>
      </c>
      <c r="B102" s="146"/>
      <c r="C102" s="641"/>
      <c r="D102" s="644"/>
      <c r="E102" s="647"/>
      <c r="F102" s="650"/>
      <c r="G102" s="647"/>
      <c r="H102" s="632"/>
      <c r="I102" s="635"/>
      <c r="J102" s="638"/>
      <c r="K102" s="55" t="s">
        <v>44</v>
      </c>
      <c r="L102" s="240">
        <v>450000</v>
      </c>
      <c r="M102" s="240">
        <v>450000</v>
      </c>
      <c r="N102" s="240">
        <v>450000</v>
      </c>
      <c r="O102" s="240">
        <v>450000</v>
      </c>
      <c r="P102" s="240">
        <v>450000</v>
      </c>
      <c r="Q102" s="373">
        <v>376940</v>
      </c>
      <c r="R102" s="373">
        <v>450000</v>
      </c>
      <c r="S102" s="373">
        <v>409255</v>
      </c>
      <c r="T102" s="373">
        <v>450000</v>
      </c>
      <c r="U102" s="373">
        <v>450000</v>
      </c>
      <c r="V102" s="373">
        <v>388180</v>
      </c>
      <c r="W102" s="56">
        <v>450000</v>
      </c>
      <c r="X102" s="165">
        <f>SUM(L102:W102)</f>
        <v>5224375</v>
      </c>
      <c r="Y102" s="58"/>
      <c r="Z102" s="52"/>
    </row>
    <row r="103" spans="1:26">
      <c r="A103" s="145">
        <f>+A102</f>
        <v>2024043</v>
      </c>
      <c r="B103" s="146"/>
      <c r="C103" s="641"/>
      <c r="D103" s="644"/>
      <c r="E103" s="647"/>
      <c r="F103" s="650"/>
      <c r="G103" s="647"/>
      <c r="H103" s="632"/>
      <c r="I103" s="635"/>
      <c r="J103" s="638"/>
      <c r="K103" s="55" t="s">
        <v>38</v>
      </c>
      <c r="L103" s="444"/>
      <c r="M103" s="444"/>
      <c r="N103" s="444"/>
      <c r="O103" s="444"/>
      <c r="P103" s="444"/>
      <c r="Q103" s="444"/>
      <c r="R103" s="444"/>
      <c r="S103" s="444">
        <v>12500</v>
      </c>
      <c r="T103" s="444">
        <v>17500</v>
      </c>
      <c r="U103" s="444">
        <v>17500</v>
      </c>
      <c r="V103" s="444">
        <v>10000</v>
      </c>
      <c r="W103" s="455"/>
      <c r="X103" s="165">
        <v>0</v>
      </c>
      <c r="Y103" s="58"/>
      <c r="Z103" s="52"/>
    </row>
    <row r="104" spans="1:26">
      <c r="A104" s="145">
        <f t="shared" ref="A104:A111" si="56">+A103</f>
        <v>2024043</v>
      </c>
      <c r="B104" s="146"/>
      <c r="C104" s="641"/>
      <c r="D104" s="644"/>
      <c r="E104" s="647"/>
      <c r="F104" s="650"/>
      <c r="G104" s="647"/>
      <c r="H104" s="632"/>
      <c r="I104" s="635"/>
      <c r="J104" s="638"/>
      <c r="K104" s="61" t="s">
        <v>24</v>
      </c>
      <c r="L104" s="236">
        <f t="shared" ref="L104:W104" si="57">SUM(L105:L111)</f>
        <v>295403</v>
      </c>
      <c r="M104" s="287">
        <f t="shared" si="57"/>
        <v>275880</v>
      </c>
      <c r="N104" s="287">
        <f t="shared" si="57"/>
        <v>283884</v>
      </c>
      <c r="O104" s="287">
        <f t="shared" ref="O104:R104" si="58">SUM(O105:O111)</f>
        <v>284247</v>
      </c>
      <c r="P104" s="287">
        <f t="shared" si="58"/>
        <v>285338</v>
      </c>
      <c r="Q104" s="382">
        <f t="shared" si="58"/>
        <v>302670</v>
      </c>
      <c r="R104" s="382">
        <f t="shared" si="58"/>
        <v>311097</v>
      </c>
      <c r="S104" s="382">
        <f t="shared" ref="S104" si="59">SUM(S105:S111)</f>
        <v>306085</v>
      </c>
      <c r="T104" s="375">
        <f t="shared" si="57"/>
        <v>314371</v>
      </c>
      <c r="U104" s="375">
        <f t="shared" si="57"/>
        <v>314048</v>
      </c>
      <c r="V104" s="375">
        <f t="shared" si="57"/>
        <v>300992</v>
      </c>
      <c r="W104" s="191">
        <f t="shared" si="57"/>
        <v>294975</v>
      </c>
      <c r="X104" s="166">
        <f>SUM(L104:W104)</f>
        <v>3568990</v>
      </c>
      <c r="Y104" s="58"/>
      <c r="Z104" s="52"/>
    </row>
    <row r="105" spans="1:26">
      <c r="A105" s="145">
        <f t="shared" si="56"/>
        <v>2024043</v>
      </c>
      <c r="B105" s="146"/>
      <c r="C105" s="641"/>
      <c r="D105" s="644"/>
      <c r="E105" s="647"/>
      <c r="F105" s="650"/>
      <c r="G105" s="647"/>
      <c r="H105" s="632"/>
      <c r="I105" s="635"/>
      <c r="J105" s="638"/>
      <c r="K105" s="188" t="s">
        <v>25</v>
      </c>
      <c r="L105" s="223">
        <v>240000</v>
      </c>
      <c r="M105" s="223">
        <v>240000</v>
      </c>
      <c r="N105" s="223">
        <v>240000</v>
      </c>
      <c r="O105" s="223">
        <v>240000</v>
      </c>
      <c r="P105" s="223">
        <v>240000</v>
      </c>
      <c r="Q105" s="348">
        <v>250000</v>
      </c>
      <c r="R105" s="348">
        <v>252500</v>
      </c>
      <c r="S105" s="348">
        <v>252500</v>
      </c>
      <c r="T105" s="348">
        <v>257500</v>
      </c>
      <c r="U105" s="348">
        <v>257500</v>
      </c>
      <c r="V105" s="348">
        <v>250000</v>
      </c>
      <c r="W105" s="184">
        <v>240000</v>
      </c>
      <c r="X105" s="165">
        <f t="shared" ref="X105:X111" si="60">SUM(L105:W105)</f>
        <v>2960000</v>
      </c>
      <c r="Y105" s="58"/>
      <c r="Z105" s="52"/>
    </row>
    <row r="106" spans="1:26" ht="12" customHeight="1">
      <c r="A106" s="145">
        <f t="shared" si="56"/>
        <v>2024043</v>
      </c>
      <c r="B106" s="146"/>
      <c r="C106" s="641"/>
      <c r="D106" s="644"/>
      <c r="E106" s="647"/>
      <c r="F106" s="650"/>
      <c r="G106" s="647"/>
      <c r="H106" s="632"/>
      <c r="I106" s="635"/>
      <c r="J106" s="638"/>
      <c r="K106" s="188" t="s">
        <v>30</v>
      </c>
      <c r="L106" s="223"/>
      <c r="M106" s="223"/>
      <c r="N106" s="223"/>
      <c r="O106" s="223"/>
      <c r="P106" s="223"/>
      <c r="Q106" s="348"/>
      <c r="R106" s="348"/>
      <c r="S106" s="348"/>
      <c r="T106" s="348"/>
      <c r="U106" s="348"/>
      <c r="V106" s="348"/>
      <c r="W106" s="184"/>
      <c r="X106" s="165">
        <f t="shared" si="60"/>
        <v>0</v>
      </c>
      <c r="Y106" s="58"/>
      <c r="Z106" s="52"/>
    </row>
    <row r="107" spans="1:26">
      <c r="A107" s="145">
        <f t="shared" si="56"/>
        <v>2024043</v>
      </c>
      <c r="B107" s="146"/>
      <c r="C107" s="641"/>
      <c r="D107" s="644"/>
      <c r="E107" s="647"/>
      <c r="F107" s="650"/>
      <c r="G107" s="647"/>
      <c r="H107" s="632"/>
      <c r="I107" s="635"/>
      <c r="J107" s="638"/>
      <c r="K107" s="189" t="s">
        <v>36</v>
      </c>
      <c r="L107" s="223">
        <v>19320</v>
      </c>
      <c r="M107" s="223">
        <v>0</v>
      </c>
      <c r="N107" s="223">
        <v>7920</v>
      </c>
      <c r="O107" s="223">
        <v>8280</v>
      </c>
      <c r="P107" s="223">
        <v>9360</v>
      </c>
      <c r="Q107" s="348">
        <v>13760</v>
      </c>
      <c r="R107" s="348">
        <v>19600</v>
      </c>
      <c r="S107" s="348">
        <v>14640</v>
      </c>
      <c r="T107" s="348">
        <v>17840</v>
      </c>
      <c r="U107" s="348">
        <v>17520</v>
      </c>
      <c r="V107" s="348">
        <v>11920</v>
      </c>
      <c r="W107" s="184">
        <v>19320</v>
      </c>
      <c r="X107" s="165">
        <f t="shared" si="60"/>
        <v>159480</v>
      </c>
      <c r="Y107" s="58"/>
      <c r="Z107" s="52"/>
    </row>
    <row r="108" spans="1:26">
      <c r="A108" s="145">
        <f t="shared" si="56"/>
        <v>2024043</v>
      </c>
      <c r="B108" s="146"/>
      <c r="C108" s="641"/>
      <c r="D108" s="644"/>
      <c r="E108" s="647"/>
      <c r="F108" s="650"/>
      <c r="G108" s="647"/>
      <c r="H108" s="632"/>
      <c r="I108" s="635"/>
      <c r="J108" s="638"/>
      <c r="K108" s="189" t="s">
        <v>26</v>
      </c>
      <c r="L108" s="224">
        <v>11400</v>
      </c>
      <c r="M108" s="224">
        <v>11400</v>
      </c>
      <c r="N108" s="224">
        <v>11400</v>
      </c>
      <c r="O108" s="224">
        <v>11400</v>
      </c>
      <c r="P108" s="224">
        <v>11400</v>
      </c>
      <c r="Q108" s="349">
        <v>12350</v>
      </c>
      <c r="R108" s="349">
        <v>12350</v>
      </c>
      <c r="S108" s="349">
        <v>12350</v>
      </c>
      <c r="T108" s="349">
        <v>12350</v>
      </c>
      <c r="U108" s="349">
        <v>12350</v>
      </c>
      <c r="V108" s="349">
        <v>12350</v>
      </c>
      <c r="W108" s="179">
        <v>11400</v>
      </c>
      <c r="X108" s="165">
        <f t="shared" si="60"/>
        <v>142500</v>
      </c>
      <c r="Y108" s="58"/>
      <c r="Z108" s="52"/>
    </row>
    <row r="109" spans="1:26">
      <c r="A109" s="145">
        <f t="shared" si="56"/>
        <v>2024043</v>
      </c>
      <c r="B109" s="146"/>
      <c r="C109" s="641"/>
      <c r="D109" s="644"/>
      <c r="E109" s="647"/>
      <c r="F109" s="650"/>
      <c r="G109" s="647"/>
      <c r="H109" s="632"/>
      <c r="I109" s="635"/>
      <c r="J109" s="638"/>
      <c r="K109" s="189" t="s">
        <v>27</v>
      </c>
      <c r="L109" s="224">
        <v>21960</v>
      </c>
      <c r="M109" s="224">
        <v>21960</v>
      </c>
      <c r="N109" s="224">
        <v>21960</v>
      </c>
      <c r="O109" s="224">
        <v>21960</v>
      </c>
      <c r="P109" s="224">
        <v>21960</v>
      </c>
      <c r="Q109" s="349">
        <v>23790</v>
      </c>
      <c r="R109" s="349">
        <v>23790</v>
      </c>
      <c r="S109" s="349">
        <v>23790</v>
      </c>
      <c r="T109" s="349">
        <v>23790</v>
      </c>
      <c r="U109" s="349">
        <v>23790</v>
      </c>
      <c r="V109" s="349">
        <v>23790</v>
      </c>
      <c r="W109" s="179">
        <v>21960</v>
      </c>
      <c r="X109" s="165">
        <f t="shared" si="60"/>
        <v>274500</v>
      </c>
      <c r="Y109" s="58"/>
      <c r="Z109" s="52"/>
    </row>
    <row r="110" spans="1:26">
      <c r="A110" s="145">
        <f t="shared" si="56"/>
        <v>2024043</v>
      </c>
      <c r="B110" s="146"/>
      <c r="C110" s="641"/>
      <c r="D110" s="644"/>
      <c r="E110" s="647"/>
      <c r="F110" s="650"/>
      <c r="G110" s="647"/>
      <c r="H110" s="632"/>
      <c r="I110" s="635"/>
      <c r="J110" s="638"/>
      <c r="K110" s="189" t="s">
        <v>28</v>
      </c>
      <c r="L110" s="224">
        <v>1297</v>
      </c>
      <c r="M110" s="224">
        <v>1200</v>
      </c>
      <c r="N110" s="224">
        <v>1240</v>
      </c>
      <c r="O110" s="224">
        <v>1241</v>
      </c>
      <c r="P110" s="224">
        <v>1247</v>
      </c>
      <c r="Q110" s="349">
        <v>1319</v>
      </c>
      <c r="R110" s="349">
        <v>1360</v>
      </c>
      <c r="S110" s="349">
        <v>1336</v>
      </c>
      <c r="T110" s="349">
        <v>1377</v>
      </c>
      <c r="U110" s="349">
        <v>1375</v>
      </c>
      <c r="V110" s="349">
        <v>1396</v>
      </c>
      <c r="W110" s="185">
        <v>765</v>
      </c>
      <c r="X110" s="165">
        <f t="shared" si="60"/>
        <v>15153</v>
      </c>
      <c r="Y110" s="58"/>
      <c r="Z110" s="52"/>
    </row>
    <row r="111" spans="1:26">
      <c r="A111" s="145">
        <f t="shared" si="56"/>
        <v>2024043</v>
      </c>
      <c r="B111" s="146"/>
      <c r="C111" s="641"/>
      <c r="D111" s="644"/>
      <c r="E111" s="647"/>
      <c r="F111" s="650"/>
      <c r="G111" s="647"/>
      <c r="H111" s="632"/>
      <c r="I111" s="635"/>
      <c r="J111" s="638"/>
      <c r="K111" s="190" t="s">
        <v>29</v>
      </c>
      <c r="L111" s="224">
        <v>1426</v>
      </c>
      <c r="M111" s="224">
        <v>1320</v>
      </c>
      <c r="N111" s="224">
        <v>1364</v>
      </c>
      <c r="O111" s="224">
        <v>1366</v>
      </c>
      <c r="P111" s="224">
        <v>1371</v>
      </c>
      <c r="Q111" s="349">
        <v>1451</v>
      </c>
      <c r="R111" s="349">
        <v>1497</v>
      </c>
      <c r="S111" s="349">
        <v>1469</v>
      </c>
      <c r="T111" s="349">
        <v>1514</v>
      </c>
      <c r="U111" s="349">
        <v>1513</v>
      </c>
      <c r="V111" s="349">
        <v>1536</v>
      </c>
      <c r="W111" s="185">
        <v>1530</v>
      </c>
      <c r="X111" s="167">
        <f t="shared" si="60"/>
        <v>17357</v>
      </c>
      <c r="Y111" s="58"/>
      <c r="Z111" s="52"/>
    </row>
    <row r="112" spans="1:26">
      <c r="A112" s="145">
        <f>+A111</f>
        <v>2024043</v>
      </c>
      <c r="B112" s="146"/>
      <c r="C112" s="642"/>
      <c r="D112" s="645"/>
      <c r="E112" s="648"/>
      <c r="F112" s="651"/>
      <c r="G112" s="648"/>
      <c r="H112" s="633"/>
      <c r="I112" s="636"/>
      <c r="J112" s="639"/>
      <c r="K112" s="104" t="s">
        <v>45</v>
      </c>
      <c r="L112" s="238">
        <f t="shared" ref="L112:X112" si="61">L101-L104</f>
        <v>154597</v>
      </c>
      <c r="M112" s="251">
        <f t="shared" si="61"/>
        <v>174120</v>
      </c>
      <c r="N112" s="251">
        <f t="shared" si="61"/>
        <v>166116</v>
      </c>
      <c r="O112" s="251">
        <f t="shared" si="61"/>
        <v>165753</v>
      </c>
      <c r="P112" s="251">
        <f t="shared" si="61"/>
        <v>164662</v>
      </c>
      <c r="Q112" s="376">
        <f t="shared" si="61"/>
        <v>74270</v>
      </c>
      <c r="R112" s="376">
        <f t="shared" si="61"/>
        <v>138903</v>
      </c>
      <c r="S112" s="376">
        <f t="shared" ref="S112" si="62">S101-S104</f>
        <v>115670</v>
      </c>
      <c r="T112" s="376">
        <f t="shared" si="61"/>
        <v>153129</v>
      </c>
      <c r="U112" s="376">
        <f t="shared" si="61"/>
        <v>153452</v>
      </c>
      <c r="V112" s="376">
        <f t="shared" si="61"/>
        <v>97188</v>
      </c>
      <c r="W112" s="192">
        <f t="shared" si="61"/>
        <v>155025</v>
      </c>
      <c r="X112" s="168">
        <f t="shared" si="61"/>
        <v>1712885</v>
      </c>
      <c r="Y112" s="58"/>
      <c r="Z112" s="52"/>
    </row>
    <row r="113" spans="1:26" s="1" customFormat="1">
      <c r="A113" s="29">
        <v>2025020</v>
      </c>
      <c r="B113" s="26"/>
      <c r="C113" s="641">
        <f>C101+1</f>
        <v>9</v>
      </c>
      <c r="D113" s="644" t="s">
        <v>90</v>
      </c>
      <c r="E113" s="647"/>
      <c r="F113" s="644"/>
      <c r="G113" s="647"/>
      <c r="H113" s="632"/>
      <c r="I113" s="635"/>
      <c r="J113" s="638" t="s">
        <v>42</v>
      </c>
      <c r="K113" s="69" t="s">
        <v>43</v>
      </c>
      <c r="L113" s="241">
        <f t="shared" ref="L113:W113" si="63">L114+L115</f>
        <v>0</v>
      </c>
      <c r="M113" s="241">
        <f t="shared" si="63"/>
        <v>0</v>
      </c>
      <c r="N113" s="241">
        <f t="shared" si="63"/>
        <v>0</v>
      </c>
      <c r="O113" s="241">
        <f t="shared" si="63"/>
        <v>0</v>
      </c>
      <c r="P113" s="241">
        <f t="shared" si="63"/>
        <v>0</v>
      </c>
      <c r="Q113" s="385">
        <f t="shared" si="63"/>
        <v>0</v>
      </c>
      <c r="R113" s="385">
        <f t="shared" si="63"/>
        <v>0</v>
      </c>
      <c r="S113" s="385">
        <f t="shared" si="63"/>
        <v>0</v>
      </c>
      <c r="T113" s="385">
        <f t="shared" si="63"/>
        <v>292500</v>
      </c>
      <c r="U113" s="385">
        <f t="shared" si="63"/>
        <v>352500</v>
      </c>
      <c r="V113" s="385">
        <f t="shared" si="63"/>
        <v>368750</v>
      </c>
      <c r="W113" s="158">
        <f t="shared" si="63"/>
        <v>400000</v>
      </c>
      <c r="X113" s="257">
        <f>SUM(L113:W113)</f>
        <v>1413750</v>
      </c>
      <c r="Y113" s="2"/>
      <c r="Z113" s="52"/>
    </row>
    <row r="114" spans="1:26" s="1" customFormat="1">
      <c r="A114" s="145">
        <f>+A113</f>
        <v>2025020</v>
      </c>
      <c r="B114" s="146"/>
      <c r="C114" s="641"/>
      <c r="D114" s="644"/>
      <c r="E114" s="647"/>
      <c r="F114" s="644"/>
      <c r="G114" s="647"/>
      <c r="H114" s="632"/>
      <c r="I114" s="635"/>
      <c r="J114" s="638"/>
      <c r="K114" s="55" t="s">
        <v>44</v>
      </c>
      <c r="L114" s="240"/>
      <c r="M114" s="240"/>
      <c r="N114" s="240"/>
      <c r="O114" s="240"/>
      <c r="P114" s="240"/>
      <c r="Q114" s="373"/>
      <c r="R114" s="373"/>
      <c r="S114" s="373"/>
      <c r="T114" s="373">
        <v>292500</v>
      </c>
      <c r="U114" s="373">
        <v>352500</v>
      </c>
      <c r="V114" s="373">
        <v>368750</v>
      </c>
      <c r="W114" s="56">
        <v>400000</v>
      </c>
      <c r="X114" s="165">
        <f>SUM(L114:W114)</f>
        <v>1413750</v>
      </c>
      <c r="Y114" s="58"/>
      <c r="Z114" s="52"/>
    </row>
    <row r="115" spans="1:26" s="1" customFormat="1">
      <c r="A115" s="145">
        <f>+A114</f>
        <v>2025020</v>
      </c>
      <c r="B115" s="146"/>
      <c r="C115" s="641"/>
      <c r="D115" s="644"/>
      <c r="E115" s="647"/>
      <c r="F115" s="644"/>
      <c r="G115" s="647"/>
      <c r="H115" s="632"/>
      <c r="I115" s="635"/>
      <c r="J115" s="638"/>
      <c r="K115" s="55" t="s">
        <v>38</v>
      </c>
      <c r="L115" s="229"/>
      <c r="M115" s="240"/>
      <c r="N115" s="240"/>
      <c r="O115" s="240"/>
      <c r="P115" s="240"/>
      <c r="Q115" s="373"/>
      <c r="R115" s="373"/>
      <c r="S115" s="373"/>
      <c r="T115" s="374"/>
      <c r="U115" s="374"/>
      <c r="V115" s="374"/>
      <c r="W115" s="157"/>
      <c r="X115" s="165">
        <v>0</v>
      </c>
      <c r="Y115" s="58"/>
      <c r="Z115" s="52"/>
    </row>
    <row r="116" spans="1:26" s="17" customFormat="1" ht="14.9" customHeight="1">
      <c r="A116" s="145">
        <f t="shared" ref="A116:A123" si="64">+A115</f>
        <v>2025020</v>
      </c>
      <c r="B116" s="146"/>
      <c r="C116" s="641"/>
      <c r="D116" s="644"/>
      <c r="E116" s="647"/>
      <c r="F116" s="644"/>
      <c r="G116" s="647"/>
      <c r="H116" s="632"/>
      <c r="I116" s="635"/>
      <c r="J116" s="638"/>
      <c r="K116" s="61" t="s">
        <v>24</v>
      </c>
      <c r="L116" s="236">
        <f t="shared" ref="L116:W116" si="65">SUM(L117:L123)</f>
        <v>0</v>
      </c>
      <c r="M116" s="287">
        <f t="shared" si="65"/>
        <v>0</v>
      </c>
      <c r="N116" s="287">
        <f t="shared" si="65"/>
        <v>0</v>
      </c>
      <c r="O116" s="287">
        <f t="shared" si="65"/>
        <v>0</v>
      </c>
      <c r="P116" s="287">
        <f t="shared" si="65"/>
        <v>0</v>
      </c>
      <c r="Q116" s="382">
        <f t="shared" si="65"/>
        <v>0</v>
      </c>
      <c r="R116" s="382">
        <f t="shared" si="65"/>
        <v>0</v>
      </c>
      <c r="S116" s="382">
        <f t="shared" si="65"/>
        <v>0</v>
      </c>
      <c r="T116" s="375">
        <f t="shared" si="65"/>
        <v>303922</v>
      </c>
      <c r="U116" s="375">
        <f t="shared" si="65"/>
        <v>289529</v>
      </c>
      <c r="V116" s="375">
        <f t="shared" si="65"/>
        <v>302766</v>
      </c>
      <c r="W116" s="191">
        <f t="shared" si="65"/>
        <v>302225</v>
      </c>
      <c r="X116" s="166">
        <f>SUM(L116:W116)</f>
        <v>1198442</v>
      </c>
      <c r="Y116" s="58"/>
      <c r="Z116" s="52"/>
    </row>
    <row r="117" spans="1:26" s="17" customFormat="1" ht="14.9" customHeight="1">
      <c r="A117" s="145">
        <f t="shared" si="64"/>
        <v>2025020</v>
      </c>
      <c r="B117" s="146"/>
      <c r="C117" s="641"/>
      <c r="D117" s="644"/>
      <c r="E117" s="647"/>
      <c r="F117" s="644"/>
      <c r="G117" s="647"/>
      <c r="H117" s="632"/>
      <c r="I117" s="635"/>
      <c r="J117" s="638"/>
      <c r="K117" s="188" t="s">
        <v>25</v>
      </c>
      <c r="L117" s="223"/>
      <c r="M117" s="223"/>
      <c r="N117" s="223"/>
      <c r="O117" s="223"/>
      <c r="P117" s="223"/>
      <c r="Q117" s="348"/>
      <c r="R117" s="348"/>
      <c r="S117" s="348"/>
      <c r="T117" s="348">
        <v>245000</v>
      </c>
      <c r="U117" s="348">
        <v>230756</v>
      </c>
      <c r="V117" s="348">
        <v>243675</v>
      </c>
      <c r="W117" s="178">
        <v>245000</v>
      </c>
      <c r="X117" s="165">
        <f t="shared" ref="X117:X123" si="66">SUM(L117:W117)</f>
        <v>964431</v>
      </c>
      <c r="Y117" s="58"/>
    </row>
    <row r="118" spans="1:26">
      <c r="A118" s="145">
        <f t="shared" si="64"/>
        <v>2025020</v>
      </c>
      <c r="B118" s="146"/>
      <c r="C118" s="641"/>
      <c r="D118" s="644"/>
      <c r="E118" s="647"/>
      <c r="F118" s="644"/>
      <c r="G118" s="647"/>
      <c r="H118" s="632"/>
      <c r="I118" s="635"/>
      <c r="J118" s="638"/>
      <c r="K118" s="188" t="s">
        <v>30</v>
      </c>
      <c r="L118" s="223"/>
      <c r="M118" s="223"/>
      <c r="N118" s="223"/>
      <c r="O118" s="223"/>
      <c r="P118" s="223"/>
      <c r="Q118" s="348"/>
      <c r="R118" s="348"/>
      <c r="S118" s="348"/>
      <c r="T118" s="348"/>
      <c r="U118" s="348"/>
      <c r="V118" s="348"/>
      <c r="W118" s="178"/>
      <c r="X118" s="165">
        <f t="shared" si="66"/>
        <v>0</v>
      </c>
    </row>
    <row r="119" spans="1:26">
      <c r="A119" s="145">
        <f t="shared" si="64"/>
        <v>2025020</v>
      </c>
      <c r="B119" s="146"/>
      <c r="C119" s="641"/>
      <c r="D119" s="644"/>
      <c r="E119" s="647"/>
      <c r="F119" s="644"/>
      <c r="G119" s="647"/>
      <c r="H119" s="632"/>
      <c r="I119" s="635"/>
      <c r="J119" s="638"/>
      <c r="K119" s="189" t="s">
        <v>36</v>
      </c>
      <c r="L119" s="223"/>
      <c r="M119" s="223"/>
      <c r="N119" s="223"/>
      <c r="O119" s="223"/>
      <c r="P119" s="223"/>
      <c r="Q119" s="348"/>
      <c r="R119" s="348"/>
      <c r="S119" s="448"/>
      <c r="T119" s="348">
        <v>20000</v>
      </c>
      <c r="U119" s="348">
        <v>20000</v>
      </c>
      <c r="V119" s="348">
        <v>20000</v>
      </c>
      <c r="W119" s="178">
        <v>20000</v>
      </c>
      <c r="X119" s="165">
        <f t="shared" si="66"/>
        <v>80000</v>
      </c>
    </row>
    <row r="120" spans="1:26">
      <c r="A120" s="145">
        <f t="shared" si="64"/>
        <v>2025020</v>
      </c>
      <c r="B120" s="146"/>
      <c r="C120" s="641"/>
      <c r="D120" s="644"/>
      <c r="E120" s="647"/>
      <c r="F120" s="644"/>
      <c r="G120" s="647"/>
      <c r="H120" s="632"/>
      <c r="I120" s="635"/>
      <c r="J120" s="638"/>
      <c r="K120" s="189" t="s">
        <v>26</v>
      </c>
      <c r="L120" s="224"/>
      <c r="M120" s="224"/>
      <c r="N120" s="224"/>
      <c r="O120" s="224"/>
      <c r="P120" s="224"/>
      <c r="Q120" s="349"/>
      <c r="R120" s="349"/>
      <c r="S120" s="449"/>
      <c r="T120" s="349">
        <v>12350</v>
      </c>
      <c r="U120" s="349">
        <v>12350</v>
      </c>
      <c r="V120" s="349">
        <v>12350</v>
      </c>
      <c r="W120" s="179">
        <v>11050</v>
      </c>
      <c r="X120" s="165">
        <f t="shared" si="66"/>
        <v>48100</v>
      </c>
    </row>
    <row r="121" spans="1:26">
      <c r="A121" s="145">
        <f t="shared" si="64"/>
        <v>2025020</v>
      </c>
      <c r="B121" s="146"/>
      <c r="C121" s="641"/>
      <c r="D121" s="644"/>
      <c r="E121" s="647"/>
      <c r="F121" s="644"/>
      <c r="G121" s="647"/>
      <c r="H121" s="632"/>
      <c r="I121" s="635"/>
      <c r="J121" s="638"/>
      <c r="K121" s="189" t="s">
        <v>27</v>
      </c>
      <c r="L121" s="224"/>
      <c r="M121" s="224"/>
      <c r="N121" s="224"/>
      <c r="O121" s="224"/>
      <c r="P121" s="224"/>
      <c r="Q121" s="349"/>
      <c r="R121" s="349"/>
      <c r="S121" s="449"/>
      <c r="T121" s="349">
        <v>23790</v>
      </c>
      <c r="U121" s="349">
        <v>23790</v>
      </c>
      <c r="V121" s="349">
        <v>23790</v>
      </c>
      <c r="W121" s="179">
        <v>23790</v>
      </c>
      <c r="X121" s="165">
        <f t="shared" si="66"/>
        <v>95160</v>
      </c>
    </row>
    <row r="122" spans="1:26">
      <c r="A122" s="145">
        <f t="shared" si="64"/>
        <v>2025020</v>
      </c>
      <c r="B122" s="146">
        <f t="shared" ref="B122:B123" si="67">+B121</f>
        <v>0</v>
      </c>
      <c r="C122" s="641"/>
      <c r="D122" s="644"/>
      <c r="E122" s="647"/>
      <c r="F122" s="644"/>
      <c r="G122" s="647"/>
      <c r="H122" s="632"/>
      <c r="I122" s="635"/>
      <c r="J122" s="638"/>
      <c r="K122" s="189" t="s">
        <v>28</v>
      </c>
      <c r="L122" s="224"/>
      <c r="M122" s="224"/>
      <c r="N122" s="224"/>
      <c r="O122" s="224"/>
      <c r="P122" s="224"/>
      <c r="Q122" s="349"/>
      <c r="R122" s="349"/>
      <c r="S122" s="449"/>
      <c r="T122" s="349">
        <v>1325</v>
      </c>
      <c r="U122" s="349">
        <v>1254</v>
      </c>
      <c r="V122" s="349">
        <v>1405</v>
      </c>
      <c r="W122" s="179">
        <v>795</v>
      </c>
      <c r="X122" s="165">
        <f t="shared" si="66"/>
        <v>4779</v>
      </c>
    </row>
    <row r="123" spans="1:26">
      <c r="A123" s="145">
        <f t="shared" si="64"/>
        <v>2025020</v>
      </c>
      <c r="B123" s="146">
        <f t="shared" si="67"/>
        <v>0</v>
      </c>
      <c r="C123" s="641"/>
      <c r="D123" s="644"/>
      <c r="E123" s="647"/>
      <c r="F123" s="644"/>
      <c r="G123" s="647"/>
      <c r="H123" s="632"/>
      <c r="I123" s="635"/>
      <c r="J123" s="638"/>
      <c r="K123" s="190" t="s">
        <v>29</v>
      </c>
      <c r="L123" s="224"/>
      <c r="M123" s="224"/>
      <c r="N123" s="224"/>
      <c r="O123" s="224"/>
      <c r="P123" s="224"/>
      <c r="Q123" s="349"/>
      <c r="R123" s="349"/>
      <c r="S123" s="449"/>
      <c r="T123" s="349">
        <v>1457</v>
      </c>
      <c r="U123" s="349">
        <v>1379</v>
      </c>
      <c r="V123" s="349">
        <v>1546</v>
      </c>
      <c r="W123" s="179">
        <v>1590</v>
      </c>
      <c r="X123" s="167">
        <f t="shared" si="66"/>
        <v>5972</v>
      </c>
    </row>
    <row r="124" spans="1:26" ht="12.5" thickBot="1">
      <c r="A124" s="145">
        <f>+A123</f>
        <v>2025020</v>
      </c>
      <c r="B124" s="146">
        <f>+B123</f>
        <v>0</v>
      </c>
      <c r="C124" s="691"/>
      <c r="D124" s="692"/>
      <c r="E124" s="693"/>
      <c r="F124" s="692"/>
      <c r="G124" s="693"/>
      <c r="H124" s="688"/>
      <c r="I124" s="689"/>
      <c r="J124" s="690"/>
      <c r="K124" s="152" t="s">
        <v>45</v>
      </c>
      <c r="L124" s="242">
        <f t="shared" ref="L124:X124" si="68">L113-L116</f>
        <v>0</v>
      </c>
      <c r="M124" s="289">
        <f t="shared" si="68"/>
        <v>0</v>
      </c>
      <c r="N124" s="289">
        <f t="shared" si="68"/>
        <v>0</v>
      </c>
      <c r="O124" s="289">
        <f t="shared" si="68"/>
        <v>0</v>
      </c>
      <c r="P124" s="289">
        <f t="shared" si="68"/>
        <v>0</v>
      </c>
      <c r="Q124" s="386">
        <f t="shared" si="68"/>
        <v>0</v>
      </c>
      <c r="R124" s="386">
        <f t="shared" si="68"/>
        <v>0</v>
      </c>
      <c r="S124" s="386">
        <f t="shared" si="68"/>
        <v>0</v>
      </c>
      <c r="T124" s="386">
        <f t="shared" si="68"/>
        <v>-11422</v>
      </c>
      <c r="U124" s="386">
        <f t="shared" si="68"/>
        <v>62971</v>
      </c>
      <c r="V124" s="386">
        <f t="shared" si="68"/>
        <v>65984</v>
      </c>
      <c r="W124" s="203">
        <f t="shared" si="68"/>
        <v>97775</v>
      </c>
      <c r="X124" s="433">
        <f t="shared" si="68"/>
        <v>215308</v>
      </c>
    </row>
    <row r="125" spans="1:26" ht="12.5" thickTop="1">
      <c r="A125" s="28"/>
      <c r="B125" s="25"/>
      <c r="C125" s="670" t="str">
        <f>C2</f>
        <v>UAL常駐</v>
      </c>
      <c r="D125" s="671"/>
      <c r="E125" s="671"/>
      <c r="F125" s="671"/>
      <c r="G125" s="671"/>
      <c r="H125" s="671"/>
      <c r="I125" s="671"/>
      <c r="J125" s="672"/>
      <c r="K125" s="40" t="s">
        <v>21</v>
      </c>
      <c r="L125" s="243">
        <f>L5+L17+L29+L41+L53+L65+L77+L89+L101+L113</f>
        <v>3822500</v>
      </c>
      <c r="M125" s="293">
        <f t="shared" ref="M125:W125" si="69">M5+M17+M29+M41+M53+M65+M77+M89+M101+M113</f>
        <v>3822500</v>
      </c>
      <c r="N125" s="293">
        <f t="shared" si="69"/>
        <v>3817500</v>
      </c>
      <c r="O125" s="293">
        <f t="shared" si="69"/>
        <v>3819455</v>
      </c>
      <c r="P125" s="293">
        <f t="shared" si="69"/>
        <v>3602025</v>
      </c>
      <c r="Q125" s="293">
        <f t="shared" si="69"/>
        <v>3687320</v>
      </c>
      <c r="R125" s="293">
        <f t="shared" si="69"/>
        <v>3302435</v>
      </c>
      <c r="S125" s="293">
        <f t="shared" si="69"/>
        <v>3179855</v>
      </c>
      <c r="T125" s="459">
        <f t="shared" si="69"/>
        <v>3718440</v>
      </c>
      <c r="U125" s="459">
        <f t="shared" si="69"/>
        <v>4025275</v>
      </c>
      <c r="V125" s="459">
        <f t="shared" si="69"/>
        <v>4082725</v>
      </c>
      <c r="W125" s="456">
        <f t="shared" si="69"/>
        <v>4140000</v>
      </c>
      <c r="X125" s="171">
        <f>SUM(L125:W125)</f>
        <v>45020030</v>
      </c>
    </row>
    <row r="126" spans="1:26">
      <c r="A126" s="28"/>
      <c r="B126" s="25"/>
      <c r="C126" s="670"/>
      <c r="D126" s="671"/>
      <c r="E126" s="671"/>
      <c r="F126" s="671"/>
      <c r="G126" s="671"/>
      <c r="H126" s="671"/>
      <c r="I126" s="671"/>
      <c r="J126" s="672"/>
      <c r="K126" s="43" t="s">
        <v>22</v>
      </c>
      <c r="L126" s="244">
        <f>L8+L20+L32+L44+L56+L68+L80+L92+L104+L116</f>
        <v>2573624</v>
      </c>
      <c r="M126" s="294">
        <f t="shared" ref="M126:W126" si="70">M8+M20+M32+M44+M56+M68+M80+M92+M104+M116</f>
        <v>2556425</v>
      </c>
      <c r="N126" s="294">
        <f t="shared" si="70"/>
        <v>2555803</v>
      </c>
      <c r="O126" s="294">
        <f t="shared" si="70"/>
        <v>2555021</v>
      </c>
      <c r="P126" s="294">
        <f t="shared" si="70"/>
        <v>2540089</v>
      </c>
      <c r="Q126" s="294">
        <f t="shared" si="70"/>
        <v>2588419</v>
      </c>
      <c r="R126" s="294">
        <f t="shared" si="70"/>
        <v>2305130</v>
      </c>
      <c r="S126" s="294">
        <f t="shared" si="70"/>
        <v>2286257</v>
      </c>
      <c r="T126" s="460">
        <f t="shared" si="70"/>
        <v>2619829</v>
      </c>
      <c r="U126" s="460">
        <f t="shared" si="70"/>
        <v>2956040</v>
      </c>
      <c r="V126" s="460">
        <f t="shared" si="70"/>
        <v>2914638</v>
      </c>
      <c r="W126" s="457">
        <f t="shared" si="70"/>
        <v>2911560.4444444445</v>
      </c>
      <c r="X126" s="172">
        <f>SUM(L126:W126)</f>
        <v>31362835.444444444</v>
      </c>
    </row>
    <row r="127" spans="1:26">
      <c r="A127" s="28"/>
      <c r="B127" s="25"/>
      <c r="C127" s="673"/>
      <c r="D127" s="674"/>
      <c r="E127" s="674"/>
      <c r="F127" s="674"/>
      <c r="G127" s="674"/>
      <c r="H127" s="674"/>
      <c r="I127" s="674"/>
      <c r="J127" s="675"/>
      <c r="K127" s="73" t="s">
        <v>23</v>
      </c>
      <c r="L127" s="245">
        <f>L125-L126</f>
        <v>1248876</v>
      </c>
      <c r="M127" s="295">
        <f t="shared" ref="M127:W127" si="71">M125-M126</f>
        <v>1266075</v>
      </c>
      <c r="N127" s="295">
        <f t="shared" si="71"/>
        <v>1261697</v>
      </c>
      <c r="O127" s="295">
        <f t="shared" si="71"/>
        <v>1264434</v>
      </c>
      <c r="P127" s="295">
        <f t="shared" si="71"/>
        <v>1061936</v>
      </c>
      <c r="Q127" s="387">
        <f t="shared" si="71"/>
        <v>1098901</v>
      </c>
      <c r="R127" s="387">
        <f t="shared" si="71"/>
        <v>997305</v>
      </c>
      <c r="S127" s="387">
        <f t="shared" si="71"/>
        <v>893598</v>
      </c>
      <c r="T127" s="387">
        <f t="shared" si="71"/>
        <v>1098611</v>
      </c>
      <c r="U127" s="387">
        <f t="shared" si="71"/>
        <v>1069235</v>
      </c>
      <c r="V127" s="387">
        <f t="shared" si="71"/>
        <v>1168087</v>
      </c>
      <c r="W127" s="214">
        <f t="shared" si="71"/>
        <v>1228439.5555555555</v>
      </c>
      <c r="X127" s="173">
        <f>SUM(L127:W127)</f>
        <v>13657194.555555556</v>
      </c>
    </row>
    <row r="128" spans="1:26">
      <c r="A128" s="28"/>
      <c r="B128" s="25"/>
      <c r="C128" s="100"/>
      <c r="D128" s="17"/>
      <c r="E128" s="17"/>
      <c r="G128" s="17"/>
      <c r="H128" s="17"/>
      <c r="I128" s="17"/>
      <c r="J128" s="17"/>
      <c r="K128" s="19" t="s">
        <v>46</v>
      </c>
      <c r="L128" s="676">
        <f>SUM(L125:N125)</f>
        <v>11462500</v>
      </c>
      <c r="M128" s="677"/>
      <c r="N128" s="677"/>
      <c r="O128" s="678">
        <f>SUM(O125:Q125)</f>
        <v>11108800</v>
      </c>
      <c r="P128" s="679"/>
      <c r="Q128" s="679"/>
      <c r="R128" s="678">
        <f>SUM(R125:T125)</f>
        <v>10200730</v>
      </c>
      <c r="S128" s="679"/>
      <c r="T128" s="679"/>
      <c r="U128" s="678">
        <f>SUM(U125:W125)</f>
        <v>12248000</v>
      </c>
      <c r="V128" s="679"/>
      <c r="W128" s="680"/>
      <c r="X128" s="76">
        <f>SUM(L128:W128)</f>
        <v>45020030</v>
      </c>
    </row>
    <row r="129" spans="1:24">
      <c r="A129" s="28"/>
      <c r="B129" s="25"/>
      <c r="C129" s="101"/>
      <c r="D129" s="102"/>
      <c r="E129" s="102"/>
      <c r="F129" s="103"/>
      <c r="G129" s="102"/>
      <c r="H129" s="102"/>
      <c r="I129" s="102"/>
      <c r="J129" s="102"/>
      <c r="K129" s="18" t="s">
        <v>47</v>
      </c>
      <c r="L129" s="681">
        <f>SUM(L127:N127)</f>
        <v>3776648</v>
      </c>
      <c r="M129" s="682"/>
      <c r="N129" s="682"/>
      <c r="O129" s="683">
        <f>SUM(O127:Q127)</f>
        <v>3425271</v>
      </c>
      <c r="P129" s="684"/>
      <c r="Q129" s="684"/>
      <c r="R129" s="683">
        <f>SUM(R127:T127)</f>
        <v>2989514</v>
      </c>
      <c r="S129" s="684"/>
      <c r="T129" s="684"/>
      <c r="U129" s="683">
        <f>SUM(U127:W127)</f>
        <v>3465761.5555555555</v>
      </c>
      <c r="V129" s="684"/>
      <c r="W129" s="685"/>
      <c r="X129" s="77">
        <f>SUM(L129:W129)</f>
        <v>13657194.555555556</v>
      </c>
    </row>
    <row r="130" spans="1:24">
      <c r="P130" s="5"/>
      <c r="Q130" s="5"/>
      <c r="R130" s="5"/>
      <c r="S130" s="2"/>
      <c r="T130" s="5"/>
      <c r="U130" s="5"/>
      <c r="V130" s="5"/>
      <c r="W130" s="2"/>
      <c r="X130" s="2"/>
    </row>
    <row r="131" spans="1:24">
      <c r="P131" s="5"/>
      <c r="Q131" s="5"/>
      <c r="R131" s="5"/>
      <c r="S131" s="2"/>
      <c r="T131" s="5"/>
      <c r="U131" s="5"/>
      <c r="V131" s="5"/>
      <c r="W131" s="2"/>
      <c r="X131" s="2"/>
    </row>
    <row r="132" spans="1:24">
      <c r="P132" s="5"/>
      <c r="Q132" s="5"/>
      <c r="R132" s="5"/>
      <c r="S132" s="2"/>
      <c r="T132" s="5"/>
      <c r="U132" s="5"/>
      <c r="V132" s="5"/>
      <c r="W132" s="2"/>
      <c r="X132" s="2"/>
    </row>
    <row r="133" spans="1:24">
      <c r="P133" s="5"/>
      <c r="Q133" s="5"/>
      <c r="R133" s="5"/>
      <c r="S133" s="2"/>
      <c r="T133" s="5"/>
      <c r="U133" s="5"/>
      <c r="V133" s="5"/>
      <c r="W133" s="2"/>
      <c r="X133" s="2"/>
    </row>
    <row r="134" spans="1:24">
      <c r="P134" s="5"/>
      <c r="Q134" s="5"/>
      <c r="R134" s="5"/>
      <c r="S134" s="2"/>
      <c r="T134" s="5"/>
      <c r="U134" s="5"/>
      <c r="V134" s="5"/>
      <c r="W134" s="2"/>
      <c r="X134" s="2"/>
    </row>
    <row r="135" spans="1:24">
      <c r="P135" s="5"/>
      <c r="Q135" s="5"/>
      <c r="R135" s="5"/>
      <c r="S135" s="2"/>
      <c r="T135" s="5"/>
      <c r="U135" s="5"/>
      <c r="V135" s="5"/>
      <c r="W135" s="2"/>
      <c r="X135" s="2"/>
    </row>
    <row r="136" spans="1:24">
      <c r="P136" s="5"/>
      <c r="Q136" s="5"/>
      <c r="R136" s="5"/>
      <c r="S136" s="2"/>
      <c r="T136" s="5"/>
      <c r="U136" s="5"/>
      <c r="V136" s="5"/>
      <c r="W136" s="2"/>
      <c r="X136" s="2"/>
    </row>
    <row r="137" spans="1:24">
      <c r="P137" s="5"/>
      <c r="Q137" s="5"/>
      <c r="R137" s="5"/>
      <c r="S137" s="2"/>
      <c r="T137" s="5"/>
      <c r="U137" s="5"/>
      <c r="V137" s="5"/>
      <c r="W137" s="2"/>
      <c r="X137" s="2"/>
    </row>
    <row r="138" spans="1:24">
      <c r="P138" s="5"/>
      <c r="Q138" s="5"/>
      <c r="R138" s="5"/>
      <c r="S138" s="2"/>
      <c r="T138" s="5"/>
      <c r="U138" s="5"/>
      <c r="V138" s="5"/>
      <c r="W138" s="2"/>
      <c r="X138" s="2"/>
    </row>
    <row r="139" spans="1:24">
      <c r="P139" s="5"/>
      <c r="Q139" s="5"/>
      <c r="R139" s="5"/>
      <c r="S139" s="2"/>
      <c r="T139" s="5"/>
      <c r="U139" s="5"/>
      <c r="V139" s="5"/>
      <c r="W139" s="2"/>
      <c r="X139" s="2"/>
    </row>
    <row r="140" spans="1:24">
      <c r="P140" s="5"/>
      <c r="Q140" s="5"/>
      <c r="R140" s="5"/>
      <c r="S140" s="2"/>
      <c r="T140" s="5"/>
      <c r="U140" s="5"/>
      <c r="V140" s="5"/>
      <c r="W140" s="2"/>
      <c r="X140" s="2"/>
    </row>
    <row r="141" spans="1:24">
      <c r="P141" s="5"/>
      <c r="Q141" s="5"/>
      <c r="R141" s="5"/>
      <c r="S141" s="2"/>
      <c r="T141" s="5"/>
      <c r="U141" s="5"/>
      <c r="V141" s="5"/>
      <c r="W141" s="2"/>
      <c r="X141" s="2"/>
    </row>
    <row r="142" spans="1:24">
      <c r="P142" s="5"/>
      <c r="Q142" s="5"/>
      <c r="R142" s="5"/>
      <c r="S142" s="2"/>
      <c r="T142" s="5"/>
      <c r="U142" s="5"/>
      <c r="V142" s="5"/>
      <c r="W142" s="2"/>
      <c r="X142" s="2"/>
    </row>
    <row r="143" spans="1:24">
      <c r="P143" s="5"/>
      <c r="Q143" s="5"/>
      <c r="R143" s="5"/>
      <c r="S143" s="2"/>
      <c r="T143" s="5"/>
      <c r="U143" s="5"/>
      <c r="V143" s="5"/>
      <c r="W143" s="2"/>
      <c r="X143" s="2"/>
    </row>
    <row r="144" spans="1:24">
      <c r="P144" s="5"/>
      <c r="Q144" s="5"/>
      <c r="R144" s="5"/>
      <c r="S144" s="2"/>
      <c r="T144" s="5"/>
      <c r="U144" s="5"/>
      <c r="V144" s="5"/>
      <c r="W144" s="2"/>
      <c r="X144" s="2"/>
    </row>
    <row r="145" spans="16:24">
      <c r="P145" s="5"/>
      <c r="Q145" s="5"/>
      <c r="R145" s="5"/>
      <c r="S145" s="2"/>
      <c r="T145" s="5"/>
      <c r="U145" s="5"/>
      <c r="V145" s="5"/>
      <c r="W145" s="2"/>
      <c r="X145" s="2"/>
    </row>
    <row r="146" spans="16:24">
      <c r="P146" s="5"/>
      <c r="Q146" s="5"/>
      <c r="R146" s="5"/>
      <c r="S146" s="2"/>
      <c r="T146" s="5"/>
      <c r="U146" s="5"/>
      <c r="V146" s="5"/>
      <c r="W146" s="2"/>
      <c r="X146" s="2"/>
    </row>
    <row r="147" spans="16:24">
      <c r="P147" s="5"/>
      <c r="Q147" s="5"/>
      <c r="R147" s="5"/>
      <c r="S147" s="2"/>
      <c r="T147" s="5"/>
      <c r="U147" s="5"/>
      <c r="V147" s="5"/>
      <c r="W147" s="2"/>
      <c r="X147" s="2"/>
    </row>
    <row r="148" spans="16:24">
      <c r="P148" s="5"/>
      <c r="Q148" s="5"/>
      <c r="R148" s="5"/>
      <c r="S148" s="2"/>
      <c r="T148" s="5"/>
      <c r="U148" s="5"/>
      <c r="V148" s="5"/>
      <c r="W148" s="2"/>
      <c r="X148" s="2"/>
    </row>
    <row r="149" spans="16:24">
      <c r="P149" s="5"/>
      <c r="Q149" s="5"/>
      <c r="R149" s="5"/>
      <c r="S149" s="2"/>
      <c r="T149" s="5"/>
      <c r="U149" s="5"/>
      <c r="V149" s="5"/>
      <c r="W149" s="2"/>
      <c r="X149" s="2"/>
    </row>
    <row r="150" spans="16:24">
      <c r="P150" s="5"/>
      <c r="Q150" s="5"/>
      <c r="R150" s="5"/>
      <c r="S150" s="2"/>
      <c r="T150" s="5"/>
      <c r="U150" s="5"/>
      <c r="V150" s="5"/>
      <c r="W150" s="2"/>
      <c r="X150" s="2"/>
    </row>
    <row r="151" spans="16:24">
      <c r="P151" s="5"/>
      <c r="Q151" s="5"/>
      <c r="R151" s="5"/>
      <c r="S151" s="2"/>
      <c r="T151" s="5"/>
      <c r="U151" s="5"/>
      <c r="V151" s="5"/>
      <c r="W151" s="2"/>
      <c r="X151" s="2"/>
    </row>
    <row r="152" spans="16:24">
      <c r="P152" s="5"/>
      <c r="Q152" s="5"/>
      <c r="R152" s="5"/>
      <c r="S152" s="2"/>
      <c r="T152" s="5"/>
      <c r="U152" s="5"/>
      <c r="V152" s="5"/>
      <c r="W152" s="2"/>
      <c r="X152" s="2"/>
    </row>
    <row r="153" spans="16:24">
      <c r="P153" s="5"/>
      <c r="Q153" s="5"/>
      <c r="R153" s="5"/>
      <c r="S153" s="2"/>
      <c r="T153" s="5"/>
      <c r="U153" s="5"/>
      <c r="V153" s="5"/>
      <c r="W153" s="2"/>
      <c r="X153" s="2"/>
    </row>
    <row r="154" spans="16:24">
      <c r="P154" s="5"/>
      <c r="Q154" s="5"/>
      <c r="R154" s="5"/>
      <c r="S154" s="2"/>
      <c r="T154" s="5"/>
      <c r="U154" s="5"/>
      <c r="V154" s="5"/>
      <c r="W154" s="2"/>
      <c r="X154" s="2"/>
    </row>
    <row r="155" spans="16:24">
      <c r="P155" s="5"/>
      <c r="Q155" s="5"/>
      <c r="R155" s="5"/>
      <c r="S155" s="2"/>
      <c r="T155" s="5"/>
      <c r="U155" s="5"/>
      <c r="V155" s="5"/>
      <c r="W155" s="2"/>
      <c r="X155" s="2"/>
    </row>
    <row r="156" spans="16:24">
      <c r="P156" s="5"/>
      <c r="Q156" s="5"/>
      <c r="R156" s="5"/>
      <c r="S156" s="2"/>
      <c r="T156" s="5"/>
      <c r="U156" s="5"/>
      <c r="V156" s="5"/>
      <c r="W156" s="2"/>
      <c r="X156" s="2"/>
    </row>
    <row r="157" spans="16:24">
      <c r="P157" s="5"/>
      <c r="Q157" s="5"/>
      <c r="R157" s="5"/>
      <c r="S157" s="2"/>
      <c r="T157" s="5"/>
      <c r="U157" s="5"/>
      <c r="V157" s="5"/>
      <c r="W157" s="2"/>
      <c r="X157" s="2"/>
    </row>
    <row r="158" spans="16:24">
      <c r="P158" s="5"/>
      <c r="Q158" s="5"/>
      <c r="R158" s="5"/>
      <c r="S158" s="2"/>
      <c r="T158" s="5"/>
      <c r="U158" s="5"/>
      <c r="V158" s="5"/>
      <c r="W158" s="2"/>
      <c r="X158" s="2"/>
    </row>
    <row r="159" spans="16:24">
      <c r="P159" s="5"/>
      <c r="Q159" s="5"/>
      <c r="R159" s="5"/>
      <c r="S159" s="2"/>
      <c r="T159" s="5"/>
      <c r="U159" s="5"/>
      <c r="V159" s="5"/>
      <c r="W159" s="2"/>
      <c r="X159" s="2"/>
    </row>
    <row r="160" spans="16:24">
      <c r="P160" s="5"/>
      <c r="Q160" s="5"/>
      <c r="R160" s="5"/>
      <c r="S160" s="2"/>
      <c r="T160" s="5"/>
      <c r="U160" s="5"/>
      <c r="V160" s="5"/>
      <c r="W160" s="2"/>
      <c r="X160" s="2"/>
    </row>
    <row r="161" spans="16:24">
      <c r="P161" s="5"/>
      <c r="Q161" s="5"/>
      <c r="R161" s="5"/>
      <c r="S161" s="2"/>
      <c r="T161" s="5"/>
      <c r="U161" s="5"/>
      <c r="V161" s="5"/>
      <c r="W161" s="2"/>
      <c r="X161" s="2"/>
    </row>
    <row r="162" spans="16:24">
      <c r="P162" s="5"/>
      <c r="Q162" s="5"/>
      <c r="R162" s="5"/>
      <c r="S162" s="2"/>
      <c r="T162" s="5"/>
      <c r="U162" s="5"/>
      <c r="V162" s="5"/>
      <c r="W162" s="2"/>
      <c r="X162" s="2"/>
    </row>
    <row r="163" spans="16:24">
      <c r="P163" s="5"/>
      <c r="Q163" s="5"/>
      <c r="R163" s="5"/>
      <c r="S163" s="2"/>
      <c r="T163" s="5"/>
      <c r="U163" s="5"/>
      <c r="V163" s="5"/>
      <c r="W163" s="2"/>
      <c r="X163" s="2"/>
    </row>
    <row r="164" spans="16:24">
      <c r="P164" s="5"/>
      <c r="Q164" s="5"/>
      <c r="R164" s="5"/>
      <c r="S164" s="2"/>
      <c r="T164" s="5"/>
      <c r="U164" s="5"/>
      <c r="V164" s="5"/>
      <c r="W164" s="2"/>
      <c r="X164" s="2"/>
    </row>
    <row r="165" spans="16:24">
      <c r="P165" s="5"/>
      <c r="Q165" s="5"/>
      <c r="R165" s="5"/>
      <c r="S165" s="2"/>
      <c r="T165" s="5"/>
      <c r="U165" s="5"/>
      <c r="V165" s="5"/>
      <c r="W165" s="2"/>
      <c r="X165" s="2"/>
    </row>
    <row r="166" spans="16:24">
      <c r="P166" s="5"/>
      <c r="Q166" s="5"/>
      <c r="R166" s="5"/>
      <c r="S166" s="2"/>
      <c r="T166" s="5"/>
      <c r="U166" s="5"/>
      <c r="V166" s="5"/>
      <c r="W166" s="2"/>
      <c r="X166" s="2"/>
    </row>
    <row r="167" spans="16:24">
      <c r="P167" s="5"/>
      <c r="Q167" s="5"/>
      <c r="R167" s="5"/>
      <c r="S167" s="2"/>
      <c r="T167" s="5"/>
      <c r="U167" s="5"/>
      <c r="V167" s="5"/>
      <c r="W167" s="2"/>
      <c r="X167" s="2"/>
    </row>
    <row r="168" spans="16:24">
      <c r="P168" s="5"/>
      <c r="Q168" s="5"/>
      <c r="R168" s="5"/>
      <c r="S168" s="2"/>
      <c r="T168" s="5"/>
      <c r="U168" s="5"/>
      <c r="V168" s="5"/>
      <c r="W168" s="2"/>
      <c r="X168" s="2"/>
    </row>
    <row r="169" spans="16:24">
      <c r="P169" s="5"/>
      <c r="Q169" s="5"/>
      <c r="R169" s="5"/>
      <c r="S169" s="2"/>
      <c r="T169" s="5"/>
      <c r="U169" s="5"/>
      <c r="V169" s="5"/>
      <c r="W169" s="2"/>
      <c r="X169" s="2"/>
    </row>
    <row r="170" spans="16:24">
      <c r="P170" s="5"/>
      <c r="Q170" s="5"/>
      <c r="R170" s="5"/>
      <c r="S170" s="2"/>
      <c r="T170" s="5"/>
      <c r="U170" s="5"/>
      <c r="V170" s="5"/>
      <c r="W170" s="2"/>
      <c r="X170" s="2"/>
    </row>
    <row r="171" spans="16:24">
      <c r="P171" s="5"/>
      <c r="Q171" s="5"/>
      <c r="R171" s="5"/>
      <c r="S171" s="2"/>
      <c r="T171" s="5"/>
      <c r="U171" s="5"/>
      <c r="V171" s="5"/>
      <c r="W171" s="2"/>
      <c r="X171" s="2"/>
    </row>
    <row r="172" spans="16:24">
      <c r="P172" s="5"/>
      <c r="Q172" s="5"/>
      <c r="R172" s="5"/>
      <c r="S172" s="2"/>
      <c r="T172" s="5"/>
      <c r="U172" s="5"/>
      <c r="V172" s="5"/>
      <c r="W172" s="2"/>
      <c r="X172" s="2"/>
    </row>
    <row r="173" spans="16:24">
      <c r="P173" s="5"/>
      <c r="Q173" s="5"/>
      <c r="R173" s="5"/>
      <c r="S173" s="2"/>
      <c r="T173" s="5"/>
      <c r="U173" s="5"/>
      <c r="V173" s="5"/>
      <c r="W173" s="2"/>
      <c r="X173" s="2"/>
    </row>
    <row r="174" spans="16:24">
      <c r="P174" s="5"/>
      <c r="Q174" s="5"/>
      <c r="R174" s="5"/>
      <c r="S174" s="2"/>
      <c r="T174" s="5"/>
      <c r="U174" s="5"/>
      <c r="V174" s="5"/>
      <c r="W174" s="2"/>
      <c r="X174" s="2"/>
    </row>
    <row r="175" spans="16:24">
      <c r="P175" s="5"/>
      <c r="Q175" s="5"/>
      <c r="R175" s="5"/>
      <c r="S175" s="2"/>
      <c r="T175" s="5"/>
      <c r="U175" s="5"/>
      <c r="V175" s="5"/>
      <c r="W175" s="2"/>
      <c r="X175" s="2"/>
    </row>
    <row r="176" spans="16:24">
      <c r="P176" s="5"/>
      <c r="Q176" s="5"/>
      <c r="R176" s="5"/>
      <c r="S176" s="2"/>
      <c r="T176" s="5"/>
      <c r="U176" s="5"/>
      <c r="V176" s="5"/>
      <c r="W176" s="2"/>
      <c r="X176" s="2"/>
    </row>
    <row r="177" spans="16:24">
      <c r="P177" s="5"/>
      <c r="Q177" s="5"/>
      <c r="R177" s="5"/>
      <c r="S177" s="2"/>
      <c r="T177" s="5"/>
      <c r="U177" s="5"/>
      <c r="V177" s="5"/>
      <c r="W177" s="2"/>
      <c r="X177" s="2"/>
    </row>
    <row r="178" spans="16:24">
      <c r="P178" s="5"/>
      <c r="Q178" s="5"/>
      <c r="R178" s="5"/>
      <c r="S178" s="2"/>
      <c r="T178" s="5"/>
      <c r="U178" s="5"/>
      <c r="V178" s="5"/>
      <c r="W178" s="2"/>
      <c r="X178" s="2"/>
    </row>
    <row r="179" spans="16:24">
      <c r="P179" s="5"/>
      <c r="Q179" s="5"/>
      <c r="R179" s="5"/>
      <c r="S179" s="2"/>
      <c r="T179" s="5"/>
      <c r="U179" s="5"/>
      <c r="V179" s="5"/>
      <c r="W179" s="2"/>
      <c r="X179" s="2"/>
    </row>
    <row r="180" spans="16:24">
      <c r="P180" s="5"/>
      <c r="Q180" s="5"/>
      <c r="R180" s="5"/>
      <c r="S180" s="2"/>
      <c r="T180" s="5"/>
      <c r="U180" s="5"/>
      <c r="V180" s="5"/>
      <c r="W180" s="2"/>
      <c r="X180" s="2"/>
    </row>
    <row r="181" spans="16:24">
      <c r="P181" s="5"/>
      <c r="Q181" s="5"/>
      <c r="R181" s="5"/>
      <c r="S181" s="2"/>
      <c r="T181" s="5"/>
      <c r="U181" s="5"/>
      <c r="V181" s="5"/>
      <c r="W181" s="2"/>
      <c r="X181" s="2"/>
    </row>
    <row r="182" spans="16:24">
      <c r="P182" s="5"/>
      <c r="Q182" s="5"/>
      <c r="R182" s="5"/>
      <c r="S182" s="2"/>
      <c r="T182" s="5"/>
      <c r="U182" s="5"/>
      <c r="V182" s="5"/>
      <c r="W182" s="2"/>
      <c r="X182" s="2"/>
    </row>
    <row r="183" spans="16:24">
      <c r="P183" s="5"/>
      <c r="Q183" s="5"/>
      <c r="R183" s="5"/>
      <c r="S183" s="2"/>
      <c r="T183" s="5"/>
      <c r="U183" s="5"/>
      <c r="V183" s="5"/>
      <c r="W183" s="2"/>
      <c r="X183" s="2"/>
    </row>
    <row r="184" spans="16:24">
      <c r="P184" s="5"/>
      <c r="Q184" s="5"/>
      <c r="R184" s="5"/>
      <c r="S184" s="2"/>
      <c r="T184" s="5"/>
      <c r="U184" s="5"/>
      <c r="V184" s="5"/>
      <c r="W184" s="2"/>
      <c r="X184" s="2"/>
    </row>
    <row r="185" spans="16:24">
      <c r="P185" s="5"/>
      <c r="Q185" s="5"/>
      <c r="R185" s="5"/>
      <c r="S185" s="2"/>
      <c r="T185" s="5"/>
      <c r="U185" s="5"/>
      <c r="V185" s="5"/>
      <c r="W185" s="2"/>
      <c r="X185" s="2"/>
    </row>
    <row r="186" spans="16:24">
      <c r="P186" s="5"/>
      <c r="Q186" s="5"/>
      <c r="R186" s="5"/>
      <c r="S186" s="2"/>
      <c r="T186" s="5"/>
      <c r="U186" s="5"/>
      <c r="V186" s="5"/>
      <c r="W186" s="2"/>
      <c r="X186" s="2"/>
    </row>
    <row r="187" spans="16:24">
      <c r="P187" s="5"/>
      <c r="Q187" s="5"/>
      <c r="R187" s="5"/>
      <c r="S187" s="2"/>
      <c r="T187" s="5"/>
      <c r="U187" s="5"/>
      <c r="V187" s="5"/>
      <c r="W187" s="2"/>
      <c r="X187" s="2"/>
    </row>
    <row r="188" spans="16:24">
      <c r="P188" s="5"/>
      <c r="Q188" s="5"/>
      <c r="R188" s="5"/>
      <c r="S188" s="2"/>
      <c r="T188" s="5"/>
      <c r="U188" s="5"/>
      <c r="V188" s="5"/>
      <c r="W188" s="2"/>
      <c r="X188" s="2"/>
    </row>
    <row r="189" spans="16:24">
      <c r="P189" s="5"/>
      <c r="Q189" s="5"/>
      <c r="R189" s="5"/>
      <c r="S189" s="2"/>
      <c r="T189" s="5"/>
      <c r="U189" s="5"/>
      <c r="V189" s="5"/>
      <c r="W189" s="2"/>
      <c r="X189" s="2"/>
    </row>
    <row r="190" spans="16:24">
      <c r="P190" s="5"/>
      <c r="Q190" s="5"/>
      <c r="R190" s="5"/>
      <c r="S190" s="2"/>
      <c r="T190" s="5"/>
      <c r="U190" s="5"/>
      <c r="V190" s="5"/>
      <c r="W190" s="2"/>
      <c r="X190" s="2"/>
    </row>
    <row r="191" spans="16:24">
      <c r="P191" s="5"/>
      <c r="Q191" s="5"/>
      <c r="R191" s="5"/>
      <c r="S191" s="2"/>
      <c r="T191" s="5"/>
      <c r="U191" s="5"/>
      <c r="V191" s="5"/>
      <c r="W191" s="2"/>
      <c r="X191" s="2"/>
    </row>
    <row r="192" spans="16:24">
      <c r="P192" s="5"/>
      <c r="Q192" s="5"/>
      <c r="R192" s="5"/>
      <c r="S192" s="2"/>
      <c r="T192" s="5"/>
      <c r="U192" s="5"/>
      <c r="V192" s="5"/>
      <c r="W192" s="2"/>
      <c r="X192" s="2"/>
    </row>
    <row r="193" spans="16:24">
      <c r="P193" s="5"/>
      <c r="Q193" s="5"/>
      <c r="R193" s="5"/>
      <c r="S193" s="2"/>
      <c r="T193" s="5"/>
      <c r="U193" s="5"/>
      <c r="V193" s="5"/>
      <c r="W193" s="2"/>
      <c r="X193" s="2"/>
    </row>
    <row r="194" spans="16:24">
      <c r="P194" s="5"/>
      <c r="Q194" s="5"/>
      <c r="R194" s="5"/>
      <c r="S194" s="2"/>
      <c r="T194" s="5"/>
      <c r="U194" s="5"/>
      <c r="V194" s="5"/>
      <c r="W194" s="2"/>
      <c r="X194" s="2"/>
    </row>
    <row r="195" spans="16:24">
      <c r="P195" s="5"/>
      <c r="Q195" s="5"/>
      <c r="R195" s="5"/>
      <c r="S195" s="2"/>
      <c r="T195" s="5"/>
      <c r="U195" s="5"/>
      <c r="V195" s="5"/>
      <c r="W195" s="2"/>
      <c r="X195" s="2"/>
    </row>
    <row r="196" spans="16:24">
      <c r="P196" s="5"/>
      <c r="Q196" s="5"/>
      <c r="R196" s="5"/>
      <c r="S196" s="2"/>
      <c r="T196" s="5"/>
      <c r="U196" s="5"/>
      <c r="V196" s="5"/>
      <c r="W196" s="2"/>
      <c r="X196" s="2"/>
    </row>
    <row r="197" spans="16:24">
      <c r="P197" s="5"/>
      <c r="Q197" s="5"/>
      <c r="R197" s="5"/>
      <c r="S197" s="2"/>
      <c r="T197" s="5"/>
      <c r="U197" s="5"/>
      <c r="V197" s="5"/>
      <c r="W197" s="2"/>
      <c r="X197" s="2"/>
    </row>
    <row r="198" spans="16:24">
      <c r="P198" s="5"/>
      <c r="Q198" s="5"/>
      <c r="R198" s="5"/>
      <c r="S198" s="2"/>
      <c r="T198" s="5"/>
      <c r="U198" s="5"/>
      <c r="V198" s="5"/>
      <c r="W198" s="2"/>
      <c r="X198" s="2"/>
    </row>
    <row r="199" spans="16:24">
      <c r="P199" s="5"/>
      <c r="Q199" s="5"/>
      <c r="R199" s="5"/>
      <c r="S199" s="2"/>
      <c r="T199" s="5"/>
      <c r="U199" s="5"/>
      <c r="V199" s="5"/>
      <c r="W199" s="2"/>
      <c r="X199" s="2"/>
    </row>
    <row r="200" spans="16:24">
      <c r="P200" s="5"/>
      <c r="Q200" s="5"/>
      <c r="R200" s="5"/>
      <c r="S200" s="2"/>
      <c r="T200" s="5"/>
      <c r="U200" s="5"/>
      <c r="V200" s="5"/>
      <c r="W200" s="2"/>
      <c r="X200" s="2"/>
    </row>
    <row r="201" spans="16:24">
      <c r="P201" s="5"/>
      <c r="Q201" s="5"/>
      <c r="R201" s="5"/>
      <c r="S201" s="2"/>
      <c r="T201" s="5"/>
      <c r="U201" s="5"/>
      <c r="V201" s="5"/>
      <c r="W201" s="2"/>
      <c r="X201" s="2"/>
    </row>
    <row r="202" spans="16:24">
      <c r="P202" s="5"/>
      <c r="Q202" s="5"/>
      <c r="R202" s="5"/>
      <c r="S202" s="2"/>
      <c r="T202" s="5"/>
      <c r="U202" s="5"/>
      <c r="V202" s="5"/>
      <c r="W202" s="2"/>
      <c r="X202" s="2"/>
    </row>
    <row r="203" spans="16:24">
      <c r="P203" s="5"/>
      <c r="Q203" s="5"/>
      <c r="R203" s="5"/>
      <c r="S203" s="2"/>
      <c r="T203" s="5"/>
      <c r="U203" s="5"/>
      <c r="V203" s="5"/>
      <c r="W203" s="2"/>
      <c r="X203" s="2"/>
    </row>
    <row r="204" spans="16:24">
      <c r="P204" s="5"/>
      <c r="Q204" s="5"/>
      <c r="R204" s="5"/>
      <c r="S204" s="2"/>
      <c r="T204" s="5"/>
      <c r="U204" s="5"/>
      <c r="V204" s="5"/>
      <c r="W204" s="2"/>
      <c r="X204" s="2"/>
    </row>
    <row r="205" spans="16:24">
      <c r="P205" s="5"/>
      <c r="Q205" s="5"/>
      <c r="R205" s="5"/>
      <c r="S205" s="2"/>
      <c r="T205" s="5"/>
      <c r="U205" s="5"/>
      <c r="V205" s="5"/>
      <c r="W205" s="2"/>
      <c r="X205" s="2"/>
    </row>
    <row r="206" spans="16:24">
      <c r="P206" s="5"/>
      <c r="Q206" s="5"/>
      <c r="R206" s="5"/>
      <c r="S206" s="2"/>
      <c r="T206" s="5"/>
      <c r="U206" s="5"/>
      <c r="V206" s="5"/>
      <c r="W206" s="2"/>
      <c r="X206" s="2"/>
    </row>
    <row r="207" spans="16:24">
      <c r="P207" s="5"/>
      <c r="Q207" s="5"/>
      <c r="R207" s="5"/>
      <c r="S207" s="2"/>
      <c r="T207" s="5"/>
      <c r="U207" s="5"/>
      <c r="V207" s="5"/>
      <c r="W207" s="2"/>
      <c r="X207" s="2"/>
    </row>
    <row r="208" spans="16:24">
      <c r="P208" s="5"/>
      <c r="Q208" s="5"/>
      <c r="R208" s="5"/>
      <c r="S208" s="2"/>
      <c r="T208" s="5"/>
      <c r="U208" s="5"/>
      <c r="V208" s="5"/>
      <c r="W208" s="2"/>
      <c r="X208" s="2"/>
    </row>
    <row r="209" spans="16:24">
      <c r="P209" s="5"/>
      <c r="Q209" s="5"/>
      <c r="R209" s="5"/>
      <c r="S209" s="2"/>
      <c r="T209" s="5"/>
      <c r="U209" s="5"/>
      <c r="V209" s="5"/>
      <c r="W209" s="2"/>
      <c r="X209" s="2"/>
    </row>
    <row r="210" spans="16:24">
      <c r="P210" s="5"/>
      <c r="Q210" s="5"/>
      <c r="R210" s="5"/>
      <c r="S210" s="2"/>
      <c r="T210" s="5"/>
      <c r="U210" s="5"/>
      <c r="V210" s="5"/>
      <c r="W210" s="2"/>
      <c r="X210" s="2"/>
    </row>
    <row r="211" spans="16:24">
      <c r="P211" s="5"/>
      <c r="Q211" s="5"/>
      <c r="R211" s="5"/>
      <c r="S211" s="2"/>
      <c r="T211" s="5"/>
      <c r="U211" s="5"/>
      <c r="V211" s="5"/>
      <c r="W211" s="2"/>
      <c r="X211" s="2"/>
    </row>
    <row r="212" spans="16:24">
      <c r="P212" s="5"/>
      <c r="Q212" s="5"/>
      <c r="R212" s="5"/>
      <c r="S212" s="2"/>
      <c r="T212" s="5"/>
      <c r="U212" s="5"/>
      <c r="V212" s="5"/>
      <c r="W212" s="2"/>
      <c r="X212" s="2"/>
    </row>
    <row r="213" spans="16:24">
      <c r="P213" s="5"/>
      <c r="Q213" s="5"/>
      <c r="R213" s="5"/>
      <c r="S213" s="2"/>
      <c r="T213" s="5"/>
      <c r="U213" s="5"/>
      <c r="V213" s="5"/>
      <c r="W213" s="2"/>
      <c r="X213" s="2"/>
    </row>
    <row r="214" spans="16:24">
      <c r="P214" s="5"/>
      <c r="Q214" s="5"/>
      <c r="R214" s="5"/>
      <c r="S214" s="2"/>
      <c r="T214" s="5"/>
      <c r="U214" s="5"/>
      <c r="V214" s="5"/>
      <c r="W214" s="2"/>
      <c r="X214" s="2"/>
    </row>
    <row r="215" spans="16:24">
      <c r="P215" s="5"/>
      <c r="Q215" s="5"/>
      <c r="R215" s="5"/>
      <c r="S215" s="2"/>
      <c r="T215" s="5"/>
      <c r="U215" s="5"/>
      <c r="V215" s="5"/>
      <c r="W215" s="2"/>
      <c r="X215" s="2"/>
    </row>
    <row r="216" spans="16:24">
      <c r="P216" s="5"/>
      <c r="Q216" s="5"/>
      <c r="R216" s="5"/>
      <c r="S216" s="2"/>
      <c r="T216" s="5"/>
      <c r="U216" s="5"/>
      <c r="V216" s="5"/>
      <c r="W216" s="2"/>
      <c r="X216" s="2"/>
    </row>
    <row r="217" spans="16:24">
      <c r="P217" s="5"/>
      <c r="Q217" s="5"/>
      <c r="R217" s="5"/>
      <c r="S217" s="2"/>
      <c r="T217" s="5"/>
      <c r="U217" s="5"/>
      <c r="V217" s="5"/>
      <c r="W217" s="2"/>
      <c r="X217" s="2"/>
    </row>
    <row r="218" spans="16:24">
      <c r="P218" s="5"/>
      <c r="Q218" s="5"/>
      <c r="R218" s="5"/>
      <c r="S218" s="2"/>
      <c r="T218" s="5"/>
      <c r="U218" s="5"/>
      <c r="V218" s="5"/>
      <c r="W218" s="2"/>
      <c r="X218" s="2"/>
    </row>
    <row r="219" spans="16:24">
      <c r="P219" s="5"/>
      <c r="Q219" s="5"/>
      <c r="R219" s="5"/>
      <c r="S219" s="2"/>
      <c r="T219" s="5"/>
      <c r="U219" s="5"/>
      <c r="V219" s="5"/>
      <c r="W219" s="2"/>
      <c r="X219" s="2"/>
    </row>
    <row r="220" spans="16:24">
      <c r="P220" s="5"/>
      <c r="Q220" s="5"/>
      <c r="R220" s="5"/>
      <c r="S220" s="2"/>
      <c r="T220" s="5"/>
      <c r="U220" s="5"/>
      <c r="V220" s="5"/>
      <c r="W220" s="2"/>
      <c r="X220" s="2"/>
    </row>
    <row r="221" spans="16:24">
      <c r="P221" s="5"/>
      <c r="Q221" s="5"/>
      <c r="R221" s="5"/>
      <c r="S221" s="2"/>
      <c r="T221" s="5"/>
      <c r="U221" s="5"/>
      <c r="V221" s="5"/>
      <c r="W221" s="2"/>
      <c r="X221" s="2"/>
    </row>
    <row r="222" spans="16:24">
      <c r="P222" s="5"/>
      <c r="Q222" s="5"/>
      <c r="R222" s="5"/>
      <c r="S222" s="2"/>
      <c r="T222" s="5"/>
      <c r="U222" s="5"/>
      <c r="V222" s="5"/>
      <c r="W222" s="2"/>
      <c r="X222" s="2"/>
    </row>
    <row r="223" spans="16:24">
      <c r="P223" s="5"/>
      <c r="Q223" s="5"/>
      <c r="R223" s="5"/>
      <c r="S223" s="2"/>
      <c r="T223" s="5"/>
      <c r="U223" s="5"/>
      <c r="V223" s="5"/>
      <c r="W223" s="2"/>
      <c r="X223" s="2"/>
    </row>
    <row r="224" spans="16:24">
      <c r="P224" s="5"/>
      <c r="Q224" s="5"/>
      <c r="R224" s="5"/>
      <c r="S224" s="2"/>
      <c r="T224" s="5"/>
      <c r="U224" s="5"/>
      <c r="V224" s="5"/>
      <c r="W224" s="2"/>
      <c r="X224" s="2"/>
    </row>
    <row r="225" spans="16:24">
      <c r="P225" s="5"/>
      <c r="Q225" s="5"/>
      <c r="R225" s="5"/>
      <c r="S225" s="2"/>
      <c r="T225" s="5"/>
      <c r="U225" s="5"/>
      <c r="V225" s="5"/>
      <c r="W225" s="2"/>
      <c r="X225" s="2"/>
    </row>
    <row r="226" spans="16:24">
      <c r="P226" s="5"/>
      <c r="Q226" s="5"/>
      <c r="R226" s="5"/>
      <c r="S226" s="2"/>
      <c r="T226" s="5"/>
      <c r="U226" s="5"/>
      <c r="V226" s="5"/>
      <c r="W226" s="2"/>
      <c r="X226" s="2"/>
    </row>
    <row r="227" spans="16:24">
      <c r="P227" s="5"/>
      <c r="Q227" s="5"/>
      <c r="R227" s="5"/>
      <c r="S227" s="2"/>
      <c r="T227" s="5"/>
      <c r="U227" s="5"/>
      <c r="V227" s="5"/>
      <c r="W227" s="2"/>
      <c r="X227" s="2"/>
    </row>
    <row r="228" spans="16:24">
      <c r="P228" s="5"/>
      <c r="Q228" s="5"/>
      <c r="R228" s="5"/>
      <c r="S228" s="2"/>
      <c r="T228" s="5"/>
      <c r="U228" s="5"/>
      <c r="V228" s="5"/>
      <c r="W228" s="2"/>
      <c r="X228" s="2"/>
    </row>
    <row r="229" spans="16:24">
      <c r="P229" s="5"/>
      <c r="Q229" s="5"/>
      <c r="R229" s="5"/>
      <c r="S229" s="2"/>
      <c r="T229" s="5"/>
      <c r="U229" s="5"/>
      <c r="V229" s="5"/>
      <c r="W229" s="2"/>
      <c r="X229" s="2"/>
    </row>
    <row r="230" spans="16:24">
      <c r="P230" s="5"/>
      <c r="Q230" s="5"/>
      <c r="R230" s="5"/>
      <c r="S230" s="2"/>
      <c r="T230" s="5"/>
      <c r="U230" s="5"/>
      <c r="V230" s="5"/>
      <c r="W230" s="2"/>
      <c r="X230" s="2"/>
    </row>
    <row r="231" spans="16:24">
      <c r="P231" s="5"/>
      <c r="Q231" s="5"/>
      <c r="R231" s="5"/>
      <c r="S231" s="2"/>
      <c r="T231" s="5"/>
      <c r="U231" s="5"/>
      <c r="V231" s="5"/>
      <c r="W231" s="2"/>
      <c r="X231" s="2"/>
    </row>
    <row r="232" spans="16:24">
      <c r="P232" s="5"/>
      <c r="Q232" s="5"/>
      <c r="R232" s="5"/>
      <c r="S232" s="2"/>
      <c r="T232" s="5"/>
      <c r="U232" s="5"/>
      <c r="V232" s="5"/>
      <c r="W232" s="2"/>
      <c r="X232" s="2"/>
    </row>
    <row r="233" spans="16:24">
      <c r="P233" s="5"/>
      <c r="Q233" s="5"/>
      <c r="R233" s="5"/>
      <c r="S233" s="2"/>
      <c r="T233" s="5"/>
      <c r="U233" s="5"/>
      <c r="V233" s="5"/>
      <c r="W233" s="2"/>
      <c r="X233" s="2"/>
    </row>
    <row r="234" spans="16:24">
      <c r="P234" s="5"/>
      <c r="Q234" s="5"/>
      <c r="R234" s="5"/>
      <c r="S234" s="2"/>
      <c r="T234" s="5"/>
      <c r="U234" s="5"/>
      <c r="V234" s="5"/>
      <c r="W234" s="2"/>
      <c r="X234" s="2"/>
    </row>
    <row r="235" spans="16:24">
      <c r="P235" s="5"/>
      <c r="Q235" s="5"/>
      <c r="R235" s="5"/>
      <c r="S235" s="2"/>
      <c r="T235" s="5"/>
      <c r="U235" s="5"/>
      <c r="V235" s="5"/>
      <c r="W235" s="2"/>
      <c r="X235" s="2"/>
    </row>
    <row r="236" spans="16:24">
      <c r="P236" s="5"/>
      <c r="Q236" s="5"/>
      <c r="R236" s="5"/>
      <c r="S236" s="2"/>
      <c r="T236" s="5"/>
      <c r="U236" s="5"/>
      <c r="V236" s="5"/>
      <c r="W236" s="2"/>
      <c r="X236" s="2"/>
    </row>
    <row r="237" spans="16:24">
      <c r="P237" s="5"/>
      <c r="Q237" s="5"/>
      <c r="R237" s="5"/>
      <c r="S237" s="2"/>
      <c r="T237" s="5"/>
      <c r="U237" s="5"/>
      <c r="V237" s="5"/>
      <c r="W237" s="2"/>
      <c r="X237" s="2"/>
    </row>
    <row r="238" spans="16:24">
      <c r="P238" s="5"/>
      <c r="Q238" s="5"/>
      <c r="R238" s="5"/>
      <c r="S238" s="2"/>
      <c r="T238" s="5"/>
      <c r="U238" s="5"/>
      <c r="V238" s="5"/>
      <c r="W238" s="2"/>
      <c r="X238" s="2"/>
    </row>
    <row r="239" spans="16:24">
      <c r="P239" s="5"/>
      <c r="Q239" s="5"/>
      <c r="R239" s="5"/>
      <c r="S239" s="2"/>
      <c r="T239" s="5"/>
      <c r="U239" s="5"/>
      <c r="V239" s="5"/>
      <c r="W239" s="2"/>
      <c r="X239" s="2"/>
    </row>
    <row r="240" spans="16:24">
      <c r="P240" s="5"/>
      <c r="Q240" s="5"/>
      <c r="R240" s="5"/>
      <c r="S240" s="2"/>
      <c r="T240" s="5"/>
      <c r="U240" s="5"/>
      <c r="V240" s="5"/>
      <c r="W240" s="2"/>
      <c r="X240" s="2"/>
    </row>
    <row r="241" spans="16:24">
      <c r="P241" s="5"/>
      <c r="Q241" s="5"/>
      <c r="R241" s="5"/>
      <c r="S241" s="2"/>
      <c r="T241" s="5"/>
      <c r="U241" s="5"/>
      <c r="V241" s="5"/>
      <c r="W241" s="2"/>
      <c r="X241" s="2"/>
    </row>
    <row r="242" spans="16:24">
      <c r="P242" s="5"/>
      <c r="Q242" s="5"/>
      <c r="R242" s="5"/>
      <c r="S242" s="2"/>
      <c r="T242" s="5"/>
      <c r="U242" s="5"/>
      <c r="V242" s="5"/>
      <c r="W242" s="2"/>
      <c r="X242" s="2"/>
    </row>
    <row r="243" spans="16:24">
      <c r="P243" s="5"/>
      <c r="Q243" s="5"/>
      <c r="R243" s="5"/>
      <c r="S243" s="2"/>
      <c r="T243" s="5"/>
      <c r="U243" s="5"/>
      <c r="V243" s="5"/>
      <c r="W243" s="2"/>
      <c r="X243" s="2"/>
    </row>
    <row r="244" spans="16:24">
      <c r="P244" s="5"/>
      <c r="Q244" s="5"/>
      <c r="R244" s="5"/>
      <c r="S244" s="2"/>
      <c r="T244" s="5"/>
      <c r="U244" s="5"/>
      <c r="V244" s="5"/>
      <c r="W244" s="2"/>
      <c r="X244" s="2"/>
    </row>
    <row r="245" spans="16:24">
      <c r="P245" s="5"/>
      <c r="Q245" s="5"/>
      <c r="R245" s="5"/>
      <c r="S245" s="2"/>
      <c r="T245" s="5"/>
      <c r="U245" s="5"/>
      <c r="V245" s="5"/>
      <c r="W245" s="2"/>
      <c r="X245" s="2"/>
    </row>
    <row r="246" spans="16:24">
      <c r="P246" s="5"/>
      <c r="Q246" s="5"/>
      <c r="R246" s="5"/>
      <c r="S246" s="2"/>
      <c r="T246" s="5"/>
      <c r="U246" s="5"/>
      <c r="V246" s="5"/>
      <c r="W246" s="2"/>
      <c r="X246" s="2"/>
    </row>
    <row r="247" spans="16:24">
      <c r="P247" s="5"/>
      <c r="Q247" s="5"/>
      <c r="R247" s="5"/>
      <c r="S247" s="2"/>
      <c r="T247" s="5"/>
      <c r="U247" s="5"/>
      <c r="V247" s="5"/>
      <c r="W247" s="2"/>
      <c r="X247" s="2"/>
    </row>
    <row r="248" spans="16:24">
      <c r="P248" s="5"/>
      <c r="Q248" s="5"/>
      <c r="R248" s="5"/>
      <c r="S248" s="2"/>
      <c r="T248" s="5"/>
      <c r="U248" s="5"/>
      <c r="V248" s="5"/>
      <c r="W248" s="2"/>
      <c r="X248" s="2"/>
    </row>
    <row r="249" spans="16:24">
      <c r="P249" s="5"/>
      <c r="Q249" s="5"/>
      <c r="R249" s="5"/>
      <c r="S249" s="2"/>
      <c r="T249" s="5"/>
      <c r="U249" s="5"/>
      <c r="V249" s="5"/>
      <c r="W249" s="2"/>
      <c r="X249" s="2"/>
    </row>
    <row r="250" spans="16:24">
      <c r="P250" s="5"/>
      <c r="Q250" s="5"/>
      <c r="R250" s="5"/>
      <c r="S250" s="2"/>
      <c r="T250" s="5"/>
      <c r="U250" s="5"/>
      <c r="V250" s="5"/>
      <c r="W250" s="2"/>
      <c r="X250" s="2"/>
    </row>
    <row r="251" spans="16:24">
      <c r="P251" s="5"/>
      <c r="Q251" s="5"/>
      <c r="R251" s="5"/>
      <c r="S251" s="2"/>
      <c r="T251" s="5"/>
      <c r="U251" s="5"/>
      <c r="V251" s="5"/>
      <c r="W251" s="2"/>
      <c r="X251" s="2"/>
    </row>
    <row r="252" spans="16:24">
      <c r="P252" s="5"/>
      <c r="Q252" s="5"/>
      <c r="R252" s="5"/>
      <c r="S252" s="2"/>
      <c r="T252" s="5"/>
      <c r="U252" s="5"/>
      <c r="V252" s="5"/>
      <c r="W252" s="2"/>
      <c r="X252" s="2"/>
    </row>
    <row r="253" spans="16:24">
      <c r="P253" s="5"/>
      <c r="Q253" s="5"/>
      <c r="R253" s="5"/>
      <c r="S253" s="2"/>
      <c r="T253" s="5"/>
      <c r="U253" s="5"/>
      <c r="V253" s="5"/>
      <c r="W253" s="2"/>
      <c r="X253" s="2"/>
    </row>
    <row r="254" spans="16:24">
      <c r="P254" s="5"/>
      <c r="Q254" s="5"/>
      <c r="R254" s="5"/>
      <c r="S254" s="2"/>
      <c r="T254" s="5"/>
      <c r="U254" s="5"/>
      <c r="V254" s="5"/>
      <c r="W254" s="2"/>
      <c r="X254" s="2"/>
    </row>
    <row r="255" spans="16:24">
      <c r="P255" s="5"/>
      <c r="Q255" s="5"/>
      <c r="R255" s="5"/>
      <c r="S255" s="2"/>
      <c r="T255" s="5"/>
      <c r="U255" s="5"/>
      <c r="V255" s="5"/>
      <c r="W255" s="2"/>
      <c r="X255" s="2"/>
    </row>
    <row r="256" spans="16:24">
      <c r="P256" s="5"/>
      <c r="Q256" s="5"/>
      <c r="R256" s="5"/>
      <c r="S256" s="2"/>
      <c r="T256" s="5"/>
      <c r="U256" s="5"/>
      <c r="V256" s="5"/>
      <c r="W256" s="2"/>
      <c r="X256" s="2"/>
    </row>
    <row r="257" spans="16:24">
      <c r="P257" s="5"/>
      <c r="Q257" s="5"/>
      <c r="R257" s="5"/>
      <c r="S257" s="2"/>
      <c r="T257" s="5"/>
      <c r="U257" s="5"/>
      <c r="V257" s="5"/>
      <c r="W257" s="2"/>
      <c r="X257" s="2"/>
    </row>
    <row r="258" spans="16:24">
      <c r="P258" s="5"/>
      <c r="Q258" s="5"/>
      <c r="R258" s="5"/>
      <c r="S258" s="2"/>
      <c r="T258" s="5"/>
      <c r="U258" s="5"/>
      <c r="V258" s="5"/>
      <c r="W258" s="2"/>
      <c r="X258" s="2"/>
    </row>
    <row r="259" spans="16:24">
      <c r="P259" s="5"/>
      <c r="Q259" s="5"/>
      <c r="R259" s="5"/>
      <c r="S259" s="2"/>
      <c r="T259" s="5"/>
      <c r="U259" s="5"/>
      <c r="V259" s="5"/>
      <c r="W259" s="2"/>
      <c r="X259" s="2"/>
    </row>
    <row r="260" spans="16:24">
      <c r="P260" s="5"/>
      <c r="Q260" s="5"/>
      <c r="R260" s="5"/>
      <c r="S260" s="2"/>
      <c r="T260" s="5"/>
      <c r="U260" s="5"/>
      <c r="V260" s="5"/>
      <c r="W260" s="2"/>
      <c r="X260" s="2"/>
    </row>
    <row r="261" spans="16:24">
      <c r="P261" s="5"/>
      <c r="Q261" s="5"/>
      <c r="R261" s="5"/>
      <c r="S261" s="2"/>
      <c r="T261" s="5"/>
      <c r="U261" s="5"/>
      <c r="V261" s="5"/>
      <c r="W261" s="2"/>
      <c r="X261" s="2"/>
    </row>
    <row r="262" spans="16:24">
      <c r="P262" s="5"/>
      <c r="Q262" s="5"/>
      <c r="R262" s="5"/>
      <c r="S262" s="2"/>
      <c r="T262" s="5"/>
      <c r="U262" s="5"/>
      <c r="V262" s="5"/>
      <c r="W262" s="2"/>
      <c r="X262" s="2"/>
    </row>
    <row r="263" spans="16:24">
      <c r="P263" s="5"/>
      <c r="Q263" s="5"/>
      <c r="R263" s="5"/>
      <c r="S263" s="2"/>
      <c r="T263" s="5"/>
      <c r="U263" s="5"/>
      <c r="V263" s="5"/>
      <c r="W263" s="2"/>
      <c r="X263" s="2"/>
    </row>
    <row r="264" spans="16:24">
      <c r="P264" s="5"/>
      <c r="Q264" s="5"/>
      <c r="R264" s="5"/>
      <c r="S264" s="2"/>
      <c r="T264" s="5"/>
      <c r="U264" s="5"/>
      <c r="V264" s="5"/>
      <c r="W264" s="2"/>
      <c r="X264" s="2"/>
    </row>
    <row r="265" spans="16:24">
      <c r="P265" s="5"/>
      <c r="Q265" s="5"/>
      <c r="R265" s="5"/>
      <c r="S265" s="2"/>
      <c r="T265" s="5"/>
      <c r="U265" s="5"/>
      <c r="V265" s="5"/>
      <c r="W265" s="2"/>
      <c r="X265" s="2"/>
    </row>
    <row r="266" spans="16:24">
      <c r="P266" s="5"/>
      <c r="Q266" s="5"/>
      <c r="R266" s="5"/>
      <c r="S266" s="2"/>
      <c r="T266" s="5"/>
      <c r="U266" s="5"/>
      <c r="V266" s="5"/>
      <c r="W266" s="2"/>
      <c r="X266" s="2"/>
    </row>
    <row r="267" spans="16:24">
      <c r="P267" s="5"/>
      <c r="Q267" s="5"/>
      <c r="R267" s="5"/>
      <c r="S267" s="2"/>
      <c r="T267" s="5"/>
      <c r="U267" s="5"/>
      <c r="V267" s="5"/>
      <c r="W267" s="2"/>
      <c r="X267" s="2"/>
    </row>
    <row r="268" spans="16:24">
      <c r="P268" s="5"/>
      <c r="Q268" s="5"/>
      <c r="R268" s="5"/>
      <c r="S268" s="2"/>
      <c r="T268" s="5"/>
      <c r="U268" s="5"/>
      <c r="V268" s="5"/>
      <c r="W268" s="2"/>
      <c r="X268" s="2"/>
    </row>
    <row r="269" spans="16:24">
      <c r="P269" s="5"/>
      <c r="Q269" s="5"/>
      <c r="R269" s="5"/>
      <c r="S269" s="2"/>
      <c r="T269" s="5"/>
      <c r="U269" s="5"/>
      <c r="V269" s="5"/>
      <c r="W269" s="2"/>
      <c r="X269" s="2"/>
    </row>
    <row r="270" spans="16:24">
      <c r="P270" s="5"/>
      <c r="Q270" s="5"/>
      <c r="R270" s="5"/>
      <c r="S270" s="2"/>
      <c r="T270" s="5"/>
      <c r="U270" s="5"/>
      <c r="V270" s="5"/>
      <c r="W270" s="2"/>
      <c r="X270" s="2"/>
    </row>
    <row r="271" spans="16:24">
      <c r="P271" s="5"/>
      <c r="Q271" s="5"/>
      <c r="R271" s="5"/>
      <c r="S271" s="2"/>
      <c r="T271" s="5"/>
      <c r="U271" s="5"/>
      <c r="V271" s="5"/>
      <c r="W271" s="2"/>
      <c r="X271" s="2"/>
    </row>
    <row r="272" spans="16:24">
      <c r="P272" s="5"/>
      <c r="Q272" s="5"/>
      <c r="R272" s="5"/>
      <c r="S272" s="2"/>
      <c r="T272" s="5"/>
      <c r="U272" s="5"/>
      <c r="V272" s="5"/>
      <c r="W272" s="2"/>
      <c r="X272" s="2"/>
    </row>
    <row r="273" spans="16:24">
      <c r="P273" s="5"/>
      <c r="Q273" s="5"/>
      <c r="R273" s="5"/>
      <c r="S273" s="2"/>
      <c r="T273" s="5"/>
      <c r="U273" s="5"/>
      <c r="V273" s="5"/>
      <c r="W273" s="2"/>
      <c r="X273" s="2"/>
    </row>
    <row r="274" spans="16:24">
      <c r="P274" s="5"/>
      <c r="Q274" s="5"/>
      <c r="R274" s="5"/>
      <c r="S274" s="2"/>
      <c r="T274" s="5"/>
      <c r="U274" s="5"/>
      <c r="V274" s="5"/>
      <c r="W274" s="2"/>
      <c r="X274" s="2"/>
    </row>
    <row r="275" spans="16:24">
      <c r="P275" s="5"/>
      <c r="Q275" s="5"/>
      <c r="R275" s="5"/>
      <c r="S275" s="2"/>
      <c r="T275" s="5"/>
      <c r="U275" s="5"/>
      <c r="V275" s="5"/>
      <c r="W275" s="2"/>
      <c r="X275" s="2"/>
    </row>
    <row r="276" spans="16:24">
      <c r="P276" s="5"/>
      <c r="Q276" s="5"/>
      <c r="R276" s="5"/>
      <c r="S276" s="2"/>
      <c r="T276" s="5"/>
      <c r="U276" s="5"/>
      <c r="V276" s="5"/>
      <c r="W276" s="2"/>
      <c r="X276" s="2"/>
    </row>
    <row r="277" spans="16:24">
      <c r="P277" s="5"/>
      <c r="Q277" s="5"/>
      <c r="R277" s="5"/>
      <c r="S277" s="2"/>
      <c r="T277" s="5"/>
      <c r="U277" s="5"/>
      <c r="V277" s="5"/>
      <c r="W277" s="2"/>
      <c r="X277" s="2"/>
    </row>
    <row r="278" spans="16:24">
      <c r="P278" s="5"/>
      <c r="Q278" s="5"/>
      <c r="R278" s="5"/>
      <c r="S278" s="2"/>
      <c r="T278" s="5"/>
      <c r="U278" s="5"/>
      <c r="V278" s="5"/>
      <c r="W278" s="2"/>
      <c r="X278" s="2"/>
    </row>
    <row r="279" spans="16:24">
      <c r="P279" s="5"/>
      <c r="Q279" s="5"/>
      <c r="R279" s="5"/>
      <c r="S279" s="2"/>
      <c r="T279" s="5"/>
      <c r="U279" s="5"/>
      <c r="V279" s="5"/>
      <c r="W279" s="2"/>
      <c r="X279" s="2"/>
    </row>
    <row r="280" spans="16:24">
      <c r="P280" s="5"/>
      <c r="Q280" s="5"/>
      <c r="R280" s="5"/>
      <c r="S280" s="2"/>
      <c r="T280" s="5"/>
      <c r="U280" s="5"/>
      <c r="V280" s="5"/>
      <c r="W280" s="2"/>
      <c r="X280" s="2"/>
    </row>
    <row r="281" spans="16:24">
      <c r="P281" s="5"/>
      <c r="Q281" s="5"/>
      <c r="R281" s="5"/>
      <c r="S281" s="2"/>
      <c r="T281" s="5"/>
      <c r="U281" s="5"/>
      <c r="V281" s="5"/>
      <c r="W281" s="2"/>
      <c r="X281" s="2"/>
    </row>
    <row r="282" spans="16:24">
      <c r="P282" s="5"/>
      <c r="Q282" s="5"/>
      <c r="R282" s="5"/>
      <c r="S282" s="2"/>
      <c r="T282" s="5"/>
      <c r="U282" s="5"/>
      <c r="V282" s="5"/>
      <c r="W282" s="2"/>
      <c r="X282" s="2"/>
    </row>
    <row r="283" spans="16:24">
      <c r="P283" s="5"/>
      <c r="Q283" s="5"/>
      <c r="R283" s="5"/>
      <c r="S283" s="2"/>
      <c r="T283" s="5"/>
      <c r="U283" s="5"/>
      <c r="V283" s="5"/>
      <c r="W283" s="2"/>
      <c r="X283" s="2"/>
    </row>
    <row r="284" spans="16:24">
      <c r="P284" s="5"/>
      <c r="Q284" s="5"/>
      <c r="R284" s="5"/>
      <c r="S284" s="2"/>
      <c r="T284" s="5"/>
      <c r="U284" s="5"/>
      <c r="V284" s="5"/>
      <c r="W284" s="2"/>
      <c r="X284" s="2"/>
    </row>
    <row r="285" spans="16:24">
      <c r="P285" s="5"/>
      <c r="Q285" s="5"/>
      <c r="R285" s="5"/>
      <c r="S285" s="2"/>
      <c r="T285" s="5"/>
      <c r="U285" s="5"/>
      <c r="V285" s="5"/>
      <c r="W285" s="2"/>
      <c r="X285" s="2"/>
    </row>
    <row r="286" spans="16:24">
      <c r="P286" s="5"/>
      <c r="Q286" s="5"/>
      <c r="R286" s="5"/>
      <c r="S286" s="2"/>
      <c r="T286" s="5"/>
      <c r="U286" s="5"/>
      <c r="V286" s="5"/>
      <c r="W286" s="2"/>
      <c r="X286" s="2"/>
    </row>
    <row r="287" spans="16:24">
      <c r="P287" s="5"/>
      <c r="Q287" s="5"/>
      <c r="R287" s="5"/>
      <c r="S287" s="2"/>
      <c r="T287" s="5"/>
      <c r="U287" s="5"/>
      <c r="V287" s="5"/>
      <c r="W287" s="2"/>
      <c r="X287" s="2"/>
    </row>
    <row r="288" spans="16:24">
      <c r="P288" s="5"/>
      <c r="Q288" s="5"/>
      <c r="R288" s="5"/>
      <c r="S288" s="2"/>
      <c r="T288" s="5"/>
      <c r="U288" s="5"/>
      <c r="V288" s="5"/>
      <c r="W288" s="2"/>
      <c r="X288" s="2"/>
    </row>
    <row r="289" spans="16:24">
      <c r="P289" s="5"/>
      <c r="Q289" s="5"/>
      <c r="R289" s="5"/>
      <c r="S289" s="2"/>
      <c r="T289" s="5"/>
      <c r="U289" s="5"/>
      <c r="V289" s="5"/>
      <c r="W289" s="2"/>
      <c r="X289" s="2"/>
    </row>
    <row r="290" spans="16:24">
      <c r="P290" s="5"/>
      <c r="Q290" s="5"/>
      <c r="R290" s="5"/>
      <c r="S290" s="2"/>
      <c r="T290" s="5"/>
      <c r="U290" s="5"/>
      <c r="V290" s="5"/>
      <c r="W290" s="2"/>
      <c r="X290" s="2"/>
    </row>
    <row r="291" spans="16:24">
      <c r="P291" s="5"/>
      <c r="Q291" s="5"/>
      <c r="R291" s="5"/>
      <c r="S291" s="2"/>
      <c r="T291" s="5"/>
      <c r="U291" s="5"/>
      <c r="V291" s="5"/>
      <c r="W291" s="2"/>
      <c r="X291" s="2"/>
    </row>
    <row r="292" spans="16:24">
      <c r="P292" s="5"/>
      <c r="Q292" s="5"/>
      <c r="R292" s="5"/>
      <c r="S292" s="2"/>
      <c r="T292" s="5"/>
      <c r="U292" s="5"/>
      <c r="V292" s="5"/>
      <c r="W292" s="2"/>
      <c r="X292" s="2"/>
    </row>
    <row r="293" spans="16:24">
      <c r="P293" s="5"/>
      <c r="Q293" s="5"/>
      <c r="R293" s="5"/>
      <c r="S293" s="2"/>
      <c r="T293" s="5"/>
      <c r="U293" s="5"/>
      <c r="V293" s="5"/>
      <c r="W293" s="2"/>
      <c r="X293" s="2"/>
    </row>
    <row r="294" spans="16:24">
      <c r="P294" s="5"/>
      <c r="Q294" s="5"/>
      <c r="R294" s="5"/>
      <c r="S294" s="2"/>
      <c r="T294" s="5"/>
      <c r="U294" s="5"/>
      <c r="V294" s="5"/>
      <c r="W294" s="2"/>
      <c r="X294" s="2"/>
    </row>
    <row r="295" spans="16:24">
      <c r="P295" s="5"/>
      <c r="Q295" s="5"/>
      <c r="R295" s="5"/>
      <c r="S295" s="2"/>
      <c r="T295" s="5"/>
      <c r="U295" s="5"/>
      <c r="V295" s="5"/>
      <c r="W295" s="2"/>
      <c r="X295" s="2"/>
    </row>
    <row r="296" spans="16:24">
      <c r="P296" s="5"/>
      <c r="Q296" s="5"/>
      <c r="R296" s="5"/>
      <c r="S296" s="2"/>
      <c r="T296" s="5"/>
      <c r="U296" s="5"/>
      <c r="V296" s="5"/>
      <c r="W296" s="2"/>
      <c r="X296" s="2"/>
    </row>
    <row r="297" spans="16:24">
      <c r="P297" s="5"/>
      <c r="Q297" s="5"/>
      <c r="R297" s="5"/>
      <c r="S297" s="2"/>
      <c r="T297" s="5"/>
      <c r="U297" s="5"/>
      <c r="V297" s="5"/>
      <c r="W297" s="2"/>
      <c r="X297" s="2"/>
    </row>
    <row r="298" spans="16:24">
      <c r="P298" s="5"/>
      <c r="Q298" s="5"/>
      <c r="R298" s="5"/>
      <c r="S298" s="2"/>
      <c r="T298" s="5"/>
      <c r="U298" s="5"/>
      <c r="V298" s="5"/>
      <c r="W298" s="2"/>
      <c r="X298" s="2"/>
    </row>
    <row r="299" spans="16:24">
      <c r="P299" s="5"/>
      <c r="Q299" s="5"/>
      <c r="R299" s="5"/>
      <c r="S299" s="2"/>
      <c r="T299" s="5"/>
      <c r="U299" s="5"/>
      <c r="V299" s="5"/>
      <c r="W299" s="2"/>
      <c r="X299" s="2"/>
    </row>
    <row r="300" spans="16:24">
      <c r="P300" s="5"/>
      <c r="Q300" s="5"/>
      <c r="R300" s="5"/>
      <c r="S300" s="2"/>
      <c r="T300" s="5"/>
      <c r="U300" s="5"/>
      <c r="V300" s="5"/>
      <c r="W300" s="2"/>
      <c r="X300" s="2"/>
    </row>
    <row r="301" spans="16:24">
      <c r="P301" s="5"/>
      <c r="Q301" s="5"/>
      <c r="R301" s="5"/>
      <c r="S301" s="2"/>
      <c r="T301" s="5"/>
      <c r="U301" s="5"/>
      <c r="V301" s="5"/>
      <c r="W301" s="2"/>
      <c r="X301" s="2"/>
    </row>
    <row r="302" spans="16:24">
      <c r="P302" s="5"/>
      <c r="Q302" s="5"/>
      <c r="R302" s="5"/>
      <c r="S302" s="2"/>
      <c r="T302" s="5"/>
      <c r="U302" s="5"/>
      <c r="V302" s="5"/>
      <c r="W302" s="2"/>
      <c r="X302" s="2"/>
    </row>
    <row r="303" spans="16:24">
      <c r="P303" s="5"/>
      <c r="Q303" s="5"/>
      <c r="R303" s="5"/>
      <c r="S303" s="2"/>
      <c r="T303" s="5"/>
      <c r="U303" s="5"/>
      <c r="V303" s="5"/>
      <c r="W303" s="2"/>
      <c r="X303" s="2"/>
    </row>
    <row r="304" spans="16:24">
      <c r="P304" s="5"/>
      <c r="Q304" s="5"/>
      <c r="R304" s="5"/>
      <c r="S304" s="2"/>
      <c r="T304" s="5"/>
      <c r="U304" s="5"/>
      <c r="V304" s="5"/>
      <c r="W304" s="2"/>
      <c r="X304" s="2"/>
    </row>
    <row r="305" spans="16:24">
      <c r="P305" s="5"/>
      <c r="Q305" s="5"/>
      <c r="R305" s="5"/>
      <c r="S305" s="2"/>
      <c r="T305" s="5"/>
      <c r="U305" s="5"/>
      <c r="V305" s="5"/>
      <c r="W305" s="2"/>
      <c r="X305" s="2"/>
    </row>
    <row r="306" spans="16:24">
      <c r="P306" s="5"/>
      <c r="Q306" s="5"/>
      <c r="R306" s="5"/>
      <c r="S306" s="2"/>
      <c r="T306" s="5"/>
      <c r="U306" s="5"/>
      <c r="V306" s="5"/>
      <c r="W306" s="2"/>
      <c r="X306" s="2"/>
    </row>
    <row r="307" spans="16:24">
      <c r="P307" s="5"/>
      <c r="Q307" s="5"/>
      <c r="R307" s="5"/>
      <c r="S307" s="2"/>
      <c r="T307" s="5"/>
      <c r="U307" s="5"/>
      <c r="V307" s="5"/>
      <c r="W307" s="2"/>
      <c r="X307" s="2"/>
    </row>
    <row r="308" spans="16:24">
      <c r="P308" s="5"/>
      <c r="Q308" s="5"/>
      <c r="R308" s="5"/>
      <c r="S308" s="2"/>
      <c r="T308" s="5"/>
      <c r="U308" s="5"/>
      <c r="V308" s="5"/>
      <c r="W308" s="2"/>
      <c r="X308" s="2"/>
    </row>
    <row r="309" spans="16:24">
      <c r="P309" s="5"/>
      <c r="Q309" s="5"/>
      <c r="R309" s="5"/>
      <c r="S309" s="2"/>
      <c r="T309" s="5"/>
      <c r="U309" s="5"/>
      <c r="V309" s="5"/>
      <c r="W309" s="2"/>
      <c r="X309" s="2"/>
    </row>
    <row r="310" spans="16:24">
      <c r="P310" s="5"/>
      <c r="Q310" s="5"/>
      <c r="R310" s="5"/>
      <c r="S310" s="2"/>
      <c r="T310" s="5"/>
      <c r="U310" s="5"/>
      <c r="V310" s="5"/>
      <c r="W310" s="2"/>
      <c r="X310" s="2"/>
    </row>
    <row r="311" spans="16:24">
      <c r="P311" s="5"/>
      <c r="Q311" s="5"/>
      <c r="R311" s="5"/>
      <c r="S311" s="2"/>
      <c r="T311" s="5"/>
      <c r="U311" s="5"/>
      <c r="V311" s="5"/>
      <c r="W311" s="2"/>
      <c r="X311" s="2"/>
    </row>
    <row r="312" spans="16:24">
      <c r="P312" s="5"/>
      <c r="Q312" s="5"/>
      <c r="R312" s="5"/>
      <c r="S312" s="2"/>
      <c r="T312" s="5"/>
      <c r="U312" s="5"/>
      <c r="V312" s="5"/>
      <c r="W312" s="2"/>
      <c r="X312" s="2"/>
    </row>
    <row r="313" spans="16:24">
      <c r="P313" s="5"/>
      <c r="Q313" s="5"/>
      <c r="R313" s="5"/>
      <c r="S313" s="2"/>
      <c r="T313" s="5"/>
      <c r="U313" s="5"/>
      <c r="V313" s="5"/>
      <c r="W313" s="2"/>
      <c r="X313" s="2"/>
    </row>
    <row r="314" spans="16:24">
      <c r="P314" s="5"/>
      <c r="Q314" s="5"/>
      <c r="R314" s="5"/>
      <c r="S314" s="2"/>
      <c r="T314" s="5"/>
      <c r="U314" s="5"/>
      <c r="V314" s="5"/>
      <c r="W314" s="2"/>
      <c r="X314" s="2"/>
    </row>
    <row r="315" spans="16:24">
      <c r="P315" s="5"/>
      <c r="Q315" s="5"/>
      <c r="R315" s="5"/>
      <c r="S315" s="2"/>
      <c r="T315" s="5"/>
      <c r="U315" s="5"/>
      <c r="V315" s="5"/>
      <c r="W315" s="2"/>
      <c r="X315" s="2"/>
    </row>
    <row r="316" spans="16:24">
      <c r="P316" s="5"/>
      <c r="Q316" s="5"/>
      <c r="R316" s="5"/>
      <c r="S316" s="2"/>
      <c r="T316" s="5"/>
      <c r="U316" s="5"/>
      <c r="V316" s="5"/>
      <c r="W316" s="2"/>
      <c r="X316" s="2"/>
    </row>
    <row r="317" spans="16:24">
      <c r="P317" s="5"/>
      <c r="Q317" s="5"/>
      <c r="R317" s="5"/>
      <c r="S317" s="2"/>
      <c r="T317" s="5"/>
      <c r="U317" s="5"/>
      <c r="V317" s="5"/>
      <c r="W317" s="2"/>
      <c r="X317" s="2"/>
    </row>
    <row r="318" spans="16:24">
      <c r="P318" s="5"/>
      <c r="Q318" s="5"/>
      <c r="R318" s="5"/>
      <c r="S318" s="2"/>
      <c r="T318" s="5"/>
      <c r="U318" s="5"/>
      <c r="V318" s="5"/>
      <c r="W318" s="2"/>
      <c r="X318" s="2"/>
    </row>
    <row r="319" spans="16:24">
      <c r="P319" s="5"/>
      <c r="Q319" s="5"/>
      <c r="R319" s="5"/>
      <c r="S319" s="2"/>
      <c r="T319" s="5"/>
      <c r="U319" s="5"/>
      <c r="V319" s="5"/>
      <c r="W319" s="2"/>
      <c r="X319" s="2"/>
    </row>
    <row r="320" spans="16:24">
      <c r="P320" s="5"/>
      <c r="Q320" s="5"/>
      <c r="R320" s="5"/>
      <c r="S320" s="2"/>
      <c r="T320" s="5"/>
      <c r="U320" s="5"/>
      <c r="V320" s="5"/>
      <c r="W320" s="2"/>
      <c r="X320" s="2"/>
    </row>
    <row r="321" spans="16:24">
      <c r="P321" s="5"/>
      <c r="Q321" s="5"/>
      <c r="R321" s="5"/>
      <c r="S321" s="2"/>
      <c r="T321" s="5"/>
      <c r="U321" s="5"/>
      <c r="V321" s="5"/>
      <c r="W321" s="2"/>
      <c r="X321" s="2"/>
    </row>
    <row r="322" spans="16:24">
      <c r="P322" s="5"/>
      <c r="Q322" s="5"/>
      <c r="R322" s="5"/>
      <c r="S322" s="2"/>
      <c r="T322" s="5"/>
      <c r="U322" s="5"/>
      <c r="V322" s="5"/>
      <c r="W322" s="2"/>
      <c r="X322" s="2"/>
    </row>
    <row r="323" spans="16:24">
      <c r="P323" s="5"/>
      <c r="Q323" s="5"/>
      <c r="R323" s="5"/>
      <c r="S323" s="2"/>
      <c r="T323" s="5"/>
      <c r="U323" s="5"/>
      <c r="V323" s="5"/>
      <c r="W323" s="2"/>
      <c r="X323" s="2"/>
    </row>
    <row r="324" spans="16:24">
      <c r="P324" s="5"/>
      <c r="Q324" s="5"/>
      <c r="R324" s="5"/>
      <c r="S324" s="2"/>
      <c r="T324" s="5"/>
      <c r="U324" s="5"/>
      <c r="V324" s="5"/>
      <c r="W324" s="2"/>
      <c r="X324" s="2"/>
    </row>
    <row r="325" spans="16:24">
      <c r="P325" s="5"/>
      <c r="Q325" s="5"/>
      <c r="R325" s="5"/>
      <c r="S325" s="2"/>
      <c r="T325" s="5"/>
      <c r="U325" s="5"/>
      <c r="V325" s="5"/>
      <c r="W325" s="2"/>
      <c r="X325" s="2"/>
    </row>
    <row r="326" spans="16:24">
      <c r="P326" s="5"/>
      <c r="Q326" s="5"/>
      <c r="R326" s="5"/>
      <c r="S326" s="2"/>
      <c r="T326" s="5"/>
      <c r="U326" s="5"/>
      <c r="V326" s="5"/>
      <c r="W326" s="2"/>
      <c r="X326" s="2"/>
    </row>
    <row r="327" spans="16:24">
      <c r="P327" s="5"/>
      <c r="Q327" s="5"/>
      <c r="R327" s="5"/>
      <c r="S327" s="2"/>
      <c r="T327" s="5"/>
      <c r="U327" s="5"/>
      <c r="V327" s="5"/>
      <c r="W327" s="2"/>
      <c r="X327" s="2"/>
    </row>
    <row r="328" spans="16:24">
      <c r="P328" s="5"/>
      <c r="Q328" s="5"/>
      <c r="R328" s="5"/>
      <c r="S328" s="2"/>
      <c r="T328" s="5"/>
      <c r="U328" s="5"/>
      <c r="V328" s="5"/>
      <c r="W328" s="2"/>
      <c r="X328" s="2"/>
    </row>
    <row r="329" spans="16:24">
      <c r="P329" s="5"/>
      <c r="Q329" s="5"/>
      <c r="R329" s="5"/>
      <c r="S329" s="2"/>
      <c r="T329" s="5"/>
      <c r="U329" s="5"/>
      <c r="V329" s="5"/>
      <c r="W329" s="2"/>
      <c r="X329" s="2"/>
    </row>
    <row r="330" spans="16:24">
      <c r="P330" s="5"/>
      <c r="Q330" s="5"/>
      <c r="R330" s="5"/>
      <c r="S330" s="2"/>
      <c r="T330" s="5"/>
      <c r="U330" s="5"/>
      <c r="V330" s="5"/>
      <c r="W330" s="2"/>
      <c r="X330" s="2"/>
    </row>
    <row r="331" spans="16:24">
      <c r="P331" s="5"/>
      <c r="Q331" s="5"/>
      <c r="R331" s="5"/>
      <c r="S331" s="2"/>
      <c r="T331" s="5"/>
      <c r="U331" s="5"/>
      <c r="V331" s="5"/>
      <c r="W331" s="2"/>
      <c r="X331" s="2"/>
    </row>
    <row r="332" spans="16:24">
      <c r="P332" s="5"/>
      <c r="Q332" s="5"/>
      <c r="R332" s="5"/>
      <c r="S332" s="2"/>
      <c r="T332" s="5"/>
      <c r="U332" s="5"/>
      <c r="V332" s="5"/>
      <c r="W332" s="2"/>
      <c r="X332" s="2"/>
    </row>
    <row r="333" spans="16:24">
      <c r="P333" s="5"/>
      <c r="Q333" s="5"/>
      <c r="R333" s="5"/>
      <c r="S333" s="2"/>
      <c r="T333" s="5"/>
      <c r="U333" s="5"/>
      <c r="V333" s="5"/>
      <c r="W333" s="2"/>
      <c r="X333" s="2"/>
    </row>
    <row r="334" spans="16:24">
      <c r="P334" s="5"/>
      <c r="Q334" s="5"/>
      <c r="R334" s="5"/>
      <c r="S334" s="2"/>
      <c r="T334" s="5"/>
      <c r="U334" s="5"/>
      <c r="V334" s="5"/>
      <c r="W334" s="2"/>
      <c r="X334" s="2"/>
    </row>
    <row r="335" spans="16:24">
      <c r="P335" s="5"/>
      <c r="Q335" s="5"/>
      <c r="R335" s="5"/>
      <c r="S335" s="2"/>
      <c r="T335" s="5"/>
      <c r="U335" s="5"/>
      <c r="V335" s="5"/>
      <c r="W335" s="2"/>
      <c r="X335" s="2"/>
    </row>
    <row r="336" spans="16:24">
      <c r="P336" s="5"/>
      <c r="Q336" s="5"/>
      <c r="R336" s="5"/>
      <c r="S336" s="2"/>
      <c r="T336" s="5"/>
      <c r="U336" s="5"/>
      <c r="V336" s="5"/>
      <c r="W336" s="2"/>
      <c r="X336" s="2"/>
    </row>
    <row r="337" spans="16:24">
      <c r="P337" s="5"/>
      <c r="Q337" s="5"/>
      <c r="R337" s="5"/>
      <c r="S337" s="2"/>
      <c r="T337" s="5"/>
      <c r="U337" s="5"/>
      <c r="V337" s="5"/>
      <c r="W337" s="2"/>
      <c r="X337" s="2"/>
    </row>
    <row r="338" spans="16:24">
      <c r="P338" s="5"/>
      <c r="Q338" s="5"/>
      <c r="R338" s="5"/>
      <c r="S338" s="2"/>
      <c r="T338" s="5"/>
      <c r="U338" s="5"/>
      <c r="V338" s="5"/>
      <c r="W338" s="2"/>
      <c r="X338" s="2"/>
    </row>
    <row r="339" spans="16:24">
      <c r="P339" s="5"/>
      <c r="Q339" s="5"/>
      <c r="R339" s="5"/>
      <c r="S339" s="2"/>
      <c r="T339" s="5"/>
      <c r="U339" s="5"/>
      <c r="V339" s="5"/>
      <c r="W339" s="2"/>
      <c r="X339" s="2"/>
    </row>
    <row r="340" spans="16:24">
      <c r="P340" s="5"/>
      <c r="Q340" s="5"/>
      <c r="R340" s="5"/>
      <c r="S340" s="2"/>
      <c r="T340" s="5"/>
      <c r="U340" s="5"/>
      <c r="V340" s="5"/>
      <c r="W340" s="2"/>
      <c r="X340" s="2"/>
    </row>
    <row r="341" spans="16:24">
      <c r="P341" s="5"/>
      <c r="Q341" s="5"/>
      <c r="R341" s="5"/>
      <c r="S341" s="2"/>
      <c r="T341" s="5"/>
      <c r="U341" s="5"/>
      <c r="V341" s="5"/>
      <c r="W341" s="2"/>
      <c r="X341" s="2"/>
    </row>
    <row r="342" spans="16:24">
      <c r="P342" s="5"/>
      <c r="Q342" s="5"/>
      <c r="R342" s="5"/>
      <c r="S342" s="2"/>
      <c r="T342" s="5"/>
      <c r="U342" s="5"/>
      <c r="V342" s="5"/>
      <c r="W342" s="2"/>
      <c r="X342" s="2"/>
    </row>
    <row r="343" spans="16:24">
      <c r="P343" s="5"/>
      <c r="Q343" s="5"/>
      <c r="R343" s="5"/>
      <c r="S343" s="2"/>
      <c r="T343" s="5"/>
      <c r="U343" s="5"/>
      <c r="V343" s="5"/>
      <c r="W343" s="2"/>
      <c r="X343" s="2"/>
    </row>
    <row r="344" spans="16:24">
      <c r="P344" s="5"/>
      <c r="Q344" s="5"/>
      <c r="R344" s="5"/>
      <c r="S344" s="2"/>
      <c r="T344" s="5"/>
      <c r="U344" s="5"/>
      <c r="V344" s="5"/>
      <c r="W344" s="2"/>
      <c r="X344" s="2"/>
    </row>
    <row r="345" spans="16:24">
      <c r="P345" s="5"/>
      <c r="Q345" s="5"/>
      <c r="R345" s="5"/>
      <c r="S345" s="2"/>
      <c r="T345" s="5"/>
      <c r="U345" s="5"/>
      <c r="V345" s="5"/>
      <c r="W345" s="2"/>
      <c r="X345" s="2"/>
    </row>
    <row r="346" spans="16:24">
      <c r="P346" s="5"/>
      <c r="Q346" s="5"/>
      <c r="R346" s="5"/>
      <c r="S346" s="2"/>
      <c r="T346" s="5"/>
      <c r="U346" s="5"/>
      <c r="V346" s="5"/>
      <c r="W346" s="2"/>
      <c r="X346" s="2"/>
    </row>
    <row r="347" spans="16:24">
      <c r="P347" s="5"/>
      <c r="Q347" s="5"/>
      <c r="R347" s="5"/>
      <c r="S347" s="2"/>
      <c r="T347" s="5"/>
      <c r="U347" s="5"/>
      <c r="V347" s="5"/>
      <c r="W347" s="2"/>
      <c r="X347" s="2"/>
    </row>
    <row r="348" spans="16:24">
      <c r="P348" s="5"/>
      <c r="Q348" s="5"/>
      <c r="R348" s="5"/>
      <c r="S348" s="2"/>
      <c r="T348" s="5"/>
      <c r="U348" s="5"/>
      <c r="V348" s="5"/>
      <c r="W348" s="2"/>
      <c r="X348" s="2"/>
    </row>
    <row r="349" spans="16:24">
      <c r="P349" s="5"/>
      <c r="Q349" s="5"/>
      <c r="R349" s="5"/>
      <c r="S349" s="2"/>
      <c r="T349" s="5"/>
      <c r="U349" s="5"/>
      <c r="V349" s="5"/>
      <c r="W349" s="2"/>
      <c r="X349" s="2"/>
    </row>
    <row r="350" spans="16:24">
      <c r="P350" s="5"/>
      <c r="Q350" s="5"/>
      <c r="R350" s="5"/>
      <c r="S350" s="2"/>
      <c r="T350" s="5"/>
      <c r="U350" s="5"/>
      <c r="V350" s="5"/>
      <c r="W350" s="2"/>
      <c r="X350" s="2"/>
    </row>
    <row r="351" spans="16:24">
      <c r="P351" s="5"/>
      <c r="Q351" s="5"/>
      <c r="R351" s="5"/>
      <c r="S351" s="2"/>
      <c r="T351" s="5"/>
      <c r="U351" s="5"/>
      <c r="V351" s="5"/>
      <c r="W351" s="2"/>
      <c r="X351" s="2"/>
    </row>
    <row r="352" spans="16:24">
      <c r="P352" s="5"/>
      <c r="Q352" s="5"/>
      <c r="R352" s="5"/>
      <c r="S352" s="2"/>
      <c r="T352" s="5"/>
      <c r="U352" s="5"/>
      <c r="V352" s="5"/>
      <c r="W352" s="2"/>
      <c r="X352" s="2"/>
    </row>
    <row r="353" spans="16:24">
      <c r="P353" s="5"/>
      <c r="Q353" s="5"/>
      <c r="R353" s="5"/>
      <c r="S353" s="2"/>
      <c r="T353" s="5"/>
      <c r="U353" s="5"/>
      <c r="V353" s="5"/>
      <c r="W353" s="2"/>
      <c r="X353" s="2"/>
    </row>
    <row r="354" spans="16:24">
      <c r="P354" s="5"/>
      <c r="Q354" s="5"/>
      <c r="R354" s="5"/>
      <c r="S354" s="2"/>
      <c r="T354" s="5"/>
      <c r="U354" s="5"/>
      <c r="V354" s="5"/>
      <c r="W354" s="2"/>
      <c r="X354" s="2"/>
    </row>
    <row r="355" spans="16:24">
      <c r="P355" s="5"/>
      <c r="Q355" s="5"/>
      <c r="R355" s="5"/>
      <c r="S355" s="2"/>
      <c r="T355" s="5"/>
      <c r="U355" s="5"/>
      <c r="V355" s="5"/>
      <c r="W355" s="2"/>
      <c r="X355" s="2"/>
    </row>
    <row r="356" spans="16:24">
      <c r="P356" s="5"/>
      <c r="Q356" s="5"/>
      <c r="R356" s="5"/>
      <c r="S356" s="2"/>
      <c r="T356" s="5"/>
      <c r="U356" s="5"/>
      <c r="V356" s="5"/>
      <c r="W356" s="2"/>
      <c r="X356" s="2"/>
    </row>
    <row r="357" spans="16:24">
      <c r="P357" s="5"/>
      <c r="Q357" s="5"/>
      <c r="R357" s="5"/>
      <c r="S357" s="2"/>
      <c r="T357" s="5"/>
      <c r="U357" s="5"/>
      <c r="V357" s="5"/>
      <c r="W357" s="2"/>
      <c r="X357" s="2"/>
    </row>
    <row r="358" spans="16:24">
      <c r="P358" s="5"/>
      <c r="Q358" s="5"/>
      <c r="R358" s="5"/>
      <c r="S358" s="2"/>
      <c r="T358" s="5"/>
      <c r="U358" s="5"/>
      <c r="V358" s="5"/>
      <c r="W358" s="2"/>
      <c r="X358" s="2"/>
    </row>
    <row r="359" spans="16:24">
      <c r="P359" s="5"/>
      <c r="Q359" s="5"/>
      <c r="R359" s="5"/>
      <c r="S359" s="2"/>
      <c r="T359" s="5"/>
      <c r="U359" s="5"/>
      <c r="V359" s="5"/>
      <c r="W359" s="2"/>
      <c r="X359" s="2"/>
    </row>
    <row r="360" spans="16:24">
      <c r="P360" s="5"/>
      <c r="Q360" s="5"/>
      <c r="R360" s="5"/>
      <c r="S360" s="2"/>
      <c r="T360" s="5"/>
      <c r="U360" s="5"/>
      <c r="V360" s="5"/>
      <c r="W360" s="2"/>
      <c r="X360" s="2"/>
    </row>
    <row r="361" spans="16:24">
      <c r="P361" s="5"/>
      <c r="Q361" s="5"/>
      <c r="R361" s="5"/>
      <c r="S361" s="2"/>
      <c r="T361" s="5"/>
      <c r="U361" s="5"/>
      <c r="V361" s="5"/>
      <c r="W361" s="2"/>
      <c r="X361" s="2"/>
    </row>
    <row r="362" spans="16:24">
      <c r="P362" s="5"/>
      <c r="Q362" s="5"/>
      <c r="R362" s="5"/>
      <c r="S362" s="2"/>
      <c r="T362" s="5"/>
      <c r="U362" s="5"/>
      <c r="V362" s="5"/>
      <c r="W362" s="2"/>
      <c r="X362" s="2"/>
    </row>
    <row r="363" spans="16:24">
      <c r="P363" s="5"/>
      <c r="Q363" s="5"/>
      <c r="R363" s="5"/>
      <c r="S363" s="2"/>
      <c r="T363" s="5"/>
      <c r="U363" s="5"/>
      <c r="V363" s="5"/>
      <c r="W363" s="2"/>
      <c r="X363" s="2"/>
    </row>
    <row r="364" spans="16:24">
      <c r="P364" s="5"/>
      <c r="Q364" s="5"/>
      <c r="R364" s="5"/>
      <c r="S364" s="2"/>
      <c r="T364" s="5"/>
      <c r="U364" s="5"/>
      <c r="V364" s="5"/>
      <c r="W364" s="2"/>
      <c r="X364" s="2"/>
    </row>
    <row r="365" spans="16:24">
      <c r="P365" s="5"/>
      <c r="Q365" s="5"/>
      <c r="R365" s="5"/>
      <c r="S365" s="2"/>
      <c r="T365" s="5"/>
      <c r="U365" s="5"/>
      <c r="V365" s="5"/>
      <c r="W365" s="2"/>
      <c r="X365" s="2"/>
    </row>
    <row r="366" spans="16:24">
      <c r="P366" s="5"/>
      <c r="Q366" s="5"/>
      <c r="R366" s="5"/>
      <c r="S366" s="2"/>
      <c r="T366" s="5"/>
      <c r="U366" s="5"/>
      <c r="V366" s="5"/>
      <c r="W366" s="2"/>
      <c r="X366" s="2"/>
    </row>
    <row r="367" spans="16:24">
      <c r="P367" s="5"/>
      <c r="Q367" s="5"/>
      <c r="R367" s="5"/>
      <c r="S367" s="2"/>
      <c r="T367" s="5"/>
      <c r="U367" s="5"/>
      <c r="V367" s="5"/>
      <c r="W367" s="2"/>
      <c r="X367" s="2"/>
    </row>
    <row r="368" spans="16:24">
      <c r="P368" s="5"/>
      <c r="Q368" s="5"/>
      <c r="R368" s="5"/>
      <c r="S368" s="2"/>
      <c r="T368" s="5"/>
      <c r="U368" s="5"/>
      <c r="V368" s="5"/>
      <c r="W368" s="2"/>
      <c r="X368" s="2"/>
    </row>
    <row r="369" spans="16:24">
      <c r="P369" s="5"/>
      <c r="Q369" s="5"/>
      <c r="R369" s="5"/>
      <c r="S369" s="2"/>
      <c r="T369" s="5"/>
      <c r="U369" s="5"/>
      <c r="V369" s="5"/>
      <c r="W369" s="2"/>
      <c r="X369" s="2"/>
    </row>
    <row r="370" spans="16:24">
      <c r="P370" s="5"/>
      <c r="Q370" s="5"/>
      <c r="R370" s="5"/>
      <c r="S370" s="2"/>
      <c r="T370" s="5"/>
      <c r="U370" s="5"/>
      <c r="V370" s="5"/>
      <c r="W370" s="2"/>
      <c r="X370" s="2"/>
    </row>
  </sheetData>
  <mergeCells count="90">
    <mergeCell ref="H113:H124"/>
    <mergeCell ref="I113:I124"/>
    <mergeCell ref="J113:J124"/>
    <mergeCell ref="C113:C124"/>
    <mergeCell ref="D113:D124"/>
    <mergeCell ref="E113:E124"/>
    <mergeCell ref="F113:F124"/>
    <mergeCell ref="G113:G124"/>
    <mergeCell ref="H89:H100"/>
    <mergeCell ref="I89:I100"/>
    <mergeCell ref="J89:J100"/>
    <mergeCell ref="C89:C100"/>
    <mergeCell ref="D89:D100"/>
    <mergeCell ref="E89:E100"/>
    <mergeCell ref="F89:F100"/>
    <mergeCell ref="G89:G100"/>
    <mergeCell ref="H65:H76"/>
    <mergeCell ref="I65:I76"/>
    <mergeCell ref="J65:J76"/>
    <mergeCell ref="C77:C88"/>
    <mergeCell ref="D77:D88"/>
    <mergeCell ref="E77:E88"/>
    <mergeCell ref="F77:F88"/>
    <mergeCell ref="G77:G88"/>
    <mergeCell ref="H77:H88"/>
    <mergeCell ref="I77:I88"/>
    <mergeCell ref="J77:J88"/>
    <mergeCell ref="U128:W128"/>
    <mergeCell ref="L129:N129"/>
    <mergeCell ref="O129:Q129"/>
    <mergeCell ref="R129:T129"/>
    <mergeCell ref="U129:W129"/>
    <mergeCell ref="R128:T128"/>
    <mergeCell ref="I41:I52"/>
    <mergeCell ref="J41:J52"/>
    <mergeCell ref="C125:J127"/>
    <mergeCell ref="L128:N128"/>
    <mergeCell ref="O128:Q128"/>
    <mergeCell ref="C41:C52"/>
    <mergeCell ref="D41:D52"/>
    <mergeCell ref="E41:E52"/>
    <mergeCell ref="F41:F52"/>
    <mergeCell ref="G41:G52"/>
    <mergeCell ref="H41:H52"/>
    <mergeCell ref="C65:C76"/>
    <mergeCell ref="D65:D76"/>
    <mergeCell ref="E65:E76"/>
    <mergeCell ref="F65:F76"/>
    <mergeCell ref="G65:G76"/>
    <mergeCell ref="I17:I28"/>
    <mergeCell ref="J17:J28"/>
    <mergeCell ref="C17:C28"/>
    <mergeCell ref="D17:D28"/>
    <mergeCell ref="E17:E28"/>
    <mergeCell ref="F17:F28"/>
    <mergeCell ref="G17:G28"/>
    <mergeCell ref="H17:H28"/>
    <mergeCell ref="C2:J4"/>
    <mergeCell ref="C5:C16"/>
    <mergeCell ref="D5:D16"/>
    <mergeCell ref="E5:E16"/>
    <mergeCell ref="F5:F16"/>
    <mergeCell ref="G5:G16"/>
    <mergeCell ref="H5:H16"/>
    <mergeCell ref="I5:I16"/>
    <mergeCell ref="J5:J16"/>
    <mergeCell ref="H29:H40"/>
    <mergeCell ref="I29:I40"/>
    <mergeCell ref="J29:J40"/>
    <mergeCell ref="C29:C40"/>
    <mergeCell ref="D29:D40"/>
    <mergeCell ref="E29:E40"/>
    <mergeCell ref="F29:F40"/>
    <mergeCell ref="G29:G40"/>
    <mergeCell ref="H101:H112"/>
    <mergeCell ref="I101:I112"/>
    <mergeCell ref="J101:J112"/>
    <mergeCell ref="C101:C112"/>
    <mergeCell ref="D101:D112"/>
    <mergeCell ref="E101:E112"/>
    <mergeCell ref="F101:F112"/>
    <mergeCell ref="G101:G112"/>
    <mergeCell ref="H53:H64"/>
    <mergeCell ref="I53:I64"/>
    <mergeCell ref="J53:J64"/>
    <mergeCell ref="C53:C64"/>
    <mergeCell ref="D53:D64"/>
    <mergeCell ref="E53:E64"/>
    <mergeCell ref="F53:F64"/>
    <mergeCell ref="G53:G64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8" scale="74" fitToHeight="0" orientation="landscape" r:id="rId1"/>
  <rowBreaks count="1" manualBreakCount="1">
    <brk id="76" min="2" max="2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0443-FC8E-474D-8CAE-F0211CB9F4D9}">
  <sheetPr codeName="Sheet3">
    <pageSetUpPr fitToPage="1"/>
  </sheetPr>
  <dimension ref="A1:Z334"/>
  <sheetViews>
    <sheetView showGridLines="0" tabSelected="1" zoomScale="80" zoomScaleNormal="80" zoomScaleSheetLayoutView="70" workbookViewId="0">
      <pane xSplit="11" ySplit="4" topLeftCell="L5" activePane="bottomRight" state="frozen"/>
      <selection sqref="A1:B1048576"/>
      <selection pane="topRight" sqref="A1:B1048576"/>
      <selection pane="bottomLeft" sqref="A1:B1048576"/>
      <selection pane="bottomRight" activeCell="I5" sqref="I5:I16"/>
    </sheetView>
  </sheetViews>
  <sheetFormatPr defaultRowHeight="12"/>
  <cols>
    <col min="1" max="1" width="9.08984375" style="23" bestFit="1" customWidth="1"/>
    <col min="2" max="2" width="9.453125" style="26" bestFit="1" customWidth="1"/>
    <col min="3" max="3" width="6.08984375" style="2" bestFit="1" customWidth="1"/>
    <col min="4" max="4" width="9.08984375" style="2" customWidth="1"/>
    <col min="5" max="5" width="5.08984375" style="2" customWidth="1"/>
    <col min="6" max="6" width="10.6328125" style="1" customWidth="1"/>
    <col min="7" max="7" width="9.6328125" style="2" customWidth="1"/>
    <col min="8" max="9" width="11.90625" style="2" customWidth="1"/>
    <col min="10" max="10" width="8.36328125" style="2" customWidth="1"/>
    <col min="11" max="11" width="13.36328125" style="2" bestFit="1" customWidth="1"/>
    <col min="12" max="15" width="13.36328125" style="5" customWidth="1"/>
    <col min="16" max="16" width="13.36328125" style="111" customWidth="1"/>
    <col min="17" max="22" width="13.36328125" style="15" customWidth="1"/>
    <col min="23" max="23" width="13.90625" style="3" customWidth="1"/>
    <col min="24" max="24" width="16.453125" style="4" customWidth="1"/>
    <col min="25" max="25" width="9.6328125" style="2" bestFit="1" customWidth="1"/>
    <col min="26" max="26" width="11" style="17" bestFit="1" customWidth="1"/>
    <col min="27" max="259" width="8.90625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8.90625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8.90625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8.90625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8.90625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8.90625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8.90625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8.90625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8.90625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8.90625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8.90625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8.90625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8.90625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8.90625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8.90625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8.90625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8.90625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8.90625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8.90625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8.90625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8.90625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8.90625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8.90625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8.90625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8.90625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8.90625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8.90625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8.90625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8.90625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8.90625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8.90625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8.90625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8.90625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8.90625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8.90625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8.90625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8.90625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8.90625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8.90625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8.90625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8.90625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8.90625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8.90625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8.90625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8.90625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8.90625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8.90625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8.90625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8.90625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8.90625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8.90625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8.90625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8.90625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8.90625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8.90625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8.90625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8.90625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8.90625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8.90625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8.90625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8.90625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8.90625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8.90625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8.90625" style="2"/>
  </cols>
  <sheetData>
    <row r="1" spans="1:26" s="1" customFormat="1" ht="36">
      <c r="A1" s="1" t="s">
        <v>32</v>
      </c>
      <c r="B1" s="1" t="s">
        <v>33</v>
      </c>
      <c r="C1" s="31" t="s">
        <v>0</v>
      </c>
      <c r="D1" s="32" t="s">
        <v>1</v>
      </c>
      <c r="E1" s="32" t="s">
        <v>2</v>
      </c>
      <c r="F1" s="33" t="s">
        <v>3</v>
      </c>
      <c r="G1" s="33" t="s">
        <v>41</v>
      </c>
      <c r="H1" s="33" t="s">
        <v>4</v>
      </c>
      <c r="I1" s="34" t="s">
        <v>5</v>
      </c>
      <c r="J1" s="35" t="s">
        <v>6</v>
      </c>
      <c r="K1" s="7" t="s">
        <v>7</v>
      </c>
      <c r="L1" s="20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1" t="s">
        <v>13</v>
      </c>
      <c r="R1" s="21" t="s">
        <v>14</v>
      </c>
      <c r="S1" s="21" t="s">
        <v>15</v>
      </c>
      <c r="T1" s="21" t="s">
        <v>16</v>
      </c>
      <c r="U1" s="21" t="s">
        <v>17</v>
      </c>
      <c r="V1" s="21" t="s">
        <v>18</v>
      </c>
      <c r="W1" s="38" t="s">
        <v>19</v>
      </c>
      <c r="X1" s="39" t="s">
        <v>20</v>
      </c>
    </row>
    <row r="2" spans="1:26" s="1" customFormat="1">
      <c r="A2" s="28"/>
      <c r="B2" s="25"/>
      <c r="C2" s="658" t="s">
        <v>50</v>
      </c>
      <c r="D2" s="659"/>
      <c r="E2" s="659"/>
      <c r="F2" s="659"/>
      <c r="G2" s="659"/>
      <c r="H2" s="659"/>
      <c r="I2" s="659"/>
      <c r="J2" s="660"/>
      <c r="K2" s="40" t="s">
        <v>21</v>
      </c>
      <c r="L2" s="225">
        <f>L89</f>
        <v>780000</v>
      </c>
      <c r="M2" s="290">
        <f t="shared" ref="M2:W3" si="0">M89</f>
        <v>780000</v>
      </c>
      <c r="N2" s="290">
        <f t="shared" si="0"/>
        <v>780000</v>
      </c>
      <c r="O2" s="290">
        <f t="shared" si="0"/>
        <v>810000</v>
      </c>
      <c r="P2" s="290">
        <f t="shared" si="0"/>
        <v>954000</v>
      </c>
      <c r="Q2" s="290">
        <f t="shared" si="0"/>
        <v>993125</v>
      </c>
      <c r="R2" s="290">
        <f t="shared" si="0"/>
        <v>1207500</v>
      </c>
      <c r="S2" s="290">
        <f t="shared" si="0"/>
        <v>1255775</v>
      </c>
      <c r="T2" s="290">
        <f t="shared" si="0"/>
        <v>1282350</v>
      </c>
      <c r="U2" s="290">
        <f t="shared" si="0"/>
        <v>974650</v>
      </c>
      <c r="V2" s="290">
        <f t="shared" si="0"/>
        <v>1503175</v>
      </c>
      <c r="W2" s="41">
        <f>W89</f>
        <v>2407080</v>
      </c>
      <c r="X2" s="42">
        <f>SUM(L2:W2)</f>
        <v>13727655</v>
      </c>
      <c r="Z2" s="16"/>
    </row>
    <row r="3" spans="1:26" s="1" customFormat="1">
      <c r="A3" s="28"/>
      <c r="B3" s="25"/>
      <c r="C3" s="661"/>
      <c r="D3" s="662"/>
      <c r="E3" s="662"/>
      <c r="F3" s="662"/>
      <c r="G3" s="662"/>
      <c r="H3" s="662"/>
      <c r="I3" s="662"/>
      <c r="J3" s="663"/>
      <c r="K3" s="43" t="s">
        <v>22</v>
      </c>
      <c r="L3" s="226">
        <f>L90</f>
        <v>22000</v>
      </c>
      <c r="M3" s="291">
        <f t="shared" si="0"/>
        <v>24000</v>
      </c>
      <c r="N3" s="291">
        <f t="shared" si="0"/>
        <v>25000</v>
      </c>
      <c r="O3" s="291">
        <f t="shared" si="0"/>
        <v>24000</v>
      </c>
      <c r="P3" s="291">
        <f t="shared" si="0"/>
        <v>23000</v>
      </c>
      <c r="Q3" s="291">
        <f t="shared" si="0"/>
        <v>23000</v>
      </c>
      <c r="R3" s="291">
        <f t="shared" si="0"/>
        <v>24000</v>
      </c>
      <c r="S3" s="291">
        <f t="shared" si="0"/>
        <v>24000</v>
      </c>
      <c r="T3" s="291">
        <f t="shared" si="0"/>
        <v>25000</v>
      </c>
      <c r="U3" s="291">
        <f t="shared" si="0"/>
        <v>26000</v>
      </c>
      <c r="V3" s="291">
        <f t="shared" si="0"/>
        <v>23000</v>
      </c>
      <c r="W3" s="44">
        <f t="shared" si="0"/>
        <v>30000</v>
      </c>
      <c r="X3" s="45">
        <f>SUM(L3:W3)</f>
        <v>293000</v>
      </c>
      <c r="Z3" s="16"/>
    </row>
    <row r="4" spans="1:26" s="1" customFormat="1" ht="12.5" thickBot="1">
      <c r="A4" s="28"/>
      <c r="B4" s="25"/>
      <c r="C4" s="664"/>
      <c r="D4" s="665"/>
      <c r="E4" s="665"/>
      <c r="F4" s="665"/>
      <c r="G4" s="665"/>
      <c r="H4" s="665"/>
      <c r="I4" s="665"/>
      <c r="J4" s="666"/>
      <c r="K4" s="46" t="s">
        <v>23</v>
      </c>
      <c r="L4" s="227">
        <f t="shared" ref="L4:W4" si="1">L2-L3</f>
        <v>758000</v>
      </c>
      <c r="M4" s="292">
        <f t="shared" si="1"/>
        <v>756000</v>
      </c>
      <c r="N4" s="292">
        <f t="shared" si="1"/>
        <v>755000</v>
      </c>
      <c r="O4" s="292">
        <f t="shared" si="1"/>
        <v>786000</v>
      </c>
      <c r="P4" s="292">
        <f t="shared" si="1"/>
        <v>931000</v>
      </c>
      <c r="Q4" s="292">
        <f t="shared" si="1"/>
        <v>970125</v>
      </c>
      <c r="R4" s="292">
        <f t="shared" si="1"/>
        <v>1183500</v>
      </c>
      <c r="S4" s="292">
        <f t="shared" si="1"/>
        <v>1231775</v>
      </c>
      <c r="T4" s="292">
        <f t="shared" si="1"/>
        <v>1257350</v>
      </c>
      <c r="U4" s="292">
        <f t="shared" si="1"/>
        <v>948650</v>
      </c>
      <c r="V4" s="292">
        <f t="shared" si="1"/>
        <v>1480175</v>
      </c>
      <c r="W4" s="47">
        <f t="shared" si="1"/>
        <v>2377080</v>
      </c>
      <c r="X4" s="48">
        <f>SUM(L4:W4)</f>
        <v>13434655</v>
      </c>
      <c r="Z4" s="16"/>
    </row>
    <row r="5" spans="1:26" ht="12.75" customHeight="1" thickTop="1">
      <c r="A5" s="29"/>
      <c r="C5" s="641">
        <v>1</v>
      </c>
      <c r="D5" s="647" t="s">
        <v>81</v>
      </c>
      <c r="E5" s="647"/>
      <c r="F5" s="667"/>
      <c r="G5" s="647"/>
      <c r="H5" s="653" t="s">
        <v>83</v>
      </c>
      <c r="I5" s="635" t="s">
        <v>82</v>
      </c>
      <c r="J5" s="638" t="s">
        <v>109</v>
      </c>
      <c r="K5" s="49" t="s">
        <v>43</v>
      </c>
      <c r="L5" s="246">
        <f t="shared" ref="L5:W5" si="2">L6+L7</f>
        <v>780000</v>
      </c>
      <c r="M5" s="246">
        <f t="shared" si="2"/>
        <v>780000</v>
      </c>
      <c r="N5" s="246">
        <f t="shared" si="2"/>
        <v>780000</v>
      </c>
      <c r="O5" s="354">
        <f t="shared" si="2"/>
        <v>810000</v>
      </c>
      <c r="P5" s="246">
        <f t="shared" si="2"/>
        <v>810000</v>
      </c>
      <c r="Q5" s="246">
        <f t="shared" si="2"/>
        <v>810000</v>
      </c>
      <c r="R5" s="246">
        <f t="shared" si="2"/>
        <v>810000</v>
      </c>
      <c r="S5" s="354">
        <f t="shared" si="2"/>
        <v>810000</v>
      </c>
      <c r="T5" s="246">
        <f t="shared" si="2"/>
        <v>810000</v>
      </c>
      <c r="U5" s="246">
        <f t="shared" si="2"/>
        <v>810000</v>
      </c>
      <c r="V5" s="246">
        <f t="shared" si="2"/>
        <v>810000</v>
      </c>
      <c r="W5" s="50">
        <f t="shared" si="2"/>
        <v>810000</v>
      </c>
      <c r="X5" s="51">
        <f>SUM(L5:W5)</f>
        <v>9630000</v>
      </c>
      <c r="Z5" s="52"/>
    </row>
    <row r="6" spans="1:26">
      <c r="A6" s="53">
        <f t="shared" ref="A6:B6" si="3">+A5</f>
        <v>0</v>
      </c>
      <c r="B6" s="54">
        <f t="shared" si="3"/>
        <v>0</v>
      </c>
      <c r="C6" s="641"/>
      <c r="D6" s="647"/>
      <c r="E6" s="647"/>
      <c r="F6" s="667"/>
      <c r="G6" s="647"/>
      <c r="H6" s="653"/>
      <c r="I6" s="635"/>
      <c r="J6" s="638"/>
      <c r="K6" s="55" t="s">
        <v>44</v>
      </c>
      <c r="L6" s="240">
        <v>780000</v>
      </c>
      <c r="M6" s="240">
        <v>780000</v>
      </c>
      <c r="N6" s="240">
        <v>780000</v>
      </c>
      <c r="O6" s="240">
        <v>810000</v>
      </c>
      <c r="P6" s="240">
        <v>810000</v>
      </c>
      <c r="Q6" s="240">
        <v>810000</v>
      </c>
      <c r="R6" s="240">
        <v>810000</v>
      </c>
      <c r="S6" s="240">
        <v>810000</v>
      </c>
      <c r="T6" s="240">
        <v>810000</v>
      </c>
      <c r="U6" s="240">
        <v>810000</v>
      </c>
      <c r="V6" s="240">
        <v>810000</v>
      </c>
      <c r="W6" s="56">
        <v>810000</v>
      </c>
      <c r="X6" s="57">
        <f>SUM(L6:W6)</f>
        <v>9630000</v>
      </c>
      <c r="Y6" s="58"/>
      <c r="Z6" s="52"/>
    </row>
    <row r="7" spans="1:26">
      <c r="A7" s="53">
        <f t="shared" ref="A7:B7" si="4">+A6</f>
        <v>0</v>
      </c>
      <c r="B7" s="54">
        <f t="shared" si="4"/>
        <v>0</v>
      </c>
      <c r="C7" s="641"/>
      <c r="D7" s="647"/>
      <c r="E7" s="647"/>
      <c r="F7" s="667"/>
      <c r="G7" s="647"/>
      <c r="H7" s="653"/>
      <c r="I7" s="635"/>
      <c r="J7" s="638"/>
      <c r="K7" s="55" t="s">
        <v>38</v>
      </c>
      <c r="L7" s="247"/>
      <c r="M7" s="247"/>
      <c r="N7" s="247"/>
      <c r="O7" s="355"/>
      <c r="P7" s="247"/>
      <c r="Q7" s="247"/>
      <c r="R7" s="247"/>
      <c r="S7" s="355"/>
      <c r="T7" s="247"/>
      <c r="U7" s="247"/>
      <c r="V7" s="247"/>
      <c r="W7" s="60"/>
      <c r="X7" s="57">
        <v>0</v>
      </c>
      <c r="Y7" s="58"/>
      <c r="Z7" s="52"/>
    </row>
    <row r="8" spans="1:26">
      <c r="A8" s="53">
        <f t="shared" ref="A8:B8" si="5">+A7</f>
        <v>0</v>
      </c>
      <c r="B8" s="54">
        <f t="shared" si="5"/>
        <v>0</v>
      </c>
      <c r="C8" s="641"/>
      <c r="D8" s="647"/>
      <c r="E8" s="647"/>
      <c r="F8" s="667"/>
      <c r="G8" s="647"/>
      <c r="H8" s="653"/>
      <c r="I8" s="635"/>
      <c r="J8" s="638"/>
      <c r="K8" s="61" t="s">
        <v>24</v>
      </c>
      <c r="L8" s="248">
        <f t="shared" ref="L8:W8" si="6">SUM(L9:L15)</f>
        <v>22000</v>
      </c>
      <c r="M8" s="248">
        <f t="shared" si="6"/>
        <v>24000</v>
      </c>
      <c r="N8" s="248">
        <f t="shared" si="6"/>
        <v>25000</v>
      </c>
      <c r="O8" s="356">
        <f t="shared" si="6"/>
        <v>24000</v>
      </c>
      <c r="P8" s="248">
        <f t="shared" si="6"/>
        <v>23000</v>
      </c>
      <c r="Q8" s="248">
        <f t="shared" si="6"/>
        <v>23000</v>
      </c>
      <c r="R8" s="248">
        <f t="shared" si="6"/>
        <v>24000</v>
      </c>
      <c r="S8" s="356">
        <f t="shared" si="6"/>
        <v>24000</v>
      </c>
      <c r="T8" s="248">
        <f t="shared" si="6"/>
        <v>25000</v>
      </c>
      <c r="U8" s="248">
        <f t="shared" si="6"/>
        <v>26000</v>
      </c>
      <c r="V8" s="248">
        <f t="shared" si="6"/>
        <v>23000</v>
      </c>
      <c r="W8" s="62">
        <f t="shared" si="6"/>
        <v>30000</v>
      </c>
      <c r="X8" s="63">
        <f>SUM(L8:W8)</f>
        <v>293000</v>
      </c>
      <c r="Y8" s="58"/>
      <c r="Z8" s="52"/>
    </row>
    <row r="9" spans="1:26">
      <c r="A9" s="53">
        <f t="shared" ref="A9:B9" si="7">+A8</f>
        <v>0</v>
      </c>
      <c r="B9" s="54">
        <f t="shared" si="7"/>
        <v>0</v>
      </c>
      <c r="C9" s="641"/>
      <c r="D9" s="647"/>
      <c r="E9" s="647"/>
      <c r="F9" s="667"/>
      <c r="G9" s="647"/>
      <c r="H9" s="653"/>
      <c r="I9" s="635"/>
      <c r="J9" s="638"/>
      <c r="K9" s="64" t="s">
        <v>25</v>
      </c>
      <c r="L9" s="221">
        <v>22000</v>
      </c>
      <c r="M9" s="221">
        <v>24000</v>
      </c>
      <c r="N9" s="221">
        <v>25000</v>
      </c>
      <c r="O9" s="221">
        <v>24000</v>
      </c>
      <c r="P9" s="221">
        <v>23000</v>
      </c>
      <c r="Q9" s="221">
        <v>23000</v>
      </c>
      <c r="R9" s="221">
        <v>24000</v>
      </c>
      <c r="S9" s="221">
        <v>24000</v>
      </c>
      <c r="T9" s="221">
        <v>25000</v>
      </c>
      <c r="U9" s="221">
        <v>26000</v>
      </c>
      <c r="V9" s="221">
        <v>23000</v>
      </c>
      <c r="W9" s="221">
        <v>30000</v>
      </c>
      <c r="X9" s="57">
        <f t="shared" ref="X9:X15" si="8">SUM(L9:W9)</f>
        <v>293000</v>
      </c>
      <c r="Y9" s="58"/>
      <c r="Z9" s="52"/>
    </row>
    <row r="10" spans="1:26">
      <c r="A10" s="53">
        <f t="shared" ref="A10:B10" si="9">+A9</f>
        <v>0</v>
      </c>
      <c r="B10" s="54">
        <f t="shared" si="9"/>
        <v>0</v>
      </c>
      <c r="C10" s="641"/>
      <c r="D10" s="647"/>
      <c r="E10" s="647"/>
      <c r="F10" s="667"/>
      <c r="G10" s="647"/>
      <c r="H10" s="653"/>
      <c r="I10" s="635"/>
      <c r="J10" s="638"/>
      <c r="K10" s="64" t="s">
        <v>30</v>
      </c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89"/>
      <c r="X10" s="57">
        <f t="shared" si="8"/>
        <v>0</v>
      </c>
      <c r="Y10" s="58"/>
      <c r="Z10" s="52"/>
    </row>
    <row r="11" spans="1:26">
      <c r="A11" s="53">
        <f t="shared" ref="A11:B11" si="10">+A10</f>
        <v>0</v>
      </c>
      <c r="B11" s="54">
        <f t="shared" si="10"/>
        <v>0</v>
      </c>
      <c r="C11" s="641"/>
      <c r="D11" s="647"/>
      <c r="E11" s="647"/>
      <c r="F11" s="667"/>
      <c r="G11" s="647"/>
      <c r="H11" s="653"/>
      <c r="I11" s="635"/>
      <c r="J11" s="638"/>
      <c r="K11" s="64" t="s">
        <v>36</v>
      </c>
      <c r="L11" s="221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65"/>
      <c r="X11" s="57">
        <f t="shared" si="8"/>
        <v>0</v>
      </c>
      <c r="Y11" s="58"/>
      <c r="Z11" s="52"/>
    </row>
    <row r="12" spans="1:26">
      <c r="A12" s="53">
        <f t="shared" ref="A12:B12" si="11">+A11</f>
        <v>0</v>
      </c>
      <c r="B12" s="54">
        <f t="shared" si="11"/>
        <v>0</v>
      </c>
      <c r="C12" s="641"/>
      <c r="D12" s="647"/>
      <c r="E12" s="647"/>
      <c r="F12" s="667"/>
      <c r="G12" s="647"/>
      <c r="H12" s="653"/>
      <c r="I12" s="635"/>
      <c r="J12" s="638"/>
      <c r="K12" s="99" t="s">
        <v>26</v>
      </c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65"/>
      <c r="X12" s="57">
        <f t="shared" si="8"/>
        <v>0</v>
      </c>
      <c r="Y12" s="58"/>
      <c r="Z12" s="52"/>
    </row>
    <row r="13" spans="1:26">
      <c r="A13" s="53">
        <f t="shared" ref="A13:B13" si="12">+A12</f>
        <v>0</v>
      </c>
      <c r="B13" s="54">
        <f t="shared" si="12"/>
        <v>0</v>
      </c>
      <c r="C13" s="641"/>
      <c r="D13" s="647"/>
      <c r="E13" s="647"/>
      <c r="F13" s="667"/>
      <c r="G13" s="647"/>
      <c r="H13" s="653"/>
      <c r="I13" s="635"/>
      <c r="J13" s="638"/>
      <c r="K13" s="99" t="s">
        <v>27</v>
      </c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65"/>
      <c r="X13" s="57">
        <f t="shared" si="8"/>
        <v>0</v>
      </c>
      <c r="Y13" s="58"/>
      <c r="Z13" s="52"/>
    </row>
    <row r="14" spans="1:26">
      <c r="A14" s="53">
        <f t="shared" ref="A14:B14" si="13">+A13</f>
        <v>0</v>
      </c>
      <c r="B14" s="54">
        <f t="shared" si="13"/>
        <v>0</v>
      </c>
      <c r="C14" s="641"/>
      <c r="D14" s="647"/>
      <c r="E14" s="647"/>
      <c r="F14" s="667"/>
      <c r="G14" s="647"/>
      <c r="H14" s="653"/>
      <c r="I14" s="635"/>
      <c r="J14" s="638"/>
      <c r="K14" s="99" t="s">
        <v>28</v>
      </c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65"/>
      <c r="X14" s="57">
        <f t="shared" si="8"/>
        <v>0</v>
      </c>
      <c r="Y14" s="58"/>
      <c r="Z14" s="52"/>
    </row>
    <row r="15" spans="1:26">
      <c r="A15" s="53">
        <f t="shared" ref="A15:B15" si="14">+A14</f>
        <v>0</v>
      </c>
      <c r="B15" s="54">
        <f t="shared" si="14"/>
        <v>0</v>
      </c>
      <c r="C15" s="641"/>
      <c r="D15" s="647"/>
      <c r="E15" s="647"/>
      <c r="F15" s="667"/>
      <c r="G15" s="647"/>
      <c r="H15" s="653"/>
      <c r="I15" s="635"/>
      <c r="J15" s="638"/>
      <c r="K15" s="99" t="s">
        <v>29</v>
      </c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112"/>
      <c r="X15" s="57">
        <f t="shared" si="8"/>
        <v>0</v>
      </c>
      <c r="Y15" s="58"/>
      <c r="Z15" s="52"/>
    </row>
    <row r="16" spans="1:26">
      <c r="A16" s="53">
        <f t="shared" ref="A16:B16" si="15">+A15</f>
        <v>0</v>
      </c>
      <c r="B16" s="54">
        <f t="shared" si="15"/>
        <v>0</v>
      </c>
      <c r="C16" s="642"/>
      <c r="D16" s="648"/>
      <c r="E16" s="648"/>
      <c r="F16" s="668"/>
      <c r="G16" s="648"/>
      <c r="H16" s="669"/>
      <c r="I16" s="636"/>
      <c r="J16" s="639"/>
      <c r="K16" s="109" t="s">
        <v>45</v>
      </c>
      <c r="L16" s="250">
        <f t="shared" ref="L16:X16" si="16">L5-L8</f>
        <v>758000</v>
      </c>
      <c r="M16" s="250">
        <f t="shared" si="16"/>
        <v>756000</v>
      </c>
      <c r="N16" s="250">
        <f t="shared" si="16"/>
        <v>755000</v>
      </c>
      <c r="O16" s="357">
        <f t="shared" si="16"/>
        <v>786000</v>
      </c>
      <c r="P16" s="250">
        <f t="shared" si="16"/>
        <v>787000</v>
      </c>
      <c r="Q16" s="250">
        <f t="shared" si="16"/>
        <v>787000</v>
      </c>
      <c r="R16" s="250">
        <f t="shared" si="16"/>
        <v>786000</v>
      </c>
      <c r="S16" s="357">
        <f t="shared" si="16"/>
        <v>786000</v>
      </c>
      <c r="T16" s="250">
        <f t="shared" si="16"/>
        <v>785000</v>
      </c>
      <c r="U16" s="250">
        <f t="shared" si="16"/>
        <v>784000</v>
      </c>
      <c r="V16" s="250">
        <f t="shared" si="16"/>
        <v>787000</v>
      </c>
      <c r="W16" s="110">
        <f t="shared" si="16"/>
        <v>780000</v>
      </c>
      <c r="X16" s="68">
        <f t="shared" si="16"/>
        <v>9337000</v>
      </c>
      <c r="Y16" s="58"/>
      <c r="Z16" s="52"/>
    </row>
    <row r="17" spans="1:26" ht="12.75" customHeight="1">
      <c r="A17" s="29"/>
      <c r="B17" s="36"/>
      <c r="C17" s="640">
        <f>C5+1</f>
        <v>2</v>
      </c>
      <c r="D17" s="647" t="s">
        <v>99</v>
      </c>
      <c r="E17" s="647"/>
      <c r="F17" s="644"/>
      <c r="G17" s="647"/>
      <c r="H17" s="653" t="s">
        <v>102</v>
      </c>
      <c r="I17" s="635" t="s">
        <v>100</v>
      </c>
      <c r="J17" s="637"/>
      <c r="K17" s="69" t="s">
        <v>43</v>
      </c>
      <c r="L17" s="241">
        <f t="shared" ref="L17:W17" si="17">L18+L19</f>
        <v>0</v>
      </c>
      <c r="M17" s="241">
        <f t="shared" si="17"/>
        <v>0</v>
      </c>
      <c r="N17" s="241">
        <f t="shared" si="17"/>
        <v>0</v>
      </c>
      <c r="O17" s="358">
        <f t="shared" si="17"/>
        <v>0</v>
      </c>
      <c r="P17" s="241">
        <f t="shared" si="17"/>
        <v>144000</v>
      </c>
      <c r="Q17" s="241">
        <f t="shared" si="17"/>
        <v>150000</v>
      </c>
      <c r="R17" s="241">
        <f t="shared" si="17"/>
        <v>72000</v>
      </c>
      <c r="S17" s="358">
        <f t="shared" si="17"/>
        <v>0</v>
      </c>
      <c r="T17" s="241">
        <f t="shared" si="17"/>
        <v>0</v>
      </c>
      <c r="U17" s="241">
        <f t="shared" si="17"/>
        <v>0</v>
      </c>
      <c r="V17" s="241">
        <f t="shared" si="17"/>
        <v>0</v>
      </c>
      <c r="W17" s="71">
        <f t="shared" si="17"/>
        <v>0</v>
      </c>
      <c r="X17" s="70">
        <f>SUM(L17:W17)</f>
        <v>366000</v>
      </c>
      <c r="Y17" s="58"/>
      <c r="Z17" s="52"/>
    </row>
    <row r="18" spans="1:26">
      <c r="A18" s="53">
        <f t="shared" ref="A18:B28" si="18">+A17</f>
        <v>0</v>
      </c>
      <c r="B18" s="54">
        <f t="shared" si="18"/>
        <v>0</v>
      </c>
      <c r="C18" s="641"/>
      <c r="D18" s="647"/>
      <c r="E18" s="647"/>
      <c r="F18" s="644"/>
      <c r="G18" s="647"/>
      <c r="H18" s="653"/>
      <c r="I18" s="635"/>
      <c r="J18" s="638"/>
      <c r="K18" s="55" t="s">
        <v>44</v>
      </c>
      <c r="L18" s="240"/>
      <c r="M18" s="240"/>
      <c r="N18" s="240"/>
      <c r="O18" s="240"/>
      <c r="P18" s="240">
        <v>144000</v>
      </c>
      <c r="Q18" s="240">
        <v>150000</v>
      </c>
      <c r="R18" s="240">
        <v>72000</v>
      </c>
      <c r="S18" s="240">
        <v>0</v>
      </c>
      <c r="T18" s="240"/>
      <c r="U18" s="240"/>
      <c r="V18" s="240"/>
      <c r="W18" s="56"/>
      <c r="X18" s="57">
        <f>SUM(L18:W18)</f>
        <v>366000</v>
      </c>
      <c r="Y18" s="58"/>
      <c r="Z18" s="52"/>
    </row>
    <row r="19" spans="1:26">
      <c r="A19" s="53">
        <f t="shared" si="18"/>
        <v>0</v>
      </c>
      <c r="B19" s="54">
        <f t="shared" si="18"/>
        <v>0</v>
      </c>
      <c r="C19" s="641"/>
      <c r="D19" s="647"/>
      <c r="E19" s="647"/>
      <c r="F19" s="644"/>
      <c r="G19" s="647"/>
      <c r="H19" s="653"/>
      <c r="I19" s="635"/>
      <c r="J19" s="638"/>
      <c r="K19" s="55" t="s">
        <v>38</v>
      </c>
      <c r="L19" s="247"/>
      <c r="M19" s="247"/>
      <c r="N19" s="247"/>
      <c r="O19" s="355"/>
      <c r="P19" s="247"/>
      <c r="Q19" s="247"/>
      <c r="R19" s="247"/>
      <c r="S19" s="355"/>
      <c r="T19" s="247"/>
      <c r="U19" s="247"/>
      <c r="V19" s="247"/>
      <c r="W19" s="60"/>
      <c r="X19" s="57">
        <v>0</v>
      </c>
      <c r="Y19" s="58"/>
      <c r="Z19" s="52"/>
    </row>
    <row r="20" spans="1:26">
      <c r="A20" s="53">
        <f t="shared" si="18"/>
        <v>0</v>
      </c>
      <c r="B20" s="54">
        <f t="shared" si="18"/>
        <v>0</v>
      </c>
      <c r="C20" s="641"/>
      <c r="D20" s="647"/>
      <c r="E20" s="647"/>
      <c r="F20" s="644"/>
      <c r="G20" s="647"/>
      <c r="H20" s="653"/>
      <c r="I20" s="635"/>
      <c r="J20" s="638"/>
      <c r="K20" s="61" t="s">
        <v>24</v>
      </c>
      <c r="L20" s="248">
        <f t="shared" ref="L20:W20" si="19">SUM(L21:L27)</f>
        <v>0</v>
      </c>
      <c r="M20" s="248">
        <f t="shared" si="19"/>
        <v>0</v>
      </c>
      <c r="N20" s="248">
        <f t="shared" si="19"/>
        <v>0</v>
      </c>
      <c r="O20" s="356">
        <f t="shared" si="19"/>
        <v>0</v>
      </c>
      <c r="P20" s="248">
        <f t="shared" si="19"/>
        <v>0</v>
      </c>
      <c r="Q20" s="248">
        <f t="shared" si="19"/>
        <v>0</v>
      </c>
      <c r="R20" s="248">
        <f t="shared" si="19"/>
        <v>0</v>
      </c>
      <c r="S20" s="356">
        <f t="shared" si="19"/>
        <v>0</v>
      </c>
      <c r="T20" s="248">
        <f t="shared" si="19"/>
        <v>0</v>
      </c>
      <c r="U20" s="248">
        <f t="shared" si="19"/>
        <v>0</v>
      </c>
      <c r="V20" s="248">
        <f t="shared" si="19"/>
        <v>0</v>
      </c>
      <c r="W20" s="62">
        <f t="shared" si="19"/>
        <v>0</v>
      </c>
      <c r="X20" s="63">
        <f>SUM(L20:W20)</f>
        <v>0</v>
      </c>
      <c r="Y20" s="58"/>
      <c r="Z20" s="52"/>
    </row>
    <row r="21" spans="1:26">
      <c r="A21" s="53">
        <f t="shared" si="18"/>
        <v>0</v>
      </c>
      <c r="B21" s="54">
        <f t="shared" si="18"/>
        <v>0</v>
      </c>
      <c r="C21" s="641"/>
      <c r="D21" s="647"/>
      <c r="E21" s="647"/>
      <c r="F21" s="644"/>
      <c r="G21" s="647"/>
      <c r="H21" s="653"/>
      <c r="I21" s="635"/>
      <c r="J21" s="638"/>
      <c r="K21" s="64" t="s">
        <v>25</v>
      </c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56"/>
      <c r="X21" s="57">
        <f t="shared" ref="X21:X27" si="20">SUM(L21:W21)</f>
        <v>0</v>
      </c>
      <c r="Y21" s="58"/>
      <c r="Z21" s="52"/>
    </row>
    <row r="22" spans="1:26">
      <c r="A22" s="53">
        <f t="shared" si="18"/>
        <v>0</v>
      </c>
      <c r="B22" s="54">
        <f t="shared" si="18"/>
        <v>0</v>
      </c>
      <c r="C22" s="641"/>
      <c r="D22" s="647"/>
      <c r="E22" s="647"/>
      <c r="F22" s="644"/>
      <c r="G22" s="647"/>
      <c r="H22" s="653"/>
      <c r="I22" s="635"/>
      <c r="J22" s="638"/>
      <c r="K22" s="64" t="s">
        <v>30</v>
      </c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56"/>
      <c r="X22" s="57">
        <f t="shared" si="20"/>
        <v>0</v>
      </c>
      <c r="Y22" s="58"/>
      <c r="Z22" s="52"/>
    </row>
    <row r="23" spans="1:26">
      <c r="A23" s="53">
        <f t="shared" si="18"/>
        <v>0</v>
      </c>
      <c r="B23" s="54">
        <f t="shared" si="18"/>
        <v>0</v>
      </c>
      <c r="C23" s="641"/>
      <c r="D23" s="647"/>
      <c r="E23" s="647"/>
      <c r="F23" s="644"/>
      <c r="G23" s="647"/>
      <c r="H23" s="653"/>
      <c r="I23" s="635"/>
      <c r="J23" s="638"/>
      <c r="K23" s="64" t="s">
        <v>36</v>
      </c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56"/>
      <c r="X23" s="57">
        <f t="shared" si="20"/>
        <v>0</v>
      </c>
      <c r="Y23" s="58"/>
      <c r="Z23" s="52"/>
    </row>
    <row r="24" spans="1:26">
      <c r="A24" s="53">
        <f t="shared" si="18"/>
        <v>0</v>
      </c>
      <c r="B24" s="54">
        <f t="shared" si="18"/>
        <v>0</v>
      </c>
      <c r="C24" s="641"/>
      <c r="D24" s="647"/>
      <c r="E24" s="647"/>
      <c r="F24" s="644"/>
      <c r="G24" s="647"/>
      <c r="H24" s="653"/>
      <c r="I24" s="635"/>
      <c r="J24" s="638"/>
      <c r="K24" s="99" t="s">
        <v>26</v>
      </c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56"/>
      <c r="X24" s="57">
        <f t="shared" si="20"/>
        <v>0</v>
      </c>
      <c r="Y24" s="58"/>
      <c r="Z24" s="52"/>
    </row>
    <row r="25" spans="1:26">
      <c r="A25" s="53">
        <f t="shared" si="18"/>
        <v>0</v>
      </c>
      <c r="B25" s="54">
        <f t="shared" si="18"/>
        <v>0</v>
      </c>
      <c r="C25" s="641"/>
      <c r="D25" s="647"/>
      <c r="E25" s="647"/>
      <c r="F25" s="644"/>
      <c r="G25" s="647"/>
      <c r="H25" s="653"/>
      <c r="I25" s="635"/>
      <c r="J25" s="638"/>
      <c r="K25" s="99" t="s">
        <v>27</v>
      </c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56"/>
      <c r="X25" s="57">
        <f t="shared" si="20"/>
        <v>0</v>
      </c>
      <c r="Y25" s="58"/>
      <c r="Z25" s="52"/>
    </row>
    <row r="26" spans="1:26">
      <c r="A26" s="53">
        <f t="shared" si="18"/>
        <v>0</v>
      </c>
      <c r="B26" s="54">
        <f t="shared" si="18"/>
        <v>0</v>
      </c>
      <c r="C26" s="641"/>
      <c r="D26" s="647"/>
      <c r="E26" s="647"/>
      <c r="F26" s="644"/>
      <c r="G26" s="647"/>
      <c r="H26" s="653"/>
      <c r="I26" s="635"/>
      <c r="J26" s="638"/>
      <c r="K26" s="99" t="s">
        <v>28</v>
      </c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56"/>
      <c r="X26" s="57">
        <f t="shared" si="20"/>
        <v>0</v>
      </c>
      <c r="Y26" s="58"/>
      <c r="Z26" s="52"/>
    </row>
    <row r="27" spans="1:26">
      <c r="A27" s="53">
        <f t="shared" si="18"/>
        <v>0</v>
      </c>
      <c r="B27" s="54">
        <f t="shared" si="18"/>
        <v>0</v>
      </c>
      <c r="C27" s="641"/>
      <c r="D27" s="647"/>
      <c r="E27" s="647"/>
      <c r="F27" s="644"/>
      <c r="G27" s="647"/>
      <c r="H27" s="653"/>
      <c r="I27" s="635"/>
      <c r="J27" s="638"/>
      <c r="K27" s="99" t="s">
        <v>29</v>
      </c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56"/>
      <c r="X27" s="57">
        <f t="shared" si="20"/>
        <v>0</v>
      </c>
      <c r="Y27" s="58"/>
      <c r="Z27" s="52"/>
    </row>
    <row r="28" spans="1:26">
      <c r="A28" s="53">
        <f t="shared" si="18"/>
        <v>0</v>
      </c>
      <c r="B28" s="54">
        <f t="shared" si="18"/>
        <v>0</v>
      </c>
      <c r="C28" s="642"/>
      <c r="D28" s="648"/>
      <c r="E28" s="648"/>
      <c r="F28" s="645"/>
      <c r="G28" s="648"/>
      <c r="H28" s="669"/>
      <c r="I28" s="636"/>
      <c r="J28" s="639"/>
      <c r="K28" s="66" t="s">
        <v>45</v>
      </c>
      <c r="L28" s="251">
        <f t="shared" ref="L28:X28" si="21">L17-L20</f>
        <v>0</v>
      </c>
      <c r="M28" s="251">
        <f t="shared" si="21"/>
        <v>0</v>
      </c>
      <c r="N28" s="251">
        <f t="shared" si="21"/>
        <v>0</v>
      </c>
      <c r="O28" s="359">
        <f t="shared" si="21"/>
        <v>0</v>
      </c>
      <c r="P28" s="251">
        <f t="shared" si="21"/>
        <v>144000</v>
      </c>
      <c r="Q28" s="251">
        <f t="shared" si="21"/>
        <v>150000</v>
      </c>
      <c r="R28" s="251">
        <f t="shared" si="21"/>
        <v>72000</v>
      </c>
      <c r="S28" s="359">
        <f t="shared" si="21"/>
        <v>0</v>
      </c>
      <c r="T28" s="251">
        <f t="shared" si="21"/>
        <v>0</v>
      </c>
      <c r="U28" s="251">
        <f t="shared" si="21"/>
        <v>0</v>
      </c>
      <c r="V28" s="251">
        <f t="shared" si="21"/>
        <v>0</v>
      </c>
      <c r="W28" s="67">
        <f t="shared" si="21"/>
        <v>0</v>
      </c>
      <c r="X28" s="68">
        <f t="shared" si="21"/>
        <v>366000</v>
      </c>
      <c r="Y28" s="58"/>
      <c r="Z28" s="52"/>
    </row>
    <row r="29" spans="1:26" ht="12.75" customHeight="1">
      <c r="A29" s="29"/>
      <c r="C29" s="657">
        <f>C17+1</f>
        <v>3</v>
      </c>
      <c r="D29" s="644" t="s">
        <v>99</v>
      </c>
      <c r="E29" s="644"/>
      <c r="F29" s="644"/>
      <c r="G29" s="644"/>
      <c r="H29" s="653" t="s">
        <v>98</v>
      </c>
      <c r="I29" s="653" t="s">
        <v>101</v>
      </c>
      <c r="J29" s="655"/>
      <c r="K29" s="105" t="s">
        <v>43</v>
      </c>
      <c r="L29" s="241">
        <f t="shared" ref="L29:V29" si="22">L30+L31</f>
        <v>0</v>
      </c>
      <c r="M29" s="241">
        <f t="shared" si="22"/>
        <v>0</v>
      </c>
      <c r="N29" s="241">
        <f t="shared" si="22"/>
        <v>0</v>
      </c>
      <c r="O29" s="358">
        <f t="shared" si="22"/>
        <v>0</v>
      </c>
      <c r="P29" s="241">
        <f t="shared" si="22"/>
        <v>0</v>
      </c>
      <c r="Q29" s="241">
        <f t="shared" si="22"/>
        <v>33125</v>
      </c>
      <c r="R29" s="241">
        <f>R30+R31</f>
        <v>0</v>
      </c>
      <c r="S29" s="358">
        <f t="shared" si="22"/>
        <v>445775</v>
      </c>
      <c r="T29" s="241">
        <f t="shared" si="22"/>
        <v>472350</v>
      </c>
      <c r="U29" s="241">
        <f t="shared" si="22"/>
        <v>164650</v>
      </c>
      <c r="V29" s="241">
        <f t="shared" si="22"/>
        <v>693175</v>
      </c>
      <c r="W29" s="71">
        <f>W30+W31</f>
        <v>645800</v>
      </c>
      <c r="X29" s="70">
        <f>SUM(L29:W29)</f>
        <v>2454875</v>
      </c>
      <c r="Y29" s="58"/>
      <c r="Z29" s="52"/>
    </row>
    <row r="30" spans="1:26">
      <c r="A30" s="53">
        <f t="shared" ref="A30:B30" si="23">+A29</f>
        <v>0</v>
      </c>
      <c r="B30" s="54">
        <f t="shared" si="23"/>
        <v>0</v>
      </c>
      <c r="C30" s="657"/>
      <c r="D30" s="644"/>
      <c r="E30" s="644"/>
      <c r="F30" s="644"/>
      <c r="G30" s="644"/>
      <c r="H30" s="653"/>
      <c r="I30" s="653"/>
      <c r="J30" s="655"/>
      <c r="K30" s="458" t="s">
        <v>106</v>
      </c>
      <c r="L30" s="240"/>
      <c r="M30" s="240"/>
      <c r="N30" s="240"/>
      <c r="O30" s="360"/>
      <c r="P30" s="240"/>
      <c r="Q30" s="240">
        <v>33125</v>
      </c>
      <c r="R30" s="240">
        <v>0</v>
      </c>
      <c r="S30" s="360">
        <v>255300</v>
      </c>
      <c r="T30" s="240">
        <v>170300</v>
      </c>
      <c r="U30" s="240">
        <v>164650</v>
      </c>
      <c r="V30" s="240">
        <v>315875</v>
      </c>
      <c r="W30" s="113">
        <v>557900</v>
      </c>
      <c r="X30" s="57">
        <f>SUM(L30:W30)</f>
        <v>1497150</v>
      </c>
      <c r="Y30" s="58"/>
      <c r="Z30" s="52"/>
    </row>
    <row r="31" spans="1:26">
      <c r="A31" s="53">
        <f t="shared" ref="A31:B31" si="24">+A30</f>
        <v>0</v>
      </c>
      <c r="B31" s="54">
        <f t="shared" si="24"/>
        <v>0</v>
      </c>
      <c r="C31" s="657"/>
      <c r="D31" s="644"/>
      <c r="E31" s="644"/>
      <c r="F31" s="644"/>
      <c r="G31" s="644"/>
      <c r="H31" s="653"/>
      <c r="I31" s="653"/>
      <c r="J31" s="655"/>
      <c r="K31" s="458" t="s">
        <v>105</v>
      </c>
      <c r="L31" s="247"/>
      <c r="M31" s="247"/>
      <c r="N31" s="247"/>
      <c r="O31" s="355"/>
      <c r="P31" s="247"/>
      <c r="Q31" s="247"/>
      <c r="R31" s="247"/>
      <c r="S31" s="355">
        <v>190475</v>
      </c>
      <c r="T31" s="247">
        <v>302050</v>
      </c>
      <c r="U31" s="247"/>
      <c r="V31" s="247">
        <v>377300</v>
      </c>
      <c r="W31" s="60">
        <v>87900</v>
      </c>
      <c r="X31" s="57">
        <f>SUM(L31:W31)</f>
        <v>957725</v>
      </c>
      <c r="Y31" s="58"/>
      <c r="Z31" s="52"/>
    </row>
    <row r="32" spans="1:26">
      <c r="A32" s="53">
        <f t="shared" ref="A32:B32" si="25">+A31</f>
        <v>0</v>
      </c>
      <c r="B32" s="54">
        <f t="shared" si="25"/>
        <v>0</v>
      </c>
      <c r="C32" s="657"/>
      <c r="D32" s="644"/>
      <c r="E32" s="644"/>
      <c r="F32" s="644"/>
      <c r="G32" s="644"/>
      <c r="H32" s="653"/>
      <c r="I32" s="653"/>
      <c r="J32" s="655"/>
      <c r="K32" s="107" t="s">
        <v>24</v>
      </c>
      <c r="L32" s="248">
        <f t="shared" ref="L32:V32" si="26">SUM(L33:L39)</f>
        <v>0</v>
      </c>
      <c r="M32" s="248">
        <f t="shared" si="26"/>
        <v>0</v>
      </c>
      <c r="N32" s="248">
        <f t="shared" si="26"/>
        <v>0</v>
      </c>
      <c r="O32" s="356">
        <f t="shared" si="26"/>
        <v>0</v>
      </c>
      <c r="P32" s="248">
        <f t="shared" si="26"/>
        <v>0</v>
      </c>
      <c r="Q32" s="248">
        <f t="shared" si="26"/>
        <v>0</v>
      </c>
      <c r="R32" s="248">
        <f>SUM(R33:R39)</f>
        <v>0</v>
      </c>
      <c r="S32" s="356">
        <f t="shared" si="26"/>
        <v>0</v>
      </c>
      <c r="T32" s="248">
        <f t="shared" si="26"/>
        <v>0</v>
      </c>
      <c r="U32" s="248">
        <f t="shared" si="26"/>
        <v>0</v>
      </c>
      <c r="V32" s="248">
        <f t="shared" si="26"/>
        <v>0</v>
      </c>
      <c r="W32" s="62">
        <f>SUM(W33:W39)</f>
        <v>0</v>
      </c>
      <c r="X32" s="63">
        <f>SUM(L32:W32)</f>
        <v>0</v>
      </c>
      <c r="Y32" s="58"/>
      <c r="Z32" s="52"/>
    </row>
    <row r="33" spans="1:26">
      <c r="A33" s="53">
        <f t="shared" ref="A33:B33" si="27">+A32</f>
        <v>0</v>
      </c>
      <c r="B33" s="54">
        <f t="shared" si="27"/>
        <v>0</v>
      </c>
      <c r="C33" s="657"/>
      <c r="D33" s="644"/>
      <c r="E33" s="644"/>
      <c r="F33" s="644"/>
      <c r="G33" s="644"/>
      <c r="H33" s="653"/>
      <c r="I33" s="653"/>
      <c r="J33" s="655"/>
      <c r="K33" s="99" t="s">
        <v>25</v>
      </c>
      <c r="L33" s="240"/>
      <c r="M33" s="240"/>
      <c r="N33" s="240"/>
      <c r="O33" s="361"/>
      <c r="P33" s="240"/>
      <c r="Q33" s="240"/>
      <c r="R33" s="240"/>
      <c r="S33" s="361"/>
      <c r="T33" s="240"/>
      <c r="U33" s="240"/>
      <c r="V33" s="240"/>
      <c r="W33" s="114"/>
      <c r="X33" s="57">
        <f t="shared" ref="X33:X39" si="28">SUM(L33:W33)</f>
        <v>0</v>
      </c>
      <c r="Y33" s="58"/>
      <c r="Z33" s="52"/>
    </row>
    <row r="34" spans="1:26" ht="12" customHeight="1">
      <c r="A34" s="53">
        <f t="shared" ref="A34:B34" si="29">+A33</f>
        <v>0</v>
      </c>
      <c r="B34" s="54">
        <f t="shared" si="29"/>
        <v>0</v>
      </c>
      <c r="C34" s="657"/>
      <c r="D34" s="644"/>
      <c r="E34" s="644"/>
      <c r="F34" s="644"/>
      <c r="G34" s="644"/>
      <c r="H34" s="653"/>
      <c r="I34" s="653"/>
      <c r="J34" s="655"/>
      <c r="K34" s="99" t="s">
        <v>30</v>
      </c>
      <c r="L34" s="240"/>
      <c r="M34" s="240"/>
      <c r="N34" s="240"/>
      <c r="O34" s="361"/>
      <c r="P34" s="240"/>
      <c r="Q34" s="240"/>
      <c r="R34" s="240"/>
      <c r="S34" s="361"/>
      <c r="T34" s="240"/>
      <c r="U34" s="240"/>
      <c r="V34" s="240"/>
      <c r="W34" s="114"/>
      <c r="X34" s="57">
        <f t="shared" si="28"/>
        <v>0</v>
      </c>
      <c r="Y34" s="58"/>
      <c r="Z34" s="52"/>
    </row>
    <row r="35" spans="1:26">
      <c r="A35" s="53">
        <f t="shared" ref="A35:B35" si="30">+A34</f>
        <v>0</v>
      </c>
      <c r="B35" s="54">
        <f t="shared" si="30"/>
        <v>0</v>
      </c>
      <c r="C35" s="657"/>
      <c r="D35" s="644"/>
      <c r="E35" s="644"/>
      <c r="F35" s="644"/>
      <c r="G35" s="644"/>
      <c r="H35" s="653"/>
      <c r="I35" s="653"/>
      <c r="J35" s="655"/>
      <c r="K35" s="99" t="s">
        <v>36</v>
      </c>
      <c r="L35" s="240"/>
      <c r="M35" s="240"/>
      <c r="N35" s="240"/>
      <c r="O35" s="361"/>
      <c r="P35" s="240"/>
      <c r="Q35" s="240"/>
      <c r="R35" s="240"/>
      <c r="S35" s="361"/>
      <c r="T35" s="240"/>
      <c r="U35" s="240"/>
      <c r="V35" s="240"/>
      <c r="W35" s="114"/>
      <c r="X35" s="57">
        <f t="shared" si="28"/>
        <v>0</v>
      </c>
      <c r="Y35" s="58"/>
      <c r="Z35" s="52"/>
    </row>
    <row r="36" spans="1:26">
      <c r="A36" s="53">
        <f t="shared" ref="A36:B36" si="31">+A35</f>
        <v>0</v>
      </c>
      <c r="B36" s="54">
        <f t="shared" si="31"/>
        <v>0</v>
      </c>
      <c r="C36" s="657"/>
      <c r="D36" s="644"/>
      <c r="E36" s="644"/>
      <c r="F36" s="644"/>
      <c r="G36" s="644"/>
      <c r="H36" s="653"/>
      <c r="I36" s="653"/>
      <c r="J36" s="655"/>
      <c r="K36" s="99" t="s">
        <v>26</v>
      </c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65"/>
      <c r="X36" s="57">
        <f t="shared" si="28"/>
        <v>0</v>
      </c>
      <c r="Y36" s="58"/>
      <c r="Z36" s="52"/>
    </row>
    <row r="37" spans="1:26">
      <c r="A37" s="53">
        <f t="shared" ref="A37:B37" si="32">+A36</f>
        <v>0</v>
      </c>
      <c r="B37" s="54">
        <f t="shared" si="32"/>
        <v>0</v>
      </c>
      <c r="C37" s="657"/>
      <c r="D37" s="644"/>
      <c r="E37" s="644"/>
      <c r="F37" s="644"/>
      <c r="G37" s="644"/>
      <c r="H37" s="653"/>
      <c r="I37" s="653"/>
      <c r="J37" s="655"/>
      <c r="K37" s="99" t="s">
        <v>27</v>
      </c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65"/>
      <c r="X37" s="57">
        <f t="shared" si="28"/>
        <v>0</v>
      </c>
      <c r="Y37" s="58"/>
      <c r="Z37" s="52"/>
    </row>
    <row r="38" spans="1:26">
      <c r="A38" s="53">
        <f t="shared" ref="A38:B38" si="33">+A37</f>
        <v>0</v>
      </c>
      <c r="B38" s="54">
        <f t="shared" si="33"/>
        <v>0</v>
      </c>
      <c r="C38" s="657"/>
      <c r="D38" s="644"/>
      <c r="E38" s="644"/>
      <c r="F38" s="644"/>
      <c r="G38" s="644"/>
      <c r="H38" s="653"/>
      <c r="I38" s="653"/>
      <c r="J38" s="655"/>
      <c r="K38" s="99" t="s">
        <v>28</v>
      </c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65"/>
      <c r="X38" s="57">
        <f t="shared" si="28"/>
        <v>0</v>
      </c>
      <c r="Y38" s="58"/>
      <c r="Z38" s="52"/>
    </row>
    <row r="39" spans="1:26">
      <c r="A39" s="53">
        <f t="shared" ref="A39:B39" si="34">+A38</f>
        <v>0</v>
      </c>
      <c r="B39" s="54">
        <f t="shared" si="34"/>
        <v>0</v>
      </c>
      <c r="C39" s="657"/>
      <c r="D39" s="644"/>
      <c r="E39" s="644"/>
      <c r="F39" s="644"/>
      <c r="G39" s="644"/>
      <c r="H39" s="653"/>
      <c r="I39" s="653"/>
      <c r="J39" s="655"/>
      <c r="K39" s="99" t="s">
        <v>29</v>
      </c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112"/>
      <c r="X39" s="57">
        <f t="shared" si="28"/>
        <v>0</v>
      </c>
      <c r="Y39" s="58"/>
      <c r="Z39" s="52"/>
    </row>
    <row r="40" spans="1:26">
      <c r="A40" s="53">
        <f t="shared" ref="A40:B40" si="35">+A39</f>
        <v>0</v>
      </c>
      <c r="B40" s="54">
        <f t="shared" si="35"/>
        <v>0</v>
      </c>
      <c r="C40" s="686"/>
      <c r="D40" s="645"/>
      <c r="E40" s="645"/>
      <c r="F40" s="645"/>
      <c r="G40" s="645"/>
      <c r="H40" s="669"/>
      <c r="I40" s="669"/>
      <c r="J40" s="687"/>
      <c r="K40" s="108" t="s">
        <v>45</v>
      </c>
      <c r="L40" s="251">
        <f t="shared" ref="L40:V40" si="36">L29-L32</f>
        <v>0</v>
      </c>
      <c r="M40" s="251">
        <f t="shared" si="36"/>
        <v>0</v>
      </c>
      <c r="N40" s="251">
        <f t="shared" si="36"/>
        <v>0</v>
      </c>
      <c r="O40" s="359">
        <f t="shared" si="36"/>
        <v>0</v>
      </c>
      <c r="P40" s="251">
        <f t="shared" si="36"/>
        <v>0</v>
      </c>
      <c r="Q40" s="251">
        <f t="shared" si="36"/>
        <v>33125</v>
      </c>
      <c r="R40" s="251">
        <f>R29-R32</f>
        <v>0</v>
      </c>
      <c r="S40" s="359">
        <f t="shared" si="36"/>
        <v>445775</v>
      </c>
      <c r="T40" s="251">
        <f t="shared" si="36"/>
        <v>472350</v>
      </c>
      <c r="U40" s="251">
        <f t="shared" si="36"/>
        <v>164650</v>
      </c>
      <c r="V40" s="251">
        <f t="shared" si="36"/>
        <v>693175</v>
      </c>
      <c r="W40" s="67">
        <f>W29-W32</f>
        <v>645800</v>
      </c>
      <c r="X40" s="68">
        <f>X29-X32</f>
        <v>2454875</v>
      </c>
      <c r="Y40" s="58"/>
      <c r="Z40" s="52"/>
    </row>
    <row r="41" spans="1:26" ht="12.75" customHeight="1">
      <c r="A41" s="29"/>
      <c r="C41" s="656">
        <f>C29+1</f>
        <v>4</v>
      </c>
      <c r="D41" s="643" t="s">
        <v>99</v>
      </c>
      <c r="E41" s="643"/>
      <c r="F41" s="643"/>
      <c r="G41" s="643"/>
      <c r="H41" s="652" t="s">
        <v>115</v>
      </c>
      <c r="I41" s="652" t="s">
        <v>101</v>
      </c>
      <c r="J41" s="654"/>
      <c r="K41" s="388" t="s">
        <v>43</v>
      </c>
      <c r="L41" s="235">
        <f t="shared" ref="L41:Q41" si="37">L42+L43</f>
        <v>0</v>
      </c>
      <c r="M41" s="239">
        <f t="shared" si="37"/>
        <v>0</v>
      </c>
      <c r="N41" s="239">
        <f t="shared" si="37"/>
        <v>0</v>
      </c>
      <c r="O41" s="239">
        <f t="shared" si="37"/>
        <v>0</v>
      </c>
      <c r="P41" s="353">
        <f t="shared" si="37"/>
        <v>0</v>
      </c>
      <c r="Q41" s="353">
        <f t="shared" si="37"/>
        <v>0</v>
      </c>
      <c r="R41" s="353">
        <f t="shared" ref="R41:W41" si="38">R42+R43</f>
        <v>325500</v>
      </c>
      <c r="S41" s="353">
        <f t="shared" si="38"/>
        <v>0</v>
      </c>
      <c r="T41" s="353">
        <f t="shared" si="38"/>
        <v>0</v>
      </c>
      <c r="U41" s="353">
        <f t="shared" si="38"/>
        <v>0</v>
      </c>
      <c r="V41" s="353">
        <f t="shared" si="38"/>
        <v>0</v>
      </c>
      <c r="W41" s="437">
        <f t="shared" si="38"/>
        <v>247500</v>
      </c>
      <c r="X41" s="438">
        <f>SUM(L41:W41)</f>
        <v>573000</v>
      </c>
      <c r="Z41" s="52"/>
    </row>
    <row r="42" spans="1:26">
      <c r="A42" s="53">
        <f t="shared" ref="A42:B42" si="39">+A41</f>
        <v>0</v>
      </c>
      <c r="B42" s="54">
        <f t="shared" si="39"/>
        <v>0</v>
      </c>
      <c r="C42" s="657"/>
      <c r="D42" s="644"/>
      <c r="E42" s="644"/>
      <c r="F42" s="644"/>
      <c r="G42" s="644"/>
      <c r="H42" s="653"/>
      <c r="I42" s="653"/>
      <c r="J42" s="655"/>
      <c r="K42" s="106" t="s">
        <v>44</v>
      </c>
      <c r="L42" s="229"/>
      <c r="M42" s="240"/>
      <c r="N42" s="240"/>
      <c r="O42" s="240"/>
      <c r="P42" s="240"/>
      <c r="Q42" s="240"/>
      <c r="R42" s="240">
        <v>325500</v>
      </c>
      <c r="S42" s="240"/>
      <c r="T42" s="240"/>
      <c r="U42" s="240"/>
      <c r="V42" s="240"/>
      <c r="W42" s="113">
        <v>247500</v>
      </c>
      <c r="X42" s="57">
        <f>SUM(L42:W42)</f>
        <v>573000</v>
      </c>
      <c r="Z42" s="52"/>
    </row>
    <row r="43" spans="1:26">
      <c r="A43" s="53">
        <f t="shared" ref="A43:B43" si="40">+A42</f>
        <v>0</v>
      </c>
      <c r="B43" s="54">
        <f t="shared" si="40"/>
        <v>0</v>
      </c>
      <c r="C43" s="657"/>
      <c r="D43" s="644"/>
      <c r="E43" s="644"/>
      <c r="F43" s="644"/>
      <c r="G43" s="644"/>
      <c r="H43" s="653"/>
      <c r="I43" s="653"/>
      <c r="J43" s="655"/>
      <c r="K43" s="106" t="s">
        <v>38</v>
      </c>
      <c r="L43" s="229"/>
      <c r="M43" s="240"/>
      <c r="N43" s="240"/>
      <c r="O43" s="247"/>
      <c r="P43" s="247"/>
      <c r="Q43" s="247"/>
      <c r="R43" s="247"/>
      <c r="S43" s="247"/>
      <c r="T43" s="247"/>
      <c r="U43" s="247"/>
      <c r="V43" s="247"/>
      <c r="W43" s="60"/>
      <c r="X43" s="57">
        <v>0</v>
      </c>
      <c r="Z43" s="52"/>
    </row>
    <row r="44" spans="1:26">
      <c r="A44" s="53">
        <f t="shared" ref="A44:B44" si="41">+A43</f>
        <v>0</v>
      </c>
      <c r="B44" s="54">
        <f t="shared" si="41"/>
        <v>0</v>
      </c>
      <c r="C44" s="657"/>
      <c r="D44" s="644"/>
      <c r="E44" s="644"/>
      <c r="F44" s="644"/>
      <c r="G44" s="644"/>
      <c r="H44" s="653"/>
      <c r="I44" s="653"/>
      <c r="J44" s="655"/>
      <c r="K44" s="107" t="s">
        <v>24</v>
      </c>
      <c r="L44" s="252">
        <f t="shared" ref="L44:Q44" si="42">SUM(L45:L51)</f>
        <v>0</v>
      </c>
      <c r="M44" s="296">
        <f t="shared" si="42"/>
        <v>0</v>
      </c>
      <c r="N44" s="296">
        <f t="shared" si="42"/>
        <v>0</v>
      </c>
      <c r="O44" s="248">
        <f t="shared" si="42"/>
        <v>0</v>
      </c>
      <c r="P44" s="248">
        <f t="shared" si="42"/>
        <v>0</v>
      </c>
      <c r="Q44" s="248">
        <f t="shared" si="42"/>
        <v>0</v>
      </c>
      <c r="R44" s="248">
        <f t="shared" ref="R44:W44" si="43">SUM(R45:R51)</f>
        <v>0</v>
      </c>
      <c r="S44" s="248">
        <f t="shared" si="43"/>
        <v>0</v>
      </c>
      <c r="T44" s="248">
        <f t="shared" si="43"/>
        <v>0</v>
      </c>
      <c r="U44" s="248">
        <f t="shared" si="43"/>
        <v>0</v>
      </c>
      <c r="V44" s="248">
        <f t="shared" si="43"/>
        <v>0</v>
      </c>
      <c r="W44" s="62">
        <f t="shared" si="43"/>
        <v>0</v>
      </c>
      <c r="X44" s="63">
        <f>SUM(L44:W44)</f>
        <v>0</v>
      </c>
      <c r="Z44" s="52"/>
    </row>
    <row r="45" spans="1:26">
      <c r="A45" s="53">
        <f t="shared" ref="A45:B45" si="44">+A44</f>
        <v>0</v>
      </c>
      <c r="B45" s="54">
        <f t="shared" si="44"/>
        <v>0</v>
      </c>
      <c r="C45" s="657"/>
      <c r="D45" s="644"/>
      <c r="E45" s="644"/>
      <c r="F45" s="644"/>
      <c r="G45" s="644"/>
      <c r="H45" s="653"/>
      <c r="I45" s="653"/>
      <c r="J45" s="655"/>
      <c r="K45" s="99" t="s">
        <v>25</v>
      </c>
      <c r="L45" s="229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113"/>
      <c r="X45" s="57">
        <f t="shared" ref="X45:X51" si="45">SUM(L45:W45)</f>
        <v>0</v>
      </c>
      <c r="Z45" s="52"/>
    </row>
    <row r="46" spans="1:26" ht="12" customHeight="1">
      <c r="A46" s="53">
        <f t="shared" ref="A46:B46" si="46">+A45</f>
        <v>0</v>
      </c>
      <c r="B46" s="54">
        <f t="shared" si="46"/>
        <v>0</v>
      </c>
      <c r="C46" s="657"/>
      <c r="D46" s="644"/>
      <c r="E46" s="644"/>
      <c r="F46" s="644"/>
      <c r="G46" s="644"/>
      <c r="H46" s="653"/>
      <c r="I46" s="653"/>
      <c r="J46" s="655"/>
      <c r="K46" s="99" t="s">
        <v>30</v>
      </c>
      <c r="L46" s="229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113"/>
      <c r="X46" s="57">
        <f t="shared" si="45"/>
        <v>0</v>
      </c>
      <c r="Z46" s="52"/>
    </row>
    <row r="47" spans="1:26">
      <c r="A47" s="53">
        <f t="shared" ref="A47:B47" si="47">+A46</f>
        <v>0</v>
      </c>
      <c r="B47" s="54">
        <f t="shared" si="47"/>
        <v>0</v>
      </c>
      <c r="C47" s="657"/>
      <c r="D47" s="644"/>
      <c r="E47" s="644"/>
      <c r="F47" s="644"/>
      <c r="G47" s="644"/>
      <c r="H47" s="653"/>
      <c r="I47" s="653"/>
      <c r="J47" s="655"/>
      <c r="K47" s="99" t="s">
        <v>36</v>
      </c>
      <c r="L47" s="229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113"/>
      <c r="X47" s="57">
        <f t="shared" si="45"/>
        <v>0</v>
      </c>
      <c r="Z47" s="52"/>
    </row>
    <row r="48" spans="1:26">
      <c r="A48" s="53">
        <f t="shared" ref="A48:B48" si="48">+A47</f>
        <v>0</v>
      </c>
      <c r="B48" s="54">
        <f t="shared" si="48"/>
        <v>0</v>
      </c>
      <c r="C48" s="657"/>
      <c r="D48" s="644"/>
      <c r="E48" s="644"/>
      <c r="F48" s="644"/>
      <c r="G48" s="644"/>
      <c r="H48" s="653"/>
      <c r="I48" s="653"/>
      <c r="J48" s="655"/>
      <c r="K48" s="99" t="s">
        <v>26</v>
      </c>
      <c r="L48" s="253"/>
      <c r="M48" s="221"/>
      <c r="N48" s="221"/>
      <c r="O48" s="221"/>
      <c r="P48" s="240"/>
      <c r="Q48" s="240"/>
      <c r="R48" s="240"/>
      <c r="S48" s="240"/>
      <c r="T48" s="240"/>
      <c r="U48" s="240"/>
      <c r="V48" s="240"/>
      <c r="W48" s="113"/>
      <c r="X48" s="57">
        <f t="shared" si="45"/>
        <v>0</v>
      </c>
      <c r="Y48" s="58"/>
      <c r="Z48" s="52"/>
    </row>
    <row r="49" spans="1:26">
      <c r="A49" s="53">
        <f t="shared" ref="A49:B49" si="49">+A48</f>
        <v>0</v>
      </c>
      <c r="B49" s="54">
        <f t="shared" si="49"/>
        <v>0</v>
      </c>
      <c r="C49" s="657"/>
      <c r="D49" s="644"/>
      <c r="E49" s="644"/>
      <c r="F49" s="644"/>
      <c r="G49" s="644"/>
      <c r="H49" s="653"/>
      <c r="I49" s="653"/>
      <c r="J49" s="655"/>
      <c r="K49" s="99" t="s">
        <v>27</v>
      </c>
      <c r="L49" s="253"/>
      <c r="M49" s="221"/>
      <c r="N49" s="221"/>
      <c r="O49" s="221"/>
      <c r="P49" s="240"/>
      <c r="Q49" s="240"/>
      <c r="R49" s="240"/>
      <c r="S49" s="240"/>
      <c r="T49" s="240"/>
      <c r="U49" s="240"/>
      <c r="V49" s="240"/>
      <c r="W49" s="113"/>
      <c r="X49" s="57">
        <f t="shared" si="45"/>
        <v>0</v>
      </c>
      <c r="Y49" s="58"/>
      <c r="Z49" s="52"/>
    </row>
    <row r="50" spans="1:26">
      <c r="A50" s="53">
        <f t="shared" ref="A50:B50" si="50">+A49</f>
        <v>0</v>
      </c>
      <c r="B50" s="54">
        <f t="shared" si="50"/>
        <v>0</v>
      </c>
      <c r="C50" s="657"/>
      <c r="D50" s="644"/>
      <c r="E50" s="644"/>
      <c r="F50" s="644"/>
      <c r="G50" s="644"/>
      <c r="H50" s="653"/>
      <c r="I50" s="653"/>
      <c r="J50" s="655"/>
      <c r="K50" s="99" t="s">
        <v>28</v>
      </c>
      <c r="L50" s="253"/>
      <c r="M50" s="221"/>
      <c r="N50" s="221"/>
      <c r="O50" s="221"/>
      <c r="P50" s="240"/>
      <c r="Q50" s="240"/>
      <c r="R50" s="240"/>
      <c r="S50" s="240"/>
      <c r="T50" s="240"/>
      <c r="U50" s="240"/>
      <c r="V50" s="240"/>
      <c r="W50" s="113"/>
      <c r="X50" s="57">
        <f t="shared" si="45"/>
        <v>0</v>
      </c>
      <c r="Y50" s="58"/>
      <c r="Z50" s="52"/>
    </row>
    <row r="51" spans="1:26">
      <c r="A51" s="53">
        <f t="shared" ref="A51:B51" si="51">+A50</f>
        <v>0</v>
      </c>
      <c r="B51" s="54">
        <f t="shared" si="51"/>
        <v>0</v>
      </c>
      <c r="C51" s="657"/>
      <c r="D51" s="644"/>
      <c r="E51" s="644"/>
      <c r="F51" s="644"/>
      <c r="G51" s="644"/>
      <c r="H51" s="653"/>
      <c r="I51" s="653"/>
      <c r="J51" s="655"/>
      <c r="K51" s="99" t="s">
        <v>29</v>
      </c>
      <c r="L51" s="254"/>
      <c r="M51" s="249"/>
      <c r="N51" s="249"/>
      <c r="O51" s="249"/>
      <c r="P51" s="240"/>
      <c r="Q51" s="240"/>
      <c r="R51" s="240"/>
      <c r="S51" s="240"/>
      <c r="T51" s="240"/>
      <c r="U51" s="240"/>
      <c r="V51" s="240"/>
      <c r="W51" s="113"/>
      <c r="X51" s="57">
        <f t="shared" si="45"/>
        <v>0</v>
      </c>
      <c r="Z51" s="52"/>
    </row>
    <row r="52" spans="1:26">
      <c r="A52" s="53">
        <f t="shared" ref="A52:B52" si="52">+A51</f>
        <v>0</v>
      </c>
      <c r="B52" s="54">
        <f t="shared" si="52"/>
        <v>0</v>
      </c>
      <c r="C52" s="686"/>
      <c r="D52" s="645"/>
      <c r="E52" s="645"/>
      <c r="F52" s="645"/>
      <c r="G52" s="645"/>
      <c r="H52" s="669"/>
      <c r="I52" s="669"/>
      <c r="J52" s="687"/>
      <c r="K52" s="108" t="s">
        <v>45</v>
      </c>
      <c r="L52" s="488">
        <f t="shared" ref="L52:Q52" si="53">L41-L44</f>
        <v>0</v>
      </c>
      <c r="M52" s="489">
        <f t="shared" si="53"/>
        <v>0</v>
      </c>
      <c r="N52" s="489">
        <f t="shared" si="53"/>
        <v>0</v>
      </c>
      <c r="O52" s="251">
        <f t="shared" si="53"/>
        <v>0</v>
      </c>
      <c r="P52" s="251">
        <f t="shared" si="53"/>
        <v>0</v>
      </c>
      <c r="Q52" s="251">
        <f t="shared" si="53"/>
        <v>0</v>
      </c>
      <c r="R52" s="251">
        <f t="shared" ref="R52:X52" si="54">R41-R44</f>
        <v>325500</v>
      </c>
      <c r="S52" s="251">
        <f t="shared" si="54"/>
        <v>0</v>
      </c>
      <c r="T52" s="251">
        <f t="shared" si="54"/>
        <v>0</v>
      </c>
      <c r="U52" s="251">
        <f t="shared" si="54"/>
        <v>0</v>
      </c>
      <c r="V52" s="251">
        <f t="shared" si="54"/>
        <v>0</v>
      </c>
      <c r="W52" s="67">
        <f t="shared" si="54"/>
        <v>247500</v>
      </c>
      <c r="X52" s="68">
        <f t="shared" si="54"/>
        <v>573000</v>
      </c>
      <c r="Z52" s="52"/>
    </row>
    <row r="53" spans="1:26" s="1" customFormat="1" ht="12" customHeight="1">
      <c r="A53" s="28"/>
      <c r="B53" s="25"/>
      <c r="C53" s="657">
        <f>C41+1</f>
        <v>5</v>
      </c>
      <c r="D53" s="644" t="s">
        <v>99</v>
      </c>
      <c r="E53" s="644"/>
      <c r="F53" s="644"/>
      <c r="G53" s="644"/>
      <c r="H53" s="653" t="s">
        <v>113</v>
      </c>
      <c r="I53" s="653" t="s">
        <v>101</v>
      </c>
      <c r="J53" s="655"/>
      <c r="K53" s="105" t="s">
        <v>43</v>
      </c>
      <c r="L53" s="486">
        <f t="shared" ref="L53:W53" si="55">L54+L55</f>
        <v>0</v>
      </c>
      <c r="M53" s="487">
        <f t="shared" si="55"/>
        <v>0</v>
      </c>
      <c r="N53" s="487">
        <f t="shared" si="55"/>
        <v>0</v>
      </c>
      <c r="O53" s="487">
        <f t="shared" si="55"/>
        <v>0</v>
      </c>
      <c r="P53" s="241">
        <f t="shared" si="55"/>
        <v>0</v>
      </c>
      <c r="Q53" s="241">
        <f t="shared" si="55"/>
        <v>0</v>
      </c>
      <c r="R53" s="241">
        <f t="shared" si="55"/>
        <v>0</v>
      </c>
      <c r="S53" s="241">
        <f t="shared" si="55"/>
        <v>0</v>
      </c>
      <c r="T53" s="241">
        <f t="shared" si="55"/>
        <v>0</v>
      </c>
      <c r="U53" s="241">
        <f t="shared" si="55"/>
        <v>0</v>
      </c>
      <c r="V53" s="241">
        <f t="shared" si="55"/>
        <v>0</v>
      </c>
      <c r="W53" s="71">
        <f t="shared" si="55"/>
        <v>105280</v>
      </c>
      <c r="X53" s="70">
        <f>SUM(L53:W53)</f>
        <v>105280</v>
      </c>
      <c r="Z53" s="52"/>
    </row>
    <row r="54" spans="1:26" s="1" customFormat="1">
      <c r="A54" s="28"/>
      <c r="B54" s="25"/>
      <c r="C54" s="657"/>
      <c r="D54" s="644"/>
      <c r="E54" s="644"/>
      <c r="F54" s="644"/>
      <c r="G54" s="644"/>
      <c r="H54" s="653"/>
      <c r="I54" s="653"/>
      <c r="J54" s="655"/>
      <c r="K54" s="106" t="s">
        <v>44</v>
      </c>
      <c r="L54" s="229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113">
        <v>105280</v>
      </c>
      <c r="X54" s="57">
        <f>SUM(L54:W54)</f>
        <v>105280</v>
      </c>
      <c r="Z54" s="52"/>
    </row>
    <row r="55" spans="1:26" s="1" customFormat="1">
      <c r="A55" s="28"/>
      <c r="B55" s="25"/>
      <c r="C55" s="657"/>
      <c r="D55" s="644"/>
      <c r="E55" s="644"/>
      <c r="F55" s="644"/>
      <c r="G55" s="644"/>
      <c r="H55" s="653"/>
      <c r="I55" s="653"/>
      <c r="J55" s="655"/>
      <c r="K55" s="106" t="s">
        <v>38</v>
      </c>
      <c r="L55" s="229"/>
      <c r="M55" s="240"/>
      <c r="N55" s="240"/>
      <c r="O55" s="247"/>
      <c r="P55" s="247"/>
      <c r="Q55" s="247"/>
      <c r="R55" s="247"/>
      <c r="S55" s="247"/>
      <c r="T55" s="247"/>
      <c r="U55" s="247"/>
      <c r="V55" s="247"/>
      <c r="W55" s="60"/>
      <c r="X55" s="57">
        <v>0</v>
      </c>
      <c r="Z55" s="52"/>
    </row>
    <row r="56" spans="1:26" s="17" customFormat="1" ht="14.9" customHeight="1">
      <c r="A56" s="28"/>
      <c r="B56" s="25"/>
      <c r="C56" s="657"/>
      <c r="D56" s="644"/>
      <c r="E56" s="644"/>
      <c r="F56" s="644"/>
      <c r="G56" s="644"/>
      <c r="H56" s="653"/>
      <c r="I56" s="653"/>
      <c r="J56" s="655"/>
      <c r="K56" s="107" t="s">
        <v>24</v>
      </c>
      <c r="L56" s="252">
        <f t="shared" ref="L56:W56" si="56">SUM(L57:L63)</f>
        <v>0</v>
      </c>
      <c r="M56" s="296">
        <f t="shared" si="56"/>
        <v>0</v>
      </c>
      <c r="N56" s="296">
        <f t="shared" si="56"/>
        <v>0</v>
      </c>
      <c r="O56" s="248">
        <f t="shared" si="56"/>
        <v>0</v>
      </c>
      <c r="P56" s="248">
        <f t="shared" si="56"/>
        <v>0</v>
      </c>
      <c r="Q56" s="248">
        <f t="shared" si="56"/>
        <v>0</v>
      </c>
      <c r="R56" s="248">
        <f t="shared" si="56"/>
        <v>0</v>
      </c>
      <c r="S56" s="248">
        <f t="shared" si="56"/>
        <v>0</v>
      </c>
      <c r="T56" s="248">
        <f t="shared" si="56"/>
        <v>0</v>
      </c>
      <c r="U56" s="248">
        <f t="shared" si="56"/>
        <v>0</v>
      </c>
      <c r="V56" s="248">
        <f t="shared" si="56"/>
        <v>0</v>
      </c>
      <c r="W56" s="62">
        <f t="shared" si="56"/>
        <v>0</v>
      </c>
      <c r="X56" s="63">
        <f>SUM(L56:W56)</f>
        <v>0</v>
      </c>
      <c r="Z56" s="52"/>
    </row>
    <row r="57" spans="1:26" s="17" customFormat="1" ht="14.9" customHeight="1">
      <c r="A57" s="28"/>
      <c r="B57" s="25"/>
      <c r="C57" s="657"/>
      <c r="D57" s="644"/>
      <c r="E57" s="644"/>
      <c r="F57" s="644"/>
      <c r="G57" s="644"/>
      <c r="H57" s="653"/>
      <c r="I57" s="653"/>
      <c r="J57" s="655"/>
      <c r="K57" s="99" t="s">
        <v>25</v>
      </c>
      <c r="L57" s="229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113"/>
      <c r="X57" s="57">
        <f t="shared" ref="X57:X63" si="57">SUM(L57:W57)</f>
        <v>0</v>
      </c>
    </row>
    <row r="58" spans="1:26">
      <c r="C58" s="657"/>
      <c r="D58" s="644"/>
      <c r="E58" s="644"/>
      <c r="F58" s="644"/>
      <c r="G58" s="644"/>
      <c r="H58" s="653"/>
      <c r="I58" s="653"/>
      <c r="J58" s="655"/>
      <c r="K58" s="99" t="s">
        <v>30</v>
      </c>
      <c r="L58" s="229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113"/>
      <c r="X58" s="57">
        <f t="shared" si="57"/>
        <v>0</v>
      </c>
    </row>
    <row r="59" spans="1:26">
      <c r="C59" s="657"/>
      <c r="D59" s="644"/>
      <c r="E59" s="644"/>
      <c r="F59" s="644"/>
      <c r="G59" s="644"/>
      <c r="H59" s="653"/>
      <c r="I59" s="653"/>
      <c r="J59" s="655"/>
      <c r="K59" s="99" t="s">
        <v>36</v>
      </c>
      <c r="L59" s="229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113"/>
      <c r="X59" s="57">
        <f t="shared" si="57"/>
        <v>0</v>
      </c>
    </row>
    <row r="60" spans="1:26">
      <c r="C60" s="657"/>
      <c r="D60" s="644"/>
      <c r="E60" s="644"/>
      <c r="F60" s="644"/>
      <c r="G60" s="644"/>
      <c r="H60" s="653"/>
      <c r="I60" s="653"/>
      <c r="J60" s="655"/>
      <c r="K60" s="99" t="s">
        <v>26</v>
      </c>
      <c r="L60" s="253"/>
      <c r="M60" s="221"/>
      <c r="N60" s="221"/>
      <c r="O60" s="221"/>
      <c r="P60" s="240"/>
      <c r="Q60" s="240"/>
      <c r="R60" s="240"/>
      <c r="S60" s="240"/>
      <c r="T60" s="240"/>
      <c r="U60" s="240"/>
      <c r="V60" s="240"/>
      <c r="W60" s="113"/>
      <c r="X60" s="57">
        <f t="shared" si="57"/>
        <v>0</v>
      </c>
    </row>
    <row r="61" spans="1:26">
      <c r="C61" s="657"/>
      <c r="D61" s="644"/>
      <c r="E61" s="644"/>
      <c r="F61" s="644"/>
      <c r="G61" s="644"/>
      <c r="H61" s="653"/>
      <c r="I61" s="653"/>
      <c r="J61" s="655"/>
      <c r="K61" s="99" t="s">
        <v>27</v>
      </c>
      <c r="L61" s="253"/>
      <c r="M61" s="221"/>
      <c r="N61" s="221"/>
      <c r="O61" s="221"/>
      <c r="P61" s="240"/>
      <c r="Q61" s="240"/>
      <c r="R61" s="240"/>
      <c r="S61" s="240"/>
      <c r="T61" s="240"/>
      <c r="U61" s="240"/>
      <c r="V61" s="240"/>
      <c r="W61" s="113"/>
      <c r="X61" s="57">
        <f t="shared" si="57"/>
        <v>0</v>
      </c>
    </row>
    <row r="62" spans="1:26">
      <c r="C62" s="657"/>
      <c r="D62" s="644"/>
      <c r="E62" s="644"/>
      <c r="F62" s="644"/>
      <c r="G62" s="644"/>
      <c r="H62" s="653"/>
      <c r="I62" s="653"/>
      <c r="J62" s="655"/>
      <c r="K62" s="99" t="s">
        <v>28</v>
      </c>
      <c r="L62" s="253"/>
      <c r="M62" s="221"/>
      <c r="N62" s="221"/>
      <c r="O62" s="221"/>
      <c r="P62" s="240"/>
      <c r="Q62" s="240"/>
      <c r="R62" s="240"/>
      <c r="S62" s="240"/>
      <c r="T62" s="240"/>
      <c r="U62" s="240"/>
      <c r="V62" s="240"/>
      <c r="W62" s="113"/>
      <c r="X62" s="57">
        <f t="shared" si="57"/>
        <v>0</v>
      </c>
    </row>
    <row r="63" spans="1:26">
      <c r="C63" s="657"/>
      <c r="D63" s="644"/>
      <c r="E63" s="644"/>
      <c r="F63" s="644"/>
      <c r="G63" s="644"/>
      <c r="H63" s="653"/>
      <c r="I63" s="653"/>
      <c r="J63" s="655"/>
      <c r="K63" s="99" t="s">
        <v>29</v>
      </c>
      <c r="L63" s="254"/>
      <c r="M63" s="249"/>
      <c r="N63" s="249"/>
      <c r="O63" s="249"/>
      <c r="P63" s="240"/>
      <c r="Q63" s="240"/>
      <c r="R63" s="240"/>
      <c r="S63" s="240"/>
      <c r="T63" s="240"/>
      <c r="U63" s="240"/>
      <c r="V63" s="240"/>
      <c r="W63" s="113"/>
      <c r="X63" s="57">
        <f t="shared" si="57"/>
        <v>0</v>
      </c>
    </row>
    <row r="64" spans="1:26" ht="12.5" thickBot="1">
      <c r="C64" s="695"/>
      <c r="D64" s="692"/>
      <c r="E64" s="692"/>
      <c r="F64" s="692"/>
      <c r="G64" s="692"/>
      <c r="H64" s="696"/>
      <c r="I64" s="696"/>
      <c r="J64" s="697"/>
      <c r="K64" s="439" t="s">
        <v>45</v>
      </c>
      <c r="L64" s="440">
        <f t="shared" ref="L64:X64" si="58">L53-L56</f>
        <v>0</v>
      </c>
      <c r="M64" s="441">
        <f t="shared" si="58"/>
        <v>0</v>
      </c>
      <c r="N64" s="441">
        <f t="shared" si="58"/>
        <v>0</v>
      </c>
      <c r="O64" s="289">
        <f t="shared" si="58"/>
        <v>0</v>
      </c>
      <c r="P64" s="289">
        <f t="shared" si="58"/>
        <v>0</v>
      </c>
      <c r="Q64" s="289">
        <f t="shared" si="58"/>
        <v>0</v>
      </c>
      <c r="R64" s="289">
        <f t="shared" si="58"/>
        <v>0</v>
      </c>
      <c r="S64" s="289">
        <f t="shared" si="58"/>
        <v>0</v>
      </c>
      <c r="T64" s="289">
        <f t="shared" si="58"/>
        <v>0</v>
      </c>
      <c r="U64" s="289">
        <f t="shared" si="58"/>
        <v>0</v>
      </c>
      <c r="V64" s="289">
        <f t="shared" si="58"/>
        <v>0</v>
      </c>
      <c r="W64" s="442">
        <f t="shared" si="58"/>
        <v>105280</v>
      </c>
      <c r="X64" s="443">
        <f t="shared" si="58"/>
        <v>105280</v>
      </c>
    </row>
    <row r="65" spans="3:24" ht="12.5" thickTop="1">
      <c r="C65" s="657">
        <f>C53+1</f>
        <v>6</v>
      </c>
      <c r="D65" s="644" t="s">
        <v>99</v>
      </c>
      <c r="E65" s="644"/>
      <c r="F65" s="644"/>
      <c r="G65" s="644"/>
      <c r="H65" s="653" t="s">
        <v>116</v>
      </c>
      <c r="I65" s="653" t="s">
        <v>117</v>
      </c>
      <c r="J65" s="655"/>
      <c r="K65" s="105" t="s">
        <v>43</v>
      </c>
      <c r="L65" s="486">
        <f t="shared" ref="L65:W65" si="59">L66+L67</f>
        <v>0</v>
      </c>
      <c r="M65" s="487">
        <f t="shared" si="59"/>
        <v>0</v>
      </c>
      <c r="N65" s="487">
        <f t="shared" si="59"/>
        <v>0</v>
      </c>
      <c r="O65" s="487">
        <f t="shared" si="59"/>
        <v>0</v>
      </c>
      <c r="P65" s="241">
        <f t="shared" si="59"/>
        <v>0</v>
      </c>
      <c r="Q65" s="241">
        <f t="shared" si="59"/>
        <v>0</v>
      </c>
      <c r="R65" s="241">
        <f t="shared" si="59"/>
        <v>0</v>
      </c>
      <c r="S65" s="241">
        <f t="shared" si="59"/>
        <v>0</v>
      </c>
      <c r="T65" s="241">
        <f t="shared" si="59"/>
        <v>0</v>
      </c>
      <c r="U65" s="241">
        <f t="shared" si="59"/>
        <v>0</v>
      </c>
      <c r="V65" s="241">
        <f t="shared" si="59"/>
        <v>0</v>
      </c>
      <c r="W65" s="71">
        <f t="shared" si="59"/>
        <v>472500</v>
      </c>
      <c r="X65" s="70">
        <f>SUM(L65:W65)</f>
        <v>472500</v>
      </c>
    </row>
    <row r="66" spans="3:24">
      <c r="C66" s="657"/>
      <c r="D66" s="644"/>
      <c r="E66" s="644"/>
      <c r="F66" s="644"/>
      <c r="G66" s="644"/>
      <c r="H66" s="653"/>
      <c r="I66" s="653"/>
      <c r="J66" s="655"/>
      <c r="K66" s="106" t="s">
        <v>44</v>
      </c>
      <c r="L66" s="229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113">
        <v>472500</v>
      </c>
      <c r="X66" s="57">
        <f>SUM(L66:W66)</f>
        <v>472500</v>
      </c>
    </row>
    <row r="67" spans="3:24">
      <c r="C67" s="657"/>
      <c r="D67" s="644"/>
      <c r="E67" s="644"/>
      <c r="F67" s="644"/>
      <c r="G67" s="644"/>
      <c r="H67" s="653"/>
      <c r="I67" s="653"/>
      <c r="J67" s="655"/>
      <c r="K67" s="106" t="s">
        <v>38</v>
      </c>
      <c r="L67" s="229"/>
      <c r="M67" s="240"/>
      <c r="N67" s="240"/>
      <c r="O67" s="247"/>
      <c r="P67" s="247"/>
      <c r="Q67" s="247"/>
      <c r="R67" s="247"/>
      <c r="S67" s="247"/>
      <c r="T67" s="247"/>
      <c r="U67" s="247"/>
      <c r="V67" s="247"/>
      <c r="W67" s="60"/>
      <c r="X67" s="57">
        <v>0</v>
      </c>
    </row>
    <row r="68" spans="3:24">
      <c r="C68" s="657"/>
      <c r="D68" s="644"/>
      <c r="E68" s="644"/>
      <c r="F68" s="644"/>
      <c r="G68" s="644"/>
      <c r="H68" s="653"/>
      <c r="I68" s="653"/>
      <c r="J68" s="655"/>
      <c r="K68" s="107" t="s">
        <v>24</v>
      </c>
      <c r="L68" s="252">
        <f t="shared" ref="L68:W68" si="60">SUM(L69:L75)</f>
        <v>0</v>
      </c>
      <c r="M68" s="296">
        <f t="shared" si="60"/>
        <v>0</v>
      </c>
      <c r="N68" s="296">
        <f t="shared" si="60"/>
        <v>0</v>
      </c>
      <c r="O68" s="248">
        <f t="shared" si="60"/>
        <v>0</v>
      </c>
      <c r="P68" s="248">
        <f t="shared" si="60"/>
        <v>0</v>
      </c>
      <c r="Q68" s="248">
        <f t="shared" si="60"/>
        <v>0</v>
      </c>
      <c r="R68" s="248">
        <f t="shared" si="60"/>
        <v>0</v>
      </c>
      <c r="S68" s="248">
        <f t="shared" si="60"/>
        <v>0</v>
      </c>
      <c r="T68" s="248">
        <f t="shared" si="60"/>
        <v>0</v>
      </c>
      <c r="U68" s="248">
        <f t="shared" si="60"/>
        <v>0</v>
      </c>
      <c r="V68" s="248">
        <f t="shared" si="60"/>
        <v>0</v>
      </c>
      <c r="W68" s="62">
        <f t="shared" si="60"/>
        <v>0</v>
      </c>
      <c r="X68" s="63">
        <f>SUM(L68:W68)</f>
        <v>0</v>
      </c>
    </row>
    <row r="69" spans="3:24">
      <c r="C69" s="657"/>
      <c r="D69" s="644"/>
      <c r="E69" s="644"/>
      <c r="F69" s="644"/>
      <c r="G69" s="644"/>
      <c r="H69" s="653"/>
      <c r="I69" s="653"/>
      <c r="J69" s="655"/>
      <c r="K69" s="99" t="s">
        <v>25</v>
      </c>
      <c r="L69" s="229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113"/>
      <c r="X69" s="57">
        <f t="shared" ref="X69:X75" si="61">SUM(L69:W69)</f>
        <v>0</v>
      </c>
    </row>
    <row r="70" spans="3:24">
      <c r="C70" s="657"/>
      <c r="D70" s="644"/>
      <c r="E70" s="644"/>
      <c r="F70" s="644"/>
      <c r="G70" s="644"/>
      <c r="H70" s="653"/>
      <c r="I70" s="653"/>
      <c r="J70" s="655"/>
      <c r="K70" s="99" t="s">
        <v>30</v>
      </c>
      <c r="L70" s="229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113"/>
      <c r="X70" s="57">
        <f t="shared" si="61"/>
        <v>0</v>
      </c>
    </row>
    <row r="71" spans="3:24">
      <c r="C71" s="657"/>
      <c r="D71" s="644"/>
      <c r="E71" s="644"/>
      <c r="F71" s="644"/>
      <c r="G71" s="644"/>
      <c r="H71" s="653"/>
      <c r="I71" s="653"/>
      <c r="J71" s="655"/>
      <c r="K71" s="99" t="s">
        <v>36</v>
      </c>
      <c r="L71" s="229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113"/>
      <c r="X71" s="57">
        <f t="shared" si="61"/>
        <v>0</v>
      </c>
    </row>
    <row r="72" spans="3:24">
      <c r="C72" s="657"/>
      <c r="D72" s="644"/>
      <c r="E72" s="644"/>
      <c r="F72" s="644"/>
      <c r="G72" s="644"/>
      <c r="H72" s="653"/>
      <c r="I72" s="653"/>
      <c r="J72" s="655"/>
      <c r="K72" s="99" t="s">
        <v>26</v>
      </c>
      <c r="L72" s="253"/>
      <c r="M72" s="221"/>
      <c r="N72" s="221"/>
      <c r="O72" s="221"/>
      <c r="P72" s="240"/>
      <c r="Q72" s="240"/>
      <c r="R72" s="240"/>
      <c r="S72" s="240"/>
      <c r="T72" s="240"/>
      <c r="U72" s="240"/>
      <c r="V72" s="240"/>
      <c r="W72" s="113"/>
      <c r="X72" s="57">
        <f t="shared" si="61"/>
        <v>0</v>
      </c>
    </row>
    <row r="73" spans="3:24">
      <c r="C73" s="657"/>
      <c r="D73" s="644"/>
      <c r="E73" s="644"/>
      <c r="F73" s="644"/>
      <c r="G73" s="644"/>
      <c r="H73" s="653"/>
      <c r="I73" s="653"/>
      <c r="J73" s="655"/>
      <c r="K73" s="99" t="s">
        <v>27</v>
      </c>
      <c r="L73" s="253"/>
      <c r="M73" s="221"/>
      <c r="N73" s="221"/>
      <c r="O73" s="221"/>
      <c r="P73" s="240"/>
      <c r="Q73" s="240"/>
      <c r="R73" s="240"/>
      <c r="S73" s="240"/>
      <c r="T73" s="240"/>
      <c r="U73" s="240"/>
      <c r="V73" s="240"/>
      <c r="W73" s="113"/>
      <c r="X73" s="57">
        <f t="shared" si="61"/>
        <v>0</v>
      </c>
    </row>
    <row r="74" spans="3:24">
      <c r="C74" s="657"/>
      <c r="D74" s="644"/>
      <c r="E74" s="644"/>
      <c r="F74" s="644"/>
      <c r="G74" s="644"/>
      <c r="H74" s="653"/>
      <c r="I74" s="653"/>
      <c r="J74" s="655"/>
      <c r="K74" s="99" t="s">
        <v>28</v>
      </c>
      <c r="L74" s="253"/>
      <c r="M74" s="221"/>
      <c r="N74" s="221"/>
      <c r="O74" s="221"/>
      <c r="P74" s="240"/>
      <c r="Q74" s="240"/>
      <c r="R74" s="240"/>
      <c r="S74" s="240"/>
      <c r="T74" s="240"/>
      <c r="U74" s="240"/>
      <c r="V74" s="240"/>
      <c r="W74" s="113"/>
      <c r="X74" s="57">
        <f t="shared" si="61"/>
        <v>0</v>
      </c>
    </row>
    <row r="75" spans="3:24">
      <c r="C75" s="657"/>
      <c r="D75" s="644"/>
      <c r="E75" s="644"/>
      <c r="F75" s="644"/>
      <c r="G75" s="644"/>
      <c r="H75" s="653"/>
      <c r="I75" s="653"/>
      <c r="J75" s="655"/>
      <c r="K75" s="99" t="s">
        <v>29</v>
      </c>
      <c r="L75" s="254"/>
      <c r="M75" s="249"/>
      <c r="N75" s="249"/>
      <c r="O75" s="249"/>
      <c r="P75" s="240"/>
      <c r="Q75" s="240"/>
      <c r="R75" s="240"/>
      <c r="S75" s="240"/>
      <c r="T75" s="240"/>
      <c r="U75" s="240"/>
      <c r="V75" s="240"/>
      <c r="W75" s="113"/>
      <c r="X75" s="57">
        <f t="shared" si="61"/>
        <v>0</v>
      </c>
    </row>
    <row r="76" spans="3:24" ht="12.5" thickBot="1">
      <c r="C76" s="695"/>
      <c r="D76" s="692"/>
      <c r="E76" s="692"/>
      <c r="F76" s="692"/>
      <c r="G76" s="692"/>
      <c r="H76" s="696"/>
      <c r="I76" s="696"/>
      <c r="J76" s="697"/>
      <c r="K76" s="439" t="s">
        <v>45</v>
      </c>
      <c r="L76" s="440">
        <f t="shared" ref="L76:X76" si="62">L65-L68</f>
        <v>0</v>
      </c>
      <c r="M76" s="441">
        <f t="shared" si="62"/>
        <v>0</v>
      </c>
      <c r="N76" s="441">
        <f t="shared" si="62"/>
        <v>0</v>
      </c>
      <c r="O76" s="289">
        <f t="shared" si="62"/>
        <v>0</v>
      </c>
      <c r="P76" s="289">
        <f t="shared" si="62"/>
        <v>0</v>
      </c>
      <c r="Q76" s="289">
        <f t="shared" si="62"/>
        <v>0</v>
      </c>
      <c r="R76" s="289">
        <f t="shared" si="62"/>
        <v>0</v>
      </c>
      <c r="S76" s="289">
        <f t="shared" si="62"/>
        <v>0</v>
      </c>
      <c r="T76" s="289">
        <f t="shared" si="62"/>
        <v>0</v>
      </c>
      <c r="U76" s="289">
        <f t="shared" si="62"/>
        <v>0</v>
      </c>
      <c r="V76" s="289">
        <f t="shared" si="62"/>
        <v>0</v>
      </c>
      <c r="W76" s="442">
        <f t="shared" si="62"/>
        <v>472500</v>
      </c>
      <c r="X76" s="443">
        <f t="shared" si="62"/>
        <v>472500</v>
      </c>
    </row>
    <row r="77" spans="3:24" ht="12.65" customHeight="1" thickTop="1">
      <c r="C77" s="657">
        <f>C65+1</f>
        <v>7</v>
      </c>
      <c r="D77" s="644" t="s">
        <v>99</v>
      </c>
      <c r="E77" s="644"/>
      <c r="F77" s="644"/>
      <c r="G77" s="644"/>
      <c r="H77" s="653" t="s">
        <v>118</v>
      </c>
      <c r="I77" s="653" t="s">
        <v>119</v>
      </c>
      <c r="J77" s="655"/>
      <c r="K77" s="105" t="s">
        <v>43</v>
      </c>
      <c r="L77" s="486">
        <f t="shared" ref="L77:W77" si="63">L78+L79</f>
        <v>0</v>
      </c>
      <c r="M77" s="487">
        <f t="shared" si="63"/>
        <v>0</v>
      </c>
      <c r="N77" s="487">
        <f t="shared" si="63"/>
        <v>0</v>
      </c>
      <c r="O77" s="487">
        <f t="shared" si="63"/>
        <v>0</v>
      </c>
      <c r="P77" s="241">
        <f t="shared" si="63"/>
        <v>0</v>
      </c>
      <c r="Q77" s="241">
        <f t="shared" si="63"/>
        <v>0</v>
      </c>
      <c r="R77" s="241">
        <f t="shared" si="63"/>
        <v>0</v>
      </c>
      <c r="S77" s="241">
        <f t="shared" si="63"/>
        <v>0</v>
      </c>
      <c r="T77" s="241">
        <f t="shared" si="63"/>
        <v>0</v>
      </c>
      <c r="U77" s="241">
        <f t="shared" si="63"/>
        <v>0</v>
      </c>
      <c r="V77" s="241">
        <f t="shared" si="63"/>
        <v>0</v>
      </c>
      <c r="W77" s="71">
        <f t="shared" si="63"/>
        <v>126000</v>
      </c>
      <c r="X77" s="70">
        <f>SUM(L77:W77)</f>
        <v>126000</v>
      </c>
    </row>
    <row r="78" spans="3:24">
      <c r="C78" s="657"/>
      <c r="D78" s="644"/>
      <c r="E78" s="644"/>
      <c r="F78" s="644"/>
      <c r="G78" s="644"/>
      <c r="H78" s="653"/>
      <c r="I78" s="653"/>
      <c r="J78" s="655"/>
      <c r="K78" s="106" t="s">
        <v>44</v>
      </c>
      <c r="L78" s="229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113">
        <v>126000</v>
      </c>
      <c r="X78" s="57">
        <f>SUM(L78:W78)</f>
        <v>126000</v>
      </c>
    </row>
    <row r="79" spans="3:24">
      <c r="C79" s="657"/>
      <c r="D79" s="644"/>
      <c r="E79" s="644"/>
      <c r="F79" s="644"/>
      <c r="G79" s="644"/>
      <c r="H79" s="653"/>
      <c r="I79" s="653"/>
      <c r="J79" s="655"/>
      <c r="K79" s="106" t="s">
        <v>38</v>
      </c>
      <c r="L79" s="229"/>
      <c r="M79" s="240"/>
      <c r="N79" s="240"/>
      <c r="O79" s="247"/>
      <c r="P79" s="247"/>
      <c r="Q79" s="247"/>
      <c r="R79" s="247"/>
      <c r="S79" s="247"/>
      <c r="T79" s="247"/>
      <c r="U79" s="247"/>
      <c r="V79" s="247"/>
      <c r="W79" s="60"/>
      <c r="X79" s="57">
        <v>0</v>
      </c>
    </row>
    <row r="80" spans="3:24">
      <c r="C80" s="657"/>
      <c r="D80" s="644"/>
      <c r="E80" s="644"/>
      <c r="F80" s="644"/>
      <c r="G80" s="644"/>
      <c r="H80" s="653"/>
      <c r="I80" s="653"/>
      <c r="J80" s="655"/>
      <c r="K80" s="107" t="s">
        <v>24</v>
      </c>
      <c r="L80" s="252">
        <f t="shared" ref="L80:W80" si="64">SUM(L81:L87)</f>
        <v>0</v>
      </c>
      <c r="M80" s="296">
        <f t="shared" si="64"/>
        <v>0</v>
      </c>
      <c r="N80" s="296">
        <f t="shared" si="64"/>
        <v>0</v>
      </c>
      <c r="O80" s="248">
        <f t="shared" si="64"/>
        <v>0</v>
      </c>
      <c r="P80" s="248">
        <f t="shared" si="64"/>
        <v>0</v>
      </c>
      <c r="Q80" s="248">
        <f t="shared" si="64"/>
        <v>0</v>
      </c>
      <c r="R80" s="248">
        <f t="shared" si="64"/>
        <v>0</v>
      </c>
      <c r="S80" s="248">
        <f t="shared" si="64"/>
        <v>0</v>
      </c>
      <c r="T80" s="248">
        <f t="shared" si="64"/>
        <v>0</v>
      </c>
      <c r="U80" s="248">
        <f t="shared" si="64"/>
        <v>0</v>
      </c>
      <c r="V80" s="248">
        <f t="shared" si="64"/>
        <v>0</v>
      </c>
      <c r="W80" s="62">
        <f t="shared" si="64"/>
        <v>0</v>
      </c>
      <c r="X80" s="63">
        <f>SUM(L80:W80)</f>
        <v>0</v>
      </c>
    </row>
    <row r="81" spans="3:24">
      <c r="C81" s="657"/>
      <c r="D81" s="644"/>
      <c r="E81" s="644"/>
      <c r="F81" s="644"/>
      <c r="G81" s="644"/>
      <c r="H81" s="653"/>
      <c r="I81" s="653"/>
      <c r="J81" s="655"/>
      <c r="K81" s="99" t="s">
        <v>25</v>
      </c>
      <c r="L81" s="229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113"/>
      <c r="X81" s="57">
        <f t="shared" ref="X81:X87" si="65">SUM(L81:W81)</f>
        <v>0</v>
      </c>
    </row>
    <row r="82" spans="3:24">
      <c r="C82" s="657"/>
      <c r="D82" s="644"/>
      <c r="E82" s="644"/>
      <c r="F82" s="644"/>
      <c r="G82" s="644"/>
      <c r="H82" s="653"/>
      <c r="I82" s="653"/>
      <c r="J82" s="655"/>
      <c r="K82" s="99" t="s">
        <v>30</v>
      </c>
      <c r="L82" s="229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113"/>
      <c r="X82" s="57">
        <f t="shared" si="65"/>
        <v>0</v>
      </c>
    </row>
    <row r="83" spans="3:24">
      <c r="C83" s="657"/>
      <c r="D83" s="644"/>
      <c r="E83" s="644"/>
      <c r="F83" s="644"/>
      <c r="G83" s="644"/>
      <c r="H83" s="653"/>
      <c r="I83" s="653"/>
      <c r="J83" s="655"/>
      <c r="K83" s="99" t="s">
        <v>36</v>
      </c>
      <c r="L83" s="229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113"/>
      <c r="X83" s="57">
        <f t="shared" si="65"/>
        <v>0</v>
      </c>
    </row>
    <row r="84" spans="3:24">
      <c r="C84" s="657"/>
      <c r="D84" s="644"/>
      <c r="E84" s="644"/>
      <c r="F84" s="644"/>
      <c r="G84" s="644"/>
      <c r="H84" s="653"/>
      <c r="I84" s="653"/>
      <c r="J84" s="655"/>
      <c r="K84" s="99" t="s">
        <v>26</v>
      </c>
      <c r="L84" s="253"/>
      <c r="M84" s="221"/>
      <c r="N84" s="221"/>
      <c r="O84" s="221"/>
      <c r="P84" s="240"/>
      <c r="Q84" s="240"/>
      <c r="R84" s="240"/>
      <c r="S84" s="240"/>
      <c r="T84" s="240"/>
      <c r="U84" s="240"/>
      <c r="V84" s="240"/>
      <c r="W84" s="113"/>
      <c r="X84" s="57">
        <f t="shared" si="65"/>
        <v>0</v>
      </c>
    </row>
    <row r="85" spans="3:24">
      <c r="C85" s="657"/>
      <c r="D85" s="644"/>
      <c r="E85" s="644"/>
      <c r="F85" s="644"/>
      <c r="G85" s="644"/>
      <c r="H85" s="653"/>
      <c r="I85" s="653"/>
      <c r="J85" s="655"/>
      <c r="K85" s="99" t="s">
        <v>27</v>
      </c>
      <c r="L85" s="253"/>
      <c r="M85" s="221"/>
      <c r="N85" s="221"/>
      <c r="O85" s="221"/>
      <c r="P85" s="240"/>
      <c r="Q85" s="240"/>
      <c r="R85" s="240"/>
      <c r="S85" s="240"/>
      <c r="T85" s="240"/>
      <c r="U85" s="240"/>
      <c r="V85" s="240"/>
      <c r="W85" s="113"/>
      <c r="X85" s="57">
        <f t="shared" si="65"/>
        <v>0</v>
      </c>
    </row>
    <row r="86" spans="3:24">
      <c r="C86" s="657"/>
      <c r="D86" s="644"/>
      <c r="E86" s="644"/>
      <c r="F86" s="644"/>
      <c r="G86" s="644"/>
      <c r="H86" s="653"/>
      <c r="I86" s="653"/>
      <c r="J86" s="655"/>
      <c r="K86" s="99" t="s">
        <v>28</v>
      </c>
      <c r="L86" s="253"/>
      <c r="M86" s="221"/>
      <c r="N86" s="221"/>
      <c r="O86" s="221"/>
      <c r="P86" s="240"/>
      <c r="Q86" s="240"/>
      <c r="R86" s="240"/>
      <c r="S86" s="240"/>
      <c r="T86" s="240"/>
      <c r="U86" s="240"/>
      <c r="V86" s="240"/>
      <c r="W86" s="113"/>
      <c r="X86" s="57">
        <f t="shared" si="65"/>
        <v>0</v>
      </c>
    </row>
    <row r="87" spans="3:24">
      <c r="C87" s="657"/>
      <c r="D87" s="644"/>
      <c r="E87" s="644"/>
      <c r="F87" s="644"/>
      <c r="G87" s="644"/>
      <c r="H87" s="653"/>
      <c r="I87" s="653"/>
      <c r="J87" s="655"/>
      <c r="K87" s="99" t="s">
        <v>29</v>
      </c>
      <c r="L87" s="254"/>
      <c r="M87" s="249"/>
      <c r="N87" s="249"/>
      <c r="O87" s="249"/>
      <c r="P87" s="240"/>
      <c r="Q87" s="240"/>
      <c r="R87" s="240"/>
      <c r="S87" s="240"/>
      <c r="T87" s="240"/>
      <c r="U87" s="240"/>
      <c r="V87" s="240"/>
      <c r="W87" s="113"/>
      <c r="X87" s="57">
        <f t="shared" si="65"/>
        <v>0</v>
      </c>
    </row>
    <row r="88" spans="3:24" ht="12.5" thickBot="1">
      <c r="C88" s="695"/>
      <c r="D88" s="692"/>
      <c r="E88" s="692"/>
      <c r="F88" s="692"/>
      <c r="G88" s="692"/>
      <c r="H88" s="669"/>
      <c r="I88" s="696"/>
      <c r="J88" s="697"/>
      <c r="K88" s="439" t="s">
        <v>45</v>
      </c>
      <c r="L88" s="440">
        <f t="shared" ref="L88:X88" si="66">L77-L80</f>
        <v>0</v>
      </c>
      <c r="M88" s="441">
        <f t="shared" si="66"/>
        <v>0</v>
      </c>
      <c r="N88" s="441">
        <f t="shared" si="66"/>
        <v>0</v>
      </c>
      <c r="O88" s="289">
        <f t="shared" si="66"/>
        <v>0</v>
      </c>
      <c r="P88" s="289">
        <f t="shared" si="66"/>
        <v>0</v>
      </c>
      <c r="Q88" s="289">
        <f t="shared" si="66"/>
        <v>0</v>
      </c>
      <c r="R88" s="289">
        <f t="shared" si="66"/>
        <v>0</v>
      </c>
      <c r="S88" s="289">
        <f t="shared" si="66"/>
        <v>0</v>
      </c>
      <c r="T88" s="289">
        <f t="shared" si="66"/>
        <v>0</v>
      </c>
      <c r="U88" s="289">
        <f t="shared" si="66"/>
        <v>0</v>
      </c>
      <c r="V88" s="289">
        <f t="shared" si="66"/>
        <v>0</v>
      </c>
      <c r="W88" s="442">
        <f t="shared" si="66"/>
        <v>126000</v>
      </c>
      <c r="X88" s="443">
        <f t="shared" si="66"/>
        <v>126000</v>
      </c>
    </row>
    <row r="89" spans="3:24" ht="12.5" thickTop="1">
      <c r="C89" s="670" t="str">
        <f>C2</f>
        <v>その他常駐</v>
      </c>
      <c r="D89" s="671"/>
      <c r="E89" s="671"/>
      <c r="F89" s="671"/>
      <c r="G89" s="671"/>
      <c r="H89" s="671"/>
      <c r="I89" s="671"/>
      <c r="J89" s="672"/>
      <c r="K89" s="40" t="s">
        <v>21</v>
      </c>
      <c r="L89" s="293">
        <f t="shared" ref="L89:V89" si="67">L5+L17+L29+L41+L77</f>
        <v>780000</v>
      </c>
      <c r="M89" s="293">
        <f t="shared" si="67"/>
        <v>780000</v>
      </c>
      <c r="N89" s="293">
        <f t="shared" si="67"/>
        <v>780000</v>
      </c>
      <c r="O89" s="293">
        <f t="shared" si="67"/>
        <v>810000</v>
      </c>
      <c r="P89" s="293">
        <f t="shared" si="67"/>
        <v>954000</v>
      </c>
      <c r="Q89" s="293">
        <f t="shared" si="67"/>
        <v>993125</v>
      </c>
      <c r="R89" s="293">
        <f t="shared" si="67"/>
        <v>1207500</v>
      </c>
      <c r="S89" s="293">
        <f t="shared" si="67"/>
        <v>1255775</v>
      </c>
      <c r="T89" s="293">
        <f t="shared" si="67"/>
        <v>1282350</v>
      </c>
      <c r="U89" s="293">
        <f t="shared" si="67"/>
        <v>974650</v>
      </c>
      <c r="V89" s="293">
        <f t="shared" si="67"/>
        <v>1503175</v>
      </c>
      <c r="W89" s="293">
        <f>W5+W17+W29+W41+W53+W65+W77</f>
        <v>2407080</v>
      </c>
      <c r="X89" s="436">
        <f>SUM(L89:W89)</f>
        <v>13727655</v>
      </c>
    </row>
    <row r="90" spans="3:24">
      <c r="C90" s="670"/>
      <c r="D90" s="671"/>
      <c r="E90" s="671"/>
      <c r="F90" s="671"/>
      <c r="G90" s="671"/>
      <c r="H90" s="671"/>
      <c r="I90" s="671"/>
      <c r="J90" s="672"/>
      <c r="K90" s="43" t="s">
        <v>22</v>
      </c>
      <c r="L90" s="244">
        <f t="shared" ref="L90:V90" si="68">L8+L20+L32+L44+L80</f>
        <v>22000</v>
      </c>
      <c r="M90" s="244">
        <f t="shared" si="68"/>
        <v>24000</v>
      </c>
      <c r="N90" s="244">
        <f t="shared" si="68"/>
        <v>25000</v>
      </c>
      <c r="O90" s="244">
        <f t="shared" si="68"/>
        <v>24000</v>
      </c>
      <c r="P90" s="244">
        <f t="shared" si="68"/>
        <v>23000</v>
      </c>
      <c r="Q90" s="244">
        <f t="shared" si="68"/>
        <v>23000</v>
      </c>
      <c r="R90" s="244">
        <f t="shared" si="68"/>
        <v>24000</v>
      </c>
      <c r="S90" s="244">
        <f t="shared" si="68"/>
        <v>24000</v>
      </c>
      <c r="T90" s="244">
        <f t="shared" si="68"/>
        <v>25000</v>
      </c>
      <c r="U90" s="244">
        <f t="shared" si="68"/>
        <v>26000</v>
      </c>
      <c r="V90" s="244">
        <f t="shared" si="68"/>
        <v>23000</v>
      </c>
      <c r="W90" s="244">
        <f>W8+W20+W32+W44+W56+W68+W80</f>
        <v>30000</v>
      </c>
      <c r="X90" s="72">
        <f>SUM(L90:W90)</f>
        <v>293000</v>
      </c>
    </row>
    <row r="91" spans="3:24">
      <c r="C91" s="673"/>
      <c r="D91" s="674"/>
      <c r="E91" s="674"/>
      <c r="F91" s="674"/>
      <c r="G91" s="674"/>
      <c r="H91" s="674"/>
      <c r="I91" s="674"/>
      <c r="J91" s="675"/>
      <c r="K91" s="73" t="s">
        <v>23</v>
      </c>
      <c r="L91" s="245">
        <f>L89-L90</f>
        <v>758000</v>
      </c>
      <c r="M91" s="295">
        <f t="shared" ref="M91:V91" si="69">M89-M90</f>
        <v>756000</v>
      </c>
      <c r="N91" s="295">
        <f t="shared" si="69"/>
        <v>755000</v>
      </c>
      <c r="O91" s="295">
        <f>O89-O90</f>
        <v>786000</v>
      </c>
      <c r="P91" s="295">
        <f t="shared" si="69"/>
        <v>931000</v>
      </c>
      <c r="Q91" s="295">
        <f t="shared" si="69"/>
        <v>970125</v>
      </c>
      <c r="R91" s="295">
        <f t="shared" si="69"/>
        <v>1183500</v>
      </c>
      <c r="S91" s="295">
        <f t="shared" si="69"/>
        <v>1231775</v>
      </c>
      <c r="T91" s="295">
        <f t="shared" si="69"/>
        <v>1257350</v>
      </c>
      <c r="U91" s="295">
        <f t="shared" si="69"/>
        <v>948650</v>
      </c>
      <c r="V91" s="295">
        <f t="shared" si="69"/>
        <v>1480175</v>
      </c>
      <c r="W91" s="74">
        <f>W89-W90</f>
        <v>2377080</v>
      </c>
      <c r="X91" s="75">
        <f>SUM(L91:W91)</f>
        <v>13434655</v>
      </c>
    </row>
    <row r="92" spans="3:24">
      <c r="C92" s="17"/>
      <c r="D92" s="17"/>
      <c r="E92" s="17"/>
      <c r="G92" s="17"/>
      <c r="H92" s="17"/>
      <c r="I92" s="17"/>
      <c r="J92" s="17"/>
      <c r="K92" s="19" t="s">
        <v>46</v>
      </c>
      <c r="L92" s="676">
        <f>SUM(L89:N89)</f>
        <v>2340000</v>
      </c>
      <c r="M92" s="677"/>
      <c r="N92" s="677"/>
      <c r="O92" s="694">
        <f>SUM(O89:Q89)</f>
        <v>2757125</v>
      </c>
      <c r="P92" s="677"/>
      <c r="Q92" s="677"/>
      <c r="R92" s="694">
        <f>SUM(R89:T89)</f>
        <v>3745625</v>
      </c>
      <c r="S92" s="677"/>
      <c r="T92" s="677"/>
      <c r="U92" s="698">
        <f>SUM(U89:W89)</f>
        <v>4884905</v>
      </c>
      <c r="V92" s="699"/>
      <c r="W92" s="700"/>
      <c r="X92" s="76">
        <f>SUM(L92:W92)</f>
        <v>13727655</v>
      </c>
    </row>
    <row r="93" spans="3:24">
      <c r="C93" s="17"/>
      <c r="D93" s="17"/>
      <c r="E93" s="17"/>
      <c r="G93" s="17"/>
      <c r="H93" s="17"/>
      <c r="I93" s="17"/>
      <c r="J93" s="17"/>
      <c r="K93" s="18" t="s">
        <v>47</v>
      </c>
      <c r="L93" s="681">
        <f>SUM(L91:N91)</f>
        <v>2269000</v>
      </c>
      <c r="M93" s="682"/>
      <c r="N93" s="682"/>
      <c r="O93" s="701">
        <f>SUM(O91:Q91)</f>
        <v>2687125</v>
      </c>
      <c r="P93" s="682"/>
      <c r="Q93" s="682"/>
      <c r="R93" s="701">
        <f>SUM(R91:T91)</f>
        <v>3672625</v>
      </c>
      <c r="S93" s="682"/>
      <c r="T93" s="682"/>
      <c r="U93" s="702">
        <f>SUM(U91:W91)</f>
        <v>4805905</v>
      </c>
      <c r="V93" s="703"/>
      <c r="W93" s="704"/>
      <c r="X93" s="77">
        <f>SUM(L93:W93)</f>
        <v>13434655</v>
      </c>
    </row>
    <row r="94" spans="3:24">
      <c r="P94" s="5"/>
      <c r="Q94" s="5"/>
      <c r="R94" s="5"/>
      <c r="S94" s="5"/>
      <c r="T94" s="5"/>
      <c r="U94" s="5"/>
      <c r="V94" s="5"/>
      <c r="W94" s="2"/>
      <c r="X94" s="2"/>
    </row>
    <row r="95" spans="3:24">
      <c r="P95" s="5"/>
      <c r="Q95" s="5"/>
      <c r="R95" s="5"/>
      <c r="S95" s="5"/>
      <c r="T95" s="5"/>
      <c r="U95" s="5"/>
      <c r="V95" s="5"/>
      <c r="W95" s="2"/>
      <c r="X95" s="2"/>
    </row>
    <row r="96" spans="3:24">
      <c r="P96" s="5"/>
      <c r="Q96" s="5"/>
      <c r="R96" s="5"/>
      <c r="S96" s="5"/>
      <c r="T96" s="5"/>
      <c r="U96" s="5"/>
      <c r="V96" s="5"/>
      <c r="W96" s="2"/>
      <c r="X96" s="2"/>
    </row>
    <row r="97" spans="16:24">
      <c r="P97" s="5"/>
      <c r="Q97" s="5"/>
      <c r="R97" s="5"/>
      <c r="S97" s="5"/>
      <c r="T97" s="5"/>
      <c r="U97" s="5"/>
      <c r="V97" s="5"/>
      <c r="W97" s="2"/>
      <c r="X97" s="2"/>
    </row>
    <row r="98" spans="16:24">
      <c r="P98" s="5"/>
      <c r="Q98" s="5"/>
      <c r="R98" s="5"/>
      <c r="S98" s="5"/>
      <c r="T98" s="5"/>
      <c r="U98" s="5"/>
      <c r="V98" s="5"/>
      <c r="W98" s="2"/>
      <c r="X98" s="2"/>
    </row>
    <row r="99" spans="16:24">
      <c r="P99" s="5"/>
      <c r="Q99" s="5"/>
      <c r="R99" s="5"/>
      <c r="S99" s="5"/>
      <c r="T99" s="5"/>
      <c r="U99" s="5"/>
      <c r="V99" s="5"/>
      <c r="W99" s="2"/>
      <c r="X99" s="2"/>
    </row>
    <row r="100" spans="16:24">
      <c r="P100" s="5"/>
      <c r="Q100" s="5"/>
      <c r="R100" s="5"/>
      <c r="S100" s="5"/>
      <c r="T100" s="5"/>
      <c r="U100" s="5"/>
      <c r="V100" s="5"/>
      <c r="W100" s="2"/>
      <c r="X100" s="2"/>
    </row>
    <row r="101" spans="16:24">
      <c r="P101" s="5"/>
      <c r="Q101" s="5"/>
      <c r="R101" s="5"/>
      <c r="S101" s="5"/>
      <c r="T101" s="5"/>
      <c r="U101" s="5"/>
      <c r="V101" s="5"/>
      <c r="W101" s="2"/>
      <c r="X101" s="2"/>
    </row>
    <row r="102" spans="16:24">
      <c r="P102" s="5"/>
      <c r="Q102" s="5"/>
      <c r="R102" s="5"/>
      <c r="S102" s="5"/>
      <c r="T102" s="5"/>
      <c r="U102" s="5"/>
      <c r="V102" s="5"/>
      <c r="W102" s="2"/>
      <c r="X102" s="2"/>
    </row>
    <row r="103" spans="16:24">
      <c r="P103" s="5"/>
      <c r="Q103" s="5"/>
      <c r="R103" s="5"/>
      <c r="S103" s="5"/>
      <c r="T103" s="5"/>
      <c r="U103" s="5"/>
      <c r="V103" s="5"/>
      <c r="W103" s="2"/>
      <c r="X103" s="2"/>
    </row>
    <row r="104" spans="16:24">
      <c r="P104" s="5"/>
      <c r="Q104" s="5"/>
      <c r="R104" s="5"/>
      <c r="S104" s="5"/>
      <c r="T104" s="5"/>
      <c r="U104" s="5"/>
      <c r="V104" s="5"/>
      <c r="W104" s="2"/>
      <c r="X104" s="2"/>
    </row>
    <row r="105" spans="16:24">
      <c r="P105" s="5"/>
      <c r="Q105" s="5"/>
      <c r="R105" s="5"/>
      <c r="S105" s="5"/>
      <c r="T105" s="5"/>
      <c r="U105" s="5"/>
      <c r="V105" s="5"/>
      <c r="W105" s="2"/>
      <c r="X105" s="2"/>
    </row>
    <row r="106" spans="16:24">
      <c r="P106" s="5"/>
      <c r="Q106" s="5"/>
      <c r="R106" s="5"/>
      <c r="S106" s="5"/>
      <c r="T106" s="5"/>
      <c r="U106" s="5"/>
      <c r="V106" s="5"/>
      <c r="W106" s="2"/>
      <c r="X106" s="2"/>
    </row>
    <row r="107" spans="16:24">
      <c r="P107" s="5"/>
      <c r="Q107" s="5"/>
      <c r="R107" s="5"/>
      <c r="S107" s="5"/>
      <c r="T107" s="5"/>
      <c r="U107" s="5"/>
      <c r="V107" s="5"/>
      <c r="W107" s="2"/>
      <c r="X107" s="2"/>
    </row>
    <row r="108" spans="16:24">
      <c r="P108" s="5"/>
      <c r="Q108" s="5"/>
      <c r="R108" s="5"/>
      <c r="S108" s="5"/>
      <c r="T108" s="5"/>
      <c r="U108" s="5"/>
      <c r="V108" s="5"/>
      <c r="W108" s="2"/>
      <c r="X108" s="2"/>
    </row>
    <row r="109" spans="16:24">
      <c r="P109" s="5"/>
      <c r="Q109" s="5"/>
      <c r="R109" s="5"/>
      <c r="S109" s="5"/>
      <c r="T109" s="5"/>
      <c r="U109" s="5"/>
      <c r="V109" s="5"/>
      <c r="W109" s="2"/>
      <c r="X109" s="2"/>
    </row>
    <row r="110" spans="16:24">
      <c r="P110" s="5"/>
      <c r="Q110" s="5"/>
      <c r="R110" s="5"/>
      <c r="S110" s="5"/>
      <c r="T110" s="5"/>
      <c r="U110" s="5"/>
      <c r="V110" s="5"/>
      <c r="W110" s="2"/>
      <c r="X110" s="2"/>
    </row>
    <row r="111" spans="16:24">
      <c r="P111" s="5"/>
      <c r="Q111" s="5"/>
      <c r="R111" s="5"/>
      <c r="S111" s="5"/>
      <c r="T111" s="5"/>
      <c r="U111" s="5"/>
      <c r="V111" s="5"/>
      <c r="W111" s="2"/>
      <c r="X111" s="2"/>
    </row>
    <row r="112" spans="16:24">
      <c r="P112" s="5"/>
      <c r="Q112" s="5"/>
      <c r="R112" s="5"/>
      <c r="S112" s="5"/>
      <c r="T112" s="5"/>
      <c r="U112" s="5"/>
      <c r="V112" s="5"/>
      <c r="W112" s="2"/>
      <c r="X112" s="2"/>
    </row>
    <row r="113" spans="16:24">
      <c r="P113" s="5"/>
      <c r="Q113" s="5"/>
      <c r="R113" s="5"/>
      <c r="S113" s="5"/>
      <c r="T113" s="5"/>
      <c r="U113" s="5"/>
      <c r="V113" s="5"/>
      <c r="W113" s="2"/>
      <c r="X113" s="2"/>
    </row>
    <row r="114" spans="16:24">
      <c r="P114" s="5"/>
      <c r="Q114" s="5"/>
      <c r="R114" s="5"/>
      <c r="S114" s="5"/>
      <c r="T114" s="5"/>
      <c r="U114" s="5"/>
      <c r="V114" s="5"/>
      <c r="W114" s="2"/>
      <c r="X114" s="2"/>
    </row>
    <row r="115" spans="16:24">
      <c r="P115" s="5"/>
      <c r="Q115" s="5"/>
      <c r="R115" s="5"/>
      <c r="S115" s="5"/>
      <c r="T115" s="5"/>
      <c r="U115" s="5"/>
      <c r="V115" s="5"/>
      <c r="W115" s="2"/>
      <c r="X115" s="2"/>
    </row>
    <row r="116" spans="16:24">
      <c r="P116" s="5"/>
      <c r="Q116" s="5"/>
      <c r="R116" s="5"/>
      <c r="S116" s="5"/>
      <c r="T116" s="5"/>
      <c r="U116" s="5"/>
      <c r="V116" s="5"/>
      <c r="W116" s="2"/>
      <c r="X116" s="2"/>
    </row>
    <row r="117" spans="16:24">
      <c r="P117" s="5"/>
      <c r="Q117" s="5"/>
      <c r="R117" s="5"/>
      <c r="S117" s="5"/>
      <c r="T117" s="5"/>
      <c r="U117" s="5"/>
      <c r="V117" s="5"/>
      <c r="W117" s="2"/>
      <c r="X117" s="2"/>
    </row>
    <row r="118" spans="16:24">
      <c r="P118" s="5"/>
      <c r="Q118" s="5"/>
      <c r="R118" s="5"/>
      <c r="S118" s="5"/>
      <c r="T118" s="5"/>
      <c r="U118" s="5"/>
      <c r="V118" s="5"/>
      <c r="W118" s="2"/>
      <c r="X118" s="2"/>
    </row>
    <row r="119" spans="16:24">
      <c r="P119" s="5"/>
      <c r="Q119" s="5"/>
      <c r="R119" s="5"/>
      <c r="S119" s="5"/>
      <c r="T119" s="5"/>
      <c r="U119" s="5"/>
      <c r="V119" s="5"/>
      <c r="W119" s="2"/>
      <c r="X119" s="2"/>
    </row>
    <row r="120" spans="16:24">
      <c r="P120" s="5"/>
      <c r="Q120" s="5"/>
      <c r="R120" s="5"/>
      <c r="S120" s="5"/>
      <c r="T120" s="5"/>
      <c r="U120" s="5"/>
      <c r="V120" s="5"/>
      <c r="W120" s="2"/>
      <c r="X120" s="2"/>
    </row>
    <row r="121" spans="16:24">
      <c r="P121" s="5"/>
      <c r="Q121" s="5"/>
      <c r="R121" s="5"/>
      <c r="S121" s="5"/>
      <c r="T121" s="5"/>
      <c r="U121" s="5"/>
      <c r="V121" s="5"/>
      <c r="W121" s="2"/>
      <c r="X121" s="2"/>
    </row>
    <row r="122" spans="16:24">
      <c r="P122" s="5"/>
      <c r="Q122" s="5"/>
      <c r="R122" s="5"/>
      <c r="S122" s="5"/>
      <c r="T122" s="5"/>
      <c r="U122" s="5"/>
      <c r="V122" s="5"/>
      <c r="W122" s="2"/>
      <c r="X122" s="2"/>
    </row>
    <row r="123" spans="16:24">
      <c r="P123" s="5"/>
      <c r="Q123" s="5"/>
      <c r="R123" s="5"/>
      <c r="S123" s="5"/>
      <c r="T123" s="5"/>
      <c r="U123" s="5"/>
      <c r="V123" s="5"/>
      <c r="W123" s="2"/>
      <c r="X123" s="2"/>
    </row>
    <row r="124" spans="16:24">
      <c r="P124" s="5"/>
      <c r="Q124" s="5"/>
      <c r="R124" s="5"/>
      <c r="S124" s="5"/>
      <c r="T124" s="5"/>
      <c r="U124" s="5"/>
      <c r="V124" s="5"/>
      <c r="W124" s="2"/>
      <c r="X124" s="2"/>
    </row>
    <row r="125" spans="16:24">
      <c r="P125" s="5"/>
      <c r="Q125" s="5"/>
      <c r="R125" s="5"/>
      <c r="S125" s="5"/>
      <c r="T125" s="5"/>
      <c r="U125" s="5"/>
      <c r="V125" s="5"/>
      <c r="W125" s="2"/>
      <c r="X125" s="2"/>
    </row>
    <row r="126" spans="16:24">
      <c r="P126" s="5"/>
      <c r="Q126" s="5"/>
      <c r="R126" s="5"/>
      <c r="S126" s="5"/>
      <c r="T126" s="5"/>
      <c r="U126" s="5"/>
      <c r="V126" s="5"/>
      <c r="W126" s="2"/>
      <c r="X126" s="2"/>
    </row>
    <row r="127" spans="16:24">
      <c r="P127" s="5"/>
      <c r="Q127" s="5"/>
      <c r="R127" s="5"/>
      <c r="S127" s="5"/>
      <c r="T127" s="5"/>
      <c r="U127" s="5"/>
      <c r="V127" s="5"/>
      <c r="W127" s="2"/>
      <c r="X127" s="2"/>
    </row>
    <row r="128" spans="16:24">
      <c r="P128" s="5"/>
      <c r="Q128" s="5"/>
      <c r="R128" s="5"/>
      <c r="S128" s="5"/>
      <c r="T128" s="5"/>
      <c r="U128" s="5"/>
      <c r="V128" s="5"/>
      <c r="W128" s="2"/>
      <c r="X128" s="2"/>
    </row>
    <row r="129" spans="16:24">
      <c r="P129" s="5"/>
      <c r="Q129" s="5"/>
      <c r="R129" s="5"/>
      <c r="S129" s="5"/>
      <c r="T129" s="5"/>
      <c r="U129" s="5"/>
      <c r="V129" s="5"/>
      <c r="W129" s="2"/>
      <c r="X129" s="2"/>
    </row>
    <row r="130" spans="16:24">
      <c r="P130" s="5"/>
      <c r="Q130" s="5"/>
      <c r="R130" s="5"/>
      <c r="S130" s="5"/>
      <c r="T130" s="5"/>
      <c r="U130" s="5"/>
      <c r="V130" s="5"/>
      <c r="W130" s="2"/>
      <c r="X130" s="2"/>
    </row>
    <row r="131" spans="16:24">
      <c r="P131" s="5"/>
      <c r="Q131" s="5"/>
      <c r="R131" s="5"/>
      <c r="S131" s="5"/>
      <c r="T131" s="5"/>
      <c r="U131" s="5"/>
      <c r="V131" s="5"/>
      <c r="W131" s="2"/>
      <c r="X131" s="2"/>
    </row>
    <row r="132" spans="16:24">
      <c r="P132" s="5"/>
      <c r="Q132" s="5"/>
      <c r="R132" s="5"/>
      <c r="S132" s="5"/>
      <c r="T132" s="5"/>
      <c r="U132" s="5"/>
      <c r="V132" s="5"/>
      <c r="W132" s="2"/>
      <c r="X132" s="2"/>
    </row>
    <row r="133" spans="16:24">
      <c r="P133" s="5"/>
      <c r="Q133" s="5"/>
      <c r="R133" s="5"/>
      <c r="S133" s="5"/>
      <c r="T133" s="5"/>
      <c r="U133" s="5"/>
      <c r="V133" s="5"/>
      <c r="W133" s="2"/>
      <c r="X133" s="2"/>
    </row>
    <row r="134" spans="16:24">
      <c r="P134" s="5"/>
      <c r="Q134" s="5"/>
      <c r="R134" s="5"/>
      <c r="S134" s="5"/>
      <c r="T134" s="5"/>
      <c r="U134" s="5"/>
      <c r="V134" s="5"/>
      <c r="W134" s="2"/>
      <c r="X134" s="2"/>
    </row>
    <row r="135" spans="16:24">
      <c r="P135" s="5"/>
      <c r="Q135" s="5"/>
      <c r="R135" s="5"/>
      <c r="S135" s="5"/>
      <c r="T135" s="5"/>
      <c r="U135" s="5"/>
      <c r="V135" s="5"/>
      <c r="W135" s="2"/>
      <c r="X135" s="2"/>
    </row>
    <row r="136" spans="16:24">
      <c r="P136" s="5"/>
      <c r="Q136" s="5"/>
      <c r="R136" s="5"/>
      <c r="S136" s="5"/>
      <c r="T136" s="5"/>
      <c r="U136" s="5"/>
      <c r="V136" s="5"/>
      <c r="W136" s="2"/>
      <c r="X136" s="2"/>
    </row>
    <row r="137" spans="16:24">
      <c r="P137" s="5"/>
      <c r="Q137" s="5"/>
      <c r="R137" s="5"/>
      <c r="S137" s="5"/>
      <c r="T137" s="5"/>
      <c r="U137" s="5"/>
      <c r="V137" s="5"/>
      <c r="W137" s="2"/>
      <c r="X137" s="2"/>
    </row>
    <row r="138" spans="16:24">
      <c r="P138" s="5"/>
      <c r="Q138" s="5"/>
      <c r="R138" s="5"/>
      <c r="S138" s="5"/>
      <c r="T138" s="5"/>
      <c r="U138" s="5"/>
      <c r="V138" s="5"/>
      <c r="W138" s="2"/>
      <c r="X138" s="2"/>
    </row>
    <row r="139" spans="16:24">
      <c r="P139" s="5"/>
      <c r="Q139" s="5"/>
      <c r="R139" s="5"/>
      <c r="S139" s="5"/>
      <c r="T139" s="5"/>
      <c r="U139" s="5"/>
      <c r="V139" s="5"/>
      <c r="W139" s="2"/>
      <c r="X139" s="2"/>
    </row>
    <row r="140" spans="16:24">
      <c r="P140" s="5"/>
      <c r="Q140" s="5"/>
      <c r="R140" s="5"/>
      <c r="S140" s="5"/>
      <c r="T140" s="5"/>
      <c r="U140" s="5"/>
      <c r="V140" s="5"/>
      <c r="W140" s="2"/>
      <c r="X140" s="2"/>
    </row>
    <row r="141" spans="16:24">
      <c r="P141" s="5"/>
      <c r="Q141" s="5"/>
      <c r="R141" s="5"/>
      <c r="S141" s="5"/>
      <c r="T141" s="5"/>
      <c r="U141" s="5"/>
      <c r="V141" s="5"/>
      <c r="W141" s="2"/>
      <c r="X141" s="2"/>
    </row>
    <row r="142" spans="16:24">
      <c r="P142" s="5"/>
      <c r="Q142" s="5"/>
      <c r="R142" s="5"/>
      <c r="S142" s="5"/>
      <c r="T142" s="5"/>
      <c r="U142" s="5"/>
      <c r="V142" s="5"/>
      <c r="W142" s="2"/>
      <c r="X142" s="2"/>
    </row>
    <row r="143" spans="16:24">
      <c r="P143" s="5"/>
      <c r="Q143" s="5"/>
      <c r="R143" s="5"/>
      <c r="S143" s="5"/>
      <c r="T143" s="5"/>
      <c r="U143" s="5"/>
      <c r="V143" s="5"/>
      <c r="W143" s="2"/>
      <c r="X143" s="2"/>
    </row>
    <row r="144" spans="16:24">
      <c r="P144" s="5"/>
      <c r="Q144" s="5"/>
      <c r="R144" s="5"/>
      <c r="S144" s="5"/>
      <c r="T144" s="5"/>
      <c r="U144" s="5"/>
      <c r="V144" s="5"/>
      <c r="W144" s="2"/>
      <c r="X144" s="2"/>
    </row>
    <row r="145" spans="16:24">
      <c r="P145" s="5"/>
      <c r="Q145" s="5"/>
      <c r="R145" s="5"/>
      <c r="S145" s="5"/>
      <c r="T145" s="5"/>
      <c r="U145" s="5"/>
      <c r="V145" s="5"/>
      <c r="W145" s="2"/>
      <c r="X145" s="2"/>
    </row>
    <row r="146" spans="16:24">
      <c r="P146" s="5"/>
      <c r="Q146" s="5"/>
      <c r="R146" s="5"/>
      <c r="S146" s="5"/>
      <c r="T146" s="5"/>
      <c r="U146" s="5"/>
      <c r="V146" s="5"/>
      <c r="W146" s="2"/>
      <c r="X146" s="2"/>
    </row>
    <row r="147" spans="16:24">
      <c r="P147" s="5"/>
      <c r="Q147" s="5"/>
      <c r="R147" s="5"/>
      <c r="S147" s="5"/>
      <c r="T147" s="5"/>
      <c r="U147" s="5"/>
      <c r="V147" s="5"/>
      <c r="W147" s="2"/>
      <c r="X147" s="2"/>
    </row>
    <row r="148" spans="16:24">
      <c r="P148" s="5"/>
      <c r="Q148" s="5"/>
      <c r="R148" s="5"/>
      <c r="S148" s="5"/>
      <c r="T148" s="5"/>
      <c r="U148" s="5"/>
      <c r="V148" s="5"/>
      <c r="W148" s="2"/>
      <c r="X148" s="2"/>
    </row>
    <row r="149" spans="16:24">
      <c r="P149" s="5"/>
      <c r="Q149" s="5"/>
      <c r="R149" s="5"/>
      <c r="S149" s="5"/>
      <c r="T149" s="5"/>
      <c r="U149" s="5"/>
      <c r="V149" s="5"/>
      <c r="W149" s="2"/>
      <c r="X149" s="2"/>
    </row>
    <row r="150" spans="16:24">
      <c r="P150" s="5"/>
      <c r="Q150" s="5"/>
      <c r="R150" s="5"/>
      <c r="S150" s="5"/>
      <c r="T150" s="5"/>
      <c r="U150" s="5"/>
      <c r="V150" s="5"/>
      <c r="W150" s="2"/>
      <c r="X150" s="2"/>
    </row>
    <row r="151" spans="16:24">
      <c r="P151" s="5"/>
      <c r="Q151" s="5"/>
      <c r="R151" s="5"/>
      <c r="S151" s="5"/>
      <c r="T151" s="5"/>
      <c r="U151" s="5"/>
      <c r="V151" s="5"/>
      <c r="W151" s="2"/>
      <c r="X151" s="2"/>
    </row>
    <row r="152" spans="16:24">
      <c r="P152" s="5"/>
      <c r="Q152" s="5"/>
      <c r="R152" s="5"/>
      <c r="S152" s="5"/>
      <c r="T152" s="5"/>
      <c r="U152" s="5"/>
      <c r="V152" s="5"/>
      <c r="W152" s="2"/>
      <c r="X152" s="2"/>
    </row>
    <row r="153" spans="16:24">
      <c r="P153" s="5"/>
      <c r="Q153" s="5"/>
      <c r="R153" s="5"/>
      <c r="S153" s="5"/>
      <c r="T153" s="5"/>
      <c r="U153" s="5"/>
      <c r="V153" s="5"/>
      <c r="W153" s="2"/>
      <c r="X153" s="2"/>
    </row>
    <row r="154" spans="16:24">
      <c r="P154" s="5"/>
      <c r="Q154" s="5"/>
      <c r="R154" s="5"/>
      <c r="S154" s="5"/>
      <c r="T154" s="5"/>
      <c r="U154" s="5"/>
      <c r="V154" s="5"/>
      <c r="W154" s="2"/>
      <c r="X154" s="2"/>
    </row>
    <row r="155" spans="16:24">
      <c r="P155" s="5"/>
      <c r="Q155" s="5"/>
      <c r="R155" s="5"/>
      <c r="S155" s="5"/>
      <c r="T155" s="5"/>
      <c r="U155" s="5"/>
      <c r="V155" s="5"/>
      <c r="W155" s="2"/>
      <c r="X155" s="2"/>
    </row>
    <row r="156" spans="16:24">
      <c r="P156" s="5"/>
      <c r="Q156" s="5"/>
      <c r="R156" s="5"/>
      <c r="S156" s="5"/>
      <c r="T156" s="5"/>
      <c r="U156" s="5"/>
      <c r="V156" s="5"/>
      <c r="W156" s="2"/>
      <c r="X156" s="2"/>
    </row>
    <row r="157" spans="16:24">
      <c r="P157" s="5"/>
      <c r="Q157" s="5"/>
      <c r="R157" s="5"/>
      <c r="S157" s="5"/>
      <c r="T157" s="5"/>
      <c r="U157" s="5"/>
      <c r="V157" s="5"/>
      <c r="W157" s="2"/>
      <c r="X157" s="2"/>
    </row>
    <row r="158" spans="16:24">
      <c r="P158" s="5"/>
      <c r="Q158" s="5"/>
      <c r="R158" s="5"/>
      <c r="S158" s="5"/>
      <c r="T158" s="5"/>
      <c r="U158" s="5"/>
      <c r="V158" s="5"/>
      <c r="W158" s="2"/>
      <c r="X158" s="2"/>
    </row>
    <row r="159" spans="16:24">
      <c r="P159" s="5"/>
      <c r="Q159" s="5"/>
      <c r="R159" s="5"/>
      <c r="S159" s="5"/>
      <c r="T159" s="5"/>
      <c r="U159" s="5"/>
      <c r="V159" s="5"/>
      <c r="W159" s="2"/>
      <c r="X159" s="2"/>
    </row>
    <row r="160" spans="16:24">
      <c r="P160" s="5"/>
      <c r="Q160" s="5"/>
      <c r="R160" s="5"/>
      <c r="S160" s="5"/>
      <c r="T160" s="5"/>
      <c r="U160" s="5"/>
      <c r="V160" s="5"/>
      <c r="W160" s="2"/>
      <c r="X160" s="2"/>
    </row>
    <row r="161" spans="16:24">
      <c r="P161" s="5"/>
      <c r="Q161" s="5"/>
      <c r="R161" s="5"/>
      <c r="S161" s="5"/>
      <c r="T161" s="5"/>
      <c r="U161" s="5"/>
      <c r="V161" s="5"/>
      <c r="W161" s="2"/>
      <c r="X161" s="2"/>
    </row>
    <row r="162" spans="16:24">
      <c r="P162" s="5"/>
      <c r="Q162" s="5"/>
      <c r="R162" s="5"/>
      <c r="S162" s="5"/>
      <c r="T162" s="5"/>
      <c r="U162" s="5"/>
      <c r="V162" s="5"/>
      <c r="W162" s="2"/>
      <c r="X162" s="2"/>
    </row>
    <row r="163" spans="16:24">
      <c r="P163" s="5"/>
      <c r="Q163" s="5"/>
      <c r="R163" s="5"/>
      <c r="S163" s="5"/>
      <c r="T163" s="5"/>
      <c r="U163" s="5"/>
      <c r="V163" s="5"/>
      <c r="W163" s="2"/>
      <c r="X163" s="2"/>
    </row>
    <row r="164" spans="16:24">
      <c r="P164" s="5"/>
      <c r="Q164" s="5"/>
      <c r="R164" s="5"/>
      <c r="S164" s="5"/>
      <c r="T164" s="5"/>
      <c r="U164" s="5"/>
      <c r="V164" s="5"/>
      <c r="W164" s="2"/>
      <c r="X164" s="2"/>
    </row>
    <row r="165" spans="16:24">
      <c r="P165" s="5"/>
      <c r="Q165" s="5"/>
      <c r="R165" s="5"/>
      <c r="S165" s="5"/>
      <c r="T165" s="5"/>
      <c r="U165" s="5"/>
      <c r="V165" s="5"/>
      <c r="W165" s="2"/>
      <c r="X165" s="2"/>
    </row>
    <row r="166" spans="16:24">
      <c r="P166" s="5"/>
      <c r="Q166" s="5"/>
      <c r="R166" s="5"/>
      <c r="S166" s="5"/>
      <c r="T166" s="5"/>
      <c r="U166" s="5"/>
      <c r="V166" s="5"/>
      <c r="W166" s="2"/>
      <c r="X166" s="2"/>
    </row>
    <row r="167" spans="16:24">
      <c r="P167" s="5"/>
      <c r="Q167" s="5"/>
      <c r="R167" s="5"/>
      <c r="S167" s="5"/>
      <c r="T167" s="5"/>
      <c r="U167" s="5"/>
      <c r="V167" s="5"/>
      <c r="W167" s="2"/>
      <c r="X167" s="2"/>
    </row>
    <row r="168" spans="16:24">
      <c r="P168" s="5"/>
      <c r="Q168" s="5"/>
      <c r="R168" s="5"/>
      <c r="S168" s="5"/>
      <c r="T168" s="5"/>
      <c r="U168" s="5"/>
      <c r="V168" s="5"/>
      <c r="W168" s="2"/>
      <c r="X168" s="2"/>
    </row>
    <row r="169" spans="16:24">
      <c r="P169" s="5"/>
      <c r="Q169" s="5"/>
      <c r="R169" s="5"/>
      <c r="S169" s="5"/>
      <c r="T169" s="5"/>
      <c r="U169" s="5"/>
      <c r="V169" s="5"/>
      <c r="W169" s="2"/>
      <c r="X169" s="2"/>
    </row>
    <row r="170" spans="16:24">
      <c r="P170" s="5"/>
      <c r="Q170" s="5"/>
      <c r="R170" s="5"/>
      <c r="S170" s="5"/>
      <c r="T170" s="5"/>
      <c r="U170" s="5"/>
      <c r="V170" s="5"/>
      <c r="W170" s="2"/>
      <c r="X170" s="2"/>
    </row>
    <row r="171" spans="16:24">
      <c r="P171" s="5"/>
      <c r="Q171" s="5"/>
      <c r="R171" s="5"/>
      <c r="S171" s="5"/>
      <c r="T171" s="5"/>
      <c r="U171" s="5"/>
      <c r="V171" s="5"/>
      <c r="W171" s="2"/>
      <c r="X171" s="2"/>
    </row>
    <row r="172" spans="16:24">
      <c r="P172" s="5"/>
      <c r="Q172" s="5"/>
      <c r="R172" s="5"/>
      <c r="S172" s="5"/>
      <c r="T172" s="5"/>
      <c r="U172" s="5"/>
      <c r="V172" s="5"/>
      <c r="W172" s="2"/>
      <c r="X172" s="2"/>
    </row>
    <row r="173" spans="16:24">
      <c r="P173" s="5"/>
      <c r="Q173" s="5"/>
      <c r="R173" s="5"/>
      <c r="S173" s="5"/>
      <c r="T173" s="5"/>
      <c r="U173" s="5"/>
      <c r="V173" s="5"/>
      <c r="W173" s="2"/>
      <c r="X173" s="2"/>
    </row>
    <row r="174" spans="16:24">
      <c r="P174" s="5"/>
      <c r="Q174" s="5"/>
      <c r="R174" s="5"/>
      <c r="S174" s="5"/>
      <c r="T174" s="5"/>
      <c r="U174" s="5"/>
      <c r="V174" s="5"/>
      <c r="W174" s="2"/>
      <c r="X174" s="2"/>
    </row>
    <row r="175" spans="16:24">
      <c r="P175" s="5"/>
      <c r="Q175" s="5"/>
      <c r="R175" s="5"/>
      <c r="S175" s="5"/>
      <c r="T175" s="5"/>
      <c r="U175" s="5"/>
      <c r="V175" s="5"/>
      <c r="W175" s="2"/>
      <c r="X175" s="2"/>
    </row>
    <row r="176" spans="16:24">
      <c r="P176" s="5"/>
      <c r="Q176" s="5"/>
      <c r="R176" s="5"/>
      <c r="S176" s="5"/>
      <c r="T176" s="5"/>
      <c r="U176" s="5"/>
      <c r="V176" s="5"/>
      <c r="W176" s="2"/>
      <c r="X176" s="2"/>
    </row>
    <row r="177" spans="16:24">
      <c r="P177" s="5"/>
      <c r="Q177" s="5"/>
      <c r="R177" s="5"/>
      <c r="S177" s="5"/>
      <c r="T177" s="5"/>
      <c r="U177" s="5"/>
      <c r="V177" s="5"/>
      <c r="W177" s="2"/>
      <c r="X177" s="2"/>
    </row>
    <row r="178" spans="16:24">
      <c r="P178" s="5"/>
      <c r="Q178" s="5"/>
      <c r="R178" s="5"/>
      <c r="S178" s="5"/>
      <c r="T178" s="5"/>
      <c r="U178" s="5"/>
      <c r="V178" s="5"/>
      <c r="W178" s="2"/>
      <c r="X178" s="2"/>
    </row>
    <row r="179" spans="16:24">
      <c r="P179" s="5"/>
      <c r="Q179" s="5"/>
      <c r="R179" s="5"/>
      <c r="S179" s="5"/>
      <c r="T179" s="5"/>
      <c r="U179" s="5"/>
      <c r="V179" s="5"/>
      <c r="W179" s="2"/>
      <c r="X179" s="2"/>
    </row>
    <row r="180" spans="16:24">
      <c r="P180" s="5"/>
      <c r="Q180" s="5"/>
      <c r="R180" s="5"/>
      <c r="S180" s="5"/>
      <c r="T180" s="5"/>
      <c r="U180" s="5"/>
      <c r="V180" s="5"/>
      <c r="W180" s="2"/>
      <c r="X180" s="2"/>
    </row>
    <row r="181" spans="16:24">
      <c r="P181" s="5"/>
      <c r="Q181" s="5"/>
      <c r="R181" s="5"/>
      <c r="S181" s="5"/>
      <c r="T181" s="5"/>
      <c r="U181" s="5"/>
      <c r="V181" s="5"/>
      <c r="W181" s="2"/>
      <c r="X181" s="2"/>
    </row>
    <row r="182" spans="16:24">
      <c r="P182" s="5"/>
      <c r="Q182" s="5"/>
      <c r="R182" s="5"/>
      <c r="S182" s="5"/>
      <c r="T182" s="5"/>
      <c r="U182" s="5"/>
      <c r="V182" s="5"/>
      <c r="W182" s="2"/>
      <c r="X182" s="2"/>
    </row>
    <row r="183" spans="16:24">
      <c r="P183" s="5"/>
      <c r="Q183" s="5"/>
      <c r="R183" s="5"/>
      <c r="S183" s="5"/>
      <c r="T183" s="5"/>
      <c r="U183" s="5"/>
      <c r="V183" s="5"/>
      <c r="W183" s="2"/>
      <c r="X183" s="2"/>
    </row>
    <row r="184" spans="16:24">
      <c r="P184" s="5"/>
      <c r="Q184" s="5"/>
      <c r="R184" s="5"/>
      <c r="S184" s="5"/>
      <c r="T184" s="5"/>
      <c r="U184" s="5"/>
      <c r="V184" s="5"/>
      <c r="W184" s="2"/>
      <c r="X184" s="2"/>
    </row>
    <row r="185" spans="16:24">
      <c r="P185" s="5"/>
      <c r="Q185" s="5"/>
      <c r="R185" s="5"/>
      <c r="S185" s="5"/>
      <c r="T185" s="5"/>
      <c r="U185" s="5"/>
      <c r="V185" s="5"/>
      <c r="W185" s="2"/>
      <c r="X185" s="2"/>
    </row>
    <row r="186" spans="16:24">
      <c r="P186" s="5"/>
      <c r="Q186" s="5"/>
      <c r="R186" s="5"/>
      <c r="S186" s="5"/>
      <c r="T186" s="5"/>
      <c r="U186" s="5"/>
      <c r="V186" s="5"/>
      <c r="W186" s="2"/>
      <c r="X186" s="2"/>
    </row>
    <row r="187" spans="16:24">
      <c r="P187" s="5"/>
      <c r="Q187" s="5"/>
      <c r="R187" s="5"/>
      <c r="S187" s="5"/>
      <c r="T187" s="5"/>
      <c r="U187" s="5"/>
      <c r="V187" s="5"/>
      <c r="W187" s="2"/>
      <c r="X187" s="2"/>
    </row>
    <row r="188" spans="16:24">
      <c r="P188" s="5"/>
      <c r="Q188" s="5"/>
      <c r="R188" s="5"/>
      <c r="S188" s="5"/>
      <c r="T188" s="5"/>
      <c r="U188" s="5"/>
      <c r="V188" s="5"/>
      <c r="W188" s="2"/>
      <c r="X188" s="2"/>
    </row>
    <row r="189" spans="16:24">
      <c r="P189" s="5"/>
      <c r="Q189" s="5"/>
      <c r="R189" s="5"/>
      <c r="S189" s="5"/>
      <c r="T189" s="5"/>
      <c r="U189" s="5"/>
      <c r="V189" s="5"/>
      <c r="W189" s="2"/>
      <c r="X189" s="2"/>
    </row>
    <row r="190" spans="16:24">
      <c r="P190" s="5"/>
      <c r="Q190" s="5"/>
      <c r="R190" s="5"/>
      <c r="S190" s="5"/>
      <c r="T190" s="5"/>
      <c r="U190" s="5"/>
      <c r="V190" s="5"/>
      <c r="W190" s="2"/>
      <c r="X190" s="2"/>
    </row>
    <row r="191" spans="16:24">
      <c r="P191" s="5"/>
      <c r="Q191" s="5"/>
      <c r="R191" s="5"/>
      <c r="S191" s="5"/>
      <c r="T191" s="5"/>
      <c r="U191" s="5"/>
      <c r="V191" s="5"/>
      <c r="W191" s="2"/>
      <c r="X191" s="2"/>
    </row>
    <row r="192" spans="16:24">
      <c r="P192" s="5"/>
      <c r="Q192" s="5"/>
      <c r="R192" s="5"/>
      <c r="S192" s="5"/>
      <c r="T192" s="5"/>
      <c r="U192" s="5"/>
      <c r="V192" s="5"/>
      <c r="W192" s="2"/>
      <c r="X192" s="2"/>
    </row>
    <row r="193" spans="16:24">
      <c r="P193" s="5"/>
      <c r="Q193" s="5"/>
      <c r="R193" s="5"/>
      <c r="S193" s="5"/>
      <c r="T193" s="5"/>
      <c r="U193" s="5"/>
      <c r="V193" s="5"/>
      <c r="W193" s="2"/>
      <c r="X193" s="2"/>
    </row>
    <row r="194" spans="16:24">
      <c r="P194" s="5"/>
      <c r="Q194" s="5"/>
      <c r="R194" s="5"/>
      <c r="S194" s="5"/>
      <c r="T194" s="5"/>
      <c r="U194" s="5"/>
      <c r="V194" s="5"/>
      <c r="W194" s="2"/>
      <c r="X194" s="2"/>
    </row>
    <row r="195" spans="16:24">
      <c r="P195" s="5"/>
      <c r="Q195" s="5"/>
      <c r="R195" s="5"/>
      <c r="S195" s="5"/>
      <c r="T195" s="5"/>
      <c r="U195" s="5"/>
      <c r="V195" s="5"/>
      <c r="W195" s="2"/>
      <c r="X195" s="2"/>
    </row>
    <row r="196" spans="16:24">
      <c r="P196" s="5"/>
      <c r="Q196" s="5"/>
      <c r="R196" s="5"/>
      <c r="S196" s="5"/>
      <c r="T196" s="5"/>
      <c r="U196" s="5"/>
      <c r="V196" s="5"/>
      <c r="W196" s="2"/>
      <c r="X196" s="2"/>
    </row>
    <row r="197" spans="16:24">
      <c r="P197" s="5"/>
      <c r="Q197" s="5"/>
      <c r="R197" s="5"/>
      <c r="S197" s="5"/>
      <c r="T197" s="5"/>
      <c r="U197" s="5"/>
      <c r="V197" s="5"/>
      <c r="W197" s="2"/>
      <c r="X197" s="2"/>
    </row>
    <row r="198" spans="16:24">
      <c r="P198" s="5"/>
      <c r="Q198" s="5"/>
      <c r="R198" s="5"/>
      <c r="S198" s="5"/>
      <c r="T198" s="5"/>
      <c r="U198" s="5"/>
      <c r="V198" s="5"/>
      <c r="W198" s="2"/>
      <c r="X198" s="2"/>
    </row>
    <row r="199" spans="16:24">
      <c r="P199" s="5"/>
      <c r="Q199" s="5"/>
      <c r="R199" s="5"/>
      <c r="S199" s="5"/>
      <c r="T199" s="5"/>
      <c r="U199" s="5"/>
      <c r="V199" s="5"/>
      <c r="W199" s="2"/>
      <c r="X199" s="2"/>
    </row>
    <row r="200" spans="16:24">
      <c r="P200" s="5"/>
      <c r="Q200" s="5"/>
      <c r="R200" s="5"/>
      <c r="S200" s="5"/>
      <c r="T200" s="5"/>
      <c r="U200" s="5"/>
      <c r="V200" s="5"/>
      <c r="W200" s="2"/>
      <c r="X200" s="2"/>
    </row>
    <row r="201" spans="16:24">
      <c r="P201" s="5"/>
      <c r="Q201" s="5"/>
      <c r="R201" s="5"/>
      <c r="S201" s="5"/>
      <c r="T201" s="5"/>
      <c r="U201" s="5"/>
      <c r="V201" s="5"/>
      <c r="W201" s="2"/>
      <c r="X201" s="2"/>
    </row>
    <row r="202" spans="16:24">
      <c r="P202" s="5"/>
      <c r="Q202" s="5"/>
      <c r="R202" s="5"/>
      <c r="S202" s="5"/>
      <c r="T202" s="5"/>
      <c r="U202" s="5"/>
      <c r="V202" s="5"/>
      <c r="W202" s="2"/>
      <c r="X202" s="2"/>
    </row>
    <row r="203" spans="16:24">
      <c r="P203" s="5"/>
      <c r="Q203" s="5"/>
      <c r="R203" s="5"/>
      <c r="S203" s="5"/>
      <c r="T203" s="5"/>
      <c r="U203" s="5"/>
      <c r="V203" s="5"/>
      <c r="W203" s="2"/>
      <c r="X203" s="2"/>
    </row>
    <row r="204" spans="16:24">
      <c r="P204" s="5"/>
      <c r="Q204" s="5"/>
      <c r="R204" s="5"/>
      <c r="S204" s="5"/>
      <c r="T204" s="5"/>
      <c r="U204" s="5"/>
      <c r="V204" s="5"/>
      <c r="W204" s="2"/>
      <c r="X204" s="2"/>
    </row>
    <row r="205" spans="16:24">
      <c r="P205" s="5"/>
      <c r="Q205" s="5"/>
      <c r="R205" s="5"/>
      <c r="S205" s="5"/>
      <c r="T205" s="5"/>
      <c r="U205" s="5"/>
      <c r="V205" s="5"/>
      <c r="W205" s="2"/>
      <c r="X205" s="2"/>
    </row>
    <row r="206" spans="16:24">
      <c r="P206" s="5"/>
      <c r="Q206" s="5"/>
      <c r="R206" s="5"/>
      <c r="S206" s="5"/>
      <c r="T206" s="5"/>
      <c r="U206" s="5"/>
      <c r="V206" s="5"/>
      <c r="W206" s="2"/>
      <c r="X206" s="2"/>
    </row>
    <row r="207" spans="16:24">
      <c r="P207" s="5"/>
      <c r="Q207" s="5"/>
      <c r="R207" s="5"/>
      <c r="S207" s="5"/>
      <c r="T207" s="5"/>
      <c r="U207" s="5"/>
      <c r="V207" s="5"/>
      <c r="W207" s="2"/>
      <c r="X207" s="2"/>
    </row>
    <row r="208" spans="16:24">
      <c r="P208" s="5"/>
      <c r="Q208" s="5"/>
      <c r="R208" s="5"/>
      <c r="S208" s="5"/>
      <c r="T208" s="5"/>
      <c r="U208" s="5"/>
      <c r="V208" s="5"/>
      <c r="W208" s="2"/>
      <c r="X208" s="2"/>
    </row>
    <row r="209" spans="16:24">
      <c r="P209" s="5"/>
      <c r="Q209" s="5"/>
      <c r="R209" s="5"/>
      <c r="S209" s="5"/>
      <c r="T209" s="5"/>
      <c r="U209" s="5"/>
      <c r="V209" s="5"/>
      <c r="W209" s="2"/>
      <c r="X209" s="2"/>
    </row>
    <row r="210" spans="16:24">
      <c r="P210" s="5"/>
      <c r="Q210" s="5"/>
      <c r="R210" s="5"/>
      <c r="S210" s="5"/>
      <c r="T210" s="5"/>
      <c r="U210" s="5"/>
      <c r="V210" s="5"/>
      <c r="W210" s="2"/>
      <c r="X210" s="2"/>
    </row>
    <row r="211" spans="16:24">
      <c r="P211" s="5"/>
      <c r="Q211" s="5"/>
      <c r="R211" s="5"/>
      <c r="S211" s="5"/>
      <c r="T211" s="5"/>
      <c r="U211" s="5"/>
      <c r="V211" s="5"/>
      <c r="W211" s="2"/>
      <c r="X211" s="2"/>
    </row>
    <row r="212" spans="16:24">
      <c r="P212" s="5"/>
      <c r="Q212" s="5"/>
      <c r="R212" s="5"/>
      <c r="S212" s="5"/>
      <c r="T212" s="5"/>
      <c r="U212" s="5"/>
      <c r="V212" s="5"/>
      <c r="W212" s="2"/>
      <c r="X212" s="2"/>
    </row>
    <row r="213" spans="16:24">
      <c r="P213" s="5"/>
      <c r="Q213" s="5"/>
      <c r="R213" s="5"/>
      <c r="S213" s="5"/>
      <c r="T213" s="5"/>
      <c r="U213" s="5"/>
      <c r="V213" s="5"/>
      <c r="W213" s="2"/>
      <c r="X213" s="2"/>
    </row>
    <row r="214" spans="16:24">
      <c r="P214" s="5"/>
      <c r="Q214" s="5"/>
      <c r="R214" s="5"/>
      <c r="S214" s="5"/>
      <c r="T214" s="5"/>
      <c r="U214" s="5"/>
      <c r="V214" s="5"/>
      <c r="W214" s="2"/>
      <c r="X214" s="2"/>
    </row>
    <row r="215" spans="16:24">
      <c r="P215" s="5"/>
      <c r="Q215" s="5"/>
      <c r="R215" s="5"/>
      <c r="S215" s="5"/>
      <c r="T215" s="5"/>
      <c r="U215" s="5"/>
      <c r="V215" s="5"/>
      <c r="W215" s="2"/>
      <c r="X215" s="2"/>
    </row>
    <row r="216" spans="16:24">
      <c r="P216" s="5"/>
      <c r="Q216" s="5"/>
      <c r="R216" s="5"/>
      <c r="S216" s="5"/>
      <c r="T216" s="5"/>
      <c r="U216" s="5"/>
      <c r="V216" s="5"/>
      <c r="W216" s="2"/>
      <c r="X216" s="2"/>
    </row>
    <row r="217" spans="16:24">
      <c r="P217" s="5"/>
      <c r="Q217" s="5"/>
      <c r="R217" s="5"/>
      <c r="S217" s="5"/>
      <c r="T217" s="5"/>
      <c r="U217" s="5"/>
      <c r="V217" s="5"/>
      <c r="W217" s="2"/>
      <c r="X217" s="2"/>
    </row>
    <row r="218" spans="16:24">
      <c r="P218" s="5"/>
      <c r="Q218" s="5"/>
      <c r="R218" s="5"/>
      <c r="S218" s="5"/>
      <c r="T218" s="5"/>
      <c r="U218" s="5"/>
      <c r="V218" s="5"/>
      <c r="W218" s="2"/>
      <c r="X218" s="2"/>
    </row>
    <row r="219" spans="16:24">
      <c r="P219" s="5"/>
      <c r="Q219" s="5"/>
      <c r="R219" s="5"/>
      <c r="S219" s="5"/>
      <c r="T219" s="5"/>
      <c r="U219" s="5"/>
      <c r="V219" s="5"/>
      <c r="W219" s="2"/>
      <c r="X219" s="2"/>
    </row>
    <row r="220" spans="16:24">
      <c r="P220" s="5"/>
      <c r="Q220" s="5"/>
      <c r="R220" s="5"/>
      <c r="S220" s="5"/>
      <c r="T220" s="5"/>
      <c r="U220" s="5"/>
      <c r="V220" s="5"/>
      <c r="W220" s="2"/>
      <c r="X220" s="2"/>
    </row>
    <row r="221" spans="16:24">
      <c r="P221" s="5"/>
      <c r="Q221" s="5"/>
      <c r="R221" s="5"/>
      <c r="S221" s="5"/>
      <c r="T221" s="5"/>
      <c r="U221" s="5"/>
      <c r="V221" s="5"/>
      <c r="W221" s="2"/>
      <c r="X221" s="2"/>
    </row>
    <row r="222" spans="16:24">
      <c r="P222" s="5"/>
      <c r="Q222" s="5"/>
      <c r="R222" s="5"/>
      <c r="S222" s="5"/>
      <c r="T222" s="5"/>
      <c r="U222" s="5"/>
      <c r="V222" s="5"/>
      <c r="W222" s="2"/>
      <c r="X222" s="2"/>
    </row>
    <row r="223" spans="16:24">
      <c r="P223" s="5"/>
      <c r="Q223" s="5"/>
      <c r="R223" s="5"/>
      <c r="S223" s="5"/>
      <c r="T223" s="5"/>
      <c r="U223" s="5"/>
      <c r="V223" s="5"/>
      <c r="W223" s="2"/>
      <c r="X223" s="2"/>
    </row>
    <row r="224" spans="16:24">
      <c r="P224" s="5"/>
      <c r="Q224" s="5"/>
      <c r="R224" s="5"/>
      <c r="S224" s="5"/>
      <c r="T224" s="5"/>
      <c r="U224" s="5"/>
      <c r="V224" s="5"/>
      <c r="W224" s="2"/>
      <c r="X224" s="2"/>
    </row>
    <row r="225" spans="16:24">
      <c r="P225" s="5"/>
      <c r="Q225" s="5"/>
      <c r="R225" s="5"/>
      <c r="S225" s="5"/>
      <c r="T225" s="5"/>
      <c r="U225" s="5"/>
      <c r="V225" s="5"/>
      <c r="W225" s="2"/>
      <c r="X225" s="2"/>
    </row>
    <row r="226" spans="16:24">
      <c r="P226" s="5"/>
      <c r="Q226" s="5"/>
      <c r="R226" s="5"/>
      <c r="S226" s="5"/>
      <c r="T226" s="5"/>
      <c r="U226" s="5"/>
      <c r="V226" s="5"/>
      <c r="W226" s="2"/>
      <c r="X226" s="2"/>
    </row>
    <row r="227" spans="16:24">
      <c r="P227" s="5"/>
      <c r="Q227" s="5"/>
      <c r="R227" s="5"/>
      <c r="S227" s="5"/>
      <c r="T227" s="5"/>
      <c r="U227" s="5"/>
      <c r="V227" s="5"/>
      <c r="W227" s="2"/>
      <c r="X227" s="2"/>
    </row>
    <row r="228" spans="16:24">
      <c r="P228" s="5"/>
      <c r="Q228" s="5"/>
      <c r="R228" s="5"/>
      <c r="S228" s="5"/>
      <c r="T228" s="5"/>
      <c r="U228" s="5"/>
      <c r="V228" s="5"/>
      <c r="W228" s="2"/>
      <c r="X228" s="2"/>
    </row>
    <row r="229" spans="16:24">
      <c r="P229" s="5"/>
      <c r="Q229" s="5"/>
      <c r="R229" s="5"/>
      <c r="S229" s="5"/>
      <c r="T229" s="5"/>
      <c r="U229" s="5"/>
      <c r="V229" s="5"/>
      <c r="W229" s="2"/>
      <c r="X229" s="2"/>
    </row>
    <row r="230" spans="16:24">
      <c r="P230" s="5"/>
      <c r="Q230" s="5"/>
      <c r="R230" s="5"/>
      <c r="S230" s="5"/>
      <c r="T230" s="5"/>
      <c r="U230" s="5"/>
      <c r="V230" s="5"/>
      <c r="W230" s="2"/>
      <c r="X230" s="2"/>
    </row>
    <row r="231" spans="16:24">
      <c r="P231" s="5"/>
      <c r="Q231" s="5"/>
      <c r="R231" s="5"/>
      <c r="S231" s="5"/>
      <c r="T231" s="5"/>
      <c r="U231" s="5"/>
      <c r="V231" s="5"/>
      <c r="W231" s="2"/>
      <c r="X231" s="2"/>
    </row>
    <row r="232" spans="16:24">
      <c r="P232" s="5"/>
      <c r="Q232" s="5"/>
      <c r="R232" s="5"/>
      <c r="S232" s="5"/>
      <c r="T232" s="5"/>
      <c r="U232" s="5"/>
      <c r="V232" s="5"/>
      <c r="W232" s="2"/>
      <c r="X232" s="2"/>
    </row>
    <row r="233" spans="16:24">
      <c r="P233" s="5"/>
      <c r="Q233" s="5"/>
      <c r="R233" s="5"/>
      <c r="S233" s="5"/>
      <c r="T233" s="5"/>
      <c r="U233" s="5"/>
      <c r="V233" s="5"/>
      <c r="W233" s="2"/>
      <c r="X233" s="2"/>
    </row>
    <row r="234" spans="16:24">
      <c r="P234" s="5"/>
      <c r="Q234" s="5"/>
      <c r="R234" s="5"/>
      <c r="S234" s="5"/>
      <c r="T234" s="5"/>
      <c r="U234" s="5"/>
      <c r="V234" s="5"/>
      <c r="W234" s="2"/>
      <c r="X234" s="2"/>
    </row>
    <row r="235" spans="16:24">
      <c r="P235" s="5"/>
      <c r="Q235" s="5"/>
      <c r="R235" s="5"/>
      <c r="S235" s="5"/>
      <c r="T235" s="5"/>
      <c r="U235" s="5"/>
      <c r="V235" s="5"/>
      <c r="W235" s="2"/>
      <c r="X235" s="2"/>
    </row>
    <row r="236" spans="16:24">
      <c r="P236" s="5"/>
      <c r="Q236" s="5"/>
      <c r="R236" s="5"/>
      <c r="S236" s="5"/>
      <c r="T236" s="5"/>
      <c r="U236" s="5"/>
      <c r="V236" s="5"/>
      <c r="W236" s="2"/>
      <c r="X236" s="2"/>
    </row>
    <row r="237" spans="16:24">
      <c r="P237" s="5"/>
      <c r="Q237" s="5"/>
      <c r="R237" s="5"/>
      <c r="S237" s="5"/>
      <c r="T237" s="5"/>
      <c r="U237" s="5"/>
      <c r="V237" s="5"/>
      <c r="W237" s="2"/>
      <c r="X237" s="2"/>
    </row>
    <row r="238" spans="16:24">
      <c r="P238" s="5"/>
      <c r="Q238" s="5"/>
      <c r="R238" s="5"/>
      <c r="S238" s="5"/>
      <c r="T238" s="5"/>
      <c r="U238" s="5"/>
      <c r="V238" s="5"/>
      <c r="W238" s="2"/>
      <c r="X238" s="2"/>
    </row>
    <row r="239" spans="16:24">
      <c r="P239" s="5"/>
      <c r="Q239" s="5"/>
      <c r="R239" s="5"/>
      <c r="S239" s="5"/>
      <c r="T239" s="5"/>
      <c r="U239" s="5"/>
      <c r="V239" s="5"/>
      <c r="W239" s="2"/>
      <c r="X239" s="2"/>
    </row>
    <row r="240" spans="16:24">
      <c r="P240" s="5"/>
      <c r="Q240" s="5"/>
      <c r="R240" s="5"/>
      <c r="S240" s="5"/>
      <c r="T240" s="5"/>
      <c r="U240" s="5"/>
      <c r="V240" s="5"/>
      <c r="W240" s="2"/>
      <c r="X240" s="2"/>
    </row>
    <row r="241" spans="16:24">
      <c r="P241" s="5"/>
      <c r="Q241" s="5"/>
      <c r="R241" s="5"/>
      <c r="S241" s="5"/>
      <c r="T241" s="5"/>
      <c r="U241" s="5"/>
      <c r="V241" s="5"/>
      <c r="W241" s="2"/>
      <c r="X241" s="2"/>
    </row>
    <row r="242" spans="16:24">
      <c r="P242" s="5"/>
      <c r="Q242" s="5"/>
      <c r="R242" s="5"/>
      <c r="S242" s="5"/>
      <c r="T242" s="5"/>
      <c r="U242" s="5"/>
      <c r="V242" s="5"/>
      <c r="W242" s="2"/>
      <c r="X242" s="2"/>
    </row>
    <row r="243" spans="16:24">
      <c r="P243" s="5"/>
      <c r="Q243" s="5"/>
      <c r="R243" s="5"/>
      <c r="S243" s="5"/>
      <c r="T243" s="5"/>
      <c r="U243" s="5"/>
      <c r="V243" s="5"/>
      <c r="W243" s="2"/>
      <c r="X243" s="2"/>
    </row>
    <row r="244" spans="16:24">
      <c r="P244" s="5"/>
      <c r="Q244" s="5"/>
      <c r="R244" s="5"/>
      <c r="S244" s="5"/>
      <c r="T244" s="5"/>
      <c r="U244" s="5"/>
      <c r="V244" s="5"/>
      <c r="W244" s="2"/>
      <c r="X244" s="2"/>
    </row>
    <row r="245" spans="16:24">
      <c r="P245" s="5"/>
      <c r="Q245" s="5"/>
      <c r="R245" s="5"/>
      <c r="S245" s="5"/>
      <c r="T245" s="5"/>
      <c r="U245" s="5"/>
      <c r="V245" s="5"/>
      <c r="W245" s="2"/>
      <c r="X245" s="2"/>
    </row>
    <row r="246" spans="16:24">
      <c r="P246" s="5"/>
      <c r="Q246" s="5"/>
      <c r="R246" s="5"/>
      <c r="S246" s="5"/>
      <c r="T246" s="5"/>
      <c r="U246" s="5"/>
      <c r="V246" s="5"/>
      <c r="W246" s="2"/>
      <c r="X246" s="2"/>
    </row>
    <row r="247" spans="16:24">
      <c r="P247" s="5"/>
      <c r="Q247" s="5"/>
      <c r="R247" s="5"/>
      <c r="S247" s="5"/>
      <c r="T247" s="5"/>
      <c r="U247" s="5"/>
      <c r="V247" s="5"/>
      <c r="W247" s="2"/>
      <c r="X247" s="2"/>
    </row>
    <row r="248" spans="16:24">
      <c r="P248" s="5"/>
      <c r="Q248" s="5"/>
      <c r="R248" s="5"/>
      <c r="S248" s="5"/>
      <c r="T248" s="5"/>
      <c r="U248" s="5"/>
      <c r="V248" s="5"/>
      <c r="W248" s="2"/>
      <c r="X248" s="2"/>
    </row>
    <row r="249" spans="16:24">
      <c r="P249" s="5"/>
      <c r="Q249" s="5"/>
      <c r="R249" s="5"/>
      <c r="S249" s="5"/>
      <c r="T249" s="5"/>
      <c r="U249" s="5"/>
      <c r="V249" s="5"/>
      <c r="W249" s="2"/>
      <c r="X249" s="2"/>
    </row>
    <row r="250" spans="16:24">
      <c r="P250" s="5"/>
      <c r="Q250" s="5"/>
      <c r="R250" s="5"/>
      <c r="S250" s="5"/>
      <c r="T250" s="5"/>
      <c r="U250" s="5"/>
      <c r="V250" s="5"/>
      <c r="W250" s="2"/>
      <c r="X250" s="2"/>
    </row>
    <row r="251" spans="16:24">
      <c r="P251" s="5"/>
      <c r="Q251" s="5"/>
      <c r="R251" s="5"/>
      <c r="S251" s="5"/>
      <c r="T251" s="5"/>
      <c r="U251" s="5"/>
      <c r="V251" s="5"/>
      <c r="W251" s="2"/>
      <c r="X251" s="2"/>
    </row>
    <row r="252" spans="16:24">
      <c r="P252" s="5"/>
      <c r="Q252" s="5"/>
      <c r="R252" s="5"/>
      <c r="S252" s="5"/>
      <c r="T252" s="5"/>
      <c r="U252" s="5"/>
      <c r="V252" s="5"/>
      <c r="W252" s="2"/>
      <c r="X252" s="2"/>
    </row>
    <row r="253" spans="16:24">
      <c r="P253" s="5"/>
      <c r="Q253" s="5"/>
      <c r="R253" s="5"/>
      <c r="S253" s="5"/>
      <c r="T253" s="5"/>
      <c r="U253" s="5"/>
      <c r="V253" s="5"/>
      <c r="W253" s="2"/>
      <c r="X253" s="2"/>
    </row>
    <row r="254" spans="16:24">
      <c r="P254" s="5"/>
      <c r="Q254" s="5"/>
      <c r="R254" s="5"/>
      <c r="S254" s="5"/>
      <c r="T254" s="5"/>
      <c r="U254" s="5"/>
      <c r="V254" s="5"/>
      <c r="W254" s="2"/>
      <c r="X254" s="2"/>
    </row>
    <row r="255" spans="16:24">
      <c r="P255" s="5"/>
      <c r="Q255" s="5"/>
      <c r="R255" s="5"/>
      <c r="S255" s="5"/>
      <c r="T255" s="5"/>
      <c r="U255" s="5"/>
      <c r="V255" s="5"/>
      <c r="W255" s="2"/>
      <c r="X255" s="2"/>
    </row>
    <row r="256" spans="16:24">
      <c r="P256" s="5"/>
      <c r="Q256" s="5"/>
      <c r="R256" s="5"/>
      <c r="S256" s="5"/>
      <c r="T256" s="5"/>
      <c r="U256" s="5"/>
      <c r="V256" s="5"/>
      <c r="W256" s="2"/>
      <c r="X256" s="2"/>
    </row>
    <row r="257" spans="16:24">
      <c r="P257" s="5"/>
      <c r="Q257" s="5"/>
      <c r="R257" s="5"/>
      <c r="S257" s="5"/>
      <c r="T257" s="5"/>
      <c r="U257" s="5"/>
      <c r="V257" s="5"/>
      <c r="W257" s="2"/>
      <c r="X257" s="2"/>
    </row>
    <row r="258" spans="16:24">
      <c r="P258" s="5"/>
      <c r="Q258" s="5"/>
      <c r="R258" s="5"/>
      <c r="S258" s="5"/>
      <c r="T258" s="5"/>
      <c r="U258" s="5"/>
      <c r="V258" s="5"/>
      <c r="W258" s="2"/>
      <c r="X258" s="2"/>
    </row>
    <row r="259" spans="16:24">
      <c r="P259" s="5"/>
      <c r="Q259" s="5"/>
      <c r="R259" s="5"/>
      <c r="S259" s="5"/>
      <c r="T259" s="5"/>
      <c r="U259" s="5"/>
      <c r="V259" s="5"/>
      <c r="W259" s="2"/>
      <c r="X259" s="2"/>
    </row>
    <row r="260" spans="16:24">
      <c r="P260" s="5"/>
      <c r="Q260" s="5"/>
      <c r="R260" s="5"/>
      <c r="S260" s="5"/>
      <c r="T260" s="5"/>
      <c r="U260" s="5"/>
      <c r="V260" s="5"/>
      <c r="W260" s="2"/>
      <c r="X260" s="2"/>
    </row>
    <row r="261" spans="16:24">
      <c r="P261" s="5"/>
      <c r="Q261" s="5"/>
      <c r="R261" s="5"/>
      <c r="S261" s="5"/>
      <c r="T261" s="5"/>
      <c r="U261" s="5"/>
      <c r="V261" s="5"/>
      <c r="W261" s="2"/>
      <c r="X261" s="2"/>
    </row>
    <row r="262" spans="16:24">
      <c r="P262" s="5"/>
      <c r="Q262" s="5"/>
      <c r="R262" s="5"/>
      <c r="S262" s="5"/>
      <c r="T262" s="5"/>
      <c r="U262" s="5"/>
      <c r="V262" s="5"/>
      <c r="W262" s="2"/>
      <c r="X262" s="2"/>
    </row>
    <row r="263" spans="16:24">
      <c r="P263" s="5"/>
      <c r="Q263" s="5"/>
      <c r="R263" s="5"/>
      <c r="S263" s="5"/>
      <c r="T263" s="5"/>
      <c r="U263" s="5"/>
      <c r="V263" s="5"/>
      <c r="W263" s="2"/>
      <c r="X263" s="2"/>
    </row>
    <row r="264" spans="16:24">
      <c r="P264" s="5"/>
      <c r="Q264" s="5"/>
      <c r="R264" s="5"/>
      <c r="S264" s="5"/>
      <c r="T264" s="5"/>
      <c r="U264" s="5"/>
      <c r="V264" s="5"/>
      <c r="W264" s="2"/>
      <c r="X264" s="2"/>
    </row>
    <row r="265" spans="16:24">
      <c r="P265" s="5"/>
      <c r="Q265" s="5"/>
      <c r="R265" s="5"/>
      <c r="S265" s="5"/>
      <c r="T265" s="5"/>
      <c r="U265" s="5"/>
      <c r="V265" s="5"/>
      <c r="W265" s="2"/>
      <c r="X265" s="2"/>
    </row>
    <row r="266" spans="16:24">
      <c r="P266" s="5"/>
      <c r="Q266" s="5"/>
      <c r="R266" s="5"/>
      <c r="S266" s="5"/>
      <c r="T266" s="5"/>
      <c r="U266" s="5"/>
      <c r="V266" s="5"/>
      <c r="W266" s="2"/>
      <c r="X266" s="2"/>
    </row>
    <row r="267" spans="16:24">
      <c r="P267" s="5"/>
      <c r="Q267" s="5"/>
      <c r="R267" s="5"/>
      <c r="S267" s="5"/>
      <c r="T267" s="5"/>
      <c r="U267" s="5"/>
      <c r="V267" s="5"/>
      <c r="W267" s="2"/>
      <c r="X267" s="2"/>
    </row>
    <row r="268" spans="16:24">
      <c r="P268" s="5"/>
      <c r="Q268" s="5"/>
      <c r="R268" s="5"/>
      <c r="S268" s="5"/>
      <c r="T268" s="5"/>
      <c r="U268" s="5"/>
      <c r="V268" s="5"/>
      <c r="W268" s="2"/>
      <c r="X268" s="2"/>
    </row>
    <row r="269" spans="16:24">
      <c r="P269" s="5"/>
      <c r="Q269" s="5"/>
      <c r="R269" s="5"/>
      <c r="S269" s="5"/>
      <c r="T269" s="5"/>
      <c r="U269" s="5"/>
      <c r="V269" s="5"/>
      <c r="W269" s="2"/>
      <c r="X269" s="2"/>
    </row>
    <row r="270" spans="16:24">
      <c r="P270" s="5"/>
      <c r="Q270" s="5"/>
      <c r="R270" s="5"/>
      <c r="S270" s="5"/>
      <c r="T270" s="5"/>
      <c r="U270" s="5"/>
      <c r="V270" s="5"/>
      <c r="W270" s="2"/>
      <c r="X270" s="2"/>
    </row>
    <row r="271" spans="16:24">
      <c r="P271" s="5"/>
      <c r="Q271" s="5"/>
      <c r="R271" s="5"/>
      <c r="S271" s="5"/>
      <c r="T271" s="5"/>
      <c r="U271" s="5"/>
      <c r="V271" s="5"/>
      <c r="W271" s="2"/>
      <c r="X271" s="2"/>
    </row>
    <row r="272" spans="16:24">
      <c r="P272" s="5"/>
      <c r="Q272" s="5"/>
      <c r="R272" s="5"/>
      <c r="S272" s="5"/>
      <c r="T272" s="5"/>
      <c r="U272" s="5"/>
      <c r="V272" s="5"/>
      <c r="W272" s="2"/>
      <c r="X272" s="2"/>
    </row>
    <row r="273" spans="16:24">
      <c r="P273" s="5"/>
      <c r="Q273" s="5"/>
      <c r="R273" s="5"/>
      <c r="S273" s="5"/>
      <c r="T273" s="5"/>
      <c r="U273" s="5"/>
      <c r="V273" s="5"/>
      <c r="W273" s="2"/>
      <c r="X273" s="2"/>
    </row>
    <row r="274" spans="16:24">
      <c r="P274" s="5"/>
      <c r="Q274" s="5"/>
      <c r="R274" s="5"/>
      <c r="S274" s="5"/>
      <c r="T274" s="5"/>
      <c r="U274" s="5"/>
      <c r="V274" s="5"/>
      <c r="W274" s="2"/>
      <c r="X274" s="2"/>
    </row>
    <row r="275" spans="16:24">
      <c r="P275" s="5"/>
      <c r="Q275" s="5"/>
      <c r="R275" s="5"/>
      <c r="S275" s="5"/>
      <c r="T275" s="5"/>
      <c r="U275" s="5"/>
      <c r="V275" s="5"/>
      <c r="W275" s="2"/>
      <c r="X275" s="2"/>
    </row>
    <row r="276" spans="16:24">
      <c r="P276" s="5"/>
      <c r="Q276" s="5"/>
      <c r="R276" s="5"/>
      <c r="S276" s="5"/>
      <c r="T276" s="5"/>
      <c r="U276" s="5"/>
      <c r="V276" s="5"/>
      <c r="W276" s="2"/>
      <c r="X276" s="2"/>
    </row>
    <row r="277" spans="16:24">
      <c r="P277" s="5"/>
      <c r="Q277" s="5"/>
      <c r="R277" s="5"/>
      <c r="S277" s="5"/>
      <c r="T277" s="5"/>
      <c r="U277" s="5"/>
      <c r="V277" s="5"/>
      <c r="W277" s="2"/>
      <c r="X277" s="2"/>
    </row>
    <row r="278" spans="16:24">
      <c r="P278" s="5"/>
      <c r="Q278" s="5"/>
      <c r="R278" s="5"/>
      <c r="S278" s="5"/>
      <c r="T278" s="5"/>
      <c r="U278" s="5"/>
      <c r="V278" s="5"/>
      <c r="W278" s="2"/>
      <c r="X278" s="2"/>
    </row>
    <row r="279" spans="16:24">
      <c r="P279" s="5"/>
      <c r="Q279" s="5"/>
      <c r="R279" s="5"/>
      <c r="S279" s="5"/>
      <c r="T279" s="5"/>
      <c r="U279" s="5"/>
      <c r="V279" s="5"/>
      <c r="W279" s="2"/>
      <c r="X279" s="2"/>
    </row>
    <row r="280" spans="16:24">
      <c r="P280" s="5"/>
      <c r="Q280" s="5"/>
      <c r="R280" s="5"/>
      <c r="S280" s="5"/>
      <c r="T280" s="5"/>
      <c r="U280" s="5"/>
      <c r="V280" s="5"/>
      <c r="W280" s="2"/>
      <c r="X280" s="2"/>
    </row>
    <row r="281" spans="16:24">
      <c r="P281" s="5"/>
      <c r="Q281" s="5"/>
      <c r="R281" s="5"/>
      <c r="S281" s="5"/>
      <c r="T281" s="5"/>
      <c r="U281" s="5"/>
      <c r="V281" s="5"/>
      <c r="W281" s="2"/>
      <c r="X281" s="2"/>
    </row>
    <row r="282" spans="16:24">
      <c r="P282" s="5"/>
      <c r="Q282" s="5"/>
      <c r="R282" s="5"/>
      <c r="S282" s="5"/>
      <c r="T282" s="5"/>
      <c r="U282" s="5"/>
      <c r="V282" s="5"/>
      <c r="W282" s="2"/>
      <c r="X282" s="2"/>
    </row>
    <row r="283" spans="16:24">
      <c r="P283" s="5"/>
      <c r="Q283" s="5"/>
      <c r="R283" s="5"/>
      <c r="S283" s="5"/>
      <c r="T283" s="5"/>
      <c r="U283" s="5"/>
      <c r="V283" s="5"/>
      <c r="W283" s="2"/>
      <c r="X283" s="2"/>
    </row>
    <row r="284" spans="16:24">
      <c r="P284" s="5"/>
      <c r="Q284" s="5"/>
      <c r="R284" s="5"/>
      <c r="S284" s="5"/>
      <c r="T284" s="5"/>
      <c r="U284" s="5"/>
      <c r="V284" s="5"/>
      <c r="W284" s="2"/>
      <c r="X284" s="2"/>
    </row>
    <row r="285" spans="16:24">
      <c r="P285" s="5"/>
      <c r="Q285" s="5"/>
      <c r="R285" s="5"/>
      <c r="S285" s="5"/>
      <c r="T285" s="5"/>
      <c r="U285" s="5"/>
      <c r="V285" s="5"/>
      <c r="W285" s="2"/>
      <c r="X285" s="2"/>
    </row>
    <row r="286" spans="16:24">
      <c r="P286" s="5"/>
      <c r="Q286" s="5"/>
      <c r="R286" s="5"/>
      <c r="S286" s="5"/>
      <c r="T286" s="5"/>
      <c r="U286" s="5"/>
      <c r="V286" s="5"/>
      <c r="W286" s="2"/>
      <c r="X286" s="2"/>
    </row>
    <row r="287" spans="16:24">
      <c r="P287" s="5"/>
      <c r="Q287" s="5"/>
      <c r="R287" s="5"/>
      <c r="S287" s="5"/>
      <c r="T287" s="5"/>
      <c r="U287" s="5"/>
      <c r="V287" s="5"/>
      <c r="W287" s="2"/>
      <c r="X287" s="2"/>
    </row>
    <row r="288" spans="16:24">
      <c r="P288" s="5"/>
      <c r="Q288" s="5"/>
      <c r="R288" s="5"/>
      <c r="S288" s="5"/>
      <c r="T288" s="5"/>
      <c r="U288" s="5"/>
      <c r="V288" s="5"/>
      <c r="W288" s="2"/>
      <c r="X288" s="2"/>
    </row>
    <row r="289" spans="16:24">
      <c r="P289" s="5"/>
      <c r="Q289" s="5"/>
      <c r="R289" s="5"/>
      <c r="S289" s="5"/>
      <c r="T289" s="5"/>
      <c r="U289" s="5"/>
      <c r="V289" s="5"/>
      <c r="W289" s="2"/>
      <c r="X289" s="2"/>
    </row>
    <row r="290" spans="16:24">
      <c r="P290" s="5"/>
      <c r="Q290" s="5"/>
      <c r="R290" s="5"/>
      <c r="S290" s="5"/>
      <c r="T290" s="5"/>
      <c r="U290" s="5"/>
      <c r="V290" s="5"/>
      <c r="W290" s="2"/>
      <c r="X290" s="2"/>
    </row>
    <row r="291" spans="16:24">
      <c r="P291" s="5"/>
      <c r="Q291" s="5"/>
      <c r="R291" s="5"/>
      <c r="S291" s="5"/>
      <c r="T291" s="5"/>
      <c r="U291" s="5"/>
      <c r="V291" s="5"/>
      <c r="W291" s="2"/>
      <c r="X291" s="2"/>
    </row>
    <row r="292" spans="16:24">
      <c r="P292" s="5"/>
      <c r="Q292" s="5"/>
      <c r="R292" s="5"/>
      <c r="S292" s="5"/>
      <c r="T292" s="5"/>
      <c r="U292" s="5"/>
      <c r="V292" s="5"/>
      <c r="W292" s="2"/>
      <c r="X292" s="2"/>
    </row>
    <row r="293" spans="16:24">
      <c r="P293" s="5"/>
      <c r="Q293" s="5"/>
      <c r="R293" s="5"/>
      <c r="S293" s="5"/>
      <c r="T293" s="5"/>
      <c r="U293" s="5"/>
      <c r="V293" s="5"/>
      <c r="W293" s="2"/>
      <c r="X293" s="2"/>
    </row>
    <row r="294" spans="16:24">
      <c r="P294" s="5"/>
      <c r="Q294" s="5"/>
      <c r="R294" s="5"/>
      <c r="S294" s="5"/>
      <c r="T294" s="5"/>
      <c r="U294" s="5"/>
      <c r="V294" s="5"/>
      <c r="W294" s="2"/>
      <c r="X294" s="2"/>
    </row>
    <row r="295" spans="16:24">
      <c r="P295" s="5"/>
      <c r="Q295" s="5"/>
      <c r="R295" s="5"/>
      <c r="S295" s="5"/>
      <c r="T295" s="5"/>
      <c r="U295" s="5"/>
      <c r="V295" s="5"/>
      <c r="W295" s="2"/>
      <c r="X295" s="2"/>
    </row>
    <row r="296" spans="16:24">
      <c r="P296" s="5"/>
      <c r="Q296" s="5"/>
      <c r="R296" s="5"/>
      <c r="S296" s="5"/>
      <c r="T296" s="5"/>
      <c r="U296" s="5"/>
      <c r="V296" s="5"/>
      <c r="W296" s="2"/>
      <c r="X296" s="2"/>
    </row>
    <row r="297" spans="16:24">
      <c r="P297" s="5"/>
      <c r="Q297" s="5"/>
      <c r="R297" s="5"/>
      <c r="S297" s="5"/>
      <c r="T297" s="5"/>
      <c r="U297" s="5"/>
      <c r="V297" s="5"/>
      <c r="W297" s="2"/>
      <c r="X297" s="2"/>
    </row>
    <row r="298" spans="16:24">
      <c r="P298" s="5"/>
      <c r="Q298" s="5"/>
      <c r="R298" s="5"/>
      <c r="S298" s="5"/>
      <c r="T298" s="5"/>
      <c r="U298" s="5"/>
      <c r="V298" s="5"/>
      <c r="W298" s="2"/>
      <c r="X298" s="2"/>
    </row>
    <row r="299" spans="16:24">
      <c r="P299" s="5"/>
      <c r="Q299" s="5"/>
      <c r="R299" s="5"/>
      <c r="S299" s="5"/>
      <c r="T299" s="5"/>
      <c r="U299" s="5"/>
      <c r="V299" s="5"/>
      <c r="W299" s="2"/>
      <c r="X299" s="2"/>
    </row>
    <row r="300" spans="16:24">
      <c r="P300" s="5"/>
      <c r="Q300" s="5"/>
      <c r="R300" s="5"/>
      <c r="S300" s="5"/>
      <c r="T300" s="5"/>
      <c r="U300" s="5"/>
      <c r="V300" s="5"/>
      <c r="W300" s="2"/>
      <c r="X300" s="2"/>
    </row>
    <row r="301" spans="16:24">
      <c r="P301" s="5"/>
      <c r="Q301" s="5"/>
      <c r="R301" s="5"/>
      <c r="S301" s="5"/>
      <c r="T301" s="5"/>
      <c r="U301" s="5"/>
      <c r="V301" s="5"/>
      <c r="W301" s="2"/>
      <c r="X301" s="2"/>
    </row>
    <row r="302" spans="16:24">
      <c r="P302" s="5"/>
      <c r="Q302" s="5"/>
      <c r="R302" s="5"/>
      <c r="S302" s="5"/>
      <c r="T302" s="5"/>
      <c r="U302" s="5"/>
      <c r="V302" s="5"/>
      <c r="W302" s="2"/>
      <c r="X302" s="2"/>
    </row>
    <row r="303" spans="16:24">
      <c r="P303" s="5"/>
      <c r="Q303" s="5"/>
      <c r="R303" s="5"/>
      <c r="S303" s="5"/>
      <c r="T303" s="5"/>
      <c r="U303" s="5"/>
      <c r="V303" s="5"/>
      <c r="W303" s="2"/>
      <c r="X303" s="2"/>
    </row>
    <row r="304" spans="16:24">
      <c r="P304" s="5"/>
      <c r="Q304" s="5"/>
      <c r="R304" s="5"/>
      <c r="S304" s="5"/>
      <c r="T304" s="5"/>
      <c r="U304" s="5"/>
      <c r="V304" s="5"/>
      <c r="W304" s="2"/>
      <c r="X304" s="2"/>
    </row>
    <row r="305" spans="16:24">
      <c r="P305" s="5"/>
      <c r="Q305" s="5"/>
      <c r="R305" s="5"/>
      <c r="S305" s="5"/>
      <c r="T305" s="5"/>
      <c r="U305" s="5"/>
      <c r="V305" s="5"/>
      <c r="W305" s="2"/>
      <c r="X305" s="2"/>
    </row>
    <row r="306" spans="16:24">
      <c r="P306" s="5"/>
      <c r="Q306" s="5"/>
      <c r="R306" s="5"/>
      <c r="S306" s="5"/>
      <c r="T306" s="5"/>
      <c r="U306" s="5"/>
      <c r="V306" s="5"/>
      <c r="W306" s="2"/>
      <c r="X306" s="2"/>
    </row>
    <row r="307" spans="16:24">
      <c r="P307" s="5"/>
      <c r="Q307" s="5"/>
      <c r="R307" s="5"/>
      <c r="S307" s="5"/>
      <c r="T307" s="5"/>
      <c r="U307" s="5"/>
      <c r="V307" s="5"/>
      <c r="W307" s="2"/>
      <c r="X307" s="2"/>
    </row>
    <row r="308" spans="16:24">
      <c r="P308" s="5"/>
      <c r="Q308" s="5"/>
      <c r="R308" s="5"/>
      <c r="S308" s="5"/>
      <c r="T308" s="5"/>
      <c r="U308" s="5"/>
      <c r="V308" s="5"/>
      <c r="W308" s="2"/>
      <c r="X308" s="2"/>
    </row>
    <row r="309" spans="16:24">
      <c r="P309" s="5"/>
      <c r="Q309" s="5"/>
      <c r="R309" s="5"/>
      <c r="S309" s="5"/>
      <c r="T309" s="5"/>
      <c r="U309" s="5"/>
      <c r="V309" s="5"/>
      <c r="W309" s="2"/>
      <c r="X309" s="2"/>
    </row>
    <row r="310" spans="16:24">
      <c r="P310" s="5"/>
      <c r="Q310" s="5"/>
      <c r="R310" s="5"/>
      <c r="S310" s="5"/>
      <c r="T310" s="5"/>
      <c r="U310" s="5"/>
      <c r="V310" s="5"/>
      <c r="W310" s="2"/>
      <c r="X310" s="2"/>
    </row>
    <row r="311" spans="16:24">
      <c r="P311" s="5"/>
      <c r="Q311" s="5"/>
      <c r="R311" s="5"/>
      <c r="S311" s="5"/>
      <c r="T311" s="5"/>
      <c r="U311" s="5"/>
      <c r="V311" s="5"/>
      <c r="W311" s="2"/>
      <c r="X311" s="2"/>
    </row>
    <row r="312" spans="16:24">
      <c r="P312" s="5"/>
      <c r="Q312" s="5"/>
      <c r="R312" s="5"/>
      <c r="S312" s="5"/>
      <c r="T312" s="5"/>
      <c r="U312" s="5"/>
      <c r="V312" s="5"/>
      <c r="W312" s="2"/>
      <c r="X312" s="2"/>
    </row>
    <row r="313" spans="16:24">
      <c r="P313" s="5"/>
      <c r="Q313" s="5"/>
      <c r="R313" s="5"/>
      <c r="S313" s="5"/>
      <c r="T313" s="5"/>
      <c r="U313" s="5"/>
      <c r="V313" s="5"/>
      <c r="W313" s="2"/>
      <c r="X313" s="2"/>
    </row>
    <row r="314" spans="16:24">
      <c r="P314" s="5"/>
      <c r="Q314" s="5"/>
      <c r="R314" s="5"/>
      <c r="S314" s="5"/>
      <c r="T314" s="5"/>
      <c r="U314" s="5"/>
      <c r="V314" s="5"/>
      <c r="W314" s="2"/>
      <c r="X314" s="2"/>
    </row>
    <row r="315" spans="16:24">
      <c r="P315" s="5"/>
      <c r="Q315" s="5"/>
      <c r="R315" s="5"/>
      <c r="S315" s="5"/>
      <c r="T315" s="5"/>
      <c r="U315" s="5"/>
      <c r="V315" s="5"/>
      <c r="W315" s="2"/>
      <c r="X315" s="2"/>
    </row>
    <row r="316" spans="16:24">
      <c r="P316" s="5"/>
      <c r="Q316" s="5"/>
      <c r="R316" s="5"/>
      <c r="S316" s="5"/>
      <c r="T316" s="5"/>
      <c r="U316" s="5"/>
      <c r="V316" s="5"/>
      <c r="W316" s="2"/>
      <c r="X316" s="2"/>
    </row>
    <row r="317" spans="16:24">
      <c r="P317" s="5"/>
      <c r="Q317" s="5"/>
      <c r="R317" s="5"/>
      <c r="S317" s="5"/>
      <c r="T317" s="5"/>
      <c r="U317" s="5"/>
      <c r="V317" s="5"/>
      <c r="W317" s="2"/>
      <c r="X317" s="2"/>
    </row>
    <row r="318" spans="16:24">
      <c r="P318" s="5"/>
      <c r="Q318" s="5"/>
      <c r="R318" s="5"/>
      <c r="S318" s="5"/>
      <c r="T318" s="5"/>
      <c r="U318" s="5"/>
      <c r="V318" s="5"/>
      <c r="W318" s="2"/>
      <c r="X318" s="2"/>
    </row>
    <row r="319" spans="16:24">
      <c r="P319" s="5"/>
      <c r="Q319" s="5"/>
      <c r="R319" s="5"/>
      <c r="S319" s="5"/>
      <c r="T319" s="5"/>
      <c r="U319" s="5"/>
      <c r="V319" s="5"/>
      <c r="W319" s="2"/>
      <c r="X319" s="2"/>
    </row>
    <row r="320" spans="16:24">
      <c r="P320" s="5"/>
      <c r="Q320" s="5"/>
      <c r="R320" s="5"/>
      <c r="S320" s="5"/>
      <c r="T320" s="5"/>
      <c r="U320" s="5"/>
      <c r="V320" s="5"/>
      <c r="W320" s="2"/>
      <c r="X320" s="2"/>
    </row>
    <row r="321" spans="16:24">
      <c r="P321" s="5"/>
      <c r="Q321" s="5"/>
      <c r="R321" s="5"/>
      <c r="S321" s="5"/>
      <c r="T321" s="5"/>
      <c r="U321" s="5"/>
      <c r="V321" s="5"/>
      <c r="W321" s="2"/>
      <c r="X321" s="2"/>
    </row>
    <row r="322" spans="16:24">
      <c r="P322" s="5"/>
      <c r="Q322" s="5"/>
      <c r="R322" s="5"/>
      <c r="S322" s="5"/>
      <c r="T322" s="5"/>
      <c r="U322" s="5"/>
      <c r="V322" s="5"/>
      <c r="W322" s="2"/>
      <c r="X322" s="2"/>
    </row>
    <row r="323" spans="16:24">
      <c r="P323" s="5"/>
      <c r="Q323" s="5"/>
      <c r="R323" s="5"/>
      <c r="S323" s="5"/>
      <c r="T323" s="5"/>
      <c r="U323" s="5"/>
      <c r="V323" s="5"/>
      <c r="W323" s="2"/>
      <c r="X323" s="2"/>
    </row>
    <row r="324" spans="16:24">
      <c r="P324" s="5"/>
      <c r="Q324" s="5"/>
      <c r="R324" s="5"/>
      <c r="S324" s="5"/>
      <c r="T324" s="5"/>
      <c r="U324" s="5"/>
      <c r="V324" s="5"/>
      <c r="W324" s="2"/>
      <c r="X324" s="2"/>
    </row>
    <row r="325" spans="16:24">
      <c r="P325" s="5"/>
      <c r="Q325" s="5"/>
      <c r="R325" s="5"/>
      <c r="S325" s="5"/>
      <c r="T325" s="5"/>
      <c r="U325" s="5"/>
      <c r="V325" s="5"/>
      <c r="W325" s="2"/>
      <c r="X325" s="2"/>
    </row>
    <row r="326" spans="16:24">
      <c r="P326" s="5"/>
      <c r="Q326" s="5"/>
      <c r="R326" s="5"/>
      <c r="S326" s="5"/>
      <c r="T326" s="5"/>
      <c r="U326" s="5"/>
      <c r="V326" s="5"/>
      <c r="W326" s="2"/>
      <c r="X326" s="2"/>
    </row>
    <row r="327" spans="16:24">
      <c r="P327" s="5"/>
      <c r="Q327" s="5"/>
      <c r="R327" s="5"/>
      <c r="S327" s="5"/>
      <c r="T327" s="5"/>
      <c r="U327" s="5"/>
      <c r="V327" s="5"/>
      <c r="W327" s="2"/>
      <c r="X327" s="2"/>
    </row>
    <row r="328" spans="16:24">
      <c r="P328" s="5"/>
      <c r="Q328" s="5"/>
      <c r="R328" s="5"/>
      <c r="S328" s="5"/>
      <c r="T328" s="5"/>
      <c r="U328" s="5"/>
      <c r="V328" s="5"/>
      <c r="W328" s="2"/>
      <c r="X328" s="2"/>
    </row>
    <row r="329" spans="16:24">
      <c r="P329" s="5"/>
      <c r="Q329" s="5"/>
      <c r="R329" s="5"/>
      <c r="S329" s="5"/>
      <c r="T329" s="5"/>
      <c r="U329" s="5"/>
      <c r="V329" s="5"/>
      <c r="W329" s="2"/>
      <c r="X329" s="2"/>
    </row>
    <row r="330" spans="16:24">
      <c r="P330" s="5"/>
      <c r="Q330" s="5"/>
      <c r="R330" s="5"/>
      <c r="S330" s="5"/>
      <c r="T330" s="5"/>
      <c r="U330" s="5"/>
      <c r="V330" s="5"/>
      <c r="W330" s="2"/>
      <c r="X330" s="2"/>
    </row>
    <row r="331" spans="16:24">
      <c r="P331" s="5"/>
      <c r="Q331" s="5"/>
      <c r="R331" s="5"/>
      <c r="S331" s="5"/>
      <c r="T331" s="5"/>
      <c r="U331" s="5"/>
      <c r="V331" s="5"/>
      <c r="W331" s="2"/>
      <c r="X331" s="2"/>
    </row>
    <row r="332" spans="16:24">
      <c r="P332" s="5"/>
      <c r="Q332" s="5"/>
      <c r="R332" s="5"/>
      <c r="S332" s="5"/>
      <c r="T332" s="5"/>
      <c r="U332" s="5"/>
      <c r="V332" s="5"/>
      <c r="W332" s="2"/>
      <c r="X332" s="2"/>
    </row>
    <row r="333" spans="16:24">
      <c r="P333" s="5"/>
      <c r="Q333" s="5"/>
      <c r="R333" s="5"/>
      <c r="S333" s="5"/>
      <c r="T333" s="5"/>
      <c r="U333" s="5"/>
      <c r="V333" s="5"/>
      <c r="W333" s="2"/>
      <c r="X333" s="2"/>
    </row>
    <row r="334" spans="16:24">
      <c r="P334" s="5"/>
      <c r="Q334" s="5"/>
      <c r="R334" s="5"/>
      <c r="S334" s="5"/>
      <c r="T334" s="5"/>
      <c r="U334" s="5"/>
      <c r="V334" s="5"/>
      <c r="W334" s="2"/>
      <c r="X334" s="2"/>
    </row>
  </sheetData>
  <mergeCells count="66">
    <mergeCell ref="H53:H64"/>
    <mergeCell ref="I53:I64"/>
    <mergeCell ref="J53:J64"/>
    <mergeCell ref="C65:C76"/>
    <mergeCell ref="D65:D76"/>
    <mergeCell ref="E65:E76"/>
    <mergeCell ref="F65:F76"/>
    <mergeCell ref="G65:G76"/>
    <mergeCell ref="H65:H76"/>
    <mergeCell ref="I65:I76"/>
    <mergeCell ref="J65:J76"/>
    <mergeCell ref="C53:C64"/>
    <mergeCell ref="D53:D64"/>
    <mergeCell ref="E53:E64"/>
    <mergeCell ref="F53:F64"/>
    <mergeCell ref="G53:G64"/>
    <mergeCell ref="H77:H88"/>
    <mergeCell ref="I77:I88"/>
    <mergeCell ref="J77:J88"/>
    <mergeCell ref="U92:W92"/>
    <mergeCell ref="L93:N93"/>
    <mergeCell ref="O93:Q93"/>
    <mergeCell ref="R93:T93"/>
    <mergeCell ref="U93:W93"/>
    <mergeCell ref="R92:T92"/>
    <mergeCell ref="I41:I52"/>
    <mergeCell ref="J41:J52"/>
    <mergeCell ref="C89:J91"/>
    <mergeCell ref="L92:N92"/>
    <mergeCell ref="O92:Q92"/>
    <mergeCell ref="C41:C52"/>
    <mergeCell ref="D41:D52"/>
    <mergeCell ref="E41:E52"/>
    <mergeCell ref="F41:F52"/>
    <mergeCell ref="G41:G52"/>
    <mergeCell ref="H41:H52"/>
    <mergeCell ref="C77:C88"/>
    <mergeCell ref="D77:D88"/>
    <mergeCell ref="E77:E88"/>
    <mergeCell ref="F77:F88"/>
    <mergeCell ref="G77:G88"/>
    <mergeCell ref="I17:I28"/>
    <mergeCell ref="J17:J28"/>
    <mergeCell ref="C29:C40"/>
    <mergeCell ref="D29:D40"/>
    <mergeCell ref="E29:E40"/>
    <mergeCell ref="F29:F40"/>
    <mergeCell ref="G29:G40"/>
    <mergeCell ref="H29:H40"/>
    <mergeCell ref="I29:I40"/>
    <mergeCell ref="J29:J40"/>
    <mergeCell ref="C17:C28"/>
    <mergeCell ref="D17:D28"/>
    <mergeCell ref="E17:E28"/>
    <mergeCell ref="F17:F28"/>
    <mergeCell ref="G17:G28"/>
    <mergeCell ref="H17:H28"/>
    <mergeCell ref="C2:J4"/>
    <mergeCell ref="C5:C16"/>
    <mergeCell ref="D5:D16"/>
    <mergeCell ref="E5:E16"/>
    <mergeCell ref="F5:F16"/>
    <mergeCell ref="G5:G16"/>
    <mergeCell ref="H5:H16"/>
    <mergeCell ref="I5:I16"/>
    <mergeCell ref="J5:J16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8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まとめ</vt:lpstr>
      <vt:lpstr>DELL委託人件費(DPT)</vt:lpstr>
      <vt:lpstr>DELL委託人件費(FS）</vt:lpstr>
      <vt:lpstr>UAL常駐</vt:lpstr>
      <vt:lpstr>その他業務</vt:lpstr>
      <vt:lpstr>'DELL委託人件費(DPT)'!Print_Area</vt:lpstr>
      <vt:lpstr>'DELL委託人件費(FS）'!Print_Area</vt:lpstr>
      <vt:lpstr>UAL常駐!Print_Area</vt:lpstr>
      <vt:lpstr>その他業務!Print_Area</vt:lpstr>
      <vt:lpstr>まとめ!Print_Area</vt:lpstr>
      <vt:lpstr>UAL常駐!Print_Titles</vt:lpstr>
      <vt:lpstr>その他業務!Print_Titles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2026-04-21T07:59:45Z</dcterms:modified>
</cp:coreProperties>
</file>