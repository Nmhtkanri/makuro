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2F500A9E-128F-485F-98EA-C17422A90043}" xr6:coauthVersionLast="47" xr6:coauthVersionMax="47" xr10:uidLastSave="{00000000-0000-0000-0000-000000000000}"/>
  <bookViews>
    <workbookView xWindow="-110" yWindow="-110" windowWidth="25820" windowHeight="13900" firstSheet="1" activeTab="9" xr2:uid="{00000000-000D-0000-FFFF-FFFF00000000}"/>
  </bookViews>
  <sheets>
    <sheet name="まとめ" sheetId="9" r:id="rId1"/>
    <sheet name="まとめ (2)" sheetId="52" r:id="rId2"/>
    <sheet name="グラフ" sheetId="50" r:id="rId3"/>
    <sheet name="EXA" sheetId="32" r:id="rId4"/>
    <sheet name="Ericson" sheetId="16" r:id="rId5"/>
    <sheet name="NI+C" sheetId="26" r:id="rId6"/>
    <sheet name="S&amp;I" sheetId="15" r:id="rId7"/>
    <sheet name="ジャステック" sheetId="31" r:id="rId8"/>
    <sheet name="NDICS" sheetId="51" r:id="rId9"/>
    <sheet name="Other" sheetId="34" r:id="rId10"/>
  </sheets>
  <definedNames>
    <definedName name="_xlnm._FilterDatabase" localSheetId="8" hidden="1">NDICS!$A$1:$X$81</definedName>
    <definedName name="_xlnm._FilterDatabase" localSheetId="9" hidden="1">Other!$A$1:$X$441</definedName>
    <definedName name="_xlnm.Print_Area" localSheetId="4">Ericson!$C$1:$X$45</definedName>
    <definedName name="_xlnm.Print_Area" localSheetId="3">EXA!$C$1:$X$33</definedName>
    <definedName name="_xlnm.Print_Area" localSheetId="8">NDICS!$C$1:$X$81</definedName>
    <definedName name="_xlnm.Print_Area" localSheetId="5">'NI+C'!$C$1:$X$57</definedName>
    <definedName name="_xlnm.Print_Area" localSheetId="9">Other!$C$1:$X$441</definedName>
    <definedName name="_xlnm.Print_Area" localSheetId="6">'S&amp;I'!$C$1:$X$33</definedName>
    <definedName name="_xlnm.Print_Area" localSheetId="7">ジャステック!$C$1:$X$57</definedName>
    <definedName name="_xlnm.Print_Titles" localSheetId="4">Ericson!$1:$1</definedName>
    <definedName name="_xlnm.Print_Titles" localSheetId="3">EXA!$1:$1</definedName>
    <definedName name="_xlnm.Print_Titles" localSheetId="8">NDICS!$1:$1</definedName>
    <definedName name="_xlnm.Print_Titles" localSheetId="5">'NI+C'!$1:$1</definedName>
    <definedName name="_xlnm.Print_Titles" localSheetId="9">Other!$1:$1</definedName>
    <definedName name="_xlnm.Print_Titles" localSheetId="6">'S&amp;I'!$1:$1</definedName>
    <definedName name="_xlnm.Print_Titles" localSheetId="7">ジャステック!$1:$1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16" i="34" l="1"/>
  <c r="W438" i="34" s="1"/>
  <c r="W437" i="34"/>
  <c r="A426" i="34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V423" i="34"/>
  <c r="X423" i="34" s="1"/>
  <c r="V422" i="34"/>
  <c r="X422" i="34" s="1"/>
  <c r="X421" i="34"/>
  <c r="V421" i="34"/>
  <c r="X420" i="34"/>
  <c r="V420" i="34"/>
  <c r="X419" i="34"/>
  <c r="V419" i="34"/>
  <c r="X418" i="34"/>
  <c r="V417" i="34"/>
  <c r="V416" i="34" s="1"/>
  <c r="U416" i="34"/>
  <c r="T416" i="34"/>
  <c r="S416" i="34"/>
  <c r="R416" i="34"/>
  <c r="Q416" i="34"/>
  <c r="P416" i="34"/>
  <c r="O416" i="34"/>
  <c r="N416" i="34"/>
  <c r="M416" i="34"/>
  <c r="L416" i="34"/>
  <c r="X414" i="34"/>
  <c r="B414" i="34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A414" i="34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W413" i="34"/>
  <c r="V413" i="34"/>
  <c r="V424" i="34" s="1"/>
  <c r="U413" i="34"/>
  <c r="U424" i="34" s="1"/>
  <c r="T413" i="34"/>
  <c r="T424" i="34" s="1"/>
  <c r="S413" i="34"/>
  <c r="S424" i="34" s="1"/>
  <c r="R413" i="34"/>
  <c r="R424" i="34" s="1"/>
  <c r="Q413" i="34"/>
  <c r="Q424" i="34" s="1"/>
  <c r="P413" i="34"/>
  <c r="P424" i="34" s="1"/>
  <c r="O413" i="34"/>
  <c r="O424" i="34" s="1"/>
  <c r="N413" i="34"/>
  <c r="N424" i="34" s="1"/>
  <c r="M413" i="34"/>
  <c r="M424" i="34" s="1"/>
  <c r="L413" i="34"/>
  <c r="L424" i="34" s="1"/>
  <c r="V363" i="34"/>
  <c r="V362" i="34"/>
  <c r="V361" i="34"/>
  <c r="V360" i="34"/>
  <c r="V359" i="34"/>
  <c r="V357" i="34"/>
  <c r="X416" i="34" l="1"/>
  <c r="W424" i="34"/>
  <c r="X417" i="34"/>
  <c r="X413" i="34"/>
  <c r="M41" i="16"/>
  <c r="N41" i="16"/>
  <c r="O41" i="16"/>
  <c r="P41" i="16"/>
  <c r="Q41" i="16"/>
  <c r="R41" i="16"/>
  <c r="S41" i="16"/>
  <c r="T41" i="16"/>
  <c r="U41" i="16"/>
  <c r="W41" i="16"/>
  <c r="M42" i="16"/>
  <c r="N42" i="16"/>
  <c r="O42" i="16"/>
  <c r="P42" i="16"/>
  <c r="Q42" i="16"/>
  <c r="R42" i="16"/>
  <c r="S42" i="16"/>
  <c r="T42" i="16"/>
  <c r="U42" i="16"/>
  <c r="L42" i="16"/>
  <c r="L41" i="16"/>
  <c r="X424" i="34" l="1"/>
  <c r="V377" i="34"/>
  <c r="W428" i="34"/>
  <c r="V428" i="34"/>
  <c r="X435" i="34"/>
  <c r="X434" i="34"/>
  <c r="X433" i="34"/>
  <c r="X432" i="34"/>
  <c r="X431" i="34"/>
  <c r="X430" i="34"/>
  <c r="X429" i="34"/>
  <c r="U428" i="34"/>
  <c r="T428" i="34"/>
  <c r="S428" i="34"/>
  <c r="R428" i="34"/>
  <c r="Q428" i="34"/>
  <c r="P428" i="34"/>
  <c r="O428" i="34"/>
  <c r="N428" i="34"/>
  <c r="M428" i="34"/>
  <c r="L428" i="34"/>
  <c r="X426" i="34"/>
  <c r="B426" i="34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W425" i="34"/>
  <c r="V425" i="34"/>
  <c r="U425" i="34"/>
  <c r="T425" i="34"/>
  <c r="S425" i="34"/>
  <c r="R425" i="34"/>
  <c r="R436" i="34" s="1"/>
  <c r="Q425" i="34"/>
  <c r="P425" i="34"/>
  <c r="P436" i="34" s="1"/>
  <c r="O425" i="34"/>
  <c r="O436" i="34" s="1"/>
  <c r="N425" i="34"/>
  <c r="M425" i="34"/>
  <c r="M436" i="34" s="1"/>
  <c r="L425" i="34"/>
  <c r="T436" i="34" l="1"/>
  <c r="N436" i="34"/>
  <c r="Q436" i="34"/>
  <c r="W436" i="34"/>
  <c r="V436" i="34"/>
  <c r="X425" i="34"/>
  <c r="S436" i="34"/>
  <c r="X428" i="34"/>
  <c r="U436" i="34"/>
  <c r="L436" i="34"/>
  <c r="X436" i="34" l="1"/>
  <c r="X33" i="16"/>
  <c r="X39" i="16"/>
  <c r="X38" i="16"/>
  <c r="X37" i="16"/>
  <c r="X36" i="16"/>
  <c r="X35" i="16"/>
  <c r="X34" i="16"/>
  <c r="W32" i="16"/>
  <c r="W42" i="16" s="1"/>
  <c r="V32" i="16"/>
  <c r="U32" i="16"/>
  <c r="T32" i="16"/>
  <c r="S32" i="16"/>
  <c r="R32" i="16"/>
  <c r="Q32" i="16"/>
  <c r="P32" i="16"/>
  <c r="O32" i="16"/>
  <c r="N32" i="16"/>
  <c r="M32" i="16"/>
  <c r="L32" i="16"/>
  <c r="X31" i="16"/>
  <c r="X30" i="16"/>
  <c r="B30" i="16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A30" i="16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W29" i="16"/>
  <c r="W40" i="16" s="1"/>
  <c r="V29" i="16"/>
  <c r="U29" i="16"/>
  <c r="U40" i="16" s="1"/>
  <c r="T29" i="16"/>
  <c r="T40" i="16" s="1"/>
  <c r="S29" i="16"/>
  <c r="R29" i="16"/>
  <c r="Q29" i="16"/>
  <c r="P29" i="16"/>
  <c r="O29" i="16"/>
  <c r="N29" i="16"/>
  <c r="M29" i="16"/>
  <c r="L29" i="16"/>
  <c r="U54" i="26"/>
  <c r="U53" i="26"/>
  <c r="V40" i="16" l="1"/>
  <c r="R40" i="16"/>
  <c r="P40" i="16"/>
  <c r="N40" i="16"/>
  <c r="Q40" i="16"/>
  <c r="O40" i="16"/>
  <c r="M40" i="16"/>
  <c r="X32" i="16"/>
  <c r="L40" i="16"/>
  <c r="X29" i="16"/>
  <c r="S40" i="16"/>
  <c r="X40" i="16" l="1"/>
  <c r="U363" i="34"/>
  <c r="U362" i="34"/>
  <c r="U361" i="34"/>
  <c r="U360" i="34"/>
  <c r="U359" i="34"/>
  <c r="U357" i="34"/>
  <c r="U255" i="34"/>
  <c r="U254" i="34"/>
  <c r="U253" i="34"/>
  <c r="U252" i="34"/>
  <c r="U251" i="34"/>
  <c r="U249" i="34"/>
  <c r="U78" i="51"/>
  <c r="U77" i="51"/>
  <c r="U269" i="34"/>
  <c r="X42" i="26"/>
  <c r="L54" i="26"/>
  <c r="N53" i="26"/>
  <c r="O53" i="26"/>
  <c r="P54" i="26"/>
  <c r="Q54" i="26"/>
  <c r="M54" i="26"/>
  <c r="X51" i="26"/>
  <c r="X50" i="26"/>
  <c r="X49" i="26"/>
  <c r="X48" i="26"/>
  <c r="X47" i="26"/>
  <c r="X46" i="26"/>
  <c r="X45" i="26"/>
  <c r="W44" i="26"/>
  <c r="W54" i="26" s="1"/>
  <c r="V44" i="26"/>
  <c r="U44" i="26"/>
  <c r="T44" i="26"/>
  <c r="T54" i="26" s="1"/>
  <c r="S44" i="26"/>
  <c r="S54" i="26" s="1"/>
  <c r="R44" i="26"/>
  <c r="R54" i="26" s="1"/>
  <c r="Q44" i="26"/>
  <c r="P44" i="26"/>
  <c r="O44" i="26"/>
  <c r="O54" i="26" s="1"/>
  <c r="N44" i="26"/>
  <c r="N54" i="26" s="1"/>
  <c r="M44" i="26"/>
  <c r="L44" i="26"/>
  <c r="B42" i="26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A42" i="26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W41" i="26"/>
  <c r="V41" i="26"/>
  <c r="T41" i="26"/>
  <c r="T52" i="26" s="1"/>
  <c r="S41" i="26"/>
  <c r="S52" i="26" s="1"/>
  <c r="R41" i="26"/>
  <c r="Q41" i="26"/>
  <c r="P41" i="26"/>
  <c r="P52" i="26" s="1"/>
  <c r="O41" i="26"/>
  <c r="N41" i="26"/>
  <c r="M41" i="26"/>
  <c r="M52" i="26" s="1"/>
  <c r="L41" i="26"/>
  <c r="M77" i="51"/>
  <c r="N77" i="51"/>
  <c r="O77" i="51"/>
  <c r="P77" i="51"/>
  <c r="Q77" i="51"/>
  <c r="R77" i="51"/>
  <c r="S77" i="51"/>
  <c r="T77" i="51"/>
  <c r="W77" i="51"/>
  <c r="M78" i="51"/>
  <c r="N78" i="51"/>
  <c r="O78" i="51"/>
  <c r="P78" i="51"/>
  <c r="Q78" i="51"/>
  <c r="R78" i="51"/>
  <c r="S78" i="51"/>
  <c r="T78" i="51"/>
  <c r="W78" i="51"/>
  <c r="L78" i="51"/>
  <c r="L77" i="51"/>
  <c r="X279" i="34"/>
  <c r="X278" i="34"/>
  <c r="X277" i="34"/>
  <c r="X276" i="34"/>
  <c r="X275" i="34"/>
  <c r="X274" i="34"/>
  <c r="X273" i="34"/>
  <c r="W272" i="34"/>
  <c r="V272" i="34"/>
  <c r="U272" i="34"/>
  <c r="T272" i="34"/>
  <c r="S272" i="34"/>
  <c r="R272" i="34"/>
  <c r="Q272" i="34"/>
  <c r="P272" i="34"/>
  <c r="O272" i="34"/>
  <c r="N272" i="34"/>
  <c r="M272" i="34"/>
  <c r="L272" i="34"/>
  <c r="A270" i="34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W269" i="34"/>
  <c r="V269" i="34"/>
  <c r="T269" i="34"/>
  <c r="S269" i="34"/>
  <c r="R269" i="34"/>
  <c r="Q269" i="34"/>
  <c r="P269" i="34"/>
  <c r="O269" i="34"/>
  <c r="N269" i="34"/>
  <c r="M269" i="34"/>
  <c r="L269" i="34"/>
  <c r="T140" i="34"/>
  <c r="T375" i="34"/>
  <c r="T374" i="34"/>
  <c r="T373" i="34"/>
  <c r="T372" i="34"/>
  <c r="T369" i="34"/>
  <c r="N280" i="34" l="1"/>
  <c r="P280" i="34"/>
  <c r="O280" i="34"/>
  <c r="X270" i="34"/>
  <c r="U41" i="26"/>
  <c r="U52" i="26" s="1"/>
  <c r="W52" i="26"/>
  <c r="V52" i="26"/>
  <c r="W53" i="26"/>
  <c r="N52" i="26"/>
  <c r="O52" i="26"/>
  <c r="Q52" i="26"/>
  <c r="R52" i="26"/>
  <c r="X44" i="26"/>
  <c r="T53" i="26"/>
  <c r="L53" i="26"/>
  <c r="M53" i="26"/>
  <c r="S53" i="26"/>
  <c r="R53" i="26"/>
  <c r="Q53" i="26"/>
  <c r="P53" i="26"/>
  <c r="L52" i="26"/>
  <c r="W280" i="34"/>
  <c r="X269" i="34"/>
  <c r="V280" i="34"/>
  <c r="R280" i="34"/>
  <c r="U280" i="34"/>
  <c r="Q280" i="34"/>
  <c r="S280" i="34"/>
  <c r="M280" i="34"/>
  <c r="X272" i="34"/>
  <c r="T280" i="34"/>
  <c r="L280" i="34"/>
  <c r="T363" i="34"/>
  <c r="T362" i="34"/>
  <c r="T361" i="34"/>
  <c r="T360" i="34"/>
  <c r="T359" i="34"/>
  <c r="T357" i="34"/>
  <c r="S357" i="34"/>
  <c r="X41" i="26" l="1"/>
  <c r="X52" i="26"/>
  <c r="X280" i="34"/>
  <c r="T245" i="34"/>
  <c r="T53" i="51"/>
  <c r="X42" i="51"/>
  <c r="X63" i="51"/>
  <c r="X62" i="51"/>
  <c r="X61" i="51"/>
  <c r="X60" i="51"/>
  <c r="X59" i="51"/>
  <c r="X58" i="51"/>
  <c r="X57" i="51"/>
  <c r="W56" i="51"/>
  <c r="V56" i="51"/>
  <c r="U56" i="51"/>
  <c r="T56" i="51"/>
  <c r="S56" i="51"/>
  <c r="R56" i="51"/>
  <c r="Q56" i="51"/>
  <c r="P56" i="51"/>
  <c r="O56" i="51"/>
  <c r="N56" i="51"/>
  <c r="N64" i="51" s="1"/>
  <c r="M56" i="51"/>
  <c r="M64" i="51" s="1"/>
  <c r="L56" i="51"/>
  <c r="A54" i="51"/>
  <c r="A55" i="51" s="1"/>
  <c r="A56" i="51" s="1"/>
  <c r="A57" i="51" s="1"/>
  <c r="A58" i="51" s="1"/>
  <c r="A59" i="51" s="1"/>
  <c r="A60" i="51" s="1"/>
  <c r="A61" i="51" s="1"/>
  <c r="A62" i="51" s="1"/>
  <c r="A63" i="51" s="1"/>
  <c r="A64" i="51" s="1"/>
  <c r="W53" i="51"/>
  <c r="V53" i="51"/>
  <c r="U53" i="51"/>
  <c r="S53" i="51"/>
  <c r="R53" i="51"/>
  <c r="R64" i="51" s="1"/>
  <c r="Q53" i="51"/>
  <c r="Q64" i="51" s="1"/>
  <c r="P53" i="51"/>
  <c r="O53" i="51"/>
  <c r="N53" i="51"/>
  <c r="M53" i="51"/>
  <c r="L53" i="51"/>
  <c r="X51" i="51"/>
  <c r="X50" i="51"/>
  <c r="X49" i="51"/>
  <c r="X48" i="51"/>
  <c r="X47" i="51"/>
  <c r="X46" i="51"/>
  <c r="X45" i="51"/>
  <c r="W44" i="51"/>
  <c r="V44" i="51"/>
  <c r="U44" i="51"/>
  <c r="T44" i="51"/>
  <c r="S44" i="51"/>
  <c r="R44" i="51"/>
  <c r="Q44" i="51"/>
  <c r="P44" i="51"/>
  <c r="O44" i="51"/>
  <c r="N44" i="51"/>
  <c r="M44" i="51"/>
  <c r="L44" i="51"/>
  <c r="A42" i="51"/>
  <c r="A43" i="51" s="1"/>
  <c r="A44" i="51" s="1"/>
  <c r="A45" i="51" s="1"/>
  <c r="A46" i="51" s="1"/>
  <c r="A47" i="51" s="1"/>
  <c r="A48" i="51" s="1"/>
  <c r="A49" i="51" s="1"/>
  <c r="A50" i="51" s="1"/>
  <c r="A51" i="51" s="1"/>
  <c r="A52" i="51" s="1"/>
  <c r="W41" i="51"/>
  <c r="V41" i="51"/>
  <c r="U41" i="51"/>
  <c r="S41" i="51"/>
  <c r="S52" i="51" s="1"/>
  <c r="R41" i="51"/>
  <c r="R52" i="51" s="1"/>
  <c r="Q41" i="51"/>
  <c r="Q52" i="51" s="1"/>
  <c r="P41" i="51"/>
  <c r="P52" i="51" s="1"/>
  <c r="O41" i="51"/>
  <c r="N41" i="51"/>
  <c r="M41" i="51"/>
  <c r="L41" i="51"/>
  <c r="X251" i="34"/>
  <c r="X249" i="34"/>
  <c r="U245" i="34"/>
  <c r="X255" i="34"/>
  <c r="X254" i="34"/>
  <c r="X253" i="34"/>
  <c r="X252" i="34"/>
  <c r="X250" i="34"/>
  <c r="W248" i="34"/>
  <c r="V248" i="34"/>
  <c r="U248" i="34"/>
  <c r="T248" i="34"/>
  <c r="S248" i="34"/>
  <c r="R248" i="34"/>
  <c r="Q248" i="34"/>
  <c r="P248" i="34"/>
  <c r="O248" i="34"/>
  <c r="N248" i="34"/>
  <c r="M248" i="34"/>
  <c r="L248" i="34"/>
  <c r="A246" i="34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W245" i="34"/>
  <c r="V245" i="34"/>
  <c r="S245" i="34"/>
  <c r="R245" i="34"/>
  <c r="Q245" i="34"/>
  <c r="P245" i="34"/>
  <c r="O245" i="34"/>
  <c r="N245" i="34"/>
  <c r="M245" i="34"/>
  <c r="L245" i="34"/>
  <c r="S363" i="34"/>
  <c r="S362" i="34"/>
  <c r="S361" i="34"/>
  <c r="S360" i="34"/>
  <c r="S359" i="34"/>
  <c r="V64" i="51" l="1"/>
  <c r="R256" i="34"/>
  <c r="U64" i="51"/>
  <c r="U52" i="51"/>
  <c r="L64" i="51"/>
  <c r="V52" i="51"/>
  <c r="O64" i="51"/>
  <c r="W64" i="51"/>
  <c r="W52" i="51"/>
  <c r="P64" i="51"/>
  <c r="O52" i="51"/>
  <c r="S64" i="51"/>
  <c r="M256" i="34"/>
  <c r="W256" i="34"/>
  <c r="V256" i="34"/>
  <c r="X246" i="34"/>
  <c r="T64" i="51"/>
  <c r="X54" i="51"/>
  <c r="X53" i="51"/>
  <c r="X44" i="51"/>
  <c r="T41" i="51"/>
  <c r="T52" i="51" s="1"/>
  <c r="X56" i="51"/>
  <c r="L52" i="51"/>
  <c r="M52" i="51"/>
  <c r="N52" i="51"/>
  <c r="X245" i="34"/>
  <c r="T256" i="34"/>
  <c r="O256" i="34"/>
  <c r="P256" i="34"/>
  <c r="Q256" i="34"/>
  <c r="N256" i="34"/>
  <c r="S256" i="34"/>
  <c r="X248" i="34"/>
  <c r="U256" i="34"/>
  <c r="L256" i="34"/>
  <c r="S401" i="34"/>
  <c r="X411" i="34"/>
  <c r="X410" i="34"/>
  <c r="X409" i="34"/>
  <c r="X408" i="34"/>
  <c r="X407" i="34"/>
  <c r="X406" i="34"/>
  <c r="X405" i="34"/>
  <c r="W404" i="34"/>
  <c r="V404" i="34"/>
  <c r="U404" i="34"/>
  <c r="T404" i="34"/>
  <c r="S404" i="34"/>
  <c r="R404" i="34"/>
  <c r="Q404" i="34"/>
  <c r="P404" i="34"/>
  <c r="O404" i="34"/>
  <c r="N404" i="34"/>
  <c r="M404" i="34"/>
  <c r="L404" i="34"/>
  <c r="B402" i="34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A402" i="34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W401" i="34"/>
  <c r="V401" i="34"/>
  <c r="U401" i="34"/>
  <c r="T401" i="34"/>
  <c r="R401" i="34"/>
  <c r="Q401" i="34"/>
  <c r="P401" i="34"/>
  <c r="O401" i="34"/>
  <c r="O412" i="34" s="1"/>
  <c r="N401" i="34"/>
  <c r="M401" i="34"/>
  <c r="L401" i="34"/>
  <c r="R375" i="34"/>
  <c r="R374" i="34"/>
  <c r="R373" i="34"/>
  <c r="R372" i="34"/>
  <c r="R371" i="34"/>
  <c r="R369" i="34"/>
  <c r="X41" i="51" l="1"/>
  <c r="X52" i="51" s="1"/>
  <c r="X64" i="51"/>
  <c r="X256" i="34"/>
  <c r="M412" i="34"/>
  <c r="P412" i="34"/>
  <c r="N412" i="34"/>
  <c r="R412" i="34"/>
  <c r="Q412" i="34"/>
  <c r="S412" i="34"/>
  <c r="T412" i="34"/>
  <c r="X402" i="34"/>
  <c r="U412" i="34"/>
  <c r="W412" i="34"/>
  <c r="V412" i="34"/>
  <c r="X404" i="34"/>
  <c r="X401" i="34"/>
  <c r="L412" i="34"/>
  <c r="W368" i="34"/>
  <c r="X375" i="34"/>
  <c r="X374" i="34"/>
  <c r="U368" i="34"/>
  <c r="X373" i="34"/>
  <c r="X372" i="34"/>
  <c r="X371" i="34"/>
  <c r="P368" i="34"/>
  <c r="X370" i="34"/>
  <c r="V368" i="34"/>
  <c r="S368" i="34"/>
  <c r="R368" i="34"/>
  <c r="Q368" i="34"/>
  <c r="X369" i="34"/>
  <c r="T368" i="34"/>
  <c r="O368" i="34"/>
  <c r="N368" i="34"/>
  <c r="M368" i="34"/>
  <c r="L368" i="34"/>
  <c r="X366" i="34"/>
  <c r="A366" i="34"/>
  <c r="A367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W365" i="34"/>
  <c r="V365" i="34"/>
  <c r="U365" i="34"/>
  <c r="T365" i="34"/>
  <c r="S365" i="34"/>
  <c r="R365" i="34"/>
  <c r="Q365" i="34"/>
  <c r="P365" i="34"/>
  <c r="O365" i="34"/>
  <c r="N365" i="34"/>
  <c r="M365" i="34"/>
  <c r="L365" i="34"/>
  <c r="R363" i="34"/>
  <c r="R362" i="34"/>
  <c r="R361" i="34"/>
  <c r="R360" i="34"/>
  <c r="R359" i="34"/>
  <c r="R357" i="34"/>
  <c r="Q376" i="34" l="1"/>
  <c r="M376" i="34"/>
  <c r="L376" i="34"/>
  <c r="T376" i="34"/>
  <c r="N376" i="34"/>
  <c r="O376" i="34"/>
  <c r="X412" i="34"/>
  <c r="P376" i="34"/>
  <c r="S376" i="34"/>
  <c r="U376" i="34"/>
  <c r="W376" i="34"/>
  <c r="V376" i="34"/>
  <c r="X368" i="34"/>
  <c r="R376" i="34"/>
  <c r="X365" i="34"/>
  <c r="X378" i="34"/>
  <c r="X387" i="34"/>
  <c r="X386" i="34"/>
  <c r="X385" i="34"/>
  <c r="X384" i="34"/>
  <c r="X383" i="34"/>
  <c r="X382" i="34"/>
  <c r="X381" i="34"/>
  <c r="W380" i="34"/>
  <c r="V380" i="34"/>
  <c r="U380" i="34"/>
  <c r="T380" i="34"/>
  <c r="S380" i="34"/>
  <c r="R380" i="34"/>
  <c r="Q380" i="34"/>
  <c r="P380" i="34"/>
  <c r="O380" i="34"/>
  <c r="N380" i="34"/>
  <c r="M380" i="34"/>
  <c r="L380" i="34"/>
  <c r="A378" i="34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W377" i="34"/>
  <c r="U377" i="34"/>
  <c r="T377" i="34"/>
  <c r="S377" i="34"/>
  <c r="Q377" i="34"/>
  <c r="P377" i="34"/>
  <c r="O377" i="34"/>
  <c r="N377" i="34"/>
  <c r="M377" i="34"/>
  <c r="L377" i="34"/>
  <c r="Q388" i="34" l="1"/>
  <c r="S388" i="34"/>
  <c r="L388" i="34"/>
  <c r="P388" i="34"/>
  <c r="X376" i="34"/>
  <c r="U388" i="34"/>
  <c r="V388" i="34"/>
  <c r="M388" i="34"/>
  <c r="N388" i="34"/>
  <c r="W388" i="34"/>
  <c r="O388" i="34"/>
  <c r="T388" i="34"/>
  <c r="R377" i="34"/>
  <c r="R388" i="34" s="1"/>
  <c r="X380" i="34"/>
  <c r="P363" i="34"/>
  <c r="P362" i="34"/>
  <c r="P361" i="34"/>
  <c r="P360" i="34"/>
  <c r="P359" i="34"/>
  <c r="P357" i="34"/>
  <c r="X377" i="34" l="1"/>
  <c r="X388" i="34" s="1"/>
  <c r="Q359" i="34"/>
  <c r="Q363" i="34" l="1"/>
  <c r="Q362" i="34"/>
  <c r="Q361" i="34"/>
  <c r="Q360" i="34"/>
  <c r="Q357" i="34"/>
  <c r="X66" i="51" l="1"/>
  <c r="X69" i="51"/>
  <c r="X75" i="51" l="1"/>
  <c r="X74" i="51"/>
  <c r="X73" i="51"/>
  <c r="X72" i="51"/>
  <c r="X71" i="51"/>
  <c r="X70" i="51"/>
  <c r="W68" i="51"/>
  <c r="V68" i="51"/>
  <c r="U68" i="51"/>
  <c r="T68" i="51"/>
  <c r="S68" i="51"/>
  <c r="R68" i="51"/>
  <c r="Q68" i="51"/>
  <c r="P68" i="51"/>
  <c r="O68" i="51"/>
  <c r="N68" i="51"/>
  <c r="M68" i="51"/>
  <c r="L68" i="51"/>
  <c r="B67" i="51"/>
  <c r="B68" i="51" s="1"/>
  <c r="B69" i="51" s="1"/>
  <c r="B70" i="51" s="1"/>
  <c r="B71" i="51" s="1"/>
  <c r="B72" i="51" s="1"/>
  <c r="B73" i="51" s="1"/>
  <c r="B74" i="51" s="1"/>
  <c r="B75" i="51" s="1"/>
  <c r="B76" i="51" s="1"/>
  <c r="A67" i="51"/>
  <c r="A68" i="51" s="1"/>
  <c r="A69" i="51" s="1"/>
  <c r="A70" i="51" s="1"/>
  <c r="A71" i="51" s="1"/>
  <c r="A72" i="51" s="1"/>
  <c r="A73" i="51" s="1"/>
  <c r="A74" i="51" s="1"/>
  <c r="A75" i="51" s="1"/>
  <c r="A76" i="51" s="1"/>
  <c r="W65" i="51"/>
  <c r="V65" i="51"/>
  <c r="U65" i="51"/>
  <c r="T65" i="51"/>
  <c r="S65" i="51"/>
  <c r="R65" i="51"/>
  <c r="Q65" i="51"/>
  <c r="P65" i="51"/>
  <c r="O65" i="51"/>
  <c r="N65" i="51"/>
  <c r="M65" i="51"/>
  <c r="L65" i="51"/>
  <c r="N76" i="51" l="1"/>
  <c r="W76" i="51"/>
  <c r="P76" i="51"/>
  <c r="O76" i="51"/>
  <c r="U76" i="51"/>
  <c r="T76" i="51"/>
  <c r="V76" i="51"/>
  <c r="S76" i="51"/>
  <c r="R76" i="51"/>
  <c r="X65" i="51"/>
  <c r="Q76" i="51"/>
  <c r="M76" i="51"/>
  <c r="X68" i="51"/>
  <c r="L76" i="51"/>
  <c r="X76" i="51" l="1"/>
  <c r="W359" i="34" l="1"/>
  <c r="W363" i="34"/>
  <c r="W362" i="34"/>
  <c r="W361" i="34"/>
  <c r="W360" i="34"/>
  <c r="C17" i="26" l="1"/>
  <c r="C29" i="26" s="1"/>
  <c r="C41" i="26" s="1"/>
  <c r="X390" i="34"/>
  <c r="X399" i="34"/>
  <c r="T392" i="34"/>
  <c r="X398" i="34"/>
  <c r="X397" i="34"/>
  <c r="X396" i="34"/>
  <c r="X395" i="34"/>
  <c r="X394" i="34"/>
  <c r="W392" i="34"/>
  <c r="S392" i="34"/>
  <c r="R392" i="34"/>
  <c r="Q392" i="34"/>
  <c r="X393" i="34"/>
  <c r="V392" i="34"/>
  <c r="U392" i="34"/>
  <c r="O392" i="34"/>
  <c r="N392" i="34"/>
  <c r="M392" i="34"/>
  <c r="L392" i="34"/>
  <c r="A390" i="34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W389" i="34"/>
  <c r="V389" i="34"/>
  <c r="U389" i="34"/>
  <c r="T389" i="34"/>
  <c r="S389" i="34"/>
  <c r="R389" i="34"/>
  <c r="Q389" i="34"/>
  <c r="O389" i="34"/>
  <c r="N389" i="34"/>
  <c r="M389" i="34"/>
  <c r="L389" i="34"/>
  <c r="L400" i="34" l="1"/>
  <c r="N400" i="34"/>
  <c r="M400" i="34"/>
  <c r="Q400" i="34"/>
  <c r="T400" i="34"/>
  <c r="P389" i="34"/>
  <c r="X389" i="34" s="1"/>
  <c r="V400" i="34"/>
  <c r="U400" i="34"/>
  <c r="W400" i="34"/>
  <c r="O400" i="34"/>
  <c r="R400" i="34"/>
  <c r="S400" i="34"/>
  <c r="P392" i="34"/>
  <c r="X354" i="34"/>
  <c r="Q356" i="34"/>
  <c r="U356" i="34"/>
  <c r="V356" i="34"/>
  <c r="W357" i="34"/>
  <c r="W356" i="34" s="1"/>
  <c r="X362" i="34"/>
  <c r="X361" i="34"/>
  <c r="X359" i="34"/>
  <c r="X358" i="34"/>
  <c r="O356" i="34"/>
  <c r="N356" i="34"/>
  <c r="M356" i="34"/>
  <c r="L356" i="34"/>
  <c r="W353" i="34"/>
  <c r="T353" i="34"/>
  <c r="A354" i="34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V353" i="34"/>
  <c r="U353" i="34"/>
  <c r="S353" i="34"/>
  <c r="R353" i="34"/>
  <c r="Q353" i="34"/>
  <c r="P353" i="34"/>
  <c r="N353" i="34"/>
  <c r="M353" i="34"/>
  <c r="L353" i="34"/>
  <c r="L364" i="34" l="1"/>
  <c r="P400" i="34"/>
  <c r="X392" i="34"/>
  <c r="X400" i="34" s="1"/>
  <c r="S356" i="34"/>
  <c r="R356" i="34"/>
  <c r="R364" i="34" s="1"/>
  <c r="V364" i="34"/>
  <c r="N364" i="34"/>
  <c r="M364" i="34"/>
  <c r="T356" i="34"/>
  <c r="O353" i="34"/>
  <c r="O364" i="34" s="1"/>
  <c r="Q364" i="34"/>
  <c r="W364" i="34"/>
  <c r="U364" i="34"/>
  <c r="X360" i="34"/>
  <c r="X363" i="34"/>
  <c r="P356" i="34"/>
  <c r="X357" i="34"/>
  <c r="N341" i="34"/>
  <c r="N305" i="34"/>
  <c r="X315" i="34"/>
  <c r="X314" i="34"/>
  <c r="X313" i="34"/>
  <c r="X312" i="34"/>
  <c r="X311" i="34"/>
  <c r="X310" i="34"/>
  <c r="X309" i="34"/>
  <c r="W308" i="34"/>
  <c r="V308" i="34"/>
  <c r="U308" i="34"/>
  <c r="T308" i="34"/>
  <c r="S308" i="34"/>
  <c r="R308" i="34"/>
  <c r="Q308" i="34"/>
  <c r="P308" i="34"/>
  <c r="O308" i="34"/>
  <c r="N308" i="34"/>
  <c r="M308" i="34"/>
  <c r="L308" i="34"/>
  <c r="A306" i="34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W305" i="34"/>
  <c r="V305" i="34"/>
  <c r="U305" i="34"/>
  <c r="T305" i="34"/>
  <c r="S305" i="34"/>
  <c r="R305" i="34"/>
  <c r="Q305" i="34"/>
  <c r="P305" i="34"/>
  <c r="O305" i="34"/>
  <c r="M305" i="34"/>
  <c r="L305" i="34"/>
  <c r="S344" i="34"/>
  <c r="T344" i="34"/>
  <c r="U344" i="34"/>
  <c r="V344" i="34"/>
  <c r="W345" i="34"/>
  <c r="W344" i="34" s="1"/>
  <c r="R344" i="34"/>
  <c r="S341" i="34"/>
  <c r="T341" i="34"/>
  <c r="U341" i="34"/>
  <c r="V341" i="34"/>
  <c r="W342" i="34"/>
  <c r="W341" i="34" s="1"/>
  <c r="R341" i="34"/>
  <c r="X351" i="34"/>
  <c r="X350" i="34"/>
  <c r="X349" i="34"/>
  <c r="X348" i="34"/>
  <c r="X347" i="34"/>
  <c r="X346" i="34"/>
  <c r="Q344" i="34"/>
  <c r="P344" i="34"/>
  <c r="O344" i="34"/>
  <c r="N344" i="34"/>
  <c r="M344" i="34"/>
  <c r="L344" i="34"/>
  <c r="A342" i="34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Q341" i="34"/>
  <c r="P341" i="34"/>
  <c r="O341" i="34"/>
  <c r="M341" i="34"/>
  <c r="L341" i="34"/>
  <c r="S364" i="34" l="1"/>
  <c r="L316" i="34"/>
  <c r="R316" i="34"/>
  <c r="X353" i="34"/>
  <c r="V316" i="34"/>
  <c r="S316" i="34"/>
  <c r="T364" i="34"/>
  <c r="X356" i="34"/>
  <c r="O316" i="34"/>
  <c r="P364" i="34"/>
  <c r="W316" i="34"/>
  <c r="Q316" i="34"/>
  <c r="X306" i="34"/>
  <c r="U316" i="34"/>
  <c r="T316" i="34"/>
  <c r="P316" i="34"/>
  <c r="X308" i="34"/>
  <c r="M316" i="34"/>
  <c r="N316" i="34"/>
  <c r="X305" i="34"/>
  <c r="M352" i="34"/>
  <c r="N352" i="34"/>
  <c r="P352" i="34"/>
  <c r="Q352" i="34"/>
  <c r="X345" i="34"/>
  <c r="W352" i="34"/>
  <c r="U352" i="34"/>
  <c r="T352" i="34"/>
  <c r="S352" i="34"/>
  <c r="V352" i="34"/>
  <c r="R352" i="34"/>
  <c r="X344" i="34"/>
  <c r="O352" i="34"/>
  <c r="X342" i="34"/>
  <c r="X341" i="34"/>
  <c r="L352" i="34"/>
  <c r="M53" i="31"/>
  <c r="W53" i="31"/>
  <c r="M54" i="31"/>
  <c r="L54" i="31"/>
  <c r="L53" i="31"/>
  <c r="X339" i="34"/>
  <c r="X338" i="34"/>
  <c r="X337" i="34"/>
  <c r="X336" i="34"/>
  <c r="X335" i="34"/>
  <c r="X334" i="34"/>
  <c r="X333" i="34"/>
  <c r="W332" i="34"/>
  <c r="V332" i="34"/>
  <c r="U332" i="34"/>
  <c r="T332" i="34"/>
  <c r="S332" i="34"/>
  <c r="R332" i="34"/>
  <c r="Q332" i="34"/>
  <c r="P332" i="34"/>
  <c r="O332" i="34"/>
  <c r="N332" i="34"/>
  <c r="M332" i="34"/>
  <c r="L332" i="34"/>
  <c r="X330" i="34"/>
  <c r="A330" i="34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W329" i="34"/>
  <c r="V329" i="34"/>
  <c r="U329" i="34"/>
  <c r="T329" i="34"/>
  <c r="S329" i="34"/>
  <c r="R329" i="34"/>
  <c r="Q329" i="34"/>
  <c r="P329" i="34"/>
  <c r="O329" i="34"/>
  <c r="N329" i="34"/>
  <c r="M329" i="34"/>
  <c r="L329" i="34"/>
  <c r="X51" i="31"/>
  <c r="X50" i="31"/>
  <c r="X49" i="31"/>
  <c r="X48" i="31"/>
  <c r="X47" i="31"/>
  <c r="X46" i="31"/>
  <c r="X45" i="31"/>
  <c r="W44" i="31"/>
  <c r="W54" i="31" s="1"/>
  <c r="V44" i="31"/>
  <c r="U44" i="31"/>
  <c r="T44" i="31"/>
  <c r="S44" i="31"/>
  <c r="R44" i="31"/>
  <c r="Q44" i="31"/>
  <c r="P44" i="31"/>
  <c r="O44" i="31"/>
  <c r="N44" i="31"/>
  <c r="M44" i="31"/>
  <c r="L44" i="31"/>
  <c r="X42" i="31"/>
  <c r="B42" i="3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A42" i="3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W41" i="31"/>
  <c r="V41" i="31"/>
  <c r="U41" i="31"/>
  <c r="T41" i="31"/>
  <c r="S41" i="31"/>
  <c r="R41" i="31"/>
  <c r="Q41" i="31"/>
  <c r="P41" i="31"/>
  <c r="O41" i="31"/>
  <c r="N41" i="31"/>
  <c r="M41" i="31"/>
  <c r="M52" i="31" s="1"/>
  <c r="L41" i="31"/>
  <c r="M17" i="26"/>
  <c r="X27" i="26"/>
  <c r="X26" i="26"/>
  <c r="X25" i="26"/>
  <c r="X24" i="26"/>
  <c r="X23" i="26"/>
  <c r="X22" i="26"/>
  <c r="X21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A18" i="26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W17" i="26"/>
  <c r="V17" i="26"/>
  <c r="U17" i="26"/>
  <c r="T17" i="26"/>
  <c r="S17" i="26"/>
  <c r="R17" i="26"/>
  <c r="Q17" i="26"/>
  <c r="P17" i="26"/>
  <c r="O17" i="26"/>
  <c r="N17" i="26"/>
  <c r="L17" i="26"/>
  <c r="V28" i="26" l="1"/>
  <c r="X364" i="34"/>
  <c r="Q52" i="31"/>
  <c r="T28" i="26"/>
  <c r="S28" i="26"/>
  <c r="U28" i="26"/>
  <c r="W28" i="26"/>
  <c r="P28" i="26"/>
  <c r="O52" i="31"/>
  <c r="O28" i="26"/>
  <c r="W52" i="31"/>
  <c r="X316" i="34"/>
  <c r="X352" i="34"/>
  <c r="V340" i="34"/>
  <c r="S340" i="34"/>
  <c r="T340" i="34"/>
  <c r="U340" i="34"/>
  <c r="R340" i="34"/>
  <c r="W340" i="34"/>
  <c r="Q340" i="34"/>
  <c r="X332" i="34"/>
  <c r="P340" i="34"/>
  <c r="O340" i="34"/>
  <c r="L340" i="34"/>
  <c r="M340" i="34"/>
  <c r="N340" i="34"/>
  <c r="X329" i="34"/>
  <c r="R52" i="31"/>
  <c r="T52" i="31"/>
  <c r="U52" i="31"/>
  <c r="V52" i="31"/>
  <c r="X44" i="31"/>
  <c r="S52" i="31"/>
  <c r="L52" i="31"/>
  <c r="N52" i="31"/>
  <c r="X41" i="31"/>
  <c r="P52" i="31"/>
  <c r="X18" i="26"/>
  <c r="N28" i="26"/>
  <c r="Q28" i="26"/>
  <c r="R28" i="26"/>
  <c r="L28" i="26"/>
  <c r="X17" i="26"/>
  <c r="M28" i="26"/>
  <c r="X20" i="26"/>
  <c r="L185" i="34"/>
  <c r="L29" i="51"/>
  <c r="X39" i="51"/>
  <c r="X38" i="51"/>
  <c r="X37" i="51"/>
  <c r="X36" i="51"/>
  <c r="X35" i="51"/>
  <c r="X34" i="51"/>
  <c r="X33" i="51"/>
  <c r="W32" i="51"/>
  <c r="V32" i="51"/>
  <c r="V78" i="51" s="1"/>
  <c r="U32" i="51"/>
  <c r="T32" i="51"/>
  <c r="S32" i="51"/>
  <c r="R32" i="51"/>
  <c r="Q32" i="51"/>
  <c r="P32" i="51"/>
  <c r="O32" i="51"/>
  <c r="N32" i="51"/>
  <c r="M32" i="51"/>
  <c r="L32" i="51"/>
  <c r="A30" i="5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W29" i="51"/>
  <c r="V29" i="51"/>
  <c r="V77" i="51" s="1"/>
  <c r="U29" i="51"/>
  <c r="T29" i="51"/>
  <c r="S29" i="51"/>
  <c r="R29" i="51"/>
  <c r="Q29" i="51"/>
  <c r="P29" i="51"/>
  <c r="O29" i="51"/>
  <c r="N29" i="51"/>
  <c r="M29" i="51"/>
  <c r="X195" i="34"/>
  <c r="X194" i="34"/>
  <c r="X193" i="34"/>
  <c r="X192" i="34"/>
  <c r="X191" i="34"/>
  <c r="X190" i="34"/>
  <c r="X189" i="34"/>
  <c r="W188" i="34"/>
  <c r="V188" i="34"/>
  <c r="U188" i="34"/>
  <c r="T188" i="34"/>
  <c r="S188" i="34"/>
  <c r="R188" i="34"/>
  <c r="Q188" i="34"/>
  <c r="P188" i="34"/>
  <c r="O188" i="34"/>
  <c r="N188" i="34"/>
  <c r="M188" i="34"/>
  <c r="L188" i="34"/>
  <c r="A186" i="34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W185" i="34"/>
  <c r="V185" i="34"/>
  <c r="U185" i="34"/>
  <c r="T185" i="34"/>
  <c r="S185" i="34"/>
  <c r="R185" i="34"/>
  <c r="Q185" i="34"/>
  <c r="P185" i="34"/>
  <c r="O185" i="34"/>
  <c r="N185" i="34"/>
  <c r="M185" i="34"/>
  <c r="Q40" i="51" l="1"/>
  <c r="T40" i="51"/>
  <c r="S40" i="51"/>
  <c r="P40" i="51"/>
  <c r="V40" i="51"/>
  <c r="N40" i="51"/>
  <c r="X340" i="34"/>
  <c r="X52" i="31"/>
  <c r="X28" i="26"/>
  <c r="X186" i="34"/>
  <c r="X30" i="51"/>
  <c r="U196" i="34"/>
  <c r="X185" i="34"/>
  <c r="X29" i="51"/>
  <c r="O40" i="51"/>
  <c r="W40" i="51"/>
  <c r="R40" i="51"/>
  <c r="X32" i="51"/>
  <c r="M40" i="51"/>
  <c r="U40" i="51"/>
  <c r="L40" i="51"/>
  <c r="Q196" i="34"/>
  <c r="R196" i="34"/>
  <c r="N196" i="34"/>
  <c r="W196" i="34"/>
  <c r="P196" i="34"/>
  <c r="V196" i="34"/>
  <c r="O196" i="34"/>
  <c r="S196" i="34"/>
  <c r="T196" i="34"/>
  <c r="X188" i="34"/>
  <c r="M196" i="34"/>
  <c r="L196" i="34"/>
  <c r="X196" i="34" l="1"/>
  <c r="X40" i="51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X243" i="34"/>
  <c r="X242" i="34"/>
  <c r="X241" i="34"/>
  <c r="X240" i="34"/>
  <c r="X239" i="34"/>
  <c r="X238" i="34"/>
  <c r="X237" i="34"/>
  <c r="X234" i="34"/>
  <c r="A234" i="34"/>
  <c r="A235" i="34" s="1"/>
  <c r="A236" i="34" s="1"/>
  <c r="A237" i="34" s="1"/>
  <c r="A238" i="34" s="1"/>
  <c r="A239" i="34" s="1"/>
  <c r="A240" i="34" s="1"/>
  <c r="A241" i="34" s="1"/>
  <c r="A242" i="34" s="1"/>
  <c r="A243" i="34" s="1"/>
  <c r="A244" i="34" s="1"/>
  <c r="W233" i="34"/>
  <c r="V233" i="34"/>
  <c r="U233" i="34"/>
  <c r="T233" i="34"/>
  <c r="S233" i="34"/>
  <c r="R233" i="34"/>
  <c r="Q233" i="34"/>
  <c r="P233" i="34"/>
  <c r="O233" i="34"/>
  <c r="N233" i="34"/>
  <c r="M233" i="34"/>
  <c r="L233" i="34"/>
  <c r="W260" i="34"/>
  <c r="V260" i="34"/>
  <c r="U260" i="34"/>
  <c r="T260" i="34"/>
  <c r="S260" i="34"/>
  <c r="R260" i="34"/>
  <c r="Q260" i="34"/>
  <c r="P260" i="34"/>
  <c r="O260" i="34"/>
  <c r="N260" i="34"/>
  <c r="M260" i="34"/>
  <c r="L260" i="34"/>
  <c r="W20" i="51"/>
  <c r="V20" i="51"/>
  <c r="U20" i="51"/>
  <c r="T20" i="51"/>
  <c r="S20" i="51"/>
  <c r="R20" i="51"/>
  <c r="Q20" i="51"/>
  <c r="P20" i="51"/>
  <c r="O20" i="51"/>
  <c r="N20" i="51"/>
  <c r="M20" i="51"/>
  <c r="X27" i="51"/>
  <c r="X26" i="51"/>
  <c r="X25" i="51"/>
  <c r="X24" i="51"/>
  <c r="X23" i="51"/>
  <c r="X22" i="51"/>
  <c r="X21" i="51"/>
  <c r="L20" i="51"/>
  <c r="X18" i="51"/>
  <c r="A18" i="5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W17" i="51"/>
  <c r="V17" i="51"/>
  <c r="U17" i="51"/>
  <c r="T17" i="51"/>
  <c r="S17" i="51"/>
  <c r="R17" i="51"/>
  <c r="Q17" i="51"/>
  <c r="P17" i="51"/>
  <c r="O17" i="51"/>
  <c r="N17" i="51"/>
  <c r="M17" i="51"/>
  <c r="L17" i="51"/>
  <c r="X303" i="34"/>
  <c r="X302" i="34"/>
  <c r="X301" i="34"/>
  <c r="X300" i="34"/>
  <c r="X299" i="34"/>
  <c r="X298" i="34"/>
  <c r="X297" i="34"/>
  <c r="W296" i="34"/>
  <c r="V296" i="34"/>
  <c r="U296" i="34"/>
  <c r="T296" i="34"/>
  <c r="S296" i="34"/>
  <c r="R296" i="34"/>
  <c r="Q296" i="34"/>
  <c r="P296" i="34"/>
  <c r="O296" i="34"/>
  <c r="N296" i="34"/>
  <c r="M296" i="34"/>
  <c r="L296" i="34"/>
  <c r="X294" i="34"/>
  <c r="A294" i="34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W293" i="34"/>
  <c r="V293" i="34"/>
  <c r="U293" i="34"/>
  <c r="T293" i="34"/>
  <c r="S293" i="34"/>
  <c r="R293" i="34"/>
  <c r="Q293" i="34"/>
  <c r="P293" i="34"/>
  <c r="O293" i="34"/>
  <c r="N293" i="34"/>
  <c r="M293" i="34"/>
  <c r="L293" i="34"/>
  <c r="A23" i="52"/>
  <c r="A20" i="52"/>
  <c r="A17" i="52"/>
  <c r="A14" i="52"/>
  <c r="A11" i="52"/>
  <c r="A8" i="52"/>
  <c r="A5" i="52"/>
  <c r="X183" i="34"/>
  <c r="X182" i="34"/>
  <c r="X181" i="34"/>
  <c r="X180" i="34"/>
  <c r="X179" i="34"/>
  <c r="X178" i="34"/>
  <c r="X177" i="34"/>
  <c r="W176" i="34"/>
  <c r="V176" i="34"/>
  <c r="U176" i="34"/>
  <c r="T176" i="34"/>
  <c r="S176" i="34"/>
  <c r="R176" i="34"/>
  <c r="Q176" i="34"/>
  <c r="P176" i="34"/>
  <c r="O176" i="34"/>
  <c r="N176" i="34"/>
  <c r="M176" i="34"/>
  <c r="L176" i="34"/>
  <c r="X174" i="34"/>
  <c r="A174" i="34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W173" i="34"/>
  <c r="V173" i="34"/>
  <c r="U173" i="34"/>
  <c r="T173" i="34"/>
  <c r="S173" i="34"/>
  <c r="R173" i="34"/>
  <c r="Q173" i="34"/>
  <c r="P173" i="34"/>
  <c r="O173" i="34"/>
  <c r="N173" i="34"/>
  <c r="M173" i="34"/>
  <c r="L173" i="34"/>
  <c r="C5" i="51"/>
  <c r="C17" i="51" s="1"/>
  <c r="C5" i="31"/>
  <c r="C17" i="32"/>
  <c r="C29" i="51" l="1"/>
  <c r="S304" i="34"/>
  <c r="U304" i="34"/>
  <c r="R244" i="34"/>
  <c r="O304" i="34"/>
  <c r="L304" i="34"/>
  <c r="R304" i="34"/>
  <c r="T28" i="51"/>
  <c r="U28" i="51"/>
  <c r="N28" i="51"/>
  <c r="V28" i="51"/>
  <c r="M28" i="51"/>
  <c r="R28" i="51"/>
  <c r="S28" i="51"/>
  <c r="Q304" i="34"/>
  <c r="M244" i="34"/>
  <c r="U244" i="34"/>
  <c r="T244" i="34"/>
  <c r="V304" i="34"/>
  <c r="W184" i="34"/>
  <c r="Q244" i="34"/>
  <c r="X236" i="34"/>
  <c r="O244" i="34"/>
  <c r="P244" i="34"/>
  <c r="N244" i="34"/>
  <c r="W244" i="34"/>
  <c r="V244" i="34"/>
  <c r="S244" i="34"/>
  <c r="X233" i="34"/>
  <c r="W304" i="34"/>
  <c r="P304" i="34"/>
  <c r="L244" i="34"/>
  <c r="L184" i="34"/>
  <c r="X296" i="34"/>
  <c r="T304" i="34"/>
  <c r="M304" i="34"/>
  <c r="N304" i="34"/>
  <c r="W28" i="51"/>
  <c r="O28" i="51"/>
  <c r="P28" i="51"/>
  <c r="Q28" i="51"/>
  <c r="X20" i="51"/>
  <c r="X17" i="51"/>
  <c r="L28" i="51"/>
  <c r="X293" i="34"/>
  <c r="V184" i="34"/>
  <c r="S184" i="34"/>
  <c r="M184" i="34"/>
  <c r="N184" i="34"/>
  <c r="T184" i="34"/>
  <c r="Q184" i="34"/>
  <c r="X176" i="34"/>
  <c r="O184" i="34"/>
  <c r="P184" i="34"/>
  <c r="U184" i="34"/>
  <c r="R184" i="34"/>
  <c r="X173" i="34"/>
  <c r="X222" i="34"/>
  <c r="X210" i="34"/>
  <c r="V221" i="34"/>
  <c r="W221" i="34"/>
  <c r="V224" i="34"/>
  <c r="W224" i="34"/>
  <c r="X231" i="34"/>
  <c r="X230" i="34"/>
  <c r="X229" i="34"/>
  <c r="X228" i="34"/>
  <c r="X227" i="34"/>
  <c r="X226" i="34"/>
  <c r="X225" i="34"/>
  <c r="U224" i="34"/>
  <c r="T224" i="34"/>
  <c r="S224" i="34"/>
  <c r="R224" i="34"/>
  <c r="Q224" i="34"/>
  <c r="P224" i="34"/>
  <c r="O224" i="34"/>
  <c r="N224" i="34"/>
  <c r="M224" i="34"/>
  <c r="L224" i="34"/>
  <c r="A222" i="34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U221" i="34"/>
  <c r="S221" i="34"/>
  <c r="R221" i="34"/>
  <c r="Q221" i="34"/>
  <c r="P221" i="34"/>
  <c r="O221" i="34"/>
  <c r="N221" i="34"/>
  <c r="M221" i="34"/>
  <c r="L221" i="34"/>
  <c r="V209" i="34"/>
  <c r="W209" i="34"/>
  <c r="V212" i="34"/>
  <c r="W212" i="34"/>
  <c r="X219" i="34"/>
  <c r="X218" i="34"/>
  <c r="X217" i="34"/>
  <c r="X216" i="34"/>
  <c r="X215" i="34"/>
  <c r="X214" i="34"/>
  <c r="X213" i="34"/>
  <c r="U212" i="34"/>
  <c r="T212" i="34"/>
  <c r="S212" i="34"/>
  <c r="R212" i="34"/>
  <c r="Q212" i="34"/>
  <c r="P212" i="34"/>
  <c r="O212" i="34"/>
  <c r="N212" i="34"/>
  <c r="M212" i="34"/>
  <c r="L212" i="34"/>
  <c r="A210" i="34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U209" i="34"/>
  <c r="S209" i="34"/>
  <c r="R209" i="34"/>
  <c r="Q209" i="34"/>
  <c r="P209" i="34"/>
  <c r="O209" i="34"/>
  <c r="N209" i="34"/>
  <c r="M209" i="34"/>
  <c r="L209" i="34"/>
  <c r="X28" i="51" l="1"/>
  <c r="X304" i="34"/>
  <c r="X244" i="34"/>
  <c r="X184" i="34"/>
  <c r="Q220" i="34"/>
  <c r="L232" i="34"/>
  <c r="O232" i="34"/>
  <c r="Q232" i="34"/>
  <c r="R232" i="34"/>
  <c r="V232" i="34"/>
  <c r="P232" i="34"/>
  <c r="M232" i="34"/>
  <c r="S232" i="34"/>
  <c r="N232" i="34"/>
  <c r="W232" i="34"/>
  <c r="T221" i="34"/>
  <c r="T232" i="34" s="1"/>
  <c r="T209" i="34"/>
  <c r="T220" i="34" s="1"/>
  <c r="U232" i="34"/>
  <c r="X224" i="34"/>
  <c r="W220" i="34"/>
  <c r="M220" i="34"/>
  <c r="N220" i="34"/>
  <c r="V220" i="34"/>
  <c r="L220" i="34"/>
  <c r="P220" i="34"/>
  <c r="U220" i="34"/>
  <c r="S220" i="34"/>
  <c r="X212" i="34"/>
  <c r="R220" i="34"/>
  <c r="O220" i="34"/>
  <c r="R17" i="16"/>
  <c r="X209" i="34" l="1"/>
  <c r="X220" i="34" s="1"/>
  <c r="X221" i="34"/>
  <c r="X232" i="34" s="1"/>
  <c r="X327" i="34"/>
  <c r="X326" i="34"/>
  <c r="X325" i="34"/>
  <c r="X324" i="34"/>
  <c r="X323" i="34"/>
  <c r="X322" i="34"/>
  <c r="X321" i="34"/>
  <c r="W320" i="34"/>
  <c r="V320" i="34"/>
  <c r="U320" i="34"/>
  <c r="T320" i="34"/>
  <c r="S320" i="34"/>
  <c r="R320" i="34"/>
  <c r="Q320" i="34"/>
  <c r="P320" i="34"/>
  <c r="O320" i="34"/>
  <c r="N320" i="34"/>
  <c r="M320" i="34"/>
  <c r="L320" i="34"/>
  <c r="X318" i="34"/>
  <c r="A318" i="34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W317" i="34"/>
  <c r="V317" i="34"/>
  <c r="U317" i="34"/>
  <c r="T317" i="34"/>
  <c r="S317" i="34"/>
  <c r="R317" i="34"/>
  <c r="Q317" i="34"/>
  <c r="P317" i="34"/>
  <c r="O317" i="34"/>
  <c r="N317" i="34"/>
  <c r="M317" i="34"/>
  <c r="L317" i="34"/>
  <c r="P328" i="34" l="1"/>
  <c r="O328" i="34"/>
  <c r="V328" i="34"/>
  <c r="U328" i="34"/>
  <c r="M328" i="34"/>
  <c r="N328" i="34"/>
  <c r="Q328" i="34"/>
  <c r="R328" i="34"/>
  <c r="T328" i="34"/>
  <c r="W328" i="34"/>
  <c r="S328" i="34"/>
  <c r="X320" i="34"/>
  <c r="X317" i="34"/>
  <c r="L328" i="34"/>
  <c r="X328" i="34" l="1"/>
  <c r="Q281" i="34"/>
  <c r="X291" i="34"/>
  <c r="X290" i="34"/>
  <c r="X289" i="34"/>
  <c r="X288" i="34"/>
  <c r="X287" i="34"/>
  <c r="X286" i="34"/>
  <c r="X285" i="34"/>
  <c r="W284" i="34"/>
  <c r="V284" i="34"/>
  <c r="U284" i="34"/>
  <c r="T284" i="34"/>
  <c r="S284" i="34"/>
  <c r="R284" i="34"/>
  <c r="Q284" i="34"/>
  <c r="P284" i="34"/>
  <c r="O284" i="34"/>
  <c r="N284" i="34"/>
  <c r="M284" i="34"/>
  <c r="L284" i="34"/>
  <c r="A282" i="34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W281" i="34"/>
  <c r="V281" i="34"/>
  <c r="U281" i="34"/>
  <c r="T281" i="34"/>
  <c r="S281" i="34"/>
  <c r="R281" i="34"/>
  <c r="P281" i="34"/>
  <c r="O281" i="34"/>
  <c r="N281" i="34"/>
  <c r="M281" i="34"/>
  <c r="L281" i="34"/>
  <c r="T292" i="34" l="1"/>
  <c r="N292" i="34"/>
  <c r="M292" i="34"/>
  <c r="O292" i="34"/>
  <c r="P292" i="34"/>
  <c r="Q292" i="34"/>
  <c r="X282" i="34"/>
  <c r="R292" i="34"/>
  <c r="W292" i="34"/>
  <c r="U292" i="34"/>
  <c r="V292" i="34"/>
  <c r="S292" i="34"/>
  <c r="X284" i="34"/>
  <c r="X281" i="34"/>
  <c r="L292" i="34"/>
  <c r="X292" i="34" l="1"/>
  <c r="N161" i="34" l="1"/>
  <c r="X170" i="34"/>
  <c r="X168" i="34"/>
  <c r="X167" i="34"/>
  <c r="X165" i="34"/>
  <c r="X171" i="34"/>
  <c r="X169" i="34"/>
  <c r="X166" i="34"/>
  <c r="W164" i="34"/>
  <c r="V164" i="34"/>
  <c r="U164" i="34"/>
  <c r="T164" i="34"/>
  <c r="S164" i="34"/>
  <c r="R164" i="34"/>
  <c r="Q164" i="34"/>
  <c r="P164" i="34"/>
  <c r="N164" i="34"/>
  <c r="M164" i="34"/>
  <c r="L164" i="34"/>
  <c r="A162" i="34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W161" i="34"/>
  <c r="V161" i="34"/>
  <c r="U161" i="34"/>
  <c r="T161" i="34"/>
  <c r="S161" i="34"/>
  <c r="R161" i="34"/>
  <c r="Q161" i="34"/>
  <c r="P161" i="34"/>
  <c r="O161" i="34"/>
  <c r="M161" i="34"/>
  <c r="L161" i="34"/>
  <c r="T172" i="34" l="1"/>
  <c r="U172" i="34"/>
  <c r="M172" i="34"/>
  <c r="W172" i="34"/>
  <c r="S172" i="34"/>
  <c r="V172" i="34"/>
  <c r="Q172" i="34"/>
  <c r="P172" i="34"/>
  <c r="N172" i="34"/>
  <c r="X162" i="34"/>
  <c r="R172" i="34"/>
  <c r="L172" i="34"/>
  <c r="O164" i="34"/>
  <c r="O172" i="34" s="1"/>
  <c r="X161" i="34"/>
  <c r="X164" i="34" l="1"/>
  <c r="X172" i="34" s="1"/>
  <c r="A17" i="9" l="1"/>
  <c r="A20" i="9"/>
  <c r="A198" i="34"/>
  <c r="A199" i="34" s="1"/>
  <c r="A200" i="34" s="1"/>
  <c r="A201" i="34" s="1"/>
  <c r="A202" i="34" s="1"/>
  <c r="A203" i="34" s="1"/>
  <c r="A204" i="34" s="1"/>
  <c r="A205" i="34" s="1"/>
  <c r="A206" i="34" s="1"/>
  <c r="A207" i="34" s="1"/>
  <c r="A208" i="34" s="1"/>
  <c r="X51" i="34"/>
  <c r="X50" i="34"/>
  <c r="X49" i="34"/>
  <c r="X48" i="34"/>
  <c r="X47" i="34"/>
  <c r="X46" i="34"/>
  <c r="X45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X42" i="34"/>
  <c r="A42" i="34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W41" i="34"/>
  <c r="V41" i="34"/>
  <c r="U41" i="34"/>
  <c r="T41" i="34"/>
  <c r="S41" i="34"/>
  <c r="R41" i="34"/>
  <c r="Q41" i="34"/>
  <c r="P41" i="34"/>
  <c r="O41" i="34"/>
  <c r="N41" i="34"/>
  <c r="M41" i="34"/>
  <c r="L41" i="34"/>
  <c r="X87" i="34"/>
  <c r="X86" i="34"/>
  <c r="X85" i="34"/>
  <c r="X84" i="34"/>
  <c r="X83" i="34"/>
  <c r="X82" i="34"/>
  <c r="X81" i="34"/>
  <c r="W80" i="34"/>
  <c r="V80" i="34"/>
  <c r="U80" i="34"/>
  <c r="T80" i="34"/>
  <c r="S80" i="34"/>
  <c r="R80" i="34"/>
  <c r="Q80" i="34"/>
  <c r="P80" i="34"/>
  <c r="O80" i="34"/>
  <c r="N80" i="34"/>
  <c r="M80" i="34"/>
  <c r="L80" i="34"/>
  <c r="X78" i="34"/>
  <c r="A78" i="34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W77" i="34"/>
  <c r="V77" i="34"/>
  <c r="U77" i="34"/>
  <c r="T77" i="34"/>
  <c r="S77" i="34"/>
  <c r="R77" i="34"/>
  <c r="Q77" i="34"/>
  <c r="P77" i="34"/>
  <c r="O77" i="34"/>
  <c r="N77" i="34"/>
  <c r="M77" i="34"/>
  <c r="L77" i="34"/>
  <c r="X75" i="34"/>
  <c r="X74" i="34"/>
  <c r="X73" i="34"/>
  <c r="X72" i="34"/>
  <c r="X71" i="34"/>
  <c r="X70" i="34"/>
  <c r="X69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X66" i="34"/>
  <c r="A66" i="34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W65" i="34"/>
  <c r="V65" i="34"/>
  <c r="U65" i="34"/>
  <c r="T65" i="34"/>
  <c r="S65" i="34"/>
  <c r="R65" i="34"/>
  <c r="Q65" i="34"/>
  <c r="P65" i="34"/>
  <c r="O65" i="34"/>
  <c r="N65" i="34"/>
  <c r="M65" i="34"/>
  <c r="L65" i="34"/>
  <c r="X39" i="34"/>
  <c r="X38" i="34"/>
  <c r="X37" i="34"/>
  <c r="X36" i="34"/>
  <c r="X35" i="34"/>
  <c r="X34" i="34"/>
  <c r="X33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X30" i="34"/>
  <c r="A30" i="34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W29" i="34"/>
  <c r="V29" i="34"/>
  <c r="U29" i="34"/>
  <c r="T29" i="34"/>
  <c r="S29" i="34"/>
  <c r="R29" i="34"/>
  <c r="Q29" i="34"/>
  <c r="P29" i="34"/>
  <c r="O29" i="34"/>
  <c r="N29" i="34"/>
  <c r="M29" i="34"/>
  <c r="L29" i="34"/>
  <c r="L101" i="34"/>
  <c r="M101" i="34"/>
  <c r="N101" i="34"/>
  <c r="O101" i="34"/>
  <c r="P101" i="34"/>
  <c r="Q101" i="34"/>
  <c r="R101" i="34"/>
  <c r="S101" i="34"/>
  <c r="T101" i="34"/>
  <c r="U101" i="34"/>
  <c r="V101" i="34"/>
  <c r="W101" i="34"/>
  <c r="A102" i="34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X102" i="34"/>
  <c r="X103" i="34"/>
  <c r="L104" i="34"/>
  <c r="M104" i="34"/>
  <c r="N104" i="34"/>
  <c r="O104" i="34"/>
  <c r="P104" i="34"/>
  <c r="Q104" i="34"/>
  <c r="R104" i="34"/>
  <c r="S104" i="34"/>
  <c r="T104" i="34"/>
  <c r="U104" i="34"/>
  <c r="V104" i="34"/>
  <c r="W104" i="34"/>
  <c r="X105" i="34"/>
  <c r="X106" i="34"/>
  <c r="X107" i="34"/>
  <c r="X108" i="34"/>
  <c r="X109" i="34"/>
  <c r="X110" i="34"/>
  <c r="X111" i="34"/>
  <c r="X15" i="51"/>
  <c r="X14" i="51"/>
  <c r="X13" i="51"/>
  <c r="X12" i="51"/>
  <c r="X11" i="51"/>
  <c r="X10" i="51"/>
  <c r="X9" i="51"/>
  <c r="W8" i="51"/>
  <c r="V8" i="51"/>
  <c r="U8" i="51"/>
  <c r="T8" i="51"/>
  <c r="S8" i="51"/>
  <c r="R8" i="51"/>
  <c r="Q8" i="51"/>
  <c r="P8" i="51"/>
  <c r="O8" i="51"/>
  <c r="N8" i="51"/>
  <c r="M8" i="51"/>
  <c r="L8" i="51"/>
  <c r="X6" i="51"/>
  <c r="A6" i="51"/>
  <c r="A7" i="51" s="1"/>
  <c r="A8" i="51" s="1"/>
  <c r="A9" i="51" s="1"/>
  <c r="A10" i="51" s="1"/>
  <c r="A11" i="51" s="1"/>
  <c r="A12" i="51" s="1"/>
  <c r="A13" i="51" s="1"/>
  <c r="A14" i="51" s="1"/>
  <c r="A15" i="51" s="1"/>
  <c r="A16" i="51" s="1"/>
  <c r="W5" i="51"/>
  <c r="V5" i="51"/>
  <c r="U5" i="51"/>
  <c r="T5" i="51"/>
  <c r="S5" i="51"/>
  <c r="R5" i="51"/>
  <c r="Q5" i="51"/>
  <c r="P5" i="51"/>
  <c r="O5" i="51"/>
  <c r="N5" i="51"/>
  <c r="M5" i="51"/>
  <c r="L5" i="51"/>
  <c r="L200" i="34"/>
  <c r="L79" i="51" l="1"/>
  <c r="O2" i="51"/>
  <c r="U79" i="51"/>
  <c r="V3" i="51"/>
  <c r="W3" i="51"/>
  <c r="L3" i="51"/>
  <c r="N3" i="51"/>
  <c r="R80" i="51"/>
  <c r="O79" i="51"/>
  <c r="T79" i="51"/>
  <c r="P112" i="34"/>
  <c r="P79" i="51"/>
  <c r="Q3" i="51"/>
  <c r="S3" i="51"/>
  <c r="U112" i="34"/>
  <c r="N112" i="34"/>
  <c r="M112" i="34"/>
  <c r="M3" i="51"/>
  <c r="L2" i="51"/>
  <c r="U2" i="51"/>
  <c r="M16" i="51"/>
  <c r="U16" i="51"/>
  <c r="V52" i="34"/>
  <c r="N52" i="34"/>
  <c r="R52" i="34"/>
  <c r="O40" i="34"/>
  <c r="W40" i="34"/>
  <c r="M76" i="34"/>
  <c r="U76" i="34"/>
  <c r="Q52" i="34"/>
  <c r="T52" i="34"/>
  <c r="M40" i="34"/>
  <c r="U40" i="34"/>
  <c r="S76" i="34"/>
  <c r="Q88" i="34"/>
  <c r="O52" i="34"/>
  <c r="W52" i="34"/>
  <c r="P52" i="34"/>
  <c r="S88" i="34"/>
  <c r="S52" i="34"/>
  <c r="X44" i="34"/>
  <c r="M52" i="34"/>
  <c r="U52" i="34"/>
  <c r="X41" i="34"/>
  <c r="V112" i="34"/>
  <c r="W112" i="34"/>
  <c r="Q40" i="34"/>
  <c r="L112" i="34"/>
  <c r="L52" i="34"/>
  <c r="T112" i="34"/>
  <c r="P88" i="34"/>
  <c r="X80" i="34"/>
  <c r="P40" i="34"/>
  <c r="L88" i="34"/>
  <c r="T88" i="34"/>
  <c r="S40" i="34"/>
  <c r="W76" i="34"/>
  <c r="M88" i="34"/>
  <c r="U88" i="34"/>
  <c r="P76" i="34"/>
  <c r="X77" i="34"/>
  <c r="V88" i="34"/>
  <c r="R112" i="34"/>
  <c r="Q76" i="34"/>
  <c r="O88" i="34"/>
  <c r="W88" i="34"/>
  <c r="O76" i="34"/>
  <c r="R88" i="34"/>
  <c r="X68" i="34"/>
  <c r="X65" i="34"/>
  <c r="T76" i="34"/>
  <c r="N76" i="34"/>
  <c r="V76" i="34"/>
  <c r="N88" i="34"/>
  <c r="R76" i="34"/>
  <c r="Q112" i="34"/>
  <c r="X32" i="34"/>
  <c r="N40" i="34"/>
  <c r="V40" i="34"/>
  <c r="O112" i="34"/>
  <c r="L76" i="34"/>
  <c r="R40" i="34"/>
  <c r="X29" i="34"/>
  <c r="T40" i="34"/>
  <c r="X104" i="34"/>
  <c r="S112" i="34"/>
  <c r="L40" i="34"/>
  <c r="X101" i="34"/>
  <c r="T16" i="51"/>
  <c r="O16" i="51"/>
  <c r="W16" i="51"/>
  <c r="N16" i="51"/>
  <c r="P16" i="51"/>
  <c r="V16" i="51"/>
  <c r="S16" i="51"/>
  <c r="P2" i="51"/>
  <c r="X8" i="51"/>
  <c r="W2" i="51"/>
  <c r="Q16" i="51"/>
  <c r="R16" i="51"/>
  <c r="T3" i="51"/>
  <c r="R2" i="51"/>
  <c r="X5" i="51"/>
  <c r="L16" i="51"/>
  <c r="R3" i="51"/>
  <c r="A258" i="34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138" i="34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50" i="34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X18" i="32"/>
  <c r="G21" i="9" l="1"/>
  <c r="G21" i="52"/>
  <c r="K20" i="9"/>
  <c r="K20" i="52"/>
  <c r="J21" i="9"/>
  <c r="J21" i="52"/>
  <c r="N20" i="9"/>
  <c r="N20" i="52"/>
  <c r="E20" i="9"/>
  <c r="E20" i="52"/>
  <c r="E21" i="9"/>
  <c r="E21" i="52"/>
  <c r="P20" i="9"/>
  <c r="P20" i="52"/>
  <c r="F21" i="9"/>
  <c r="F21" i="52"/>
  <c r="H20" i="9"/>
  <c r="H20" i="52"/>
  <c r="I20" i="9"/>
  <c r="I20" i="52"/>
  <c r="L21" i="9"/>
  <c r="L21" i="52"/>
  <c r="M21" i="9"/>
  <c r="M21" i="52"/>
  <c r="P21" i="9"/>
  <c r="P21" i="52"/>
  <c r="O21" i="9"/>
  <c r="O21" i="52"/>
  <c r="K21" i="9"/>
  <c r="K21" i="52"/>
  <c r="U3" i="51"/>
  <c r="N21" i="9" s="1"/>
  <c r="V79" i="51"/>
  <c r="S79" i="51"/>
  <c r="R79" i="51"/>
  <c r="Q79" i="51"/>
  <c r="Q2" i="51"/>
  <c r="N79" i="51"/>
  <c r="P3" i="51"/>
  <c r="M79" i="51"/>
  <c r="O3" i="51"/>
  <c r="W79" i="51"/>
  <c r="X16" i="51"/>
  <c r="L80" i="51"/>
  <c r="X52" i="34"/>
  <c r="X88" i="34"/>
  <c r="X76" i="34"/>
  <c r="X112" i="34"/>
  <c r="X40" i="34"/>
  <c r="W4" i="51"/>
  <c r="O80" i="51"/>
  <c r="V2" i="51"/>
  <c r="O20" i="52" s="1"/>
  <c r="M2" i="51"/>
  <c r="F20" i="52" s="1"/>
  <c r="X78" i="51"/>
  <c r="N2" i="51"/>
  <c r="G20" i="52" s="1"/>
  <c r="X77" i="51"/>
  <c r="T2" i="51"/>
  <c r="M20" i="52" s="1"/>
  <c r="S2" i="51"/>
  <c r="L20" i="52" s="1"/>
  <c r="R4" i="51"/>
  <c r="U80" i="51"/>
  <c r="L197" i="34"/>
  <c r="L208" i="34" s="1"/>
  <c r="L5" i="34"/>
  <c r="X206" i="34"/>
  <c r="O22" i="52" l="1"/>
  <c r="P22" i="9"/>
  <c r="K22" i="9"/>
  <c r="E22" i="9"/>
  <c r="P22" i="52"/>
  <c r="M22" i="52"/>
  <c r="G22" i="52"/>
  <c r="F22" i="52"/>
  <c r="N22" i="9"/>
  <c r="N21" i="52"/>
  <c r="N22" i="52" s="1"/>
  <c r="I21" i="9"/>
  <c r="I22" i="9" s="1"/>
  <c r="I21" i="52"/>
  <c r="I22" i="52" s="1"/>
  <c r="L22" i="52"/>
  <c r="J20" i="9"/>
  <c r="J22" i="9" s="1"/>
  <c r="J20" i="52"/>
  <c r="J22" i="52" s="1"/>
  <c r="K22" i="52"/>
  <c r="H21" i="9"/>
  <c r="H21" i="52"/>
  <c r="H22" i="52" s="1"/>
  <c r="E22" i="52"/>
  <c r="U4" i="51"/>
  <c r="Q4" i="51"/>
  <c r="P4" i="51"/>
  <c r="O4" i="51"/>
  <c r="X3" i="51"/>
  <c r="V4" i="51"/>
  <c r="O20" i="9"/>
  <c r="N4" i="51"/>
  <c r="G20" i="9"/>
  <c r="S4" i="51"/>
  <c r="L20" i="9"/>
  <c r="O81" i="51"/>
  <c r="T4" i="51"/>
  <c r="M20" i="9"/>
  <c r="M4" i="51"/>
  <c r="F20" i="9"/>
  <c r="X79" i="51"/>
  <c r="L81" i="51"/>
  <c r="L4" i="51"/>
  <c r="X2" i="51"/>
  <c r="R81" i="51"/>
  <c r="X80" i="51"/>
  <c r="U81" i="51"/>
  <c r="Q21" i="52" l="1"/>
  <c r="Q21" i="9"/>
  <c r="H22" i="9"/>
  <c r="Q20" i="52"/>
  <c r="Q22" i="52"/>
  <c r="G22" i="9"/>
  <c r="M22" i="9"/>
  <c r="X4" i="51"/>
  <c r="F22" i="9"/>
  <c r="Q20" i="9"/>
  <c r="L22" i="9"/>
  <c r="O22" i="9"/>
  <c r="X81" i="51"/>
  <c r="X267" i="34"/>
  <c r="X266" i="34"/>
  <c r="X265" i="34"/>
  <c r="X264" i="34"/>
  <c r="X263" i="34"/>
  <c r="X262" i="34"/>
  <c r="X261" i="34"/>
  <c r="X258" i="34"/>
  <c r="W257" i="34"/>
  <c r="V257" i="34"/>
  <c r="U257" i="34"/>
  <c r="T257" i="34"/>
  <c r="S257" i="34"/>
  <c r="R257" i="34"/>
  <c r="Q257" i="34"/>
  <c r="P257" i="34"/>
  <c r="O257" i="34"/>
  <c r="N257" i="34"/>
  <c r="M257" i="34"/>
  <c r="L257" i="34"/>
  <c r="R20" i="34"/>
  <c r="Q22" i="9" l="1"/>
  <c r="N268" i="34"/>
  <c r="M268" i="34"/>
  <c r="P268" i="34"/>
  <c r="L268" i="34"/>
  <c r="W268" i="34"/>
  <c r="S268" i="34"/>
  <c r="R268" i="34"/>
  <c r="V268" i="34"/>
  <c r="T268" i="34"/>
  <c r="U268" i="34"/>
  <c r="Q268" i="34"/>
  <c r="O268" i="34"/>
  <c r="X260" i="34"/>
  <c r="X257" i="34"/>
  <c r="X268" i="34" l="1"/>
  <c r="X54" i="34"/>
  <c r="X207" i="34" l="1"/>
  <c r="X205" i="34"/>
  <c r="X204" i="34"/>
  <c r="X203" i="34"/>
  <c r="X202" i="34"/>
  <c r="X201" i="34"/>
  <c r="W200" i="34"/>
  <c r="V200" i="34"/>
  <c r="U200" i="34"/>
  <c r="T200" i="34"/>
  <c r="S200" i="34"/>
  <c r="R200" i="34"/>
  <c r="Q200" i="34"/>
  <c r="P200" i="34"/>
  <c r="O200" i="34"/>
  <c r="N200" i="34"/>
  <c r="M200" i="34"/>
  <c r="X198" i="34"/>
  <c r="W197" i="34"/>
  <c r="V197" i="34"/>
  <c r="U197" i="34"/>
  <c r="T197" i="34"/>
  <c r="S197" i="34"/>
  <c r="R197" i="34"/>
  <c r="Q197" i="34"/>
  <c r="P197" i="34"/>
  <c r="O197" i="34"/>
  <c r="N197" i="34"/>
  <c r="M197" i="34"/>
  <c r="X147" i="34"/>
  <c r="X146" i="34"/>
  <c r="X145" i="34"/>
  <c r="X144" i="34"/>
  <c r="X143" i="34"/>
  <c r="X142" i="34"/>
  <c r="X141" i="34"/>
  <c r="W140" i="34"/>
  <c r="V140" i="34"/>
  <c r="U140" i="34"/>
  <c r="S140" i="34"/>
  <c r="R140" i="34"/>
  <c r="Q140" i="34"/>
  <c r="P140" i="34"/>
  <c r="O140" i="34"/>
  <c r="N140" i="34"/>
  <c r="M140" i="34"/>
  <c r="L140" i="34"/>
  <c r="X138" i="34"/>
  <c r="W137" i="34"/>
  <c r="V137" i="34"/>
  <c r="U137" i="34"/>
  <c r="T137" i="34"/>
  <c r="S137" i="34"/>
  <c r="R137" i="34"/>
  <c r="Q137" i="34"/>
  <c r="P137" i="34"/>
  <c r="O137" i="34"/>
  <c r="N137" i="34"/>
  <c r="M137" i="34"/>
  <c r="L137" i="34"/>
  <c r="W208" i="34" l="1"/>
  <c r="M148" i="34"/>
  <c r="M208" i="34"/>
  <c r="X197" i="34"/>
  <c r="W148" i="34"/>
  <c r="N208" i="34"/>
  <c r="P208" i="34"/>
  <c r="V208" i="34"/>
  <c r="S208" i="34"/>
  <c r="U208" i="34"/>
  <c r="T208" i="34"/>
  <c r="R208" i="34"/>
  <c r="Q208" i="34"/>
  <c r="X200" i="34"/>
  <c r="O208" i="34"/>
  <c r="U148" i="34"/>
  <c r="V148" i="34"/>
  <c r="N148" i="34"/>
  <c r="X137" i="34"/>
  <c r="O148" i="34"/>
  <c r="P148" i="34"/>
  <c r="Q148" i="34"/>
  <c r="R148" i="34"/>
  <c r="T148" i="34"/>
  <c r="S148" i="34"/>
  <c r="X140" i="34"/>
  <c r="L148" i="34"/>
  <c r="X208" i="34" l="1"/>
  <c r="X148" i="34"/>
  <c r="X39" i="31" l="1"/>
  <c r="X38" i="31"/>
  <c r="X37" i="31"/>
  <c r="X36" i="31"/>
  <c r="X35" i="31"/>
  <c r="X34" i="31"/>
  <c r="X33" i="31"/>
  <c r="W32" i="31"/>
  <c r="V32" i="31"/>
  <c r="U32" i="31"/>
  <c r="T32" i="31"/>
  <c r="S32" i="31"/>
  <c r="R32" i="31"/>
  <c r="Q32" i="31"/>
  <c r="P32" i="31"/>
  <c r="P54" i="31" s="1"/>
  <c r="O32" i="31"/>
  <c r="N32" i="31"/>
  <c r="M32" i="31"/>
  <c r="L32" i="31"/>
  <c r="X30" i="31"/>
  <c r="A30" i="3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W29" i="31"/>
  <c r="V29" i="31"/>
  <c r="U29" i="31"/>
  <c r="T29" i="31"/>
  <c r="S29" i="31"/>
  <c r="R29" i="31"/>
  <c r="Q29" i="31"/>
  <c r="P29" i="31"/>
  <c r="P53" i="31" s="1"/>
  <c r="O29" i="31"/>
  <c r="N29" i="31"/>
  <c r="M29" i="31"/>
  <c r="L29" i="31"/>
  <c r="L5" i="15"/>
  <c r="M5" i="15"/>
  <c r="N5" i="15"/>
  <c r="O5" i="15"/>
  <c r="P5" i="15"/>
  <c r="Q5" i="15"/>
  <c r="R5" i="15"/>
  <c r="S5" i="15"/>
  <c r="T5" i="15"/>
  <c r="U5" i="15"/>
  <c r="V5" i="15"/>
  <c r="W5" i="15"/>
  <c r="X159" i="34"/>
  <c r="X158" i="34"/>
  <c r="X157" i="34"/>
  <c r="X156" i="34"/>
  <c r="X155" i="34"/>
  <c r="X154" i="34"/>
  <c r="X153" i="34"/>
  <c r="W152" i="34"/>
  <c r="V152" i="34"/>
  <c r="U152" i="34"/>
  <c r="T152" i="34"/>
  <c r="S152" i="34"/>
  <c r="R152" i="34"/>
  <c r="Q152" i="34"/>
  <c r="P152" i="34"/>
  <c r="O152" i="34"/>
  <c r="N152" i="34"/>
  <c r="M152" i="34"/>
  <c r="L152" i="34"/>
  <c r="X150" i="34"/>
  <c r="W149" i="34"/>
  <c r="V149" i="34"/>
  <c r="U149" i="34"/>
  <c r="T149" i="34"/>
  <c r="S149" i="34"/>
  <c r="R149" i="34"/>
  <c r="Q149" i="34"/>
  <c r="P149" i="34"/>
  <c r="O149" i="34"/>
  <c r="N149" i="34"/>
  <c r="M149" i="34"/>
  <c r="L149" i="34"/>
  <c r="C437" i="34"/>
  <c r="S17" i="32"/>
  <c r="B18" i="32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A18" i="32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X27" i="32"/>
  <c r="X22" i="32"/>
  <c r="W20" i="32"/>
  <c r="V20" i="32"/>
  <c r="U20" i="32"/>
  <c r="T20" i="32"/>
  <c r="R20" i="32"/>
  <c r="Q20" i="32"/>
  <c r="P20" i="32"/>
  <c r="O20" i="32"/>
  <c r="N20" i="32"/>
  <c r="M20" i="32"/>
  <c r="L20" i="32"/>
  <c r="W17" i="32"/>
  <c r="V17" i="32"/>
  <c r="U17" i="32"/>
  <c r="T17" i="32"/>
  <c r="R17" i="32"/>
  <c r="Q17" i="32"/>
  <c r="P17" i="32"/>
  <c r="O17" i="32"/>
  <c r="N17" i="32"/>
  <c r="M17" i="32"/>
  <c r="L17" i="32"/>
  <c r="C29" i="32"/>
  <c r="T28" i="32" l="1"/>
  <c r="Q28" i="32"/>
  <c r="R28" i="32"/>
  <c r="U40" i="31"/>
  <c r="R40" i="31"/>
  <c r="P28" i="32"/>
  <c r="T40" i="31"/>
  <c r="P40" i="31"/>
  <c r="M40" i="31"/>
  <c r="R160" i="34"/>
  <c r="M160" i="34"/>
  <c r="P160" i="34"/>
  <c r="O28" i="32"/>
  <c r="O40" i="31"/>
  <c r="W40" i="31"/>
  <c r="Q40" i="31"/>
  <c r="V40" i="31"/>
  <c r="S40" i="31"/>
  <c r="X32" i="31"/>
  <c r="N40" i="31"/>
  <c r="X29" i="31"/>
  <c r="L40" i="31"/>
  <c r="Q160" i="34"/>
  <c r="N160" i="34"/>
  <c r="L160" i="34"/>
  <c r="O160" i="34"/>
  <c r="L28" i="32"/>
  <c r="M28" i="32"/>
  <c r="N28" i="32"/>
  <c r="T160" i="34"/>
  <c r="U160" i="34"/>
  <c r="V160" i="34"/>
  <c r="W160" i="34"/>
  <c r="S160" i="34"/>
  <c r="X152" i="34"/>
  <c r="X149" i="34"/>
  <c r="W28" i="32"/>
  <c r="U28" i="32"/>
  <c r="V28" i="32"/>
  <c r="X17" i="32"/>
  <c r="X40" i="31" l="1"/>
  <c r="X160" i="34"/>
  <c r="L17" i="16" l="1"/>
  <c r="A114" i="34"/>
  <c r="A115" i="34" s="1"/>
  <c r="A116" i="34" s="1"/>
  <c r="A117" i="34" s="1"/>
  <c r="A118" i="34" s="1"/>
  <c r="A119" i="34" s="1"/>
  <c r="A120" i="34" s="1"/>
  <c r="A121" i="34" s="1"/>
  <c r="A122" i="34" s="1"/>
  <c r="A123" i="34" s="1"/>
  <c r="A124" i="34" s="1"/>
  <c r="A90" i="34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8" i="34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126" i="34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54" i="34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" i="34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6" i="32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C17" i="31"/>
  <c r="C29" i="31" s="1"/>
  <c r="C41" i="31" s="1"/>
  <c r="A18" i="3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6" i="3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30" i="26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6" i="26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C17" i="15"/>
  <c r="A18" i="16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B18" i="15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A18" i="15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M17" i="16"/>
  <c r="N17" i="16"/>
  <c r="V92" i="34"/>
  <c r="Q92" i="34" l="1"/>
  <c r="Q89" i="34"/>
  <c r="Q125" i="34"/>
  <c r="Q5" i="31"/>
  <c r="Q17" i="16" l="1"/>
  <c r="Q5" i="16"/>
  <c r="Q17" i="15" l="1"/>
  <c r="Q29" i="15" s="1"/>
  <c r="Q5" i="32" l="1"/>
  <c r="Q29" i="32" s="1"/>
  <c r="R29" i="26"/>
  <c r="X10" i="16" l="1"/>
  <c r="L5" i="16" l="1"/>
  <c r="W8" i="16" l="1"/>
  <c r="V8" i="16"/>
  <c r="W5" i="16"/>
  <c r="V5" i="16"/>
  <c r="U5" i="16"/>
  <c r="T5" i="16"/>
  <c r="S5" i="16"/>
  <c r="R5" i="16"/>
  <c r="P5" i="16"/>
  <c r="O5" i="16"/>
  <c r="N5" i="16"/>
  <c r="M5" i="16"/>
  <c r="V16" i="16" l="1"/>
  <c r="W16" i="16"/>
  <c r="W20" i="16" l="1"/>
  <c r="V20" i="16"/>
  <c r="V42" i="16" s="1"/>
  <c r="W17" i="16"/>
  <c r="V17" i="16"/>
  <c r="V41" i="16" s="1"/>
  <c r="U17" i="16"/>
  <c r="T17" i="16"/>
  <c r="S17" i="16"/>
  <c r="P17" i="16"/>
  <c r="O17" i="16"/>
  <c r="V28" i="16" l="1"/>
  <c r="W28" i="16"/>
  <c r="W92" i="34"/>
  <c r="S92" i="34"/>
  <c r="R92" i="34"/>
  <c r="P92" i="34"/>
  <c r="O92" i="34"/>
  <c r="W89" i="34"/>
  <c r="V89" i="34"/>
  <c r="U89" i="34"/>
  <c r="T89" i="34"/>
  <c r="S89" i="34"/>
  <c r="R89" i="34"/>
  <c r="P89" i="34"/>
  <c r="O89" i="34"/>
  <c r="N89" i="34"/>
  <c r="M89" i="34"/>
  <c r="W100" i="34" l="1"/>
  <c r="P100" i="34"/>
  <c r="V100" i="34"/>
  <c r="O100" i="34"/>
  <c r="R100" i="34"/>
  <c r="S100" i="34"/>
  <c r="Q100" i="34"/>
  <c r="X123" i="34" l="1"/>
  <c r="X118" i="34"/>
  <c r="W116" i="34"/>
  <c r="V116" i="34"/>
  <c r="X114" i="34"/>
  <c r="W113" i="34"/>
  <c r="V113" i="34"/>
  <c r="U113" i="34"/>
  <c r="T113" i="34"/>
  <c r="S113" i="34"/>
  <c r="R113" i="34"/>
  <c r="Q113" i="34"/>
  <c r="P113" i="34"/>
  <c r="O113" i="34"/>
  <c r="N113" i="34"/>
  <c r="M113" i="34"/>
  <c r="L113" i="34"/>
  <c r="W8" i="15"/>
  <c r="V8" i="15"/>
  <c r="V124" i="34" l="1"/>
  <c r="W16" i="15"/>
  <c r="W124" i="34"/>
  <c r="X113" i="34"/>
  <c r="V16" i="15"/>
  <c r="W20" i="15"/>
  <c r="W30" i="15" s="1"/>
  <c r="V20" i="15"/>
  <c r="V30" i="15" s="1"/>
  <c r="W17" i="15"/>
  <c r="W29" i="15" s="1"/>
  <c r="V17" i="15"/>
  <c r="V29" i="15" s="1"/>
  <c r="U17" i="15"/>
  <c r="U29" i="15" s="1"/>
  <c r="T17" i="15"/>
  <c r="T29" i="15" s="1"/>
  <c r="S17" i="15"/>
  <c r="S29" i="15" s="1"/>
  <c r="R17" i="15"/>
  <c r="R29" i="15" s="1"/>
  <c r="P17" i="15"/>
  <c r="P29" i="15" s="1"/>
  <c r="O17" i="15"/>
  <c r="O29" i="15" s="1"/>
  <c r="N17" i="15"/>
  <c r="N29" i="15" s="1"/>
  <c r="M17" i="15"/>
  <c r="M29" i="15" s="1"/>
  <c r="V28" i="15" l="1"/>
  <c r="W28" i="15"/>
  <c r="X99" i="34" l="1"/>
  <c r="X94" i="34"/>
  <c r="X90" i="34"/>
  <c r="L89" i="34"/>
  <c r="X89" i="34" l="1"/>
  <c r="X27" i="34" l="1"/>
  <c r="X22" i="34"/>
  <c r="W20" i="34"/>
  <c r="V20" i="34"/>
  <c r="X18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X135" i="34"/>
  <c r="X130" i="34"/>
  <c r="W128" i="34"/>
  <c r="V128" i="34"/>
  <c r="X127" i="34"/>
  <c r="X126" i="34"/>
  <c r="W125" i="34"/>
  <c r="V125" i="34"/>
  <c r="U125" i="34"/>
  <c r="T125" i="34"/>
  <c r="S125" i="34"/>
  <c r="R125" i="34"/>
  <c r="P125" i="34"/>
  <c r="O125" i="34"/>
  <c r="N125" i="34"/>
  <c r="M125" i="34"/>
  <c r="L125" i="34"/>
  <c r="X63" i="34"/>
  <c r="X58" i="34"/>
  <c r="W56" i="34"/>
  <c r="V56" i="34"/>
  <c r="X55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C5" i="34"/>
  <c r="C17" i="34" s="1"/>
  <c r="C29" i="34" s="1"/>
  <c r="C41" i="34" s="1"/>
  <c r="C53" i="34" s="1"/>
  <c r="C65" i="34" s="1"/>
  <c r="C77" i="34" s="1"/>
  <c r="C89" i="34" s="1"/>
  <c r="C101" i="34" s="1"/>
  <c r="C113" i="34" s="1"/>
  <c r="C125" i="34" s="1"/>
  <c r="C137" i="34" s="1"/>
  <c r="C149" i="34" s="1"/>
  <c r="C161" i="34" s="1"/>
  <c r="C173" i="34" s="1"/>
  <c r="C185" i="34" s="1"/>
  <c r="C197" i="34" s="1"/>
  <c r="C209" i="34" s="1"/>
  <c r="C221" i="34" s="1"/>
  <c r="C233" i="34" s="1"/>
  <c r="C245" i="34" s="1"/>
  <c r="C257" i="34" s="1"/>
  <c r="C269" i="34" s="1"/>
  <c r="C281" i="34" s="1"/>
  <c r="C293" i="34" s="1"/>
  <c r="C305" i="34" s="1"/>
  <c r="C317" i="34" s="1"/>
  <c r="C329" i="34" s="1"/>
  <c r="C341" i="34" s="1"/>
  <c r="C353" i="34" s="1"/>
  <c r="C365" i="34" s="1"/>
  <c r="C377" i="34" s="1"/>
  <c r="C389" i="34" s="1"/>
  <c r="C401" i="34" l="1"/>
  <c r="C425" i="34" s="1"/>
  <c r="C413" i="34"/>
  <c r="L437" i="34"/>
  <c r="W64" i="34"/>
  <c r="V136" i="34"/>
  <c r="W136" i="34"/>
  <c r="V64" i="34"/>
  <c r="X17" i="34"/>
  <c r="V28" i="34"/>
  <c r="W28" i="34"/>
  <c r="X125" i="34"/>
  <c r="X53" i="34"/>
  <c r="V8" i="34" l="1"/>
  <c r="V438" i="34" s="1"/>
  <c r="X10" i="34"/>
  <c r="W8" i="34"/>
  <c r="X6" i="34"/>
  <c r="W5" i="34"/>
  <c r="V5" i="34"/>
  <c r="V437" i="34" s="1"/>
  <c r="U5" i="34"/>
  <c r="U437" i="34" s="1"/>
  <c r="T5" i="34"/>
  <c r="T437" i="34" s="1"/>
  <c r="S5" i="34"/>
  <c r="S437" i="34" s="1"/>
  <c r="R5" i="34"/>
  <c r="R437" i="34" s="1"/>
  <c r="Q5" i="34"/>
  <c r="Q437" i="34" s="1"/>
  <c r="P5" i="34"/>
  <c r="P437" i="34" s="1"/>
  <c r="O5" i="34"/>
  <c r="O437" i="34" s="1"/>
  <c r="N5" i="34"/>
  <c r="N437" i="34" s="1"/>
  <c r="M5" i="34"/>
  <c r="M437" i="34" s="1"/>
  <c r="V439" i="34" l="1"/>
  <c r="W439" i="34"/>
  <c r="R440" i="34"/>
  <c r="U440" i="34"/>
  <c r="L440" i="34"/>
  <c r="O440" i="34"/>
  <c r="W16" i="34"/>
  <c r="V16" i="34"/>
  <c r="X5" i="34"/>
  <c r="X15" i="34"/>
  <c r="X440" i="34" l="1"/>
  <c r="X437" i="34"/>
  <c r="X27" i="31" l="1"/>
  <c r="X22" i="31"/>
  <c r="W20" i="31"/>
  <c r="V20" i="31"/>
  <c r="X18" i="31"/>
  <c r="W17" i="31"/>
  <c r="V17" i="31"/>
  <c r="U17" i="31"/>
  <c r="T17" i="31"/>
  <c r="S17" i="31"/>
  <c r="R17" i="31"/>
  <c r="Q17" i="31"/>
  <c r="Q53" i="31" s="1"/>
  <c r="P17" i="31"/>
  <c r="O17" i="31"/>
  <c r="N17" i="31"/>
  <c r="M17" i="31"/>
  <c r="L17" i="31"/>
  <c r="X15" i="31"/>
  <c r="X10" i="31"/>
  <c r="W8" i="31"/>
  <c r="V8" i="31"/>
  <c r="X6" i="31"/>
  <c r="W5" i="31"/>
  <c r="V5" i="31"/>
  <c r="U5" i="31"/>
  <c r="T5" i="31"/>
  <c r="T53" i="31" s="1"/>
  <c r="S5" i="31"/>
  <c r="R5" i="31"/>
  <c r="P5" i="31"/>
  <c r="O5" i="31"/>
  <c r="N5" i="31"/>
  <c r="M5" i="31"/>
  <c r="L5" i="31"/>
  <c r="V54" i="31" l="1"/>
  <c r="V53" i="31"/>
  <c r="U53" i="31"/>
  <c r="S53" i="31"/>
  <c r="R53" i="31"/>
  <c r="O53" i="31"/>
  <c r="N53" i="31"/>
  <c r="W28" i="31"/>
  <c r="V28" i="31"/>
  <c r="X17" i="31"/>
  <c r="X5" i="31"/>
  <c r="V16" i="31"/>
  <c r="W16" i="31"/>
  <c r="A23" i="9" l="1"/>
  <c r="X53" i="31" l="1"/>
  <c r="L2" i="31"/>
  <c r="E17" i="52" s="1"/>
  <c r="X15" i="26"/>
  <c r="X10" i="26"/>
  <c r="W8" i="26"/>
  <c r="V8" i="26"/>
  <c r="X6" i="26"/>
  <c r="W5" i="26"/>
  <c r="V5" i="26"/>
  <c r="U5" i="26"/>
  <c r="T5" i="26"/>
  <c r="S5" i="26"/>
  <c r="R5" i="26"/>
  <c r="Q5" i="26"/>
  <c r="P5" i="26"/>
  <c r="O5" i="26"/>
  <c r="N5" i="26"/>
  <c r="M5" i="26"/>
  <c r="L5" i="26"/>
  <c r="V16" i="26" l="1"/>
  <c r="W16" i="26"/>
  <c r="X5" i="26"/>
  <c r="A5" i="9"/>
  <c r="X15" i="32"/>
  <c r="X10" i="32"/>
  <c r="W8" i="32"/>
  <c r="W30" i="32" s="1"/>
  <c r="V8" i="32"/>
  <c r="V30" i="32" s="1"/>
  <c r="X6" i="32"/>
  <c r="W5" i="32"/>
  <c r="W29" i="32" s="1"/>
  <c r="V5" i="32"/>
  <c r="V29" i="32" s="1"/>
  <c r="U5" i="32"/>
  <c r="U29" i="32" s="1"/>
  <c r="T5" i="32"/>
  <c r="T29" i="32" s="1"/>
  <c r="S5" i="32"/>
  <c r="S29" i="32" s="1"/>
  <c r="R5" i="32"/>
  <c r="R29" i="32" s="1"/>
  <c r="P5" i="32"/>
  <c r="P29" i="32" s="1"/>
  <c r="O5" i="32"/>
  <c r="O29" i="32" s="1"/>
  <c r="N5" i="32"/>
  <c r="N29" i="32" s="1"/>
  <c r="M5" i="32"/>
  <c r="M29" i="32" s="1"/>
  <c r="L5" i="32"/>
  <c r="L29" i="32" s="1"/>
  <c r="C53" i="31"/>
  <c r="A11" i="9"/>
  <c r="V2" i="32" l="1"/>
  <c r="T2" i="32"/>
  <c r="V3" i="32"/>
  <c r="N2" i="32"/>
  <c r="M2" i="32"/>
  <c r="L2" i="34"/>
  <c r="P2" i="32"/>
  <c r="N2" i="34"/>
  <c r="G23" i="52" s="1"/>
  <c r="Q2" i="32"/>
  <c r="V3" i="34"/>
  <c r="W3" i="34"/>
  <c r="V16" i="32"/>
  <c r="W3" i="31"/>
  <c r="V3" i="31"/>
  <c r="W16" i="32"/>
  <c r="X5" i="32"/>
  <c r="M2" i="31"/>
  <c r="O56" i="31"/>
  <c r="O2" i="31"/>
  <c r="Q2" i="31"/>
  <c r="S2" i="31"/>
  <c r="U56" i="31"/>
  <c r="U2" i="31"/>
  <c r="W2" i="31"/>
  <c r="L56" i="31"/>
  <c r="E17" i="9"/>
  <c r="N2" i="31"/>
  <c r="P2" i="31"/>
  <c r="R56" i="31"/>
  <c r="R2" i="31"/>
  <c r="T2" i="31"/>
  <c r="V2" i="31"/>
  <c r="J17" i="9" l="1"/>
  <c r="J17" i="52"/>
  <c r="H17" i="9"/>
  <c r="H17" i="52"/>
  <c r="F17" i="9"/>
  <c r="F17" i="52"/>
  <c r="I17" i="9"/>
  <c r="I17" i="52"/>
  <c r="G17" i="9"/>
  <c r="G17" i="52"/>
  <c r="O6" i="9"/>
  <c r="O6" i="52"/>
  <c r="F5" i="9"/>
  <c r="F5" i="52"/>
  <c r="G5" i="9"/>
  <c r="G5" i="52"/>
  <c r="J5" i="9"/>
  <c r="J5" i="52"/>
  <c r="M5" i="9"/>
  <c r="M5" i="52"/>
  <c r="I5" i="9"/>
  <c r="I5" i="52"/>
  <c r="O5" i="9"/>
  <c r="O5" i="52"/>
  <c r="O24" i="9"/>
  <c r="O24" i="52"/>
  <c r="E23" i="9"/>
  <c r="E23" i="52"/>
  <c r="P24" i="9"/>
  <c r="P24" i="52"/>
  <c r="O18" i="9"/>
  <c r="O18" i="52"/>
  <c r="P18" i="9"/>
  <c r="P18" i="52"/>
  <c r="L17" i="9"/>
  <c r="L17" i="52"/>
  <c r="K17" i="9"/>
  <c r="K17" i="52"/>
  <c r="O17" i="9"/>
  <c r="O17" i="52"/>
  <c r="P17" i="9"/>
  <c r="P17" i="52"/>
  <c r="M17" i="9"/>
  <c r="M17" i="52"/>
  <c r="N17" i="9"/>
  <c r="N17" i="52"/>
  <c r="X29" i="32"/>
  <c r="V31" i="32"/>
  <c r="S2" i="32"/>
  <c r="O32" i="32"/>
  <c r="U32" i="32"/>
  <c r="W31" i="32"/>
  <c r="L32" i="32"/>
  <c r="W2" i="32"/>
  <c r="O2" i="32"/>
  <c r="R32" i="32"/>
  <c r="V55" i="31"/>
  <c r="W55" i="31"/>
  <c r="W3" i="32"/>
  <c r="R2" i="32"/>
  <c r="U2" i="32"/>
  <c r="L2" i="32"/>
  <c r="E5" i="52" s="1"/>
  <c r="S2" i="34"/>
  <c r="L23" i="52" s="1"/>
  <c r="O2" i="34"/>
  <c r="W2" i="34"/>
  <c r="V4" i="31"/>
  <c r="V4" i="32"/>
  <c r="W4" i="31"/>
  <c r="V2" i="34"/>
  <c r="R2" i="34"/>
  <c r="G23" i="9"/>
  <c r="U2" i="34"/>
  <c r="M2" i="34"/>
  <c r="T2" i="34"/>
  <c r="P2" i="34"/>
  <c r="Q2" i="34"/>
  <c r="X2" i="31"/>
  <c r="X56" i="31"/>
  <c r="O7" i="52" l="1"/>
  <c r="O7" i="9"/>
  <c r="O19" i="9"/>
  <c r="P19" i="9"/>
  <c r="Q17" i="9"/>
  <c r="P6" i="9"/>
  <c r="P6" i="52"/>
  <c r="P5" i="9"/>
  <c r="P5" i="52"/>
  <c r="L5" i="9"/>
  <c r="L5" i="52"/>
  <c r="N5" i="9"/>
  <c r="N5" i="52"/>
  <c r="H5" i="9"/>
  <c r="H5" i="52"/>
  <c r="K5" i="9"/>
  <c r="K5" i="52"/>
  <c r="P23" i="9"/>
  <c r="P25" i="9" s="1"/>
  <c r="P23" i="52"/>
  <c r="P25" i="52" s="1"/>
  <c r="M23" i="9"/>
  <c r="M23" i="52"/>
  <c r="F23" i="9"/>
  <c r="F23" i="52"/>
  <c r="J23" i="9"/>
  <c r="J23" i="52"/>
  <c r="H23" i="9"/>
  <c r="H23" i="52"/>
  <c r="I23" i="9"/>
  <c r="I23" i="52"/>
  <c r="N23" i="9"/>
  <c r="N23" i="52"/>
  <c r="K23" i="9"/>
  <c r="K23" i="52"/>
  <c r="O23" i="9"/>
  <c r="O25" i="9" s="1"/>
  <c r="O23" i="52"/>
  <c r="O25" i="52" s="1"/>
  <c r="P19" i="52"/>
  <c r="O19" i="52"/>
  <c r="Q17" i="52"/>
  <c r="X32" i="32"/>
  <c r="P7" i="9"/>
  <c r="L23" i="9"/>
  <c r="E5" i="9"/>
  <c r="W4" i="32"/>
  <c r="X2" i="32"/>
  <c r="W4" i="34"/>
  <c r="V4" i="34"/>
  <c r="X2" i="34"/>
  <c r="P7" i="52" l="1"/>
  <c r="Q5" i="52"/>
  <c r="Q23" i="52"/>
  <c r="Q23" i="9"/>
  <c r="Q5" i="9"/>
  <c r="V32" i="26"/>
  <c r="V54" i="26" s="1"/>
  <c r="V29" i="26"/>
  <c r="V53" i="26" s="1"/>
  <c r="U29" i="26"/>
  <c r="T29" i="26"/>
  <c r="S29" i="26"/>
  <c r="Q29" i="26"/>
  <c r="P29" i="26"/>
  <c r="O29" i="26"/>
  <c r="N29" i="26"/>
  <c r="M29" i="26"/>
  <c r="L29" i="26"/>
  <c r="R56" i="26" l="1"/>
  <c r="V55" i="26"/>
  <c r="O56" i="26"/>
  <c r="L56" i="26"/>
  <c r="L2" i="26"/>
  <c r="E11" i="52" s="1"/>
  <c r="V40" i="26"/>
  <c r="V43" i="16" l="1"/>
  <c r="C17" i="16" l="1"/>
  <c r="C29" i="16" s="1"/>
  <c r="C53" i="26" l="1"/>
  <c r="X39" i="26"/>
  <c r="X34" i="26"/>
  <c r="W32" i="26"/>
  <c r="X30" i="26"/>
  <c r="W29" i="26"/>
  <c r="U56" i="26" l="1"/>
  <c r="V2" i="26"/>
  <c r="W3" i="26"/>
  <c r="U2" i="26"/>
  <c r="P2" i="26"/>
  <c r="Q2" i="26"/>
  <c r="W2" i="26"/>
  <c r="N2" i="26"/>
  <c r="R2" i="26"/>
  <c r="W40" i="26"/>
  <c r="X29" i="26"/>
  <c r="W55" i="26" l="1"/>
  <c r="P12" i="9"/>
  <c r="P12" i="52"/>
  <c r="K11" i="9"/>
  <c r="K11" i="52"/>
  <c r="G11" i="9"/>
  <c r="G11" i="52"/>
  <c r="P11" i="9"/>
  <c r="P11" i="52"/>
  <c r="J11" i="9"/>
  <c r="J11" i="52"/>
  <c r="I11" i="9"/>
  <c r="I11" i="52"/>
  <c r="N11" i="9"/>
  <c r="N11" i="52"/>
  <c r="O11" i="9"/>
  <c r="O11" i="52"/>
  <c r="E11" i="9"/>
  <c r="T2" i="26"/>
  <c r="V3" i="26"/>
  <c r="M2" i="26"/>
  <c r="W4" i="26"/>
  <c r="O2" i="26"/>
  <c r="X53" i="26"/>
  <c r="S2" i="26"/>
  <c r="P13" i="9" l="1"/>
  <c r="O12" i="9"/>
  <c r="O13" i="9" s="1"/>
  <c r="O12" i="52"/>
  <c r="H11" i="9"/>
  <c r="H11" i="52"/>
  <c r="F11" i="9"/>
  <c r="F11" i="52"/>
  <c r="P13" i="52"/>
  <c r="M11" i="9"/>
  <c r="M11" i="52"/>
  <c r="L11" i="9"/>
  <c r="L11" i="52"/>
  <c r="V4" i="26"/>
  <c r="X56" i="26"/>
  <c r="X2" i="26"/>
  <c r="Q11" i="9" l="1"/>
  <c r="O13" i="52"/>
  <c r="Q11" i="52"/>
  <c r="A8" i="9"/>
  <c r="A14" i="9"/>
  <c r="C41" i="16"/>
  <c r="X15" i="16"/>
  <c r="X7" i="16"/>
  <c r="X6" i="16"/>
  <c r="X27" i="16"/>
  <c r="X19" i="16"/>
  <c r="X18" i="16"/>
  <c r="C29" i="15"/>
  <c r="X27" i="15"/>
  <c r="X22" i="15"/>
  <c r="X19" i="15"/>
  <c r="X18" i="15"/>
  <c r="L17" i="15"/>
  <c r="L29" i="15" s="1"/>
  <c r="X15" i="15"/>
  <c r="X10" i="15"/>
  <c r="X7" i="15"/>
  <c r="X6" i="15"/>
  <c r="W43" i="16" l="1"/>
  <c r="R32" i="15"/>
  <c r="V31" i="15"/>
  <c r="V3" i="15"/>
  <c r="X17" i="16"/>
  <c r="X17" i="15"/>
  <c r="X5" i="16"/>
  <c r="X5" i="15"/>
  <c r="O15" i="9" l="1"/>
  <c r="O15" i="52"/>
  <c r="W3" i="15"/>
  <c r="W31" i="15"/>
  <c r="X29" i="15"/>
  <c r="W3" i="16"/>
  <c r="V3" i="16"/>
  <c r="R44" i="16"/>
  <c r="U44" i="16"/>
  <c r="O44" i="16"/>
  <c r="V2" i="15"/>
  <c r="T2" i="15"/>
  <c r="R2" i="15"/>
  <c r="P2" i="15"/>
  <c r="N2" i="15"/>
  <c r="L32" i="15"/>
  <c r="L2" i="15"/>
  <c r="E14" i="52" s="1"/>
  <c r="W2" i="15"/>
  <c r="U32" i="15"/>
  <c r="U2" i="15"/>
  <c r="S2" i="15"/>
  <c r="Q2" i="15"/>
  <c r="O32" i="15"/>
  <c r="O2" i="15"/>
  <c r="M2" i="15"/>
  <c r="V2" i="16"/>
  <c r="R2" i="16"/>
  <c r="T2" i="16"/>
  <c r="P2" i="16"/>
  <c r="W2" i="16"/>
  <c r="U2" i="16"/>
  <c r="S2" i="16"/>
  <c r="Q2" i="16"/>
  <c r="O2" i="16"/>
  <c r="P15" i="9" l="1"/>
  <c r="P15" i="52"/>
  <c r="H14" i="9"/>
  <c r="H14" i="52"/>
  <c r="J14" i="9"/>
  <c r="J14" i="52"/>
  <c r="I14" i="9"/>
  <c r="I14" i="52"/>
  <c r="F14" i="9"/>
  <c r="F14" i="52"/>
  <c r="K14" i="9"/>
  <c r="K14" i="52"/>
  <c r="M14" i="9"/>
  <c r="M14" i="52"/>
  <c r="O14" i="9"/>
  <c r="O16" i="9" s="1"/>
  <c r="O14" i="52"/>
  <c r="O16" i="52" s="1"/>
  <c r="L14" i="9"/>
  <c r="L14" i="52"/>
  <c r="N14" i="9"/>
  <c r="N14" i="52"/>
  <c r="P14" i="9"/>
  <c r="P16" i="9" s="1"/>
  <c r="P14" i="52"/>
  <c r="G14" i="9"/>
  <c r="G14" i="52"/>
  <c r="O8" i="9"/>
  <c r="O8" i="52"/>
  <c r="H8" i="9"/>
  <c r="H8" i="52"/>
  <c r="J8" i="9"/>
  <c r="J8" i="52"/>
  <c r="J2" i="52" s="1"/>
  <c r="L8" i="9"/>
  <c r="L8" i="52"/>
  <c r="N8" i="9"/>
  <c r="N8" i="52"/>
  <c r="P8" i="9"/>
  <c r="P2" i="9" s="1"/>
  <c r="P8" i="52"/>
  <c r="P2" i="52" s="1"/>
  <c r="I8" i="9"/>
  <c r="I2" i="9" s="1"/>
  <c r="I8" i="52"/>
  <c r="M8" i="9"/>
  <c r="M8" i="52"/>
  <c r="K8" i="9"/>
  <c r="K8" i="52"/>
  <c r="O9" i="9"/>
  <c r="O3" i="9" s="1"/>
  <c r="O9" i="52"/>
  <c r="P9" i="9"/>
  <c r="P3" i="9" s="1"/>
  <c r="P9" i="52"/>
  <c r="E14" i="9"/>
  <c r="X32" i="15"/>
  <c r="X2" i="15"/>
  <c r="W4" i="15"/>
  <c r="V4" i="15"/>
  <c r="V4" i="16"/>
  <c r="W4" i="16"/>
  <c r="O2" i="9" l="1"/>
  <c r="N2" i="52"/>
  <c r="N2" i="9"/>
  <c r="L2" i="52"/>
  <c r="J2" i="9"/>
  <c r="H2" i="9"/>
  <c r="H2" i="52"/>
  <c r="P16" i="52"/>
  <c r="Q14" i="52"/>
  <c r="L2" i="9"/>
  <c r="O2" i="52"/>
  <c r="I2" i="52"/>
  <c r="K2" i="52"/>
  <c r="K2" i="9"/>
  <c r="M2" i="52"/>
  <c r="M2" i="9"/>
  <c r="O10" i="9"/>
  <c r="P10" i="9"/>
  <c r="O10" i="52"/>
  <c r="O3" i="52"/>
  <c r="P10" i="52"/>
  <c r="P3" i="52"/>
  <c r="P4" i="52" s="1"/>
  <c r="Q14" i="9"/>
  <c r="O4" i="52" l="1"/>
  <c r="L2" i="16"/>
  <c r="E8" i="9" l="1"/>
  <c r="E2" i="9" s="1"/>
  <c r="E8" i="52"/>
  <c r="E2" i="52" s="1"/>
  <c r="M2" i="16"/>
  <c r="F8" i="9" l="1"/>
  <c r="F2" i="9" s="1"/>
  <c r="F8" i="52"/>
  <c r="F2" i="52" s="1"/>
  <c r="X22" i="16"/>
  <c r="X41" i="16" l="1"/>
  <c r="X44" i="16" s="1"/>
  <c r="L44" i="16"/>
  <c r="N2" i="16"/>
  <c r="G8" i="52" s="1"/>
  <c r="G2" i="52" s="1"/>
  <c r="Q2" i="52" s="1"/>
  <c r="Q8" i="52" l="1"/>
  <c r="G8" i="9"/>
  <c r="G2" i="9" s="1"/>
  <c r="Q2" i="9" s="1"/>
  <c r="X2" i="16"/>
  <c r="Q8" i="9" l="1"/>
  <c r="N92" i="34"/>
  <c r="N100" i="34" s="1"/>
  <c r="M92" i="34" l="1"/>
  <c r="M100" i="34" s="1"/>
  <c r="T116" i="34" l="1"/>
  <c r="T124" i="34" s="1"/>
  <c r="T92" i="34"/>
  <c r="T100" i="34" s="1"/>
  <c r="T20" i="34"/>
  <c r="T128" i="34"/>
  <c r="T56" i="34"/>
  <c r="T8" i="34"/>
  <c r="T8" i="32"/>
  <c r="T30" i="32" s="1"/>
  <c r="T20" i="31"/>
  <c r="T28" i="31" s="1"/>
  <c r="T8" i="31"/>
  <c r="T32" i="26"/>
  <c r="T40" i="26" s="1"/>
  <c r="T8" i="26"/>
  <c r="T20" i="16"/>
  <c r="T28" i="16" s="1"/>
  <c r="T8" i="16"/>
  <c r="T20" i="15"/>
  <c r="T8" i="15"/>
  <c r="T438" i="34" l="1"/>
  <c r="T439" i="34"/>
  <c r="T54" i="31"/>
  <c r="T3" i="31" s="1"/>
  <c r="T55" i="26"/>
  <c r="T28" i="34"/>
  <c r="T3" i="26"/>
  <c r="T43" i="16"/>
  <c r="T16" i="32"/>
  <c r="T31" i="32"/>
  <c r="T16" i="31"/>
  <c r="T30" i="15"/>
  <c r="T3" i="15" s="1"/>
  <c r="T136" i="34"/>
  <c r="T28" i="15"/>
  <c r="T16" i="15"/>
  <c r="T64" i="34"/>
  <c r="T16" i="34"/>
  <c r="T16" i="26"/>
  <c r="T16" i="16"/>
  <c r="M15" i="9" l="1"/>
  <c r="M15" i="52"/>
  <c r="M16" i="52" s="1"/>
  <c r="M12" i="9"/>
  <c r="M13" i="9" s="1"/>
  <c r="M12" i="52"/>
  <c r="M13" i="52" s="1"/>
  <c r="M18" i="9"/>
  <c r="M19" i="9" s="1"/>
  <c r="M18" i="52"/>
  <c r="T3" i="32"/>
  <c r="T3" i="34"/>
  <c r="M16" i="9"/>
  <c r="T55" i="31"/>
  <c r="T4" i="31"/>
  <c r="T4" i="26"/>
  <c r="T3" i="16"/>
  <c r="T4" i="16"/>
  <c r="T31" i="15"/>
  <c r="M9" i="9" l="1"/>
  <c r="M10" i="9" s="1"/>
  <c r="M9" i="52"/>
  <c r="M10" i="52" s="1"/>
  <c r="M6" i="9"/>
  <c r="M7" i="9" s="1"/>
  <c r="M6" i="52"/>
  <c r="M7" i="52" s="1"/>
  <c r="M24" i="9"/>
  <c r="M25" i="9" s="1"/>
  <c r="M24" i="52"/>
  <c r="M25" i="52" s="1"/>
  <c r="M19" i="52"/>
  <c r="T4" i="34"/>
  <c r="T4" i="32"/>
  <c r="T4" i="15"/>
  <c r="M3" i="9" l="1"/>
  <c r="M3" i="52"/>
  <c r="M4" i="52" s="1"/>
  <c r="U116" i="34"/>
  <c r="U124" i="34" s="1"/>
  <c r="U92" i="34"/>
  <c r="U100" i="34" s="1"/>
  <c r="U20" i="34"/>
  <c r="U128" i="34"/>
  <c r="U56" i="34"/>
  <c r="U8" i="34"/>
  <c r="U438" i="34" s="1"/>
  <c r="U8" i="32"/>
  <c r="U30" i="32" s="1"/>
  <c r="U20" i="31"/>
  <c r="U8" i="31"/>
  <c r="U32" i="26"/>
  <c r="U40" i="26" s="1"/>
  <c r="U8" i="26"/>
  <c r="U20" i="16"/>
  <c r="U28" i="16" s="1"/>
  <c r="U8" i="16"/>
  <c r="U20" i="15"/>
  <c r="U8" i="15"/>
  <c r="U439" i="34" l="1"/>
  <c r="U441" i="34" s="1"/>
  <c r="U54" i="31"/>
  <c r="U3" i="31" s="1"/>
  <c r="N18" i="52" s="1"/>
  <c r="U30" i="15"/>
  <c r="U55" i="26"/>
  <c r="U57" i="26" s="1"/>
  <c r="U28" i="34"/>
  <c r="U16" i="31"/>
  <c r="U43" i="16"/>
  <c r="U16" i="32"/>
  <c r="U31" i="32"/>
  <c r="U33" i="32" s="1"/>
  <c r="U136" i="34"/>
  <c r="U28" i="15"/>
  <c r="U3" i="15"/>
  <c r="N15" i="52" s="1"/>
  <c r="N16" i="52" s="1"/>
  <c r="U16" i="26"/>
  <c r="U64" i="34"/>
  <c r="U16" i="34"/>
  <c r="U16" i="16"/>
  <c r="U28" i="31"/>
  <c r="U16" i="15"/>
  <c r="U3" i="26" l="1"/>
  <c r="N12" i="52" s="1"/>
  <c r="N13" i="52" s="1"/>
  <c r="N19" i="52"/>
  <c r="U3" i="16"/>
  <c r="U3" i="32"/>
  <c r="N6" i="9"/>
  <c r="N18" i="9"/>
  <c r="N12" i="9"/>
  <c r="N15" i="9"/>
  <c r="U3" i="34"/>
  <c r="N24" i="52" s="1"/>
  <c r="N25" i="52" s="1"/>
  <c r="U55" i="31"/>
  <c r="U57" i="31" s="1"/>
  <c r="U4" i="31"/>
  <c r="U4" i="26"/>
  <c r="U45" i="16"/>
  <c r="U31" i="15"/>
  <c r="U4" i="15" s="1"/>
  <c r="N9" i="52" l="1"/>
  <c r="N10" i="52" s="1"/>
  <c r="N9" i="9"/>
  <c r="N10" i="9" s="1"/>
  <c r="U4" i="32"/>
  <c r="N6" i="52"/>
  <c r="N7" i="52" s="1"/>
  <c r="N24" i="9"/>
  <c r="N7" i="9"/>
  <c r="N19" i="9"/>
  <c r="N13" i="9"/>
  <c r="N16" i="9"/>
  <c r="U4" i="34"/>
  <c r="U4" i="16"/>
  <c r="U33" i="15"/>
  <c r="N3" i="9" l="1"/>
  <c r="N3" i="52"/>
  <c r="N4" i="52" s="1"/>
  <c r="N25" i="9"/>
  <c r="M4" i="9" l="1"/>
  <c r="N4" i="9" l="1"/>
  <c r="P4" i="9" l="1"/>
  <c r="O4" i="9"/>
  <c r="X97" i="34" l="1"/>
  <c r="X98" i="34"/>
  <c r="X95" i="34"/>
  <c r="X96" i="34"/>
  <c r="X93" i="34"/>
  <c r="L92" i="34" l="1"/>
  <c r="L100" i="34" s="1"/>
  <c r="X92" i="34" l="1"/>
  <c r="X100" i="34" s="1"/>
  <c r="M116" i="34" l="1"/>
  <c r="M124" i="34" s="1"/>
  <c r="M20" i="34"/>
  <c r="M28" i="34" s="1"/>
  <c r="M128" i="34"/>
  <c r="M136" i="34" s="1"/>
  <c r="M56" i="34"/>
  <c r="M8" i="34"/>
  <c r="M438" i="34" s="1"/>
  <c r="M8" i="32"/>
  <c r="M30" i="32" s="1"/>
  <c r="M20" i="31"/>
  <c r="M28" i="31" s="1"/>
  <c r="M8" i="31"/>
  <c r="M32" i="26"/>
  <c r="M40" i="26" s="1"/>
  <c r="M8" i="26"/>
  <c r="M20" i="16"/>
  <c r="M28" i="16" s="1"/>
  <c r="M8" i="16"/>
  <c r="M20" i="15"/>
  <c r="M28" i="15" s="1"/>
  <c r="M8" i="15"/>
  <c r="M439" i="34" l="1"/>
  <c r="M55" i="26"/>
  <c r="M3" i="31"/>
  <c r="F18" i="52" s="1"/>
  <c r="F19" i="52" s="1"/>
  <c r="M30" i="15"/>
  <c r="M3" i="15" s="1"/>
  <c r="F15" i="52" s="1"/>
  <c r="F16" i="52" s="1"/>
  <c r="M43" i="16"/>
  <c r="M16" i="32"/>
  <c r="M31" i="32"/>
  <c r="M64" i="34"/>
  <c r="M16" i="26"/>
  <c r="M16" i="34"/>
  <c r="M16" i="31"/>
  <c r="M16" i="16"/>
  <c r="M16" i="15"/>
  <c r="M3" i="32" l="1"/>
  <c r="M3" i="34"/>
  <c r="M55" i="31"/>
  <c r="F18" i="9"/>
  <c r="M4" i="31"/>
  <c r="M3" i="26"/>
  <c r="M3" i="16"/>
  <c r="F9" i="52" s="1"/>
  <c r="F10" i="52" s="1"/>
  <c r="M4" i="16"/>
  <c r="M31" i="15"/>
  <c r="M4" i="15" s="1"/>
  <c r="F15" i="9"/>
  <c r="M4" i="32" l="1"/>
  <c r="F6" i="52"/>
  <c r="M4" i="26"/>
  <c r="F12" i="52"/>
  <c r="F13" i="52" s="1"/>
  <c r="M4" i="34"/>
  <c r="F24" i="52"/>
  <c r="F6" i="9"/>
  <c r="F7" i="9" s="1"/>
  <c r="F24" i="9"/>
  <c r="F25" i="9" s="1"/>
  <c r="F19" i="9"/>
  <c r="F12" i="9"/>
  <c r="F13" i="9" s="1"/>
  <c r="F9" i="9"/>
  <c r="F16" i="9"/>
  <c r="F7" i="52" l="1"/>
  <c r="F3" i="52"/>
  <c r="F4" i="52" s="1"/>
  <c r="F25" i="52"/>
  <c r="F3" i="9"/>
  <c r="F10" i="9"/>
  <c r="F4" i="9" l="1"/>
  <c r="L116" i="34" l="1"/>
  <c r="L124" i="34" s="1"/>
  <c r="L20" i="34"/>
  <c r="L28" i="34" s="1"/>
  <c r="L128" i="34"/>
  <c r="L136" i="34" s="1"/>
  <c r="L56" i="34"/>
  <c r="L64" i="34" s="1"/>
  <c r="L8" i="34"/>
  <c r="L438" i="34" s="1"/>
  <c r="L8" i="32"/>
  <c r="L30" i="32" s="1"/>
  <c r="L20" i="31"/>
  <c r="L28" i="31" s="1"/>
  <c r="L8" i="31"/>
  <c r="L32" i="26"/>
  <c r="L8" i="26"/>
  <c r="L20" i="16"/>
  <c r="L8" i="16"/>
  <c r="L20" i="15"/>
  <c r="L8" i="15"/>
  <c r="L40" i="26" l="1"/>
  <c r="L55" i="26"/>
  <c r="L439" i="34"/>
  <c r="L55" i="31"/>
  <c r="L16" i="31"/>
  <c r="L30" i="15"/>
  <c r="L3" i="15" s="1"/>
  <c r="E15" i="52" s="1"/>
  <c r="L16" i="32"/>
  <c r="L31" i="32"/>
  <c r="L43" i="16"/>
  <c r="L16" i="26"/>
  <c r="L28" i="16"/>
  <c r="L16" i="16"/>
  <c r="L16" i="34"/>
  <c r="L28" i="15"/>
  <c r="L16" i="15"/>
  <c r="E16" i="52" l="1"/>
  <c r="L3" i="32"/>
  <c r="E6" i="52" s="1"/>
  <c r="E7" i="52" s="1"/>
  <c r="L3" i="31"/>
  <c r="L3" i="34"/>
  <c r="E6" i="9"/>
  <c r="L4" i="32"/>
  <c r="E18" i="9"/>
  <c r="L3" i="26"/>
  <c r="L3" i="16"/>
  <c r="L4" i="16"/>
  <c r="L31" i="15"/>
  <c r="L4" i="15" s="1"/>
  <c r="E15" i="9"/>
  <c r="L4" i="31" l="1"/>
  <c r="E18" i="52"/>
  <c r="E19" i="52" s="1"/>
  <c r="E9" i="9"/>
  <c r="E10" i="9" s="1"/>
  <c r="E9" i="52"/>
  <c r="L4" i="26"/>
  <c r="E12" i="52"/>
  <c r="L4" i="34"/>
  <c r="E24" i="52"/>
  <c r="E24" i="9"/>
  <c r="E7" i="9"/>
  <c r="E19" i="9"/>
  <c r="E12" i="9"/>
  <c r="E13" i="9" s="1"/>
  <c r="E16" i="9"/>
  <c r="E3" i="52" l="1"/>
  <c r="E4" i="52" s="1"/>
  <c r="E10" i="52"/>
  <c r="E13" i="52"/>
  <c r="E25" i="52"/>
  <c r="E25" i="9"/>
  <c r="E3" i="9"/>
  <c r="E4" i="9" l="1"/>
  <c r="N116" i="34"/>
  <c r="N124" i="34" s="1"/>
  <c r="N20" i="34"/>
  <c r="N128" i="34"/>
  <c r="N136" i="34" s="1"/>
  <c r="N56" i="34"/>
  <c r="N8" i="34"/>
  <c r="N8" i="32"/>
  <c r="N30" i="32" s="1"/>
  <c r="N20" i="31"/>
  <c r="N28" i="31" s="1"/>
  <c r="N8" i="31"/>
  <c r="N32" i="26"/>
  <c r="N8" i="26"/>
  <c r="N20" i="16"/>
  <c r="N8" i="16"/>
  <c r="N20" i="15"/>
  <c r="N8" i="15"/>
  <c r="N438" i="34" l="1"/>
  <c r="N439" i="34" s="1"/>
  <c r="L441" i="34" s="1"/>
  <c r="N54" i="31"/>
  <c r="N55" i="31" s="1"/>
  <c r="N55" i="26"/>
  <c r="L57" i="26" s="1"/>
  <c r="N43" i="16"/>
  <c r="N28" i="34"/>
  <c r="N16" i="31"/>
  <c r="N30" i="15"/>
  <c r="N3" i="15" s="1"/>
  <c r="G15" i="52" s="1"/>
  <c r="N64" i="34"/>
  <c r="N31" i="32"/>
  <c r="N16" i="26"/>
  <c r="N16" i="34"/>
  <c r="N16" i="32"/>
  <c r="N40" i="26"/>
  <c r="N28" i="16"/>
  <c r="N16" i="16"/>
  <c r="N28" i="15"/>
  <c r="N16" i="15"/>
  <c r="G16" i="52" l="1"/>
  <c r="N3" i="16"/>
  <c r="N3" i="34"/>
  <c r="N3" i="32"/>
  <c r="L33" i="32"/>
  <c r="N3" i="31"/>
  <c r="G18" i="52" s="1"/>
  <c r="G19" i="52" s="1"/>
  <c r="L57" i="31"/>
  <c r="N3" i="26"/>
  <c r="N4" i="16"/>
  <c r="N31" i="15"/>
  <c r="N4" i="15" s="1"/>
  <c r="G15" i="9"/>
  <c r="G9" i="9" l="1"/>
  <c r="G10" i="9" s="1"/>
  <c r="G9" i="52"/>
  <c r="G6" i="9"/>
  <c r="G7" i="9" s="1"/>
  <c r="G6" i="52"/>
  <c r="G12" i="9"/>
  <c r="G13" i="9" s="1"/>
  <c r="G12" i="52"/>
  <c r="N4" i="34"/>
  <c r="G24" i="52"/>
  <c r="N4" i="32"/>
  <c r="G24" i="9"/>
  <c r="G25" i="9" s="1"/>
  <c r="N4" i="31"/>
  <c r="G18" i="9"/>
  <c r="N4" i="26"/>
  <c r="L45" i="16"/>
  <c r="L33" i="15"/>
  <c r="G16" i="9"/>
  <c r="G10" i="52" l="1"/>
  <c r="G7" i="52"/>
  <c r="G13" i="52"/>
  <c r="G3" i="52"/>
  <c r="G4" i="52" s="1"/>
  <c r="G25" i="52"/>
  <c r="G3" i="9"/>
  <c r="G19" i="9"/>
  <c r="G4" i="9" l="1"/>
  <c r="O116" i="34" l="1"/>
  <c r="O124" i="34" s="1"/>
  <c r="O20" i="34"/>
  <c r="O128" i="34"/>
  <c r="O56" i="34"/>
  <c r="O8" i="34"/>
  <c r="O438" i="34" s="1"/>
  <c r="O8" i="32"/>
  <c r="O30" i="32" s="1"/>
  <c r="O20" i="31"/>
  <c r="O28" i="31" s="1"/>
  <c r="O8" i="31"/>
  <c r="O32" i="26"/>
  <c r="O40" i="26" s="1"/>
  <c r="O8" i="26"/>
  <c r="O20" i="16"/>
  <c r="O8" i="16"/>
  <c r="O20" i="15"/>
  <c r="O8" i="15"/>
  <c r="O439" i="34" l="1"/>
  <c r="O54" i="31"/>
  <c r="O55" i="26"/>
  <c r="O28" i="34"/>
  <c r="O16" i="31"/>
  <c r="O30" i="15"/>
  <c r="O43" i="16"/>
  <c r="O64" i="34"/>
  <c r="O3" i="32"/>
  <c r="H6" i="52" s="1"/>
  <c r="O3" i="31"/>
  <c r="H18" i="52" s="1"/>
  <c r="H19" i="52" s="1"/>
  <c r="O28" i="16"/>
  <c r="O16" i="15"/>
  <c r="O136" i="34"/>
  <c r="O16" i="34"/>
  <c r="O16" i="32"/>
  <c r="O16" i="26"/>
  <c r="O16" i="16"/>
  <c r="O28" i="15"/>
  <c r="O3" i="26" l="1"/>
  <c r="H12" i="52" s="1"/>
  <c r="H13" i="52" s="1"/>
  <c r="H7" i="52"/>
  <c r="O3" i="16"/>
  <c r="O31" i="32"/>
  <c r="O3" i="34"/>
  <c r="H6" i="9"/>
  <c r="O4" i="32"/>
  <c r="O55" i="31"/>
  <c r="H18" i="9"/>
  <c r="O4" i="31"/>
  <c r="H12" i="9"/>
  <c r="O4" i="26"/>
  <c r="O4" i="16"/>
  <c r="O3" i="15"/>
  <c r="H15" i="52" s="1"/>
  <c r="O31" i="15"/>
  <c r="H9" i="52" l="1"/>
  <c r="H9" i="9"/>
  <c r="H10" i="9" s="1"/>
  <c r="H16" i="52"/>
  <c r="H10" i="52"/>
  <c r="O4" i="34"/>
  <c r="H24" i="52"/>
  <c r="H15" i="9"/>
  <c r="H16" i="9" s="1"/>
  <c r="H24" i="9"/>
  <c r="H7" i="9"/>
  <c r="H19" i="9"/>
  <c r="H13" i="9"/>
  <c r="O4" i="15"/>
  <c r="H3" i="52" l="1"/>
  <c r="H4" i="52" s="1"/>
  <c r="H25" i="52"/>
  <c r="H3" i="9"/>
  <c r="H4" i="9" s="1"/>
  <c r="H25" i="9"/>
  <c r="P116" i="34" l="1"/>
  <c r="P124" i="34" s="1"/>
  <c r="P20" i="34"/>
  <c r="P128" i="34"/>
  <c r="P56" i="34"/>
  <c r="P8" i="34"/>
  <c r="P438" i="34" s="1"/>
  <c r="P8" i="32"/>
  <c r="P30" i="32" s="1"/>
  <c r="P20" i="31"/>
  <c r="P8" i="31"/>
  <c r="P32" i="26"/>
  <c r="P40" i="26" s="1"/>
  <c r="P8" i="26"/>
  <c r="P20" i="16"/>
  <c r="P8" i="16"/>
  <c r="P20" i="15"/>
  <c r="P28" i="15" s="1"/>
  <c r="P8" i="15"/>
  <c r="P439" i="34" l="1"/>
  <c r="P28" i="31"/>
  <c r="P55" i="26"/>
  <c r="P28" i="34"/>
  <c r="P30" i="15"/>
  <c r="P3" i="15" s="1"/>
  <c r="I15" i="52" s="1"/>
  <c r="P43" i="16"/>
  <c r="P16" i="32"/>
  <c r="P64" i="34"/>
  <c r="P31" i="32"/>
  <c r="P16" i="15"/>
  <c r="P28" i="16"/>
  <c r="P136" i="34"/>
  <c r="P16" i="34"/>
  <c r="P16" i="31"/>
  <c r="P16" i="26"/>
  <c r="P16" i="16"/>
  <c r="I16" i="52" l="1"/>
  <c r="P3" i="31"/>
  <c r="P3" i="34"/>
  <c r="P3" i="32"/>
  <c r="I6" i="52" s="1"/>
  <c r="I6" i="9"/>
  <c r="P4" i="32"/>
  <c r="P55" i="31"/>
  <c r="P4" i="31"/>
  <c r="P3" i="26"/>
  <c r="P3" i="16"/>
  <c r="I9" i="52" s="1"/>
  <c r="P4" i="16"/>
  <c r="P31" i="15"/>
  <c r="P4" i="15" s="1"/>
  <c r="I15" i="9"/>
  <c r="I18" i="9" l="1"/>
  <c r="I19" i="9" s="1"/>
  <c r="I18" i="52"/>
  <c r="I19" i="52" s="1"/>
  <c r="I10" i="52"/>
  <c r="I7" i="52"/>
  <c r="P4" i="26"/>
  <c r="I12" i="52"/>
  <c r="I24" i="9"/>
  <c r="I25" i="9" s="1"/>
  <c r="I24" i="52"/>
  <c r="P4" i="34"/>
  <c r="I7" i="9"/>
  <c r="I12" i="9"/>
  <c r="I13" i="9" s="1"/>
  <c r="I9" i="9"/>
  <c r="I16" i="9"/>
  <c r="I13" i="52" l="1"/>
  <c r="I3" i="52"/>
  <c r="I4" i="52" s="1"/>
  <c r="I25" i="52"/>
  <c r="I3" i="9"/>
  <c r="I10" i="9"/>
  <c r="I4" i="9" l="1"/>
  <c r="Q116" i="34" l="1"/>
  <c r="Q124" i="34" s="1"/>
  <c r="Q20" i="34"/>
  <c r="Q128" i="34"/>
  <c r="Q136" i="34" s="1"/>
  <c r="Q56" i="34"/>
  <c r="Q8" i="34"/>
  <c r="Q438" i="34" s="1"/>
  <c r="Q8" i="32"/>
  <c r="Q30" i="32" s="1"/>
  <c r="Q20" i="31"/>
  <c r="Q28" i="31" s="1"/>
  <c r="Q8" i="31"/>
  <c r="Q32" i="26"/>
  <c r="Q40" i="26" s="1"/>
  <c r="Q8" i="26"/>
  <c r="Q20" i="16"/>
  <c r="Q28" i="16" s="1"/>
  <c r="Q8" i="16"/>
  <c r="Q20" i="15"/>
  <c r="Q28" i="15" s="1"/>
  <c r="Q8" i="15"/>
  <c r="Q439" i="34" l="1"/>
  <c r="O441" i="34" s="1"/>
  <c r="Q54" i="31"/>
  <c r="Q30" i="15"/>
  <c r="Q55" i="26"/>
  <c r="O57" i="26" s="1"/>
  <c r="Q3" i="26"/>
  <c r="J12" i="52" s="1"/>
  <c r="Q28" i="34"/>
  <c r="Q43" i="16"/>
  <c r="Q16" i="31"/>
  <c r="Q16" i="32"/>
  <c r="Q3" i="32"/>
  <c r="J6" i="52" s="1"/>
  <c r="Q16" i="16"/>
  <c r="Q16" i="15"/>
  <c r="Q31" i="15"/>
  <c r="Q64" i="34"/>
  <c r="Q16" i="34"/>
  <c r="Q16" i="26"/>
  <c r="J7" i="52" l="1"/>
  <c r="J13" i="52"/>
  <c r="Q55" i="31"/>
  <c r="O57" i="31" s="1"/>
  <c r="Q31" i="32"/>
  <c r="O33" i="32" s="1"/>
  <c r="Q3" i="34"/>
  <c r="J6" i="9"/>
  <c r="Q4" i="32"/>
  <c r="Q3" i="31"/>
  <c r="J18" i="52" s="1"/>
  <c r="J19" i="52" s="1"/>
  <c r="J12" i="9"/>
  <c r="Q4" i="26"/>
  <c r="Q3" i="16"/>
  <c r="J9" i="52" s="1"/>
  <c r="Q4" i="16"/>
  <c r="O45" i="16"/>
  <c r="Q3" i="15"/>
  <c r="Q4" i="15"/>
  <c r="O33" i="15"/>
  <c r="J15" i="9" l="1"/>
  <c r="J15" i="52"/>
  <c r="J10" i="52"/>
  <c r="J24" i="9"/>
  <c r="J25" i="9" s="1"/>
  <c r="J24" i="52"/>
  <c r="Q4" i="34"/>
  <c r="J7" i="9"/>
  <c r="J18" i="9"/>
  <c r="J19" i="9" s="1"/>
  <c r="Q4" i="31"/>
  <c r="J13" i="9"/>
  <c r="J9" i="9"/>
  <c r="J16" i="9"/>
  <c r="J16" i="52" l="1"/>
  <c r="J3" i="52"/>
  <c r="J4" i="52" s="1"/>
  <c r="J25" i="52"/>
  <c r="J3" i="9"/>
  <c r="J4" i="9" s="1"/>
  <c r="J10" i="9"/>
  <c r="R116" i="34" l="1"/>
  <c r="R28" i="34"/>
  <c r="R128" i="34"/>
  <c r="R56" i="34"/>
  <c r="R8" i="34"/>
  <c r="R8" i="32"/>
  <c r="R30" i="32" s="1"/>
  <c r="R20" i="31"/>
  <c r="R8" i="31"/>
  <c r="R32" i="26"/>
  <c r="R40" i="26" s="1"/>
  <c r="R8" i="26"/>
  <c r="R20" i="16"/>
  <c r="R8" i="16"/>
  <c r="R20" i="15"/>
  <c r="R8" i="15"/>
  <c r="R438" i="34" l="1"/>
  <c r="R439" i="34"/>
  <c r="R54" i="31"/>
  <c r="R55" i="26"/>
  <c r="R30" i="15"/>
  <c r="R3" i="15" s="1"/>
  <c r="K15" i="52" s="1"/>
  <c r="R3" i="26"/>
  <c r="K12" i="52" s="1"/>
  <c r="K13" i="52" s="1"/>
  <c r="R16" i="16"/>
  <c r="R16" i="32"/>
  <c r="R16" i="31"/>
  <c r="R43" i="16"/>
  <c r="R64" i="34"/>
  <c r="R28" i="15"/>
  <c r="R16" i="26"/>
  <c r="R3" i="32"/>
  <c r="K6" i="52" s="1"/>
  <c r="K7" i="52" s="1"/>
  <c r="R16" i="34"/>
  <c r="R124" i="34"/>
  <c r="R136" i="34"/>
  <c r="R28" i="31"/>
  <c r="R28" i="16"/>
  <c r="R16" i="15"/>
  <c r="K16" i="52" l="1"/>
  <c r="R3" i="31"/>
  <c r="K18" i="52" s="1"/>
  <c r="R3" i="16"/>
  <c r="R31" i="32"/>
  <c r="R3" i="34"/>
  <c r="K6" i="9"/>
  <c r="R4" i="32"/>
  <c r="R55" i="31"/>
  <c r="K12" i="9"/>
  <c r="R4" i="26"/>
  <c r="R31" i="15"/>
  <c r="K15" i="9"/>
  <c r="R4" i="31" l="1"/>
  <c r="K18" i="9"/>
  <c r="K19" i="9" s="1"/>
  <c r="K9" i="9"/>
  <c r="K10" i="9" s="1"/>
  <c r="K9" i="52"/>
  <c r="K24" i="9"/>
  <c r="K25" i="9" s="1"/>
  <c r="K24" i="52"/>
  <c r="K25" i="52" s="1"/>
  <c r="K19" i="52"/>
  <c r="R4" i="34"/>
  <c r="K7" i="9"/>
  <c r="K13" i="9"/>
  <c r="R4" i="16"/>
  <c r="R4" i="15"/>
  <c r="K16" i="9"/>
  <c r="K3" i="9" l="1"/>
  <c r="K4" i="9" s="1"/>
  <c r="K10" i="52"/>
  <c r="K3" i="52"/>
  <c r="K4" i="52" s="1"/>
  <c r="X121" i="34" l="1"/>
  <c r="X122" i="34"/>
  <c r="X119" i="34"/>
  <c r="X120" i="34"/>
  <c r="X117" i="34"/>
  <c r="X25" i="34"/>
  <c r="X26" i="34"/>
  <c r="X23" i="34"/>
  <c r="X24" i="34"/>
  <c r="X21" i="34"/>
  <c r="X133" i="34"/>
  <c r="X134" i="34"/>
  <c r="X131" i="34"/>
  <c r="X132" i="34"/>
  <c r="X129" i="34"/>
  <c r="X61" i="34"/>
  <c r="X62" i="34"/>
  <c r="X59" i="34"/>
  <c r="X60" i="34"/>
  <c r="X57" i="34"/>
  <c r="X13" i="34"/>
  <c r="X14" i="34"/>
  <c r="X11" i="34"/>
  <c r="X12" i="34"/>
  <c r="X9" i="34"/>
  <c r="X25" i="32"/>
  <c r="X26" i="32"/>
  <c r="X23" i="32"/>
  <c r="X24" i="32"/>
  <c r="X21" i="32"/>
  <c r="X13" i="32"/>
  <c r="X14" i="32"/>
  <c r="X11" i="32"/>
  <c r="X12" i="32"/>
  <c r="X9" i="32"/>
  <c r="X25" i="31"/>
  <c r="X26" i="31"/>
  <c r="X23" i="31"/>
  <c r="X24" i="31"/>
  <c r="X21" i="31"/>
  <c r="X13" i="31"/>
  <c r="X14" i="31"/>
  <c r="X11" i="31"/>
  <c r="X12" i="31"/>
  <c r="X9" i="31"/>
  <c r="X37" i="26"/>
  <c r="X38" i="26"/>
  <c r="X35" i="26"/>
  <c r="X36" i="26"/>
  <c r="X33" i="26"/>
  <c r="X13" i="26"/>
  <c r="X14" i="26"/>
  <c r="X11" i="26"/>
  <c r="X12" i="26"/>
  <c r="X9" i="26"/>
  <c r="X25" i="16"/>
  <c r="X26" i="16"/>
  <c r="X23" i="16"/>
  <c r="X24" i="16"/>
  <c r="X21" i="16"/>
  <c r="X13" i="16"/>
  <c r="X14" i="16"/>
  <c r="X11" i="16"/>
  <c r="X12" i="16"/>
  <c r="X9" i="16"/>
  <c r="X25" i="15"/>
  <c r="X26" i="15"/>
  <c r="X23" i="15"/>
  <c r="X24" i="15"/>
  <c r="X21" i="15"/>
  <c r="X13" i="15"/>
  <c r="X14" i="15"/>
  <c r="X11" i="15"/>
  <c r="X12" i="15"/>
  <c r="X9" i="15"/>
  <c r="S116" i="34" l="1"/>
  <c r="S124" i="34" s="1"/>
  <c r="S20" i="34"/>
  <c r="S128" i="34"/>
  <c r="S56" i="34"/>
  <c r="S8" i="34"/>
  <c r="S438" i="34" s="1"/>
  <c r="S20" i="32"/>
  <c r="S8" i="32"/>
  <c r="S20" i="31"/>
  <c r="S28" i="31" s="1"/>
  <c r="S8" i="31"/>
  <c r="S54" i="31" s="1"/>
  <c r="S32" i="26"/>
  <c r="S40" i="26" s="1"/>
  <c r="S8" i="26"/>
  <c r="S20" i="16"/>
  <c r="X20" i="16" s="1"/>
  <c r="X28" i="16" s="1"/>
  <c r="S8" i="16"/>
  <c r="S20" i="15"/>
  <c r="S8" i="15"/>
  <c r="S43" i="16" l="1"/>
  <c r="S55" i="26"/>
  <c r="R57" i="26" s="1"/>
  <c r="S439" i="34"/>
  <c r="R441" i="34" s="1"/>
  <c r="X441" i="34" s="1"/>
  <c r="X54" i="31"/>
  <c r="S28" i="34"/>
  <c r="S30" i="15"/>
  <c r="S3" i="15" s="1"/>
  <c r="L15" i="52" s="1"/>
  <c r="X20" i="32"/>
  <c r="X28" i="32" s="1"/>
  <c r="S30" i="32"/>
  <c r="X30" i="32" s="1"/>
  <c r="X8" i="32"/>
  <c r="X16" i="32" s="1"/>
  <c r="X8" i="31"/>
  <c r="X16" i="31" s="1"/>
  <c r="S136" i="34"/>
  <c r="S64" i="34"/>
  <c r="S16" i="26"/>
  <c r="S28" i="16"/>
  <c r="X8" i="16"/>
  <c r="X16" i="16" s="1"/>
  <c r="S28" i="15"/>
  <c r="X116" i="34"/>
  <c r="X124" i="34" s="1"/>
  <c r="X20" i="34"/>
  <c r="X28" i="34" s="1"/>
  <c r="X128" i="34"/>
  <c r="X136" i="34" s="1"/>
  <c r="X56" i="34"/>
  <c r="X64" i="34" s="1"/>
  <c r="X8" i="34"/>
  <c r="X16" i="34" s="1"/>
  <c r="S16" i="34"/>
  <c r="S28" i="32"/>
  <c r="S16" i="32"/>
  <c r="X20" i="31"/>
  <c r="X28" i="31" s="1"/>
  <c r="S16" i="31"/>
  <c r="X32" i="26"/>
  <c r="X40" i="26" s="1"/>
  <c r="X8" i="26"/>
  <c r="X16" i="26" s="1"/>
  <c r="S16" i="16"/>
  <c r="X20" i="15"/>
  <c r="X28" i="15" s="1"/>
  <c r="X8" i="15"/>
  <c r="X16" i="15" s="1"/>
  <c r="S16" i="15"/>
  <c r="L16" i="52" l="1"/>
  <c r="Q16" i="52" s="1"/>
  <c r="Q15" i="52"/>
  <c r="S3" i="31"/>
  <c r="L18" i="52" s="1"/>
  <c r="X438" i="34"/>
  <c r="S3" i="34"/>
  <c r="X439" i="34"/>
  <c r="S31" i="32"/>
  <c r="R33" i="32" s="1"/>
  <c r="X33" i="32" s="1"/>
  <c r="S3" i="32"/>
  <c r="S55" i="31"/>
  <c r="X55" i="31" s="1"/>
  <c r="X54" i="26"/>
  <c r="S3" i="26"/>
  <c r="X55" i="26"/>
  <c r="X57" i="26"/>
  <c r="S3" i="16"/>
  <c r="X42" i="16"/>
  <c r="S4" i="16"/>
  <c r="X4" i="16" s="1"/>
  <c r="X43" i="16"/>
  <c r="X45" i="16" s="1"/>
  <c r="R45" i="16"/>
  <c r="X30" i="15"/>
  <c r="S31" i="15"/>
  <c r="S4" i="15" s="1"/>
  <c r="L15" i="9"/>
  <c r="X3" i="15"/>
  <c r="X3" i="31" l="1"/>
  <c r="S4" i="31"/>
  <c r="X4" i="31" s="1"/>
  <c r="L18" i="9"/>
  <c r="L19" i="9" s="1"/>
  <c r="Q19" i="9" s="1"/>
  <c r="L9" i="9"/>
  <c r="L10" i="9" s="1"/>
  <c r="Q10" i="9" s="1"/>
  <c r="L9" i="52"/>
  <c r="X3" i="32"/>
  <c r="L6" i="52"/>
  <c r="L12" i="9"/>
  <c r="L13" i="9" s="1"/>
  <c r="Q13" i="9" s="1"/>
  <c r="L12" i="52"/>
  <c r="L24" i="9"/>
  <c r="Q24" i="9" s="1"/>
  <c r="L24" i="52"/>
  <c r="L19" i="52"/>
  <c r="Q19" i="52" s="1"/>
  <c r="Q18" i="52"/>
  <c r="X3" i="34"/>
  <c r="S4" i="34"/>
  <c r="X4" i="34" s="1"/>
  <c r="X4" i="15"/>
  <c r="L6" i="9"/>
  <c r="L7" i="9" s="1"/>
  <c r="Q7" i="9" s="1"/>
  <c r="X31" i="32"/>
  <c r="S4" i="32"/>
  <c r="X4" i="32" s="1"/>
  <c r="R57" i="31"/>
  <c r="X57" i="31" s="1"/>
  <c r="X3" i="26"/>
  <c r="S4" i="26"/>
  <c r="X4" i="26" s="1"/>
  <c r="X3" i="16"/>
  <c r="R33" i="15"/>
  <c r="X33" i="15" s="1"/>
  <c r="X31" i="15"/>
  <c r="L16" i="9"/>
  <c r="Q16" i="9" s="1"/>
  <c r="Q15" i="9"/>
  <c r="Q18" i="9" l="1"/>
  <c r="Q9" i="9"/>
  <c r="Q12" i="9"/>
  <c r="L3" i="52"/>
  <c r="Q3" i="52" s="1"/>
  <c r="L10" i="52"/>
  <c r="Q10" i="52" s="1"/>
  <c r="Q9" i="52"/>
  <c r="L25" i="9"/>
  <c r="Q25" i="9" s="1"/>
  <c r="L7" i="52"/>
  <c r="Q7" i="52" s="1"/>
  <c r="Q6" i="52"/>
  <c r="L13" i="52"/>
  <c r="Q13" i="52" s="1"/>
  <c r="Q12" i="52"/>
  <c r="L25" i="52"/>
  <c r="Q25" i="52" s="1"/>
  <c r="Q24" i="52"/>
  <c r="L3" i="9"/>
  <c r="Q3" i="9" s="1"/>
  <c r="Q6" i="9"/>
  <c r="L4" i="52" l="1"/>
  <c r="Q4" i="52" s="1"/>
  <c r="L4" i="9"/>
  <c r="Q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W30" authorId="0" shapeId="0" xr:uid="{21DAE123-C0DC-43BF-B3DE-2F6F457D21C6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3/6（金）入場
3/6の初日のみ10時～19時（休憩1時間）の8時間勤務予定。合計14日稼働で計算。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O42" authorId="0" shapeId="0" xr:uid="{9B08C0E0-4C77-4772-870C-792750F9EB24}">
      <text>
        <r>
          <rPr>
            <sz val="9"/>
            <color indexed="81"/>
            <rFont val="ＭＳ Ｐゴシック"/>
            <family val="3"/>
            <charset val="128"/>
            <scheme val="minor"/>
          </rPr>
          <t>7月は教育期間として無償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S57" authorId="0" shapeId="0" xr:uid="{196D5D10-DC2B-4721-9462-95393D400370}">
      <text>
        <r>
          <rPr>
            <sz val="9"/>
            <color indexed="81"/>
            <rFont val="MS P ゴシック"/>
            <family val="3"/>
            <charset val="128"/>
          </rPr>
          <t>定常外手当70,000円は省いています。</t>
        </r>
      </text>
    </comment>
    <comment ref="S129" authorId="0" shapeId="0" xr:uid="{324A48FC-B635-488F-8A70-0AD327931C0E}">
      <text>
        <r>
          <rPr>
            <sz val="9"/>
            <color indexed="81"/>
            <rFont val="MS P ゴシック"/>
            <family val="3"/>
            <charset val="128"/>
          </rPr>
          <t>定常外手当12,000円は省いています。</t>
        </r>
      </text>
    </comment>
    <comment ref="O138" authorId="0" shapeId="0" xr:uid="{0BE961DC-4929-4592-87F6-D1C8C5D940C6}">
      <text>
        <r>
          <rPr>
            <sz val="10"/>
            <color indexed="81"/>
            <rFont val="MS P ゴシック"/>
            <family val="3"/>
            <charset val="128"/>
          </rPr>
          <t>休職</t>
        </r>
      </text>
    </comment>
    <comment ref="U246" authorId="0" shapeId="0" xr:uid="{A110AB8B-0321-4B56-932B-FA3B816DD3D4}">
      <text>
        <r>
          <rPr>
            <sz val="9"/>
            <color indexed="81"/>
            <rFont val="MS P ゴシック"/>
            <family val="3"/>
            <charset val="128"/>
          </rPr>
          <t>1/16入場</t>
        </r>
      </text>
    </comment>
    <comment ref="P336" authorId="0" shapeId="0" xr:uid="{42BEC94E-B6A4-474D-B252-AABAFD10DA62}">
      <text>
        <r>
          <rPr>
            <sz val="9"/>
            <color indexed="81"/>
            <rFont val="游ゴシック"/>
            <family val="3"/>
            <charset val="128"/>
          </rPr>
          <t>月途中退職のため社保なし</t>
        </r>
      </text>
    </comment>
    <comment ref="S402" authorId="0" shapeId="0" xr:uid="{B79A28E3-11EA-422D-BFCB-5850E297FCBA}">
      <text>
        <r>
          <rPr>
            <sz val="9"/>
            <color indexed="81"/>
            <rFont val="MS P ゴシック"/>
            <family val="3"/>
            <charset val="128"/>
          </rPr>
          <t>大阪ｵﾌｨｽFWﾘﾌﾟﾚｲｽ現地対応作業</t>
        </r>
      </text>
    </comment>
    <comment ref="U402" authorId="0" shapeId="0" xr:uid="{9C8B5668-B17E-4F7E-99A2-E23B1B21BB62}">
      <text>
        <r>
          <rPr>
            <sz val="9"/>
            <color indexed="81"/>
            <rFont val="MS P ゴシック"/>
            <family val="3"/>
            <charset val="128"/>
          </rPr>
          <t>会議室モニターケーブル交換作業</t>
        </r>
      </text>
    </comment>
    <comment ref="V414" authorId="0" shapeId="0" xr:uid="{C6A874DA-361A-4AF3-BF17-E59454E0277D}">
      <text>
        <r>
          <rPr>
            <sz val="9"/>
            <color indexed="81"/>
            <rFont val="MS P ゴシック"/>
            <family val="3"/>
            <charset val="128"/>
          </rPr>
          <t>入場：2/16～</t>
        </r>
      </text>
    </comment>
    <comment ref="V426" authorId="0" shapeId="0" xr:uid="{0C8E5406-9F20-4AA5-BEF0-72E1221D626A}">
      <text>
        <r>
          <rPr>
            <sz val="9"/>
            <color indexed="81"/>
            <rFont val="MS P ゴシック"/>
            <family val="3"/>
            <charset val="128"/>
          </rPr>
          <t>入場：2/16～</t>
        </r>
      </text>
    </comment>
  </commentList>
</comments>
</file>

<file path=xl/sharedStrings.xml><?xml version="1.0" encoding="utf-8"?>
<sst xmlns="http://schemas.openxmlformats.org/spreadsheetml/2006/main" count="1157" uniqueCount="124">
  <si>
    <t>担当</t>
    <rPh sb="0" eb="2">
      <t>タントウ</t>
    </rPh>
    <phoneticPr fontId="14"/>
  </si>
  <si>
    <t>氏名</t>
    <rPh sb="0" eb="2">
      <t>シメイ</t>
    </rPh>
    <phoneticPr fontId="14"/>
  </si>
  <si>
    <t>作業名</t>
    <rPh sb="0" eb="2">
      <t>サギョウ</t>
    </rPh>
    <rPh sb="2" eb="3">
      <t>メイ</t>
    </rPh>
    <phoneticPr fontId="14"/>
  </si>
  <si>
    <t>契約先</t>
    <rPh sb="0" eb="2">
      <t>ケイヤク</t>
    </rPh>
    <rPh sb="2" eb="3">
      <t>サキ</t>
    </rPh>
    <phoneticPr fontId="14"/>
  </si>
  <si>
    <t>外注会社</t>
    <rPh sb="0" eb="2">
      <t>ガイチュウ</t>
    </rPh>
    <rPh sb="2" eb="4">
      <t>ガイシャ</t>
    </rPh>
    <phoneticPr fontId="14"/>
  </si>
  <si>
    <t>売上単価
(支払単価）
【≒粗利】</t>
    <rPh sb="0" eb="2">
      <t>ウリアゲ</t>
    </rPh>
    <rPh sb="2" eb="4">
      <t>タンカ</t>
    </rPh>
    <rPh sb="6" eb="8">
      <t>シハラ</t>
    </rPh>
    <rPh sb="8" eb="10">
      <t>タンカ</t>
    </rPh>
    <phoneticPr fontId="14"/>
  </si>
  <si>
    <t>4月</t>
    <rPh sb="1" eb="2">
      <t>ガツ</t>
    </rPh>
    <phoneticPr fontId="14"/>
  </si>
  <si>
    <t>5月</t>
    <rPh sb="1" eb="2">
      <t>ガツ</t>
    </rPh>
    <phoneticPr fontId="14"/>
  </si>
  <si>
    <t>6月</t>
    <rPh sb="1" eb="2">
      <t>ガツ</t>
    </rPh>
    <phoneticPr fontId="14"/>
  </si>
  <si>
    <t>7月</t>
    <rPh sb="1" eb="2">
      <t>ガツ</t>
    </rPh>
    <phoneticPr fontId="14"/>
  </si>
  <si>
    <t>8月</t>
    <rPh sb="1" eb="2">
      <t>ガツ</t>
    </rPh>
    <phoneticPr fontId="14"/>
  </si>
  <si>
    <t>9月</t>
    <rPh sb="1" eb="2">
      <t>ガツ</t>
    </rPh>
    <phoneticPr fontId="14"/>
  </si>
  <si>
    <t>10月</t>
    <rPh sb="2" eb="3">
      <t>ガツ</t>
    </rPh>
    <phoneticPr fontId="14"/>
  </si>
  <si>
    <t>11月</t>
    <rPh sb="2" eb="3">
      <t>ガツ</t>
    </rPh>
    <phoneticPr fontId="14"/>
  </si>
  <si>
    <t>12月</t>
    <rPh sb="2" eb="3">
      <t>ガツ</t>
    </rPh>
    <phoneticPr fontId="14"/>
  </si>
  <si>
    <t>1月</t>
    <rPh sb="1" eb="2">
      <t>ガツ</t>
    </rPh>
    <phoneticPr fontId="14"/>
  </si>
  <si>
    <t>2月</t>
    <rPh sb="1" eb="2">
      <t>ガツ</t>
    </rPh>
    <phoneticPr fontId="14"/>
  </si>
  <si>
    <t>3月</t>
    <rPh sb="1" eb="2">
      <t>ガツ</t>
    </rPh>
    <phoneticPr fontId="14"/>
  </si>
  <si>
    <t>合計</t>
    <rPh sb="0" eb="2">
      <t>ゴウケイ</t>
    </rPh>
    <phoneticPr fontId="14"/>
  </si>
  <si>
    <t>売上</t>
    <rPh sb="0" eb="2">
      <t>ウリアゲ</t>
    </rPh>
    <phoneticPr fontId="12"/>
  </si>
  <si>
    <t>仕入</t>
    <rPh sb="0" eb="2">
      <t>シイレ</t>
    </rPh>
    <phoneticPr fontId="12"/>
  </si>
  <si>
    <t>粗利</t>
    <rPh sb="0" eb="2">
      <t>アラリ</t>
    </rPh>
    <phoneticPr fontId="12"/>
  </si>
  <si>
    <t>総受注金額</t>
    <rPh sb="0" eb="1">
      <t>ソウ</t>
    </rPh>
    <rPh sb="1" eb="3">
      <t>ジュチュウ</t>
    </rPh>
    <rPh sb="3" eb="5">
      <t>キンガク</t>
    </rPh>
    <phoneticPr fontId="14"/>
  </si>
  <si>
    <t>派遣金額</t>
    <rPh sb="0" eb="2">
      <t>ハケン</t>
    </rPh>
    <rPh sb="2" eb="4">
      <t>キンガク</t>
    </rPh>
    <phoneticPr fontId="14"/>
  </si>
  <si>
    <t>交通費</t>
    <rPh sb="0" eb="3">
      <t>コウツウヒ</t>
    </rPh>
    <phoneticPr fontId="14"/>
  </si>
  <si>
    <t>総経費</t>
    <rPh sb="0" eb="1">
      <t>ソウ</t>
    </rPh>
    <rPh sb="1" eb="3">
      <t>ケイヒ</t>
    </rPh>
    <phoneticPr fontId="14"/>
  </si>
  <si>
    <t>賃金</t>
    <rPh sb="0" eb="2">
      <t>チンギン</t>
    </rPh>
    <phoneticPr fontId="14"/>
  </si>
  <si>
    <t>通勤定期代</t>
    <rPh sb="0" eb="2">
      <t>ツウキン</t>
    </rPh>
    <rPh sb="2" eb="5">
      <t>テイキダイ</t>
    </rPh>
    <phoneticPr fontId="14"/>
  </si>
  <si>
    <t>健康保険</t>
    <rPh sb="0" eb="2">
      <t>ケンコウ</t>
    </rPh>
    <rPh sb="2" eb="4">
      <t>ホケン</t>
    </rPh>
    <phoneticPr fontId="14"/>
  </si>
  <si>
    <t>厚生年金</t>
    <rPh sb="0" eb="2">
      <t>コウセイ</t>
    </rPh>
    <rPh sb="2" eb="4">
      <t>ネンキン</t>
    </rPh>
    <phoneticPr fontId="14"/>
  </si>
  <si>
    <t>労災保険</t>
    <rPh sb="0" eb="2">
      <t>ロウサイ</t>
    </rPh>
    <rPh sb="2" eb="4">
      <t>ホケン</t>
    </rPh>
    <phoneticPr fontId="14"/>
  </si>
  <si>
    <t>雇用保険</t>
    <rPh sb="0" eb="2">
      <t>コヨウ</t>
    </rPh>
    <rPh sb="2" eb="4">
      <t>ホケン</t>
    </rPh>
    <phoneticPr fontId="14"/>
  </si>
  <si>
    <t>粗利</t>
    <rPh sb="0" eb="1">
      <t>アラ</t>
    </rPh>
    <rPh sb="1" eb="2">
      <t>リ</t>
    </rPh>
    <phoneticPr fontId="14"/>
  </si>
  <si>
    <t>交通費その他</t>
    <rPh sb="0" eb="3">
      <t>コウツウヒ</t>
    </rPh>
    <rPh sb="5" eb="6">
      <t>タ</t>
    </rPh>
    <phoneticPr fontId="14"/>
  </si>
  <si>
    <t>派遣</t>
    <rPh sb="0" eb="2">
      <t>ハケン</t>
    </rPh>
    <phoneticPr fontId="14"/>
  </si>
  <si>
    <t>No</t>
    <phoneticPr fontId="14"/>
  </si>
  <si>
    <t>派遣先部署</t>
    <rPh sb="0" eb="2">
      <t>ハケン</t>
    </rPh>
    <rPh sb="2" eb="3">
      <t>サキ</t>
    </rPh>
    <rPh sb="3" eb="5">
      <t>ブショ</t>
    </rPh>
    <phoneticPr fontId="12"/>
  </si>
  <si>
    <t>派遣</t>
    <rPh sb="0" eb="2">
      <t>ハケン</t>
    </rPh>
    <phoneticPr fontId="12"/>
  </si>
  <si>
    <t>派遣</t>
  </si>
  <si>
    <t>社員</t>
  </si>
  <si>
    <t>Q売上</t>
    <rPh sb="1" eb="3">
      <t>ウリアゲ</t>
    </rPh>
    <phoneticPr fontId="12"/>
  </si>
  <si>
    <t>Q粗利</t>
    <rPh sb="1" eb="3">
      <t>アラリ</t>
    </rPh>
    <phoneticPr fontId="12"/>
  </si>
  <si>
    <t>社員番号</t>
    <rPh sb="0" eb="2">
      <t>シャイン</t>
    </rPh>
    <rPh sb="2" eb="4">
      <t>バンゴウ</t>
    </rPh>
    <phoneticPr fontId="12"/>
  </si>
  <si>
    <t>氏名</t>
    <rPh sb="0" eb="2">
      <t>シメイ</t>
    </rPh>
    <phoneticPr fontId="12"/>
  </si>
  <si>
    <t>S&amp;I</t>
    <phoneticPr fontId="12"/>
  </si>
  <si>
    <t>Ericson</t>
    <phoneticPr fontId="12"/>
  </si>
  <si>
    <t>NI+C</t>
    <phoneticPr fontId="12"/>
  </si>
  <si>
    <t>EXA</t>
    <phoneticPr fontId="12"/>
  </si>
  <si>
    <t>ジャステック</t>
    <phoneticPr fontId="12"/>
  </si>
  <si>
    <t>Other</t>
    <phoneticPr fontId="12"/>
  </si>
  <si>
    <t>鶴見</t>
    <rPh sb="0" eb="2">
      <t>ツルミ</t>
    </rPh>
    <phoneticPr fontId="12"/>
  </si>
  <si>
    <t>その他　総計</t>
    <rPh sb="4" eb="5">
      <t>ソウ</t>
    </rPh>
    <rPh sb="5" eb="6">
      <t>ケイ</t>
    </rPh>
    <phoneticPr fontId="12"/>
  </si>
  <si>
    <t>阿部涼平</t>
  </si>
  <si>
    <t>アクシス</t>
    <phoneticPr fontId="12"/>
  </si>
  <si>
    <t>業務委託</t>
    <rPh sb="0" eb="4">
      <t>ギョウムイタク</t>
    </rPh>
    <phoneticPr fontId="12"/>
  </si>
  <si>
    <t>アプリケーションアシスト</t>
    <phoneticPr fontId="12"/>
  </si>
  <si>
    <t>社員</t>
    <rPh sb="0" eb="2">
      <t>シャイン</t>
    </rPh>
    <phoneticPr fontId="12"/>
  </si>
  <si>
    <t>日本ディクス</t>
    <rPh sb="0" eb="2">
      <t>ニホン</t>
    </rPh>
    <phoneticPr fontId="12"/>
  </si>
  <si>
    <t>IT-ONE</t>
    <phoneticPr fontId="12"/>
  </si>
  <si>
    <t>DTS</t>
    <phoneticPr fontId="12"/>
  </si>
  <si>
    <t>On-call</t>
    <phoneticPr fontId="12"/>
  </si>
  <si>
    <t>受注</t>
    <rPh sb="0" eb="2">
      <t>ジュチュウ</t>
    </rPh>
    <phoneticPr fontId="14"/>
  </si>
  <si>
    <t>仕入</t>
    <rPh sb="0" eb="2">
      <t>シイレ</t>
    </rPh>
    <phoneticPr fontId="14"/>
  </si>
  <si>
    <t>TSOL</t>
    <phoneticPr fontId="12"/>
  </si>
  <si>
    <t>永和情報
システム</t>
    <rPh sb="0" eb="2">
      <t>エイワ</t>
    </rPh>
    <rPh sb="2" eb="4">
      <t>ジョウホウ</t>
    </rPh>
    <phoneticPr fontId="12"/>
  </si>
  <si>
    <t>委任</t>
    <rPh sb="0" eb="2">
      <t>イニン</t>
    </rPh>
    <phoneticPr fontId="14"/>
  </si>
  <si>
    <t>ルミナス・ビー・
ジャパン</t>
    <phoneticPr fontId="12"/>
  </si>
  <si>
    <t>アイテック
阪急阪神</t>
    <rPh sb="6" eb="8">
      <t>ハンキュウ</t>
    </rPh>
    <rPh sb="8" eb="10">
      <t>ハンシン</t>
    </rPh>
    <phoneticPr fontId="12"/>
  </si>
  <si>
    <t>ベータ
システム</t>
    <phoneticPr fontId="12"/>
  </si>
  <si>
    <t>エリクソン
・ジャパン</t>
    <phoneticPr fontId="12"/>
  </si>
  <si>
    <t>エヌアイシー・パートナーズ</t>
    <phoneticPr fontId="12"/>
  </si>
  <si>
    <t>エヌアイシー・ソフト</t>
    <phoneticPr fontId="12"/>
  </si>
  <si>
    <t>S＆I</t>
    <phoneticPr fontId="12"/>
  </si>
  <si>
    <t>情報処理
システム開発</t>
    <phoneticPr fontId="12"/>
  </si>
  <si>
    <t>NW構築、
移行、運用保守支援業務</t>
    <phoneticPr fontId="12"/>
  </si>
  <si>
    <t>コムチュア・ネットワーク</t>
    <phoneticPr fontId="12"/>
  </si>
  <si>
    <t>フォーカス
システムズ</t>
    <phoneticPr fontId="12"/>
  </si>
  <si>
    <t>マンパワーグループ</t>
    <phoneticPr fontId="12"/>
  </si>
  <si>
    <t>派遣/委任</t>
    <rPh sb="0" eb="2">
      <t>ハケン</t>
    </rPh>
    <phoneticPr fontId="14"/>
  </si>
  <si>
    <t>BCS</t>
    <phoneticPr fontId="12"/>
  </si>
  <si>
    <t>金融系システム運用管理</t>
    <rPh sb="0" eb="3">
      <t>キンユウケイ</t>
    </rPh>
    <rPh sb="7" eb="11">
      <t>ウンヨウカンリ</t>
    </rPh>
    <phoneticPr fontId="12"/>
  </si>
  <si>
    <t>SDC</t>
    <phoneticPr fontId="12"/>
  </si>
  <si>
    <t>総受注金額</t>
    <phoneticPr fontId="14"/>
  </si>
  <si>
    <t>派遣金額</t>
    <phoneticPr fontId="14"/>
  </si>
  <si>
    <t>総経費</t>
    <phoneticPr fontId="14"/>
  </si>
  <si>
    <t>賃金</t>
    <phoneticPr fontId="14"/>
  </si>
  <si>
    <t>通勤定期代</t>
    <phoneticPr fontId="14"/>
  </si>
  <si>
    <t>健康保険</t>
    <phoneticPr fontId="14"/>
  </si>
  <si>
    <t>厚生年金</t>
    <phoneticPr fontId="14"/>
  </si>
  <si>
    <t>労災保険</t>
    <phoneticPr fontId="14"/>
  </si>
  <si>
    <t>雇用保険</t>
    <phoneticPr fontId="14"/>
  </si>
  <si>
    <t>粗利</t>
    <phoneticPr fontId="14"/>
  </si>
  <si>
    <t>委託</t>
    <rPh sb="0" eb="2">
      <t>イタク</t>
    </rPh>
    <phoneticPr fontId="12"/>
  </si>
  <si>
    <t>CCT</t>
    <phoneticPr fontId="12"/>
  </si>
  <si>
    <t>有期社員</t>
    <rPh sb="0" eb="2">
      <t>ユウキ</t>
    </rPh>
    <rPh sb="2" eb="4">
      <t>シャイン</t>
    </rPh>
    <phoneticPr fontId="12"/>
  </si>
  <si>
    <t>オムニバス
ネットワーク</t>
    <phoneticPr fontId="12"/>
  </si>
  <si>
    <t>JID</t>
    <phoneticPr fontId="12"/>
  </si>
  <si>
    <t>IKI</t>
    <phoneticPr fontId="12"/>
  </si>
  <si>
    <t>【NRI】運用サービス課データチーム支援</t>
    <phoneticPr fontId="12"/>
  </si>
  <si>
    <t>契約単価上昇係数</t>
    <rPh sb="0" eb="4">
      <t>ケイヤクタンカ</t>
    </rPh>
    <rPh sb="4" eb="6">
      <t>ジョウショウ</t>
    </rPh>
    <rPh sb="6" eb="8">
      <t>ケイスウ</t>
    </rPh>
    <phoneticPr fontId="12"/>
  </si>
  <si>
    <t>賃上げ上昇係数</t>
    <rPh sb="0" eb="2">
      <t>チンア</t>
    </rPh>
    <rPh sb="3" eb="5">
      <t>ジョウショウ</t>
    </rPh>
    <rPh sb="5" eb="7">
      <t>ケイスウ</t>
    </rPh>
    <phoneticPr fontId="12"/>
  </si>
  <si>
    <t>オリゾン
システムズ</t>
    <phoneticPr fontId="12"/>
  </si>
  <si>
    <t>BCS府中</t>
    <rPh sb="3" eb="5">
      <t>フチュウ</t>
    </rPh>
    <phoneticPr fontId="12"/>
  </si>
  <si>
    <t>BBSec</t>
    <phoneticPr fontId="12"/>
  </si>
  <si>
    <t>転出</t>
    <rPh sb="0" eb="2">
      <t>テンシュツ</t>
    </rPh>
    <phoneticPr fontId="12"/>
  </si>
  <si>
    <t>NTTデータ</t>
    <phoneticPr fontId="12"/>
  </si>
  <si>
    <t>SES</t>
    <phoneticPr fontId="12"/>
  </si>
  <si>
    <t>ﾌﾟﾛﾄｼｽﾃﾑ</t>
    <phoneticPr fontId="12"/>
  </si>
  <si>
    <t>-</t>
    <phoneticPr fontId="12"/>
  </si>
  <si>
    <t>東陽テクニカ</t>
    <rPh sb="0" eb="2">
      <t>トウヨウ</t>
    </rPh>
    <phoneticPr fontId="12"/>
  </si>
  <si>
    <t>ミネルバ</t>
    <phoneticPr fontId="12"/>
  </si>
  <si>
    <t>ペンギンソリューションズ</t>
    <phoneticPr fontId="12"/>
  </si>
  <si>
    <t>PE-BANK</t>
    <phoneticPr fontId="12"/>
  </si>
  <si>
    <t>スポット
案件</t>
    <rPh sb="5" eb="7">
      <t>アンケン</t>
    </rPh>
    <phoneticPr fontId="12"/>
  </si>
  <si>
    <t>大阪ｵﾌｨｽFWﾘﾌﾟﾚｲｽ現地対応作業</t>
    <phoneticPr fontId="12"/>
  </si>
  <si>
    <t>マーティン</t>
    <phoneticPr fontId="14"/>
  </si>
  <si>
    <t>佐野貴司</t>
    <rPh sb="0" eb="2">
      <t>サノ</t>
    </rPh>
    <rPh sb="2" eb="4">
      <t>タカシ</t>
    </rPh>
    <phoneticPr fontId="14"/>
  </si>
  <si>
    <t>ー</t>
    <phoneticPr fontId="12"/>
  </si>
  <si>
    <t>プロトシステム</t>
    <phoneticPr fontId="12"/>
  </si>
  <si>
    <t>業務委託</t>
    <rPh sb="0" eb="2">
      <t>ギョウム</t>
    </rPh>
    <rPh sb="2" eb="4">
      <t>イタク</t>
    </rPh>
    <phoneticPr fontId="14"/>
  </si>
  <si>
    <t>SPV運用</t>
    <rPh sb="3" eb="5">
      <t>ウンヨウ</t>
    </rPh>
    <phoneticPr fontId="12"/>
  </si>
  <si>
    <t>アクシスITパートナーズ</t>
    <phoneticPr fontId="12"/>
  </si>
  <si>
    <t>渡会一利</t>
    <phoneticPr fontId="12"/>
  </si>
  <si>
    <t>大村賢治</t>
    <rPh sb="0" eb="2">
      <t>オオムラ</t>
    </rPh>
    <rPh sb="2" eb="4">
      <t>ケンジ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</si>
</sst>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¥&quot;#,##0;[Red]&quot;¥&quot;\-#,##0"/>
    <numFmt numFmtId="176" formatCode="&quot;¥&quot;#,##0_);[Red]\(&quot;¥&quot;#,##0\)"/>
  </numFmts>
  <fonts count="34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sz val="9"/>
      <color indexed="81"/>
      <name val="ＭＳ Ｐゴシック"/>
      <family val="3"/>
      <charset val="128"/>
      <scheme val="minor"/>
    </font>
    <font>
      <sz val="10"/>
      <color indexed="81"/>
      <name val="MS P ゴシック"/>
      <family val="3"/>
      <charset val="128"/>
    </font>
    <font>
      <sz val="9"/>
      <color indexed="81"/>
      <name val="游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1FFE8"/>
        <bgColor indexed="64"/>
      </patternFill>
    </fill>
  </fills>
  <borders count="1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 style="dashed">
        <color indexed="64"/>
      </left>
      <right style="thin">
        <color indexed="64"/>
      </right>
      <top style="double">
        <color indexed="63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/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 style="thin">
        <color indexed="8"/>
      </left>
      <right style="thin">
        <color indexed="64"/>
      </right>
      <top style="double">
        <color indexed="63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indexed="8"/>
      </left>
      <right style="thin">
        <color indexed="64"/>
      </right>
      <top style="thin">
        <color indexed="22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double">
        <color indexed="6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uble">
        <color indexed="63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24994659260841701"/>
      </top>
      <bottom style="double">
        <color indexed="63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3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3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double">
        <color indexed="63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22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/>
      <top style="double">
        <color indexed="63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63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8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8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8"/>
      </right>
      <top style="double">
        <color indexed="63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8"/>
      </right>
      <top/>
      <bottom/>
      <diagonal/>
    </border>
    <border>
      <left style="dashed">
        <color indexed="64"/>
      </left>
      <right/>
      <top/>
      <bottom style="thin">
        <color indexed="22"/>
      </bottom>
      <diagonal/>
    </border>
    <border>
      <left style="dashed">
        <color indexed="64"/>
      </left>
      <right/>
      <top style="thin">
        <color indexed="22"/>
      </top>
      <bottom style="thin">
        <color indexed="22"/>
      </bottom>
      <diagonal/>
    </border>
    <border>
      <left/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4659260841701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double">
        <color theme="1"/>
      </bottom>
      <diagonal/>
    </border>
    <border>
      <left style="thin">
        <color indexed="64"/>
      </left>
      <right style="thin">
        <color theme="0" tint="-0.24994659260841701"/>
      </right>
      <top/>
      <bottom style="double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double">
        <color theme="1"/>
      </bottom>
      <diagonal/>
    </border>
    <border>
      <left style="thin">
        <color theme="0" tint="-0.24994659260841701"/>
      </left>
      <right style="thin">
        <color indexed="64"/>
      </right>
      <top/>
      <bottom style="double">
        <color theme="1"/>
      </bottom>
      <diagonal/>
    </border>
    <border>
      <left style="thin">
        <color indexed="8"/>
      </left>
      <right style="thin">
        <color indexed="64"/>
      </right>
      <top style="double">
        <color theme="1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3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2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double">
        <color theme="1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double">
        <color theme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1"/>
      </top>
      <bottom/>
      <diagonal/>
    </border>
    <border>
      <left style="thin">
        <color theme="0" tint="-0.24994659260841701"/>
      </left>
      <right style="thin">
        <color indexed="64"/>
      </right>
      <top style="double">
        <color theme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47">
    <xf numFmtId="0" fontId="0" fillId="0" borderId="0"/>
    <xf numFmtId="0" fontId="16" fillId="0" borderId="0"/>
    <xf numFmtId="0" fontId="18" fillId="0" borderId="0"/>
    <xf numFmtId="38" fontId="18" fillId="0" borderId="0" applyFont="0" applyFill="0" applyBorder="0" applyAlignment="0" applyProtection="0"/>
    <xf numFmtId="0" fontId="18" fillId="0" borderId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10">
    <xf numFmtId="0" fontId="0" fillId="0" borderId="0" xfId="0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5" fillId="2" borderId="8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shrinkToFit="1"/>
    </xf>
    <xf numFmtId="0" fontId="15" fillId="9" borderId="16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5" fillId="2" borderId="9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shrinkToFit="1"/>
    </xf>
    <xf numFmtId="0" fontId="15" fillId="0" borderId="0" xfId="0" applyFont="1"/>
    <xf numFmtId="176" fontId="21" fillId="0" borderId="53" xfId="0" applyNumberFormat="1" applyFont="1" applyBorder="1" applyAlignment="1">
      <alignment horizontal="right" vertical="center" shrinkToFit="1"/>
    </xf>
    <xf numFmtId="176" fontId="22" fillId="0" borderId="27" xfId="0" applyNumberFormat="1" applyFont="1" applyBorder="1" applyAlignment="1">
      <alignment horizontal="right" vertical="center" shrinkToFit="1"/>
    </xf>
    <xf numFmtId="176" fontId="21" fillId="0" borderId="56" xfId="0" applyNumberFormat="1" applyFont="1" applyBorder="1" applyAlignment="1">
      <alignment horizontal="right" vertical="center" shrinkToFit="1"/>
    </xf>
    <xf numFmtId="176" fontId="22" fillId="0" borderId="21" xfId="0" applyNumberFormat="1" applyFont="1" applyBorder="1" applyAlignment="1">
      <alignment horizontal="right" vertical="center" shrinkToFit="1"/>
    </xf>
    <xf numFmtId="176" fontId="22" fillId="4" borderId="59" xfId="0" applyNumberFormat="1" applyFont="1" applyFill="1" applyBorder="1" applyAlignment="1">
      <alignment horizontal="right" vertical="center" shrinkToFit="1"/>
    </xf>
    <xf numFmtId="176" fontId="22" fillId="4" borderId="22" xfId="0" applyNumberFormat="1" applyFont="1" applyFill="1" applyBorder="1" applyAlignment="1">
      <alignment horizontal="right" vertical="center" shrinkToFit="1"/>
    </xf>
    <xf numFmtId="176" fontId="21" fillId="6" borderId="23" xfId="0" applyNumberFormat="1" applyFont="1" applyFill="1" applyBorder="1" applyAlignment="1">
      <alignment horizontal="right" vertical="center"/>
    </xf>
    <xf numFmtId="176" fontId="21" fillId="5" borderId="24" xfId="0" applyNumberFormat="1" applyFont="1" applyFill="1" applyBorder="1" applyAlignment="1">
      <alignment horizontal="right" vertical="center"/>
    </xf>
    <xf numFmtId="176" fontId="21" fillId="7" borderId="24" xfId="0" applyNumberFormat="1" applyFont="1" applyFill="1" applyBorder="1" applyAlignment="1">
      <alignment horizontal="right" vertical="center"/>
    </xf>
    <xf numFmtId="176" fontId="22" fillId="8" borderId="33" xfId="0" applyNumberFormat="1" applyFont="1" applyFill="1" applyBorder="1" applyAlignment="1">
      <alignment horizontal="right" vertical="center"/>
    </xf>
    <xf numFmtId="176" fontId="21" fillId="6" borderId="35" xfId="0" applyNumberFormat="1" applyFont="1" applyFill="1" applyBorder="1" applyAlignment="1">
      <alignment horizontal="right" vertical="center"/>
    </xf>
    <xf numFmtId="176" fontId="22" fillId="8" borderId="31" xfId="0" applyNumberFormat="1" applyFont="1" applyFill="1" applyBorder="1" applyAlignment="1">
      <alignment horizontal="right" vertical="center"/>
    </xf>
    <xf numFmtId="176" fontId="21" fillId="0" borderId="10" xfId="0" applyNumberFormat="1" applyFont="1" applyBorder="1" applyAlignment="1">
      <alignment horizontal="right" vertical="center"/>
    </xf>
    <xf numFmtId="176" fontId="21" fillId="6" borderId="29" xfId="0" applyNumberFormat="1" applyFont="1" applyFill="1" applyBorder="1" applyAlignment="1">
      <alignment horizontal="right" vertical="center"/>
    </xf>
    <xf numFmtId="176" fontId="22" fillId="9" borderId="21" xfId="0" applyNumberFormat="1" applyFont="1" applyFill="1" applyBorder="1" applyAlignment="1">
      <alignment horizontal="right" vertical="center" shrinkToFit="1"/>
    </xf>
    <xf numFmtId="176" fontId="22" fillId="4" borderId="26" xfId="0" applyNumberFormat="1" applyFont="1" applyFill="1" applyBorder="1" applyAlignment="1">
      <alignment horizontal="right" vertical="center" shrinkToFit="1"/>
    </xf>
    <xf numFmtId="176" fontId="21" fillId="0" borderId="42" xfId="0" applyNumberFormat="1" applyFont="1" applyBorder="1" applyAlignment="1">
      <alignment horizontal="right" vertical="center" shrinkToFit="1"/>
    </xf>
    <xf numFmtId="176" fontId="21" fillId="0" borderId="44" xfId="0" applyNumberFormat="1" applyFont="1" applyBorder="1" applyAlignment="1">
      <alignment horizontal="right" vertical="center" shrinkToFit="1"/>
    </xf>
    <xf numFmtId="176" fontId="22" fillId="4" borderId="47" xfId="0" applyNumberFormat="1" applyFont="1" applyFill="1" applyBorder="1" applyAlignment="1">
      <alignment horizontal="right" vertical="center" shrinkToFit="1"/>
    </xf>
    <xf numFmtId="0" fontId="15" fillId="0" borderId="0" xfId="0" applyFont="1" applyAlignment="1">
      <alignment vertical="center"/>
    </xf>
    <xf numFmtId="176" fontId="21" fillId="11" borderId="24" xfId="0" applyNumberFormat="1" applyFont="1" applyFill="1" applyBorder="1" applyAlignment="1">
      <alignment horizontal="right" vertical="center"/>
    </xf>
    <xf numFmtId="176" fontId="21" fillId="5" borderId="13" xfId="0" applyNumberFormat="1" applyFont="1" applyFill="1" applyBorder="1" applyAlignment="1">
      <alignment horizontal="right" vertical="center"/>
    </xf>
    <xf numFmtId="176" fontId="21" fillId="5" borderId="15" xfId="0" applyNumberFormat="1" applyFont="1" applyFill="1" applyBorder="1" applyAlignment="1">
      <alignment horizontal="right" vertical="center"/>
    </xf>
    <xf numFmtId="176" fontId="21" fillId="5" borderId="14" xfId="0" applyNumberFormat="1" applyFont="1" applyFill="1" applyBorder="1" applyAlignment="1">
      <alignment horizontal="right" vertical="center"/>
    </xf>
    <xf numFmtId="176" fontId="21" fillId="9" borderId="16" xfId="0" applyNumberFormat="1" applyFont="1" applyFill="1" applyBorder="1" applyAlignment="1">
      <alignment vertical="center" shrinkToFit="1"/>
    </xf>
    <xf numFmtId="176" fontId="22" fillId="9" borderId="16" xfId="0" applyNumberFormat="1" applyFont="1" applyFill="1" applyBorder="1" applyAlignment="1">
      <alignment vertical="center" shrinkToFit="1"/>
    </xf>
    <xf numFmtId="176" fontId="21" fillId="9" borderId="17" xfId="0" applyNumberFormat="1" applyFont="1" applyFill="1" applyBorder="1" applyAlignment="1">
      <alignment vertical="center" shrinkToFit="1"/>
    </xf>
    <xf numFmtId="176" fontId="22" fillId="9" borderId="17" xfId="0" applyNumberFormat="1" applyFont="1" applyFill="1" applyBorder="1" applyAlignment="1">
      <alignment vertical="center" shrinkToFit="1"/>
    </xf>
    <xf numFmtId="176" fontId="22" fillId="4" borderId="20" xfId="0" applyNumberFormat="1" applyFont="1" applyFill="1" applyBorder="1" applyAlignment="1">
      <alignment vertical="center" shrinkToFit="1"/>
    </xf>
    <xf numFmtId="176" fontId="21" fillId="0" borderId="19" xfId="0" applyNumberFormat="1" applyFont="1" applyBorder="1" applyAlignment="1">
      <alignment vertical="center" shrinkToFit="1"/>
    </xf>
    <xf numFmtId="176" fontId="21" fillId="0" borderId="17" xfId="0" applyNumberFormat="1" applyFont="1" applyBorder="1" applyAlignment="1">
      <alignment vertical="center" shrinkToFit="1"/>
    </xf>
    <xf numFmtId="176" fontId="21" fillId="4" borderId="18" xfId="0" applyNumberFormat="1" applyFont="1" applyFill="1" applyBorder="1" applyAlignment="1">
      <alignment vertical="center" shrinkToFit="1"/>
    </xf>
    <xf numFmtId="176" fontId="21" fillId="0" borderId="16" xfId="0" applyNumberFormat="1" applyFont="1" applyBorder="1" applyAlignment="1">
      <alignment vertical="center" shrinkToFit="1"/>
    </xf>
    <xf numFmtId="176" fontId="22" fillId="0" borderId="7" xfId="0" applyNumberFormat="1" applyFont="1" applyBorder="1" applyAlignment="1">
      <alignment horizontal="right" vertical="center" shrinkToFit="1"/>
    </xf>
    <xf numFmtId="176" fontId="22" fillId="0" borderId="1" xfId="0" applyNumberFormat="1" applyFont="1" applyBorder="1" applyAlignment="1">
      <alignment horizontal="right" vertical="center" shrinkToFit="1"/>
    </xf>
    <xf numFmtId="176" fontId="22" fillId="4" borderId="2" xfId="0" applyNumberFormat="1" applyFont="1" applyFill="1" applyBorder="1" applyAlignment="1">
      <alignment horizontal="right" vertical="center" shrinkToFit="1"/>
    </xf>
    <xf numFmtId="176" fontId="21" fillId="6" borderId="60" xfId="0" applyNumberFormat="1" applyFont="1" applyFill="1" applyBorder="1" applyAlignment="1">
      <alignment horizontal="right" vertical="center"/>
    </xf>
    <xf numFmtId="176" fontId="22" fillId="8" borderId="61" xfId="0" applyNumberFormat="1" applyFont="1" applyFill="1" applyBorder="1" applyAlignment="1">
      <alignment horizontal="right" vertical="center"/>
    </xf>
    <xf numFmtId="176" fontId="22" fillId="9" borderId="1" xfId="0" applyNumberFormat="1" applyFont="1" applyFill="1" applyBorder="1" applyAlignment="1">
      <alignment horizontal="right" vertical="center" shrinkToFit="1"/>
    </xf>
    <xf numFmtId="176" fontId="22" fillId="4" borderId="25" xfId="0" applyNumberFormat="1" applyFont="1" applyFill="1" applyBorder="1" applyAlignment="1">
      <alignment horizontal="right" vertical="center" shrinkToFit="1"/>
    </xf>
    <xf numFmtId="176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vertical="center"/>
    </xf>
    <xf numFmtId="176" fontId="22" fillId="12" borderId="16" xfId="0" applyNumberFormat="1" applyFont="1" applyFill="1" applyBorder="1" applyAlignment="1">
      <alignment horizontal="right" vertical="center"/>
    </xf>
    <xf numFmtId="176" fontId="22" fillId="12" borderId="18" xfId="0" applyNumberFormat="1" applyFont="1" applyFill="1" applyBorder="1" applyAlignment="1">
      <alignment horizontal="right" vertical="center"/>
    </xf>
    <xf numFmtId="176" fontId="22" fillId="12" borderId="19" xfId="0" applyNumberFormat="1" applyFont="1" applyFill="1" applyBorder="1" applyAlignment="1">
      <alignment horizontal="right" vertical="center"/>
    </xf>
    <xf numFmtId="176" fontId="22" fillId="9" borderId="27" xfId="0" applyNumberFormat="1" applyFont="1" applyFill="1" applyBorder="1" applyAlignment="1">
      <alignment horizontal="right" vertical="center" shrinkToFit="1"/>
    </xf>
    <xf numFmtId="176" fontId="22" fillId="8" borderId="62" xfId="0" applyNumberFormat="1" applyFont="1" applyFill="1" applyBorder="1" applyAlignment="1">
      <alignment horizontal="right" vertical="center"/>
    </xf>
    <xf numFmtId="176" fontId="21" fillId="9" borderId="55" xfId="0" applyNumberFormat="1" applyFont="1" applyFill="1" applyBorder="1" applyAlignment="1">
      <alignment horizontal="right" vertical="center" shrinkToFit="1"/>
    </xf>
    <xf numFmtId="0" fontId="15" fillId="6" borderId="34" xfId="0" applyFont="1" applyFill="1" applyBorder="1" applyAlignment="1">
      <alignment horizontal="left" vertical="center" shrinkToFit="1"/>
    </xf>
    <xf numFmtId="0" fontId="15" fillId="5" borderId="4" xfId="0" applyFont="1" applyFill="1" applyBorder="1" applyAlignment="1">
      <alignment horizontal="right" vertical="center" shrinkToFit="1"/>
    </xf>
    <xf numFmtId="0" fontId="15" fillId="7" borderId="5" xfId="0" applyFont="1" applyFill="1" applyBorder="1" applyAlignment="1">
      <alignment horizontal="left" vertical="center" shrinkToFit="1"/>
    </xf>
    <xf numFmtId="0" fontId="15" fillId="5" borderId="5" xfId="0" applyFont="1" applyFill="1" applyBorder="1" applyAlignment="1">
      <alignment horizontal="right" vertical="center" shrinkToFit="1"/>
    </xf>
    <xf numFmtId="0" fontId="17" fillId="8" borderId="30" xfId="0" applyFont="1" applyFill="1" applyBorder="1" applyAlignment="1">
      <alignment vertical="center" shrinkToFit="1"/>
    </xf>
    <xf numFmtId="0" fontId="15" fillId="6" borderId="4" xfId="0" applyFont="1" applyFill="1" applyBorder="1" applyAlignment="1">
      <alignment horizontal="left" vertical="center" shrinkToFit="1"/>
    </xf>
    <xf numFmtId="0" fontId="17" fillId="8" borderId="6" xfId="0" applyFont="1" applyFill="1" applyBorder="1" applyAlignment="1">
      <alignment vertical="center" shrinkToFit="1"/>
    </xf>
    <xf numFmtId="0" fontId="13" fillId="0" borderId="0" xfId="0" applyFont="1" applyAlignment="1">
      <alignment horizontal="right" vertical="center"/>
    </xf>
    <xf numFmtId="0" fontId="15" fillId="0" borderId="0" xfId="4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5" fillId="2" borderId="74" xfId="0" applyFont="1" applyFill="1" applyBorder="1" applyAlignment="1">
      <alignment horizontal="center" vertical="center"/>
    </xf>
    <xf numFmtId="0" fontId="15" fillId="2" borderId="75" xfId="0" applyFont="1" applyFill="1" applyBorder="1" applyAlignment="1">
      <alignment horizontal="center" vertical="center" wrapText="1"/>
    </xf>
    <xf numFmtId="0" fontId="15" fillId="2" borderId="75" xfId="0" applyFont="1" applyFill="1" applyBorder="1" applyAlignment="1">
      <alignment horizontal="center" vertical="center"/>
    </xf>
    <xf numFmtId="0" fontId="15" fillId="3" borderId="75" xfId="0" applyFont="1" applyFill="1" applyBorder="1" applyAlignment="1">
      <alignment horizontal="center" vertical="center"/>
    </xf>
    <xf numFmtId="0" fontId="15" fillId="2" borderId="76" xfId="0" applyFont="1" applyFill="1" applyBorder="1" applyAlignment="1">
      <alignment horizontal="center" vertical="center"/>
    </xf>
    <xf numFmtId="0" fontId="15" fillId="2" borderId="75" xfId="0" applyFont="1" applyFill="1" applyBorder="1" applyAlignment="1">
      <alignment horizontal="center" vertical="center" shrinkToFit="1"/>
    </xf>
    <xf numFmtId="0" fontId="15" fillId="2" borderId="89" xfId="0" applyFont="1" applyFill="1" applyBorder="1" applyAlignment="1">
      <alignment horizontal="center" vertical="center" shrinkToFit="1"/>
    </xf>
    <xf numFmtId="176" fontId="21" fillId="6" borderId="92" xfId="0" applyNumberFormat="1" applyFont="1" applyFill="1" applyBorder="1" applyAlignment="1">
      <alignment horizontal="right" vertical="center"/>
    </xf>
    <xf numFmtId="176" fontId="21" fillId="5" borderId="10" xfId="0" applyNumberFormat="1" applyFont="1" applyFill="1" applyBorder="1" applyAlignment="1">
      <alignment horizontal="right" vertical="center"/>
    </xf>
    <xf numFmtId="176" fontId="21" fillId="5" borderId="94" xfId="0" applyNumberFormat="1" applyFont="1" applyFill="1" applyBorder="1" applyAlignment="1">
      <alignment horizontal="right" vertical="center"/>
    </xf>
    <xf numFmtId="176" fontId="21" fillId="7" borderId="94" xfId="0" applyNumberFormat="1" applyFont="1" applyFill="1" applyBorder="1" applyAlignment="1">
      <alignment horizontal="right" vertical="center"/>
    </xf>
    <xf numFmtId="176" fontId="22" fillId="8" borderId="95" xfId="0" applyNumberFormat="1" applyFont="1" applyFill="1" applyBorder="1" applyAlignment="1">
      <alignment horizontal="right" vertical="center"/>
    </xf>
    <xf numFmtId="176" fontId="21" fillId="6" borderId="98" xfId="0" applyNumberFormat="1" applyFont="1" applyFill="1" applyBorder="1" applyAlignment="1">
      <alignment horizontal="right" vertical="center"/>
    </xf>
    <xf numFmtId="176" fontId="21" fillId="0" borderId="12" xfId="0" applyNumberFormat="1" applyFont="1" applyBorder="1" applyAlignment="1">
      <alignment horizontal="right" vertical="center"/>
    </xf>
    <xf numFmtId="176" fontId="21" fillId="0" borderId="94" xfId="0" applyNumberFormat="1" applyFont="1" applyBorder="1" applyAlignment="1">
      <alignment horizontal="right" vertical="center"/>
    </xf>
    <xf numFmtId="176" fontId="22" fillId="4" borderId="103" xfId="0" applyNumberFormat="1" applyFont="1" applyFill="1" applyBorder="1" applyAlignment="1">
      <alignment horizontal="right" vertical="center" shrinkToFit="1"/>
    </xf>
    <xf numFmtId="176" fontId="21" fillId="0" borderId="13" xfId="0" applyNumberFormat="1" applyFont="1" applyBorder="1" applyAlignment="1">
      <alignment horizontal="right" vertical="center"/>
    </xf>
    <xf numFmtId="176" fontId="21" fillId="0" borderId="106" xfId="0" applyNumberFormat="1" applyFont="1" applyBorder="1" applyAlignment="1">
      <alignment horizontal="right" vertical="center" shrinkToFit="1"/>
    </xf>
    <xf numFmtId="176" fontId="21" fillId="0" borderId="102" xfId="0" applyNumberFormat="1" applyFont="1" applyBorder="1" applyAlignment="1">
      <alignment horizontal="right" vertical="center" shrinkToFit="1"/>
    </xf>
    <xf numFmtId="176" fontId="21" fillId="10" borderId="92" xfId="0" applyNumberFormat="1" applyFont="1" applyFill="1" applyBorder="1" applyAlignment="1">
      <alignment horizontal="right" vertical="center"/>
    </xf>
    <xf numFmtId="176" fontId="21" fillId="11" borderId="10" xfId="0" applyNumberFormat="1" applyFont="1" applyFill="1" applyBorder="1" applyAlignment="1">
      <alignment horizontal="right" vertical="center"/>
    </xf>
    <xf numFmtId="176" fontId="21" fillId="11" borderId="94" xfId="0" applyNumberFormat="1" applyFont="1" applyFill="1" applyBorder="1" applyAlignment="1">
      <alignment horizontal="right" vertical="center"/>
    </xf>
    <xf numFmtId="176" fontId="22" fillId="4" borderId="99" xfId="0" applyNumberFormat="1" applyFont="1" applyFill="1" applyBorder="1" applyAlignment="1">
      <alignment horizontal="right" vertical="center"/>
    </xf>
    <xf numFmtId="176" fontId="21" fillId="10" borderId="97" xfId="0" applyNumberFormat="1" applyFont="1" applyFill="1" applyBorder="1" applyAlignment="1">
      <alignment horizontal="right" vertical="center"/>
    </xf>
    <xf numFmtId="176" fontId="21" fillId="10" borderId="98" xfId="0" applyNumberFormat="1" applyFont="1" applyFill="1" applyBorder="1" applyAlignment="1">
      <alignment horizontal="right" vertical="center"/>
    </xf>
    <xf numFmtId="176" fontId="21" fillId="10" borderId="101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176" fontId="22" fillId="4" borderId="107" xfId="0" applyNumberFormat="1" applyFont="1" applyFill="1" applyBorder="1" applyAlignment="1">
      <alignment horizontal="right" vertical="center"/>
    </xf>
    <xf numFmtId="176" fontId="21" fillId="9" borderId="105" xfId="0" applyNumberFormat="1" applyFont="1" applyFill="1" applyBorder="1" applyAlignment="1">
      <alignment horizontal="right" vertical="center" shrinkToFit="1"/>
    </xf>
    <xf numFmtId="0" fontId="23" fillId="0" borderId="0" xfId="0" applyFont="1" applyAlignment="1">
      <alignment horizontal="left" vertical="center"/>
    </xf>
    <xf numFmtId="176" fontId="13" fillId="0" borderId="0" xfId="0" applyNumberFormat="1" applyFont="1"/>
    <xf numFmtId="6" fontId="21" fillId="5" borderId="10" xfId="0" applyNumberFormat="1" applyFont="1" applyFill="1" applyBorder="1" applyAlignment="1">
      <alignment horizontal="right" vertical="center"/>
    </xf>
    <xf numFmtId="0" fontId="17" fillId="2" borderId="8" xfId="0" applyFont="1" applyFill="1" applyBorder="1" applyAlignment="1">
      <alignment horizontal="center" vertical="center" shrinkToFit="1"/>
    </xf>
    <xf numFmtId="0" fontId="15" fillId="0" borderId="19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left" vertical="center" shrinkToFit="1"/>
    </xf>
    <xf numFmtId="0" fontId="17" fillId="8" borderId="32" xfId="0" applyFont="1" applyFill="1" applyBorder="1" applyAlignment="1">
      <alignment vertical="center" shrinkToFit="1"/>
    </xf>
    <xf numFmtId="0" fontId="17" fillId="4" borderId="2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6" borderId="3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right" vertical="center"/>
    </xf>
    <xf numFmtId="0" fontId="15" fillId="7" borderId="5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right" vertical="center" wrapText="1"/>
    </xf>
    <xf numFmtId="0" fontId="17" fillId="8" borderId="30" xfId="0" applyFont="1" applyFill="1" applyBorder="1" applyAlignment="1">
      <alignment vertical="center" wrapText="1"/>
    </xf>
    <xf numFmtId="0" fontId="15" fillId="6" borderId="34" xfId="0" applyFont="1" applyFill="1" applyBorder="1" applyAlignment="1">
      <alignment horizontal="left" vertical="center"/>
    </xf>
    <xf numFmtId="176" fontId="22" fillId="4" borderId="116" xfId="0" applyNumberFormat="1" applyFont="1" applyFill="1" applyBorder="1" applyAlignment="1">
      <alignment horizontal="right" vertical="center"/>
    </xf>
    <xf numFmtId="176" fontId="22" fillId="8" borderId="117" xfId="0" applyNumberFormat="1" applyFont="1" applyFill="1" applyBorder="1" applyAlignment="1">
      <alignment horizontal="right" vertical="center"/>
    </xf>
    <xf numFmtId="176" fontId="22" fillId="9" borderId="7" xfId="0" applyNumberFormat="1" applyFont="1" applyFill="1" applyBorder="1" applyAlignment="1">
      <alignment horizontal="right" vertical="center" shrinkToFit="1"/>
    </xf>
    <xf numFmtId="0" fontId="25" fillId="2" borderId="74" xfId="0" applyFont="1" applyFill="1" applyBorder="1" applyAlignment="1">
      <alignment horizontal="center" vertical="center" shrinkToFit="1"/>
    </xf>
    <xf numFmtId="176" fontId="22" fillId="4" borderId="118" xfId="0" applyNumberFormat="1" applyFont="1" applyFill="1" applyBorder="1" applyAlignment="1">
      <alignment horizontal="right" vertical="center"/>
    </xf>
    <xf numFmtId="0" fontId="25" fillId="2" borderId="75" xfId="0" applyFont="1" applyFill="1" applyBorder="1" applyAlignment="1">
      <alignment horizontal="center" vertical="center" shrinkToFit="1"/>
    </xf>
    <xf numFmtId="176" fontId="21" fillId="10" borderId="120" xfId="0" applyNumberFormat="1" applyFont="1" applyFill="1" applyBorder="1" applyAlignment="1">
      <alignment horizontal="right" vertical="center"/>
    </xf>
    <xf numFmtId="176" fontId="21" fillId="6" borderId="119" xfId="0" applyNumberFormat="1" applyFont="1" applyFill="1" applyBorder="1" applyAlignment="1">
      <alignment horizontal="right" vertical="center"/>
    </xf>
    <xf numFmtId="176" fontId="21" fillId="0" borderId="121" xfId="0" applyNumberFormat="1" applyFont="1" applyBorder="1" applyAlignment="1">
      <alignment horizontal="right" vertical="center"/>
    </xf>
    <xf numFmtId="176" fontId="21" fillId="11" borderId="121" xfId="0" applyNumberFormat="1" applyFont="1" applyFill="1" applyBorder="1" applyAlignment="1">
      <alignment horizontal="right" vertical="center"/>
    </xf>
    <xf numFmtId="176" fontId="21" fillId="5" borderId="122" xfId="0" applyNumberFormat="1" applyFont="1" applyFill="1" applyBorder="1" applyAlignment="1">
      <alignment horizontal="right" vertical="center"/>
    </xf>
    <xf numFmtId="176" fontId="21" fillId="11" borderId="122" xfId="0" applyNumberFormat="1" applyFont="1" applyFill="1" applyBorder="1" applyAlignment="1">
      <alignment horizontal="right" vertical="center"/>
    </xf>
    <xf numFmtId="176" fontId="21" fillId="10" borderId="14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15" fillId="2" borderId="124" xfId="0" applyFont="1" applyFill="1" applyBorder="1" applyAlignment="1">
      <alignment horizontal="center" vertical="center" shrinkToFit="1"/>
    </xf>
    <xf numFmtId="176" fontId="21" fillId="0" borderId="125" xfId="0" applyNumberFormat="1" applyFont="1" applyBorder="1" applyAlignment="1">
      <alignment horizontal="right" vertical="center" shrinkToFit="1"/>
    </xf>
    <xf numFmtId="176" fontId="21" fillId="0" borderId="126" xfId="0" applyNumberFormat="1" applyFont="1" applyBorder="1" applyAlignment="1">
      <alignment horizontal="right" vertical="center" shrinkToFit="1"/>
    </xf>
    <xf numFmtId="176" fontId="22" fillId="4" borderId="127" xfId="0" applyNumberFormat="1" applyFont="1" applyFill="1" applyBorder="1" applyAlignment="1">
      <alignment horizontal="right" vertical="center" shrinkToFit="1"/>
    </xf>
    <xf numFmtId="176" fontId="21" fillId="10" borderId="128" xfId="0" applyNumberFormat="1" applyFont="1" applyFill="1" applyBorder="1" applyAlignment="1">
      <alignment horizontal="right" vertical="center"/>
    </xf>
    <xf numFmtId="176" fontId="21" fillId="6" borderId="129" xfId="0" applyNumberFormat="1" applyFont="1" applyFill="1" applyBorder="1" applyAlignment="1">
      <alignment horizontal="right" vertical="center"/>
    </xf>
    <xf numFmtId="176" fontId="22" fillId="4" borderId="130" xfId="0" applyNumberFormat="1" applyFont="1" applyFill="1" applyBorder="1" applyAlignment="1">
      <alignment horizontal="right" vertical="center" shrinkToFit="1"/>
    </xf>
    <xf numFmtId="176" fontId="22" fillId="4" borderId="132" xfId="0" applyNumberFormat="1" applyFont="1" applyFill="1" applyBorder="1" applyAlignment="1">
      <alignment horizontal="right" vertical="center" shrinkToFit="1"/>
    </xf>
    <xf numFmtId="176" fontId="22" fillId="8" borderId="107" xfId="0" applyNumberFormat="1" applyFont="1" applyFill="1" applyBorder="1" applyAlignment="1">
      <alignment horizontal="right" vertical="center"/>
    </xf>
    <xf numFmtId="0" fontId="15" fillId="0" borderId="111" xfId="0" applyFont="1" applyBorder="1" applyAlignment="1">
      <alignment vertical="center"/>
    </xf>
    <xf numFmtId="0" fontId="15" fillId="0" borderId="113" xfId="0" applyFont="1" applyBorder="1" applyAlignment="1">
      <alignment vertical="center"/>
    </xf>
    <xf numFmtId="0" fontId="15" fillId="0" borderId="114" xfId="0" applyFont="1" applyBorder="1" applyAlignment="1">
      <alignment vertical="center"/>
    </xf>
    <xf numFmtId="0" fontId="15" fillId="0" borderId="114" xfId="0" applyFont="1" applyBorder="1" applyAlignment="1">
      <alignment horizontal="center" vertical="center"/>
    </xf>
    <xf numFmtId="176" fontId="21" fillId="0" borderId="133" xfId="0" applyNumberFormat="1" applyFont="1" applyBorder="1" applyAlignment="1">
      <alignment horizontal="right" vertical="center" shrinkToFit="1"/>
    </xf>
    <xf numFmtId="176" fontId="21" fillId="10" borderId="134" xfId="0" applyNumberFormat="1" applyFont="1" applyFill="1" applyBorder="1" applyAlignment="1">
      <alignment horizontal="right" vertical="center"/>
    </xf>
    <xf numFmtId="176" fontId="22" fillId="4" borderId="136" xfId="0" applyNumberFormat="1" applyFont="1" applyFill="1" applyBorder="1" applyAlignment="1">
      <alignment horizontal="right" vertical="center"/>
    </xf>
    <xf numFmtId="176" fontId="21" fillId="6" borderId="139" xfId="0" applyNumberFormat="1" applyFont="1" applyFill="1" applyBorder="1" applyAlignment="1">
      <alignment horizontal="right" vertical="center"/>
    </xf>
    <xf numFmtId="176" fontId="21" fillId="7" borderId="135" xfId="0" applyNumberFormat="1" applyFont="1" applyFill="1" applyBorder="1" applyAlignment="1">
      <alignment horizontal="right" vertical="center"/>
    </xf>
    <xf numFmtId="176" fontId="22" fillId="8" borderId="140" xfId="0" applyNumberFormat="1" applyFont="1" applyFill="1" applyBorder="1" applyAlignment="1">
      <alignment horizontal="right" vertical="center"/>
    </xf>
    <xf numFmtId="176" fontId="21" fillId="6" borderId="137" xfId="0" applyNumberFormat="1" applyFont="1" applyFill="1" applyBorder="1" applyAlignment="1">
      <alignment horizontal="right" vertical="center"/>
    </xf>
    <xf numFmtId="0" fontId="15" fillId="5" borderId="141" xfId="0" applyFont="1" applyFill="1" applyBorder="1" applyAlignment="1">
      <alignment horizontal="right" vertical="center" shrinkToFit="1"/>
    </xf>
    <xf numFmtId="0" fontId="15" fillId="7" borderId="142" xfId="0" applyFont="1" applyFill="1" applyBorder="1" applyAlignment="1">
      <alignment horizontal="left" vertical="center" shrinkToFit="1"/>
    </xf>
    <xf numFmtId="0" fontId="15" fillId="5" borderId="142" xfId="0" applyFont="1" applyFill="1" applyBorder="1" applyAlignment="1">
      <alignment horizontal="right" vertical="center" shrinkToFit="1"/>
    </xf>
    <xf numFmtId="176" fontId="21" fillId="5" borderId="143" xfId="0" applyNumberFormat="1" applyFont="1" applyFill="1" applyBorder="1" applyAlignment="1">
      <alignment horizontal="right" vertical="center"/>
    </xf>
    <xf numFmtId="176" fontId="21" fillId="0" borderId="144" xfId="0" applyNumberFormat="1" applyFont="1" applyBorder="1" applyAlignment="1">
      <alignment horizontal="right" vertical="center"/>
    </xf>
    <xf numFmtId="176" fontId="21" fillId="11" borderId="144" xfId="0" applyNumberFormat="1" applyFont="1" applyFill="1" applyBorder="1" applyAlignment="1">
      <alignment horizontal="right" vertical="center"/>
    </xf>
    <xf numFmtId="176" fontId="21" fillId="5" borderId="145" xfId="0" applyNumberFormat="1" applyFont="1" applyFill="1" applyBorder="1" applyAlignment="1">
      <alignment horizontal="right" vertical="center"/>
    </xf>
    <xf numFmtId="176" fontId="21" fillId="0" borderId="145" xfId="0" applyNumberFormat="1" applyFont="1" applyBorder="1" applyAlignment="1">
      <alignment horizontal="right" vertical="center"/>
    </xf>
    <xf numFmtId="0" fontId="17" fillId="8" borderId="147" xfId="0" applyFont="1" applyFill="1" applyBorder="1" applyAlignment="1">
      <alignment vertical="center" shrinkToFit="1"/>
    </xf>
    <xf numFmtId="176" fontId="22" fillId="9" borderId="152" xfId="0" applyNumberFormat="1" applyFont="1" applyFill="1" applyBorder="1" applyAlignment="1">
      <alignment horizontal="right" vertical="center" shrinkToFit="1"/>
    </xf>
    <xf numFmtId="176" fontId="21" fillId="7" borderId="144" xfId="0" applyNumberFormat="1" applyFont="1" applyFill="1" applyBorder="1" applyAlignment="1">
      <alignment horizontal="right" vertical="center"/>
    </xf>
    <xf numFmtId="176" fontId="21" fillId="5" borderId="155" xfId="0" applyNumberFormat="1" applyFont="1" applyFill="1" applyBorder="1" applyAlignment="1">
      <alignment horizontal="right" vertical="center"/>
    </xf>
    <xf numFmtId="176" fontId="21" fillId="5" borderId="146" xfId="0" applyNumberFormat="1" applyFont="1" applyFill="1" applyBorder="1" applyAlignment="1">
      <alignment horizontal="right" vertical="center"/>
    </xf>
    <xf numFmtId="176" fontId="22" fillId="5" borderId="143" xfId="0" applyNumberFormat="1" applyFont="1" applyFill="1" applyBorder="1" applyAlignment="1">
      <alignment horizontal="right" vertical="center"/>
    </xf>
    <xf numFmtId="176" fontId="22" fillId="5" borderId="155" xfId="0" applyNumberFormat="1" applyFont="1" applyFill="1" applyBorder="1" applyAlignment="1">
      <alignment horizontal="right" vertical="center"/>
    </xf>
    <xf numFmtId="0" fontId="15" fillId="5" borderId="142" xfId="0" applyFont="1" applyFill="1" applyBorder="1" applyAlignment="1">
      <alignment horizontal="right" vertical="center" wrapText="1"/>
    </xf>
    <xf numFmtId="0" fontId="15" fillId="5" borderId="141" xfId="0" applyFont="1" applyFill="1" applyBorder="1" applyAlignment="1">
      <alignment horizontal="right" vertical="center"/>
    </xf>
    <xf numFmtId="176" fontId="21" fillId="0" borderId="143" xfId="0" applyNumberFormat="1" applyFont="1" applyBorder="1" applyAlignment="1">
      <alignment horizontal="right" vertical="center"/>
    </xf>
    <xf numFmtId="176" fontId="21" fillId="0" borderId="159" xfId="0" applyNumberFormat="1" applyFont="1" applyBorder="1" applyAlignment="1">
      <alignment horizontal="right" vertical="center"/>
    </xf>
    <xf numFmtId="176" fontId="21" fillId="10" borderId="161" xfId="0" applyNumberFormat="1" applyFont="1" applyFill="1" applyBorder="1" applyAlignment="1">
      <alignment horizontal="right" vertical="center"/>
    </xf>
    <xf numFmtId="176" fontId="21" fillId="5" borderId="159" xfId="0" applyNumberFormat="1" applyFont="1" applyFill="1" applyBorder="1" applyAlignment="1">
      <alignment horizontal="right" vertical="center"/>
    </xf>
    <xf numFmtId="176" fontId="21" fillId="5" borderId="165" xfId="0" applyNumberFormat="1" applyFont="1" applyFill="1" applyBorder="1" applyAlignment="1">
      <alignment horizontal="right" vertical="center"/>
    </xf>
    <xf numFmtId="176" fontId="21" fillId="0" borderId="168" xfId="0" applyNumberFormat="1" applyFont="1" applyBorder="1" applyAlignment="1">
      <alignment horizontal="right" vertical="center"/>
    </xf>
    <xf numFmtId="176" fontId="21" fillId="11" borderId="168" xfId="0" applyNumberFormat="1" applyFont="1" applyFill="1" applyBorder="1" applyAlignment="1">
      <alignment horizontal="right" vertical="center"/>
    </xf>
    <xf numFmtId="176" fontId="21" fillId="5" borderId="169" xfId="0" applyNumberFormat="1" applyFont="1" applyFill="1" applyBorder="1" applyAlignment="1">
      <alignment horizontal="right" vertical="center"/>
    </xf>
    <xf numFmtId="0" fontId="27" fillId="0" borderId="0" xfId="0" applyFont="1"/>
    <xf numFmtId="0" fontId="23" fillId="0" borderId="0" xfId="0" applyFont="1" applyAlignment="1">
      <alignment horizontal="right" vertical="center" wrapText="1"/>
    </xf>
    <xf numFmtId="176" fontId="22" fillId="4" borderId="170" xfId="0" applyNumberFormat="1" applyFont="1" applyFill="1" applyBorder="1" applyAlignment="1">
      <alignment horizontal="right" vertical="center"/>
    </xf>
    <xf numFmtId="176" fontId="22" fillId="8" borderId="171" xfId="0" applyNumberFormat="1" applyFont="1" applyFill="1" applyBorder="1" applyAlignment="1">
      <alignment horizontal="right" vertical="center"/>
    </xf>
    <xf numFmtId="176" fontId="25" fillId="0" borderId="104" xfId="0" applyNumberFormat="1" applyFont="1" applyBorder="1" applyAlignment="1">
      <alignment horizontal="right" vertical="center" shrinkToFit="1"/>
    </xf>
    <xf numFmtId="176" fontId="25" fillId="0" borderId="54" xfId="0" applyNumberFormat="1" applyFont="1" applyBorder="1" applyAlignment="1">
      <alignment horizontal="right" vertical="center" shrinkToFit="1"/>
    </xf>
    <xf numFmtId="176" fontId="28" fillId="4" borderId="57" xfId="0" applyNumberFormat="1" applyFont="1" applyFill="1" applyBorder="1" applyAlignment="1">
      <alignment horizontal="right" vertical="center" shrinkToFit="1"/>
    </xf>
    <xf numFmtId="176" fontId="25" fillId="6" borderId="77" xfId="0" applyNumberFormat="1" applyFont="1" applyFill="1" applyBorder="1" applyAlignment="1">
      <alignment horizontal="right" vertical="center"/>
    </xf>
    <xf numFmtId="176" fontId="25" fillId="5" borderId="145" xfId="0" applyNumberFormat="1" applyFont="1" applyFill="1" applyBorder="1" applyAlignment="1">
      <alignment horizontal="right" vertical="center"/>
    </xf>
    <xf numFmtId="176" fontId="25" fillId="7" borderId="145" xfId="0" applyNumberFormat="1" applyFont="1" applyFill="1" applyBorder="1" applyAlignment="1">
      <alignment horizontal="right" vertical="center"/>
    </xf>
    <xf numFmtId="176" fontId="28" fillId="8" borderId="85" xfId="0" applyNumberFormat="1" applyFont="1" applyFill="1" applyBorder="1" applyAlignment="1">
      <alignment horizontal="right" vertical="center"/>
    </xf>
    <xf numFmtId="176" fontId="25" fillId="0" borderId="145" xfId="0" applyNumberFormat="1" applyFont="1" applyBorder="1" applyAlignment="1">
      <alignment horizontal="right" vertical="center"/>
    </xf>
    <xf numFmtId="176" fontId="25" fillId="5" borderId="100" xfId="0" applyNumberFormat="1" applyFont="1" applyFill="1" applyBorder="1" applyAlignment="1">
      <alignment horizontal="right" vertical="center"/>
    </xf>
    <xf numFmtId="176" fontId="28" fillId="8" borderId="86" xfId="0" applyNumberFormat="1" applyFont="1" applyFill="1" applyBorder="1" applyAlignment="1">
      <alignment horizontal="right" vertical="center"/>
    </xf>
    <xf numFmtId="176" fontId="25" fillId="9" borderId="105" xfId="0" applyNumberFormat="1" applyFont="1" applyFill="1" applyBorder="1" applyAlignment="1">
      <alignment horizontal="right" vertical="center" shrinkToFit="1"/>
    </xf>
    <xf numFmtId="176" fontId="25" fillId="9" borderId="55" xfId="0" applyNumberFormat="1" applyFont="1" applyFill="1" applyBorder="1" applyAlignment="1">
      <alignment horizontal="right" vertical="center" shrinkToFit="1"/>
    </xf>
    <xf numFmtId="176" fontId="28" fillId="4" borderId="63" xfId="0" applyNumberFormat="1" applyFont="1" applyFill="1" applyBorder="1" applyAlignment="1">
      <alignment horizontal="right" vertical="center" shrinkToFit="1"/>
    </xf>
    <xf numFmtId="176" fontId="25" fillId="0" borderId="51" xfId="0" applyNumberFormat="1" applyFont="1" applyBorder="1" applyAlignment="1">
      <alignment horizontal="right" vertical="center" shrinkToFit="1"/>
    </xf>
    <xf numFmtId="176" fontId="25" fillId="6" borderId="153" xfId="0" applyNumberFormat="1" applyFont="1" applyFill="1" applyBorder="1" applyAlignment="1">
      <alignment horizontal="right" vertical="center"/>
    </xf>
    <xf numFmtId="176" fontId="25" fillId="5" borderId="155" xfId="0" applyNumberFormat="1" applyFont="1" applyFill="1" applyBorder="1" applyAlignment="1">
      <alignment horizontal="right" vertical="center"/>
    </xf>
    <xf numFmtId="176" fontId="25" fillId="7" borderId="155" xfId="0" applyNumberFormat="1" applyFont="1" applyFill="1" applyBorder="1" applyAlignment="1">
      <alignment horizontal="right" vertical="center"/>
    </xf>
    <xf numFmtId="176" fontId="28" fillId="5" borderId="155" xfId="0" applyNumberFormat="1" applyFont="1" applyFill="1" applyBorder="1" applyAlignment="1">
      <alignment horizontal="right" vertical="center"/>
    </xf>
    <xf numFmtId="176" fontId="28" fillId="8" borderId="77" xfId="0" applyNumberFormat="1" applyFont="1" applyFill="1" applyBorder="1" applyAlignment="1">
      <alignment horizontal="right" vertical="center"/>
    </xf>
    <xf numFmtId="176" fontId="25" fillId="6" borderId="82" xfId="0" applyNumberFormat="1" applyFont="1" applyFill="1" applyBorder="1" applyAlignment="1">
      <alignment horizontal="right" vertical="center"/>
    </xf>
    <xf numFmtId="176" fontId="25" fillId="7" borderId="77" xfId="0" applyNumberFormat="1" applyFont="1" applyFill="1" applyBorder="1" applyAlignment="1">
      <alignment horizontal="right" vertical="center"/>
    </xf>
    <xf numFmtId="176" fontId="25" fillId="6" borderId="90" xfId="0" applyNumberFormat="1" applyFont="1" applyFill="1" applyBorder="1" applyAlignment="1">
      <alignment horizontal="right" vertical="center"/>
    </xf>
    <xf numFmtId="176" fontId="25" fillId="5" borderId="10" xfId="0" applyNumberFormat="1" applyFont="1" applyFill="1" applyBorder="1" applyAlignment="1">
      <alignment horizontal="right" vertical="center"/>
    </xf>
    <xf numFmtId="176" fontId="25" fillId="5" borderId="93" xfId="0" applyNumberFormat="1" applyFont="1" applyFill="1" applyBorder="1" applyAlignment="1">
      <alignment horizontal="right" vertical="center"/>
    </xf>
    <xf numFmtId="176" fontId="25" fillId="5" borderId="12" xfId="0" applyNumberFormat="1" applyFont="1" applyFill="1" applyBorder="1" applyAlignment="1">
      <alignment horizontal="right" vertical="center"/>
    </xf>
    <xf numFmtId="176" fontId="25" fillId="6" borderId="96" xfId="0" applyNumberFormat="1" applyFont="1" applyFill="1" applyBorder="1" applyAlignment="1">
      <alignment horizontal="right" vertical="center"/>
    </xf>
    <xf numFmtId="176" fontId="25" fillId="5" borderId="123" xfId="0" applyNumberFormat="1" applyFont="1" applyFill="1" applyBorder="1" applyAlignment="1">
      <alignment horizontal="right" vertical="center"/>
    </xf>
    <xf numFmtId="176" fontId="25" fillId="9" borderId="54" xfId="0" applyNumberFormat="1" applyFont="1" applyFill="1" applyBorder="1" applyAlignment="1">
      <alignment horizontal="right" vertical="center" shrinkToFit="1"/>
    </xf>
    <xf numFmtId="176" fontId="25" fillId="0" borderId="36" xfId="0" applyNumberFormat="1" applyFont="1" applyBorder="1" applyAlignment="1">
      <alignment horizontal="right" vertical="center" shrinkToFit="1"/>
    </xf>
    <xf numFmtId="176" fontId="25" fillId="0" borderId="43" xfId="0" applyNumberFormat="1" applyFont="1" applyBorder="1" applyAlignment="1">
      <alignment horizontal="right" vertical="center" shrinkToFit="1"/>
    </xf>
    <xf numFmtId="176" fontId="28" fillId="4" borderId="45" xfId="0" applyNumberFormat="1" applyFont="1" applyFill="1" applyBorder="1" applyAlignment="1">
      <alignment horizontal="right" vertical="center" shrinkToFit="1"/>
    </xf>
    <xf numFmtId="176" fontId="25" fillId="7" borderId="158" xfId="0" applyNumberFormat="1" applyFont="1" applyFill="1" applyBorder="1" applyAlignment="1">
      <alignment horizontal="right" vertical="center"/>
    </xf>
    <xf numFmtId="176" fontId="25" fillId="0" borderId="155" xfId="0" applyNumberFormat="1" applyFont="1" applyBorder="1" applyAlignment="1">
      <alignment horizontal="right" vertical="center"/>
    </xf>
    <xf numFmtId="176" fontId="25" fillId="0" borderId="49" xfId="0" applyNumberFormat="1" applyFont="1" applyBorder="1" applyAlignment="1">
      <alignment horizontal="right" vertical="center"/>
    </xf>
    <xf numFmtId="176" fontId="25" fillId="9" borderId="104" xfId="0" applyNumberFormat="1" applyFont="1" applyFill="1" applyBorder="1" applyAlignment="1">
      <alignment horizontal="right" vertical="center" shrinkToFit="1"/>
    </xf>
    <xf numFmtId="176" fontId="25" fillId="6" borderId="100" xfId="0" applyNumberFormat="1" applyFont="1" applyFill="1" applyBorder="1" applyAlignment="1">
      <alignment horizontal="right" vertical="center"/>
    </xf>
    <xf numFmtId="176" fontId="25" fillId="0" borderId="12" xfId="0" applyNumberFormat="1" applyFont="1" applyBorder="1" applyAlignment="1">
      <alignment horizontal="right" vertical="center"/>
    </xf>
    <xf numFmtId="6" fontId="25" fillId="5" borderId="10" xfId="0" applyNumberFormat="1" applyFont="1" applyFill="1" applyBorder="1" applyAlignment="1">
      <alignment horizontal="right" vertical="center"/>
    </xf>
    <xf numFmtId="6" fontId="25" fillId="0" borderId="10" xfId="0" applyNumberFormat="1" applyFont="1" applyBorder="1" applyAlignment="1">
      <alignment horizontal="right" vertical="center"/>
    </xf>
    <xf numFmtId="176" fontId="25" fillId="7" borderId="10" xfId="0" applyNumberFormat="1" applyFont="1" applyFill="1" applyBorder="1" applyAlignment="1">
      <alignment horizontal="right" vertical="center"/>
    </xf>
    <xf numFmtId="176" fontId="15" fillId="9" borderId="16" xfId="0" applyNumberFormat="1" applyFont="1" applyFill="1" applyBorder="1" applyAlignment="1">
      <alignment vertical="center" shrinkToFit="1"/>
    </xf>
    <xf numFmtId="176" fontId="15" fillId="9" borderId="17" xfId="0" applyNumberFormat="1" applyFont="1" applyFill="1" applyBorder="1" applyAlignment="1">
      <alignment vertical="center" shrinkToFit="1"/>
    </xf>
    <xf numFmtId="176" fontId="17" fillId="4" borderId="20" xfId="0" applyNumberFormat="1" applyFont="1" applyFill="1" applyBorder="1" applyAlignment="1">
      <alignment vertical="center" shrinkToFit="1"/>
    </xf>
    <xf numFmtId="176" fontId="15" fillId="0" borderId="19" xfId="0" applyNumberFormat="1" applyFont="1" applyBorder="1" applyAlignment="1">
      <alignment vertical="center" shrinkToFit="1"/>
    </xf>
    <xf numFmtId="176" fontId="15" fillId="0" borderId="17" xfId="0" applyNumberFormat="1" applyFont="1" applyBorder="1" applyAlignment="1">
      <alignment vertical="center" shrinkToFit="1"/>
    </xf>
    <xf numFmtId="176" fontId="15" fillId="4" borderId="18" xfId="0" applyNumberFormat="1" applyFont="1" applyFill="1" applyBorder="1" applyAlignment="1">
      <alignment vertical="center" shrinkToFit="1"/>
    </xf>
    <xf numFmtId="176" fontId="15" fillId="0" borderId="16" xfId="0" applyNumberFormat="1" applyFont="1" applyBorder="1" applyAlignment="1">
      <alignment vertical="center" shrinkToFit="1"/>
    </xf>
    <xf numFmtId="176" fontId="15" fillId="6" borderId="77" xfId="0" applyNumberFormat="1" applyFont="1" applyFill="1" applyBorder="1" applyAlignment="1">
      <alignment horizontal="right" vertical="center"/>
    </xf>
    <xf numFmtId="176" fontId="15" fillId="0" borderId="145" xfId="0" applyNumberFormat="1" applyFont="1" applyBorder="1" applyAlignment="1">
      <alignment horizontal="right" vertical="center"/>
    </xf>
    <xf numFmtId="176" fontId="15" fillId="5" borderId="145" xfId="0" applyNumberFormat="1" applyFont="1" applyFill="1" applyBorder="1" applyAlignment="1">
      <alignment horizontal="right" vertical="center"/>
    </xf>
    <xf numFmtId="176" fontId="15" fillId="7" borderId="145" xfId="0" applyNumberFormat="1" applyFont="1" applyFill="1" applyBorder="1" applyAlignment="1">
      <alignment horizontal="right" vertical="center"/>
    </xf>
    <xf numFmtId="176" fontId="15" fillId="5" borderId="100" xfId="0" applyNumberFormat="1" applyFont="1" applyFill="1" applyBorder="1" applyAlignment="1">
      <alignment horizontal="right" vertical="center"/>
    </xf>
    <xf numFmtId="176" fontId="17" fillId="8" borderId="86" xfId="0" applyNumberFormat="1" applyFont="1" applyFill="1" applyBorder="1" applyAlignment="1">
      <alignment horizontal="right" vertical="center"/>
    </xf>
    <xf numFmtId="0" fontId="15" fillId="0" borderId="0" xfId="4" applyFont="1" applyAlignment="1">
      <alignment horizontal="right" vertical="center" wrapText="1"/>
    </xf>
    <xf numFmtId="176" fontId="15" fillId="6" borderId="82" xfId="0" applyNumberFormat="1" applyFont="1" applyFill="1" applyBorder="1" applyAlignment="1">
      <alignment horizontal="right" vertical="center"/>
    </xf>
    <xf numFmtId="176" fontId="15" fillId="6" borderId="83" xfId="0" applyNumberFormat="1" applyFont="1" applyFill="1" applyBorder="1" applyAlignment="1">
      <alignment horizontal="right" vertical="center"/>
    </xf>
    <xf numFmtId="176" fontId="15" fillId="10" borderId="83" xfId="0" applyNumberFormat="1" applyFont="1" applyFill="1" applyBorder="1" applyAlignment="1">
      <alignment horizontal="right" vertical="center"/>
    </xf>
    <xf numFmtId="176" fontId="15" fillId="10" borderId="120" xfId="0" applyNumberFormat="1" applyFont="1" applyFill="1" applyBorder="1" applyAlignment="1">
      <alignment horizontal="right" vertical="center"/>
    </xf>
    <xf numFmtId="176" fontId="15" fillId="6" borderId="119" xfId="0" applyNumberFormat="1" applyFont="1" applyFill="1" applyBorder="1" applyAlignment="1">
      <alignment horizontal="right" vertical="center"/>
    </xf>
    <xf numFmtId="176" fontId="15" fillId="5" borderId="122" xfId="0" applyNumberFormat="1" applyFont="1" applyFill="1" applyBorder="1" applyAlignment="1">
      <alignment horizontal="right" vertical="center"/>
    </xf>
    <xf numFmtId="176" fontId="15" fillId="11" borderId="122" xfId="0" applyNumberFormat="1" applyFont="1" applyFill="1" applyBorder="1" applyAlignment="1">
      <alignment horizontal="right" vertical="center"/>
    </xf>
    <xf numFmtId="176" fontId="15" fillId="5" borderId="10" xfId="0" applyNumberFormat="1" applyFont="1" applyFill="1" applyBorder="1" applyAlignment="1">
      <alignment horizontal="right" vertical="center"/>
    </xf>
    <xf numFmtId="176" fontId="17" fillId="8" borderId="85" xfId="0" applyNumberFormat="1" applyFont="1" applyFill="1" applyBorder="1" applyAlignment="1">
      <alignment horizontal="right" vertical="center"/>
    </xf>
    <xf numFmtId="176" fontId="17" fillId="8" borderId="80" xfId="0" applyNumberFormat="1" applyFont="1" applyFill="1" applyBorder="1" applyAlignment="1">
      <alignment horizontal="right" vertical="center"/>
    </xf>
    <xf numFmtId="176" fontId="17" fillId="4" borderId="80" xfId="0" applyNumberFormat="1" applyFont="1" applyFill="1" applyBorder="1" applyAlignment="1">
      <alignment horizontal="right" vertical="center"/>
    </xf>
    <xf numFmtId="176" fontId="17" fillId="4" borderId="118" xfId="0" applyNumberFormat="1" applyFont="1" applyFill="1" applyBorder="1" applyAlignment="1">
      <alignment horizontal="right" vertical="center"/>
    </xf>
    <xf numFmtId="176" fontId="17" fillId="8" borderId="61" xfId="0" applyNumberFormat="1" applyFont="1" applyFill="1" applyBorder="1" applyAlignment="1">
      <alignment horizontal="right" vertical="center"/>
    </xf>
    <xf numFmtId="176" fontId="15" fillId="9" borderId="105" xfId="0" applyNumberFormat="1" applyFont="1" applyFill="1" applyBorder="1" applyAlignment="1">
      <alignment horizontal="right" vertical="center" shrinkToFit="1"/>
    </xf>
    <xf numFmtId="176" fontId="15" fillId="9" borderId="55" xfId="0" applyNumberFormat="1" applyFont="1" applyFill="1" applyBorder="1" applyAlignment="1">
      <alignment horizontal="right" vertical="center" shrinkToFit="1"/>
    </xf>
    <xf numFmtId="0" fontId="15" fillId="2" borderId="74" xfId="0" applyFont="1" applyFill="1" applyBorder="1" applyAlignment="1">
      <alignment horizontal="center" vertical="center" shrinkToFit="1"/>
    </xf>
    <xf numFmtId="176" fontId="15" fillId="0" borderId="104" xfId="0" applyNumberFormat="1" applyFont="1" applyBorder="1" applyAlignment="1">
      <alignment horizontal="right" vertical="center" shrinkToFit="1"/>
    </xf>
    <xf numFmtId="176" fontId="15" fillId="0" borderId="54" xfId="0" applyNumberFormat="1" applyFont="1" applyBorder="1" applyAlignment="1">
      <alignment horizontal="right" vertical="center" shrinkToFit="1"/>
    </xf>
    <xf numFmtId="176" fontId="17" fillId="4" borderId="57" xfId="0" applyNumberFormat="1" applyFont="1" applyFill="1" applyBorder="1" applyAlignment="1">
      <alignment horizontal="right" vertical="center" shrinkToFit="1"/>
    </xf>
    <xf numFmtId="176" fontId="17" fillId="4" borderId="63" xfId="0" applyNumberFormat="1" applyFont="1" applyFill="1" applyBorder="1" applyAlignment="1">
      <alignment horizontal="right" vertical="center" shrinkToFit="1"/>
    </xf>
    <xf numFmtId="176" fontId="28" fillId="4" borderId="11" xfId="0" applyNumberFormat="1" applyFont="1" applyFill="1" applyBorder="1" applyAlignment="1">
      <alignment horizontal="right" vertical="center" shrinkToFit="1"/>
    </xf>
    <xf numFmtId="176" fontId="25" fillId="0" borderId="105" xfId="0" applyNumberFormat="1" applyFont="1" applyBorder="1" applyAlignment="1">
      <alignment horizontal="right" vertical="center" shrinkToFit="1"/>
    </xf>
    <xf numFmtId="176" fontId="25" fillId="0" borderId="55" xfId="0" applyNumberFormat="1" applyFont="1" applyBorder="1" applyAlignment="1">
      <alignment horizontal="right" vertical="center" shrinkToFit="1"/>
    </xf>
    <xf numFmtId="176" fontId="28" fillId="4" borderId="58" xfId="0" applyNumberFormat="1" applyFont="1" applyFill="1" applyBorder="1" applyAlignment="1">
      <alignment horizontal="right" vertical="center" shrinkToFit="1"/>
    </xf>
    <xf numFmtId="176" fontId="25" fillId="6" borderId="78" xfId="0" applyNumberFormat="1" applyFont="1" applyFill="1" applyBorder="1" applyAlignment="1">
      <alignment horizontal="right" vertical="center"/>
    </xf>
    <xf numFmtId="176" fontId="28" fillId="8" borderId="80" xfId="0" applyNumberFormat="1" applyFont="1" applyFill="1" applyBorder="1" applyAlignment="1">
      <alignment horizontal="right" vertical="center"/>
    </xf>
    <xf numFmtId="176" fontId="28" fillId="8" borderId="87" xfId="0" applyNumberFormat="1" applyFont="1" applyFill="1" applyBorder="1" applyAlignment="1">
      <alignment horizontal="right" vertical="center"/>
    </xf>
    <xf numFmtId="176" fontId="25" fillId="0" borderId="52" xfId="0" applyNumberFormat="1" applyFont="1" applyBorder="1" applyAlignment="1">
      <alignment horizontal="right" vertical="center" shrinkToFit="1"/>
    </xf>
    <xf numFmtId="176" fontId="25" fillId="6" borderId="154" xfId="0" applyNumberFormat="1" applyFont="1" applyFill="1" applyBorder="1" applyAlignment="1">
      <alignment horizontal="right" vertical="center"/>
    </xf>
    <xf numFmtId="176" fontId="28" fillId="8" borderId="78" xfId="0" applyNumberFormat="1" applyFont="1" applyFill="1" applyBorder="1" applyAlignment="1">
      <alignment horizontal="right" vertical="center"/>
    </xf>
    <xf numFmtId="176" fontId="25" fillId="6" borderId="83" xfId="0" applyNumberFormat="1" applyFont="1" applyFill="1" applyBorder="1" applyAlignment="1">
      <alignment horizontal="right" vertical="center"/>
    </xf>
    <xf numFmtId="176" fontId="25" fillId="7" borderId="78" xfId="0" applyNumberFormat="1" applyFont="1" applyFill="1" applyBorder="1" applyAlignment="1">
      <alignment horizontal="right" vertical="center"/>
    </xf>
    <xf numFmtId="176" fontId="25" fillId="6" borderId="91" xfId="0" applyNumberFormat="1" applyFont="1" applyFill="1" applyBorder="1" applyAlignment="1">
      <alignment horizontal="right" vertical="center"/>
    </xf>
    <xf numFmtId="176" fontId="25" fillId="6" borderId="97" xfId="0" applyNumberFormat="1" applyFont="1" applyFill="1" applyBorder="1" applyAlignment="1">
      <alignment horizontal="right" vertical="center"/>
    </xf>
    <xf numFmtId="176" fontId="25" fillId="0" borderId="37" xfId="0" applyNumberFormat="1" applyFont="1" applyBorder="1" applyAlignment="1">
      <alignment horizontal="right" vertical="center" shrinkToFit="1"/>
    </xf>
    <xf numFmtId="176" fontId="25" fillId="0" borderId="13" xfId="0" applyNumberFormat="1" applyFont="1" applyBorder="1" applyAlignment="1">
      <alignment horizontal="right" vertical="center" shrinkToFit="1"/>
    </xf>
    <xf numFmtId="176" fontId="28" fillId="4" borderId="46" xfId="0" applyNumberFormat="1" applyFont="1" applyFill="1" applyBorder="1" applyAlignment="1">
      <alignment horizontal="right" vertical="center" shrinkToFit="1"/>
    </xf>
    <xf numFmtId="176" fontId="25" fillId="7" borderId="156" xfId="0" applyNumberFormat="1" applyFont="1" applyFill="1" applyBorder="1" applyAlignment="1">
      <alignment horizontal="right" vertical="center"/>
    </xf>
    <xf numFmtId="176" fontId="25" fillId="6" borderId="12" xfId="0" applyNumberFormat="1" applyFont="1" applyFill="1" applyBorder="1" applyAlignment="1">
      <alignment horizontal="right" vertical="center"/>
    </xf>
    <xf numFmtId="176" fontId="15" fillId="6" borderId="78" xfId="0" applyNumberFormat="1" applyFont="1" applyFill="1" applyBorder="1" applyAlignment="1">
      <alignment horizontal="right" vertical="center"/>
    </xf>
    <xf numFmtId="176" fontId="15" fillId="0" borderId="146" xfId="0" applyNumberFormat="1" applyFont="1" applyBorder="1" applyAlignment="1">
      <alignment horizontal="right" vertical="center"/>
    </xf>
    <xf numFmtId="176" fontId="15" fillId="5" borderId="24" xfId="0" applyNumberFormat="1" applyFont="1" applyFill="1" applyBorder="1" applyAlignment="1">
      <alignment horizontal="right" vertical="center"/>
    </xf>
    <xf numFmtId="176" fontId="15" fillId="0" borderId="144" xfId="0" applyNumberFormat="1" applyFont="1" applyBorder="1" applyAlignment="1">
      <alignment horizontal="right" vertical="center"/>
    </xf>
    <xf numFmtId="176" fontId="15" fillId="11" borderId="145" xfId="0" applyNumberFormat="1" applyFont="1" applyFill="1" applyBorder="1" applyAlignment="1">
      <alignment horizontal="right" vertical="center"/>
    </xf>
    <xf numFmtId="176" fontId="15" fillId="11" borderId="144" xfId="0" applyNumberFormat="1" applyFont="1" applyFill="1" applyBorder="1" applyAlignment="1">
      <alignment horizontal="right" vertical="center"/>
    </xf>
    <xf numFmtId="176" fontId="15" fillId="11" borderId="24" xfId="0" applyNumberFormat="1" applyFont="1" applyFill="1" applyBorder="1" applyAlignment="1">
      <alignment horizontal="right" vertical="center"/>
    </xf>
    <xf numFmtId="176" fontId="15" fillId="5" borderId="143" xfId="0" applyNumberFormat="1" applyFont="1" applyFill="1" applyBorder="1" applyAlignment="1">
      <alignment horizontal="right" vertical="center"/>
    </xf>
    <xf numFmtId="176" fontId="15" fillId="5" borderId="144" xfId="0" applyNumberFormat="1" applyFont="1" applyFill="1" applyBorder="1" applyAlignment="1">
      <alignment horizontal="right" vertical="center"/>
    </xf>
    <xf numFmtId="176" fontId="15" fillId="5" borderId="12" xfId="0" applyNumberFormat="1" applyFont="1" applyFill="1" applyBorder="1" applyAlignment="1">
      <alignment horizontal="right" vertical="center"/>
    </xf>
    <xf numFmtId="176" fontId="15" fillId="5" borderId="135" xfId="0" applyNumberFormat="1" applyFont="1" applyFill="1" applyBorder="1" applyAlignment="1">
      <alignment horizontal="right" vertical="center"/>
    </xf>
    <xf numFmtId="176" fontId="17" fillId="8" borderId="87" xfId="0" applyNumberFormat="1" applyFont="1" applyFill="1" applyBorder="1" applyAlignment="1">
      <alignment horizontal="right" vertical="center"/>
    </xf>
    <xf numFmtId="176" fontId="17" fillId="4" borderId="87" xfId="0" applyNumberFormat="1" applyFont="1" applyFill="1" applyBorder="1" applyAlignment="1">
      <alignment horizontal="right" vertical="center"/>
    </xf>
    <xf numFmtId="176" fontId="17" fillId="4" borderId="138" xfId="0" applyNumberFormat="1" applyFont="1" applyFill="1" applyBorder="1" applyAlignment="1">
      <alignment horizontal="right" vertical="center"/>
    </xf>
    <xf numFmtId="176" fontId="17" fillId="8" borderId="62" xfId="0" applyNumberFormat="1" applyFont="1" applyFill="1" applyBorder="1" applyAlignment="1">
      <alignment horizontal="right" vertical="center"/>
    </xf>
    <xf numFmtId="176" fontId="15" fillId="10" borderId="137" xfId="0" applyNumberFormat="1" applyFont="1" applyFill="1" applyBorder="1" applyAlignment="1">
      <alignment horizontal="right" vertical="center"/>
    </xf>
    <xf numFmtId="176" fontId="15" fillId="6" borderId="35" xfId="0" applyNumberFormat="1" applyFont="1" applyFill="1" applyBorder="1" applyAlignment="1">
      <alignment horizontal="right" vertical="center"/>
    </xf>
    <xf numFmtId="176" fontId="21" fillId="9" borderId="173" xfId="0" applyNumberFormat="1" applyFont="1" applyFill="1" applyBorder="1" applyAlignment="1">
      <alignment horizontal="right" vertical="center" shrinkToFit="1"/>
    </xf>
    <xf numFmtId="176" fontId="21" fillId="9" borderId="56" xfId="0" applyNumberFormat="1" applyFont="1" applyFill="1" applyBorder="1" applyAlignment="1">
      <alignment horizontal="right" vertical="center" shrinkToFit="1"/>
    </xf>
    <xf numFmtId="176" fontId="15" fillId="0" borderId="105" xfId="0" applyNumberFormat="1" applyFont="1" applyBorder="1" applyAlignment="1">
      <alignment horizontal="right" vertical="center" shrinkToFit="1"/>
    </xf>
    <xf numFmtId="176" fontId="15" fillId="0" borderId="55" xfId="0" applyNumberFormat="1" applyFont="1" applyBorder="1" applyAlignment="1">
      <alignment horizontal="right" vertical="center" shrinkToFit="1"/>
    </xf>
    <xf numFmtId="176" fontId="17" fillId="4" borderId="58" xfId="0" applyNumberFormat="1" applyFont="1" applyFill="1" applyBorder="1" applyAlignment="1">
      <alignment horizontal="right" vertical="center" shrinkToFit="1"/>
    </xf>
    <xf numFmtId="176" fontId="15" fillId="6" borderId="90" xfId="0" applyNumberFormat="1" applyFont="1" applyFill="1" applyBorder="1" applyAlignment="1">
      <alignment horizontal="right" vertical="center"/>
    </xf>
    <xf numFmtId="176" fontId="15" fillId="6" borderId="91" xfId="0" applyNumberFormat="1" applyFont="1" applyFill="1" applyBorder="1" applyAlignment="1">
      <alignment horizontal="right" vertical="center"/>
    </xf>
    <xf numFmtId="176" fontId="15" fillId="5" borderId="93" xfId="0" applyNumberFormat="1" applyFont="1" applyFill="1" applyBorder="1" applyAlignment="1">
      <alignment horizontal="right" vertical="center"/>
    </xf>
    <xf numFmtId="176" fontId="15" fillId="7" borderId="93" xfId="0" applyNumberFormat="1" applyFont="1" applyFill="1" applyBorder="1" applyAlignment="1">
      <alignment horizontal="right" vertical="center"/>
    </xf>
    <xf numFmtId="176" fontId="15" fillId="7" borderId="10" xfId="0" applyNumberFormat="1" applyFont="1" applyFill="1" applyBorder="1" applyAlignment="1">
      <alignment horizontal="right" vertical="center"/>
    </xf>
    <xf numFmtId="176" fontId="15" fillId="5" borderId="156" xfId="0" applyNumberFormat="1" applyFont="1" applyFill="1" applyBorder="1" applyAlignment="1">
      <alignment horizontal="right" vertical="center"/>
    </xf>
    <xf numFmtId="176" fontId="15" fillId="5" borderId="155" xfId="0" applyNumberFormat="1" applyFont="1" applyFill="1" applyBorder="1" applyAlignment="1">
      <alignment horizontal="right" vertical="center"/>
    </xf>
    <xf numFmtId="176" fontId="15" fillId="5" borderId="13" xfId="0" applyNumberFormat="1" applyFont="1" applyFill="1" applyBorder="1" applyAlignment="1">
      <alignment horizontal="right" vertical="center"/>
    </xf>
    <xf numFmtId="176" fontId="15" fillId="5" borderId="15" xfId="0" applyNumberFormat="1" applyFont="1" applyFill="1" applyBorder="1" applyAlignment="1">
      <alignment horizontal="right" vertical="center"/>
    </xf>
    <xf numFmtId="176" fontId="15" fillId="7" borderId="123" xfId="0" applyNumberFormat="1" applyFont="1" applyFill="1" applyBorder="1" applyAlignment="1">
      <alignment horizontal="right" vertical="center"/>
    </xf>
    <xf numFmtId="176" fontId="15" fillId="5" borderId="157" xfId="0" applyNumberFormat="1" applyFont="1" applyFill="1" applyBorder="1" applyAlignment="1">
      <alignment horizontal="right" vertical="center"/>
    </xf>
    <xf numFmtId="176" fontId="15" fillId="6" borderId="96" xfId="0" applyNumberFormat="1" applyFont="1" applyFill="1" applyBorder="1" applyAlignment="1">
      <alignment horizontal="right" vertical="center"/>
    </xf>
    <xf numFmtId="176" fontId="15" fillId="6" borderId="97" xfId="0" applyNumberFormat="1" applyFont="1" applyFill="1" applyBorder="1" applyAlignment="1">
      <alignment horizontal="right" vertical="center"/>
    </xf>
    <xf numFmtId="176" fontId="15" fillId="5" borderId="123" xfId="0" applyNumberFormat="1" applyFont="1" applyFill="1" applyBorder="1" applyAlignment="1">
      <alignment horizontal="right" vertical="center"/>
    </xf>
    <xf numFmtId="176" fontId="15" fillId="9" borderId="131" xfId="0" applyNumberFormat="1" applyFont="1" applyFill="1" applyBorder="1" applyAlignment="1">
      <alignment horizontal="right" vertical="center" shrinkToFit="1"/>
    </xf>
    <xf numFmtId="176" fontId="15" fillId="9" borderId="172" xfId="0" applyNumberFormat="1" applyFont="1" applyFill="1" applyBorder="1" applyAlignment="1">
      <alignment horizontal="right" vertical="center" shrinkToFit="1"/>
    </xf>
    <xf numFmtId="176" fontId="15" fillId="9" borderId="54" xfId="0" applyNumberFormat="1" applyFont="1" applyFill="1" applyBorder="1" applyAlignment="1">
      <alignment horizontal="right" vertical="center" shrinkToFit="1"/>
    </xf>
    <xf numFmtId="176" fontId="17" fillId="4" borderId="11" xfId="0" applyNumberFormat="1" applyFont="1" applyFill="1" applyBorder="1" applyAlignment="1">
      <alignment horizontal="right" vertical="center" shrinkToFit="1"/>
    </xf>
    <xf numFmtId="176" fontId="17" fillId="4" borderId="167" xfId="0" applyNumberFormat="1" applyFont="1" applyFill="1" applyBorder="1" applyAlignment="1">
      <alignment horizontal="right" vertical="center" shrinkToFit="1"/>
    </xf>
    <xf numFmtId="176" fontId="15" fillId="6" borderId="166" xfId="0" applyNumberFormat="1" applyFont="1" applyFill="1" applyBorder="1" applyAlignment="1">
      <alignment horizontal="right" vertical="center"/>
    </xf>
    <xf numFmtId="176" fontId="15" fillId="7" borderId="156" xfId="0" applyNumberFormat="1" applyFont="1" applyFill="1" applyBorder="1" applyAlignment="1">
      <alignment horizontal="right" vertical="center"/>
    </xf>
    <xf numFmtId="176" fontId="17" fillId="5" borderId="155" xfId="0" applyNumberFormat="1" applyFont="1" applyFill="1" applyBorder="1" applyAlignment="1">
      <alignment horizontal="right" vertical="center"/>
    </xf>
    <xf numFmtId="176" fontId="15" fillId="5" borderId="162" xfId="0" applyNumberFormat="1" applyFont="1" applyFill="1" applyBorder="1" applyAlignment="1">
      <alignment horizontal="right" vertical="center"/>
    </xf>
    <xf numFmtId="176" fontId="17" fillId="4" borderId="80" xfId="0" applyNumberFormat="1" applyFont="1" applyFill="1" applyBorder="1" applyAlignment="1">
      <alignment horizontal="right" vertical="center" shrinkToFit="1"/>
    </xf>
    <xf numFmtId="176" fontId="15" fillId="6" borderId="160" xfId="0" applyNumberFormat="1" applyFont="1" applyFill="1" applyBorder="1" applyAlignment="1">
      <alignment horizontal="right" vertical="center"/>
    </xf>
    <xf numFmtId="176" fontId="15" fillId="5" borderId="160" xfId="0" applyNumberFormat="1" applyFont="1" applyFill="1" applyBorder="1" applyAlignment="1">
      <alignment horizontal="right" vertical="center"/>
    </xf>
    <xf numFmtId="176" fontId="17" fillId="5" borderId="162" xfId="0" applyNumberFormat="1" applyFont="1" applyFill="1" applyBorder="1" applyAlignment="1">
      <alignment horizontal="right" vertical="center"/>
    </xf>
    <xf numFmtId="176" fontId="15" fillId="5" borderId="163" xfId="0" applyNumberFormat="1" applyFont="1" applyFill="1" applyBorder="1" applyAlignment="1">
      <alignment horizontal="right" vertical="center"/>
    </xf>
    <xf numFmtId="176" fontId="15" fillId="5" borderId="164" xfId="0" applyNumberFormat="1" applyFont="1" applyFill="1" applyBorder="1" applyAlignment="1">
      <alignment horizontal="right" vertical="center"/>
    </xf>
    <xf numFmtId="176" fontId="15" fillId="6" borderId="100" xfId="0" applyNumberFormat="1" applyFont="1" applyFill="1" applyBorder="1" applyAlignment="1">
      <alignment horizontal="right" vertical="center"/>
    </xf>
    <xf numFmtId="176" fontId="25" fillId="9" borderId="172" xfId="0" applyNumberFormat="1" applyFont="1" applyFill="1" applyBorder="1" applyAlignment="1">
      <alignment horizontal="right" vertical="center" shrinkToFit="1"/>
    </xf>
    <xf numFmtId="176" fontId="15" fillId="0" borderId="168" xfId="0" applyNumberFormat="1" applyFont="1" applyBorder="1" applyAlignment="1">
      <alignment horizontal="right" vertical="center"/>
    </xf>
    <xf numFmtId="176" fontId="15" fillId="11" borderId="168" xfId="0" applyNumberFormat="1" applyFont="1" applyFill="1" applyBorder="1" applyAlignment="1">
      <alignment horizontal="right" vertical="center"/>
    </xf>
    <xf numFmtId="176" fontId="25" fillId="5" borderId="156" xfId="0" applyNumberFormat="1" applyFont="1" applyFill="1" applyBorder="1" applyAlignment="1">
      <alignment horizontal="right" vertical="center"/>
    </xf>
    <xf numFmtId="176" fontId="25" fillId="5" borderId="13" xfId="0" applyNumberFormat="1" applyFont="1" applyFill="1" applyBorder="1" applyAlignment="1">
      <alignment horizontal="right" vertical="center"/>
    </xf>
    <xf numFmtId="176" fontId="25" fillId="5" borderId="15" xfId="0" applyNumberFormat="1" applyFont="1" applyFill="1" applyBorder="1" applyAlignment="1">
      <alignment horizontal="right" vertical="center"/>
    </xf>
    <xf numFmtId="176" fontId="25" fillId="5" borderId="157" xfId="0" applyNumberFormat="1" applyFont="1" applyFill="1" applyBorder="1" applyAlignment="1">
      <alignment horizontal="right" vertical="center"/>
    </xf>
    <xf numFmtId="176" fontId="28" fillId="4" borderId="167" xfId="0" applyNumberFormat="1" applyFont="1" applyFill="1" applyBorder="1" applyAlignment="1">
      <alignment horizontal="right" vertical="center" shrinkToFit="1"/>
    </xf>
    <xf numFmtId="176" fontId="25" fillId="6" borderId="166" xfId="0" applyNumberFormat="1" applyFont="1" applyFill="1" applyBorder="1" applyAlignment="1">
      <alignment horizontal="right" vertical="center"/>
    </xf>
    <xf numFmtId="176" fontId="28" fillId="4" borderId="80" xfId="0" applyNumberFormat="1" applyFont="1" applyFill="1" applyBorder="1" applyAlignment="1">
      <alignment horizontal="right" vertical="center" shrinkToFit="1"/>
    </xf>
    <xf numFmtId="176" fontId="25" fillId="11" borderId="145" xfId="0" applyNumberFormat="1" applyFont="1" applyFill="1" applyBorder="1" applyAlignment="1">
      <alignment horizontal="right" vertical="center"/>
    </xf>
    <xf numFmtId="176" fontId="28" fillId="4" borderId="80" xfId="0" applyNumberFormat="1" applyFont="1" applyFill="1" applyBorder="1" applyAlignment="1">
      <alignment horizontal="right" vertical="center"/>
    </xf>
    <xf numFmtId="176" fontId="28" fillId="4" borderId="87" xfId="0" applyNumberFormat="1" applyFont="1" applyFill="1" applyBorder="1" applyAlignment="1">
      <alignment horizontal="right" vertical="center"/>
    </xf>
    <xf numFmtId="176" fontId="25" fillId="10" borderId="91" xfId="0" applyNumberFormat="1" applyFont="1" applyFill="1" applyBorder="1" applyAlignment="1">
      <alignment horizontal="right" vertical="center"/>
    </xf>
    <xf numFmtId="176" fontId="25" fillId="0" borderId="10" xfId="0" applyNumberFormat="1" applyFont="1" applyBorder="1" applyAlignment="1">
      <alignment horizontal="right" vertical="center"/>
    </xf>
    <xf numFmtId="176" fontId="25" fillId="11" borderId="10" xfId="0" applyNumberFormat="1" applyFont="1" applyFill="1" applyBorder="1" applyAlignment="1">
      <alignment horizontal="right" vertical="center"/>
    </xf>
    <xf numFmtId="176" fontId="25" fillId="10" borderId="166" xfId="0" applyNumberFormat="1" applyFont="1" applyFill="1" applyBorder="1" applyAlignment="1">
      <alignment horizontal="right" vertical="center"/>
    </xf>
    <xf numFmtId="176" fontId="25" fillId="11" borderId="156" xfId="0" applyNumberFormat="1" applyFont="1" applyFill="1" applyBorder="1" applyAlignment="1">
      <alignment horizontal="right" vertical="center"/>
    </xf>
    <xf numFmtId="176" fontId="25" fillId="10" borderId="78" xfId="0" applyNumberFormat="1" applyFont="1" applyFill="1" applyBorder="1" applyAlignment="1">
      <alignment horizontal="right" vertical="center"/>
    </xf>
    <xf numFmtId="176" fontId="25" fillId="10" borderId="83" xfId="0" applyNumberFormat="1" applyFont="1" applyFill="1" applyBorder="1" applyAlignment="1">
      <alignment horizontal="right" vertical="center"/>
    </xf>
    <xf numFmtId="176" fontId="25" fillId="10" borderId="97" xfId="0" applyNumberFormat="1" applyFont="1" applyFill="1" applyBorder="1" applyAlignment="1">
      <alignment horizontal="right" vertical="center"/>
    </xf>
    <xf numFmtId="176" fontId="25" fillId="11" borderId="155" xfId="0" applyNumberFormat="1" applyFont="1" applyFill="1" applyBorder="1" applyAlignment="1">
      <alignment horizontal="right" vertical="center"/>
    </xf>
    <xf numFmtId="176" fontId="25" fillId="10" borderId="12" xfId="0" applyNumberFormat="1" applyFont="1" applyFill="1" applyBorder="1" applyAlignment="1">
      <alignment horizontal="right" vertical="center"/>
    </xf>
    <xf numFmtId="176" fontId="28" fillId="4" borderId="78" xfId="0" applyNumberFormat="1" applyFont="1" applyFill="1" applyBorder="1" applyAlignment="1">
      <alignment horizontal="right" vertical="center"/>
    </xf>
    <xf numFmtId="176" fontId="15" fillId="10" borderId="78" xfId="0" applyNumberFormat="1" applyFont="1" applyFill="1" applyBorder="1" applyAlignment="1">
      <alignment horizontal="right" vertical="center"/>
    </xf>
    <xf numFmtId="176" fontId="15" fillId="10" borderId="14" xfId="0" applyNumberFormat="1" applyFont="1" applyFill="1" applyBorder="1" applyAlignment="1">
      <alignment horizontal="right" vertical="center"/>
    </xf>
    <xf numFmtId="176" fontId="15" fillId="6" borderId="60" xfId="0" applyNumberFormat="1" applyFont="1" applyFill="1" applyBorder="1" applyAlignment="1">
      <alignment horizontal="right" vertical="center"/>
    </xf>
    <xf numFmtId="176" fontId="15" fillId="5" borderId="146" xfId="0" applyNumberFormat="1" applyFont="1" applyFill="1" applyBorder="1" applyAlignment="1">
      <alignment horizontal="right" vertical="center"/>
    </xf>
    <xf numFmtId="176" fontId="15" fillId="0" borderId="155" xfId="0" applyNumberFormat="1" applyFont="1" applyBorder="1" applyAlignment="1">
      <alignment horizontal="right" vertical="center"/>
    </xf>
    <xf numFmtId="176" fontId="15" fillId="7" borderId="155" xfId="0" applyNumberFormat="1" applyFont="1" applyFill="1" applyBorder="1" applyAlignment="1">
      <alignment horizontal="right" vertical="center"/>
    </xf>
    <xf numFmtId="176" fontId="15" fillId="11" borderId="155" xfId="0" applyNumberFormat="1" applyFont="1" applyFill="1" applyBorder="1" applyAlignment="1">
      <alignment horizontal="right" vertical="center"/>
    </xf>
    <xf numFmtId="6" fontId="21" fillId="5" borderId="145" xfId="1" applyNumberFormat="1" applyFont="1" applyFill="1" applyBorder="1" applyAlignment="1">
      <alignment horizontal="right" vertical="center"/>
    </xf>
    <xf numFmtId="6" fontId="21" fillId="5" borderId="145" xfId="0" applyNumberFormat="1" applyFont="1" applyFill="1" applyBorder="1" applyAlignment="1">
      <alignment horizontal="right" vertical="center"/>
    </xf>
    <xf numFmtId="176" fontId="15" fillId="10" borderId="98" xfId="0" applyNumberFormat="1" applyFont="1" applyFill="1" applyBorder="1" applyAlignment="1">
      <alignment horizontal="right" vertical="center"/>
    </xf>
    <xf numFmtId="176" fontId="15" fillId="0" borderId="12" xfId="0" applyNumberFormat="1" applyFont="1" applyBorder="1" applyAlignment="1">
      <alignment horizontal="right" vertical="center"/>
    </xf>
    <xf numFmtId="176" fontId="15" fillId="0" borderId="94" xfId="0" applyNumberFormat="1" applyFont="1" applyBorder="1" applyAlignment="1">
      <alignment horizontal="right" vertical="center"/>
    </xf>
    <xf numFmtId="176" fontId="15" fillId="11" borderId="156" xfId="0" applyNumberFormat="1" applyFont="1" applyFill="1" applyBorder="1" applyAlignment="1">
      <alignment horizontal="right" vertical="center"/>
    </xf>
    <xf numFmtId="176" fontId="15" fillId="11" borderId="94" xfId="0" applyNumberFormat="1" applyFont="1" applyFill="1" applyBorder="1" applyAlignment="1">
      <alignment horizontal="right" vertical="center"/>
    </xf>
    <xf numFmtId="176" fontId="17" fillId="5" borderId="143" xfId="0" applyNumberFormat="1" applyFont="1" applyFill="1" applyBorder="1" applyAlignment="1">
      <alignment horizontal="right" vertical="center"/>
    </xf>
    <xf numFmtId="176" fontId="15" fillId="5" borderId="159" xfId="0" applyNumberFormat="1" applyFont="1" applyFill="1" applyBorder="1" applyAlignment="1">
      <alignment horizontal="right" vertical="center"/>
    </xf>
    <xf numFmtId="176" fontId="15" fillId="5" borderId="165" xfId="0" applyNumberFormat="1" applyFont="1" applyFill="1" applyBorder="1" applyAlignment="1">
      <alignment horizontal="right" vertical="center"/>
    </xf>
    <xf numFmtId="176" fontId="17" fillId="4" borderId="99" xfId="0" applyNumberFormat="1" applyFont="1" applyFill="1" applyBorder="1" applyAlignment="1">
      <alignment horizontal="right" vertical="center"/>
    </xf>
    <xf numFmtId="176" fontId="17" fillId="8" borderId="31" xfId="0" applyNumberFormat="1" applyFont="1" applyFill="1" applyBorder="1" applyAlignment="1">
      <alignment horizontal="right" vertical="center"/>
    </xf>
    <xf numFmtId="176" fontId="21" fillId="5" borderId="145" xfId="1" applyNumberFormat="1" applyFont="1" applyFill="1" applyBorder="1" applyAlignment="1">
      <alignment horizontal="right" vertical="center"/>
    </xf>
    <xf numFmtId="176" fontId="25" fillId="9" borderId="180" xfId="0" applyNumberFormat="1" applyFont="1" applyFill="1" applyBorder="1" applyAlignment="1">
      <alignment horizontal="right" vertical="center" shrinkToFit="1"/>
    </xf>
    <xf numFmtId="176" fontId="25" fillId="5" borderId="145" xfId="1" applyNumberFormat="1" applyFont="1" applyFill="1" applyBorder="1" applyAlignment="1">
      <alignment horizontal="right" vertical="center"/>
    </xf>
    <xf numFmtId="176" fontId="25" fillId="19" borderId="10" xfId="0" applyNumberFormat="1" applyFont="1" applyFill="1" applyBorder="1" applyAlignment="1">
      <alignment horizontal="right" vertical="center"/>
    </xf>
    <xf numFmtId="176" fontId="15" fillId="10" borderId="97" xfId="0" applyNumberFormat="1" applyFont="1" applyFill="1" applyBorder="1" applyAlignment="1">
      <alignment horizontal="right" vertical="center"/>
    </xf>
    <xf numFmtId="6" fontId="15" fillId="0" borderId="10" xfId="0" applyNumberFormat="1" applyFont="1" applyBorder="1" applyAlignment="1">
      <alignment horizontal="right" vertical="center"/>
    </xf>
    <xf numFmtId="176" fontId="15" fillId="0" borderId="10" xfId="0" applyNumberFormat="1" applyFont="1" applyBorder="1" applyAlignment="1">
      <alignment horizontal="right" vertical="center"/>
    </xf>
    <xf numFmtId="176" fontId="15" fillId="0" borderId="121" xfId="0" applyNumberFormat="1" applyFont="1" applyBorder="1" applyAlignment="1">
      <alignment horizontal="right" vertical="center"/>
    </xf>
    <xf numFmtId="176" fontId="15" fillId="11" borderId="10" xfId="0" applyNumberFormat="1" applyFont="1" applyFill="1" applyBorder="1" applyAlignment="1">
      <alignment horizontal="right" vertical="center"/>
    </xf>
    <xf numFmtId="176" fontId="15" fillId="11" borderId="121" xfId="0" applyNumberFormat="1" applyFont="1" applyFill="1" applyBorder="1" applyAlignment="1">
      <alignment horizontal="right" vertical="center"/>
    </xf>
    <xf numFmtId="6" fontId="15" fillId="5" borderId="10" xfId="0" applyNumberFormat="1" applyFont="1" applyFill="1" applyBorder="1" applyAlignment="1">
      <alignment horizontal="right" vertical="center"/>
    </xf>
    <xf numFmtId="176" fontId="25" fillId="9" borderId="131" xfId="0" applyNumberFormat="1" applyFont="1" applyFill="1" applyBorder="1" applyAlignment="1">
      <alignment horizontal="right" vertical="center" shrinkToFit="1"/>
    </xf>
    <xf numFmtId="176" fontId="21" fillId="9" borderId="181" xfId="0" applyNumberFormat="1" applyFont="1" applyFill="1" applyBorder="1" applyAlignment="1">
      <alignment horizontal="right" vertical="center" shrinkToFit="1"/>
    </xf>
    <xf numFmtId="176" fontId="21" fillId="9" borderId="182" xfId="0" applyNumberFormat="1" applyFont="1" applyFill="1" applyBorder="1" applyAlignment="1">
      <alignment horizontal="right" vertical="center" shrinkToFit="1"/>
    </xf>
    <xf numFmtId="176" fontId="21" fillId="19" borderId="10" xfId="0" applyNumberFormat="1" applyFont="1" applyFill="1" applyBorder="1" applyAlignment="1">
      <alignment horizontal="right" vertical="center"/>
    </xf>
    <xf numFmtId="176" fontId="21" fillId="6" borderId="134" xfId="0" applyNumberFormat="1" applyFont="1" applyFill="1" applyBorder="1" applyAlignment="1">
      <alignment horizontal="right" vertical="center"/>
    </xf>
    <xf numFmtId="0" fontId="17" fillId="8" borderId="61" xfId="0" applyFont="1" applyFill="1" applyBorder="1" applyAlignment="1">
      <alignment vertical="center" shrinkToFit="1"/>
    </xf>
    <xf numFmtId="176" fontId="22" fillId="8" borderId="136" xfId="0" applyNumberFormat="1" applyFont="1" applyFill="1" applyBorder="1" applyAlignment="1">
      <alignment horizontal="right" vertical="center"/>
    </xf>
    <xf numFmtId="176" fontId="21" fillId="9" borderId="180" xfId="0" applyNumberFormat="1" applyFont="1" applyFill="1" applyBorder="1" applyAlignment="1">
      <alignment horizontal="right" vertical="center" shrinkToFit="1"/>
    </xf>
    <xf numFmtId="6" fontId="25" fillId="5" borderId="145" xfId="1" applyNumberFormat="1" applyFont="1" applyFill="1" applyBorder="1" applyAlignment="1">
      <alignment horizontal="right" vertical="center"/>
    </xf>
    <xf numFmtId="6" fontId="25" fillId="5" borderId="145" xfId="0" applyNumberFormat="1" applyFont="1" applyFill="1" applyBorder="1" applyAlignment="1">
      <alignment horizontal="right" vertical="center"/>
    </xf>
    <xf numFmtId="0" fontId="15" fillId="0" borderId="84" xfId="0" applyFont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0" fontId="15" fillId="0" borderId="78" xfId="0" applyFont="1" applyBorder="1" applyAlignment="1">
      <alignment horizontal="left" vertical="center" wrapText="1"/>
    </xf>
    <xf numFmtId="0" fontId="15" fillId="0" borderId="80" xfId="0" applyFont="1" applyBorder="1" applyAlignment="1">
      <alignment horizontal="left" vertical="center" wrapText="1"/>
    </xf>
    <xf numFmtId="0" fontId="15" fillId="0" borderId="78" xfId="0" applyFont="1" applyBorder="1" applyAlignment="1">
      <alignment horizontal="center" vertical="center" wrapText="1"/>
    </xf>
    <xf numFmtId="0" fontId="15" fillId="0" borderId="80" xfId="0" applyFont="1" applyBorder="1" applyAlignment="1">
      <alignment horizontal="center" vertical="center" wrapText="1"/>
    </xf>
    <xf numFmtId="0" fontId="15" fillId="0" borderId="77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5" fillId="13" borderId="78" xfId="0" applyFont="1" applyFill="1" applyBorder="1" applyAlignment="1">
      <alignment horizontal="center" vertical="center" wrapText="1"/>
    </xf>
    <xf numFmtId="0" fontId="15" fillId="13" borderId="80" xfId="0" applyFont="1" applyFill="1" applyBorder="1" applyAlignment="1">
      <alignment horizontal="center" vertical="center" wrapText="1"/>
    </xf>
    <xf numFmtId="176" fontId="28" fillId="12" borderId="39" xfId="0" applyNumberFormat="1" applyFont="1" applyFill="1" applyBorder="1" applyAlignment="1">
      <alignment horizontal="center" vertical="center"/>
    </xf>
    <xf numFmtId="0" fontId="28" fillId="12" borderId="40" xfId="0" applyFont="1" applyFill="1" applyBorder="1" applyAlignment="1">
      <alignment horizontal="center" vertical="center"/>
    </xf>
    <xf numFmtId="176" fontId="28" fillId="12" borderId="40" xfId="0" applyNumberFormat="1" applyFont="1" applyFill="1" applyBorder="1" applyAlignment="1">
      <alignment horizontal="center" vertical="center"/>
    </xf>
    <xf numFmtId="0" fontId="28" fillId="12" borderId="41" xfId="0" applyFont="1" applyFill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24" fillId="0" borderId="83" xfId="0" applyFont="1" applyBorder="1" applyAlignment="1">
      <alignment horizontal="center" vertical="center"/>
    </xf>
    <xf numFmtId="0" fontId="24" fillId="0" borderId="84" xfId="0" applyFont="1" applyBorder="1" applyAlignment="1">
      <alignment horizontal="center" vertical="center"/>
    </xf>
    <xf numFmtId="0" fontId="24" fillId="0" borderId="77" xfId="0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/>
    </xf>
    <xf numFmtId="0" fontId="24" fillId="0" borderId="79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24" fillId="9" borderId="77" xfId="0" applyFont="1" applyFill="1" applyBorder="1" applyAlignment="1">
      <alignment horizontal="center" vertical="center"/>
    </xf>
    <xf numFmtId="0" fontId="24" fillId="9" borderId="78" xfId="0" applyFont="1" applyFill="1" applyBorder="1" applyAlignment="1">
      <alignment horizontal="center" vertical="center"/>
    </xf>
    <xf numFmtId="0" fontId="24" fillId="9" borderId="79" xfId="0" applyFont="1" applyFill="1" applyBorder="1" applyAlignment="1">
      <alignment horizontal="center" vertical="center"/>
    </xf>
    <xf numFmtId="0" fontId="24" fillId="9" borderId="85" xfId="0" applyFont="1" applyFill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176" fontId="28" fillId="12" borderId="36" xfId="0" applyNumberFormat="1" applyFont="1" applyFill="1" applyBorder="1" applyAlignment="1">
      <alignment horizontal="center" vertical="center"/>
    </xf>
    <xf numFmtId="0" fontId="28" fillId="12" borderId="37" xfId="0" applyFont="1" applyFill="1" applyBorder="1" applyAlignment="1">
      <alignment horizontal="center" vertical="center"/>
    </xf>
    <xf numFmtId="176" fontId="28" fillId="12" borderId="37" xfId="0" applyNumberFormat="1" applyFont="1" applyFill="1" applyBorder="1" applyAlignment="1">
      <alignment horizontal="center" vertical="center"/>
    </xf>
    <xf numFmtId="0" fontId="28" fillId="12" borderId="38" xfId="0" applyFont="1" applyFill="1" applyBorder="1" applyAlignment="1">
      <alignment horizontal="center" vertical="center"/>
    </xf>
    <xf numFmtId="0" fontId="15" fillId="0" borderId="83" xfId="0" applyFont="1" applyBorder="1" applyAlignment="1">
      <alignment horizontal="left" vertical="center" wrapText="1"/>
    </xf>
    <xf numFmtId="0" fontId="15" fillId="0" borderId="83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/>
    </xf>
    <xf numFmtId="0" fontId="15" fillId="13" borderId="83" xfId="0" applyFont="1" applyFill="1" applyBorder="1" applyAlignment="1">
      <alignment horizontal="center" vertical="center" wrapText="1"/>
    </xf>
    <xf numFmtId="0" fontId="15" fillId="0" borderId="87" xfId="0" applyFont="1" applyBorder="1" applyAlignment="1">
      <alignment horizontal="left" vertical="center" wrapText="1"/>
    </xf>
    <xf numFmtId="0" fontId="15" fillId="0" borderId="87" xfId="0" applyFont="1" applyBorder="1" applyAlignment="1">
      <alignment horizontal="center" vertical="center" wrapText="1"/>
    </xf>
    <xf numFmtId="0" fontId="15" fillId="0" borderId="88" xfId="0" applyFont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/>
    </xf>
    <xf numFmtId="0" fontId="15" fillId="13" borderId="87" xfId="0" applyFont="1" applyFill="1" applyBorder="1" applyAlignment="1">
      <alignment horizontal="center" vertical="center" wrapText="1"/>
    </xf>
    <xf numFmtId="0" fontId="20" fillId="14" borderId="16" xfId="0" applyFont="1" applyFill="1" applyBorder="1" applyAlignment="1">
      <alignment horizontal="center" vertical="center" shrinkToFit="1"/>
    </xf>
    <xf numFmtId="0" fontId="20" fillId="14" borderId="17" xfId="0" applyFont="1" applyFill="1" applyBorder="1" applyAlignment="1">
      <alignment horizontal="center" vertical="center" shrinkToFit="1"/>
    </xf>
    <xf numFmtId="0" fontId="20" fillId="14" borderId="18" xfId="0" applyFont="1" applyFill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20" fillId="0" borderId="17" xfId="0" applyFont="1" applyBorder="1" applyAlignment="1">
      <alignment horizontal="center" vertical="center" shrinkToFit="1"/>
    </xf>
    <xf numFmtId="0" fontId="20" fillId="0" borderId="18" xfId="0" applyFont="1" applyBorder="1" applyAlignment="1">
      <alignment horizontal="center" vertical="center" shrinkToFit="1"/>
    </xf>
    <xf numFmtId="0" fontId="20" fillId="2" borderId="8" xfId="0" applyFont="1" applyFill="1" applyBorder="1" applyAlignment="1">
      <alignment horizontal="center" vertical="center"/>
    </xf>
    <xf numFmtId="0" fontId="20" fillId="9" borderId="16" xfId="0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shrinkToFit="1"/>
    </xf>
    <xf numFmtId="0" fontId="20" fillId="17" borderId="16" xfId="0" applyFont="1" applyFill="1" applyBorder="1" applyAlignment="1">
      <alignment horizontal="center" vertical="center" shrinkToFit="1"/>
    </xf>
    <xf numFmtId="0" fontId="20" fillId="17" borderId="17" xfId="0" applyFont="1" applyFill="1" applyBorder="1" applyAlignment="1">
      <alignment horizontal="center" vertical="center" shrinkToFit="1"/>
    </xf>
    <xf numFmtId="0" fontId="20" fillId="17" borderId="18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/>
    </xf>
    <xf numFmtId="176" fontId="28" fillId="12" borderId="73" xfId="0" applyNumberFormat="1" applyFont="1" applyFill="1" applyBorder="1" applyAlignment="1">
      <alignment horizontal="center" vertical="center"/>
    </xf>
    <xf numFmtId="176" fontId="28" fillId="12" borderId="65" xfId="0" applyNumberFormat="1" applyFont="1" applyFill="1" applyBorder="1" applyAlignment="1">
      <alignment horizontal="center" vertical="center"/>
    </xf>
    <xf numFmtId="176" fontId="28" fillId="12" borderId="66" xfId="0" applyNumberFormat="1" applyFont="1" applyFill="1" applyBorder="1" applyAlignment="1">
      <alignment horizontal="center" vertical="center"/>
    </xf>
    <xf numFmtId="176" fontId="28" fillId="12" borderId="64" xfId="0" applyNumberFormat="1" applyFont="1" applyFill="1" applyBorder="1" applyAlignment="1">
      <alignment horizontal="center" vertical="center"/>
    </xf>
    <xf numFmtId="176" fontId="28" fillId="12" borderId="72" xfId="0" applyNumberFormat="1" applyFont="1" applyFill="1" applyBorder="1" applyAlignment="1">
      <alignment horizontal="center" vertical="center"/>
    </xf>
    <xf numFmtId="0" fontId="24" fillId="9" borderId="108" xfId="0" applyFont="1" applyFill="1" applyBorder="1" applyAlignment="1">
      <alignment horizontal="center" vertical="center"/>
    </xf>
    <xf numFmtId="0" fontId="24" fillId="9" borderId="109" xfId="0" applyFont="1" applyFill="1" applyBorder="1" applyAlignment="1">
      <alignment horizontal="center" vertical="center"/>
    </xf>
    <xf numFmtId="0" fontId="24" fillId="9" borderId="110" xfId="0" applyFont="1" applyFill="1" applyBorder="1" applyAlignment="1">
      <alignment horizontal="center" vertical="center"/>
    </xf>
    <xf numFmtId="0" fontId="24" fillId="9" borderId="111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4" fillId="9" borderId="112" xfId="0" applyFont="1" applyFill="1" applyBorder="1" applyAlignment="1">
      <alignment horizontal="center" vertical="center"/>
    </xf>
    <xf numFmtId="0" fontId="24" fillId="9" borderId="113" xfId="0" applyFont="1" applyFill="1" applyBorder="1" applyAlignment="1">
      <alignment horizontal="center" vertical="center"/>
    </xf>
    <xf numFmtId="0" fontId="24" fillId="9" borderId="114" xfId="0" applyFont="1" applyFill="1" applyBorder="1" applyAlignment="1">
      <alignment horizontal="center" vertical="center"/>
    </xf>
    <xf numFmtId="0" fontId="24" fillId="9" borderId="115" xfId="0" applyFont="1" applyFill="1" applyBorder="1" applyAlignment="1">
      <alignment horizontal="center" vertical="center"/>
    </xf>
    <xf numFmtId="176" fontId="28" fillId="12" borderId="71" xfId="0" applyNumberFormat="1" applyFont="1" applyFill="1" applyBorder="1" applyAlignment="1">
      <alignment horizontal="center" vertical="center"/>
    </xf>
    <xf numFmtId="176" fontId="28" fillId="12" borderId="68" xfId="0" applyNumberFormat="1" applyFont="1" applyFill="1" applyBorder="1" applyAlignment="1">
      <alignment horizontal="center" vertical="center"/>
    </xf>
    <xf numFmtId="176" fontId="28" fillId="12" borderId="70" xfId="0" applyNumberFormat="1" applyFont="1" applyFill="1" applyBorder="1" applyAlignment="1">
      <alignment horizontal="center" vertical="center"/>
    </xf>
    <xf numFmtId="176" fontId="28" fillId="12" borderId="67" xfId="0" applyNumberFormat="1" applyFont="1" applyFill="1" applyBorder="1" applyAlignment="1">
      <alignment horizontal="center" vertical="center"/>
    </xf>
    <xf numFmtId="176" fontId="28" fillId="12" borderId="69" xfId="0" applyNumberFormat="1" applyFont="1" applyFill="1" applyBorder="1" applyAlignment="1">
      <alignment horizontal="center" vertical="center"/>
    </xf>
    <xf numFmtId="0" fontId="15" fillId="0" borderId="75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/>
    </xf>
    <xf numFmtId="0" fontId="24" fillId="9" borderId="177" xfId="0" applyFont="1" applyFill="1" applyBorder="1" applyAlignment="1">
      <alignment horizontal="center" vertical="center"/>
    </xf>
    <xf numFmtId="0" fontId="24" fillId="9" borderId="178" xfId="0" applyFont="1" applyFill="1" applyBorder="1" applyAlignment="1">
      <alignment horizontal="center" vertical="center"/>
    </xf>
    <xf numFmtId="0" fontId="24" fillId="9" borderId="179" xfId="0" applyFont="1" applyFill="1" applyBorder="1" applyAlignment="1">
      <alignment horizontal="center" vertical="center"/>
    </xf>
    <xf numFmtId="0" fontId="15" fillId="0" borderId="148" xfId="0" applyFont="1" applyBorder="1" applyAlignment="1">
      <alignment horizontal="center" vertical="center"/>
    </xf>
    <xf numFmtId="0" fontId="15" fillId="0" borderId="149" xfId="0" applyFont="1" applyBorder="1" applyAlignment="1">
      <alignment horizontal="center" vertical="center" wrapText="1"/>
    </xf>
    <xf numFmtId="0" fontId="15" fillId="0" borderId="149" xfId="0" applyFont="1" applyBorder="1" applyAlignment="1">
      <alignment horizontal="left" vertical="center" wrapText="1"/>
    </xf>
    <xf numFmtId="0" fontId="15" fillId="0" borderId="150" xfId="0" applyFont="1" applyBorder="1" applyAlignment="1">
      <alignment horizontal="center"/>
    </xf>
    <xf numFmtId="0" fontId="15" fillId="0" borderId="151" xfId="0" applyFont="1" applyBorder="1" applyAlignment="1">
      <alignment horizontal="center" vertical="center" wrapText="1"/>
    </xf>
    <xf numFmtId="176" fontId="28" fillId="12" borderId="48" xfId="0" applyNumberFormat="1" applyFont="1" applyFill="1" applyBorder="1" applyAlignment="1">
      <alignment horizontal="center" vertical="center"/>
    </xf>
    <xf numFmtId="0" fontId="28" fillId="12" borderId="49" xfId="0" applyFont="1" applyFill="1" applyBorder="1" applyAlignment="1">
      <alignment horizontal="center" vertical="center"/>
    </xf>
    <xf numFmtId="176" fontId="28" fillId="12" borderId="49" xfId="0" applyNumberFormat="1" applyFont="1" applyFill="1" applyBorder="1" applyAlignment="1">
      <alignment horizontal="center" vertical="center"/>
    </xf>
    <xf numFmtId="0" fontId="28" fillId="12" borderId="50" xfId="0" applyFont="1" applyFill="1" applyBorder="1" applyAlignment="1">
      <alignment horizontal="center" vertical="center"/>
    </xf>
    <xf numFmtId="0" fontId="24" fillId="9" borderId="174" xfId="0" applyFont="1" applyFill="1" applyBorder="1" applyAlignment="1">
      <alignment horizontal="center" vertical="center"/>
    </xf>
    <xf numFmtId="0" fontId="24" fillId="9" borderId="175" xfId="0" applyFont="1" applyFill="1" applyBorder="1" applyAlignment="1">
      <alignment horizontal="center" vertical="center"/>
    </xf>
    <xf numFmtId="0" fontId="24" fillId="9" borderId="176" xfId="0" applyFont="1" applyFill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87" xfId="0" applyFont="1" applyBorder="1" applyAlignment="1">
      <alignment horizontal="center" vertical="center"/>
    </xf>
    <xf numFmtId="0" fontId="15" fillId="17" borderId="78" xfId="0" applyFont="1" applyFill="1" applyBorder="1" applyAlignment="1">
      <alignment horizontal="center" vertical="center" wrapText="1"/>
    </xf>
    <xf numFmtId="0" fontId="15" fillId="17" borderId="80" xfId="0" applyFont="1" applyFill="1" applyBorder="1" applyAlignment="1">
      <alignment horizontal="center" vertical="center" wrapText="1"/>
    </xf>
    <xf numFmtId="0" fontId="15" fillId="14" borderId="78" xfId="0" applyFont="1" applyFill="1" applyBorder="1" applyAlignment="1">
      <alignment horizontal="center" vertical="center" wrapText="1"/>
    </xf>
    <xf numFmtId="0" fontId="15" fillId="14" borderId="80" xfId="0" applyFont="1" applyFill="1" applyBorder="1" applyAlignment="1">
      <alignment horizontal="center" vertical="center" wrapText="1"/>
    </xf>
    <xf numFmtId="0" fontId="15" fillId="16" borderId="78" xfId="0" applyFont="1" applyFill="1" applyBorder="1" applyAlignment="1">
      <alignment horizontal="center" vertical="center" wrapText="1"/>
    </xf>
    <xf numFmtId="0" fontId="15" fillId="16" borderId="80" xfId="0" applyFont="1" applyFill="1" applyBorder="1" applyAlignment="1">
      <alignment horizontal="center" vertical="center" wrapText="1"/>
    </xf>
    <xf numFmtId="0" fontId="15" fillId="14" borderId="83" xfId="0" applyFont="1" applyFill="1" applyBorder="1" applyAlignment="1">
      <alignment horizontal="center" vertical="center" wrapText="1"/>
    </xf>
    <xf numFmtId="0" fontId="15" fillId="18" borderId="83" xfId="0" applyFont="1" applyFill="1" applyBorder="1" applyAlignment="1">
      <alignment horizontal="center" vertical="center" wrapText="1"/>
    </xf>
    <xf numFmtId="0" fontId="15" fillId="18" borderId="78" xfId="0" applyFont="1" applyFill="1" applyBorder="1" applyAlignment="1">
      <alignment horizontal="center" vertical="center" wrapText="1"/>
    </xf>
    <xf numFmtId="0" fontId="15" fillId="18" borderId="80" xfId="0" applyFont="1" applyFill="1" applyBorder="1" applyAlignment="1">
      <alignment horizontal="center" vertical="center" wrapText="1"/>
    </xf>
    <xf numFmtId="176" fontId="17" fillId="12" borderId="36" xfId="0" applyNumberFormat="1" applyFont="1" applyFill="1" applyBorder="1" applyAlignment="1">
      <alignment horizontal="center" vertical="center"/>
    </xf>
    <xf numFmtId="176" fontId="17" fillId="12" borderId="37" xfId="0" applyNumberFormat="1" applyFont="1" applyFill="1" applyBorder="1" applyAlignment="1">
      <alignment horizontal="center" vertical="center"/>
    </xf>
    <xf numFmtId="176" fontId="17" fillId="12" borderId="40" xfId="0" applyNumberFormat="1" applyFont="1" applyFill="1" applyBorder="1" applyAlignment="1">
      <alignment horizontal="center" vertical="center"/>
    </xf>
    <xf numFmtId="176" fontId="17" fillId="12" borderId="39" xfId="0" applyNumberFormat="1" applyFont="1" applyFill="1" applyBorder="1" applyAlignment="1">
      <alignment horizontal="center" vertical="center"/>
    </xf>
    <xf numFmtId="0" fontId="15" fillId="15" borderId="78" xfId="0" applyFont="1" applyFill="1" applyBorder="1" applyAlignment="1">
      <alignment horizontal="center" vertical="center" wrapText="1"/>
    </xf>
    <xf numFmtId="0" fontId="15" fillId="15" borderId="80" xfId="0" applyFont="1" applyFill="1" applyBorder="1" applyAlignment="1">
      <alignment horizontal="center" vertical="center" wrapText="1"/>
    </xf>
    <xf numFmtId="0" fontId="15" fillId="17" borderId="83" xfId="0" applyFont="1" applyFill="1" applyBorder="1" applyAlignment="1">
      <alignment horizontal="center" vertical="center" wrapText="1"/>
    </xf>
  </cellXfs>
  <cellStyles count="447">
    <cellStyle name="パーセント 2" xfId="106" xr:uid="{07AEE379-A550-4005-A4F7-6EBA6521765C}"/>
    <cellStyle name="桁区切り 2" xfId="3" xr:uid="{00000000-0005-0000-0000-000000000000}"/>
    <cellStyle name="桁区切り 2 2" xfId="5" xr:uid="{00000000-0005-0000-0000-000001000000}"/>
    <cellStyle name="桁区切り 3" xfId="6" xr:uid="{00000000-0005-0000-0000-000002000000}"/>
    <cellStyle name="桁区切り 4" xfId="8" xr:uid="{00000000-0005-0000-0000-000003000000}"/>
    <cellStyle name="桁区切り 4 10" xfId="170" xr:uid="{383B8E16-7D21-4067-87AE-10C63CE0BF9C}"/>
    <cellStyle name="桁区切り 4 11" xfId="288" xr:uid="{12711940-FAB3-489E-85DC-AF6AF92C8DC6}"/>
    <cellStyle name="桁区切り 4 12" xfId="328" xr:uid="{23148A06-D4E8-41FD-B4B0-22DAB7575C93}"/>
    <cellStyle name="桁区切り 4 13" xfId="128" xr:uid="{EEED99F2-6752-4FD4-8DDD-0A15E22BDD54}"/>
    <cellStyle name="桁区切り 4 14" xfId="446" xr:uid="{E88F1497-0CD3-467E-B97F-DA1F71DADBF5}"/>
    <cellStyle name="桁区切り 4 2" xfId="10" xr:uid="{0263F782-A1A7-4E71-BB0B-EF188C92A1B5}"/>
    <cellStyle name="桁区切り 4 2 10" xfId="330" xr:uid="{602A233C-73D0-46B7-B595-F4D58130DADF}"/>
    <cellStyle name="桁区切り 4 2 11" xfId="132" xr:uid="{1D070362-8FEC-4F8D-BDD0-1A8C7BD8FDFA}"/>
    <cellStyle name="桁区切り 4 2 2" xfId="14" xr:uid="{E763FD11-C3AC-4AD3-8056-803DFECE4E0A}"/>
    <cellStyle name="桁区切り 4 2 2 2" xfId="22" xr:uid="{DCAC3CDA-E604-41C2-A214-FBDCE64B8C9A}"/>
    <cellStyle name="桁区切り 4 2 2 2 2" xfId="44" xr:uid="{85C847F5-C227-4DE1-A27B-3E495B71706B}"/>
    <cellStyle name="桁区切り 4 2 2 2 2 2" xfId="82" xr:uid="{2AC6FA41-A0D0-4AF0-B141-F4BAFE962A3B}"/>
    <cellStyle name="桁区切り 4 2 2 2 2 2 2" xfId="402" xr:uid="{1FEB2DA0-C2CA-4642-B348-C63C004FB934}"/>
    <cellStyle name="桁区切り 4 2 2 2 2 2 3" xfId="244" xr:uid="{EE6FE9EC-ED9B-49C4-AD59-3BE970CA0EC2}"/>
    <cellStyle name="桁区切り 4 2 2 2 2 3" xfId="124" xr:uid="{7B64BC4E-6508-4406-B4C4-B431BBF8E6CB}"/>
    <cellStyle name="桁区切り 4 2 2 2 2 3 2" xfId="442" xr:uid="{BE34A0B9-92ED-4B46-B75B-784A3E00035E}"/>
    <cellStyle name="桁区切り 4 2 2 2 2 3 3" xfId="284" xr:uid="{B0967F5D-9375-4EEA-946E-6D3D4398BC7A}"/>
    <cellStyle name="桁区切り 4 2 2 2 2 4" xfId="206" xr:uid="{84F1EEED-27EB-4503-90A6-2A2109530234}"/>
    <cellStyle name="桁区切り 4 2 2 2 2 5" xfId="324" xr:uid="{3F8D2D96-6249-4817-88DA-0B41A9EE5A29}"/>
    <cellStyle name="桁区切り 4 2 2 2 2 6" xfId="364" xr:uid="{F2961F38-0A52-4E29-987C-DEA0F7C14721}"/>
    <cellStyle name="桁区切り 4 2 2 2 2 7" xfId="166" xr:uid="{25820109-8A09-497E-A9E1-12FCE77434B7}"/>
    <cellStyle name="桁区切り 4 2 2 2 3" xfId="60" xr:uid="{31C97D6E-A6BF-41DA-BA2C-6083149D08F4}"/>
    <cellStyle name="桁区切り 4 2 2 2 3 2" xfId="380" xr:uid="{24699AE8-35E1-45DA-BC23-E4C5F2121B2B}"/>
    <cellStyle name="桁区切り 4 2 2 2 3 3" xfId="222" xr:uid="{2F8FFFC1-27A4-4015-8132-B0527B2B5DDB}"/>
    <cellStyle name="桁区切り 4 2 2 2 4" xfId="102" xr:uid="{C9F6D5A7-0A67-4221-BC0C-59A916ACD5DC}"/>
    <cellStyle name="桁区切り 4 2 2 2 4 2" xfId="422" xr:uid="{2F951A22-1827-4234-9E85-A26C2D41B1F0}"/>
    <cellStyle name="桁区切り 4 2 2 2 4 3" xfId="264" xr:uid="{3172B6DC-8292-4F6A-BAD6-0685E2F70FDF}"/>
    <cellStyle name="桁区切り 4 2 2 2 5" xfId="184" xr:uid="{8EE8F81B-B3B0-4503-A22A-2E148F870815}"/>
    <cellStyle name="桁区切り 4 2 2 2 6" xfId="304" xr:uid="{57AA190A-9992-4E77-BE8B-E18BFBC7E740}"/>
    <cellStyle name="桁区切り 4 2 2 2 7" xfId="342" xr:uid="{AFFE1177-5788-4502-A57C-41316C679B96}"/>
    <cellStyle name="桁区切り 4 2 2 2 8" xfId="146" xr:uid="{CA760EE6-C19B-4124-825D-A1EAB9A4BD25}"/>
    <cellStyle name="桁区切り 4 2 2 3" xfId="34" xr:uid="{6FD893B8-71F2-4CF0-9D73-B6311C194E79}"/>
    <cellStyle name="桁区切り 4 2 2 3 2" xfId="72" xr:uid="{4C6DD55B-A913-4D81-A65B-1273654F51BF}"/>
    <cellStyle name="桁区切り 4 2 2 3 2 2" xfId="392" xr:uid="{FC8C2037-D59D-4E9B-BB96-0693E4FEDB8C}"/>
    <cellStyle name="桁区切り 4 2 2 3 2 3" xfId="234" xr:uid="{2EB938C8-8A9D-4E78-BACB-455F2C85D68C}"/>
    <cellStyle name="桁区切り 4 2 2 3 3" xfId="114" xr:uid="{5716114F-A20F-438A-87F4-99561D503FA5}"/>
    <cellStyle name="桁区切り 4 2 2 3 3 2" xfId="432" xr:uid="{FE3169D5-17F2-471C-8A6F-06180A627A8D}"/>
    <cellStyle name="桁区切り 4 2 2 3 3 3" xfId="274" xr:uid="{74EACDEB-9452-4D8F-B162-5485374FD863}"/>
    <cellStyle name="桁区切り 4 2 2 3 4" xfId="196" xr:uid="{AE030847-01B9-4F91-A59F-22A1BFD89BF4}"/>
    <cellStyle name="桁区切り 4 2 2 3 5" xfId="314" xr:uid="{9BA4A449-6FDD-41D0-9DAF-9681BA0B2AEA}"/>
    <cellStyle name="桁区切り 4 2 2 3 6" xfId="354" xr:uid="{898BCD13-C452-4A26-B389-2B777CE42FDF}"/>
    <cellStyle name="桁区切り 4 2 2 3 7" xfId="156" xr:uid="{2AD6D4FF-392B-4677-BD4B-9247107D5B31}"/>
    <cellStyle name="桁区切り 4 2 2 4" xfId="52" xr:uid="{6D4907E0-EE7B-4592-B52B-83EFD71B4399}"/>
    <cellStyle name="桁区切り 4 2 2 4 2" xfId="372" xr:uid="{00A80731-050C-4EF8-B719-52D582199BF4}"/>
    <cellStyle name="桁区切り 4 2 2 4 3" xfId="214" xr:uid="{4C6788BF-9005-4C54-9B9B-A9D801FF2645}"/>
    <cellStyle name="桁区切り 4 2 2 5" xfId="92" xr:uid="{DC9F8661-4AFD-43C4-BE0B-858AAF9BE04A}"/>
    <cellStyle name="桁区切り 4 2 2 5 2" xfId="412" xr:uid="{DD7EFC82-1597-4ED9-9A5F-9E68260FE8A1}"/>
    <cellStyle name="桁区切り 4 2 2 5 3" xfId="254" xr:uid="{6D41478C-507F-4E26-84BA-CE08A2FA874C}"/>
    <cellStyle name="桁区切り 4 2 2 6" xfId="176" xr:uid="{74094E25-F2DE-4F27-B381-EF5F11095606}"/>
    <cellStyle name="桁区切り 4 2 2 7" xfId="294" xr:uid="{7CA6722A-4BB3-4DC4-A355-6A22C52025CE}"/>
    <cellStyle name="桁区切り 4 2 2 8" xfId="334" xr:uid="{F166EB3E-0666-4FBE-8D60-FFBD1EC45D46}"/>
    <cellStyle name="桁区切り 4 2 2 9" xfId="136" xr:uid="{CA989E4C-F96B-4965-A34F-5BB20C366D2E}"/>
    <cellStyle name="桁区切り 4 2 3" xfId="18" xr:uid="{9574BA53-8E18-4AF0-A6A7-A123A368348C}"/>
    <cellStyle name="桁区切り 4 2 3 2" xfId="40" xr:uid="{ED3F4D42-D09C-44E3-A9EA-83B6C8C94E2E}"/>
    <cellStyle name="桁区切り 4 2 3 2 2" xfId="78" xr:uid="{5D26191E-7CC1-43FB-B898-9F83BC02A82C}"/>
    <cellStyle name="桁区切り 4 2 3 2 2 2" xfId="398" xr:uid="{8478AD0A-3D1D-4DA4-A394-EA46C1FC6614}"/>
    <cellStyle name="桁区切り 4 2 3 2 2 3" xfId="240" xr:uid="{0E8CEE19-BD0D-4176-8AEA-E1FC98E869DF}"/>
    <cellStyle name="桁区切り 4 2 3 2 3" xfId="120" xr:uid="{C3186D3A-5797-4F8E-B1D1-019F54130FE4}"/>
    <cellStyle name="桁区切り 4 2 3 2 3 2" xfId="438" xr:uid="{5B96B524-1244-420D-A7AC-61D2C2DE8188}"/>
    <cellStyle name="桁区切り 4 2 3 2 3 3" xfId="280" xr:uid="{9065571E-B82C-4A23-894A-F3DF5FED4FC9}"/>
    <cellStyle name="桁区切り 4 2 3 2 4" xfId="202" xr:uid="{FA771172-961C-4E21-A73B-B06F2516D8FE}"/>
    <cellStyle name="桁区切り 4 2 3 2 5" xfId="320" xr:uid="{B6CBBAF5-D2E6-4185-8070-E4EE37A64A5E}"/>
    <cellStyle name="桁区切り 4 2 3 2 6" xfId="360" xr:uid="{AA4BB292-320D-4AE9-B6F0-1E9757635809}"/>
    <cellStyle name="桁区切り 4 2 3 2 7" xfId="162" xr:uid="{79E8FE05-DDA8-4707-A3F7-2F27D9524594}"/>
    <cellStyle name="桁区切り 4 2 3 3" xfId="56" xr:uid="{F55B22FF-0F76-4592-88EC-C29F2FE657E8}"/>
    <cellStyle name="桁区切り 4 2 3 3 2" xfId="376" xr:uid="{51FD41AE-AC8A-4E13-AFF6-6F48673EB470}"/>
    <cellStyle name="桁区切り 4 2 3 3 3" xfId="218" xr:uid="{B8FB1BF8-2223-4580-AF99-0D3F273FF298}"/>
    <cellStyle name="桁区切り 4 2 3 4" xfId="98" xr:uid="{4319DA07-3DE5-4B77-A56E-C899B2B1A614}"/>
    <cellStyle name="桁区切り 4 2 3 4 2" xfId="418" xr:uid="{C051B21D-C16D-4772-85C1-9FC41DF36D4F}"/>
    <cellStyle name="桁区切り 4 2 3 4 3" xfId="260" xr:uid="{1011A1C6-EE5A-4FD8-8D88-9FB09B2C10BA}"/>
    <cellStyle name="桁区切り 4 2 3 5" xfId="180" xr:uid="{F421636C-DEAA-48BE-B5D7-BD10171C806F}"/>
    <cellStyle name="桁区切り 4 2 3 6" xfId="300" xr:uid="{056E16C5-84F0-4AF9-BBB1-7A797DEB3CCF}"/>
    <cellStyle name="桁区切り 4 2 3 7" xfId="338" xr:uid="{0081FE76-FC73-4AB5-A754-81F2CA08E1FA}"/>
    <cellStyle name="桁区切り 4 2 3 8" xfId="142" xr:uid="{C0AA7ED1-187D-4019-B61C-56D1CF9BA21A}"/>
    <cellStyle name="桁区切り 4 2 4" xfId="26" xr:uid="{54C25D7A-0357-45E3-BA3E-BE54206B3A2B}"/>
    <cellStyle name="桁区切り 4 2 4 2" xfId="64" xr:uid="{4F61E8D6-07FB-4AE4-A9B1-B2274C4D4A4E}"/>
    <cellStyle name="桁区切り 4 2 4 2 2" xfId="384" xr:uid="{8D146909-A6AA-4BFE-A069-855B218DA250}"/>
    <cellStyle name="桁区切り 4 2 4 2 3" xfId="226" xr:uid="{B1E9156B-086A-4762-8081-8BA0FC8CD49E}"/>
    <cellStyle name="桁区切り 4 2 4 3" xfId="110" xr:uid="{6B20D5A1-CDAB-4100-84F8-52378E8535D9}"/>
    <cellStyle name="桁区切り 4 2 4 3 2" xfId="428" xr:uid="{B06C8CA7-4DC3-4EA5-8CF2-6A4F81B885DE}"/>
    <cellStyle name="桁区切り 4 2 4 3 3" xfId="270" xr:uid="{9F905FA1-09E5-4C9A-87B4-219845B31BAC}"/>
    <cellStyle name="桁区切り 4 2 4 4" xfId="188" xr:uid="{E87B472F-02C5-402B-8039-B7518CF657DF}"/>
    <cellStyle name="桁区切り 4 2 4 5" xfId="310" xr:uid="{7B12EBE6-8F02-4B63-8022-F471F86F94AD}"/>
    <cellStyle name="桁区切り 4 2 4 6" xfId="346" xr:uid="{D2565F9C-260D-43C4-B4BD-2B2078CC903C}"/>
    <cellStyle name="桁区切り 4 2 4 7" xfId="152" xr:uid="{36304BA7-4E24-4D07-970F-BDDC14A7F536}"/>
    <cellStyle name="桁区切り 4 2 5" xfId="30" xr:uid="{02F9D2A7-DE10-4291-B102-F24E2313A787}"/>
    <cellStyle name="桁区切り 4 2 5 2" xfId="68" xr:uid="{698AB041-3513-4EB5-B762-CD65D418F751}"/>
    <cellStyle name="桁区切り 4 2 5 2 2" xfId="388" xr:uid="{F2C5EFE9-29F4-43FF-9EB8-6D7834CDB67B}"/>
    <cellStyle name="桁区切り 4 2 5 2 3" xfId="230" xr:uid="{2A4E5E76-9B88-4208-B2FA-41C8EE644FA9}"/>
    <cellStyle name="桁区切り 4 2 5 3" xfId="350" xr:uid="{E54DA1B7-7FE3-4078-806A-1304BD6A9383}"/>
    <cellStyle name="桁区切り 4 2 5 4" xfId="192" xr:uid="{FB82772A-FE5C-4BD8-8CE3-F3C623AA6C4D}"/>
    <cellStyle name="桁区切り 4 2 6" xfId="48" xr:uid="{D71E7085-DF0E-4DBA-8046-1B718E090974}"/>
    <cellStyle name="桁区切り 4 2 6 2" xfId="368" xr:uid="{B6BCD7B7-40CE-4F4F-AD1D-F8DE0AB24124}"/>
    <cellStyle name="桁区切り 4 2 6 3" xfId="210" xr:uid="{805EC525-704F-4686-9F7D-5C0D2DDB0AFA}"/>
    <cellStyle name="桁区切り 4 2 7" xfId="88" xr:uid="{A9784793-24F4-415F-8797-24F8EFAC1E4C}"/>
    <cellStyle name="桁区切り 4 2 7 2" xfId="408" xr:uid="{9B686212-E94B-4894-9192-1EE9C54B4411}"/>
    <cellStyle name="桁区切り 4 2 7 3" xfId="250" xr:uid="{C4F69D0A-C54E-4380-95BE-1DA1589A2DD2}"/>
    <cellStyle name="桁区切り 4 2 8" xfId="172" xr:uid="{8E63A1AD-6456-4A91-9A48-C341F92F824F}"/>
    <cellStyle name="桁区切り 4 2 9" xfId="290" xr:uid="{077B998E-6D29-4C9D-B7CF-F69E52C49389}"/>
    <cellStyle name="桁区切り 4 3" xfId="12" xr:uid="{F716471E-3CB7-4203-86E8-04E8DDD529D6}"/>
    <cellStyle name="桁区切り 4 3 2" xfId="20" xr:uid="{0B737FBE-FC72-427B-91F7-1FF0D40A9790}"/>
    <cellStyle name="桁区切り 4 3 2 2" xfId="42" xr:uid="{CFA1B5C9-C740-4268-A903-33E395F0DC7F}"/>
    <cellStyle name="桁区切り 4 3 2 2 2" xfId="80" xr:uid="{70424E51-7FEA-44CE-925C-94F6896A6888}"/>
    <cellStyle name="桁区切り 4 3 2 2 2 2" xfId="400" xr:uid="{03AE298E-3E98-4CCD-A076-D63777253F53}"/>
    <cellStyle name="桁区切り 4 3 2 2 2 3" xfId="242" xr:uid="{FDED56D8-716D-4847-AD1B-24FF27641F11}"/>
    <cellStyle name="桁区切り 4 3 2 2 3" xfId="122" xr:uid="{4BE3D3C1-C823-4851-8820-1BACC6C97A2E}"/>
    <cellStyle name="桁区切り 4 3 2 2 3 2" xfId="440" xr:uid="{C6409897-4BC9-43D0-9E31-75C2BF8C4F2E}"/>
    <cellStyle name="桁区切り 4 3 2 2 3 3" xfId="282" xr:uid="{75B1526C-D908-4C1F-95A9-EB0C095B5F38}"/>
    <cellStyle name="桁区切り 4 3 2 2 4" xfId="204" xr:uid="{76AF2C73-F4CC-470A-862D-E332F6A6802C}"/>
    <cellStyle name="桁区切り 4 3 2 2 5" xfId="322" xr:uid="{94BB90F9-A086-4EBA-80C7-029399F2924C}"/>
    <cellStyle name="桁区切り 4 3 2 2 6" xfId="362" xr:uid="{7C0A2522-7210-4A41-AC2C-5A6DA01C192B}"/>
    <cellStyle name="桁区切り 4 3 2 2 7" xfId="164" xr:uid="{21E4E2D5-C989-44B3-AA68-EEDA771CD5D4}"/>
    <cellStyle name="桁区切り 4 3 2 3" xfId="58" xr:uid="{2ABF17D8-5FDA-4387-88B4-09475FBBB84D}"/>
    <cellStyle name="桁区切り 4 3 2 3 2" xfId="378" xr:uid="{983120DA-7589-4A91-B282-5C87241AA9F6}"/>
    <cellStyle name="桁区切り 4 3 2 3 3" xfId="220" xr:uid="{65D3895A-F7B1-4338-A87C-1A24A1E4289E}"/>
    <cellStyle name="桁区切り 4 3 2 4" xfId="100" xr:uid="{7B8A21D7-85FC-4E94-8467-EB60D42FEA31}"/>
    <cellStyle name="桁区切り 4 3 2 4 2" xfId="420" xr:uid="{59E18187-CED7-4B54-86C0-33B77A54DA87}"/>
    <cellStyle name="桁区切り 4 3 2 4 3" xfId="262" xr:uid="{DB7A3C7A-AAE4-4217-A736-8E7EAF2E31D7}"/>
    <cellStyle name="桁区切り 4 3 2 5" xfId="182" xr:uid="{3646FA93-B521-4E58-A5E0-EC7D42BDFA33}"/>
    <cellStyle name="桁区切り 4 3 2 6" xfId="302" xr:uid="{84212BDE-E947-4D5F-8661-CC7B3DDF84F1}"/>
    <cellStyle name="桁区切り 4 3 2 7" xfId="340" xr:uid="{837AC20E-9D9B-44CB-AD16-70D489B0B27B}"/>
    <cellStyle name="桁区切り 4 3 2 8" xfId="144" xr:uid="{C9D8DC58-F981-4171-B249-6EFA808F09E6}"/>
    <cellStyle name="桁区切り 4 3 3" xfId="32" xr:uid="{4753F33A-33B5-436C-9CAD-60914327E206}"/>
    <cellStyle name="桁区切り 4 3 3 2" xfId="70" xr:uid="{72AF7446-F7DA-4C95-9B4E-6224B9A6AC44}"/>
    <cellStyle name="桁区切り 4 3 3 2 2" xfId="390" xr:uid="{1FF9E4DB-E3DE-44E8-9BF0-B2F61D4E6C82}"/>
    <cellStyle name="桁区切り 4 3 3 2 3" xfId="232" xr:uid="{053E4351-812C-4AE4-B6B9-3CD55A23F9DC}"/>
    <cellStyle name="桁区切り 4 3 3 3" xfId="112" xr:uid="{29741F7A-EFE0-41CB-8FF0-61E30640E30F}"/>
    <cellStyle name="桁区切り 4 3 3 3 2" xfId="430" xr:uid="{2D4DF02F-903C-44BF-8E14-88F295283AEA}"/>
    <cellStyle name="桁区切り 4 3 3 3 3" xfId="272" xr:uid="{23E1A30B-614A-4E9F-99CC-2D836E7C1BDF}"/>
    <cellStyle name="桁区切り 4 3 3 4" xfId="194" xr:uid="{72775E32-9041-4650-A0F1-9406DBD70D20}"/>
    <cellStyle name="桁区切り 4 3 3 5" xfId="312" xr:uid="{F768AFA9-DA16-45CC-9C34-C485412CECA3}"/>
    <cellStyle name="桁区切り 4 3 3 6" xfId="352" xr:uid="{A1DB3D54-F07F-48D0-AA76-5D04F3227F9E}"/>
    <cellStyle name="桁区切り 4 3 3 7" xfId="154" xr:uid="{01276218-AAEB-402D-B00F-F46C1FE68F34}"/>
    <cellStyle name="桁区切り 4 3 4" xfId="50" xr:uid="{E7390EB0-6828-4C9D-AFFA-4F115E145C1D}"/>
    <cellStyle name="桁区切り 4 3 4 2" xfId="370" xr:uid="{DBB09151-61C5-46FD-B4B9-4612564761B1}"/>
    <cellStyle name="桁区切り 4 3 4 3" xfId="212" xr:uid="{5C837613-E228-4FF5-957F-E81CF46CA654}"/>
    <cellStyle name="桁区切り 4 3 5" xfId="90" xr:uid="{D0BE3B0C-92CB-45F3-8710-196C8B14FC32}"/>
    <cellStyle name="桁区切り 4 3 5 2" xfId="410" xr:uid="{6A9C64C1-6CEA-4E22-BFE5-2737F7C232E4}"/>
    <cellStyle name="桁区切り 4 3 5 3" xfId="252" xr:uid="{1575E39E-78B4-410F-9FF9-4D8AF09B9EC4}"/>
    <cellStyle name="桁区切り 4 3 6" xfId="174" xr:uid="{0C2D38DD-5775-43AF-A631-8743E9AF81F8}"/>
    <cellStyle name="桁区切り 4 3 7" xfId="292" xr:uid="{2308C978-0617-403B-AFE1-F9F24143B760}"/>
    <cellStyle name="桁区切り 4 3 8" xfId="332" xr:uid="{8231770F-6902-4350-843B-5287632CA4F0}"/>
    <cellStyle name="桁区切り 4 3 9" xfId="134" xr:uid="{03A4E898-BE59-478D-8300-FA5E540640D9}"/>
    <cellStyle name="桁区切り 4 4" xfId="16" xr:uid="{9E804F8C-A452-43E6-BC3B-5D1C84EDB561}"/>
    <cellStyle name="桁区切り 4 4 2" xfId="36" xr:uid="{FBC44253-98E2-4A66-B37F-53D67423D64A}"/>
    <cellStyle name="桁区切り 4 4 2 2" xfId="74" xr:uid="{E0AFBB3B-3FD6-4B67-AE37-AF4C50310684}"/>
    <cellStyle name="桁区切り 4 4 2 2 2" xfId="394" xr:uid="{AE9793FA-116B-4EC1-B99D-81803E2C1C09}"/>
    <cellStyle name="桁区切り 4 4 2 2 3" xfId="236" xr:uid="{6A3B476A-D635-4911-82EA-568C7B57A7A7}"/>
    <cellStyle name="桁区切り 4 4 2 3" xfId="116" xr:uid="{CE6FAD09-A0BB-4F29-B069-BCDFC58B703A}"/>
    <cellStyle name="桁区切り 4 4 2 3 2" xfId="434" xr:uid="{66FAD17E-C994-4CCD-821F-C6053FA9E171}"/>
    <cellStyle name="桁区切り 4 4 2 3 3" xfId="276" xr:uid="{E82CFB07-1504-4FD7-A7F7-55CD896111B1}"/>
    <cellStyle name="桁区切り 4 4 2 4" xfId="198" xr:uid="{90B4289B-8E42-4BBD-9FB9-10164000DD60}"/>
    <cellStyle name="桁区切り 4 4 2 5" xfId="316" xr:uid="{0CFD7279-4B24-45C9-B79D-4005951DF42C}"/>
    <cellStyle name="桁区切り 4 4 2 6" xfId="356" xr:uid="{22E207C7-D8B6-49D8-BEA8-5B84446B088D}"/>
    <cellStyle name="桁区切り 4 4 2 7" xfId="158" xr:uid="{BD0C5FF1-8525-4D30-8092-885106D86AE5}"/>
    <cellStyle name="桁区切り 4 4 3" xfId="54" xr:uid="{EED6B506-DB17-4A87-9EB2-3FDD6AFC3703}"/>
    <cellStyle name="桁区切り 4 4 3 2" xfId="374" xr:uid="{5FAA2199-6D72-4212-9AA4-6EA81E688B69}"/>
    <cellStyle name="桁区切り 4 4 3 3" xfId="216" xr:uid="{23702B63-14E6-4B52-9714-75AE39F3AE48}"/>
    <cellStyle name="桁区切り 4 4 4" xfId="94" xr:uid="{8F1FC4B8-7B2E-4AB7-9956-372E4CF0EBA8}"/>
    <cellStyle name="桁区切り 4 4 4 2" xfId="414" xr:uid="{3BF7A3EB-145C-4188-9D75-0C10F5DCDAAB}"/>
    <cellStyle name="桁区切り 4 4 4 3" xfId="256" xr:uid="{F039B174-BDAD-4C85-8EA7-73ADCDA91A6B}"/>
    <cellStyle name="桁区切り 4 4 5" xfId="178" xr:uid="{AD1ED7E7-06A9-40C1-BAD2-8E8E3AD4BE51}"/>
    <cellStyle name="桁区切り 4 4 6" xfId="296" xr:uid="{AF2C99CD-515B-4B68-821F-2971CDC44334}"/>
    <cellStyle name="桁区切り 4 4 7" xfId="336" xr:uid="{C2560D22-757D-46EB-8321-7753565DE4A8}"/>
    <cellStyle name="桁区切り 4 4 8" xfId="138" xr:uid="{52BD31F5-F949-4FC4-B73D-2B1B3EC52661}"/>
    <cellStyle name="桁区切り 4 5" xfId="24" xr:uid="{D808636B-DBD7-4842-B8DC-5821D060F765}"/>
    <cellStyle name="桁区切り 4 5 2" xfId="38" xr:uid="{7B975E08-C99D-49C8-80E6-18D0BA545A10}"/>
    <cellStyle name="桁区切り 4 5 2 2" xfId="76" xr:uid="{63885CAC-488D-40D3-828F-72E6CCCF4CDB}"/>
    <cellStyle name="桁区切り 4 5 2 2 2" xfId="396" xr:uid="{E2F7EEAE-F2A8-4CE2-A069-1FE59A129E59}"/>
    <cellStyle name="桁区切り 4 5 2 2 3" xfId="238" xr:uid="{79DD8EAF-4641-421E-AF04-428E7EE81924}"/>
    <cellStyle name="桁区切り 4 5 2 3" xfId="118" xr:uid="{CDD40379-3B71-4121-A48A-E8DE725EBCEC}"/>
    <cellStyle name="桁区切り 4 5 2 3 2" xfId="436" xr:uid="{F2E22E6A-9046-4820-AFBA-A3685DF0AA82}"/>
    <cellStyle name="桁区切り 4 5 2 3 3" xfId="278" xr:uid="{2BF39D04-0D06-4B10-B2E0-AC813DD4C227}"/>
    <cellStyle name="桁区切り 4 5 2 4" xfId="200" xr:uid="{1B87BE60-D3F7-417D-8EA2-A2F7C9961FB2}"/>
    <cellStyle name="桁区切り 4 5 2 5" xfId="318" xr:uid="{FECCF969-353D-4F05-B600-3973F7BA3E57}"/>
    <cellStyle name="桁区切り 4 5 2 6" xfId="358" xr:uid="{41902920-677F-421A-A19A-4959A466678C}"/>
    <cellStyle name="桁区切り 4 5 2 7" xfId="160" xr:uid="{D81F2AC9-67CD-491D-8562-6487B7432D1E}"/>
    <cellStyle name="桁区切り 4 5 3" xfId="62" xr:uid="{6DFF5695-07D8-4FA5-8EFD-97CD7030EB22}"/>
    <cellStyle name="桁区切り 4 5 3 2" xfId="382" xr:uid="{2F761F00-ED4A-403B-8CBF-F94096780279}"/>
    <cellStyle name="桁区切り 4 5 3 3" xfId="224" xr:uid="{5AD74C76-5E65-402E-911D-2101191051EA}"/>
    <cellStyle name="桁区切り 4 5 4" xfId="96" xr:uid="{7B94E26F-87FB-4190-A5A1-F630E3C436A2}"/>
    <cellStyle name="桁区切り 4 5 4 2" xfId="416" xr:uid="{AFBFFBE6-2283-49F4-BC8D-C2958886EC3F}"/>
    <cellStyle name="桁区切り 4 5 4 3" xfId="258" xr:uid="{96D199BE-00FF-4345-9445-7F9B788D2686}"/>
    <cellStyle name="桁区切り 4 5 5" xfId="186" xr:uid="{CB757D5C-462F-4F29-A4A8-088390A3C7F7}"/>
    <cellStyle name="桁区切り 4 5 6" xfId="298" xr:uid="{B8B82697-3B77-45CF-9EF6-6D63F0403973}"/>
    <cellStyle name="桁区切り 4 5 7" xfId="344" xr:uid="{D761F4A0-700B-408B-AC2C-581200A1A0B8}"/>
    <cellStyle name="桁区切り 4 5 8" xfId="140" xr:uid="{527F8017-4D7F-4D61-947D-AD4283FA02C4}"/>
    <cellStyle name="桁区切り 4 6" xfId="28" xr:uid="{737C096A-B278-46C0-9108-82E34F7FECE0}"/>
    <cellStyle name="桁区切り 4 6 2" xfId="66" xr:uid="{8EF35464-A6C0-44D0-B394-DD1DE4010EE8}"/>
    <cellStyle name="桁区切り 4 6 2 2" xfId="126" xr:uid="{B7C5D451-BE2D-49CB-AB85-B1D1FB47FED1}"/>
    <cellStyle name="桁区切り 4 6 2 2 2" xfId="444" xr:uid="{FC5F8C95-D2EA-45B8-A02C-2BB45F47B567}"/>
    <cellStyle name="桁区切り 4 6 2 2 3" xfId="286" xr:uid="{5D2FF393-F4E1-42D4-8A85-EA5375AF293B}"/>
    <cellStyle name="桁区切り 4 6 2 3" xfId="228" xr:uid="{2F34DD10-5746-4FE4-8D1F-557DC23BBB03}"/>
    <cellStyle name="桁区切り 4 6 2 4" xfId="326" xr:uid="{42DB5C6F-49EA-4381-83D1-4F66981043DE}"/>
    <cellStyle name="桁区切り 4 6 2 5" xfId="386" xr:uid="{B7AC3D4B-9EC4-426C-93AF-B008CB15DACC}"/>
    <cellStyle name="桁区切り 4 6 2 6" xfId="168" xr:uid="{A4F84261-8AFB-480C-8524-61F94B6B18EC}"/>
    <cellStyle name="桁区切り 4 6 3" xfId="104" xr:uid="{793061C8-990F-4828-A9FD-17616D3F3AE3}"/>
    <cellStyle name="桁区切り 4 6 3 2" xfId="424" xr:uid="{C5215AF4-470C-4934-84A6-09E50DD8602C}"/>
    <cellStyle name="桁区切り 4 6 3 3" xfId="266" xr:uid="{9B92FC89-EE71-483D-BF3C-A0ABD8A631A7}"/>
    <cellStyle name="桁区切り 4 6 4" xfId="190" xr:uid="{01A31734-6430-457E-9888-0B1C69ED83DF}"/>
    <cellStyle name="桁区切り 4 6 5" xfId="306" xr:uid="{FB46327A-DE27-46EB-A53A-22F9120C8631}"/>
    <cellStyle name="桁区切り 4 6 6" xfId="348" xr:uid="{099B36AB-F91B-4E11-B876-E29969851053}"/>
    <cellStyle name="桁区切り 4 6 7" xfId="148" xr:uid="{53E31E8A-D706-407D-9C8E-02CFF57F972D}"/>
    <cellStyle name="桁区切り 4 7" xfId="46" xr:uid="{0C82D3C3-351F-4A1D-8770-8B8721961532}"/>
    <cellStyle name="桁区切り 4 7 2" xfId="108" xr:uid="{DA44DD44-7207-44A8-A846-2AB926B33C32}"/>
    <cellStyle name="桁区切り 4 7 2 2" xfId="426" xr:uid="{0B6C6C1A-45BE-4423-9A4B-D58EF41323FC}"/>
    <cellStyle name="桁区切り 4 7 2 3" xfId="268" xr:uid="{EB43BA66-C159-401F-AE7E-F856B3364633}"/>
    <cellStyle name="桁区切り 4 7 3" xfId="208" xr:uid="{96276320-4EBB-4A40-95F9-C47C3651AE1F}"/>
    <cellStyle name="桁区切り 4 7 4" xfId="308" xr:uid="{82F5A63D-542F-4DA3-9842-EB750A4D5B64}"/>
    <cellStyle name="桁区切り 4 7 5" xfId="366" xr:uid="{F2BCB8AF-144E-4992-AAFC-FA6567C04C81}"/>
    <cellStyle name="桁区切り 4 7 6" xfId="150" xr:uid="{F3FE5BCA-497C-42CD-B1C4-57DC7FC6E352}"/>
    <cellStyle name="桁区切り 4 8" xfId="84" xr:uid="{BD24C0D5-429F-411F-9748-F6B082E2D885}"/>
    <cellStyle name="桁区切り 4 8 2" xfId="246" xr:uid="{0980B897-BF28-45D2-B281-26C0B34326ED}"/>
    <cellStyle name="桁区切り 4 8 3" xfId="404" xr:uid="{4CEF9A6C-3B01-4100-B207-96A9B30027F0}"/>
    <cellStyle name="桁区切り 4 8 4" xfId="130" xr:uid="{4705E12A-ECD8-4132-9AFD-9247F9B373BC}"/>
    <cellStyle name="桁区切り 4 9" xfId="86" xr:uid="{FFAD5D61-2009-434D-8B98-FC2E6A96C169}"/>
    <cellStyle name="桁区切り 4 9 2" xfId="406" xr:uid="{922D1AB0-1AD1-44D6-A43F-DC9384951AFB}"/>
    <cellStyle name="桁区切り 4 9 3" xfId="248" xr:uid="{A13812BD-7A93-4DD5-BAAA-877A94A6B1F1}"/>
    <cellStyle name="桁区切り 5" xfId="105" xr:uid="{17E81F08-66B4-4DEF-B6EE-9BC16CEDA8D8}"/>
    <cellStyle name="標準" xfId="0" builtinId="0"/>
    <cellStyle name="標準 2" xfId="1" xr:uid="{00000000-0005-0000-0000-000005000000}"/>
    <cellStyle name="標準 2 2" xfId="4" xr:uid="{00000000-0005-0000-0000-000006000000}"/>
    <cellStyle name="標準 3" xfId="2" xr:uid="{00000000-0005-0000-0000-000007000000}"/>
    <cellStyle name="標準 4" xfId="7" xr:uid="{00000000-0005-0000-0000-000008000000}"/>
    <cellStyle name="標準 4 10" xfId="169" xr:uid="{0DD4DAF9-4785-43B8-81BE-1FBA3EE044F4}"/>
    <cellStyle name="標準 4 11" xfId="287" xr:uid="{75A5B01F-F91B-4A79-9783-5A30C294EC54}"/>
    <cellStyle name="標準 4 12" xfId="327" xr:uid="{6DC8DACA-D103-4F09-B8D7-638D4E7F16BB}"/>
    <cellStyle name="標準 4 13" xfId="127" xr:uid="{020F14D0-1E7F-4345-B55E-8DDE38F384CB}"/>
    <cellStyle name="標準 4 14" xfId="445" xr:uid="{6C36FFF0-0BA3-45E1-83B1-1A37FCCC46C7}"/>
    <cellStyle name="標準 4 2" xfId="9" xr:uid="{1C85A4D8-ABC7-42D1-9EB4-1D0AD2E1DA4E}"/>
    <cellStyle name="標準 4 2 10" xfId="329" xr:uid="{CA13BDB4-EBB6-403D-B3D0-3C9C324568D1}"/>
    <cellStyle name="標準 4 2 11" xfId="131" xr:uid="{29BA53B5-E2D2-47D6-8E47-613F3D943F19}"/>
    <cellStyle name="標準 4 2 2" xfId="13" xr:uid="{F431A8C4-8D66-4C61-A729-576F90E7D956}"/>
    <cellStyle name="標準 4 2 2 2" xfId="21" xr:uid="{6BE113AF-2968-45C1-AA8C-8CABA78F73E5}"/>
    <cellStyle name="標準 4 2 2 2 2" xfId="43" xr:uid="{BBE5F5A0-1E66-4667-9D4F-7CF2ECF3FABC}"/>
    <cellStyle name="標準 4 2 2 2 2 2" xfId="81" xr:uid="{ABC67D30-925D-4F58-A541-B4EB98A6E959}"/>
    <cellStyle name="標準 4 2 2 2 2 2 2" xfId="401" xr:uid="{580C309F-968F-4553-82BB-210D0263213F}"/>
    <cellStyle name="標準 4 2 2 2 2 2 3" xfId="243" xr:uid="{96C33FB1-A8EF-4760-95CE-8D7EA6E37DA1}"/>
    <cellStyle name="標準 4 2 2 2 2 3" xfId="123" xr:uid="{6E806D6D-5ACB-4046-9411-B468E609F571}"/>
    <cellStyle name="標準 4 2 2 2 2 3 2" xfId="441" xr:uid="{69DB9C67-871D-4E26-9244-C873563B8209}"/>
    <cellStyle name="標準 4 2 2 2 2 3 3" xfId="283" xr:uid="{C578BD15-08B9-4B11-B3E1-DCE31CB73EC5}"/>
    <cellStyle name="標準 4 2 2 2 2 4" xfId="205" xr:uid="{3A4E0427-5BC2-467F-8234-05BE2AAED673}"/>
    <cellStyle name="標準 4 2 2 2 2 5" xfId="323" xr:uid="{4E63DAAB-565C-4079-AF48-753832C97B3D}"/>
    <cellStyle name="標準 4 2 2 2 2 6" xfId="363" xr:uid="{B5B73FFE-5271-40BB-87F8-3C088FBA3678}"/>
    <cellStyle name="標準 4 2 2 2 2 7" xfId="165" xr:uid="{FD02BE7B-BE5B-4E9C-BA94-847728DDFD85}"/>
    <cellStyle name="標準 4 2 2 2 3" xfId="59" xr:uid="{9276ACD6-49CA-4E8A-8F56-23DB72E2B98F}"/>
    <cellStyle name="標準 4 2 2 2 3 2" xfId="379" xr:uid="{EB22CCBF-254D-4E2D-9355-0611ABAD2940}"/>
    <cellStyle name="標準 4 2 2 2 3 3" xfId="221" xr:uid="{B0B95905-C732-45FC-8489-5DCE305AFA1B}"/>
    <cellStyle name="標準 4 2 2 2 4" xfId="101" xr:uid="{61AA85E8-D810-4216-9D3F-750D701BD183}"/>
    <cellStyle name="標準 4 2 2 2 4 2" xfId="421" xr:uid="{BC91861E-BD6A-4C57-8E6C-06EB2839AFC4}"/>
    <cellStyle name="標準 4 2 2 2 4 3" xfId="263" xr:uid="{5065A909-2889-4F5B-B2C4-8B58B563E4D5}"/>
    <cellStyle name="標準 4 2 2 2 5" xfId="183" xr:uid="{A16F86BD-3BE4-4A0C-9413-DC6EBA6A320B}"/>
    <cellStyle name="標準 4 2 2 2 6" xfId="303" xr:uid="{4D50121D-134A-47B6-BA31-5BD9C5383C65}"/>
    <cellStyle name="標準 4 2 2 2 7" xfId="341" xr:uid="{CDD57DC4-772A-4337-8383-F4BA60BBDD7E}"/>
    <cellStyle name="標準 4 2 2 2 8" xfId="145" xr:uid="{98B2C631-C8C5-4F44-9C79-FE4071177D59}"/>
    <cellStyle name="標準 4 2 2 3" xfId="33" xr:uid="{C025964A-5908-4432-9FDA-3B30CCEC707D}"/>
    <cellStyle name="標準 4 2 2 3 2" xfId="71" xr:uid="{95530673-0528-4B64-A172-F99C38D22E34}"/>
    <cellStyle name="標準 4 2 2 3 2 2" xfId="391" xr:uid="{B5AEFC11-F747-43CC-9A1F-65F41354AA54}"/>
    <cellStyle name="標準 4 2 2 3 2 3" xfId="233" xr:uid="{704B0522-D481-410A-B05E-626ADADEB017}"/>
    <cellStyle name="標準 4 2 2 3 3" xfId="113" xr:uid="{30DF4342-51C1-4A3D-80C9-9A03FA6F22B8}"/>
    <cellStyle name="標準 4 2 2 3 3 2" xfId="431" xr:uid="{B87D747F-7E47-49A3-ACE0-191EE761D0C4}"/>
    <cellStyle name="標準 4 2 2 3 3 3" xfId="273" xr:uid="{BA28AC2F-E5CC-4265-849B-6B6CE8100C4B}"/>
    <cellStyle name="標準 4 2 2 3 4" xfId="195" xr:uid="{452BE471-1D1D-489E-857E-ABCFAF8FB033}"/>
    <cellStyle name="標準 4 2 2 3 5" xfId="313" xr:uid="{5C292A80-2B68-4F8E-B7D6-C882B95E54C1}"/>
    <cellStyle name="標準 4 2 2 3 6" xfId="353" xr:uid="{8AF85E29-860E-4019-976F-D25B20B7DEC6}"/>
    <cellStyle name="標準 4 2 2 3 7" xfId="155" xr:uid="{032A3A9F-F36A-4092-8898-B24D5F90A974}"/>
    <cellStyle name="標準 4 2 2 4" xfId="51" xr:uid="{6A4E5503-5E7C-43AC-ACF1-1FD3B5646D88}"/>
    <cellStyle name="標準 4 2 2 4 2" xfId="371" xr:uid="{2EDA78FE-D1AE-4BBC-8E44-7DC2588AF681}"/>
    <cellStyle name="標準 4 2 2 4 3" xfId="213" xr:uid="{1BC1A398-D345-423B-81DB-9A48003E1A6C}"/>
    <cellStyle name="標準 4 2 2 5" xfId="91" xr:uid="{82AA848B-FB8F-4E07-986A-2B1D2E8FD356}"/>
    <cellStyle name="標準 4 2 2 5 2" xfId="411" xr:uid="{0B6B0EA5-7258-45F5-8799-586BC0569D07}"/>
    <cellStyle name="標準 4 2 2 5 3" xfId="253" xr:uid="{8C810C10-6773-4F4E-B221-383896CABB8C}"/>
    <cellStyle name="標準 4 2 2 6" xfId="175" xr:uid="{9CC86235-36B6-408E-9267-A01C2FCC70D2}"/>
    <cellStyle name="標準 4 2 2 7" xfId="293" xr:uid="{95E5A248-2502-470F-9A61-CFF66A3EF98E}"/>
    <cellStyle name="標準 4 2 2 8" xfId="333" xr:uid="{6550F5D2-36D8-438D-BBFE-ECF8729B0E3D}"/>
    <cellStyle name="標準 4 2 2 9" xfId="135" xr:uid="{1D8F11CA-877C-4767-A0F5-167519FCC984}"/>
    <cellStyle name="標準 4 2 3" xfId="17" xr:uid="{DC0B469A-B5E0-4E6A-841C-9034A297384B}"/>
    <cellStyle name="標準 4 2 3 2" xfId="39" xr:uid="{FF60C77A-062B-46C1-8F8A-F427552D8643}"/>
    <cellStyle name="標準 4 2 3 2 2" xfId="77" xr:uid="{EF5B1443-4DB9-4193-939C-2655D405FD7D}"/>
    <cellStyle name="標準 4 2 3 2 2 2" xfId="397" xr:uid="{1F0FD3F5-9B04-45D1-8483-0393587CCD08}"/>
    <cellStyle name="標準 4 2 3 2 2 3" xfId="239" xr:uid="{FA158AA2-EEB3-4E1F-9537-FEA7CD572D61}"/>
    <cellStyle name="標準 4 2 3 2 3" xfId="119" xr:uid="{0F97DCAF-1D41-42E0-BF40-19941EDEE3DE}"/>
    <cellStyle name="標準 4 2 3 2 3 2" xfId="437" xr:uid="{0DC02AC3-0634-4EDB-B822-4CB8217E8E01}"/>
    <cellStyle name="標準 4 2 3 2 3 3" xfId="279" xr:uid="{30B24ACB-C5EC-47D0-93FB-04D58E77F700}"/>
    <cellStyle name="標準 4 2 3 2 4" xfId="201" xr:uid="{7EDFD0B6-DE0A-467D-8887-DAAC9907D0D0}"/>
    <cellStyle name="標準 4 2 3 2 5" xfId="319" xr:uid="{C29C5F0D-CDA2-4853-A636-CEF7343AD21C}"/>
    <cellStyle name="標準 4 2 3 2 6" xfId="359" xr:uid="{5CF2011C-32BD-494B-8574-0799AD52822C}"/>
    <cellStyle name="標準 4 2 3 2 7" xfId="161" xr:uid="{A3D87C11-C459-4D47-B62C-36E4ECECDB3E}"/>
    <cellStyle name="標準 4 2 3 3" xfId="55" xr:uid="{B8B4C566-1918-44D2-8754-F8BE0E585D5E}"/>
    <cellStyle name="標準 4 2 3 3 2" xfId="375" xr:uid="{52851C03-D316-45E1-B3E6-DCAE478A8896}"/>
    <cellStyle name="標準 4 2 3 3 3" xfId="217" xr:uid="{186888FD-A5EE-4540-8859-20C8A46660C4}"/>
    <cellStyle name="標準 4 2 3 4" xfId="97" xr:uid="{FC0955D6-7FAB-450E-8DF5-637952B8B2A4}"/>
    <cellStyle name="標準 4 2 3 4 2" xfId="417" xr:uid="{AE554ECF-3B7F-4F3C-875F-9B11E8D74C04}"/>
    <cellStyle name="標準 4 2 3 4 3" xfId="259" xr:uid="{AD3202E2-D0B3-4E40-863D-7E0B45601A7B}"/>
    <cellStyle name="標準 4 2 3 5" xfId="179" xr:uid="{AAE794F6-15FD-45B1-84D7-1559C4EF8022}"/>
    <cellStyle name="標準 4 2 3 6" xfId="299" xr:uid="{1CA562E8-E981-4BC5-83E4-5A8ADD9127E9}"/>
    <cellStyle name="標準 4 2 3 7" xfId="337" xr:uid="{835CB56A-2CAD-4C9F-9EA4-24F057154B19}"/>
    <cellStyle name="標準 4 2 3 8" xfId="141" xr:uid="{14E67EC1-7837-43CE-8462-1F29DD871E60}"/>
    <cellStyle name="標準 4 2 4" xfId="25" xr:uid="{DBD5838B-DE33-486E-B14B-A1E619E4CD4E}"/>
    <cellStyle name="標準 4 2 4 2" xfId="63" xr:uid="{1E684658-2A92-48D0-BBE1-AE66ECA443D1}"/>
    <cellStyle name="標準 4 2 4 2 2" xfId="383" xr:uid="{2A943272-D755-4F61-8351-D7FBE00BC364}"/>
    <cellStyle name="標準 4 2 4 2 3" xfId="225" xr:uid="{161A8198-CE6A-4B65-9FE8-22E885996A33}"/>
    <cellStyle name="標準 4 2 4 3" xfId="109" xr:uid="{ABF2885A-4B70-4DFE-A7D2-459EB95AF40B}"/>
    <cellStyle name="標準 4 2 4 3 2" xfId="427" xr:uid="{768F3F80-B8B6-4DA0-9665-5C860C60BA3C}"/>
    <cellStyle name="標準 4 2 4 3 3" xfId="269" xr:uid="{E66AC57A-5A20-43A1-92B1-DC689B75B151}"/>
    <cellStyle name="標準 4 2 4 4" xfId="187" xr:uid="{959506DB-9A9D-4143-9BBB-5D65516204C2}"/>
    <cellStyle name="標準 4 2 4 5" xfId="309" xr:uid="{77F30C2F-285E-487D-94D4-C9884B001A12}"/>
    <cellStyle name="標準 4 2 4 6" xfId="345" xr:uid="{4A1E2845-2890-4A3E-BF12-D3C067DA08BE}"/>
    <cellStyle name="標準 4 2 4 7" xfId="151" xr:uid="{C6F23D27-F60E-4524-A288-7ACFBFA0BE73}"/>
    <cellStyle name="標準 4 2 5" xfId="29" xr:uid="{394564FD-E0E0-4B06-8B8C-66CDBC93D437}"/>
    <cellStyle name="標準 4 2 5 2" xfId="67" xr:uid="{1D9DF44E-C528-47F4-95C4-FA0FE27C707B}"/>
    <cellStyle name="標準 4 2 5 2 2" xfId="387" xr:uid="{E9CE1A2A-B9C4-45C3-9D15-7FC3CED0211F}"/>
    <cellStyle name="標準 4 2 5 2 3" xfId="229" xr:uid="{CFC65AF1-7B19-47F1-A3FC-4C1B4B126D41}"/>
    <cellStyle name="標準 4 2 5 3" xfId="349" xr:uid="{C066C8C4-5858-4B17-9CDC-7BD1B6B74936}"/>
    <cellStyle name="標準 4 2 5 4" xfId="191" xr:uid="{049CA1B7-5920-4C25-A9AC-6B41ED4A39BD}"/>
    <cellStyle name="標準 4 2 6" xfId="47" xr:uid="{4D2DE386-B969-47AB-A39A-D84BC50C203A}"/>
    <cellStyle name="標準 4 2 6 2" xfId="367" xr:uid="{187B6A79-462B-4E3F-9D6E-80A292C9DB7A}"/>
    <cellStyle name="標準 4 2 6 3" xfId="209" xr:uid="{695A9189-E83D-43DC-B1A3-73912E798B44}"/>
    <cellStyle name="標準 4 2 7" xfId="87" xr:uid="{058B8595-16F9-49BA-B148-F504469F393A}"/>
    <cellStyle name="標準 4 2 7 2" xfId="407" xr:uid="{1EDB275C-BB31-4CD9-BEA1-DD4F9B936C4D}"/>
    <cellStyle name="標準 4 2 7 3" xfId="249" xr:uid="{766F560E-36D4-43AC-B845-76F134F878B9}"/>
    <cellStyle name="標準 4 2 8" xfId="171" xr:uid="{11DBB684-996C-4D22-82E7-ACCE52DEF079}"/>
    <cellStyle name="標準 4 2 9" xfId="289" xr:uid="{3FD97C36-60C9-443C-A681-76B4CCAE7E29}"/>
    <cellStyle name="標準 4 3" xfId="11" xr:uid="{075CDB60-CF37-4884-87E3-CD5BA1A8AFC0}"/>
    <cellStyle name="標準 4 3 2" xfId="19" xr:uid="{BC9A5680-5AF5-4AC3-8F2D-94D3734F66E6}"/>
    <cellStyle name="標準 4 3 2 2" xfId="41" xr:uid="{874CCA7B-C76D-45D3-BA0B-FCDE4F354423}"/>
    <cellStyle name="標準 4 3 2 2 2" xfId="79" xr:uid="{AD6B6881-047E-43DD-8870-41CAD5DEAF71}"/>
    <cellStyle name="標準 4 3 2 2 2 2" xfId="399" xr:uid="{35C6EAFA-F786-4871-8E1D-CC54D15364B0}"/>
    <cellStyle name="標準 4 3 2 2 2 3" xfId="241" xr:uid="{2EE9F7C8-48B3-440C-9707-A7AB9EABD3E8}"/>
    <cellStyle name="標準 4 3 2 2 3" xfId="121" xr:uid="{2D530B37-9BF4-4351-A2A7-D62A355957BF}"/>
    <cellStyle name="標準 4 3 2 2 3 2" xfId="439" xr:uid="{F1D15133-CBF1-4E16-8726-D350E85C309B}"/>
    <cellStyle name="標準 4 3 2 2 3 3" xfId="281" xr:uid="{793934EB-3917-4841-8B5A-A78251523F50}"/>
    <cellStyle name="標準 4 3 2 2 4" xfId="203" xr:uid="{71D71BC3-0928-4D5B-B3C6-FF3B5C283126}"/>
    <cellStyle name="標準 4 3 2 2 5" xfId="321" xr:uid="{656A0967-F100-4D9C-8D4A-DD9434A5FF85}"/>
    <cellStyle name="標準 4 3 2 2 6" xfId="361" xr:uid="{8708E6C3-1308-418B-906E-C550B58E1A26}"/>
    <cellStyle name="標準 4 3 2 2 7" xfId="163" xr:uid="{126E92D5-2231-43AB-82C7-5AD6417259F8}"/>
    <cellStyle name="標準 4 3 2 3" xfId="57" xr:uid="{3C1B8E18-0B87-40C1-904D-546C4CD31AD5}"/>
    <cellStyle name="標準 4 3 2 3 2" xfId="377" xr:uid="{C9194248-3FAA-4AFF-8CD8-43826D152EA9}"/>
    <cellStyle name="標準 4 3 2 3 3" xfId="219" xr:uid="{A373BA1A-1AAB-4636-87AA-CB1567A81D25}"/>
    <cellStyle name="標準 4 3 2 4" xfId="99" xr:uid="{7210D5A5-44A4-44C3-A684-EDEAF4C112A7}"/>
    <cellStyle name="標準 4 3 2 4 2" xfId="419" xr:uid="{BE14D84E-937E-45A1-A900-3E233F39BCE4}"/>
    <cellStyle name="標準 4 3 2 4 3" xfId="261" xr:uid="{6CDB0F38-710E-405B-B618-0DA7D6223E89}"/>
    <cellStyle name="標準 4 3 2 5" xfId="181" xr:uid="{44993533-D399-4DA4-A99F-A92FD6727A7C}"/>
    <cellStyle name="標準 4 3 2 6" xfId="301" xr:uid="{78C5E1D8-9B27-479C-AADD-5F9462353C71}"/>
    <cellStyle name="標準 4 3 2 7" xfId="339" xr:uid="{6FAA14A5-A20A-478A-994C-97B31E0D88CE}"/>
    <cellStyle name="標準 4 3 2 8" xfId="143" xr:uid="{75297763-AC5F-4DE8-8270-6A069044BF00}"/>
    <cellStyle name="標準 4 3 3" xfId="31" xr:uid="{8FB8D0CC-DC11-41B9-97CE-3FA2B60AA994}"/>
    <cellStyle name="標準 4 3 3 2" xfId="69" xr:uid="{894BAEF6-CAD5-4AEC-A636-0B3AF19637AC}"/>
    <cellStyle name="標準 4 3 3 2 2" xfId="389" xr:uid="{50B6BB02-B6A5-43F8-8D1F-64A6E8C42F96}"/>
    <cellStyle name="標準 4 3 3 2 3" xfId="231" xr:uid="{F4D351A0-6E2C-4B3B-91AA-7C61947A5677}"/>
    <cellStyle name="標準 4 3 3 3" xfId="111" xr:uid="{07ABD50E-2C64-4204-B8D6-A12D4629B4CC}"/>
    <cellStyle name="標準 4 3 3 3 2" xfId="429" xr:uid="{C662E62A-8550-481F-B019-6E62BA84523B}"/>
    <cellStyle name="標準 4 3 3 3 3" xfId="271" xr:uid="{88E760A2-E862-487E-9666-5133E192AC04}"/>
    <cellStyle name="標準 4 3 3 4" xfId="193" xr:uid="{5CDCB1AA-04E7-4324-850C-1F44A418BFAC}"/>
    <cellStyle name="標準 4 3 3 5" xfId="311" xr:uid="{64BEE410-B36A-4D19-A70D-3A739B29A109}"/>
    <cellStyle name="標準 4 3 3 6" xfId="351" xr:uid="{245EEB8F-B552-4498-85AC-C5281FDDCEC0}"/>
    <cellStyle name="標準 4 3 3 7" xfId="153" xr:uid="{BB4A0288-7447-4B48-B47A-4B47B7C7DE6A}"/>
    <cellStyle name="標準 4 3 4" xfId="49" xr:uid="{4395197D-B52F-4FAD-A868-45E55736D4D8}"/>
    <cellStyle name="標準 4 3 4 2" xfId="369" xr:uid="{3FEC7019-F2E4-4F5E-A394-B368B08DF8E3}"/>
    <cellStyle name="標準 4 3 4 3" xfId="211" xr:uid="{5444D7FF-F6ED-45C4-B872-60B0C1394D4D}"/>
    <cellStyle name="標準 4 3 5" xfId="89" xr:uid="{D9FFDA81-A5B8-45C5-8FF6-E34CAD01CB3F}"/>
    <cellStyle name="標準 4 3 5 2" xfId="409" xr:uid="{8C9D04DF-C6E4-4AB1-B598-123BCFEC9B82}"/>
    <cellStyle name="標準 4 3 5 3" xfId="251" xr:uid="{CC56B878-EEF1-4BC1-B389-96FBBD0EB585}"/>
    <cellStyle name="標準 4 3 6" xfId="173" xr:uid="{5FB17666-4363-4FE5-AB40-67FA76615D13}"/>
    <cellStyle name="標準 4 3 7" xfId="291" xr:uid="{5B2876F5-09A1-4617-B494-7E6FE436472C}"/>
    <cellStyle name="標準 4 3 8" xfId="331" xr:uid="{166120C5-26EB-4AA5-BDB6-A2CD9CE10BD4}"/>
    <cellStyle name="標準 4 3 9" xfId="133" xr:uid="{6F04D8CB-A44B-482B-9E78-62033959BCDD}"/>
    <cellStyle name="標準 4 4" xfId="15" xr:uid="{F5F9016A-1E9E-4D7A-8094-084308A456DF}"/>
    <cellStyle name="標準 4 4 2" xfId="35" xr:uid="{B9206D27-FC9A-4CF8-B06A-1D96A10363B7}"/>
    <cellStyle name="標準 4 4 2 2" xfId="73" xr:uid="{A30A0406-EDA6-4955-AB34-E557A1191F2B}"/>
    <cellStyle name="標準 4 4 2 2 2" xfId="393" xr:uid="{AFB1BE92-4921-43CC-9245-8A0EE6A3BE3A}"/>
    <cellStyle name="標準 4 4 2 2 3" xfId="235" xr:uid="{00BB360D-0933-41F3-BFA6-F01D0CD072FF}"/>
    <cellStyle name="標準 4 4 2 3" xfId="115" xr:uid="{06794D57-4450-4802-BF16-5A92462C2E8F}"/>
    <cellStyle name="標準 4 4 2 3 2" xfId="433" xr:uid="{AC298B22-C0AA-44AC-8C7F-3B12F1D7D6D4}"/>
    <cellStyle name="標準 4 4 2 3 3" xfId="275" xr:uid="{BBA91378-7DA1-4B23-AEE5-57E12FCF3543}"/>
    <cellStyle name="標準 4 4 2 4" xfId="197" xr:uid="{C8E83F83-C179-4CB0-AE0A-2755992404CE}"/>
    <cellStyle name="標準 4 4 2 5" xfId="315" xr:uid="{8267AC8F-ED94-4ECC-A00D-7777B5C73A90}"/>
    <cellStyle name="標準 4 4 2 6" xfId="355" xr:uid="{B0C1A075-AD59-4441-858E-AF8E0F4930A9}"/>
    <cellStyle name="標準 4 4 2 7" xfId="157" xr:uid="{9395289E-87CA-4C3B-9EE7-01D1C7C7B30B}"/>
    <cellStyle name="標準 4 4 3" xfId="53" xr:uid="{74836AFA-B302-4932-9FB5-365AB66EFBA4}"/>
    <cellStyle name="標準 4 4 3 2" xfId="373" xr:uid="{3A5F4845-44D1-444C-B057-8D5DEA21C8B2}"/>
    <cellStyle name="標準 4 4 3 3" xfId="215" xr:uid="{4DDF6533-93DE-4E31-8498-32FD509BB415}"/>
    <cellStyle name="標準 4 4 4" xfId="93" xr:uid="{30A600A8-E4FF-4BCD-B656-AA490A1150AD}"/>
    <cellStyle name="標準 4 4 4 2" xfId="413" xr:uid="{184F0C8D-02C1-4F3B-BFA3-3DF49C4080DA}"/>
    <cellStyle name="標準 4 4 4 3" xfId="255" xr:uid="{37244EB0-0F64-4415-8E47-8DF5CECDFA9A}"/>
    <cellStyle name="標準 4 4 5" xfId="177" xr:uid="{35F5E8F1-38C5-4D2B-BF07-77960EF189D6}"/>
    <cellStyle name="標準 4 4 6" xfId="295" xr:uid="{8193B7FF-1B86-471F-B76F-14EB23741786}"/>
    <cellStyle name="標準 4 4 7" xfId="335" xr:uid="{679C3BCF-701B-4E3E-9E8A-2D7D9935B8D6}"/>
    <cellStyle name="標準 4 4 8" xfId="137" xr:uid="{A06FC66E-8E1E-456F-A298-83D9BF43456A}"/>
    <cellStyle name="標準 4 5" xfId="23" xr:uid="{2C777863-CABB-4004-BD0E-702CFAF569B3}"/>
    <cellStyle name="標準 4 5 2" xfId="37" xr:uid="{CD97FFA0-F0E4-4C41-ACD8-EA663E0059A2}"/>
    <cellStyle name="標準 4 5 2 2" xfId="75" xr:uid="{E6458689-7FE7-411D-9D7B-76184CE41F3F}"/>
    <cellStyle name="標準 4 5 2 2 2" xfId="395" xr:uid="{137BC739-05A5-4781-96C8-30A50F79F03E}"/>
    <cellStyle name="標準 4 5 2 2 3" xfId="237" xr:uid="{5047AC13-BE6C-4D51-9ACF-E48B1C85D658}"/>
    <cellStyle name="標準 4 5 2 3" xfId="117" xr:uid="{42E430D3-81F7-4FEB-84BB-608BF41B1A80}"/>
    <cellStyle name="標準 4 5 2 3 2" xfId="435" xr:uid="{6FD60A21-BC3E-4568-ADA6-D4DCD4EBB660}"/>
    <cellStyle name="標準 4 5 2 3 3" xfId="277" xr:uid="{20F945A3-BFD3-4564-8431-ACE0D9FD92FE}"/>
    <cellStyle name="標準 4 5 2 4" xfId="199" xr:uid="{AD211515-5AE5-4ED1-BCA1-4D62BBC5730F}"/>
    <cellStyle name="標準 4 5 2 5" xfId="317" xr:uid="{7D264D67-41CE-49ED-97FC-C5676E7E115A}"/>
    <cellStyle name="標準 4 5 2 6" xfId="357" xr:uid="{B07750B5-7DBE-422F-A596-5A9A04588C7C}"/>
    <cellStyle name="標準 4 5 2 7" xfId="159" xr:uid="{BE293ADA-D5DD-44E9-A603-E06F65512E07}"/>
    <cellStyle name="標準 4 5 3" xfId="61" xr:uid="{1290DDBA-4520-4231-8F76-45BB819F117E}"/>
    <cellStyle name="標準 4 5 3 2" xfId="381" xr:uid="{D288D7A4-E4B4-4F34-894E-DEB40EA51067}"/>
    <cellStyle name="標準 4 5 3 3" xfId="223" xr:uid="{C7DD7471-487D-4783-A8C1-9F42806D3FE0}"/>
    <cellStyle name="標準 4 5 4" xfId="95" xr:uid="{303EEFCC-94DC-4C91-A907-AEA6DBE6092B}"/>
    <cellStyle name="標準 4 5 4 2" xfId="415" xr:uid="{5702D08D-503B-407F-B7EB-D33808888C2F}"/>
    <cellStyle name="標準 4 5 4 3" xfId="257" xr:uid="{7E80C52D-DE74-46C1-A839-45979132A2C2}"/>
    <cellStyle name="標準 4 5 5" xfId="185" xr:uid="{83BFBF68-8DF3-4A92-AEE9-2905AF05FA7C}"/>
    <cellStyle name="標準 4 5 6" xfId="297" xr:uid="{B71545CB-7D5F-4770-BB23-88AE22A6C3F8}"/>
    <cellStyle name="標準 4 5 7" xfId="343" xr:uid="{4C49A05C-3023-4831-8C73-530377CF8B9E}"/>
    <cellStyle name="標準 4 5 8" xfId="139" xr:uid="{89112B50-A831-42F8-A762-AB761AC85963}"/>
    <cellStyle name="標準 4 6" xfId="27" xr:uid="{127EDC7F-BA45-4257-A9D9-EC5A38525FDC}"/>
    <cellStyle name="標準 4 6 2" xfId="65" xr:uid="{7367D907-22BB-4909-80C8-70BA76DAC66C}"/>
    <cellStyle name="標準 4 6 2 2" xfId="125" xr:uid="{7DA29720-F2E5-47B7-A9BC-C8943A1BF5F2}"/>
    <cellStyle name="標準 4 6 2 2 2" xfId="443" xr:uid="{479CAED0-00E6-47B7-BE79-151D27B0D698}"/>
    <cellStyle name="標準 4 6 2 2 3" xfId="285" xr:uid="{91D809F2-8A54-42C6-8F38-926B4E91822F}"/>
    <cellStyle name="標準 4 6 2 3" xfId="227" xr:uid="{3B8E7E0F-9E3D-4957-836C-8BD72D2A58DD}"/>
    <cellStyle name="標準 4 6 2 4" xfId="325" xr:uid="{363D5B73-2F87-415E-BA4F-23F8E9C7331C}"/>
    <cellStyle name="標準 4 6 2 5" xfId="385" xr:uid="{7AFBAE40-4D73-4962-9BE2-FACF1448BBB4}"/>
    <cellStyle name="標準 4 6 2 6" xfId="167" xr:uid="{BD3E22FE-46D8-4C14-93D4-14DEECA4EB5D}"/>
    <cellStyle name="標準 4 6 3" xfId="103" xr:uid="{0FB7458E-906D-4653-80F9-BFC640054621}"/>
    <cellStyle name="標準 4 6 3 2" xfId="423" xr:uid="{7895E02C-9014-498B-8811-8481233E4551}"/>
    <cellStyle name="標準 4 6 3 3" xfId="265" xr:uid="{9FED007E-9EF7-4873-A6B3-FFD09C2CE60D}"/>
    <cellStyle name="標準 4 6 4" xfId="189" xr:uid="{E74A5D0A-97B9-4A5A-BAB6-98E3CAEBF4AF}"/>
    <cellStyle name="標準 4 6 5" xfId="305" xr:uid="{65C24035-6C09-4484-9C3F-48DE33DD27ED}"/>
    <cellStyle name="標準 4 6 6" xfId="347" xr:uid="{B655668D-2447-4868-BD94-5D81C8FAE793}"/>
    <cellStyle name="標準 4 6 7" xfId="147" xr:uid="{37C82A8B-61DC-488F-B84A-5B4785BBE4ED}"/>
    <cellStyle name="標準 4 7" xfId="45" xr:uid="{C6F2F8B1-3B78-41D8-ABCD-B090BA6A0C11}"/>
    <cellStyle name="標準 4 7 2" xfId="107" xr:uid="{F1DA59ED-B27F-4D79-9989-A972A4CAD603}"/>
    <cellStyle name="標準 4 7 2 2" xfId="425" xr:uid="{48FAE1CE-2581-4C48-9737-02CCF56075E7}"/>
    <cellStyle name="標準 4 7 2 3" xfId="267" xr:uid="{43D4014E-641A-4FCC-8B4F-0E7704F07FDE}"/>
    <cellStyle name="標準 4 7 3" xfId="207" xr:uid="{B9986E2D-8ED5-4D14-B830-067780C85BB8}"/>
    <cellStyle name="標準 4 7 4" xfId="307" xr:uid="{5CF0D126-56E0-4519-9549-98EA7A161AA9}"/>
    <cellStyle name="標準 4 7 5" xfId="365" xr:uid="{F28A1ADE-8A1A-42B2-8A93-2E89CB46C764}"/>
    <cellStyle name="標準 4 7 6" xfId="149" xr:uid="{DB491055-3841-4EE6-901B-04F2EF00E611}"/>
    <cellStyle name="標準 4 8" xfId="83" xr:uid="{3CB8C019-C816-435A-86F8-D4050F135867}"/>
    <cellStyle name="標準 4 8 2" xfId="245" xr:uid="{24DE3B68-7468-4216-B6BB-264B84D9D582}"/>
    <cellStyle name="標準 4 8 3" xfId="403" xr:uid="{30C599F4-8ADB-4A5A-8BF3-4EA2805308F5}"/>
    <cellStyle name="標準 4 8 4" xfId="129" xr:uid="{848E916C-3978-48E9-B9C4-99251FFFCCCD}"/>
    <cellStyle name="標準 4 9" xfId="85" xr:uid="{CF3995F6-68C5-4493-8EA5-EE1F560DCF01}"/>
    <cellStyle name="標準 4 9 2" xfId="405" xr:uid="{5A7196B4-480F-4AE4-B89F-A3EB1AE6F38A}"/>
    <cellStyle name="標準 4 9 3" xfId="247" xr:uid="{45ECE186-12FF-4DB7-AA9E-683F81845852}"/>
  </cellStyles>
  <dxfs count="0"/>
  <tableStyles count="1" defaultTableStyle="TableStyleMedium2" defaultPivotStyle="PivotStyleMedium9">
    <tableStyle name="Invisible" pivot="0" table="0" count="0" xr9:uid="{B5224B0C-4BC6-47D5-B10C-E15A65129FAC}"/>
  </tableStyles>
  <colors>
    <mruColors>
      <color rgb="FF0000FF"/>
      <color rgb="FFCCFFFF"/>
      <color rgb="FFFFCCFF"/>
      <color rgb="FFFFCC99"/>
      <color rgb="FFFFCC00"/>
      <color rgb="FFFF9933"/>
      <color rgb="FFFF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その他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まとめ!$D$2</c:f>
              <c:strCache>
                <c:ptCount val="1"/>
                <c:pt idx="0">
                  <c:v>売上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まとめ!$E$1:$P$1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まとめ!$E$2:$P$2</c:f>
              <c:numCache>
                <c:formatCode>"¥"#,##0_);[Red]\("¥"#,##0\)</c:formatCode>
                <c:ptCount val="12"/>
                <c:pt idx="0">
                  <c:v>24106655</c:v>
                </c:pt>
                <c:pt idx="1">
                  <c:v>23112898</c:v>
                </c:pt>
                <c:pt idx="2">
                  <c:v>23401232</c:v>
                </c:pt>
                <c:pt idx="3">
                  <c:v>23014084</c:v>
                </c:pt>
                <c:pt idx="4">
                  <c:v>22947961</c:v>
                </c:pt>
                <c:pt idx="5">
                  <c:v>23155345</c:v>
                </c:pt>
                <c:pt idx="6">
                  <c:v>25958629</c:v>
                </c:pt>
                <c:pt idx="7">
                  <c:v>24902172</c:v>
                </c:pt>
                <c:pt idx="8">
                  <c:v>25337300</c:v>
                </c:pt>
                <c:pt idx="9">
                  <c:v>25216708</c:v>
                </c:pt>
                <c:pt idx="10">
                  <c:v>24694123</c:v>
                </c:pt>
                <c:pt idx="11">
                  <c:v>26244945.555555556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B-43BA-BC3A-6CD0E5CFBF14}"/>
            </c:ext>
          </c:extLst>
        </c:ser>
        <c:ser>
          <c:idx val="1"/>
          <c:order val="1"/>
          <c:tx>
            <c:strRef>
              <c:f>まとめ!$D$3</c:f>
              <c:strCache>
                <c:ptCount val="1"/>
                <c:pt idx="0">
                  <c:v>仕入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まとめ!$E$1:$P$1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まとめ!$E$3:$P$3</c:f>
              <c:numCache>
                <c:formatCode>"¥"#,##0_);[Red]\("¥"#,##0\)</c:formatCode>
                <c:ptCount val="12"/>
                <c:pt idx="0">
                  <c:v>18425351</c:v>
                </c:pt>
                <c:pt idx="1">
                  <c:v>17622177</c:v>
                </c:pt>
                <c:pt idx="2">
                  <c:v>17764506</c:v>
                </c:pt>
                <c:pt idx="3">
                  <c:v>17979492</c:v>
                </c:pt>
                <c:pt idx="4">
                  <c:v>17777157.033199564</c:v>
                </c:pt>
                <c:pt idx="5">
                  <c:v>17800128.659998834</c:v>
                </c:pt>
                <c:pt idx="6">
                  <c:v>20061534.749039352</c:v>
                </c:pt>
                <c:pt idx="7">
                  <c:v>19629756.090121318</c:v>
                </c:pt>
                <c:pt idx="8">
                  <c:v>20398597.119255483</c:v>
                </c:pt>
                <c:pt idx="9">
                  <c:v>19894036.138122022</c:v>
                </c:pt>
                <c:pt idx="10">
                  <c:v>19645005.145006016</c:v>
                </c:pt>
                <c:pt idx="11">
                  <c:v>20655609.444444444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B-43BA-BC3A-6CD0E5CFBF14}"/>
            </c:ext>
          </c:extLst>
        </c:ser>
        <c:ser>
          <c:idx val="2"/>
          <c:order val="2"/>
          <c:tx>
            <c:strRef>
              <c:f>まとめ!$D$4</c:f>
              <c:strCache>
                <c:ptCount val="1"/>
                <c:pt idx="0">
                  <c:v>粗利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ja-JP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まとめ!$E$1:$P$1</c:f>
              <c:strCache>
                <c:ptCount val="12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</c:strCache>
            </c:strRef>
          </c:cat>
          <c:val>
            <c:numRef>
              <c:f>まとめ!$E$4:$P$4</c:f>
              <c:numCache>
                <c:formatCode>"¥"#,##0_);[Red]\("¥"#,##0\)</c:formatCode>
                <c:ptCount val="12"/>
                <c:pt idx="0">
                  <c:v>5681304</c:v>
                </c:pt>
                <c:pt idx="1">
                  <c:v>5490721</c:v>
                </c:pt>
                <c:pt idx="2">
                  <c:v>5636726</c:v>
                </c:pt>
                <c:pt idx="3">
                  <c:v>5034592</c:v>
                </c:pt>
                <c:pt idx="4">
                  <c:v>5170803.9668004364</c:v>
                </c:pt>
                <c:pt idx="5">
                  <c:v>5355216.3400011659</c:v>
                </c:pt>
                <c:pt idx="6">
                  <c:v>5897094.2509606481</c:v>
                </c:pt>
                <c:pt idx="7">
                  <c:v>5272415.9098786823</c:v>
                </c:pt>
                <c:pt idx="8">
                  <c:v>4938702.8807445168</c:v>
                </c:pt>
                <c:pt idx="9">
                  <c:v>5322671.8618779778</c:v>
                </c:pt>
                <c:pt idx="10">
                  <c:v>5049117.8549939841</c:v>
                </c:pt>
                <c:pt idx="11">
                  <c:v>5589336.1111111119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2B-43BA-BC3A-6CD0E5CFBF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24950256"/>
        <c:axId val="524945944"/>
      </c:lineChart>
      <c:catAx>
        <c:axId val="52495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4945944"/>
        <c:crosses val="autoZero"/>
        <c:auto val="1"/>
        <c:lblAlgn val="ctr"/>
        <c:lblOffset val="100"/>
        <c:noMultiLvlLbl val="0"/>
      </c:catAx>
      <c:valAx>
        <c:axId val="52494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_);[Red]\(&quot;¥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495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0</xdr:row>
      <xdr:rowOff>152408</xdr:rowOff>
    </xdr:from>
    <xdr:to>
      <xdr:col>19</xdr:col>
      <xdr:colOff>601980</xdr:colOff>
      <xdr:row>32</xdr:row>
      <xdr:rowOff>22860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F35F25-A9F6-48BA-A56A-D5E7E934C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361950</xdr:colOff>
      <xdr:row>358</xdr:row>
      <xdr:rowOff>76200</xdr:rowOff>
    </xdr:from>
    <xdr:to>
      <xdr:col>14</xdr:col>
      <xdr:colOff>590549</xdr:colOff>
      <xdr:row>360</xdr:row>
      <xdr:rowOff>95251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6B20584-AFE3-825B-283E-F694F3AFE9B7}"/>
            </a:ext>
          </a:extLst>
        </xdr:cNvPr>
        <xdr:cNvSpPr txBox="1"/>
      </xdr:nvSpPr>
      <xdr:spPr>
        <a:xfrm>
          <a:off x="7572375" y="51558825"/>
          <a:ext cx="2914649" cy="323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月総稼働時間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/>
            <a:t>東陽テクニカ稼働時間で算出</a:t>
          </a:r>
        </a:p>
      </xdr:txBody>
    </xdr:sp>
    <xdr:clientData/>
  </xdr:twoCellAnchor>
  <xdr:twoCellAnchor>
    <xdr:from>
      <xdr:col>13</xdr:col>
      <xdr:colOff>438150</xdr:colOff>
      <xdr:row>370</xdr:row>
      <xdr:rowOff>66675</xdr:rowOff>
    </xdr:from>
    <xdr:to>
      <xdr:col>16</xdr:col>
      <xdr:colOff>666749</xdr:colOff>
      <xdr:row>372</xdr:row>
      <xdr:rowOff>85726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7A9957B-E104-4CD8-A3EC-C693FC9A3DA7}"/>
            </a:ext>
          </a:extLst>
        </xdr:cNvPr>
        <xdr:cNvSpPr txBox="1"/>
      </xdr:nvSpPr>
      <xdr:spPr>
        <a:xfrm>
          <a:off x="9439275" y="53387625"/>
          <a:ext cx="2914649" cy="323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月総稼働時間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東陽テクニカ稼働時間で算出</a:t>
          </a:r>
          <a:endParaRPr lang="ja-JP" altLang="ja-JP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25"/>
  <sheetViews>
    <sheetView showGridLines="0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C1"/>
    </sheetView>
  </sheetViews>
  <sheetFormatPr defaultRowHeight="13"/>
  <cols>
    <col min="1" max="1" width="8.08984375" style="8" customWidth="1"/>
    <col min="2" max="3" width="8.08984375" style="138" customWidth="1"/>
    <col min="4" max="4" width="10.08984375" style="12" customWidth="1"/>
    <col min="5" max="16" width="13.90625" style="12" customWidth="1"/>
    <col min="17" max="17" width="17.90625" style="12" customWidth="1"/>
    <col min="18" max="18" width="9" style="12"/>
    <col min="19" max="19" width="9" style="2"/>
    <col min="20" max="20" width="11" style="2" bestFit="1" customWidth="1"/>
    <col min="21" max="249" width="9" style="2"/>
    <col min="250" max="250" width="9.90625" style="2" customWidth="1"/>
    <col min="251" max="252" width="5.08984375" style="2" customWidth="1"/>
    <col min="253" max="253" width="9.6328125" style="2" customWidth="1"/>
    <col min="254" max="255" width="11.90625" style="2" customWidth="1"/>
    <col min="256" max="256" width="15.36328125" style="2" customWidth="1"/>
    <col min="257" max="257" width="10.90625" style="2" customWidth="1"/>
    <col min="258" max="268" width="13.36328125" style="2" customWidth="1"/>
    <col min="269" max="269" width="13.90625" style="2" customWidth="1"/>
    <col min="270" max="270" width="16.453125" style="2" customWidth="1"/>
    <col min="271" max="505" width="9" style="2"/>
    <col min="506" max="506" width="9.90625" style="2" customWidth="1"/>
    <col min="507" max="508" width="5.08984375" style="2" customWidth="1"/>
    <col min="509" max="509" width="9.6328125" style="2" customWidth="1"/>
    <col min="510" max="511" width="11.90625" style="2" customWidth="1"/>
    <col min="512" max="512" width="15.36328125" style="2" customWidth="1"/>
    <col min="513" max="513" width="10.90625" style="2" customWidth="1"/>
    <col min="514" max="524" width="13.36328125" style="2" customWidth="1"/>
    <col min="525" max="525" width="13.90625" style="2" customWidth="1"/>
    <col min="526" max="526" width="16.453125" style="2" customWidth="1"/>
    <col min="527" max="761" width="9" style="2"/>
    <col min="762" max="762" width="9.90625" style="2" customWidth="1"/>
    <col min="763" max="764" width="5.08984375" style="2" customWidth="1"/>
    <col min="765" max="765" width="9.6328125" style="2" customWidth="1"/>
    <col min="766" max="767" width="11.90625" style="2" customWidth="1"/>
    <col min="768" max="768" width="15.36328125" style="2" customWidth="1"/>
    <col min="769" max="769" width="10.90625" style="2" customWidth="1"/>
    <col min="770" max="780" width="13.36328125" style="2" customWidth="1"/>
    <col min="781" max="781" width="13.90625" style="2" customWidth="1"/>
    <col min="782" max="782" width="16.453125" style="2" customWidth="1"/>
    <col min="783" max="1017" width="9" style="2"/>
    <col min="1018" max="1018" width="9.90625" style="2" customWidth="1"/>
    <col min="1019" max="1020" width="5.08984375" style="2" customWidth="1"/>
    <col min="1021" max="1021" width="9.6328125" style="2" customWidth="1"/>
    <col min="1022" max="1023" width="11.90625" style="2" customWidth="1"/>
    <col min="1024" max="1024" width="15.36328125" style="2" customWidth="1"/>
    <col min="1025" max="1025" width="10.90625" style="2" customWidth="1"/>
    <col min="1026" max="1036" width="13.36328125" style="2" customWidth="1"/>
    <col min="1037" max="1037" width="13.90625" style="2" customWidth="1"/>
    <col min="1038" max="1038" width="16.453125" style="2" customWidth="1"/>
    <col min="1039" max="1273" width="9" style="2"/>
    <col min="1274" max="1274" width="9.90625" style="2" customWidth="1"/>
    <col min="1275" max="1276" width="5.08984375" style="2" customWidth="1"/>
    <col min="1277" max="1277" width="9.6328125" style="2" customWidth="1"/>
    <col min="1278" max="1279" width="11.90625" style="2" customWidth="1"/>
    <col min="1280" max="1280" width="15.36328125" style="2" customWidth="1"/>
    <col min="1281" max="1281" width="10.90625" style="2" customWidth="1"/>
    <col min="1282" max="1292" width="13.36328125" style="2" customWidth="1"/>
    <col min="1293" max="1293" width="13.90625" style="2" customWidth="1"/>
    <col min="1294" max="1294" width="16.453125" style="2" customWidth="1"/>
    <col min="1295" max="1529" width="9" style="2"/>
    <col min="1530" max="1530" width="9.90625" style="2" customWidth="1"/>
    <col min="1531" max="1532" width="5.08984375" style="2" customWidth="1"/>
    <col min="1533" max="1533" width="9.6328125" style="2" customWidth="1"/>
    <col min="1534" max="1535" width="11.90625" style="2" customWidth="1"/>
    <col min="1536" max="1536" width="15.36328125" style="2" customWidth="1"/>
    <col min="1537" max="1537" width="10.90625" style="2" customWidth="1"/>
    <col min="1538" max="1548" width="13.36328125" style="2" customWidth="1"/>
    <col min="1549" max="1549" width="13.90625" style="2" customWidth="1"/>
    <col min="1550" max="1550" width="16.453125" style="2" customWidth="1"/>
    <col min="1551" max="1785" width="9" style="2"/>
    <col min="1786" max="1786" width="9.90625" style="2" customWidth="1"/>
    <col min="1787" max="1788" width="5.08984375" style="2" customWidth="1"/>
    <col min="1789" max="1789" width="9.6328125" style="2" customWidth="1"/>
    <col min="1790" max="1791" width="11.90625" style="2" customWidth="1"/>
    <col min="1792" max="1792" width="15.36328125" style="2" customWidth="1"/>
    <col min="1793" max="1793" width="10.90625" style="2" customWidth="1"/>
    <col min="1794" max="1804" width="13.36328125" style="2" customWidth="1"/>
    <col min="1805" max="1805" width="13.90625" style="2" customWidth="1"/>
    <col min="1806" max="1806" width="16.453125" style="2" customWidth="1"/>
    <col min="1807" max="2041" width="9" style="2"/>
    <col min="2042" max="2042" width="9.90625" style="2" customWidth="1"/>
    <col min="2043" max="2044" width="5.08984375" style="2" customWidth="1"/>
    <col min="2045" max="2045" width="9.6328125" style="2" customWidth="1"/>
    <col min="2046" max="2047" width="11.90625" style="2" customWidth="1"/>
    <col min="2048" max="2048" width="15.36328125" style="2" customWidth="1"/>
    <col min="2049" max="2049" width="10.90625" style="2" customWidth="1"/>
    <col min="2050" max="2060" width="13.36328125" style="2" customWidth="1"/>
    <col min="2061" max="2061" width="13.90625" style="2" customWidth="1"/>
    <col min="2062" max="2062" width="16.453125" style="2" customWidth="1"/>
    <col min="2063" max="2297" width="9" style="2"/>
    <col min="2298" max="2298" width="9.90625" style="2" customWidth="1"/>
    <col min="2299" max="2300" width="5.08984375" style="2" customWidth="1"/>
    <col min="2301" max="2301" width="9.6328125" style="2" customWidth="1"/>
    <col min="2302" max="2303" width="11.90625" style="2" customWidth="1"/>
    <col min="2304" max="2304" width="15.36328125" style="2" customWidth="1"/>
    <col min="2305" max="2305" width="10.90625" style="2" customWidth="1"/>
    <col min="2306" max="2316" width="13.36328125" style="2" customWidth="1"/>
    <col min="2317" max="2317" width="13.90625" style="2" customWidth="1"/>
    <col min="2318" max="2318" width="16.453125" style="2" customWidth="1"/>
    <col min="2319" max="2553" width="9" style="2"/>
    <col min="2554" max="2554" width="9.90625" style="2" customWidth="1"/>
    <col min="2555" max="2556" width="5.08984375" style="2" customWidth="1"/>
    <col min="2557" max="2557" width="9.6328125" style="2" customWidth="1"/>
    <col min="2558" max="2559" width="11.90625" style="2" customWidth="1"/>
    <col min="2560" max="2560" width="15.36328125" style="2" customWidth="1"/>
    <col min="2561" max="2561" width="10.90625" style="2" customWidth="1"/>
    <col min="2562" max="2572" width="13.36328125" style="2" customWidth="1"/>
    <col min="2573" max="2573" width="13.90625" style="2" customWidth="1"/>
    <col min="2574" max="2574" width="16.453125" style="2" customWidth="1"/>
    <col min="2575" max="2809" width="9" style="2"/>
    <col min="2810" max="2810" width="9.90625" style="2" customWidth="1"/>
    <col min="2811" max="2812" width="5.08984375" style="2" customWidth="1"/>
    <col min="2813" max="2813" width="9.6328125" style="2" customWidth="1"/>
    <col min="2814" max="2815" width="11.90625" style="2" customWidth="1"/>
    <col min="2816" max="2816" width="15.36328125" style="2" customWidth="1"/>
    <col min="2817" max="2817" width="10.90625" style="2" customWidth="1"/>
    <col min="2818" max="2828" width="13.36328125" style="2" customWidth="1"/>
    <col min="2829" max="2829" width="13.90625" style="2" customWidth="1"/>
    <col min="2830" max="2830" width="16.453125" style="2" customWidth="1"/>
    <col min="2831" max="3065" width="9" style="2"/>
    <col min="3066" max="3066" width="9.90625" style="2" customWidth="1"/>
    <col min="3067" max="3068" width="5.08984375" style="2" customWidth="1"/>
    <col min="3069" max="3069" width="9.6328125" style="2" customWidth="1"/>
    <col min="3070" max="3071" width="11.90625" style="2" customWidth="1"/>
    <col min="3072" max="3072" width="15.36328125" style="2" customWidth="1"/>
    <col min="3073" max="3073" width="10.90625" style="2" customWidth="1"/>
    <col min="3074" max="3084" width="13.36328125" style="2" customWidth="1"/>
    <col min="3085" max="3085" width="13.90625" style="2" customWidth="1"/>
    <col min="3086" max="3086" width="16.453125" style="2" customWidth="1"/>
    <col min="3087" max="3321" width="9" style="2"/>
    <col min="3322" max="3322" width="9.90625" style="2" customWidth="1"/>
    <col min="3323" max="3324" width="5.08984375" style="2" customWidth="1"/>
    <col min="3325" max="3325" width="9.6328125" style="2" customWidth="1"/>
    <col min="3326" max="3327" width="11.90625" style="2" customWidth="1"/>
    <col min="3328" max="3328" width="15.36328125" style="2" customWidth="1"/>
    <col min="3329" max="3329" width="10.90625" style="2" customWidth="1"/>
    <col min="3330" max="3340" width="13.36328125" style="2" customWidth="1"/>
    <col min="3341" max="3341" width="13.90625" style="2" customWidth="1"/>
    <col min="3342" max="3342" width="16.453125" style="2" customWidth="1"/>
    <col min="3343" max="3577" width="9" style="2"/>
    <col min="3578" max="3578" width="9.90625" style="2" customWidth="1"/>
    <col min="3579" max="3580" width="5.08984375" style="2" customWidth="1"/>
    <col min="3581" max="3581" width="9.6328125" style="2" customWidth="1"/>
    <col min="3582" max="3583" width="11.90625" style="2" customWidth="1"/>
    <col min="3584" max="3584" width="15.36328125" style="2" customWidth="1"/>
    <col min="3585" max="3585" width="10.90625" style="2" customWidth="1"/>
    <col min="3586" max="3596" width="13.36328125" style="2" customWidth="1"/>
    <col min="3597" max="3597" width="13.90625" style="2" customWidth="1"/>
    <col min="3598" max="3598" width="16.453125" style="2" customWidth="1"/>
    <col min="3599" max="3833" width="9" style="2"/>
    <col min="3834" max="3834" width="9.90625" style="2" customWidth="1"/>
    <col min="3835" max="3836" width="5.08984375" style="2" customWidth="1"/>
    <col min="3837" max="3837" width="9.6328125" style="2" customWidth="1"/>
    <col min="3838" max="3839" width="11.90625" style="2" customWidth="1"/>
    <col min="3840" max="3840" width="15.36328125" style="2" customWidth="1"/>
    <col min="3841" max="3841" width="10.90625" style="2" customWidth="1"/>
    <col min="3842" max="3852" width="13.36328125" style="2" customWidth="1"/>
    <col min="3853" max="3853" width="13.90625" style="2" customWidth="1"/>
    <col min="3854" max="3854" width="16.453125" style="2" customWidth="1"/>
    <col min="3855" max="4089" width="9" style="2"/>
    <col min="4090" max="4090" width="9.90625" style="2" customWidth="1"/>
    <col min="4091" max="4092" width="5.08984375" style="2" customWidth="1"/>
    <col min="4093" max="4093" width="9.6328125" style="2" customWidth="1"/>
    <col min="4094" max="4095" width="11.90625" style="2" customWidth="1"/>
    <col min="4096" max="4096" width="15.36328125" style="2" customWidth="1"/>
    <col min="4097" max="4097" width="10.90625" style="2" customWidth="1"/>
    <col min="4098" max="4108" width="13.36328125" style="2" customWidth="1"/>
    <col min="4109" max="4109" width="13.90625" style="2" customWidth="1"/>
    <col min="4110" max="4110" width="16.453125" style="2" customWidth="1"/>
    <col min="4111" max="4345" width="9" style="2"/>
    <col min="4346" max="4346" width="9.90625" style="2" customWidth="1"/>
    <col min="4347" max="4348" width="5.08984375" style="2" customWidth="1"/>
    <col min="4349" max="4349" width="9.6328125" style="2" customWidth="1"/>
    <col min="4350" max="4351" width="11.90625" style="2" customWidth="1"/>
    <col min="4352" max="4352" width="15.36328125" style="2" customWidth="1"/>
    <col min="4353" max="4353" width="10.90625" style="2" customWidth="1"/>
    <col min="4354" max="4364" width="13.36328125" style="2" customWidth="1"/>
    <col min="4365" max="4365" width="13.90625" style="2" customWidth="1"/>
    <col min="4366" max="4366" width="16.453125" style="2" customWidth="1"/>
    <col min="4367" max="4601" width="9" style="2"/>
    <col min="4602" max="4602" width="9.90625" style="2" customWidth="1"/>
    <col min="4603" max="4604" width="5.08984375" style="2" customWidth="1"/>
    <col min="4605" max="4605" width="9.6328125" style="2" customWidth="1"/>
    <col min="4606" max="4607" width="11.90625" style="2" customWidth="1"/>
    <col min="4608" max="4608" width="15.36328125" style="2" customWidth="1"/>
    <col min="4609" max="4609" width="10.90625" style="2" customWidth="1"/>
    <col min="4610" max="4620" width="13.36328125" style="2" customWidth="1"/>
    <col min="4621" max="4621" width="13.90625" style="2" customWidth="1"/>
    <col min="4622" max="4622" width="16.453125" style="2" customWidth="1"/>
    <col min="4623" max="4857" width="9" style="2"/>
    <col min="4858" max="4858" width="9.90625" style="2" customWidth="1"/>
    <col min="4859" max="4860" width="5.08984375" style="2" customWidth="1"/>
    <col min="4861" max="4861" width="9.6328125" style="2" customWidth="1"/>
    <col min="4862" max="4863" width="11.90625" style="2" customWidth="1"/>
    <col min="4864" max="4864" width="15.36328125" style="2" customWidth="1"/>
    <col min="4865" max="4865" width="10.90625" style="2" customWidth="1"/>
    <col min="4866" max="4876" width="13.36328125" style="2" customWidth="1"/>
    <col min="4877" max="4877" width="13.90625" style="2" customWidth="1"/>
    <col min="4878" max="4878" width="16.453125" style="2" customWidth="1"/>
    <col min="4879" max="5113" width="9" style="2"/>
    <col min="5114" max="5114" width="9.90625" style="2" customWidth="1"/>
    <col min="5115" max="5116" width="5.08984375" style="2" customWidth="1"/>
    <col min="5117" max="5117" width="9.6328125" style="2" customWidth="1"/>
    <col min="5118" max="5119" width="11.90625" style="2" customWidth="1"/>
    <col min="5120" max="5120" width="15.36328125" style="2" customWidth="1"/>
    <col min="5121" max="5121" width="10.90625" style="2" customWidth="1"/>
    <col min="5122" max="5132" width="13.36328125" style="2" customWidth="1"/>
    <col min="5133" max="5133" width="13.90625" style="2" customWidth="1"/>
    <col min="5134" max="5134" width="16.453125" style="2" customWidth="1"/>
    <col min="5135" max="5369" width="9" style="2"/>
    <col min="5370" max="5370" width="9.90625" style="2" customWidth="1"/>
    <col min="5371" max="5372" width="5.08984375" style="2" customWidth="1"/>
    <col min="5373" max="5373" width="9.6328125" style="2" customWidth="1"/>
    <col min="5374" max="5375" width="11.90625" style="2" customWidth="1"/>
    <col min="5376" max="5376" width="15.36328125" style="2" customWidth="1"/>
    <col min="5377" max="5377" width="10.90625" style="2" customWidth="1"/>
    <col min="5378" max="5388" width="13.36328125" style="2" customWidth="1"/>
    <col min="5389" max="5389" width="13.90625" style="2" customWidth="1"/>
    <col min="5390" max="5390" width="16.453125" style="2" customWidth="1"/>
    <col min="5391" max="5625" width="9" style="2"/>
    <col min="5626" max="5626" width="9.90625" style="2" customWidth="1"/>
    <col min="5627" max="5628" width="5.08984375" style="2" customWidth="1"/>
    <col min="5629" max="5629" width="9.6328125" style="2" customWidth="1"/>
    <col min="5630" max="5631" width="11.90625" style="2" customWidth="1"/>
    <col min="5632" max="5632" width="15.36328125" style="2" customWidth="1"/>
    <col min="5633" max="5633" width="10.90625" style="2" customWidth="1"/>
    <col min="5634" max="5644" width="13.36328125" style="2" customWidth="1"/>
    <col min="5645" max="5645" width="13.90625" style="2" customWidth="1"/>
    <col min="5646" max="5646" width="16.453125" style="2" customWidth="1"/>
    <col min="5647" max="5881" width="9" style="2"/>
    <col min="5882" max="5882" width="9.90625" style="2" customWidth="1"/>
    <col min="5883" max="5884" width="5.08984375" style="2" customWidth="1"/>
    <col min="5885" max="5885" width="9.6328125" style="2" customWidth="1"/>
    <col min="5886" max="5887" width="11.90625" style="2" customWidth="1"/>
    <col min="5888" max="5888" width="15.36328125" style="2" customWidth="1"/>
    <col min="5889" max="5889" width="10.90625" style="2" customWidth="1"/>
    <col min="5890" max="5900" width="13.36328125" style="2" customWidth="1"/>
    <col min="5901" max="5901" width="13.90625" style="2" customWidth="1"/>
    <col min="5902" max="5902" width="16.453125" style="2" customWidth="1"/>
    <col min="5903" max="6137" width="9" style="2"/>
    <col min="6138" max="6138" width="9.90625" style="2" customWidth="1"/>
    <col min="6139" max="6140" width="5.08984375" style="2" customWidth="1"/>
    <col min="6141" max="6141" width="9.6328125" style="2" customWidth="1"/>
    <col min="6142" max="6143" width="11.90625" style="2" customWidth="1"/>
    <col min="6144" max="6144" width="15.36328125" style="2" customWidth="1"/>
    <col min="6145" max="6145" width="10.90625" style="2" customWidth="1"/>
    <col min="6146" max="6156" width="13.36328125" style="2" customWidth="1"/>
    <col min="6157" max="6157" width="13.90625" style="2" customWidth="1"/>
    <col min="6158" max="6158" width="16.453125" style="2" customWidth="1"/>
    <col min="6159" max="6393" width="9" style="2"/>
    <col min="6394" max="6394" width="9.90625" style="2" customWidth="1"/>
    <col min="6395" max="6396" width="5.08984375" style="2" customWidth="1"/>
    <col min="6397" max="6397" width="9.6328125" style="2" customWidth="1"/>
    <col min="6398" max="6399" width="11.90625" style="2" customWidth="1"/>
    <col min="6400" max="6400" width="15.36328125" style="2" customWidth="1"/>
    <col min="6401" max="6401" width="10.90625" style="2" customWidth="1"/>
    <col min="6402" max="6412" width="13.36328125" style="2" customWidth="1"/>
    <col min="6413" max="6413" width="13.90625" style="2" customWidth="1"/>
    <col min="6414" max="6414" width="16.453125" style="2" customWidth="1"/>
    <col min="6415" max="6649" width="9" style="2"/>
    <col min="6650" max="6650" width="9.90625" style="2" customWidth="1"/>
    <col min="6651" max="6652" width="5.08984375" style="2" customWidth="1"/>
    <col min="6653" max="6653" width="9.6328125" style="2" customWidth="1"/>
    <col min="6654" max="6655" width="11.90625" style="2" customWidth="1"/>
    <col min="6656" max="6656" width="15.36328125" style="2" customWidth="1"/>
    <col min="6657" max="6657" width="10.90625" style="2" customWidth="1"/>
    <col min="6658" max="6668" width="13.36328125" style="2" customWidth="1"/>
    <col min="6669" max="6669" width="13.90625" style="2" customWidth="1"/>
    <col min="6670" max="6670" width="16.453125" style="2" customWidth="1"/>
    <col min="6671" max="6905" width="9" style="2"/>
    <col min="6906" max="6906" width="9.90625" style="2" customWidth="1"/>
    <col min="6907" max="6908" width="5.08984375" style="2" customWidth="1"/>
    <col min="6909" max="6909" width="9.6328125" style="2" customWidth="1"/>
    <col min="6910" max="6911" width="11.90625" style="2" customWidth="1"/>
    <col min="6912" max="6912" width="15.36328125" style="2" customWidth="1"/>
    <col min="6913" max="6913" width="10.90625" style="2" customWidth="1"/>
    <col min="6914" max="6924" width="13.36328125" style="2" customWidth="1"/>
    <col min="6925" max="6925" width="13.90625" style="2" customWidth="1"/>
    <col min="6926" max="6926" width="16.453125" style="2" customWidth="1"/>
    <col min="6927" max="7161" width="9" style="2"/>
    <col min="7162" max="7162" width="9.90625" style="2" customWidth="1"/>
    <col min="7163" max="7164" width="5.08984375" style="2" customWidth="1"/>
    <col min="7165" max="7165" width="9.6328125" style="2" customWidth="1"/>
    <col min="7166" max="7167" width="11.90625" style="2" customWidth="1"/>
    <col min="7168" max="7168" width="15.36328125" style="2" customWidth="1"/>
    <col min="7169" max="7169" width="10.90625" style="2" customWidth="1"/>
    <col min="7170" max="7180" width="13.36328125" style="2" customWidth="1"/>
    <col min="7181" max="7181" width="13.90625" style="2" customWidth="1"/>
    <col min="7182" max="7182" width="16.453125" style="2" customWidth="1"/>
    <col min="7183" max="7417" width="9" style="2"/>
    <col min="7418" max="7418" width="9.90625" style="2" customWidth="1"/>
    <col min="7419" max="7420" width="5.08984375" style="2" customWidth="1"/>
    <col min="7421" max="7421" width="9.6328125" style="2" customWidth="1"/>
    <col min="7422" max="7423" width="11.90625" style="2" customWidth="1"/>
    <col min="7424" max="7424" width="15.36328125" style="2" customWidth="1"/>
    <col min="7425" max="7425" width="10.90625" style="2" customWidth="1"/>
    <col min="7426" max="7436" width="13.36328125" style="2" customWidth="1"/>
    <col min="7437" max="7437" width="13.90625" style="2" customWidth="1"/>
    <col min="7438" max="7438" width="16.453125" style="2" customWidth="1"/>
    <col min="7439" max="7673" width="9" style="2"/>
    <col min="7674" max="7674" width="9.90625" style="2" customWidth="1"/>
    <col min="7675" max="7676" width="5.08984375" style="2" customWidth="1"/>
    <col min="7677" max="7677" width="9.6328125" style="2" customWidth="1"/>
    <col min="7678" max="7679" width="11.90625" style="2" customWidth="1"/>
    <col min="7680" max="7680" width="15.36328125" style="2" customWidth="1"/>
    <col min="7681" max="7681" width="10.90625" style="2" customWidth="1"/>
    <col min="7682" max="7692" width="13.36328125" style="2" customWidth="1"/>
    <col min="7693" max="7693" width="13.90625" style="2" customWidth="1"/>
    <col min="7694" max="7694" width="16.453125" style="2" customWidth="1"/>
    <col min="7695" max="7929" width="9" style="2"/>
    <col min="7930" max="7930" width="9.90625" style="2" customWidth="1"/>
    <col min="7931" max="7932" width="5.08984375" style="2" customWidth="1"/>
    <col min="7933" max="7933" width="9.6328125" style="2" customWidth="1"/>
    <col min="7934" max="7935" width="11.90625" style="2" customWidth="1"/>
    <col min="7936" max="7936" width="15.36328125" style="2" customWidth="1"/>
    <col min="7937" max="7937" width="10.90625" style="2" customWidth="1"/>
    <col min="7938" max="7948" width="13.36328125" style="2" customWidth="1"/>
    <col min="7949" max="7949" width="13.90625" style="2" customWidth="1"/>
    <col min="7950" max="7950" width="16.453125" style="2" customWidth="1"/>
    <col min="7951" max="8185" width="9" style="2"/>
    <col min="8186" max="8186" width="9.90625" style="2" customWidth="1"/>
    <col min="8187" max="8188" width="5.08984375" style="2" customWidth="1"/>
    <col min="8189" max="8189" width="9.6328125" style="2" customWidth="1"/>
    <col min="8190" max="8191" width="11.90625" style="2" customWidth="1"/>
    <col min="8192" max="8192" width="15.36328125" style="2" customWidth="1"/>
    <col min="8193" max="8193" width="10.90625" style="2" customWidth="1"/>
    <col min="8194" max="8204" width="13.36328125" style="2" customWidth="1"/>
    <col min="8205" max="8205" width="13.90625" style="2" customWidth="1"/>
    <col min="8206" max="8206" width="16.453125" style="2" customWidth="1"/>
    <col min="8207" max="8441" width="9" style="2"/>
    <col min="8442" max="8442" width="9.90625" style="2" customWidth="1"/>
    <col min="8443" max="8444" width="5.08984375" style="2" customWidth="1"/>
    <col min="8445" max="8445" width="9.6328125" style="2" customWidth="1"/>
    <col min="8446" max="8447" width="11.90625" style="2" customWidth="1"/>
    <col min="8448" max="8448" width="15.36328125" style="2" customWidth="1"/>
    <col min="8449" max="8449" width="10.90625" style="2" customWidth="1"/>
    <col min="8450" max="8460" width="13.36328125" style="2" customWidth="1"/>
    <col min="8461" max="8461" width="13.90625" style="2" customWidth="1"/>
    <col min="8462" max="8462" width="16.453125" style="2" customWidth="1"/>
    <col min="8463" max="8697" width="9" style="2"/>
    <col min="8698" max="8698" width="9.90625" style="2" customWidth="1"/>
    <col min="8699" max="8700" width="5.08984375" style="2" customWidth="1"/>
    <col min="8701" max="8701" width="9.6328125" style="2" customWidth="1"/>
    <col min="8702" max="8703" width="11.90625" style="2" customWidth="1"/>
    <col min="8704" max="8704" width="15.36328125" style="2" customWidth="1"/>
    <col min="8705" max="8705" width="10.90625" style="2" customWidth="1"/>
    <col min="8706" max="8716" width="13.36328125" style="2" customWidth="1"/>
    <col min="8717" max="8717" width="13.90625" style="2" customWidth="1"/>
    <col min="8718" max="8718" width="16.453125" style="2" customWidth="1"/>
    <col min="8719" max="8953" width="9" style="2"/>
    <col min="8954" max="8954" width="9.90625" style="2" customWidth="1"/>
    <col min="8955" max="8956" width="5.08984375" style="2" customWidth="1"/>
    <col min="8957" max="8957" width="9.6328125" style="2" customWidth="1"/>
    <col min="8958" max="8959" width="11.90625" style="2" customWidth="1"/>
    <col min="8960" max="8960" width="15.36328125" style="2" customWidth="1"/>
    <col min="8961" max="8961" width="10.90625" style="2" customWidth="1"/>
    <col min="8962" max="8972" width="13.36328125" style="2" customWidth="1"/>
    <col min="8973" max="8973" width="13.90625" style="2" customWidth="1"/>
    <col min="8974" max="8974" width="16.453125" style="2" customWidth="1"/>
    <col min="8975" max="9209" width="9" style="2"/>
    <col min="9210" max="9210" width="9.90625" style="2" customWidth="1"/>
    <col min="9211" max="9212" width="5.08984375" style="2" customWidth="1"/>
    <col min="9213" max="9213" width="9.6328125" style="2" customWidth="1"/>
    <col min="9214" max="9215" width="11.90625" style="2" customWidth="1"/>
    <col min="9216" max="9216" width="15.36328125" style="2" customWidth="1"/>
    <col min="9217" max="9217" width="10.90625" style="2" customWidth="1"/>
    <col min="9218" max="9228" width="13.36328125" style="2" customWidth="1"/>
    <col min="9229" max="9229" width="13.90625" style="2" customWidth="1"/>
    <col min="9230" max="9230" width="16.453125" style="2" customWidth="1"/>
    <col min="9231" max="9465" width="9" style="2"/>
    <col min="9466" max="9466" width="9.90625" style="2" customWidth="1"/>
    <col min="9467" max="9468" width="5.08984375" style="2" customWidth="1"/>
    <col min="9469" max="9469" width="9.6328125" style="2" customWidth="1"/>
    <col min="9470" max="9471" width="11.90625" style="2" customWidth="1"/>
    <col min="9472" max="9472" width="15.36328125" style="2" customWidth="1"/>
    <col min="9473" max="9473" width="10.90625" style="2" customWidth="1"/>
    <col min="9474" max="9484" width="13.36328125" style="2" customWidth="1"/>
    <col min="9485" max="9485" width="13.90625" style="2" customWidth="1"/>
    <col min="9486" max="9486" width="16.453125" style="2" customWidth="1"/>
    <col min="9487" max="9721" width="9" style="2"/>
    <col min="9722" max="9722" width="9.90625" style="2" customWidth="1"/>
    <col min="9723" max="9724" width="5.08984375" style="2" customWidth="1"/>
    <col min="9725" max="9725" width="9.6328125" style="2" customWidth="1"/>
    <col min="9726" max="9727" width="11.90625" style="2" customWidth="1"/>
    <col min="9728" max="9728" width="15.36328125" style="2" customWidth="1"/>
    <col min="9729" max="9729" width="10.90625" style="2" customWidth="1"/>
    <col min="9730" max="9740" width="13.36328125" style="2" customWidth="1"/>
    <col min="9741" max="9741" width="13.90625" style="2" customWidth="1"/>
    <col min="9742" max="9742" width="16.453125" style="2" customWidth="1"/>
    <col min="9743" max="9977" width="9" style="2"/>
    <col min="9978" max="9978" width="9.90625" style="2" customWidth="1"/>
    <col min="9979" max="9980" width="5.08984375" style="2" customWidth="1"/>
    <col min="9981" max="9981" width="9.6328125" style="2" customWidth="1"/>
    <col min="9982" max="9983" width="11.90625" style="2" customWidth="1"/>
    <col min="9984" max="9984" width="15.36328125" style="2" customWidth="1"/>
    <col min="9985" max="9985" width="10.90625" style="2" customWidth="1"/>
    <col min="9986" max="9996" width="13.36328125" style="2" customWidth="1"/>
    <col min="9997" max="9997" width="13.90625" style="2" customWidth="1"/>
    <col min="9998" max="9998" width="16.453125" style="2" customWidth="1"/>
    <col min="9999" max="10233" width="9" style="2"/>
    <col min="10234" max="10234" width="9.90625" style="2" customWidth="1"/>
    <col min="10235" max="10236" width="5.08984375" style="2" customWidth="1"/>
    <col min="10237" max="10237" width="9.6328125" style="2" customWidth="1"/>
    <col min="10238" max="10239" width="11.90625" style="2" customWidth="1"/>
    <col min="10240" max="10240" width="15.36328125" style="2" customWidth="1"/>
    <col min="10241" max="10241" width="10.90625" style="2" customWidth="1"/>
    <col min="10242" max="10252" width="13.36328125" style="2" customWidth="1"/>
    <col min="10253" max="10253" width="13.90625" style="2" customWidth="1"/>
    <col min="10254" max="10254" width="16.453125" style="2" customWidth="1"/>
    <col min="10255" max="10489" width="9" style="2"/>
    <col min="10490" max="10490" width="9.90625" style="2" customWidth="1"/>
    <col min="10491" max="10492" width="5.08984375" style="2" customWidth="1"/>
    <col min="10493" max="10493" width="9.6328125" style="2" customWidth="1"/>
    <col min="10494" max="10495" width="11.90625" style="2" customWidth="1"/>
    <col min="10496" max="10496" width="15.36328125" style="2" customWidth="1"/>
    <col min="10497" max="10497" width="10.90625" style="2" customWidth="1"/>
    <col min="10498" max="10508" width="13.36328125" style="2" customWidth="1"/>
    <col min="10509" max="10509" width="13.90625" style="2" customWidth="1"/>
    <col min="10510" max="10510" width="16.453125" style="2" customWidth="1"/>
    <col min="10511" max="10745" width="9" style="2"/>
    <col min="10746" max="10746" width="9.90625" style="2" customWidth="1"/>
    <col min="10747" max="10748" width="5.08984375" style="2" customWidth="1"/>
    <col min="10749" max="10749" width="9.6328125" style="2" customWidth="1"/>
    <col min="10750" max="10751" width="11.90625" style="2" customWidth="1"/>
    <col min="10752" max="10752" width="15.36328125" style="2" customWidth="1"/>
    <col min="10753" max="10753" width="10.90625" style="2" customWidth="1"/>
    <col min="10754" max="10764" width="13.36328125" style="2" customWidth="1"/>
    <col min="10765" max="10765" width="13.90625" style="2" customWidth="1"/>
    <col min="10766" max="10766" width="16.453125" style="2" customWidth="1"/>
    <col min="10767" max="11001" width="9" style="2"/>
    <col min="11002" max="11002" width="9.90625" style="2" customWidth="1"/>
    <col min="11003" max="11004" width="5.08984375" style="2" customWidth="1"/>
    <col min="11005" max="11005" width="9.6328125" style="2" customWidth="1"/>
    <col min="11006" max="11007" width="11.90625" style="2" customWidth="1"/>
    <col min="11008" max="11008" width="15.36328125" style="2" customWidth="1"/>
    <col min="11009" max="11009" width="10.90625" style="2" customWidth="1"/>
    <col min="11010" max="11020" width="13.36328125" style="2" customWidth="1"/>
    <col min="11021" max="11021" width="13.90625" style="2" customWidth="1"/>
    <col min="11022" max="11022" width="16.453125" style="2" customWidth="1"/>
    <col min="11023" max="11257" width="9" style="2"/>
    <col min="11258" max="11258" width="9.90625" style="2" customWidth="1"/>
    <col min="11259" max="11260" width="5.08984375" style="2" customWidth="1"/>
    <col min="11261" max="11261" width="9.6328125" style="2" customWidth="1"/>
    <col min="11262" max="11263" width="11.90625" style="2" customWidth="1"/>
    <col min="11264" max="11264" width="15.36328125" style="2" customWidth="1"/>
    <col min="11265" max="11265" width="10.90625" style="2" customWidth="1"/>
    <col min="11266" max="11276" width="13.36328125" style="2" customWidth="1"/>
    <col min="11277" max="11277" width="13.90625" style="2" customWidth="1"/>
    <col min="11278" max="11278" width="16.453125" style="2" customWidth="1"/>
    <col min="11279" max="11513" width="9" style="2"/>
    <col min="11514" max="11514" width="9.90625" style="2" customWidth="1"/>
    <col min="11515" max="11516" width="5.08984375" style="2" customWidth="1"/>
    <col min="11517" max="11517" width="9.6328125" style="2" customWidth="1"/>
    <col min="11518" max="11519" width="11.90625" style="2" customWidth="1"/>
    <col min="11520" max="11520" width="15.36328125" style="2" customWidth="1"/>
    <col min="11521" max="11521" width="10.90625" style="2" customWidth="1"/>
    <col min="11522" max="11532" width="13.36328125" style="2" customWidth="1"/>
    <col min="11533" max="11533" width="13.90625" style="2" customWidth="1"/>
    <col min="11534" max="11534" width="16.453125" style="2" customWidth="1"/>
    <col min="11535" max="11769" width="9" style="2"/>
    <col min="11770" max="11770" width="9.90625" style="2" customWidth="1"/>
    <col min="11771" max="11772" width="5.08984375" style="2" customWidth="1"/>
    <col min="11773" max="11773" width="9.6328125" style="2" customWidth="1"/>
    <col min="11774" max="11775" width="11.90625" style="2" customWidth="1"/>
    <col min="11776" max="11776" width="15.36328125" style="2" customWidth="1"/>
    <col min="11777" max="11777" width="10.90625" style="2" customWidth="1"/>
    <col min="11778" max="11788" width="13.36328125" style="2" customWidth="1"/>
    <col min="11789" max="11789" width="13.90625" style="2" customWidth="1"/>
    <col min="11790" max="11790" width="16.453125" style="2" customWidth="1"/>
    <col min="11791" max="12025" width="9" style="2"/>
    <col min="12026" max="12026" width="9.90625" style="2" customWidth="1"/>
    <col min="12027" max="12028" width="5.08984375" style="2" customWidth="1"/>
    <col min="12029" max="12029" width="9.6328125" style="2" customWidth="1"/>
    <col min="12030" max="12031" width="11.90625" style="2" customWidth="1"/>
    <col min="12032" max="12032" width="15.36328125" style="2" customWidth="1"/>
    <col min="12033" max="12033" width="10.90625" style="2" customWidth="1"/>
    <col min="12034" max="12044" width="13.36328125" style="2" customWidth="1"/>
    <col min="12045" max="12045" width="13.90625" style="2" customWidth="1"/>
    <col min="12046" max="12046" width="16.453125" style="2" customWidth="1"/>
    <col min="12047" max="12281" width="9" style="2"/>
    <col min="12282" max="12282" width="9.90625" style="2" customWidth="1"/>
    <col min="12283" max="12284" width="5.08984375" style="2" customWidth="1"/>
    <col min="12285" max="12285" width="9.6328125" style="2" customWidth="1"/>
    <col min="12286" max="12287" width="11.90625" style="2" customWidth="1"/>
    <col min="12288" max="12288" width="15.36328125" style="2" customWidth="1"/>
    <col min="12289" max="12289" width="10.90625" style="2" customWidth="1"/>
    <col min="12290" max="12300" width="13.36328125" style="2" customWidth="1"/>
    <col min="12301" max="12301" width="13.90625" style="2" customWidth="1"/>
    <col min="12302" max="12302" width="16.453125" style="2" customWidth="1"/>
    <col min="12303" max="12537" width="9" style="2"/>
    <col min="12538" max="12538" width="9.90625" style="2" customWidth="1"/>
    <col min="12539" max="12540" width="5.08984375" style="2" customWidth="1"/>
    <col min="12541" max="12541" width="9.6328125" style="2" customWidth="1"/>
    <col min="12542" max="12543" width="11.90625" style="2" customWidth="1"/>
    <col min="12544" max="12544" width="15.36328125" style="2" customWidth="1"/>
    <col min="12545" max="12545" width="10.90625" style="2" customWidth="1"/>
    <col min="12546" max="12556" width="13.36328125" style="2" customWidth="1"/>
    <col min="12557" max="12557" width="13.90625" style="2" customWidth="1"/>
    <col min="12558" max="12558" width="16.453125" style="2" customWidth="1"/>
    <col min="12559" max="12793" width="9" style="2"/>
    <col min="12794" max="12794" width="9.90625" style="2" customWidth="1"/>
    <col min="12795" max="12796" width="5.08984375" style="2" customWidth="1"/>
    <col min="12797" max="12797" width="9.6328125" style="2" customWidth="1"/>
    <col min="12798" max="12799" width="11.90625" style="2" customWidth="1"/>
    <col min="12800" max="12800" width="15.36328125" style="2" customWidth="1"/>
    <col min="12801" max="12801" width="10.90625" style="2" customWidth="1"/>
    <col min="12802" max="12812" width="13.36328125" style="2" customWidth="1"/>
    <col min="12813" max="12813" width="13.90625" style="2" customWidth="1"/>
    <col min="12814" max="12814" width="16.453125" style="2" customWidth="1"/>
    <col min="12815" max="13049" width="9" style="2"/>
    <col min="13050" max="13050" width="9.90625" style="2" customWidth="1"/>
    <col min="13051" max="13052" width="5.08984375" style="2" customWidth="1"/>
    <col min="13053" max="13053" width="9.6328125" style="2" customWidth="1"/>
    <col min="13054" max="13055" width="11.90625" style="2" customWidth="1"/>
    <col min="13056" max="13056" width="15.36328125" style="2" customWidth="1"/>
    <col min="13057" max="13057" width="10.90625" style="2" customWidth="1"/>
    <col min="13058" max="13068" width="13.36328125" style="2" customWidth="1"/>
    <col min="13069" max="13069" width="13.90625" style="2" customWidth="1"/>
    <col min="13070" max="13070" width="16.453125" style="2" customWidth="1"/>
    <col min="13071" max="13305" width="9" style="2"/>
    <col min="13306" max="13306" width="9.90625" style="2" customWidth="1"/>
    <col min="13307" max="13308" width="5.08984375" style="2" customWidth="1"/>
    <col min="13309" max="13309" width="9.6328125" style="2" customWidth="1"/>
    <col min="13310" max="13311" width="11.90625" style="2" customWidth="1"/>
    <col min="13312" max="13312" width="15.36328125" style="2" customWidth="1"/>
    <col min="13313" max="13313" width="10.90625" style="2" customWidth="1"/>
    <col min="13314" max="13324" width="13.36328125" style="2" customWidth="1"/>
    <col min="13325" max="13325" width="13.90625" style="2" customWidth="1"/>
    <col min="13326" max="13326" width="16.453125" style="2" customWidth="1"/>
    <col min="13327" max="13561" width="9" style="2"/>
    <col min="13562" max="13562" width="9.90625" style="2" customWidth="1"/>
    <col min="13563" max="13564" width="5.08984375" style="2" customWidth="1"/>
    <col min="13565" max="13565" width="9.6328125" style="2" customWidth="1"/>
    <col min="13566" max="13567" width="11.90625" style="2" customWidth="1"/>
    <col min="13568" max="13568" width="15.36328125" style="2" customWidth="1"/>
    <col min="13569" max="13569" width="10.90625" style="2" customWidth="1"/>
    <col min="13570" max="13580" width="13.36328125" style="2" customWidth="1"/>
    <col min="13581" max="13581" width="13.90625" style="2" customWidth="1"/>
    <col min="13582" max="13582" width="16.453125" style="2" customWidth="1"/>
    <col min="13583" max="13817" width="9" style="2"/>
    <col min="13818" max="13818" width="9.90625" style="2" customWidth="1"/>
    <col min="13819" max="13820" width="5.08984375" style="2" customWidth="1"/>
    <col min="13821" max="13821" width="9.6328125" style="2" customWidth="1"/>
    <col min="13822" max="13823" width="11.90625" style="2" customWidth="1"/>
    <col min="13824" max="13824" width="15.36328125" style="2" customWidth="1"/>
    <col min="13825" max="13825" width="10.90625" style="2" customWidth="1"/>
    <col min="13826" max="13836" width="13.36328125" style="2" customWidth="1"/>
    <col min="13837" max="13837" width="13.90625" style="2" customWidth="1"/>
    <col min="13838" max="13838" width="16.453125" style="2" customWidth="1"/>
    <col min="13839" max="14073" width="9" style="2"/>
    <col min="14074" max="14074" width="9.90625" style="2" customWidth="1"/>
    <col min="14075" max="14076" width="5.08984375" style="2" customWidth="1"/>
    <col min="14077" max="14077" width="9.6328125" style="2" customWidth="1"/>
    <col min="14078" max="14079" width="11.90625" style="2" customWidth="1"/>
    <col min="14080" max="14080" width="15.36328125" style="2" customWidth="1"/>
    <col min="14081" max="14081" width="10.90625" style="2" customWidth="1"/>
    <col min="14082" max="14092" width="13.36328125" style="2" customWidth="1"/>
    <col min="14093" max="14093" width="13.90625" style="2" customWidth="1"/>
    <col min="14094" max="14094" width="16.453125" style="2" customWidth="1"/>
    <col min="14095" max="14329" width="9" style="2"/>
    <col min="14330" max="14330" width="9.90625" style="2" customWidth="1"/>
    <col min="14331" max="14332" width="5.08984375" style="2" customWidth="1"/>
    <col min="14333" max="14333" width="9.6328125" style="2" customWidth="1"/>
    <col min="14334" max="14335" width="11.90625" style="2" customWidth="1"/>
    <col min="14336" max="14336" width="15.36328125" style="2" customWidth="1"/>
    <col min="14337" max="14337" width="10.90625" style="2" customWidth="1"/>
    <col min="14338" max="14348" width="13.36328125" style="2" customWidth="1"/>
    <col min="14349" max="14349" width="13.90625" style="2" customWidth="1"/>
    <col min="14350" max="14350" width="16.453125" style="2" customWidth="1"/>
    <col min="14351" max="14585" width="9" style="2"/>
    <col min="14586" max="14586" width="9.90625" style="2" customWidth="1"/>
    <col min="14587" max="14588" width="5.08984375" style="2" customWidth="1"/>
    <col min="14589" max="14589" width="9.6328125" style="2" customWidth="1"/>
    <col min="14590" max="14591" width="11.90625" style="2" customWidth="1"/>
    <col min="14592" max="14592" width="15.36328125" style="2" customWidth="1"/>
    <col min="14593" max="14593" width="10.90625" style="2" customWidth="1"/>
    <col min="14594" max="14604" width="13.36328125" style="2" customWidth="1"/>
    <col min="14605" max="14605" width="13.90625" style="2" customWidth="1"/>
    <col min="14606" max="14606" width="16.453125" style="2" customWidth="1"/>
    <col min="14607" max="14841" width="9" style="2"/>
    <col min="14842" max="14842" width="9.90625" style="2" customWidth="1"/>
    <col min="14843" max="14844" width="5.08984375" style="2" customWidth="1"/>
    <col min="14845" max="14845" width="9.6328125" style="2" customWidth="1"/>
    <col min="14846" max="14847" width="11.90625" style="2" customWidth="1"/>
    <col min="14848" max="14848" width="15.36328125" style="2" customWidth="1"/>
    <col min="14849" max="14849" width="10.90625" style="2" customWidth="1"/>
    <col min="14850" max="14860" width="13.36328125" style="2" customWidth="1"/>
    <col min="14861" max="14861" width="13.90625" style="2" customWidth="1"/>
    <col min="14862" max="14862" width="16.453125" style="2" customWidth="1"/>
    <col min="14863" max="15097" width="9" style="2"/>
    <col min="15098" max="15098" width="9.90625" style="2" customWidth="1"/>
    <col min="15099" max="15100" width="5.08984375" style="2" customWidth="1"/>
    <col min="15101" max="15101" width="9.6328125" style="2" customWidth="1"/>
    <col min="15102" max="15103" width="11.90625" style="2" customWidth="1"/>
    <col min="15104" max="15104" width="15.36328125" style="2" customWidth="1"/>
    <col min="15105" max="15105" width="10.90625" style="2" customWidth="1"/>
    <col min="15106" max="15116" width="13.36328125" style="2" customWidth="1"/>
    <col min="15117" max="15117" width="13.90625" style="2" customWidth="1"/>
    <col min="15118" max="15118" width="16.453125" style="2" customWidth="1"/>
    <col min="15119" max="15353" width="9" style="2"/>
    <col min="15354" max="15354" width="9.90625" style="2" customWidth="1"/>
    <col min="15355" max="15356" width="5.08984375" style="2" customWidth="1"/>
    <col min="15357" max="15357" width="9.6328125" style="2" customWidth="1"/>
    <col min="15358" max="15359" width="11.90625" style="2" customWidth="1"/>
    <col min="15360" max="15360" width="15.36328125" style="2" customWidth="1"/>
    <col min="15361" max="15361" width="10.90625" style="2" customWidth="1"/>
    <col min="15362" max="15372" width="13.36328125" style="2" customWidth="1"/>
    <col min="15373" max="15373" width="13.90625" style="2" customWidth="1"/>
    <col min="15374" max="15374" width="16.453125" style="2" customWidth="1"/>
    <col min="15375" max="15609" width="9" style="2"/>
    <col min="15610" max="15610" width="9.90625" style="2" customWidth="1"/>
    <col min="15611" max="15612" width="5.08984375" style="2" customWidth="1"/>
    <col min="15613" max="15613" width="9.6328125" style="2" customWidth="1"/>
    <col min="15614" max="15615" width="11.90625" style="2" customWidth="1"/>
    <col min="15616" max="15616" width="15.36328125" style="2" customWidth="1"/>
    <col min="15617" max="15617" width="10.90625" style="2" customWidth="1"/>
    <col min="15618" max="15628" width="13.36328125" style="2" customWidth="1"/>
    <col min="15629" max="15629" width="13.90625" style="2" customWidth="1"/>
    <col min="15630" max="15630" width="16.453125" style="2" customWidth="1"/>
    <col min="15631" max="15865" width="9" style="2"/>
    <col min="15866" max="15866" width="9.90625" style="2" customWidth="1"/>
    <col min="15867" max="15868" width="5.08984375" style="2" customWidth="1"/>
    <col min="15869" max="15869" width="9.6328125" style="2" customWidth="1"/>
    <col min="15870" max="15871" width="11.90625" style="2" customWidth="1"/>
    <col min="15872" max="15872" width="15.36328125" style="2" customWidth="1"/>
    <col min="15873" max="15873" width="10.90625" style="2" customWidth="1"/>
    <col min="15874" max="15884" width="13.36328125" style="2" customWidth="1"/>
    <col min="15885" max="15885" width="13.90625" style="2" customWidth="1"/>
    <col min="15886" max="15886" width="16.453125" style="2" customWidth="1"/>
    <col min="15887" max="16121" width="9" style="2"/>
    <col min="16122" max="16122" width="9.90625" style="2" customWidth="1"/>
    <col min="16123" max="16124" width="5.08984375" style="2" customWidth="1"/>
    <col min="16125" max="16125" width="9.6328125" style="2" customWidth="1"/>
    <col min="16126" max="16127" width="11.90625" style="2" customWidth="1"/>
    <col min="16128" max="16128" width="15.36328125" style="2" customWidth="1"/>
    <col min="16129" max="16129" width="10.90625" style="2" customWidth="1"/>
    <col min="16130" max="16140" width="13.36328125" style="2" customWidth="1"/>
    <col min="16141" max="16141" width="13.90625" style="2" customWidth="1"/>
    <col min="16142" max="16142" width="16.453125" style="2" customWidth="1"/>
    <col min="16143" max="16384" width="9" style="2"/>
  </cols>
  <sheetData>
    <row r="1" spans="1:20" s="1" customFormat="1" ht="36">
      <c r="A1" s="446"/>
      <c r="B1" s="446"/>
      <c r="C1" s="446"/>
      <c r="D1" s="3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107" t="s">
        <v>18</v>
      </c>
      <c r="R1" s="118"/>
    </row>
    <row r="2" spans="1:20" s="1" customFormat="1" ht="16.399999999999999" customHeight="1">
      <c r="A2" s="447" t="s">
        <v>51</v>
      </c>
      <c r="B2" s="447"/>
      <c r="C2" s="447"/>
      <c r="D2" s="5" t="s">
        <v>19</v>
      </c>
      <c r="E2" s="228">
        <f>E5+E8+E11+E14+E17+E20+E23</f>
        <v>24106655</v>
      </c>
      <c r="F2" s="228">
        <f t="shared" ref="F2:P2" si="0">F5+F8+F11+F14+F17+F20+F23</f>
        <v>23112898</v>
      </c>
      <c r="G2" s="228">
        <f t="shared" si="0"/>
        <v>23401232</v>
      </c>
      <c r="H2" s="228">
        <f t="shared" si="0"/>
        <v>23014084</v>
      </c>
      <c r="I2" s="228">
        <f>I5+I8+I11+I14+I17+I20+I23</f>
        <v>22947961</v>
      </c>
      <c r="J2" s="228">
        <f t="shared" si="0"/>
        <v>23155345</v>
      </c>
      <c r="K2" s="228">
        <f t="shared" si="0"/>
        <v>25958629</v>
      </c>
      <c r="L2" s="228">
        <f t="shared" si="0"/>
        <v>24902172</v>
      </c>
      <c r="M2" s="228">
        <f t="shared" si="0"/>
        <v>25337300</v>
      </c>
      <c r="N2" s="228">
        <f t="shared" si="0"/>
        <v>25216708</v>
      </c>
      <c r="O2" s="228">
        <f t="shared" si="0"/>
        <v>24694123</v>
      </c>
      <c r="P2" s="37">
        <f t="shared" si="0"/>
        <v>26244945.555555556</v>
      </c>
      <c r="Q2" s="38">
        <f>SUM(E2:P2)</f>
        <v>292092052.55555558</v>
      </c>
      <c r="R2" s="118"/>
    </row>
    <row r="3" spans="1:20" s="1" customFormat="1" ht="16.399999999999999" customHeight="1">
      <c r="A3" s="448"/>
      <c r="B3" s="448"/>
      <c r="C3" s="448"/>
      <c r="D3" s="6" t="s">
        <v>20</v>
      </c>
      <c r="E3" s="229">
        <f>E6+E9+E12+E15+E18+E21+E24</f>
        <v>18425351</v>
      </c>
      <c r="F3" s="229">
        <f t="shared" ref="F3:P3" si="1">F6+F9+F12+F15+F18+F21+F24</f>
        <v>17622177</v>
      </c>
      <c r="G3" s="229">
        <f t="shared" si="1"/>
        <v>17764506</v>
      </c>
      <c r="H3" s="229">
        <f t="shared" si="1"/>
        <v>17979492</v>
      </c>
      <c r="I3" s="229">
        <f t="shared" si="1"/>
        <v>17777157.033199564</v>
      </c>
      <c r="J3" s="229">
        <f t="shared" si="1"/>
        <v>17800128.659998834</v>
      </c>
      <c r="K3" s="229">
        <f t="shared" si="1"/>
        <v>20061534.749039352</v>
      </c>
      <c r="L3" s="229">
        <f t="shared" si="1"/>
        <v>19629756.090121318</v>
      </c>
      <c r="M3" s="229">
        <f t="shared" si="1"/>
        <v>20398597.119255483</v>
      </c>
      <c r="N3" s="229">
        <f t="shared" si="1"/>
        <v>19894036.138122022</v>
      </c>
      <c r="O3" s="229">
        <f t="shared" si="1"/>
        <v>19645005.145006016</v>
      </c>
      <c r="P3" s="39">
        <f t="shared" si="1"/>
        <v>20655609.444444444</v>
      </c>
      <c r="Q3" s="40">
        <f>SUM(E3:P3)</f>
        <v>227653350.37918702</v>
      </c>
      <c r="R3" s="118"/>
    </row>
    <row r="4" spans="1:20" s="1" customFormat="1" ht="16.399999999999999" customHeight="1" thickBot="1">
      <c r="A4" s="449"/>
      <c r="B4" s="449"/>
      <c r="C4" s="449"/>
      <c r="D4" s="7" t="s">
        <v>21</v>
      </c>
      <c r="E4" s="230">
        <f>E2-E3</f>
        <v>5681304</v>
      </c>
      <c r="F4" s="230">
        <f t="shared" ref="F4:P4" si="2">F2-F3</f>
        <v>5490721</v>
      </c>
      <c r="G4" s="230">
        <f t="shared" si="2"/>
        <v>5636726</v>
      </c>
      <c r="H4" s="230">
        <f t="shared" si="2"/>
        <v>5034592</v>
      </c>
      <c r="I4" s="230">
        <f t="shared" si="2"/>
        <v>5170803.9668004364</v>
      </c>
      <c r="J4" s="230">
        <f t="shared" si="2"/>
        <v>5355216.3400011659</v>
      </c>
      <c r="K4" s="230">
        <f t="shared" si="2"/>
        <v>5897094.2509606481</v>
      </c>
      <c r="L4" s="230">
        <f t="shared" si="2"/>
        <v>5272415.9098786823</v>
      </c>
      <c r="M4" s="230">
        <f t="shared" si="2"/>
        <v>4938702.8807445168</v>
      </c>
      <c r="N4" s="230">
        <f t="shared" si="2"/>
        <v>5322671.8618779778</v>
      </c>
      <c r="O4" s="230">
        <f t="shared" si="2"/>
        <v>5049117.8549939841</v>
      </c>
      <c r="P4" s="41">
        <f t="shared" si="2"/>
        <v>5589336.1111111119</v>
      </c>
      <c r="Q4" s="41">
        <f>SUM(E4:P4)</f>
        <v>64438702.176368527</v>
      </c>
      <c r="R4" s="118"/>
    </row>
    <row r="5" spans="1:20" s="1" customFormat="1" ht="12" customHeight="1" thickTop="1">
      <c r="A5" s="440" t="str">
        <f>EXA!C2</f>
        <v>EXA</v>
      </c>
      <c r="B5" s="440"/>
      <c r="C5" s="440"/>
      <c r="D5" s="111" t="s">
        <v>19</v>
      </c>
      <c r="E5" s="231">
        <f>EXA!L2</f>
        <v>1185250</v>
      </c>
      <c r="F5" s="231">
        <f>EXA!M2</f>
        <v>576000</v>
      </c>
      <c r="G5" s="231">
        <f>EXA!N2</f>
        <v>686000</v>
      </c>
      <c r="H5" s="231">
        <f>EXA!O2</f>
        <v>742000</v>
      </c>
      <c r="I5" s="231">
        <f>EXA!P2</f>
        <v>528000</v>
      </c>
      <c r="J5" s="231">
        <f>EXA!Q2</f>
        <v>644000</v>
      </c>
      <c r="K5" s="231">
        <f>EXA!R2</f>
        <v>776000</v>
      </c>
      <c r="L5" s="231">
        <f>EXA!S2</f>
        <v>686000</v>
      </c>
      <c r="M5" s="231">
        <f>EXA!T2</f>
        <v>716000</v>
      </c>
      <c r="N5" s="231">
        <f>EXA!U2</f>
        <v>642000</v>
      </c>
      <c r="O5" s="231">
        <f>EXA!V2</f>
        <v>586000</v>
      </c>
      <c r="P5" s="42">
        <f>EXA!W2</f>
        <v>670000</v>
      </c>
      <c r="Q5" s="45">
        <f t="shared" ref="Q5:Q7" si="3">SUM(E5:P5)</f>
        <v>8437250</v>
      </c>
      <c r="R5" s="118"/>
      <c r="T5" s="53"/>
    </row>
    <row r="6" spans="1:20" s="1" customFormat="1" ht="12" customHeight="1">
      <c r="A6" s="441"/>
      <c r="B6" s="441"/>
      <c r="C6" s="441"/>
      <c r="D6" s="109" t="s">
        <v>20</v>
      </c>
      <c r="E6" s="232">
        <f>EXA!L3</f>
        <v>970141</v>
      </c>
      <c r="F6" s="232">
        <f>EXA!M3</f>
        <v>481881</v>
      </c>
      <c r="G6" s="232">
        <f>EXA!N3</f>
        <v>496562</v>
      </c>
      <c r="H6" s="232">
        <f>EXA!O3</f>
        <v>534047</v>
      </c>
      <c r="I6" s="232">
        <f>EXA!P3</f>
        <v>469872</v>
      </c>
      <c r="J6" s="232">
        <f>EXA!Q3</f>
        <v>494050</v>
      </c>
      <c r="K6" s="232">
        <f>EXA!R3</f>
        <v>578839</v>
      </c>
      <c r="L6" s="232">
        <f>EXA!S3</f>
        <v>517198</v>
      </c>
      <c r="M6" s="232">
        <f>EXA!T3</f>
        <v>571786</v>
      </c>
      <c r="N6" s="232">
        <f>EXA!U3</f>
        <v>501960</v>
      </c>
      <c r="O6" s="232">
        <f>EXA!V3</f>
        <v>475850</v>
      </c>
      <c r="P6" s="43">
        <f>EXA!W3</f>
        <v>503926</v>
      </c>
      <c r="Q6" s="43">
        <f t="shared" si="3"/>
        <v>6596112</v>
      </c>
      <c r="R6" s="118"/>
      <c r="T6" s="53"/>
    </row>
    <row r="7" spans="1:20" s="1" customFormat="1" ht="12" customHeight="1">
      <c r="A7" s="442"/>
      <c r="B7" s="442"/>
      <c r="C7" s="442"/>
      <c r="D7" s="110" t="s">
        <v>21</v>
      </c>
      <c r="E7" s="233">
        <f>E5-E6</f>
        <v>215109</v>
      </c>
      <c r="F7" s="233">
        <f t="shared" ref="F7:P7" si="4">F5-F6</f>
        <v>94119</v>
      </c>
      <c r="G7" s="233">
        <f t="shared" si="4"/>
        <v>189438</v>
      </c>
      <c r="H7" s="233">
        <f t="shared" si="4"/>
        <v>207953</v>
      </c>
      <c r="I7" s="233">
        <f t="shared" si="4"/>
        <v>58128</v>
      </c>
      <c r="J7" s="233">
        <f t="shared" si="4"/>
        <v>149950</v>
      </c>
      <c r="K7" s="233">
        <f t="shared" si="4"/>
        <v>197161</v>
      </c>
      <c r="L7" s="233">
        <f t="shared" si="4"/>
        <v>168802</v>
      </c>
      <c r="M7" s="233">
        <f t="shared" si="4"/>
        <v>144214</v>
      </c>
      <c r="N7" s="233">
        <f t="shared" si="4"/>
        <v>140040</v>
      </c>
      <c r="O7" s="233">
        <f t="shared" si="4"/>
        <v>110150</v>
      </c>
      <c r="P7" s="44">
        <f t="shared" si="4"/>
        <v>166074</v>
      </c>
      <c r="Q7" s="44">
        <f t="shared" si="3"/>
        <v>1841138</v>
      </c>
      <c r="R7" s="118"/>
      <c r="T7" s="53"/>
    </row>
    <row r="8" spans="1:20" s="1" customFormat="1" ht="12" customHeight="1">
      <c r="A8" s="443" t="str">
        <f>Ericson!C2</f>
        <v>Ericson</v>
      </c>
      <c r="B8" s="443"/>
      <c r="C8" s="443"/>
      <c r="D8" s="111" t="s">
        <v>19</v>
      </c>
      <c r="E8" s="234">
        <f>Ericson!L2</f>
        <v>1605750</v>
      </c>
      <c r="F8" s="234">
        <f>Ericson!M2</f>
        <v>1637900</v>
      </c>
      <c r="G8" s="234">
        <f>Ericson!N2</f>
        <v>1673300</v>
      </c>
      <c r="H8" s="234">
        <f>Ericson!O2</f>
        <v>1733525</v>
      </c>
      <c r="I8" s="234">
        <f>Ericson!P2</f>
        <v>1499800</v>
      </c>
      <c r="J8" s="234">
        <f>Ericson!Q2</f>
        <v>1641800</v>
      </c>
      <c r="K8" s="234">
        <f>Ericson!R2</f>
        <v>1747800</v>
      </c>
      <c r="L8" s="234">
        <f>Ericson!S2</f>
        <v>1475950</v>
      </c>
      <c r="M8" s="234">
        <f>Ericson!T2</f>
        <v>1548500</v>
      </c>
      <c r="N8" s="234">
        <f>Ericson!U2</f>
        <v>1411000</v>
      </c>
      <c r="O8" s="234">
        <f>Ericson!V2</f>
        <v>1048850</v>
      </c>
      <c r="P8" s="45">
        <f>Ericson!W2</f>
        <v>1955666.6666666665</v>
      </c>
      <c r="Q8" s="45">
        <f t="shared" ref="Q8:Q25" si="5">SUM(E8:P8)</f>
        <v>18979841.666666668</v>
      </c>
      <c r="R8" s="118"/>
      <c r="T8" s="53"/>
    </row>
    <row r="9" spans="1:20" s="1" customFormat="1" ht="12" customHeight="1">
      <c r="A9" s="444"/>
      <c r="B9" s="444"/>
      <c r="C9" s="444"/>
      <c r="D9" s="109" t="s">
        <v>20</v>
      </c>
      <c r="E9" s="232">
        <f>Ericson!L3</f>
        <v>1251775</v>
      </c>
      <c r="F9" s="232">
        <f>Ericson!M3</f>
        <v>1269463</v>
      </c>
      <c r="G9" s="232">
        <f>Ericson!N3</f>
        <v>1273715</v>
      </c>
      <c r="H9" s="232">
        <f>Ericson!O3</f>
        <v>1313839</v>
      </c>
      <c r="I9" s="232">
        <f>Ericson!P3</f>
        <v>1209884</v>
      </c>
      <c r="J9" s="232">
        <f>Ericson!Q3</f>
        <v>1248621</v>
      </c>
      <c r="K9" s="232">
        <f>Ericson!R3</f>
        <v>1335136</v>
      </c>
      <c r="L9" s="232">
        <f>Ericson!S3</f>
        <v>1174705</v>
      </c>
      <c r="M9" s="232">
        <f>Ericson!T3</f>
        <v>1276085</v>
      </c>
      <c r="N9" s="232">
        <f>Ericson!U3</f>
        <v>1167747</v>
      </c>
      <c r="O9" s="232">
        <f>Ericson!V3</f>
        <v>1060088</v>
      </c>
      <c r="P9" s="43">
        <f>Ericson!W3</f>
        <v>1470620.6666666665</v>
      </c>
      <c r="Q9" s="43">
        <f t="shared" si="5"/>
        <v>15051678.666666666</v>
      </c>
      <c r="R9" s="118"/>
      <c r="T9" s="53"/>
    </row>
    <row r="10" spans="1:20" s="1" customFormat="1" ht="12" customHeight="1">
      <c r="A10" s="445"/>
      <c r="B10" s="445"/>
      <c r="C10" s="445"/>
      <c r="D10" s="110" t="s">
        <v>21</v>
      </c>
      <c r="E10" s="233">
        <f>E8-E9</f>
        <v>353975</v>
      </c>
      <c r="F10" s="233">
        <f t="shared" ref="F10:P10" si="6">F8-F9</f>
        <v>368437</v>
      </c>
      <c r="G10" s="233">
        <f t="shared" si="6"/>
        <v>399585</v>
      </c>
      <c r="H10" s="233">
        <f t="shared" si="6"/>
        <v>419686</v>
      </c>
      <c r="I10" s="233">
        <f t="shared" si="6"/>
        <v>289916</v>
      </c>
      <c r="J10" s="233">
        <f t="shared" si="6"/>
        <v>393179</v>
      </c>
      <c r="K10" s="233">
        <f t="shared" si="6"/>
        <v>412664</v>
      </c>
      <c r="L10" s="233">
        <f t="shared" si="6"/>
        <v>301245</v>
      </c>
      <c r="M10" s="233">
        <f t="shared" si="6"/>
        <v>272415</v>
      </c>
      <c r="N10" s="233">
        <f t="shared" si="6"/>
        <v>243253</v>
      </c>
      <c r="O10" s="233">
        <f t="shared" si="6"/>
        <v>-11238</v>
      </c>
      <c r="P10" s="44">
        <f t="shared" si="6"/>
        <v>485046</v>
      </c>
      <c r="Q10" s="44">
        <f t="shared" si="5"/>
        <v>3928163</v>
      </c>
      <c r="R10" s="118"/>
      <c r="T10" s="53"/>
    </row>
    <row r="11" spans="1:20" s="1" customFormat="1" ht="12" customHeight="1">
      <c r="A11" s="440" t="str">
        <f>'NI+C'!C2</f>
        <v>NI+C</v>
      </c>
      <c r="B11" s="440"/>
      <c r="C11" s="440"/>
      <c r="D11" s="111" t="s">
        <v>19</v>
      </c>
      <c r="E11" s="231">
        <f>'NI+C'!L2</f>
        <v>1947060</v>
      </c>
      <c r="F11" s="231">
        <f>'NI+C'!M2</f>
        <v>1957920</v>
      </c>
      <c r="G11" s="231">
        <f>'NI+C'!N2</f>
        <v>2004980</v>
      </c>
      <c r="H11" s="231">
        <f>'NI+C'!O2</f>
        <v>2023080</v>
      </c>
      <c r="I11" s="231">
        <f>'NI+C'!P2</f>
        <v>1972400</v>
      </c>
      <c r="J11" s="231">
        <f>'NI+C'!Q2</f>
        <v>1932580</v>
      </c>
      <c r="K11" s="231">
        <f>'NI+C'!R2</f>
        <v>1983260</v>
      </c>
      <c r="L11" s="231">
        <f>'NI+C'!S2</f>
        <v>1915100</v>
      </c>
      <c r="M11" s="231">
        <f>'NI+C'!T2</f>
        <v>1979640</v>
      </c>
      <c r="N11" s="231">
        <f>'NI+C'!U2</f>
        <v>2766880</v>
      </c>
      <c r="O11" s="231">
        <f>'NI+C'!V2</f>
        <v>2741540</v>
      </c>
      <c r="P11" s="42">
        <f>'NI+C'!W2</f>
        <v>2711278.888888889</v>
      </c>
      <c r="Q11" s="45">
        <f t="shared" si="5"/>
        <v>25935718.888888888</v>
      </c>
      <c r="R11" s="118"/>
      <c r="T11" s="53"/>
    </row>
    <row r="12" spans="1:20" s="1" customFormat="1" ht="12" customHeight="1">
      <c r="A12" s="441"/>
      <c r="B12" s="441"/>
      <c r="C12" s="441"/>
      <c r="D12" s="109" t="s">
        <v>20</v>
      </c>
      <c r="E12" s="232">
        <f>'NI+C'!L3</f>
        <v>1430802</v>
      </c>
      <c r="F12" s="232">
        <f>'NI+C'!M3</f>
        <v>1407510</v>
      </c>
      <c r="G12" s="232">
        <f>'NI+C'!N3</f>
        <v>1416521</v>
      </c>
      <c r="H12" s="232">
        <f>'NI+C'!O3</f>
        <v>1438714</v>
      </c>
      <c r="I12" s="232">
        <f>'NI+C'!P3</f>
        <v>1391316</v>
      </c>
      <c r="J12" s="232">
        <f>'NI+C'!Q3</f>
        <v>1389741</v>
      </c>
      <c r="K12" s="232">
        <f>'NI+C'!R3</f>
        <v>1447684</v>
      </c>
      <c r="L12" s="232">
        <f>'NI+C'!S3</f>
        <v>1361290</v>
      </c>
      <c r="M12" s="232">
        <f>'NI+C'!T3</f>
        <v>1457031</v>
      </c>
      <c r="N12" s="232">
        <f>'NI+C'!U3</f>
        <v>1919127</v>
      </c>
      <c r="O12" s="232">
        <f>'NI+C'!V3</f>
        <v>1905408</v>
      </c>
      <c r="P12" s="43">
        <f>'NI+C'!W3</f>
        <v>1859789.111111111</v>
      </c>
      <c r="Q12" s="43">
        <f t="shared" si="5"/>
        <v>18424933.111111112</v>
      </c>
      <c r="R12" s="118"/>
      <c r="T12" s="53"/>
    </row>
    <row r="13" spans="1:20" s="1" customFormat="1" ht="12" customHeight="1">
      <c r="A13" s="442"/>
      <c r="B13" s="442"/>
      <c r="C13" s="442"/>
      <c r="D13" s="110" t="s">
        <v>21</v>
      </c>
      <c r="E13" s="233">
        <f>E11-E12</f>
        <v>516258</v>
      </c>
      <c r="F13" s="233">
        <f t="shared" ref="F13:P13" si="7">F11-F12</f>
        <v>550410</v>
      </c>
      <c r="G13" s="233">
        <f t="shared" si="7"/>
        <v>588459</v>
      </c>
      <c r="H13" s="233">
        <f t="shared" si="7"/>
        <v>584366</v>
      </c>
      <c r="I13" s="233">
        <f t="shared" si="7"/>
        <v>581084</v>
      </c>
      <c r="J13" s="233">
        <f t="shared" si="7"/>
        <v>542839</v>
      </c>
      <c r="K13" s="233">
        <f t="shared" si="7"/>
        <v>535576</v>
      </c>
      <c r="L13" s="233">
        <f t="shared" si="7"/>
        <v>553810</v>
      </c>
      <c r="M13" s="233">
        <f t="shared" si="7"/>
        <v>522609</v>
      </c>
      <c r="N13" s="233">
        <f t="shared" si="7"/>
        <v>847753</v>
      </c>
      <c r="O13" s="233">
        <f t="shared" si="7"/>
        <v>836132</v>
      </c>
      <c r="P13" s="44">
        <f t="shared" si="7"/>
        <v>851489.77777777798</v>
      </c>
      <c r="Q13" s="44">
        <f t="shared" si="5"/>
        <v>7510785.777777778</v>
      </c>
      <c r="R13" s="118"/>
      <c r="T13" s="53"/>
    </row>
    <row r="14" spans="1:20" s="1" customFormat="1" ht="12" customHeight="1">
      <c r="A14" s="450" t="str">
        <f>'S&amp;I'!C2</f>
        <v>S&amp;I</v>
      </c>
      <c r="B14" s="450"/>
      <c r="C14" s="450"/>
      <c r="D14" s="108" t="s">
        <v>19</v>
      </c>
      <c r="E14" s="231">
        <f>'S&amp;I'!L2</f>
        <v>1416960</v>
      </c>
      <c r="F14" s="231">
        <f>'S&amp;I'!M2</f>
        <v>1221510</v>
      </c>
      <c r="G14" s="231">
        <f>'S&amp;I'!N2</f>
        <v>1450000</v>
      </c>
      <c r="H14" s="231">
        <f>'S&amp;I'!O2</f>
        <v>1483040</v>
      </c>
      <c r="I14" s="231">
        <f>'S&amp;I'!P2</f>
        <v>1361690</v>
      </c>
      <c r="J14" s="231">
        <f>'S&amp;I'!Q2</f>
        <v>1394730</v>
      </c>
      <c r="K14" s="231">
        <f>'S&amp;I'!R2</f>
        <v>1450000</v>
      </c>
      <c r="L14" s="231">
        <f>'S&amp;I'!S2</f>
        <v>1350880</v>
      </c>
      <c r="M14" s="231">
        <f>'S&amp;I'!T2</f>
        <v>1416960</v>
      </c>
      <c r="N14" s="231">
        <f>'S&amp;I'!U2</f>
        <v>1547870</v>
      </c>
      <c r="O14" s="231">
        <f>'S&amp;I'!V2</f>
        <v>1383920</v>
      </c>
      <c r="P14" s="42">
        <f>'S&amp;I'!W2</f>
        <v>1450000</v>
      </c>
      <c r="Q14" s="42">
        <f t="shared" ref="Q14:Q22" si="8">SUM(E14:P14)</f>
        <v>16927560</v>
      </c>
      <c r="R14" s="118"/>
      <c r="T14" s="53"/>
    </row>
    <row r="15" spans="1:20" s="1" customFormat="1" ht="12" customHeight="1">
      <c r="A15" s="444"/>
      <c r="B15" s="444"/>
      <c r="C15" s="444"/>
      <c r="D15" s="109" t="s">
        <v>20</v>
      </c>
      <c r="E15" s="232">
        <f>'S&amp;I'!L3</f>
        <v>1165794</v>
      </c>
      <c r="F15" s="232">
        <f>'S&amp;I'!M3</f>
        <v>1135784</v>
      </c>
      <c r="G15" s="232">
        <f>'S&amp;I'!N3</f>
        <v>1165868</v>
      </c>
      <c r="H15" s="232">
        <f>'S&amp;I'!O3</f>
        <v>1219723</v>
      </c>
      <c r="I15" s="232">
        <f>'S&amp;I'!P3</f>
        <v>1140263</v>
      </c>
      <c r="J15" s="232">
        <f>'S&amp;I'!Q3</f>
        <v>1142102</v>
      </c>
      <c r="K15" s="232">
        <f>'S&amp;I'!R3</f>
        <v>1192865</v>
      </c>
      <c r="L15" s="232">
        <f>'S&amp;I'!S3</f>
        <v>1095377</v>
      </c>
      <c r="M15" s="232">
        <f>'S&amp;I'!T3</f>
        <v>1186378</v>
      </c>
      <c r="N15" s="232">
        <f>'S&amp;I'!U3</f>
        <v>1225054</v>
      </c>
      <c r="O15" s="232">
        <f>'S&amp;I'!V3</f>
        <v>1093748</v>
      </c>
      <c r="P15" s="43">
        <f>'S&amp;I'!W3</f>
        <v>1162521.5555555555</v>
      </c>
      <c r="Q15" s="43">
        <f t="shared" si="8"/>
        <v>13925477.555555556</v>
      </c>
      <c r="R15" s="118"/>
      <c r="T15" s="53"/>
    </row>
    <row r="16" spans="1:20" s="1" customFormat="1" ht="12" customHeight="1">
      <c r="A16" s="445"/>
      <c r="B16" s="445"/>
      <c r="C16" s="445"/>
      <c r="D16" s="110" t="s">
        <v>21</v>
      </c>
      <c r="E16" s="233">
        <f>E14-E15</f>
        <v>251166</v>
      </c>
      <c r="F16" s="233">
        <f t="shared" ref="F16:P16" si="9">F14-F15</f>
        <v>85726</v>
      </c>
      <c r="G16" s="233">
        <f t="shared" si="9"/>
        <v>284132</v>
      </c>
      <c r="H16" s="233">
        <f t="shared" si="9"/>
        <v>263317</v>
      </c>
      <c r="I16" s="233">
        <f t="shared" si="9"/>
        <v>221427</v>
      </c>
      <c r="J16" s="233">
        <f t="shared" si="9"/>
        <v>252628</v>
      </c>
      <c r="K16" s="233">
        <f t="shared" si="9"/>
        <v>257135</v>
      </c>
      <c r="L16" s="233">
        <f t="shared" si="9"/>
        <v>255503</v>
      </c>
      <c r="M16" s="233">
        <f t="shared" si="9"/>
        <v>230582</v>
      </c>
      <c r="N16" s="233">
        <f t="shared" si="9"/>
        <v>322816</v>
      </c>
      <c r="O16" s="233">
        <f t="shared" si="9"/>
        <v>290172</v>
      </c>
      <c r="P16" s="44">
        <f t="shared" si="9"/>
        <v>287478.4444444445</v>
      </c>
      <c r="Q16" s="44">
        <f t="shared" si="8"/>
        <v>3002082.4444444445</v>
      </c>
      <c r="R16" s="118"/>
      <c r="T16" s="53"/>
    </row>
    <row r="17" spans="1:20" s="1" customFormat="1" ht="12" customHeight="1">
      <c r="A17" s="451" t="str">
        <f>ジャステック!C2</f>
        <v>ジャステック</v>
      </c>
      <c r="B17" s="451"/>
      <c r="C17" s="451"/>
      <c r="D17" s="111" t="s">
        <v>19</v>
      </c>
      <c r="E17" s="234">
        <f>ジャステック!L2</f>
        <v>1240000</v>
      </c>
      <c r="F17" s="234">
        <f>ジャステック!M2</f>
        <v>1240000</v>
      </c>
      <c r="G17" s="234">
        <f>ジャステック!N2</f>
        <v>1240000</v>
      </c>
      <c r="H17" s="234">
        <f>ジャステック!O2</f>
        <v>1228165</v>
      </c>
      <c r="I17" s="234">
        <f>ジャステック!P2</f>
        <v>1240000</v>
      </c>
      <c r="J17" s="234">
        <f>ジャステック!Q2</f>
        <v>1240000</v>
      </c>
      <c r="K17" s="234">
        <f>ジャステック!R2</f>
        <v>1207125</v>
      </c>
      <c r="L17" s="234">
        <f>ジャステック!S2</f>
        <v>1142950</v>
      </c>
      <c r="M17" s="234">
        <f>ジャステック!T2</f>
        <v>1240000</v>
      </c>
      <c r="N17" s="234">
        <f>ジャステック!U2</f>
        <v>1240000</v>
      </c>
      <c r="O17" s="234">
        <f>ジャステック!V2</f>
        <v>1215600</v>
      </c>
      <c r="P17" s="45">
        <f>ジャステック!W2</f>
        <v>1240000</v>
      </c>
      <c r="Q17" s="45">
        <f t="shared" si="8"/>
        <v>14713840</v>
      </c>
      <c r="R17" s="118"/>
      <c r="T17" s="53"/>
    </row>
    <row r="18" spans="1:20" s="1" customFormat="1" ht="12" customHeight="1">
      <c r="A18" s="452"/>
      <c r="B18" s="452"/>
      <c r="C18" s="452"/>
      <c r="D18" s="109" t="s">
        <v>20</v>
      </c>
      <c r="E18" s="232">
        <f>ジャステック!L3</f>
        <v>972240</v>
      </c>
      <c r="F18" s="232">
        <f>ジャステック!M3</f>
        <v>971308</v>
      </c>
      <c r="G18" s="232">
        <f>ジャステック!N3</f>
        <v>971076</v>
      </c>
      <c r="H18" s="232">
        <f>ジャステック!O3</f>
        <v>1267611</v>
      </c>
      <c r="I18" s="232">
        <f>ジャステック!P3</f>
        <v>963651</v>
      </c>
      <c r="J18" s="232">
        <f>ジャステック!Q3</f>
        <v>962709</v>
      </c>
      <c r="K18" s="232">
        <f>ジャステック!R3</f>
        <v>964571</v>
      </c>
      <c r="L18" s="232">
        <f>ジャステック!S3</f>
        <v>955830</v>
      </c>
      <c r="M18" s="232">
        <f>ジャステック!T3</f>
        <v>999921</v>
      </c>
      <c r="N18" s="232">
        <f>ジャステック!U3</f>
        <v>949314</v>
      </c>
      <c r="O18" s="232">
        <f>ジャステック!V3</f>
        <v>963257</v>
      </c>
      <c r="P18" s="43">
        <f>ジャステック!W3</f>
        <v>958547</v>
      </c>
      <c r="Q18" s="43">
        <f t="shared" si="8"/>
        <v>11900035</v>
      </c>
      <c r="R18" s="118"/>
      <c r="T18" s="53"/>
    </row>
    <row r="19" spans="1:20" s="1" customFormat="1" ht="12" customHeight="1">
      <c r="A19" s="453"/>
      <c r="B19" s="453"/>
      <c r="C19" s="453"/>
      <c r="D19" s="110" t="s">
        <v>21</v>
      </c>
      <c r="E19" s="233">
        <f>E17-E18</f>
        <v>267760</v>
      </c>
      <c r="F19" s="233">
        <f t="shared" ref="F19:P19" si="10">F17-F18</f>
        <v>268692</v>
      </c>
      <c r="G19" s="233">
        <f t="shared" si="10"/>
        <v>268924</v>
      </c>
      <c r="H19" s="233">
        <f t="shared" si="10"/>
        <v>-39446</v>
      </c>
      <c r="I19" s="233">
        <f t="shared" si="10"/>
        <v>276349</v>
      </c>
      <c r="J19" s="233">
        <f t="shared" si="10"/>
        <v>277291</v>
      </c>
      <c r="K19" s="233">
        <f t="shared" si="10"/>
        <v>242554</v>
      </c>
      <c r="L19" s="233">
        <f t="shared" si="10"/>
        <v>187120</v>
      </c>
      <c r="M19" s="233">
        <f t="shared" si="10"/>
        <v>240079</v>
      </c>
      <c r="N19" s="233">
        <f t="shared" si="10"/>
        <v>290686</v>
      </c>
      <c r="O19" s="233">
        <f t="shared" si="10"/>
        <v>252343</v>
      </c>
      <c r="P19" s="44">
        <f t="shared" si="10"/>
        <v>281453</v>
      </c>
      <c r="Q19" s="44">
        <f t="shared" si="8"/>
        <v>2813805</v>
      </c>
      <c r="R19" s="118"/>
      <c r="T19" s="53"/>
    </row>
    <row r="20" spans="1:20" s="1" customFormat="1" ht="12" customHeight="1">
      <c r="A20" s="440" t="str">
        <f>NDICS!C2</f>
        <v>日本ディクス</v>
      </c>
      <c r="B20" s="440"/>
      <c r="C20" s="440"/>
      <c r="D20" s="111" t="s">
        <v>19</v>
      </c>
      <c r="E20" s="234">
        <f>NDICS!L2</f>
        <v>1415000</v>
      </c>
      <c r="F20" s="234">
        <f>NDICS!M2</f>
        <v>1310000</v>
      </c>
      <c r="G20" s="234">
        <f>NDICS!N2</f>
        <v>1310000</v>
      </c>
      <c r="H20" s="234">
        <f>NDICS!O2</f>
        <v>1310000</v>
      </c>
      <c r="I20" s="234">
        <f>NDICS!P2</f>
        <v>1310000</v>
      </c>
      <c r="J20" s="234">
        <f>NDICS!Q2</f>
        <v>1310000</v>
      </c>
      <c r="K20" s="234">
        <f>NDICS!R2</f>
        <v>1860000</v>
      </c>
      <c r="L20" s="234">
        <f>NDICS!S2</f>
        <v>1848240</v>
      </c>
      <c r="M20" s="234">
        <f>NDICS!T2</f>
        <v>1860000</v>
      </c>
      <c r="N20" s="234">
        <f>NDICS!U2</f>
        <v>1114920</v>
      </c>
      <c r="O20" s="234">
        <f>NDICS!V2</f>
        <v>1128640</v>
      </c>
      <c r="P20" s="45">
        <f>NDICS!W2</f>
        <v>1160000</v>
      </c>
      <c r="Q20" s="45">
        <f>SUM(E20:P20)</f>
        <v>16936800</v>
      </c>
      <c r="R20" s="118"/>
      <c r="T20" s="53"/>
    </row>
    <row r="21" spans="1:20" s="1" customFormat="1" ht="12" customHeight="1">
      <c r="A21" s="441"/>
      <c r="B21" s="441"/>
      <c r="C21" s="441"/>
      <c r="D21" s="109" t="s">
        <v>20</v>
      </c>
      <c r="E21" s="232">
        <f>NDICS!L3</f>
        <v>1100902</v>
      </c>
      <c r="F21" s="232">
        <f>NDICS!M3</f>
        <v>940274</v>
      </c>
      <c r="G21" s="232">
        <f>NDICS!N3</f>
        <v>956967</v>
      </c>
      <c r="H21" s="232">
        <f>NDICS!O3</f>
        <v>994665</v>
      </c>
      <c r="I21" s="232">
        <f>NDICS!P3</f>
        <v>951096</v>
      </c>
      <c r="J21" s="232">
        <f>NDICS!Q3</f>
        <v>987153</v>
      </c>
      <c r="K21" s="232">
        <f>NDICS!R3</f>
        <v>1364855</v>
      </c>
      <c r="L21" s="232">
        <f>NDICS!S3</f>
        <v>1339644</v>
      </c>
      <c r="M21" s="232">
        <f>NDICS!T3</f>
        <v>1668517</v>
      </c>
      <c r="N21" s="232">
        <f>NDICS!U3</f>
        <v>797595</v>
      </c>
      <c r="O21" s="232">
        <f>NDICS!V3</f>
        <v>796570</v>
      </c>
      <c r="P21" s="43">
        <f>NDICS!W3</f>
        <v>807304</v>
      </c>
      <c r="Q21" s="43">
        <f>SUM(E21:P21)</f>
        <v>12705542</v>
      </c>
      <c r="R21" s="118"/>
      <c r="T21" s="53"/>
    </row>
    <row r="22" spans="1:20" s="1" customFormat="1" ht="12" customHeight="1">
      <c r="A22" s="442"/>
      <c r="B22" s="442"/>
      <c r="C22" s="442"/>
      <c r="D22" s="110" t="s">
        <v>21</v>
      </c>
      <c r="E22" s="233">
        <f>E20-E21</f>
        <v>314098</v>
      </c>
      <c r="F22" s="233">
        <f t="shared" ref="F22:P22" si="11">F20-F21</f>
        <v>369726</v>
      </c>
      <c r="G22" s="233">
        <f t="shared" si="11"/>
        <v>353033</v>
      </c>
      <c r="H22" s="233">
        <f t="shared" si="11"/>
        <v>315335</v>
      </c>
      <c r="I22" s="233">
        <f t="shared" si="11"/>
        <v>358904</v>
      </c>
      <c r="J22" s="233">
        <f t="shared" si="11"/>
        <v>322847</v>
      </c>
      <c r="K22" s="233">
        <f t="shared" si="11"/>
        <v>495145</v>
      </c>
      <c r="L22" s="233">
        <f t="shared" si="11"/>
        <v>508596</v>
      </c>
      <c r="M22" s="233">
        <f t="shared" si="11"/>
        <v>191483</v>
      </c>
      <c r="N22" s="233">
        <f t="shared" si="11"/>
        <v>317325</v>
      </c>
      <c r="O22" s="233">
        <f t="shared" si="11"/>
        <v>332070</v>
      </c>
      <c r="P22" s="44">
        <f t="shared" si="11"/>
        <v>352696</v>
      </c>
      <c r="Q22" s="44">
        <f t="shared" si="8"/>
        <v>4231258</v>
      </c>
      <c r="R22" s="118"/>
      <c r="T22" s="53"/>
    </row>
    <row r="23" spans="1:20" s="1" customFormat="1" ht="12" customHeight="1">
      <c r="A23" s="443" t="str">
        <f>Other!C2</f>
        <v>Other</v>
      </c>
      <c r="B23" s="443"/>
      <c r="C23" s="443"/>
      <c r="D23" s="111" t="s">
        <v>19</v>
      </c>
      <c r="E23" s="234">
        <f>Other!L2</f>
        <v>15296635</v>
      </c>
      <c r="F23" s="234">
        <f>Other!M2</f>
        <v>15169568</v>
      </c>
      <c r="G23" s="234">
        <f>Other!N2</f>
        <v>15036952</v>
      </c>
      <c r="H23" s="234">
        <f>Other!O2</f>
        <v>14494274</v>
      </c>
      <c r="I23" s="234">
        <f>Other!P2</f>
        <v>15036071</v>
      </c>
      <c r="J23" s="234">
        <f>Other!Q2</f>
        <v>14992235</v>
      </c>
      <c r="K23" s="234">
        <f>Other!R2</f>
        <v>16934444</v>
      </c>
      <c r="L23" s="234">
        <f>Other!S2</f>
        <v>16483052</v>
      </c>
      <c r="M23" s="234">
        <f>Other!T2</f>
        <v>16576200</v>
      </c>
      <c r="N23" s="234">
        <f>Other!U2</f>
        <v>16494038</v>
      </c>
      <c r="O23" s="234">
        <f>Other!V2</f>
        <v>16589573</v>
      </c>
      <c r="P23" s="45">
        <f>Other!W2</f>
        <v>17058000</v>
      </c>
      <c r="Q23" s="45">
        <f t="shared" si="5"/>
        <v>190161042</v>
      </c>
      <c r="R23" s="118"/>
      <c r="T23" s="53"/>
    </row>
    <row r="24" spans="1:20" s="1" customFormat="1" ht="12" customHeight="1">
      <c r="A24" s="444"/>
      <c r="B24" s="444"/>
      <c r="C24" s="444"/>
      <c r="D24" s="109" t="s">
        <v>20</v>
      </c>
      <c r="E24" s="232">
        <f>Other!L3</f>
        <v>11533697</v>
      </c>
      <c r="F24" s="232">
        <f>Other!M3</f>
        <v>11415957</v>
      </c>
      <c r="G24" s="232">
        <f>Other!N3</f>
        <v>11483797</v>
      </c>
      <c r="H24" s="232">
        <f>Other!O3</f>
        <v>11210893</v>
      </c>
      <c r="I24" s="232">
        <f>Other!P3</f>
        <v>11651075.033199562</v>
      </c>
      <c r="J24" s="232">
        <f>Other!Q3</f>
        <v>11575752.659998834</v>
      </c>
      <c r="K24" s="232">
        <f>Other!R3</f>
        <v>13177584.749039352</v>
      </c>
      <c r="L24" s="232">
        <f>Other!S3</f>
        <v>13185712.090121318</v>
      </c>
      <c r="M24" s="232">
        <f>Other!T3</f>
        <v>13238879.119255485</v>
      </c>
      <c r="N24" s="232">
        <f>Other!U3</f>
        <v>13333239.138122022</v>
      </c>
      <c r="O24" s="232">
        <f>Other!V3</f>
        <v>13350084.145006016</v>
      </c>
      <c r="P24" s="43">
        <f>Other!W3</f>
        <v>13892901.111111112</v>
      </c>
      <c r="Q24" s="43">
        <f t="shared" si="5"/>
        <v>149049572.04585367</v>
      </c>
      <c r="R24" s="118"/>
      <c r="T24" s="53"/>
    </row>
    <row r="25" spans="1:20" s="1" customFormat="1" ht="12" customHeight="1">
      <c r="A25" s="445"/>
      <c r="B25" s="445"/>
      <c r="C25" s="445"/>
      <c r="D25" s="110" t="s">
        <v>21</v>
      </c>
      <c r="E25" s="233">
        <f>E23-E24</f>
        <v>3762938</v>
      </c>
      <c r="F25" s="233">
        <f t="shared" ref="F25:P25" si="12">F23-F24</f>
        <v>3753611</v>
      </c>
      <c r="G25" s="233">
        <f t="shared" si="12"/>
        <v>3553155</v>
      </c>
      <c r="H25" s="233">
        <f t="shared" si="12"/>
        <v>3283381</v>
      </c>
      <c r="I25" s="233">
        <f t="shared" si="12"/>
        <v>3384995.9668004382</v>
      </c>
      <c r="J25" s="233">
        <f t="shared" si="12"/>
        <v>3416482.3400011659</v>
      </c>
      <c r="K25" s="233">
        <f t="shared" si="12"/>
        <v>3756859.2509606481</v>
      </c>
      <c r="L25" s="233">
        <f t="shared" si="12"/>
        <v>3297339.9098786823</v>
      </c>
      <c r="M25" s="233">
        <f t="shared" si="12"/>
        <v>3337320.880744515</v>
      </c>
      <c r="N25" s="233">
        <f t="shared" si="12"/>
        <v>3160798.8618779778</v>
      </c>
      <c r="O25" s="233">
        <f t="shared" si="12"/>
        <v>3239488.8549939841</v>
      </c>
      <c r="P25" s="44">
        <f t="shared" si="12"/>
        <v>3165098.8888888881</v>
      </c>
      <c r="Q25" s="44">
        <f t="shared" si="5"/>
        <v>41111469.954146296</v>
      </c>
      <c r="R25" s="118"/>
      <c r="T25" s="53"/>
    </row>
  </sheetData>
  <mergeCells count="9">
    <mergeCell ref="A5:C7"/>
    <mergeCell ref="A23:C25"/>
    <mergeCell ref="A20:C22"/>
    <mergeCell ref="A1:C1"/>
    <mergeCell ref="A2:C4"/>
    <mergeCell ref="A14:C16"/>
    <mergeCell ref="A8:C10"/>
    <mergeCell ref="A17:C19"/>
    <mergeCell ref="A11:C13"/>
  </mergeCells>
  <phoneticPr fontId="12"/>
  <printOptions horizont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643B-061A-4252-B777-1264965073AF}">
  <sheetPr>
    <pageSetUpPr fitToPage="1"/>
  </sheetPr>
  <dimension ref="A1:T29"/>
  <sheetViews>
    <sheetView showGridLines="0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C1"/>
    </sheetView>
  </sheetViews>
  <sheetFormatPr defaultRowHeight="13"/>
  <cols>
    <col min="1" max="1" width="8.08984375" style="8" customWidth="1"/>
    <col min="2" max="3" width="8.08984375" style="138" customWidth="1"/>
    <col min="4" max="4" width="10.08984375" style="12" customWidth="1"/>
    <col min="5" max="16" width="13.90625" style="12" customWidth="1"/>
    <col min="17" max="17" width="17.90625" style="12" customWidth="1"/>
    <col min="18" max="19" width="9" style="2"/>
    <col min="20" max="20" width="11" style="2" bestFit="1" customWidth="1"/>
    <col min="21" max="249" width="9" style="2"/>
    <col min="250" max="250" width="9.90625" style="2" customWidth="1"/>
    <col min="251" max="252" width="5.08984375" style="2" customWidth="1"/>
    <col min="253" max="253" width="9.6328125" style="2" customWidth="1"/>
    <col min="254" max="255" width="11.90625" style="2" customWidth="1"/>
    <col min="256" max="256" width="15.36328125" style="2" customWidth="1"/>
    <col min="257" max="257" width="10.90625" style="2" customWidth="1"/>
    <col min="258" max="268" width="13.36328125" style="2" customWidth="1"/>
    <col min="269" max="269" width="13.90625" style="2" customWidth="1"/>
    <col min="270" max="270" width="16.453125" style="2" customWidth="1"/>
    <col min="271" max="505" width="9" style="2"/>
    <col min="506" max="506" width="9.90625" style="2" customWidth="1"/>
    <col min="507" max="508" width="5.08984375" style="2" customWidth="1"/>
    <col min="509" max="509" width="9.6328125" style="2" customWidth="1"/>
    <col min="510" max="511" width="11.90625" style="2" customWidth="1"/>
    <col min="512" max="512" width="15.36328125" style="2" customWidth="1"/>
    <col min="513" max="513" width="10.90625" style="2" customWidth="1"/>
    <col min="514" max="524" width="13.36328125" style="2" customWidth="1"/>
    <col min="525" max="525" width="13.90625" style="2" customWidth="1"/>
    <col min="526" max="526" width="16.453125" style="2" customWidth="1"/>
    <col min="527" max="761" width="9" style="2"/>
    <col min="762" max="762" width="9.90625" style="2" customWidth="1"/>
    <col min="763" max="764" width="5.08984375" style="2" customWidth="1"/>
    <col min="765" max="765" width="9.6328125" style="2" customWidth="1"/>
    <col min="766" max="767" width="11.90625" style="2" customWidth="1"/>
    <col min="768" max="768" width="15.36328125" style="2" customWidth="1"/>
    <col min="769" max="769" width="10.90625" style="2" customWidth="1"/>
    <col min="770" max="780" width="13.36328125" style="2" customWidth="1"/>
    <col min="781" max="781" width="13.90625" style="2" customWidth="1"/>
    <col min="782" max="782" width="16.453125" style="2" customWidth="1"/>
    <col min="783" max="1017" width="9" style="2"/>
    <col min="1018" max="1018" width="9.90625" style="2" customWidth="1"/>
    <col min="1019" max="1020" width="5.08984375" style="2" customWidth="1"/>
    <col min="1021" max="1021" width="9.6328125" style="2" customWidth="1"/>
    <col min="1022" max="1023" width="11.90625" style="2" customWidth="1"/>
    <col min="1024" max="1024" width="15.36328125" style="2" customWidth="1"/>
    <col min="1025" max="1025" width="10.90625" style="2" customWidth="1"/>
    <col min="1026" max="1036" width="13.36328125" style="2" customWidth="1"/>
    <col min="1037" max="1037" width="13.90625" style="2" customWidth="1"/>
    <col min="1038" max="1038" width="16.453125" style="2" customWidth="1"/>
    <col min="1039" max="1273" width="9" style="2"/>
    <col min="1274" max="1274" width="9.90625" style="2" customWidth="1"/>
    <col min="1275" max="1276" width="5.08984375" style="2" customWidth="1"/>
    <col min="1277" max="1277" width="9.6328125" style="2" customWidth="1"/>
    <col min="1278" max="1279" width="11.90625" style="2" customWidth="1"/>
    <col min="1280" max="1280" width="15.36328125" style="2" customWidth="1"/>
    <col min="1281" max="1281" width="10.90625" style="2" customWidth="1"/>
    <col min="1282" max="1292" width="13.36328125" style="2" customWidth="1"/>
    <col min="1293" max="1293" width="13.90625" style="2" customWidth="1"/>
    <col min="1294" max="1294" width="16.453125" style="2" customWidth="1"/>
    <col min="1295" max="1529" width="9" style="2"/>
    <col min="1530" max="1530" width="9.90625" style="2" customWidth="1"/>
    <col min="1531" max="1532" width="5.08984375" style="2" customWidth="1"/>
    <col min="1533" max="1533" width="9.6328125" style="2" customWidth="1"/>
    <col min="1534" max="1535" width="11.90625" style="2" customWidth="1"/>
    <col min="1536" max="1536" width="15.36328125" style="2" customWidth="1"/>
    <col min="1537" max="1537" width="10.90625" style="2" customWidth="1"/>
    <col min="1538" max="1548" width="13.36328125" style="2" customWidth="1"/>
    <col min="1549" max="1549" width="13.90625" style="2" customWidth="1"/>
    <col min="1550" max="1550" width="16.453125" style="2" customWidth="1"/>
    <col min="1551" max="1785" width="9" style="2"/>
    <col min="1786" max="1786" width="9.90625" style="2" customWidth="1"/>
    <col min="1787" max="1788" width="5.08984375" style="2" customWidth="1"/>
    <col min="1789" max="1789" width="9.6328125" style="2" customWidth="1"/>
    <col min="1790" max="1791" width="11.90625" style="2" customWidth="1"/>
    <col min="1792" max="1792" width="15.36328125" style="2" customWidth="1"/>
    <col min="1793" max="1793" width="10.90625" style="2" customWidth="1"/>
    <col min="1794" max="1804" width="13.36328125" style="2" customWidth="1"/>
    <col min="1805" max="1805" width="13.90625" style="2" customWidth="1"/>
    <col min="1806" max="1806" width="16.453125" style="2" customWidth="1"/>
    <col min="1807" max="2041" width="9" style="2"/>
    <col min="2042" max="2042" width="9.90625" style="2" customWidth="1"/>
    <col min="2043" max="2044" width="5.08984375" style="2" customWidth="1"/>
    <col min="2045" max="2045" width="9.6328125" style="2" customWidth="1"/>
    <col min="2046" max="2047" width="11.90625" style="2" customWidth="1"/>
    <col min="2048" max="2048" width="15.36328125" style="2" customWidth="1"/>
    <col min="2049" max="2049" width="10.90625" style="2" customWidth="1"/>
    <col min="2050" max="2060" width="13.36328125" style="2" customWidth="1"/>
    <col min="2061" max="2061" width="13.90625" style="2" customWidth="1"/>
    <col min="2062" max="2062" width="16.453125" style="2" customWidth="1"/>
    <col min="2063" max="2297" width="9" style="2"/>
    <col min="2298" max="2298" width="9.90625" style="2" customWidth="1"/>
    <col min="2299" max="2300" width="5.08984375" style="2" customWidth="1"/>
    <col min="2301" max="2301" width="9.6328125" style="2" customWidth="1"/>
    <col min="2302" max="2303" width="11.90625" style="2" customWidth="1"/>
    <col min="2304" max="2304" width="15.36328125" style="2" customWidth="1"/>
    <col min="2305" max="2305" width="10.90625" style="2" customWidth="1"/>
    <col min="2306" max="2316" width="13.36328125" style="2" customWidth="1"/>
    <col min="2317" max="2317" width="13.90625" style="2" customWidth="1"/>
    <col min="2318" max="2318" width="16.453125" style="2" customWidth="1"/>
    <col min="2319" max="2553" width="9" style="2"/>
    <col min="2554" max="2554" width="9.90625" style="2" customWidth="1"/>
    <col min="2555" max="2556" width="5.08984375" style="2" customWidth="1"/>
    <col min="2557" max="2557" width="9.6328125" style="2" customWidth="1"/>
    <col min="2558" max="2559" width="11.90625" style="2" customWidth="1"/>
    <col min="2560" max="2560" width="15.36328125" style="2" customWidth="1"/>
    <col min="2561" max="2561" width="10.90625" style="2" customWidth="1"/>
    <col min="2562" max="2572" width="13.36328125" style="2" customWidth="1"/>
    <col min="2573" max="2573" width="13.90625" style="2" customWidth="1"/>
    <col min="2574" max="2574" width="16.453125" style="2" customWidth="1"/>
    <col min="2575" max="2809" width="9" style="2"/>
    <col min="2810" max="2810" width="9.90625" style="2" customWidth="1"/>
    <col min="2811" max="2812" width="5.08984375" style="2" customWidth="1"/>
    <col min="2813" max="2813" width="9.6328125" style="2" customWidth="1"/>
    <col min="2814" max="2815" width="11.90625" style="2" customWidth="1"/>
    <col min="2816" max="2816" width="15.36328125" style="2" customWidth="1"/>
    <col min="2817" max="2817" width="10.90625" style="2" customWidth="1"/>
    <col min="2818" max="2828" width="13.36328125" style="2" customWidth="1"/>
    <col min="2829" max="2829" width="13.90625" style="2" customWidth="1"/>
    <col min="2830" max="2830" width="16.453125" style="2" customWidth="1"/>
    <col min="2831" max="3065" width="9" style="2"/>
    <col min="3066" max="3066" width="9.90625" style="2" customWidth="1"/>
    <col min="3067" max="3068" width="5.08984375" style="2" customWidth="1"/>
    <col min="3069" max="3069" width="9.6328125" style="2" customWidth="1"/>
    <col min="3070" max="3071" width="11.90625" style="2" customWidth="1"/>
    <col min="3072" max="3072" width="15.36328125" style="2" customWidth="1"/>
    <col min="3073" max="3073" width="10.90625" style="2" customWidth="1"/>
    <col min="3074" max="3084" width="13.36328125" style="2" customWidth="1"/>
    <col min="3085" max="3085" width="13.90625" style="2" customWidth="1"/>
    <col min="3086" max="3086" width="16.453125" style="2" customWidth="1"/>
    <col min="3087" max="3321" width="9" style="2"/>
    <col min="3322" max="3322" width="9.90625" style="2" customWidth="1"/>
    <col min="3323" max="3324" width="5.08984375" style="2" customWidth="1"/>
    <col min="3325" max="3325" width="9.6328125" style="2" customWidth="1"/>
    <col min="3326" max="3327" width="11.90625" style="2" customWidth="1"/>
    <col min="3328" max="3328" width="15.36328125" style="2" customWidth="1"/>
    <col min="3329" max="3329" width="10.90625" style="2" customWidth="1"/>
    <col min="3330" max="3340" width="13.36328125" style="2" customWidth="1"/>
    <col min="3341" max="3341" width="13.90625" style="2" customWidth="1"/>
    <col min="3342" max="3342" width="16.453125" style="2" customWidth="1"/>
    <col min="3343" max="3577" width="9" style="2"/>
    <col min="3578" max="3578" width="9.90625" style="2" customWidth="1"/>
    <col min="3579" max="3580" width="5.08984375" style="2" customWidth="1"/>
    <col min="3581" max="3581" width="9.6328125" style="2" customWidth="1"/>
    <col min="3582" max="3583" width="11.90625" style="2" customWidth="1"/>
    <col min="3584" max="3584" width="15.36328125" style="2" customWidth="1"/>
    <col min="3585" max="3585" width="10.90625" style="2" customWidth="1"/>
    <col min="3586" max="3596" width="13.36328125" style="2" customWidth="1"/>
    <col min="3597" max="3597" width="13.90625" style="2" customWidth="1"/>
    <col min="3598" max="3598" width="16.453125" style="2" customWidth="1"/>
    <col min="3599" max="3833" width="9" style="2"/>
    <col min="3834" max="3834" width="9.90625" style="2" customWidth="1"/>
    <col min="3835" max="3836" width="5.08984375" style="2" customWidth="1"/>
    <col min="3837" max="3837" width="9.6328125" style="2" customWidth="1"/>
    <col min="3838" max="3839" width="11.90625" style="2" customWidth="1"/>
    <col min="3840" max="3840" width="15.36328125" style="2" customWidth="1"/>
    <col min="3841" max="3841" width="10.90625" style="2" customWidth="1"/>
    <col min="3842" max="3852" width="13.36328125" style="2" customWidth="1"/>
    <col min="3853" max="3853" width="13.90625" style="2" customWidth="1"/>
    <col min="3854" max="3854" width="16.453125" style="2" customWidth="1"/>
    <col min="3855" max="4089" width="9" style="2"/>
    <col min="4090" max="4090" width="9.90625" style="2" customWidth="1"/>
    <col min="4091" max="4092" width="5.08984375" style="2" customWidth="1"/>
    <col min="4093" max="4093" width="9.6328125" style="2" customWidth="1"/>
    <col min="4094" max="4095" width="11.90625" style="2" customWidth="1"/>
    <col min="4096" max="4096" width="15.36328125" style="2" customWidth="1"/>
    <col min="4097" max="4097" width="10.90625" style="2" customWidth="1"/>
    <col min="4098" max="4108" width="13.36328125" style="2" customWidth="1"/>
    <col min="4109" max="4109" width="13.90625" style="2" customWidth="1"/>
    <col min="4110" max="4110" width="16.453125" style="2" customWidth="1"/>
    <col min="4111" max="4345" width="9" style="2"/>
    <col min="4346" max="4346" width="9.90625" style="2" customWidth="1"/>
    <col min="4347" max="4348" width="5.08984375" style="2" customWidth="1"/>
    <col min="4349" max="4349" width="9.6328125" style="2" customWidth="1"/>
    <col min="4350" max="4351" width="11.90625" style="2" customWidth="1"/>
    <col min="4352" max="4352" width="15.36328125" style="2" customWidth="1"/>
    <col min="4353" max="4353" width="10.90625" style="2" customWidth="1"/>
    <col min="4354" max="4364" width="13.36328125" style="2" customWidth="1"/>
    <col min="4365" max="4365" width="13.90625" style="2" customWidth="1"/>
    <col min="4366" max="4366" width="16.453125" style="2" customWidth="1"/>
    <col min="4367" max="4601" width="9" style="2"/>
    <col min="4602" max="4602" width="9.90625" style="2" customWidth="1"/>
    <col min="4603" max="4604" width="5.08984375" style="2" customWidth="1"/>
    <col min="4605" max="4605" width="9.6328125" style="2" customWidth="1"/>
    <col min="4606" max="4607" width="11.90625" style="2" customWidth="1"/>
    <col min="4608" max="4608" width="15.36328125" style="2" customWidth="1"/>
    <col min="4609" max="4609" width="10.90625" style="2" customWidth="1"/>
    <col min="4610" max="4620" width="13.36328125" style="2" customWidth="1"/>
    <col min="4621" max="4621" width="13.90625" style="2" customWidth="1"/>
    <col min="4622" max="4622" width="16.453125" style="2" customWidth="1"/>
    <col min="4623" max="4857" width="9" style="2"/>
    <col min="4858" max="4858" width="9.90625" style="2" customWidth="1"/>
    <col min="4859" max="4860" width="5.08984375" style="2" customWidth="1"/>
    <col min="4861" max="4861" width="9.6328125" style="2" customWidth="1"/>
    <col min="4862" max="4863" width="11.90625" style="2" customWidth="1"/>
    <col min="4864" max="4864" width="15.36328125" style="2" customWidth="1"/>
    <col min="4865" max="4865" width="10.90625" style="2" customWidth="1"/>
    <col min="4866" max="4876" width="13.36328125" style="2" customWidth="1"/>
    <col min="4877" max="4877" width="13.90625" style="2" customWidth="1"/>
    <col min="4878" max="4878" width="16.453125" style="2" customWidth="1"/>
    <col min="4879" max="5113" width="9" style="2"/>
    <col min="5114" max="5114" width="9.90625" style="2" customWidth="1"/>
    <col min="5115" max="5116" width="5.08984375" style="2" customWidth="1"/>
    <col min="5117" max="5117" width="9.6328125" style="2" customWidth="1"/>
    <col min="5118" max="5119" width="11.90625" style="2" customWidth="1"/>
    <col min="5120" max="5120" width="15.36328125" style="2" customWidth="1"/>
    <col min="5121" max="5121" width="10.90625" style="2" customWidth="1"/>
    <col min="5122" max="5132" width="13.36328125" style="2" customWidth="1"/>
    <col min="5133" max="5133" width="13.90625" style="2" customWidth="1"/>
    <col min="5134" max="5134" width="16.453125" style="2" customWidth="1"/>
    <col min="5135" max="5369" width="9" style="2"/>
    <col min="5370" max="5370" width="9.90625" style="2" customWidth="1"/>
    <col min="5371" max="5372" width="5.08984375" style="2" customWidth="1"/>
    <col min="5373" max="5373" width="9.6328125" style="2" customWidth="1"/>
    <col min="5374" max="5375" width="11.90625" style="2" customWidth="1"/>
    <col min="5376" max="5376" width="15.36328125" style="2" customWidth="1"/>
    <col min="5377" max="5377" width="10.90625" style="2" customWidth="1"/>
    <col min="5378" max="5388" width="13.36328125" style="2" customWidth="1"/>
    <col min="5389" max="5389" width="13.90625" style="2" customWidth="1"/>
    <col min="5390" max="5390" width="16.453125" style="2" customWidth="1"/>
    <col min="5391" max="5625" width="9" style="2"/>
    <col min="5626" max="5626" width="9.90625" style="2" customWidth="1"/>
    <col min="5627" max="5628" width="5.08984375" style="2" customWidth="1"/>
    <col min="5629" max="5629" width="9.6328125" style="2" customWidth="1"/>
    <col min="5630" max="5631" width="11.90625" style="2" customWidth="1"/>
    <col min="5632" max="5632" width="15.36328125" style="2" customWidth="1"/>
    <col min="5633" max="5633" width="10.90625" style="2" customWidth="1"/>
    <col min="5634" max="5644" width="13.36328125" style="2" customWidth="1"/>
    <col min="5645" max="5645" width="13.90625" style="2" customWidth="1"/>
    <col min="5646" max="5646" width="16.453125" style="2" customWidth="1"/>
    <col min="5647" max="5881" width="9" style="2"/>
    <col min="5882" max="5882" width="9.90625" style="2" customWidth="1"/>
    <col min="5883" max="5884" width="5.08984375" style="2" customWidth="1"/>
    <col min="5885" max="5885" width="9.6328125" style="2" customWidth="1"/>
    <col min="5886" max="5887" width="11.90625" style="2" customWidth="1"/>
    <col min="5888" max="5888" width="15.36328125" style="2" customWidth="1"/>
    <col min="5889" max="5889" width="10.90625" style="2" customWidth="1"/>
    <col min="5890" max="5900" width="13.36328125" style="2" customWidth="1"/>
    <col min="5901" max="5901" width="13.90625" style="2" customWidth="1"/>
    <col min="5902" max="5902" width="16.453125" style="2" customWidth="1"/>
    <col min="5903" max="6137" width="9" style="2"/>
    <col min="6138" max="6138" width="9.90625" style="2" customWidth="1"/>
    <col min="6139" max="6140" width="5.08984375" style="2" customWidth="1"/>
    <col min="6141" max="6141" width="9.6328125" style="2" customWidth="1"/>
    <col min="6142" max="6143" width="11.90625" style="2" customWidth="1"/>
    <col min="6144" max="6144" width="15.36328125" style="2" customWidth="1"/>
    <col min="6145" max="6145" width="10.90625" style="2" customWidth="1"/>
    <col min="6146" max="6156" width="13.36328125" style="2" customWidth="1"/>
    <col min="6157" max="6157" width="13.90625" style="2" customWidth="1"/>
    <col min="6158" max="6158" width="16.453125" style="2" customWidth="1"/>
    <col min="6159" max="6393" width="9" style="2"/>
    <col min="6394" max="6394" width="9.90625" style="2" customWidth="1"/>
    <col min="6395" max="6396" width="5.08984375" style="2" customWidth="1"/>
    <col min="6397" max="6397" width="9.6328125" style="2" customWidth="1"/>
    <col min="6398" max="6399" width="11.90625" style="2" customWidth="1"/>
    <col min="6400" max="6400" width="15.36328125" style="2" customWidth="1"/>
    <col min="6401" max="6401" width="10.90625" style="2" customWidth="1"/>
    <col min="6402" max="6412" width="13.36328125" style="2" customWidth="1"/>
    <col min="6413" max="6413" width="13.90625" style="2" customWidth="1"/>
    <col min="6414" max="6414" width="16.453125" style="2" customWidth="1"/>
    <col min="6415" max="6649" width="9" style="2"/>
    <col min="6650" max="6650" width="9.90625" style="2" customWidth="1"/>
    <col min="6651" max="6652" width="5.08984375" style="2" customWidth="1"/>
    <col min="6653" max="6653" width="9.6328125" style="2" customWidth="1"/>
    <col min="6654" max="6655" width="11.90625" style="2" customWidth="1"/>
    <col min="6656" max="6656" width="15.36328125" style="2" customWidth="1"/>
    <col min="6657" max="6657" width="10.90625" style="2" customWidth="1"/>
    <col min="6658" max="6668" width="13.36328125" style="2" customWidth="1"/>
    <col min="6669" max="6669" width="13.90625" style="2" customWidth="1"/>
    <col min="6670" max="6670" width="16.453125" style="2" customWidth="1"/>
    <col min="6671" max="6905" width="9" style="2"/>
    <col min="6906" max="6906" width="9.90625" style="2" customWidth="1"/>
    <col min="6907" max="6908" width="5.08984375" style="2" customWidth="1"/>
    <col min="6909" max="6909" width="9.6328125" style="2" customWidth="1"/>
    <col min="6910" max="6911" width="11.90625" style="2" customWidth="1"/>
    <col min="6912" max="6912" width="15.36328125" style="2" customWidth="1"/>
    <col min="6913" max="6913" width="10.90625" style="2" customWidth="1"/>
    <col min="6914" max="6924" width="13.36328125" style="2" customWidth="1"/>
    <col min="6925" max="6925" width="13.90625" style="2" customWidth="1"/>
    <col min="6926" max="6926" width="16.453125" style="2" customWidth="1"/>
    <col min="6927" max="7161" width="9" style="2"/>
    <col min="7162" max="7162" width="9.90625" style="2" customWidth="1"/>
    <col min="7163" max="7164" width="5.08984375" style="2" customWidth="1"/>
    <col min="7165" max="7165" width="9.6328125" style="2" customWidth="1"/>
    <col min="7166" max="7167" width="11.90625" style="2" customWidth="1"/>
    <col min="7168" max="7168" width="15.36328125" style="2" customWidth="1"/>
    <col min="7169" max="7169" width="10.90625" style="2" customWidth="1"/>
    <col min="7170" max="7180" width="13.36328125" style="2" customWidth="1"/>
    <col min="7181" max="7181" width="13.90625" style="2" customWidth="1"/>
    <col min="7182" max="7182" width="16.453125" style="2" customWidth="1"/>
    <col min="7183" max="7417" width="9" style="2"/>
    <col min="7418" max="7418" width="9.90625" style="2" customWidth="1"/>
    <col min="7419" max="7420" width="5.08984375" style="2" customWidth="1"/>
    <col min="7421" max="7421" width="9.6328125" style="2" customWidth="1"/>
    <col min="7422" max="7423" width="11.90625" style="2" customWidth="1"/>
    <col min="7424" max="7424" width="15.36328125" style="2" customWidth="1"/>
    <col min="7425" max="7425" width="10.90625" style="2" customWidth="1"/>
    <col min="7426" max="7436" width="13.36328125" style="2" customWidth="1"/>
    <col min="7437" max="7437" width="13.90625" style="2" customWidth="1"/>
    <col min="7438" max="7438" width="16.453125" style="2" customWidth="1"/>
    <col min="7439" max="7673" width="9" style="2"/>
    <col min="7674" max="7674" width="9.90625" style="2" customWidth="1"/>
    <col min="7675" max="7676" width="5.08984375" style="2" customWidth="1"/>
    <col min="7677" max="7677" width="9.6328125" style="2" customWidth="1"/>
    <col min="7678" max="7679" width="11.90625" style="2" customWidth="1"/>
    <col min="7680" max="7680" width="15.36328125" style="2" customWidth="1"/>
    <col min="7681" max="7681" width="10.90625" style="2" customWidth="1"/>
    <col min="7682" max="7692" width="13.36328125" style="2" customWidth="1"/>
    <col min="7693" max="7693" width="13.90625" style="2" customWidth="1"/>
    <col min="7694" max="7694" width="16.453125" style="2" customWidth="1"/>
    <col min="7695" max="7929" width="9" style="2"/>
    <col min="7930" max="7930" width="9.90625" style="2" customWidth="1"/>
    <col min="7931" max="7932" width="5.08984375" style="2" customWidth="1"/>
    <col min="7933" max="7933" width="9.6328125" style="2" customWidth="1"/>
    <col min="7934" max="7935" width="11.90625" style="2" customWidth="1"/>
    <col min="7936" max="7936" width="15.36328125" style="2" customWidth="1"/>
    <col min="7937" max="7937" width="10.90625" style="2" customWidth="1"/>
    <col min="7938" max="7948" width="13.36328125" style="2" customWidth="1"/>
    <col min="7949" max="7949" width="13.90625" style="2" customWidth="1"/>
    <col min="7950" max="7950" width="16.453125" style="2" customWidth="1"/>
    <col min="7951" max="8185" width="9" style="2"/>
    <col min="8186" max="8186" width="9.90625" style="2" customWidth="1"/>
    <col min="8187" max="8188" width="5.08984375" style="2" customWidth="1"/>
    <col min="8189" max="8189" width="9.6328125" style="2" customWidth="1"/>
    <col min="8190" max="8191" width="11.90625" style="2" customWidth="1"/>
    <col min="8192" max="8192" width="15.36328125" style="2" customWidth="1"/>
    <col min="8193" max="8193" width="10.90625" style="2" customWidth="1"/>
    <col min="8194" max="8204" width="13.36328125" style="2" customWidth="1"/>
    <col min="8205" max="8205" width="13.90625" style="2" customWidth="1"/>
    <col min="8206" max="8206" width="16.453125" style="2" customWidth="1"/>
    <col min="8207" max="8441" width="9" style="2"/>
    <col min="8442" max="8442" width="9.90625" style="2" customWidth="1"/>
    <col min="8443" max="8444" width="5.08984375" style="2" customWidth="1"/>
    <col min="8445" max="8445" width="9.6328125" style="2" customWidth="1"/>
    <col min="8446" max="8447" width="11.90625" style="2" customWidth="1"/>
    <col min="8448" max="8448" width="15.36328125" style="2" customWidth="1"/>
    <col min="8449" max="8449" width="10.90625" style="2" customWidth="1"/>
    <col min="8450" max="8460" width="13.36328125" style="2" customWidth="1"/>
    <col min="8461" max="8461" width="13.90625" style="2" customWidth="1"/>
    <col min="8462" max="8462" width="16.453125" style="2" customWidth="1"/>
    <col min="8463" max="8697" width="9" style="2"/>
    <col min="8698" max="8698" width="9.90625" style="2" customWidth="1"/>
    <col min="8699" max="8700" width="5.08984375" style="2" customWidth="1"/>
    <col min="8701" max="8701" width="9.6328125" style="2" customWidth="1"/>
    <col min="8702" max="8703" width="11.90625" style="2" customWidth="1"/>
    <col min="8704" max="8704" width="15.36328125" style="2" customWidth="1"/>
    <col min="8705" max="8705" width="10.90625" style="2" customWidth="1"/>
    <col min="8706" max="8716" width="13.36328125" style="2" customWidth="1"/>
    <col min="8717" max="8717" width="13.90625" style="2" customWidth="1"/>
    <col min="8718" max="8718" width="16.453125" style="2" customWidth="1"/>
    <col min="8719" max="8953" width="9" style="2"/>
    <col min="8954" max="8954" width="9.90625" style="2" customWidth="1"/>
    <col min="8955" max="8956" width="5.08984375" style="2" customWidth="1"/>
    <col min="8957" max="8957" width="9.6328125" style="2" customWidth="1"/>
    <col min="8958" max="8959" width="11.90625" style="2" customWidth="1"/>
    <col min="8960" max="8960" width="15.36328125" style="2" customWidth="1"/>
    <col min="8961" max="8961" width="10.90625" style="2" customWidth="1"/>
    <col min="8962" max="8972" width="13.36328125" style="2" customWidth="1"/>
    <col min="8973" max="8973" width="13.90625" style="2" customWidth="1"/>
    <col min="8974" max="8974" width="16.453125" style="2" customWidth="1"/>
    <col min="8975" max="9209" width="9" style="2"/>
    <col min="9210" max="9210" width="9.90625" style="2" customWidth="1"/>
    <col min="9211" max="9212" width="5.08984375" style="2" customWidth="1"/>
    <col min="9213" max="9213" width="9.6328125" style="2" customWidth="1"/>
    <col min="9214" max="9215" width="11.90625" style="2" customWidth="1"/>
    <col min="9216" max="9216" width="15.36328125" style="2" customWidth="1"/>
    <col min="9217" max="9217" width="10.90625" style="2" customWidth="1"/>
    <col min="9218" max="9228" width="13.36328125" style="2" customWidth="1"/>
    <col min="9229" max="9229" width="13.90625" style="2" customWidth="1"/>
    <col min="9230" max="9230" width="16.453125" style="2" customWidth="1"/>
    <col min="9231" max="9465" width="9" style="2"/>
    <col min="9466" max="9466" width="9.90625" style="2" customWidth="1"/>
    <col min="9467" max="9468" width="5.08984375" style="2" customWidth="1"/>
    <col min="9469" max="9469" width="9.6328125" style="2" customWidth="1"/>
    <col min="9470" max="9471" width="11.90625" style="2" customWidth="1"/>
    <col min="9472" max="9472" width="15.36328125" style="2" customWidth="1"/>
    <col min="9473" max="9473" width="10.90625" style="2" customWidth="1"/>
    <col min="9474" max="9484" width="13.36328125" style="2" customWidth="1"/>
    <col min="9485" max="9485" width="13.90625" style="2" customWidth="1"/>
    <col min="9486" max="9486" width="16.453125" style="2" customWidth="1"/>
    <col min="9487" max="9721" width="9" style="2"/>
    <col min="9722" max="9722" width="9.90625" style="2" customWidth="1"/>
    <col min="9723" max="9724" width="5.08984375" style="2" customWidth="1"/>
    <col min="9725" max="9725" width="9.6328125" style="2" customWidth="1"/>
    <col min="9726" max="9727" width="11.90625" style="2" customWidth="1"/>
    <col min="9728" max="9728" width="15.36328125" style="2" customWidth="1"/>
    <col min="9729" max="9729" width="10.90625" style="2" customWidth="1"/>
    <col min="9730" max="9740" width="13.36328125" style="2" customWidth="1"/>
    <col min="9741" max="9741" width="13.90625" style="2" customWidth="1"/>
    <col min="9742" max="9742" width="16.453125" style="2" customWidth="1"/>
    <col min="9743" max="9977" width="9" style="2"/>
    <col min="9978" max="9978" width="9.90625" style="2" customWidth="1"/>
    <col min="9979" max="9980" width="5.08984375" style="2" customWidth="1"/>
    <col min="9981" max="9981" width="9.6328125" style="2" customWidth="1"/>
    <col min="9982" max="9983" width="11.90625" style="2" customWidth="1"/>
    <col min="9984" max="9984" width="15.36328125" style="2" customWidth="1"/>
    <col min="9985" max="9985" width="10.90625" style="2" customWidth="1"/>
    <col min="9986" max="9996" width="13.36328125" style="2" customWidth="1"/>
    <col min="9997" max="9997" width="13.90625" style="2" customWidth="1"/>
    <col min="9998" max="9998" width="16.453125" style="2" customWidth="1"/>
    <col min="9999" max="10233" width="9" style="2"/>
    <col min="10234" max="10234" width="9.90625" style="2" customWidth="1"/>
    <col min="10235" max="10236" width="5.08984375" style="2" customWidth="1"/>
    <col min="10237" max="10237" width="9.6328125" style="2" customWidth="1"/>
    <col min="10238" max="10239" width="11.90625" style="2" customWidth="1"/>
    <col min="10240" max="10240" width="15.36328125" style="2" customWidth="1"/>
    <col min="10241" max="10241" width="10.90625" style="2" customWidth="1"/>
    <col min="10242" max="10252" width="13.36328125" style="2" customWidth="1"/>
    <col min="10253" max="10253" width="13.90625" style="2" customWidth="1"/>
    <col min="10254" max="10254" width="16.453125" style="2" customWidth="1"/>
    <col min="10255" max="10489" width="9" style="2"/>
    <col min="10490" max="10490" width="9.90625" style="2" customWidth="1"/>
    <col min="10491" max="10492" width="5.08984375" style="2" customWidth="1"/>
    <col min="10493" max="10493" width="9.6328125" style="2" customWidth="1"/>
    <col min="10494" max="10495" width="11.90625" style="2" customWidth="1"/>
    <col min="10496" max="10496" width="15.36328125" style="2" customWidth="1"/>
    <col min="10497" max="10497" width="10.90625" style="2" customWidth="1"/>
    <col min="10498" max="10508" width="13.36328125" style="2" customWidth="1"/>
    <col min="10509" max="10509" width="13.90625" style="2" customWidth="1"/>
    <col min="10510" max="10510" width="16.453125" style="2" customWidth="1"/>
    <col min="10511" max="10745" width="9" style="2"/>
    <col min="10746" max="10746" width="9.90625" style="2" customWidth="1"/>
    <col min="10747" max="10748" width="5.08984375" style="2" customWidth="1"/>
    <col min="10749" max="10749" width="9.6328125" style="2" customWidth="1"/>
    <col min="10750" max="10751" width="11.90625" style="2" customWidth="1"/>
    <col min="10752" max="10752" width="15.36328125" style="2" customWidth="1"/>
    <col min="10753" max="10753" width="10.90625" style="2" customWidth="1"/>
    <col min="10754" max="10764" width="13.36328125" style="2" customWidth="1"/>
    <col min="10765" max="10765" width="13.90625" style="2" customWidth="1"/>
    <col min="10766" max="10766" width="16.453125" style="2" customWidth="1"/>
    <col min="10767" max="11001" width="9" style="2"/>
    <col min="11002" max="11002" width="9.90625" style="2" customWidth="1"/>
    <col min="11003" max="11004" width="5.08984375" style="2" customWidth="1"/>
    <col min="11005" max="11005" width="9.6328125" style="2" customWidth="1"/>
    <col min="11006" max="11007" width="11.90625" style="2" customWidth="1"/>
    <col min="11008" max="11008" width="15.36328125" style="2" customWidth="1"/>
    <col min="11009" max="11009" width="10.90625" style="2" customWidth="1"/>
    <col min="11010" max="11020" width="13.36328125" style="2" customWidth="1"/>
    <col min="11021" max="11021" width="13.90625" style="2" customWidth="1"/>
    <col min="11022" max="11022" width="16.453125" style="2" customWidth="1"/>
    <col min="11023" max="11257" width="9" style="2"/>
    <col min="11258" max="11258" width="9.90625" style="2" customWidth="1"/>
    <col min="11259" max="11260" width="5.08984375" style="2" customWidth="1"/>
    <col min="11261" max="11261" width="9.6328125" style="2" customWidth="1"/>
    <col min="11262" max="11263" width="11.90625" style="2" customWidth="1"/>
    <col min="11264" max="11264" width="15.36328125" style="2" customWidth="1"/>
    <col min="11265" max="11265" width="10.90625" style="2" customWidth="1"/>
    <col min="11266" max="11276" width="13.36328125" style="2" customWidth="1"/>
    <col min="11277" max="11277" width="13.90625" style="2" customWidth="1"/>
    <col min="11278" max="11278" width="16.453125" style="2" customWidth="1"/>
    <col min="11279" max="11513" width="9" style="2"/>
    <col min="11514" max="11514" width="9.90625" style="2" customWidth="1"/>
    <col min="11515" max="11516" width="5.08984375" style="2" customWidth="1"/>
    <col min="11517" max="11517" width="9.6328125" style="2" customWidth="1"/>
    <col min="11518" max="11519" width="11.90625" style="2" customWidth="1"/>
    <col min="11520" max="11520" width="15.36328125" style="2" customWidth="1"/>
    <col min="11521" max="11521" width="10.90625" style="2" customWidth="1"/>
    <col min="11522" max="11532" width="13.36328125" style="2" customWidth="1"/>
    <col min="11533" max="11533" width="13.90625" style="2" customWidth="1"/>
    <col min="11534" max="11534" width="16.453125" style="2" customWidth="1"/>
    <col min="11535" max="11769" width="9" style="2"/>
    <col min="11770" max="11770" width="9.90625" style="2" customWidth="1"/>
    <col min="11771" max="11772" width="5.08984375" style="2" customWidth="1"/>
    <col min="11773" max="11773" width="9.6328125" style="2" customWidth="1"/>
    <col min="11774" max="11775" width="11.90625" style="2" customWidth="1"/>
    <col min="11776" max="11776" width="15.36328125" style="2" customWidth="1"/>
    <col min="11777" max="11777" width="10.90625" style="2" customWidth="1"/>
    <col min="11778" max="11788" width="13.36328125" style="2" customWidth="1"/>
    <col min="11789" max="11789" width="13.90625" style="2" customWidth="1"/>
    <col min="11790" max="11790" width="16.453125" style="2" customWidth="1"/>
    <col min="11791" max="12025" width="9" style="2"/>
    <col min="12026" max="12026" width="9.90625" style="2" customWidth="1"/>
    <col min="12027" max="12028" width="5.08984375" style="2" customWidth="1"/>
    <col min="12029" max="12029" width="9.6328125" style="2" customWidth="1"/>
    <col min="12030" max="12031" width="11.90625" style="2" customWidth="1"/>
    <col min="12032" max="12032" width="15.36328125" style="2" customWidth="1"/>
    <col min="12033" max="12033" width="10.90625" style="2" customWidth="1"/>
    <col min="12034" max="12044" width="13.36328125" style="2" customWidth="1"/>
    <col min="12045" max="12045" width="13.90625" style="2" customWidth="1"/>
    <col min="12046" max="12046" width="16.453125" style="2" customWidth="1"/>
    <col min="12047" max="12281" width="9" style="2"/>
    <col min="12282" max="12282" width="9.90625" style="2" customWidth="1"/>
    <col min="12283" max="12284" width="5.08984375" style="2" customWidth="1"/>
    <col min="12285" max="12285" width="9.6328125" style="2" customWidth="1"/>
    <col min="12286" max="12287" width="11.90625" style="2" customWidth="1"/>
    <col min="12288" max="12288" width="15.36328125" style="2" customWidth="1"/>
    <col min="12289" max="12289" width="10.90625" style="2" customWidth="1"/>
    <col min="12290" max="12300" width="13.36328125" style="2" customWidth="1"/>
    <col min="12301" max="12301" width="13.90625" style="2" customWidth="1"/>
    <col min="12302" max="12302" width="16.453125" style="2" customWidth="1"/>
    <col min="12303" max="12537" width="9" style="2"/>
    <col min="12538" max="12538" width="9.90625" style="2" customWidth="1"/>
    <col min="12539" max="12540" width="5.08984375" style="2" customWidth="1"/>
    <col min="12541" max="12541" width="9.6328125" style="2" customWidth="1"/>
    <col min="12542" max="12543" width="11.90625" style="2" customWidth="1"/>
    <col min="12544" max="12544" width="15.36328125" style="2" customWidth="1"/>
    <col min="12545" max="12545" width="10.90625" style="2" customWidth="1"/>
    <col min="12546" max="12556" width="13.36328125" style="2" customWidth="1"/>
    <col min="12557" max="12557" width="13.90625" style="2" customWidth="1"/>
    <col min="12558" max="12558" width="16.453125" style="2" customWidth="1"/>
    <col min="12559" max="12793" width="9" style="2"/>
    <col min="12794" max="12794" width="9.90625" style="2" customWidth="1"/>
    <col min="12795" max="12796" width="5.08984375" style="2" customWidth="1"/>
    <col min="12797" max="12797" width="9.6328125" style="2" customWidth="1"/>
    <col min="12798" max="12799" width="11.90625" style="2" customWidth="1"/>
    <col min="12800" max="12800" width="15.36328125" style="2" customWidth="1"/>
    <col min="12801" max="12801" width="10.90625" style="2" customWidth="1"/>
    <col min="12802" max="12812" width="13.36328125" style="2" customWidth="1"/>
    <col min="12813" max="12813" width="13.90625" style="2" customWidth="1"/>
    <col min="12814" max="12814" width="16.453125" style="2" customWidth="1"/>
    <col min="12815" max="13049" width="9" style="2"/>
    <col min="13050" max="13050" width="9.90625" style="2" customWidth="1"/>
    <col min="13051" max="13052" width="5.08984375" style="2" customWidth="1"/>
    <col min="13053" max="13053" width="9.6328125" style="2" customWidth="1"/>
    <col min="13054" max="13055" width="11.90625" style="2" customWidth="1"/>
    <col min="13056" max="13056" width="15.36328125" style="2" customWidth="1"/>
    <col min="13057" max="13057" width="10.90625" style="2" customWidth="1"/>
    <col min="13058" max="13068" width="13.36328125" style="2" customWidth="1"/>
    <col min="13069" max="13069" width="13.90625" style="2" customWidth="1"/>
    <col min="13070" max="13070" width="16.453125" style="2" customWidth="1"/>
    <col min="13071" max="13305" width="9" style="2"/>
    <col min="13306" max="13306" width="9.90625" style="2" customWidth="1"/>
    <col min="13307" max="13308" width="5.08984375" style="2" customWidth="1"/>
    <col min="13309" max="13309" width="9.6328125" style="2" customWidth="1"/>
    <col min="13310" max="13311" width="11.90625" style="2" customWidth="1"/>
    <col min="13312" max="13312" width="15.36328125" style="2" customWidth="1"/>
    <col min="13313" max="13313" width="10.90625" style="2" customWidth="1"/>
    <col min="13314" max="13324" width="13.36328125" style="2" customWidth="1"/>
    <col min="13325" max="13325" width="13.90625" style="2" customWidth="1"/>
    <col min="13326" max="13326" width="16.453125" style="2" customWidth="1"/>
    <col min="13327" max="13561" width="9" style="2"/>
    <col min="13562" max="13562" width="9.90625" style="2" customWidth="1"/>
    <col min="13563" max="13564" width="5.08984375" style="2" customWidth="1"/>
    <col min="13565" max="13565" width="9.6328125" style="2" customWidth="1"/>
    <col min="13566" max="13567" width="11.90625" style="2" customWidth="1"/>
    <col min="13568" max="13568" width="15.36328125" style="2" customWidth="1"/>
    <col min="13569" max="13569" width="10.90625" style="2" customWidth="1"/>
    <col min="13570" max="13580" width="13.36328125" style="2" customWidth="1"/>
    <col min="13581" max="13581" width="13.90625" style="2" customWidth="1"/>
    <col min="13582" max="13582" width="16.453125" style="2" customWidth="1"/>
    <col min="13583" max="13817" width="9" style="2"/>
    <col min="13818" max="13818" width="9.90625" style="2" customWidth="1"/>
    <col min="13819" max="13820" width="5.08984375" style="2" customWidth="1"/>
    <col min="13821" max="13821" width="9.6328125" style="2" customWidth="1"/>
    <col min="13822" max="13823" width="11.90625" style="2" customWidth="1"/>
    <col min="13824" max="13824" width="15.36328125" style="2" customWidth="1"/>
    <col min="13825" max="13825" width="10.90625" style="2" customWidth="1"/>
    <col min="13826" max="13836" width="13.36328125" style="2" customWidth="1"/>
    <col min="13837" max="13837" width="13.90625" style="2" customWidth="1"/>
    <col min="13838" max="13838" width="16.453125" style="2" customWidth="1"/>
    <col min="13839" max="14073" width="9" style="2"/>
    <col min="14074" max="14074" width="9.90625" style="2" customWidth="1"/>
    <col min="14075" max="14076" width="5.08984375" style="2" customWidth="1"/>
    <col min="14077" max="14077" width="9.6328125" style="2" customWidth="1"/>
    <col min="14078" max="14079" width="11.90625" style="2" customWidth="1"/>
    <col min="14080" max="14080" width="15.36328125" style="2" customWidth="1"/>
    <col min="14081" max="14081" width="10.90625" style="2" customWidth="1"/>
    <col min="14082" max="14092" width="13.36328125" style="2" customWidth="1"/>
    <col min="14093" max="14093" width="13.90625" style="2" customWidth="1"/>
    <col min="14094" max="14094" width="16.453125" style="2" customWidth="1"/>
    <col min="14095" max="14329" width="9" style="2"/>
    <col min="14330" max="14330" width="9.90625" style="2" customWidth="1"/>
    <col min="14331" max="14332" width="5.08984375" style="2" customWidth="1"/>
    <col min="14333" max="14333" width="9.6328125" style="2" customWidth="1"/>
    <col min="14334" max="14335" width="11.90625" style="2" customWidth="1"/>
    <col min="14336" max="14336" width="15.36328125" style="2" customWidth="1"/>
    <col min="14337" max="14337" width="10.90625" style="2" customWidth="1"/>
    <col min="14338" max="14348" width="13.36328125" style="2" customWidth="1"/>
    <col min="14349" max="14349" width="13.90625" style="2" customWidth="1"/>
    <col min="14350" max="14350" width="16.453125" style="2" customWidth="1"/>
    <col min="14351" max="14585" width="9" style="2"/>
    <col min="14586" max="14586" width="9.90625" style="2" customWidth="1"/>
    <col min="14587" max="14588" width="5.08984375" style="2" customWidth="1"/>
    <col min="14589" max="14589" width="9.6328125" style="2" customWidth="1"/>
    <col min="14590" max="14591" width="11.90625" style="2" customWidth="1"/>
    <col min="14592" max="14592" width="15.36328125" style="2" customWidth="1"/>
    <col min="14593" max="14593" width="10.90625" style="2" customWidth="1"/>
    <col min="14594" max="14604" width="13.36328125" style="2" customWidth="1"/>
    <col min="14605" max="14605" width="13.90625" style="2" customWidth="1"/>
    <col min="14606" max="14606" width="16.453125" style="2" customWidth="1"/>
    <col min="14607" max="14841" width="9" style="2"/>
    <col min="14842" max="14842" width="9.90625" style="2" customWidth="1"/>
    <col min="14843" max="14844" width="5.08984375" style="2" customWidth="1"/>
    <col min="14845" max="14845" width="9.6328125" style="2" customWidth="1"/>
    <col min="14846" max="14847" width="11.90625" style="2" customWidth="1"/>
    <col min="14848" max="14848" width="15.36328125" style="2" customWidth="1"/>
    <col min="14849" max="14849" width="10.90625" style="2" customWidth="1"/>
    <col min="14850" max="14860" width="13.36328125" style="2" customWidth="1"/>
    <col min="14861" max="14861" width="13.90625" style="2" customWidth="1"/>
    <col min="14862" max="14862" width="16.453125" style="2" customWidth="1"/>
    <col min="14863" max="15097" width="9" style="2"/>
    <col min="15098" max="15098" width="9.90625" style="2" customWidth="1"/>
    <col min="15099" max="15100" width="5.08984375" style="2" customWidth="1"/>
    <col min="15101" max="15101" width="9.6328125" style="2" customWidth="1"/>
    <col min="15102" max="15103" width="11.90625" style="2" customWidth="1"/>
    <col min="15104" max="15104" width="15.36328125" style="2" customWidth="1"/>
    <col min="15105" max="15105" width="10.90625" style="2" customWidth="1"/>
    <col min="15106" max="15116" width="13.36328125" style="2" customWidth="1"/>
    <col min="15117" max="15117" width="13.90625" style="2" customWidth="1"/>
    <col min="15118" max="15118" width="16.453125" style="2" customWidth="1"/>
    <col min="15119" max="15353" width="9" style="2"/>
    <col min="15354" max="15354" width="9.90625" style="2" customWidth="1"/>
    <col min="15355" max="15356" width="5.08984375" style="2" customWidth="1"/>
    <col min="15357" max="15357" width="9.6328125" style="2" customWidth="1"/>
    <col min="15358" max="15359" width="11.90625" style="2" customWidth="1"/>
    <col min="15360" max="15360" width="15.36328125" style="2" customWidth="1"/>
    <col min="15361" max="15361" width="10.90625" style="2" customWidth="1"/>
    <col min="15362" max="15372" width="13.36328125" style="2" customWidth="1"/>
    <col min="15373" max="15373" width="13.90625" style="2" customWidth="1"/>
    <col min="15374" max="15374" width="16.453125" style="2" customWidth="1"/>
    <col min="15375" max="15609" width="9" style="2"/>
    <col min="15610" max="15610" width="9.90625" style="2" customWidth="1"/>
    <col min="15611" max="15612" width="5.08984375" style="2" customWidth="1"/>
    <col min="15613" max="15613" width="9.6328125" style="2" customWidth="1"/>
    <col min="15614" max="15615" width="11.90625" style="2" customWidth="1"/>
    <col min="15616" max="15616" width="15.36328125" style="2" customWidth="1"/>
    <col min="15617" max="15617" width="10.90625" style="2" customWidth="1"/>
    <col min="15618" max="15628" width="13.36328125" style="2" customWidth="1"/>
    <col min="15629" max="15629" width="13.90625" style="2" customWidth="1"/>
    <col min="15630" max="15630" width="16.453125" style="2" customWidth="1"/>
    <col min="15631" max="15865" width="9" style="2"/>
    <col min="15866" max="15866" width="9.90625" style="2" customWidth="1"/>
    <col min="15867" max="15868" width="5.08984375" style="2" customWidth="1"/>
    <col min="15869" max="15869" width="9.6328125" style="2" customWidth="1"/>
    <col min="15870" max="15871" width="11.90625" style="2" customWidth="1"/>
    <col min="15872" max="15872" width="15.36328125" style="2" customWidth="1"/>
    <col min="15873" max="15873" width="10.90625" style="2" customWidth="1"/>
    <col min="15874" max="15884" width="13.36328125" style="2" customWidth="1"/>
    <col min="15885" max="15885" width="13.90625" style="2" customWidth="1"/>
    <col min="15886" max="15886" width="16.453125" style="2" customWidth="1"/>
    <col min="15887" max="16121" width="9" style="2"/>
    <col min="16122" max="16122" width="9.90625" style="2" customWidth="1"/>
    <col min="16123" max="16124" width="5.08984375" style="2" customWidth="1"/>
    <col min="16125" max="16125" width="9.6328125" style="2" customWidth="1"/>
    <col min="16126" max="16127" width="11.90625" style="2" customWidth="1"/>
    <col min="16128" max="16128" width="15.36328125" style="2" customWidth="1"/>
    <col min="16129" max="16129" width="10.90625" style="2" customWidth="1"/>
    <col min="16130" max="16140" width="13.36328125" style="2" customWidth="1"/>
    <col min="16141" max="16141" width="13.90625" style="2" customWidth="1"/>
    <col min="16142" max="16142" width="16.453125" style="2" customWidth="1"/>
    <col min="16143" max="16384" width="9" style="2"/>
  </cols>
  <sheetData>
    <row r="1" spans="1:20" s="1" customFormat="1" ht="36">
      <c r="A1" s="446"/>
      <c r="B1" s="446"/>
      <c r="C1" s="446"/>
      <c r="D1" s="3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107" t="s">
        <v>18</v>
      </c>
    </row>
    <row r="2" spans="1:20" s="1" customFormat="1" ht="16.399999999999999" customHeight="1">
      <c r="A2" s="447" t="s">
        <v>51</v>
      </c>
      <c r="B2" s="447"/>
      <c r="C2" s="447"/>
      <c r="D2" s="5" t="s">
        <v>19</v>
      </c>
      <c r="E2" s="228">
        <f>(E5+E8+E11+E14+E17+E20+E23)</f>
        <v>24106655</v>
      </c>
      <c r="F2" s="228">
        <f>(F5+F8+F11+F14+F17+F20+F23)*F28</f>
        <v>23112898</v>
      </c>
      <c r="G2" s="228">
        <f t="shared" ref="G2:P2" si="0">(G5+G8+G11+G14+G17+G20+G23)*G28</f>
        <v>23401232</v>
      </c>
      <c r="H2" s="228">
        <f t="shared" si="0"/>
        <v>23014084</v>
      </c>
      <c r="I2" s="228">
        <f t="shared" si="0"/>
        <v>22947961</v>
      </c>
      <c r="J2" s="228">
        <f t="shared" si="0"/>
        <v>23155345</v>
      </c>
      <c r="K2" s="228">
        <f t="shared" si="0"/>
        <v>25958629</v>
      </c>
      <c r="L2" s="228">
        <f t="shared" si="0"/>
        <v>24902172</v>
      </c>
      <c r="M2" s="228">
        <f t="shared" si="0"/>
        <v>25337300</v>
      </c>
      <c r="N2" s="228">
        <f t="shared" si="0"/>
        <v>25216708</v>
      </c>
      <c r="O2" s="228">
        <f t="shared" si="0"/>
        <v>24694123</v>
      </c>
      <c r="P2" s="37">
        <f t="shared" si="0"/>
        <v>26244945.555555556</v>
      </c>
      <c r="Q2" s="38">
        <f>SUM(E2:P2)</f>
        <v>292092052.55555558</v>
      </c>
    </row>
    <row r="3" spans="1:20" s="1" customFormat="1" ht="16.399999999999999" customHeight="1">
      <c r="A3" s="448"/>
      <c r="B3" s="448"/>
      <c r="C3" s="448"/>
      <c r="D3" s="6" t="s">
        <v>20</v>
      </c>
      <c r="E3" s="229">
        <f>(E6+E9+E12+E15+E18+E21+E24)</f>
        <v>18425351</v>
      </c>
      <c r="F3" s="229">
        <f t="shared" ref="F3:P3" si="1">(F6+F9+F12+F15+F18+F21+F24)*F29</f>
        <v>17622177</v>
      </c>
      <c r="G3" s="229">
        <f t="shared" si="1"/>
        <v>17764506</v>
      </c>
      <c r="H3" s="229">
        <f t="shared" si="1"/>
        <v>17979492</v>
      </c>
      <c r="I3" s="229">
        <f t="shared" si="1"/>
        <v>17777157.033199564</v>
      </c>
      <c r="J3" s="229">
        <f t="shared" si="1"/>
        <v>17800128.659998834</v>
      </c>
      <c r="K3" s="229">
        <f t="shared" si="1"/>
        <v>20061534.749039352</v>
      </c>
      <c r="L3" s="229">
        <f t="shared" si="1"/>
        <v>19629756.090121318</v>
      </c>
      <c r="M3" s="229">
        <f t="shared" si="1"/>
        <v>20398597.119255483</v>
      </c>
      <c r="N3" s="229">
        <f t="shared" si="1"/>
        <v>19894036.138122022</v>
      </c>
      <c r="O3" s="229">
        <f t="shared" si="1"/>
        <v>19645005.145006016</v>
      </c>
      <c r="P3" s="39">
        <f t="shared" si="1"/>
        <v>20655609.444444444</v>
      </c>
      <c r="Q3" s="40">
        <f>SUM(E3:P3)</f>
        <v>227653350.37918702</v>
      </c>
    </row>
    <row r="4" spans="1:20" s="1" customFormat="1" ht="16.399999999999999" customHeight="1" thickBot="1">
      <c r="A4" s="449"/>
      <c r="B4" s="449"/>
      <c r="C4" s="449"/>
      <c r="D4" s="7" t="s">
        <v>21</v>
      </c>
      <c r="E4" s="230">
        <f>E2-E3</f>
        <v>5681304</v>
      </c>
      <c r="F4" s="230">
        <f t="shared" ref="F4:P4" si="2">F2-F3</f>
        <v>5490721</v>
      </c>
      <c r="G4" s="230">
        <f t="shared" si="2"/>
        <v>5636726</v>
      </c>
      <c r="H4" s="230">
        <f t="shared" si="2"/>
        <v>5034592</v>
      </c>
      <c r="I4" s="230">
        <f t="shared" si="2"/>
        <v>5170803.9668004364</v>
      </c>
      <c r="J4" s="230">
        <f t="shared" si="2"/>
        <v>5355216.3400011659</v>
      </c>
      <c r="K4" s="230">
        <f t="shared" si="2"/>
        <v>5897094.2509606481</v>
      </c>
      <c r="L4" s="230">
        <f t="shared" si="2"/>
        <v>5272415.9098786823</v>
      </c>
      <c r="M4" s="230">
        <f t="shared" si="2"/>
        <v>4938702.8807445168</v>
      </c>
      <c r="N4" s="230">
        <f t="shared" si="2"/>
        <v>5322671.8618779778</v>
      </c>
      <c r="O4" s="230">
        <f t="shared" si="2"/>
        <v>5049117.8549939841</v>
      </c>
      <c r="P4" s="41">
        <f t="shared" si="2"/>
        <v>5589336.1111111119</v>
      </c>
      <c r="Q4" s="41">
        <f>SUM(E4:P4)</f>
        <v>64438702.176368527</v>
      </c>
    </row>
    <row r="5" spans="1:20" s="1" customFormat="1" ht="12" customHeight="1" thickTop="1">
      <c r="A5" s="440" t="str">
        <f>EXA!C2</f>
        <v>EXA</v>
      </c>
      <c r="B5" s="440"/>
      <c r="C5" s="440"/>
      <c r="D5" s="111" t="s">
        <v>19</v>
      </c>
      <c r="E5" s="231">
        <f>EXA!L2</f>
        <v>1185250</v>
      </c>
      <c r="F5" s="231">
        <f>EXA!M2</f>
        <v>576000</v>
      </c>
      <c r="G5" s="231">
        <f>EXA!N2</f>
        <v>686000</v>
      </c>
      <c r="H5" s="231">
        <f>EXA!O2</f>
        <v>742000</v>
      </c>
      <c r="I5" s="231">
        <f>EXA!P2</f>
        <v>528000</v>
      </c>
      <c r="J5" s="231">
        <f>EXA!Q2</f>
        <v>644000</v>
      </c>
      <c r="K5" s="231">
        <f>EXA!R2</f>
        <v>776000</v>
      </c>
      <c r="L5" s="231">
        <f>EXA!S2</f>
        <v>686000</v>
      </c>
      <c r="M5" s="231">
        <f>EXA!T2</f>
        <v>716000</v>
      </c>
      <c r="N5" s="231">
        <f>EXA!U2</f>
        <v>642000</v>
      </c>
      <c r="O5" s="231">
        <f>EXA!V2</f>
        <v>586000</v>
      </c>
      <c r="P5" s="42">
        <f>EXA!W2</f>
        <v>670000</v>
      </c>
      <c r="Q5" s="45">
        <f t="shared" ref="Q5:Q25" si="3">SUM(E5:P5)</f>
        <v>8437250</v>
      </c>
      <c r="T5" s="53"/>
    </row>
    <row r="6" spans="1:20" s="1" customFormat="1" ht="12" customHeight="1">
      <c r="A6" s="441"/>
      <c r="B6" s="441"/>
      <c r="C6" s="441"/>
      <c r="D6" s="109" t="s">
        <v>20</v>
      </c>
      <c r="E6" s="232">
        <f>EXA!L3</f>
        <v>970141</v>
      </c>
      <c r="F6" s="232">
        <f>EXA!M3</f>
        <v>481881</v>
      </c>
      <c r="G6" s="232">
        <f>EXA!N3</f>
        <v>496562</v>
      </c>
      <c r="H6" s="232">
        <f>EXA!O3</f>
        <v>534047</v>
      </c>
      <c r="I6" s="232">
        <f>EXA!P3</f>
        <v>469872</v>
      </c>
      <c r="J6" s="232">
        <f>EXA!Q3</f>
        <v>494050</v>
      </c>
      <c r="K6" s="232">
        <f>EXA!R3</f>
        <v>578839</v>
      </c>
      <c r="L6" s="232">
        <f>EXA!S3</f>
        <v>517198</v>
      </c>
      <c r="M6" s="232">
        <f>EXA!T3</f>
        <v>571786</v>
      </c>
      <c r="N6" s="232">
        <f>EXA!U3</f>
        <v>501960</v>
      </c>
      <c r="O6" s="232">
        <f>EXA!V3</f>
        <v>475850</v>
      </c>
      <c r="P6" s="43">
        <f>EXA!W3</f>
        <v>503926</v>
      </c>
      <c r="Q6" s="43">
        <f t="shared" si="3"/>
        <v>6596112</v>
      </c>
      <c r="T6" s="53"/>
    </row>
    <row r="7" spans="1:20" s="1" customFormat="1" ht="12" customHeight="1">
      <c r="A7" s="442"/>
      <c r="B7" s="442"/>
      <c r="C7" s="442"/>
      <c r="D7" s="110" t="s">
        <v>21</v>
      </c>
      <c r="E7" s="233">
        <f>E5-E6</f>
        <v>215109</v>
      </c>
      <c r="F7" s="233">
        <f t="shared" ref="F7:P7" si="4">F5-F6</f>
        <v>94119</v>
      </c>
      <c r="G7" s="233">
        <f t="shared" si="4"/>
        <v>189438</v>
      </c>
      <c r="H7" s="233">
        <f t="shared" si="4"/>
        <v>207953</v>
      </c>
      <c r="I7" s="233">
        <f t="shared" si="4"/>
        <v>58128</v>
      </c>
      <c r="J7" s="233">
        <f t="shared" si="4"/>
        <v>149950</v>
      </c>
      <c r="K7" s="233">
        <f t="shared" si="4"/>
        <v>197161</v>
      </c>
      <c r="L7" s="233">
        <f t="shared" si="4"/>
        <v>168802</v>
      </c>
      <c r="M7" s="233">
        <f t="shared" si="4"/>
        <v>144214</v>
      </c>
      <c r="N7" s="233">
        <f t="shared" si="4"/>
        <v>140040</v>
      </c>
      <c r="O7" s="233">
        <f t="shared" si="4"/>
        <v>110150</v>
      </c>
      <c r="P7" s="44">
        <f t="shared" si="4"/>
        <v>166074</v>
      </c>
      <c r="Q7" s="44">
        <f t="shared" si="3"/>
        <v>1841138</v>
      </c>
      <c r="T7" s="53"/>
    </row>
    <row r="8" spans="1:20" s="1" customFormat="1" ht="12" customHeight="1">
      <c r="A8" s="443" t="str">
        <f>Ericson!C2</f>
        <v>Ericson</v>
      </c>
      <c r="B8" s="443"/>
      <c r="C8" s="443"/>
      <c r="D8" s="111" t="s">
        <v>19</v>
      </c>
      <c r="E8" s="234">
        <f>Ericson!L2</f>
        <v>1605750</v>
      </c>
      <c r="F8" s="234">
        <f>Ericson!M2</f>
        <v>1637900</v>
      </c>
      <c r="G8" s="234">
        <f>Ericson!N2</f>
        <v>1673300</v>
      </c>
      <c r="H8" s="234">
        <f>Ericson!O2</f>
        <v>1733525</v>
      </c>
      <c r="I8" s="234">
        <f>Ericson!P2</f>
        <v>1499800</v>
      </c>
      <c r="J8" s="234">
        <f>Ericson!Q2</f>
        <v>1641800</v>
      </c>
      <c r="K8" s="234">
        <f>Ericson!R2</f>
        <v>1747800</v>
      </c>
      <c r="L8" s="234">
        <f>Ericson!S2</f>
        <v>1475950</v>
      </c>
      <c r="M8" s="234">
        <f>Ericson!T2</f>
        <v>1548500</v>
      </c>
      <c r="N8" s="234">
        <f>Ericson!U2</f>
        <v>1411000</v>
      </c>
      <c r="O8" s="234">
        <f>Ericson!V2</f>
        <v>1048850</v>
      </c>
      <c r="P8" s="45">
        <f>Ericson!W2</f>
        <v>1955666.6666666665</v>
      </c>
      <c r="Q8" s="45">
        <f t="shared" si="3"/>
        <v>18979841.666666668</v>
      </c>
      <c r="T8" s="53"/>
    </row>
    <row r="9" spans="1:20" s="1" customFormat="1" ht="12" customHeight="1">
      <c r="A9" s="444"/>
      <c r="B9" s="444"/>
      <c r="C9" s="444"/>
      <c r="D9" s="109" t="s">
        <v>20</v>
      </c>
      <c r="E9" s="232">
        <f>Ericson!L3</f>
        <v>1251775</v>
      </c>
      <c r="F9" s="232">
        <f>Ericson!M3</f>
        <v>1269463</v>
      </c>
      <c r="G9" s="232">
        <f>Ericson!N3</f>
        <v>1273715</v>
      </c>
      <c r="H9" s="232">
        <f>Ericson!O3</f>
        <v>1313839</v>
      </c>
      <c r="I9" s="232">
        <f>Ericson!P3</f>
        <v>1209884</v>
      </c>
      <c r="J9" s="232">
        <f>Ericson!Q3</f>
        <v>1248621</v>
      </c>
      <c r="K9" s="232">
        <f>Ericson!R3</f>
        <v>1335136</v>
      </c>
      <c r="L9" s="232">
        <f>Ericson!S3</f>
        <v>1174705</v>
      </c>
      <c r="M9" s="232">
        <f>Ericson!T3</f>
        <v>1276085</v>
      </c>
      <c r="N9" s="232">
        <f>Ericson!U3</f>
        <v>1167747</v>
      </c>
      <c r="O9" s="232">
        <f>Ericson!V3</f>
        <v>1060088</v>
      </c>
      <c r="P9" s="43">
        <f>Ericson!W3</f>
        <v>1470620.6666666665</v>
      </c>
      <c r="Q9" s="43">
        <f t="shared" si="3"/>
        <v>15051678.666666666</v>
      </c>
      <c r="T9" s="53"/>
    </row>
    <row r="10" spans="1:20" s="1" customFormat="1" ht="12" customHeight="1">
      <c r="A10" s="445"/>
      <c r="B10" s="445"/>
      <c r="C10" s="445"/>
      <c r="D10" s="110" t="s">
        <v>21</v>
      </c>
      <c r="E10" s="233">
        <f>E8-E9</f>
        <v>353975</v>
      </c>
      <c r="F10" s="233">
        <f t="shared" ref="F10:P10" si="5">F8-F9</f>
        <v>368437</v>
      </c>
      <c r="G10" s="233">
        <f t="shared" si="5"/>
        <v>399585</v>
      </c>
      <c r="H10" s="233">
        <f t="shared" si="5"/>
        <v>419686</v>
      </c>
      <c r="I10" s="233">
        <f t="shared" si="5"/>
        <v>289916</v>
      </c>
      <c r="J10" s="233">
        <f t="shared" si="5"/>
        <v>393179</v>
      </c>
      <c r="K10" s="233">
        <f t="shared" si="5"/>
        <v>412664</v>
      </c>
      <c r="L10" s="233">
        <f t="shared" si="5"/>
        <v>301245</v>
      </c>
      <c r="M10" s="233">
        <f t="shared" si="5"/>
        <v>272415</v>
      </c>
      <c r="N10" s="233">
        <f t="shared" si="5"/>
        <v>243253</v>
      </c>
      <c r="O10" s="233">
        <f t="shared" si="5"/>
        <v>-11238</v>
      </c>
      <c r="P10" s="44">
        <f t="shared" si="5"/>
        <v>485046</v>
      </c>
      <c r="Q10" s="44">
        <f t="shared" si="3"/>
        <v>3928163</v>
      </c>
      <c r="T10" s="53"/>
    </row>
    <row r="11" spans="1:20" s="1" customFormat="1" ht="12" customHeight="1">
      <c r="A11" s="440" t="str">
        <f>'NI+C'!C2</f>
        <v>NI+C</v>
      </c>
      <c r="B11" s="440"/>
      <c r="C11" s="440"/>
      <c r="D11" s="111" t="s">
        <v>19</v>
      </c>
      <c r="E11" s="231">
        <f>'NI+C'!L2</f>
        <v>1947060</v>
      </c>
      <c r="F11" s="231">
        <f>'NI+C'!M2</f>
        <v>1957920</v>
      </c>
      <c r="G11" s="231">
        <f>'NI+C'!N2</f>
        <v>2004980</v>
      </c>
      <c r="H11" s="231">
        <f>'NI+C'!O2</f>
        <v>2023080</v>
      </c>
      <c r="I11" s="231">
        <f>'NI+C'!P2</f>
        <v>1972400</v>
      </c>
      <c r="J11" s="231">
        <f>'NI+C'!Q2</f>
        <v>1932580</v>
      </c>
      <c r="K11" s="231">
        <f>'NI+C'!R2</f>
        <v>1983260</v>
      </c>
      <c r="L11" s="231">
        <f>'NI+C'!S2</f>
        <v>1915100</v>
      </c>
      <c r="M11" s="231">
        <f>'NI+C'!T2</f>
        <v>1979640</v>
      </c>
      <c r="N11" s="231">
        <f>'NI+C'!U2</f>
        <v>2766880</v>
      </c>
      <c r="O11" s="231">
        <f>'NI+C'!V2</f>
        <v>2741540</v>
      </c>
      <c r="P11" s="42">
        <f>'NI+C'!W2</f>
        <v>2711278.888888889</v>
      </c>
      <c r="Q11" s="45">
        <f t="shared" si="3"/>
        <v>25935718.888888888</v>
      </c>
      <c r="T11" s="53"/>
    </row>
    <row r="12" spans="1:20" s="1" customFormat="1" ht="12" customHeight="1">
      <c r="A12" s="441"/>
      <c r="B12" s="441"/>
      <c r="C12" s="441"/>
      <c r="D12" s="109" t="s">
        <v>20</v>
      </c>
      <c r="E12" s="232">
        <f>'NI+C'!L3</f>
        <v>1430802</v>
      </c>
      <c r="F12" s="232">
        <f>'NI+C'!M3</f>
        <v>1407510</v>
      </c>
      <c r="G12" s="232">
        <f>'NI+C'!N3</f>
        <v>1416521</v>
      </c>
      <c r="H12" s="232">
        <f>'NI+C'!O3</f>
        <v>1438714</v>
      </c>
      <c r="I12" s="232">
        <f>'NI+C'!P3</f>
        <v>1391316</v>
      </c>
      <c r="J12" s="232">
        <f>'NI+C'!Q3</f>
        <v>1389741</v>
      </c>
      <c r="K12" s="232">
        <f>'NI+C'!R3</f>
        <v>1447684</v>
      </c>
      <c r="L12" s="232">
        <f>'NI+C'!S3</f>
        <v>1361290</v>
      </c>
      <c r="M12" s="232">
        <f>'NI+C'!T3</f>
        <v>1457031</v>
      </c>
      <c r="N12" s="232">
        <f>'NI+C'!U3</f>
        <v>1919127</v>
      </c>
      <c r="O12" s="232">
        <f>'NI+C'!V3</f>
        <v>1905408</v>
      </c>
      <c r="P12" s="43">
        <f>'NI+C'!W3</f>
        <v>1859789.111111111</v>
      </c>
      <c r="Q12" s="43">
        <f t="shared" si="3"/>
        <v>18424933.111111112</v>
      </c>
      <c r="T12" s="53"/>
    </row>
    <row r="13" spans="1:20" s="1" customFormat="1" ht="12" customHeight="1">
      <c r="A13" s="442"/>
      <c r="B13" s="442"/>
      <c r="C13" s="442"/>
      <c r="D13" s="110" t="s">
        <v>21</v>
      </c>
      <c r="E13" s="233">
        <f>E11-E12</f>
        <v>516258</v>
      </c>
      <c r="F13" s="233">
        <f t="shared" ref="F13:P13" si="6">F11-F12</f>
        <v>550410</v>
      </c>
      <c r="G13" s="233">
        <f t="shared" si="6"/>
        <v>588459</v>
      </c>
      <c r="H13" s="233">
        <f t="shared" si="6"/>
        <v>584366</v>
      </c>
      <c r="I13" s="233">
        <f t="shared" si="6"/>
        <v>581084</v>
      </c>
      <c r="J13" s="233">
        <f t="shared" si="6"/>
        <v>542839</v>
      </c>
      <c r="K13" s="233">
        <f t="shared" si="6"/>
        <v>535576</v>
      </c>
      <c r="L13" s="233">
        <f t="shared" si="6"/>
        <v>553810</v>
      </c>
      <c r="M13" s="233">
        <f t="shared" si="6"/>
        <v>522609</v>
      </c>
      <c r="N13" s="233">
        <f t="shared" si="6"/>
        <v>847753</v>
      </c>
      <c r="O13" s="233">
        <f t="shared" si="6"/>
        <v>836132</v>
      </c>
      <c r="P13" s="44">
        <f t="shared" si="6"/>
        <v>851489.77777777798</v>
      </c>
      <c r="Q13" s="44">
        <f t="shared" si="3"/>
        <v>7510785.777777778</v>
      </c>
      <c r="T13" s="53"/>
    </row>
    <row r="14" spans="1:20" s="1" customFormat="1" ht="12" customHeight="1">
      <c r="A14" s="450" t="str">
        <f>'S&amp;I'!C2</f>
        <v>S&amp;I</v>
      </c>
      <c r="B14" s="450"/>
      <c r="C14" s="450"/>
      <c r="D14" s="108" t="s">
        <v>19</v>
      </c>
      <c r="E14" s="231">
        <f>'S&amp;I'!L2</f>
        <v>1416960</v>
      </c>
      <c r="F14" s="231">
        <f>'S&amp;I'!M2</f>
        <v>1221510</v>
      </c>
      <c r="G14" s="231">
        <f>'S&amp;I'!N2</f>
        <v>1450000</v>
      </c>
      <c r="H14" s="231">
        <f>'S&amp;I'!O2</f>
        <v>1483040</v>
      </c>
      <c r="I14" s="231">
        <f>'S&amp;I'!P2</f>
        <v>1361690</v>
      </c>
      <c r="J14" s="231">
        <f>'S&amp;I'!Q2</f>
        <v>1394730</v>
      </c>
      <c r="K14" s="231">
        <f>'S&amp;I'!R2</f>
        <v>1450000</v>
      </c>
      <c r="L14" s="231">
        <f>'S&amp;I'!S2</f>
        <v>1350880</v>
      </c>
      <c r="M14" s="231">
        <f>'S&amp;I'!T2</f>
        <v>1416960</v>
      </c>
      <c r="N14" s="231">
        <f>'S&amp;I'!U2</f>
        <v>1547870</v>
      </c>
      <c r="O14" s="231">
        <f>'S&amp;I'!V2</f>
        <v>1383920</v>
      </c>
      <c r="P14" s="42">
        <f>'S&amp;I'!W2</f>
        <v>1450000</v>
      </c>
      <c r="Q14" s="42">
        <f t="shared" si="3"/>
        <v>16927560</v>
      </c>
      <c r="T14" s="53"/>
    </row>
    <row r="15" spans="1:20" s="1" customFormat="1" ht="12" customHeight="1">
      <c r="A15" s="444"/>
      <c r="B15" s="444"/>
      <c r="C15" s="444"/>
      <c r="D15" s="109" t="s">
        <v>20</v>
      </c>
      <c r="E15" s="232">
        <f>'S&amp;I'!L3</f>
        <v>1165794</v>
      </c>
      <c r="F15" s="232">
        <f>'S&amp;I'!M3</f>
        <v>1135784</v>
      </c>
      <c r="G15" s="232">
        <f>'S&amp;I'!N3</f>
        <v>1165868</v>
      </c>
      <c r="H15" s="232">
        <f>'S&amp;I'!O3</f>
        <v>1219723</v>
      </c>
      <c r="I15" s="232">
        <f>'S&amp;I'!P3</f>
        <v>1140263</v>
      </c>
      <c r="J15" s="232">
        <f>'S&amp;I'!Q3</f>
        <v>1142102</v>
      </c>
      <c r="K15" s="232">
        <f>'S&amp;I'!R3</f>
        <v>1192865</v>
      </c>
      <c r="L15" s="232">
        <f>'S&amp;I'!S3</f>
        <v>1095377</v>
      </c>
      <c r="M15" s="232">
        <f>'S&amp;I'!T3</f>
        <v>1186378</v>
      </c>
      <c r="N15" s="232">
        <f>'S&amp;I'!U3</f>
        <v>1225054</v>
      </c>
      <c r="O15" s="232">
        <f>'S&amp;I'!V3</f>
        <v>1093748</v>
      </c>
      <c r="P15" s="43">
        <f>'S&amp;I'!W3</f>
        <v>1162521.5555555555</v>
      </c>
      <c r="Q15" s="43">
        <f t="shared" si="3"/>
        <v>13925477.555555556</v>
      </c>
      <c r="T15" s="53"/>
    </row>
    <row r="16" spans="1:20" s="1" customFormat="1" ht="12" customHeight="1">
      <c r="A16" s="445"/>
      <c r="B16" s="445"/>
      <c r="C16" s="445"/>
      <c r="D16" s="110" t="s">
        <v>21</v>
      </c>
      <c r="E16" s="233">
        <f>E14-E15</f>
        <v>251166</v>
      </c>
      <c r="F16" s="233">
        <f t="shared" ref="F16:P16" si="7">F14-F15</f>
        <v>85726</v>
      </c>
      <c r="G16" s="233">
        <f t="shared" si="7"/>
        <v>284132</v>
      </c>
      <c r="H16" s="233">
        <f t="shared" si="7"/>
        <v>263317</v>
      </c>
      <c r="I16" s="233">
        <f t="shared" si="7"/>
        <v>221427</v>
      </c>
      <c r="J16" s="233">
        <f t="shared" si="7"/>
        <v>252628</v>
      </c>
      <c r="K16" s="233">
        <f t="shared" si="7"/>
        <v>257135</v>
      </c>
      <c r="L16" s="233">
        <f t="shared" si="7"/>
        <v>255503</v>
      </c>
      <c r="M16" s="233">
        <f t="shared" si="7"/>
        <v>230582</v>
      </c>
      <c r="N16" s="233">
        <f t="shared" si="7"/>
        <v>322816</v>
      </c>
      <c r="O16" s="233">
        <f t="shared" si="7"/>
        <v>290172</v>
      </c>
      <c r="P16" s="44">
        <f t="shared" si="7"/>
        <v>287478.4444444445</v>
      </c>
      <c r="Q16" s="44">
        <f t="shared" si="3"/>
        <v>3002082.4444444445</v>
      </c>
      <c r="T16" s="53"/>
    </row>
    <row r="17" spans="1:20" s="1" customFormat="1" ht="12" customHeight="1">
      <c r="A17" s="451" t="str">
        <f>ジャステック!C2</f>
        <v>ジャステック</v>
      </c>
      <c r="B17" s="451"/>
      <c r="C17" s="451"/>
      <c r="D17" s="111" t="s">
        <v>19</v>
      </c>
      <c r="E17" s="234">
        <f>ジャステック!L2</f>
        <v>1240000</v>
      </c>
      <c r="F17" s="234">
        <f>ジャステック!M2</f>
        <v>1240000</v>
      </c>
      <c r="G17" s="234">
        <f>ジャステック!N2</f>
        <v>1240000</v>
      </c>
      <c r="H17" s="234">
        <f>ジャステック!O2</f>
        <v>1228165</v>
      </c>
      <c r="I17" s="234">
        <f>ジャステック!P2</f>
        <v>1240000</v>
      </c>
      <c r="J17" s="234">
        <f>ジャステック!Q2</f>
        <v>1240000</v>
      </c>
      <c r="K17" s="234">
        <f>ジャステック!R2</f>
        <v>1207125</v>
      </c>
      <c r="L17" s="234">
        <f>ジャステック!S2</f>
        <v>1142950</v>
      </c>
      <c r="M17" s="234">
        <f>ジャステック!T2</f>
        <v>1240000</v>
      </c>
      <c r="N17" s="234">
        <f>ジャステック!U2</f>
        <v>1240000</v>
      </c>
      <c r="O17" s="234">
        <f>ジャステック!V2</f>
        <v>1215600</v>
      </c>
      <c r="P17" s="45">
        <f>ジャステック!W2</f>
        <v>1240000</v>
      </c>
      <c r="Q17" s="45">
        <f t="shared" si="3"/>
        <v>14713840</v>
      </c>
      <c r="T17" s="53"/>
    </row>
    <row r="18" spans="1:20" s="1" customFormat="1" ht="12" customHeight="1">
      <c r="A18" s="452"/>
      <c r="B18" s="452"/>
      <c r="C18" s="452"/>
      <c r="D18" s="109" t="s">
        <v>20</v>
      </c>
      <c r="E18" s="232">
        <f>ジャステック!L3</f>
        <v>972240</v>
      </c>
      <c r="F18" s="232">
        <f>ジャステック!M3</f>
        <v>971308</v>
      </c>
      <c r="G18" s="232">
        <f>ジャステック!N3</f>
        <v>971076</v>
      </c>
      <c r="H18" s="232">
        <f>ジャステック!O3</f>
        <v>1267611</v>
      </c>
      <c r="I18" s="232">
        <f>ジャステック!P3</f>
        <v>963651</v>
      </c>
      <c r="J18" s="232">
        <f>ジャステック!Q3</f>
        <v>962709</v>
      </c>
      <c r="K18" s="232">
        <f>ジャステック!R3</f>
        <v>964571</v>
      </c>
      <c r="L18" s="232">
        <f>ジャステック!S3</f>
        <v>955830</v>
      </c>
      <c r="M18" s="232">
        <f>ジャステック!T3</f>
        <v>999921</v>
      </c>
      <c r="N18" s="232">
        <f>ジャステック!U3</f>
        <v>949314</v>
      </c>
      <c r="O18" s="232">
        <f>ジャステック!V3</f>
        <v>963257</v>
      </c>
      <c r="P18" s="43">
        <f>ジャステック!W3</f>
        <v>958547</v>
      </c>
      <c r="Q18" s="43">
        <f t="shared" si="3"/>
        <v>11900035</v>
      </c>
      <c r="T18" s="53"/>
    </row>
    <row r="19" spans="1:20" s="1" customFormat="1" ht="12" customHeight="1">
      <c r="A19" s="453"/>
      <c r="B19" s="453"/>
      <c r="C19" s="453"/>
      <c r="D19" s="110" t="s">
        <v>21</v>
      </c>
      <c r="E19" s="233">
        <f>E17-E18</f>
        <v>267760</v>
      </c>
      <c r="F19" s="233">
        <f t="shared" ref="F19:P19" si="8">F17-F18</f>
        <v>268692</v>
      </c>
      <c r="G19" s="233">
        <f t="shared" si="8"/>
        <v>268924</v>
      </c>
      <c r="H19" s="233">
        <f t="shared" si="8"/>
        <v>-39446</v>
      </c>
      <c r="I19" s="233">
        <f t="shared" si="8"/>
        <v>276349</v>
      </c>
      <c r="J19" s="233">
        <f t="shared" si="8"/>
        <v>277291</v>
      </c>
      <c r="K19" s="233">
        <f t="shared" si="8"/>
        <v>242554</v>
      </c>
      <c r="L19" s="233">
        <f t="shared" si="8"/>
        <v>187120</v>
      </c>
      <c r="M19" s="233">
        <f t="shared" si="8"/>
        <v>240079</v>
      </c>
      <c r="N19" s="233">
        <f t="shared" si="8"/>
        <v>290686</v>
      </c>
      <c r="O19" s="233">
        <f t="shared" si="8"/>
        <v>252343</v>
      </c>
      <c r="P19" s="44">
        <f t="shared" si="8"/>
        <v>281453</v>
      </c>
      <c r="Q19" s="44">
        <f t="shared" si="3"/>
        <v>2813805</v>
      </c>
      <c r="T19" s="53"/>
    </row>
    <row r="20" spans="1:20" s="1" customFormat="1" ht="12" customHeight="1">
      <c r="A20" s="440" t="str">
        <f>NDICS!C2</f>
        <v>日本ディクス</v>
      </c>
      <c r="B20" s="440"/>
      <c r="C20" s="440"/>
      <c r="D20" s="111" t="s">
        <v>19</v>
      </c>
      <c r="E20" s="234">
        <f>NDICS!L2</f>
        <v>1415000</v>
      </c>
      <c r="F20" s="234">
        <f>NDICS!M2</f>
        <v>1310000</v>
      </c>
      <c r="G20" s="234">
        <f>NDICS!N2</f>
        <v>1310000</v>
      </c>
      <c r="H20" s="234">
        <f>NDICS!O2</f>
        <v>1310000</v>
      </c>
      <c r="I20" s="234">
        <f>NDICS!P2</f>
        <v>1310000</v>
      </c>
      <c r="J20" s="234">
        <f>NDICS!Q2</f>
        <v>1310000</v>
      </c>
      <c r="K20" s="234">
        <f>NDICS!R2</f>
        <v>1860000</v>
      </c>
      <c r="L20" s="234">
        <f>NDICS!S2</f>
        <v>1848240</v>
      </c>
      <c r="M20" s="234">
        <f>NDICS!T2</f>
        <v>1860000</v>
      </c>
      <c r="N20" s="234">
        <f>NDICS!U2</f>
        <v>1114920</v>
      </c>
      <c r="O20" s="234">
        <f>NDICS!V2</f>
        <v>1128640</v>
      </c>
      <c r="P20" s="45">
        <f>NDICS!W2</f>
        <v>1160000</v>
      </c>
      <c r="Q20" s="45">
        <f>SUM(E20:P20)</f>
        <v>16936800</v>
      </c>
      <c r="T20" s="53"/>
    </row>
    <row r="21" spans="1:20" s="1" customFormat="1" ht="12" customHeight="1">
      <c r="A21" s="441"/>
      <c r="B21" s="441"/>
      <c r="C21" s="441"/>
      <c r="D21" s="109" t="s">
        <v>20</v>
      </c>
      <c r="E21" s="232">
        <f>NDICS!L3</f>
        <v>1100902</v>
      </c>
      <c r="F21" s="232">
        <f>NDICS!M3</f>
        <v>940274</v>
      </c>
      <c r="G21" s="232">
        <f>NDICS!N3</f>
        <v>956967</v>
      </c>
      <c r="H21" s="232">
        <f>NDICS!O3</f>
        <v>994665</v>
      </c>
      <c r="I21" s="232">
        <f>NDICS!P3</f>
        <v>951096</v>
      </c>
      <c r="J21" s="232">
        <f>NDICS!Q3</f>
        <v>987153</v>
      </c>
      <c r="K21" s="232">
        <f>NDICS!R3</f>
        <v>1364855</v>
      </c>
      <c r="L21" s="232">
        <f>NDICS!S3</f>
        <v>1339644</v>
      </c>
      <c r="M21" s="232">
        <f>NDICS!T3</f>
        <v>1668517</v>
      </c>
      <c r="N21" s="232">
        <f>NDICS!U3</f>
        <v>797595</v>
      </c>
      <c r="O21" s="232">
        <f>NDICS!V3</f>
        <v>796570</v>
      </c>
      <c r="P21" s="43">
        <f>NDICS!W3</f>
        <v>807304</v>
      </c>
      <c r="Q21" s="43">
        <f>SUM(E21:P21)</f>
        <v>12705542</v>
      </c>
      <c r="T21" s="53"/>
    </row>
    <row r="22" spans="1:20" s="1" customFormat="1" ht="12" customHeight="1">
      <c r="A22" s="442"/>
      <c r="B22" s="442"/>
      <c r="C22" s="442"/>
      <c r="D22" s="110" t="s">
        <v>21</v>
      </c>
      <c r="E22" s="233">
        <f>E20-E21</f>
        <v>314098</v>
      </c>
      <c r="F22" s="233">
        <f t="shared" ref="F22:P22" si="9">F20-F21</f>
        <v>369726</v>
      </c>
      <c r="G22" s="233">
        <f t="shared" si="9"/>
        <v>353033</v>
      </c>
      <c r="H22" s="233">
        <f t="shared" si="9"/>
        <v>315335</v>
      </c>
      <c r="I22" s="233">
        <f t="shared" si="9"/>
        <v>358904</v>
      </c>
      <c r="J22" s="233">
        <f t="shared" si="9"/>
        <v>322847</v>
      </c>
      <c r="K22" s="233">
        <f t="shared" si="9"/>
        <v>495145</v>
      </c>
      <c r="L22" s="233">
        <f t="shared" si="9"/>
        <v>508596</v>
      </c>
      <c r="M22" s="233">
        <f t="shared" si="9"/>
        <v>191483</v>
      </c>
      <c r="N22" s="233">
        <f t="shared" si="9"/>
        <v>317325</v>
      </c>
      <c r="O22" s="233">
        <f t="shared" si="9"/>
        <v>332070</v>
      </c>
      <c r="P22" s="44">
        <f t="shared" si="9"/>
        <v>352696</v>
      </c>
      <c r="Q22" s="44">
        <f t="shared" si="3"/>
        <v>4231258</v>
      </c>
      <c r="T22" s="53"/>
    </row>
    <row r="23" spans="1:20" s="1" customFormat="1" ht="12" customHeight="1">
      <c r="A23" s="443" t="str">
        <f>Other!C2</f>
        <v>Other</v>
      </c>
      <c r="B23" s="443"/>
      <c r="C23" s="443"/>
      <c r="D23" s="111" t="s">
        <v>19</v>
      </c>
      <c r="E23" s="234">
        <f>Other!L2</f>
        <v>15296635</v>
      </c>
      <c r="F23" s="234">
        <f>Other!M2</f>
        <v>15169568</v>
      </c>
      <c r="G23" s="234">
        <f>Other!N2</f>
        <v>15036952</v>
      </c>
      <c r="H23" s="234">
        <f>Other!O2</f>
        <v>14494274</v>
      </c>
      <c r="I23" s="234">
        <f>Other!P2</f>
        <v>15036071</v>
      </c>
      <c r="J23" s="234">
        <f>Other!Q2</f>
        <v>14992235</v>
      </c>
      <c r="K23" s="234">
        <f>Other!R2</f>
        <v>16934444</v>
      </c>
      <c r="L23" s="234">
        <f>Other!S2</f>
        <v>16483052</v>
      </c>
      <c r="M23" s="234">
        <f>Other!T2</f>
        <v>16576200</v>
      </c>
      <c r="N23" s="234">
        <f>Other!U2</f>
        <v>16494038</v>
      </c>
      <c r="O23" s="234">
        <f>Other!V2</f>
        <v>16589573</v>
      </c>
      <c r="P23" s="45">
        <f>Other!W2</f>
        <v>17058000</v>
      </c>
      <c r="Q23" s="45">
        <f t="shared" si="3"/>
        <v>190161042</v>
      </c>
      <c r="T23" s="53"/>
    </row>
    <row r="24" spans="1:20" s="1" customFormat="1" ht="12" customHeight="1">
      <c r="A24" s="444"/>
      <c r="B24" s="444"/>
      <c r="C24" s="444"/>
      <c r="D24" s="109" t="s">
        <v>20</v>
      </c>
      <c r="E24" s="232">
        <f>Other!L3</f>
        <v>11533697</v>
      </c>
      <c r="F24" s="232">
        <f>Other!M3</f>
        <v>11415957</v>
      </c>
      <c r="G24" s="232">
        <f>Other!N3</f>
        <v>11483797</v>
      </c>
      <c r="H24" s="232">
        <f>Other!O3</f>
        <v>11210893</v>
      </c>
      <c r="I24" s="232">
        <f>Other!P3</f>
        <v>11651075.033199562</v>
      </c>
      <c r="J24" s="232">
        <f>Other!Q3</f>
        <v>11575752.659998834</v>
      </c>
      <c r="K24" s="232">
        <f>Other!R3</f>
        <v>13177584.749039352</v>
      </c>
      <c r="L24" s="232">
        <f>Other!S3</f>
        <v>13185712.090121318</v>
      </c>
      <c r="M24" s="232">
        <f>Other!T3</f>
        <v>13238879.119255485</v>
      </c>
      <c r="N24" s="232">
        <f>Other!U3</f>
        <v>13333239.138122022</v>
      </c>
      <c r="O24" s="232">
        <f>Other!V3</f>
        <v>13350084.145006016</v>
      </c>
      <c r="P24" s="43">
        <f>Other!W3</f>
        <v>13892901.111111112</v>
      </c>
      <c r="Q24" s="43">
        <f t="shared" si="3"/>
        <v>149049572.04585367</v>
      </c>
      <c r="T24" s="53"/>
    </row>
    <row r="25" spans="1:20" s="1" customFormat="1" ht="12" customHeight="1">
      <c r="A25" s="445"/>
      <c r="B25" s="445"/>
      <c r="C25" s="445"/>
      <c r="D25" s="110" t="s">
        <v>21</v>
      </c>
      <c r="E25" s="233">
        <f>E23-E24</f>
        <v>3762938</v>
      </c>
      <c r="F25" s="233">
        <f t="shared" ref="F25:P25" si="10">F23-F24</f>
        <v>3753611</v>
      </c>
      <c r="G25" s="233">
        <f t="shared" si="10"/>
        <v>3553155</v>
      </c>
      <c r="H25" s="233">
        <f t="shared" si="10"/>
        <v>3283381</v>
      </c>
      <c r="I25" s="233">
        <f t="shared" si="10"/>
        <v>3384995.9668004382</v>
      </c>
      <c r="J25" s="233">
        <f t="shared" si="10"/>
        <v>3416482.3400011659</v>
      </c>
      <c r="K25" s="233">
        <f t="shared" si="10"/>
        <v>3756859.2509606481</v>
      </c>
      <c r="L25" s="233">
        <f t="shared" si="10"/>
        <v>3297339.9098786823</v>
      </c>
      <c r="M25" s="233">
        <f t="shared" si="10"/>
        <v>3337320.880744515</v>
      </c>
      <c r="N25" s="233">
        <f t="shared" si="10"/>
        <v>3160798.8618779778</v>
      </c>
      <c r="O25" s="233">
        <f t="shared" si="10"/>
        <v>3239488.8549939841</v>
      </c>
      <c r="P25" s="44">
        <f t="shared" si="10"/>
        <v>3165098.8888888881</v>
      </c>
      <c r="Q25" s="44">
        <f t="shared" si="3"/>
        <v>41111469.954146296</v>
      </c>
      <c r="T25" s="53"/>
    </row>
    <row r="28" spans="1:20">
      <c r="C28" s="454" t="s">
        <v>99</v>
      </c>
      <c r="D28" s="454"/>
      <c r="E28" s="184">
        <v>1</v>
      </c>
      <c r="F28" s="184">
        <v>1</v>
      </c>
      <c r="G28" s="184">
        <v>1</v>
      </c>
      <c r="H28" s="184">
        <v>1</v>
      </c>
      <c r="I28" s="184">
        <v>1</v>
      </c>
      <c r="J28" s="184">
        <v>1</v>
      </c>
      <c r="K28" s="184">
        <v>1</v>
      </c>
      <c r="L28" s="184">
        <v>1</v>
      </c>
      <c r="M28" s="184">
        <v>1</v>
      </c>
      <c r="N28" s="184">
        <v>1</v>
      </c>
      <c r="O28" s="184">
        <v>1</v>
      </c>
      <c r="P28" s="184">
        <v>1</v>
      </c>
      <c r="Q28" s="184"/>
    </row>
    <row r="29" spans="1:20">
      <c r="C29" s="454" t="s">
        <v>100</v>
      </c>
      <c r="D29" s="454"/>
      <c r="E29" s="184">
        <v>1</v>
      </c>
      <c r="F29" s="184">
        <v>1</v>
      </c>
      <c r="G29" s="184">
        <v>1</v>
      </c>
      <c r="H29" s="184">
        <v>1</v>
      </c>
      <c r="I29" s="184">
        <v>1</v>
      </c>
      <c r="J29" s="184">
        <v>1</v>
      </c>
      <c r="K29" s="184">
        <v>1</v>
      </c>
      <c r="L29" s="184">
        <v>1</v>
      </c>
      <c r="M29" s="184">
        <v>1</v>
      </c>
      <c r="N29" s="184">
        <v>1</v>
      </c>
      <c r="O29" s="184">
        <v>1</v>
      </c>
      <c r="P29" s="184">
        <v>1</v>
      </c>
      <c r="Q29" s="184"/>
    </row>
  </sheetData>
  <mergeCells count="11">
    <mergeCell ref="A14:C16"/>
    <mergeCell ref="A1:C1"/>
    <mergeCell ref="A2:C4"/>
    <mergeCell ref="A5:C7"/>
    <mergeCell ref="A8:C10"/>
    <mergeCell ref="A11:C13"/>
    <mergeCell ref="A17:C19"/>
    <mergeCell ref="A20:C22"/>
    <mergeCell ref="A23:C25"/>
    <mergeCell ref="C28:D28"/>
    <mergeCell ref="C29:D29"/>
  </mergeCells>
  <phoneticPr fontId="12"/>
  <printOptions horizontalCentered="1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showGridLines="0" zoomScaleNormal="100" workbookViewId="0"/>
  </sheetViews>
  <sheetFormatPr defaultRowHeight="13"/>
  <sheetData/>
  <phoneticPr fontId="12"/>
  <pageMargins left="0.7" right="0.7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pageSetUpPr fitToPage="1"/>
  </sheetPr>
  <dimension ref="A1:AA57"/>
  <sheetViews>
    <sheetView showGridLines="0" zoomScale="80" zoomScaleNormal="80" zoomScaleSheetLayoutView="70" workbookViewId="0">
      <pane xSplit="11" ySplit="4" topLeftCell="L5" activePane="bottomRight" state="frozen"/>
      <selection sqref="A1:C1"/>
      <selection pane="topRight" sqref="A1:C1"/>
      <selection pane="bottomLeft" sqref="A1:C1"/>
      <selection pane="bottomRight" activeCell="F5" sqref="F5:F28"/>
    </sheetView>
  </sheetViews>
  <sheetFormatPr defaultRowHeight="12"/>
  <cols>
    <col min="1" max="1" width="10" style="71" customWidth="1"/>
    <col min="2" max="2" width="10" style="73" customWidth="1"/>
    <col min="3" max="3" width="4.90625" style="12" customWidth="1"/>
    <col min="4" max="4" width="9" style="12" customWidth="1"/>
    <col min="5" max="5" width="5.08984375" style="12" customWidth="1"/>
    <col min="6" max="6" width="9.6328125" style="118" customWidth="1"/>
    <col min="7" max="7" width="12.453125" style="12" customWidth="1"/>
    <col min="8" max="8" width="11.90625" style="12" customWidth="1"/>
    <col min="9" max="9" width="11.08984375" style="12" customWidth="1"/>
    <col min="10" max="10" width="10" style="12" customWidth="1"/>
    <col min="11" max="11" width="10.90625" style="12" customWidth="1"/>
    <col min="12" max="23" width="13.08984375" style="12" customWidth="1"/>
    <col min="24" max="24" width="16.453125" style="12" customWidth="1"/>
    <col min="25" max="25" width="9" style="2"/>
    <col min="26" max="26" width="11" style="9" bestFit="1" customWidth="1"/>
    <col min="27" max="259" width="9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9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9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9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9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9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9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9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9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9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9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9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9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9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9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9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9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9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9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9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9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9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9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9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9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9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9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9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9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9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9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9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9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9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9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9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9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9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9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9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9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9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9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9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9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9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9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9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9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9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9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9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9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9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9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9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9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9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9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9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9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9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9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9" style="2"/>
  </cols>
  <sheetData>
    <row r="1" spans="1:26" s="1" customFormat="1" ht="36">
      <c r="A1" s="1" t="s">
        <v>42</v>
      </c>
      <c r="B1" s="1" t="s">
        <v>43</v>
      </c>
      <c r="C1" s="75" t="s">
        <v>35</v>
      </c>
      <c r="D1" s="76" t="s">
        <v>78</v>
      </c>
      <c r="E1" s="76" t="s">
        <v>0</v>
      </c>
      <c r="F1" s="77" t="s">
        <v>1</v>
      </c>
      <c r="G1" s="77" t="s">
        <v>36</v>
      </c>
      <c r="H1" s="77" t="s">
        <v>2</v>
      </c>
      <c r="I1" s="78" t="s">
        <v>3</v>
      </c>
      <c r="J1" s="79" t="s">
        <v>4</v>
      </c>
      <c r="K1" s="10" t="s">
        <v>5</v>
      </c>
      <c r="L1" s="257" t="s">
        <v>6</v>
      </c>
      <c r="M1" s="130" t="s">
        <v>7</v>
      </c>
      <c r="N1" s="130" t="s">
        <v>8</v>
      </c>
      <c r="O1" s="130" t="s">
        <v>9</v>
      </c>
      <c r="P1" s="130" t="s">
        <v>10</v>
      </c>
      <c r="Q1" s="130" t="s">
        <v>11</v>
      </c>
      <c r="R1" s="130" t="s">
        <v>12</v>
      </c>
      <c r="S1" s="130" t="s">
        <v>13</v>
      </c>
      <c r="T1" s="130" t="s">
        <v>14</v>
      </c>
      <c r="U1" s="130" t="s">
        <v>15</v>
      </c>
      <c r="V1" s="130" t="s">
        <v>16</v>
      </c>
      <c r="W1" s="81" t="s">
        <v>17</v>
      </c>
      <c r="X1" s="11" t="s">
        <v>18</v>
      </c>
    </row>
    <row r="2" spans="1:26" s="1" customFormat="1">
      <c r="A2" s="68"/>
      <c r="B2" s="72"/>
      <c r="C2" s="412" t="s">
        <v>47</v>
      </c>
      <c r="D2" s="413"/>
      <c r="E2" s="413"/>
      <c r="F2" s="413"/>
      <c r="G2" s="413"/>
      <c r="H2" s="413"/>
      <c r="I2" s="413"/>
      <c r="J2" s="414"/>
      <c r="K2" s="112" t="s">
        <v>19</v>
      </c>
      <c r="L2" s="258">
        <f>L29</f>
        <v>1185250</v>
      </c>
      <c r="M2" s="263">
        <f t="shared" ref="M2:W3" si="0">M29</f>
        <v>576000</v>
      </c>
      <c r="N2" s="263">
        <f t="shared" si="0"/>
        <v>686000</v>
      </c>
      <c r="O2" s="263">
        <f t="shared" si="0"/>
        <v>742000</v>
      </c>
      <c r="P2" s="263">
        <f>P29</f>
        <v>528000</v>
      </c>
      <c r="Q2" s="263">
        <f t="shared" si="0"/>
        <v>644000</v>
      </c>
      <c r="R2" s="263">
        <f t="shared" si="0"/>
        <v>776000</v>
      </c>
      <c r="S2" s="263">
        <f t="shared" si="0"/>
        <v>686000</v>
      </c>
      <c r="T2" s="263">
        <f t="shared" si="0"/>
        <v>716000</v>
      </c>
      <c r="U2" s="263">
        <f t="shared" si="0"/>
        <v>642000</v>
      </c>
      <c r="V2" s="263">
        <f t="shared" si="0"/>
        <v>586000</v>
      </c>
      <c r="W2" s="152">
        <f t="shared" si="0"/>
        <v>670000</v>
      </c>
      <c r="X2" s="14">
        <f>SUM(L2:W2)</f>
        <v>8437250</v>
      </c>
      <c r="Z2" s="53"/>
    </row>
    <row r="3" spans="1:26" s="1" customFormat="1">
      <c r="A3" s="68"/>
      <c r="B3" s="72"/>
      <c r="C3" s="415"/>
      <c r="D3" s="416"/>
      <c r="E3" s="416"/>
      <c r="F3" s="416"/>
      <c r="G3" s="416"/>
      <c r="H3" s="416"/>
      <c r="I3" s="416"/>
      <c r="J3" s="417"/>
      <c r="K3" s="113" t="s">
        <v>20</v>
      </c>
      <c r="L3" s="259">
        <f>L30</f>
        <v>970141</v>
      </c>
      <c r="M3" s="264">
        <f t="shared" si="0"/>
        <v>481881</v>
      </c>
      <c r="N3" s="264">
        <f t="shared" si="0"/>
        <v>496562</v>
      </c>
      <c r="O3" s="264">
        <f t="shared" si="0"/>
        <v>534047</v>
      </c>
      <c r="P3" s="264">
        <f t="shared" si="0"/>
        <v>469872</v>
      </c>
      <c r="Q3" s="264">
        <f t="shared" si="0"/>
        <v>494050</v>
      </c>
      <c r="R3" s="264">
        <f t="shared" si="0"/>
        <v>578839</v>
      </c>
      <c r="S3" s="264">
        <f t="shared" si="0"/>
        <v>517198</v>
      </c>
      <c r="T3" s="264">
        <f t="shared" si="0"/>
        <v>571786</v>
      </c>
      <c r="U3" s="264">
        <f t="shared" si="0"/>
        <v>501960</v>
      </c>
      <c r="V3" s="264">
        <f t="shared" si="0"/>
        <v>475850</v>
      </c>
      <c r="W3" s="15">
        <f t="shared" si="0"/>
        <v>503926</v>
      </c>
      <c r="X3" s="16">
        <f>SUM(L3:W3)</f>
        <v>6596112</v>
      </c>
      <c r="Z3" s="53"/>
    </row>
    <row r="4" spans="1:26" s="1" customFormat="1" ht="12.5" thickBot="1">
      <c r="A4" s="68"/>
      <c r="B4" s="72"/>
      <c r="C4" s="418"/>
      <c r="D4" s="419"/>
      <c r="E4" s="419"/>
      <c r="F4" s="419"/>
      <c r="G4" s="419"/>
      <c r="H4" s="419"/>
      <c r="I4" s="419"/>
      <c r="J4" s="420"/>
      <c r="K4" s="114" t="s">
        <v>21</v>
      </c>
      <c r="L4" s="260">
        <f t="shared" ref="L4:W4" si="1">L2-L3</f>
        <v>215109</v>
      </c>
      <c r="M4" s="265">
        <f t="shared" si="1"/>
        <v>94119</v>
      </c>
      <c r="N4" s="265">
        <f t="shared" si="1"/>
        <v>189438</v>
      </c>
      <c r="O4" s="265">
        <f t="shared" si="1"/>
        <v>207953</v>
      </c>
      <c r="P4" s="265">
        <f t="shared" si="1"/>
        <v>58128</v>
      </c>
      <c r="Q4" s="265">
        <f t="shared" si="1"/>
        <v>149950</v>
      </c>
      <c r="R4" s="265">
        <f t="shared" si="1"/>
        <v>197161</v>
      </c>
      <c r="S4" s="265">
        <f t="shared" si="1"/>
        <v>168802</v>
      </c>
      <c r="T4" s="265">
        <f t="shared" si="1"/>
        <v>144214</v>
      </c>
      <c r="U4" s="265">
        <f t="shared" si="1"/>
        <v>140040</v>
      </c>
      <c r="V4" s="265">
        <f t="shared" si="1"/>
        <v>110150</v>
      </c>
      <c r="W4" s="17">
        <f t="shared" si="1"/>
        <v>166074</v>
      </c>
      <c r="X4" s="18">
        <f>SUM(L4:W4)</f>
        <v>1841138</v>
      </c>
      <c r="Z4" s="53"/>
    </row>
    <row r="5" spans="1:26" ht="12.75" customHeight="1" thickTop="1">
      <c r="A5" s="69">
        <v>2018001</v>
      </c>
      <c r="C5" s="404">
        <v>1</v>
      </c>
      <c r="D5" s="402" t="s">
        <v>65</v>
      </c>
      <c r="E5" s="402"/>
      <c r="F5" s="402"/>
      <c r="G5" s="402"/>
      <c r="H5" s="402" t="s">
        <v>50</v>
      </c>
      <c r="I5" s="402" t="s">
        <v>47</v>
      </c>
      <c r="J5" s="397" t="s">
        <v>56</v>
      </c>
      <c r="K5" s="66" t="s">
        <v>22</v>
      </c>
      <c r="L5" s="235">
        <f t="shared" ref="L5:W5" si="2">L6+L7</f>
        <v>670000</v>
      </c>
      <c r="M5" s="266">
        <f t="shared" si="2"/>
        <v>576000</v>
      </c>
      <c r="N5" s="266">
        <f t="shared" si="2"/>
        <v>686000</v>
      </c>
      <c r="O5" s="266">
        <f t="shared" si="2"/>
        <v>742000</v>
      </c>
      <c r="P5" s="351">
        <f t="shared" si="2"/>
        <v>528000</v>
      </c>
      <c r="Q5" s="351">
        <f>Q6+Q7</f>
        <v>644000</v>
      </c>
      <c r="R5" s="351">
        <f t="shared" si="2"/>
        <v>776000</v>
      </c>
      <c r="S5" s="351">
        <f t="shared" si="2"/>
        <v>686000</v>
      </c>
      <c r="T5" s="351">
        <f t="shared" si="2"/>
        <v>716000</v>
      </c>
      <c r="U5" s="351">
        <f t="shared" si="2"/>
        <v>642000</v>
      </c>
      <c r="V5" s="351">
        <f t="shared" si="2"/>
        <v>586000</v>
      </c>
      <c r="W5" s="153">
        <f t="shared" si="2"/>
        <v>670000</v>
      </c>
      <c r="X5" s="26">
        <f>SUM(L5:W5)</f>
        <v>7922000</v>
      </c>
      <c r="Z5" s="54"/>
    </row>
    <row r="6" spans="1:26">
      <c r="A6" s="70">
        <f t="shared" ref="A6:B16" si="3">+A5</f>
        <v>2018001</v>
      </c>
      <c r="B6" s="74"/>
      <c r="C6" s="404"/>
      <c r="D6" s="402"/>
      <c r="E6" s="402"/>
      <c r="F6" s="402"/>
      <c r="G6" s="402"/>
      <c r="H6" s="402"/>
      <c r="I6" s="402"/>
      <c r="J6" s="398"/>
      <c r="K6" s="159" t="s">
        <v>23</v>
      </c>
      <c r="L6" s="237">
        <v>670000</v>
      </c>
      <c r="M6" s="192">
        <v>576000</v>
      </c>
      <c r="N6" s="192">
        <v>686000</v>
      </c>
      <c r="O6" s="192">
        <v>742000</v>
      </c>
      <c r="P6" s="192">
        <v>528000</v>
      </c>
      <c r="Q6" s="192">
        <v>644000</v>
      </c>
      <c r="R6" s="192">
        <v>776000</v>
      </c>
      <c r="S6" s="192">
        <v>686000</v>
      </c>
      <c r="T6" s="192">
        <v>716000</v>
      </c>
      <c r="U6" s="192">
        <v>642000</v>
      </c>
      <c r="V6" s="192">
        <v>586000</v>
      </c>
      <c r="W6" s="165">
        <v>670000</v>
      </c>
      <c r="X6" s="20">
        <f>SUM(L6:W6)</f>
        <v>7922000</v>
      </c>
      <c r="Y6" s="105"/>
      <c r="Z6" s="54"/>
    </row>
    <row r="7" spans="1:26">
      <c r="A7" s="70">
        <f t="shared" si="3"/>
        <v>2018001</v>
      </c>
      <c r="B7" s="74"/>
      <c r="C7" s="404"/>
      <c r="D7" s="402"/>
      <c r="E7" s="402"/>
      <c r="F7" s="402"/>
      <c r="G7" s="402"/>
      <c r="H7" s="402"/>
      <c r="I7" s="402"/>
      <c r="J7" s="398"/>
      <c r="K7" s="159" t="s">
        <v>24</v>
      </c>
      <c r="L7" s="237"/>
      <c r="M7" s="192"/>
      <c r="N7" s="192"/>
      <c r="O7" s="195"/>
      <c r="P7" s="195"/>
      <c r="Q7" s="195"/>
      <c r="R7" s="195"/>
      <c r="S7" s="195"/>
      <c r="T7" s="195"/>
      <c r="U7" s="195"/>
      <c r="V7" s="195"/>
      <c r="W7" s="163"/>
      <c r="X7" s="20">
        <v>0</v>
      </c>
      <c r="Z7" s="54"/>
    </row>
    <row r="8" spans="1:26">
      <c r="A8" s="70">
        <f t="shared" si="3"/>
        <v>2018001</v>
      </c>
      <c r="B8" s="74"/>
      <c r="C8" s="404"/>
      <c r="D8" s="402"/>
      <c r="E8" s="402"/>
      <c r="F8" s="402"/>
      <c r="G8" s="402"/>
      <c r="H8" s="402"/>
      <c r="I8" s="402"/>
      <c r="J8" s="398"/>
      <c r="K8" s="160" t="s">
        <v>25</v>
      </c>
      <c r="L8" s="238">
        <f t="shared" ref="L8:W8" si="4">SUM(L9:L15)</f>
        <v>503926</v>
      </c>
      <c r="M8" s="193">
        <f t="shared" si="4"/>
        <v>481881</v>
      </c>
      <c r="N8" s="193">
        <f t="shared" si="4"/>
        <v>496562</v>
      </c>
      <c r="O8" s="343">
        <f t="shared" si="4"/>
        <v>534047</v>
      </c>
      <c r="P8" s="343">
        <f t="shared" si="4"/>
        <v>469872</v>
      </c>
      <c r="Q8" s="343">
        <f t="shared" si="4"/>
        <v>494050</v>
      </c>
      <c r="R8" s="343">
        <f t="shared" si="4"/>
        <v>578839</v>
      </c>
      <c r="S8" s="343">
        <f t="shared" si="4"/>
        <v>517198</v>
      </c>
      <c r="T8" s="343">
        <f t="shared" si="4"/>
        <v>571786</v>
      </c>
      <c r="U8" s="343">
        <f t="shared" si="4"/>
        <v>501960</v>
      </c>
      <c r="V8" s="343">
        <f t="shared" si="4"/>
        <v>475850</v>
      </c>
      <c r="W8" s="164">
        <f t="shared" si="4"/>
        <v>503926</v>
      </c>
      <c r="X8" s="33">
        <f>SUM(L8:W8)</f>
        <v>6129897</v>
      </c>
      <c r="Z8" s="54"/>
    </row>
    <row r="9" spans="1:26">
      <c r="A9" s="70">
        <f t="shared" si="3"/>
        <v>2018001</v>
      </c>
      <c r="B9" s="74"/>
      <c r="C9" s="404"/>
      <c r="D9" s="402"/>
      <c r="E9" s="402"/>
      <c r="F9" s="402"/>
      <c r="G9" s="402"/>
      <c r="H9" s="402"/>
      <c r="I9" s="402"/>
      <c r="J9" s="398"/>
      <c r="K9" s="161" t="s">
        <v>26</v>
      </c>
      <c r="L9" s="237">
        <v>426500</v>
      </c>
      <c r="M9" s="192">
        <v>406000</v>
      </c>
      <c r="N9" s="192">
        <v>416580</v>
      </c>
      <c r="O9" s="192">
        <v>452100</v>
      </c>
      <c r="P9" s="192">
        <v>392800</v>
      </c>
      <c r="Q9" s="192">
        <v>412600</v>
      </c>
      <c r="R9" s="192">
        <v>492300</v>
      </c>
      <c r="S9" s="192">
        <v>431300</v>
      </c>
      <c r="T9" s="192">
        <v>485320</v>
      </c>
      <c r="U9" s="192">
        <v>416220</v>
      </c>
      <c r="V9" s="192">
        <v>390200</v>
      </c>
      <c r="W9" s="165">
        <v>426500</v>
      </c>
      <c r="X9" s="20">
        <f t="shared" ref="X9:X15" si="5">SUM(L9:W9)</f>
        <v>5148420</v>
      </c>
      <c r="Y9" s="105"/>
      <c r="Z9" s="54"/>
    </row>
    <row r="10" spans="1:26">
      <c r="A10" s="70">
        <f t="shared" si="3"/>
        <v>2018001</v>
      </c>
      <c r="B10" s="74"/>
      <c r="C10" s="404"/>
      <c r="D10" s="402"/>
      <c r="E10" s="402"/>
      <c r="F10" s="402"/>
      <c r="G10" s="402"/>
      <c r="H10" s="402"/>
      <c r="I10" s="402"/>
      <c r="J10" s="398"/>
      <c r="K10" s="161" t="s">
        <v>33</v>
      </c>
      <c r="L10" s="237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65"/>
      <c r="X10" s="20">
        <f t="shared" si="5"/>
        <v>0</v>
      </c>
      <c r="Y10" s="105"/>
      <c r="Z10" s="54"/>
    </row>
    <row r="11" spans="1:26">
      <c r="A11" s="70">
        <f t="shared" si="3"/>
        <v>2018001</v>
      </c>
      <c r="B11" s="74"/>
      <c r="C11" s="404"/>
      <c r="D11" s="402"/>
      <c r="E11" s="402"/>
      <c r="F11" s="402"/>
      <c r="G11" s="402"/>
      <c r="H11" s="402"/>
      <c r="I11" s="402"/>
      <c r="J11" s="398"/>
      <c r="K11" s="161" t="s">
        <v>27</v>
      </c>
      <c r="L11" s="237">
        <v>15792</v>
      </c>
      <c r="M11" s="192">
        <v>14476</v>
      </c>
      <c r="N11" s="192">
        <v>18424</v>
      </c>
      <c r="O11" s="192">
        <v>20000</v>
      </c>
      <c r="P11" s="192">
        <v>15792</v>
      </c>
      <c r="Q11" s="192">
        <v>15792</v>
      </c>
      <c r="R11" s="192">
        <v>20000</v>
      </c>
      <c r="S11" s="192">
        <v>20000</v>
      </c>
      <c r="T11" s="192">
        <v>20000</v>
      </c>
      <c r="U11" s="192">
        <v>20000</v>
      </c>
      <c r="V11" s="192">
        <v>20000</v>
      </c>
      <c r="W11" s="165">
        <v>15792</v>
      </c>
      <c r="X11" s="20">
        <f t="shared" si="5"/>
        <v>216068</v>
      </c>
      <c r="Y11" s="105"/>
      <c r="Z11" s="54"/>
    </row>
    <row r="12" spans="1:26">
      <c r="A12" s="70">
        <f t="shared" si="3"/>
        <v>2018001</v>
      </c>
      <c r="B12" s="74"/>
      <c r="C12" s="404"/>
      <c r="D12" s="402"/>
      <c r="E12" s="402"/>
      <c r="F12" s="402"/>
      <c r="G12" s="402"/>
      <c r="H12" s="402"/>
      <c r="I12" s="402"/>
      <c r="J12" s="398"/>
      <c r="K12" s="161" t="s">
        <v>28</v>
      </c>
      <c r="L12" s="237">
        <v>19475</v>
      </c>
      <c r="M12" s="192">
        <v>19475</v>
      </c>
      <c r="N12" s="192">
        <v>19475</v>
      </c>
      <c r="O12" s="192">
        <v>19475</v>
      </c>
      <c r="P12" s="192">
        <v>19475</v>
      </c>
      <c r="Q12" s="192">
        <v>20900</v>
      </c>
      <c r="R12" s="192">
        <v>20900</v>
      </c>
      <c r="S12" s="192">
        <v>20900</v>
      </c>
      <c r="T12" s="192">
        <v>20900</v>
      </c>
      <c r="U12" s="192">
        <v>20900</v>
      </c>
      <c r="V12" s="192">
        <v>20900</v>
      </c>
      <c r="W12" s="165">
        <v>19475</v>
      </c>
      <c r="X12" s="20">
        <f t="shared" si="5"/>
        <v>242250</v>
      </c>
      <c r="Y12" s="105"/>
      <c r="Z12" s="54"/>
    </row>
    <row r="13" spans="1:26">
      <c r="A13" s="70">
        <f t="shared" si="3"/>
        <v>2018001</v>
      </c>
      <c r="B13" s="74"/>
      <c r="C13" s="404"/>
      <c r="D13" s="402"/>
      <c r="E13" s="402"/>
      <c r="F13" s="402"/>
      <c r="G13" s="402"/>
      <c r="H13" s="402"/>
      <c r="I13" s="402"/>
      <c r="J13" s="398"/>
      <c r="K13" s="161" t="s">
        <v>29</v>
      </c>
      <c r="L13" s="237">
        <v>37515</v>
      </c>
      <c r="M13" s="192">
        <v>37515</v>
      </c>
      <c r="N13" s="192">
        <v>37515</v>
      </c>
      <c r="O13" s="192">
        <v>37515</v>
      </c>
      <c r="P13" s="192">
        <v>37515</v>
      </c>
      <c r="Q13" s="192">
        <v>40260</v>
      </c>
      <c r="R13" s="192">
        <v>40260</v>
      </c>
      <c r="S13" s="192">
        <v>40260</v>
      </c>
      <c r="T13" s="192">
        <v>40260</v>
      </c>
      <c r="U13" s="192">
        <v>40260</v>
      </c>
      <c r="V13" s="192">
        <v>40260</v>
      </c>
      <c r="W13" s="165">
        <v>37515</v>
      </c>
      <c r="X13" s="20">
        <f t="shared" si="5"/>
        <v>466650</v>
      </c>
      <c r="Y13" s="105"/>
      <c r="Z13" s="54"/>
    </row>
    <row r="14" spans="1:26">
      <c r="A14" s="70">
        <f t="shared" si="3"/>
        <v>2018001</v>
      </c>
      <c r="B14" s="74"/>
      <c r="C14" s="404"/>
      <c r="D14" s="402"/>
      <c r="E14" s="402"/>
      <c r="F14" s="402"/>
      <c r="G14" s="402"/>
      <c r="H14" s="402"/>
      <c r="I14" s="402"/>
      <c r="J14" s="398"/>
      <c r="K14" s="161" t="s">
        <v>30</v>
      </c>
      <c r="L14" s="237">
        <v>2211</v>
      </c>
      <c r="M14" s="192">
        <v>2102</v>
      </c>
      <c r="N14" s="192">
        <v>2175</v>
      </c>
      <c r="O14" s="192">
        <v>2360</v>
      </c>
      <c r="P14" s="192">
        <v>2043</v>
      </c>
      <c r="Q14" s="192">
        <v>2142</v>
      </c>
      <c r="R14" s="192">
        <v>2561</v>
      </c>
      <c r="S14" s="192">
        <v>2256</v>
      </c>
      <c r="T14" s="192">
        <v>2527</v>
      </c>
      <c r="U14" s="192">
        <v>2181</v>
      </c>
      <c r="V14" s="192">
        <v>2138</v>
      </c>
      <c r="W14" s="165">
        <v>2211</v>
      </c>
      <c r="X14" s="20">
        <f t="shared" si="5"/>
        <v>26907</v>
      </c>
      <c r="Y14" s="105"/>
      <c r="Z14" s="54"/>
    </row>
    <row r="15" spans="1:26">
      <c r="A15" s="70">
        <f t="shared" si="3"/>
        <v>2018001</v>
      </c>
      <c r="B15" s="74"/>
      <c r="C15" s="404"/>
      <c r="D15" s="402"/>
      <c r="E15" s="402"/>
      <c r="F15" s="402"/>
      <c r="G15" s="402"/>
      <c r="H15" s="402"/>
      <c r="I15" s="402"/>
      <c r="J15" s="398"/>
      <c r="K15" s="161" t="s">
        <v>31</v>
      </c>
      <c r="L15" s="237">
        <v>2433</v>
      </c>
      <c r="M15" s="192">
        <v>2313</v>
      </c>
      <c r="N15" s="192">
        <v>2393</v>
      </c>
      <c r="O15" s="192">
        <v>2597</v>
      </c>
      <c r="P15" s="192">
        <v>2247</v>
      </c>
      <c r="Q15" s="192">
        <v>2356</v>
      </c>
      <c r="R15" s="192">
        <v>2818</v>
      </c>
      <c r="S15" s="192">
        <v>2482</v>
      </c>
      <c r="T15" s="192">
        <v>2779</v>
      </c>
      <c r="U15" s="192">
        <v>2399</v>
      </c>
      <c r="V15" s="192">
        <v>2352</v>
      </c>
      <c r="W15" s="165">
        <v>2433</v>
      </c>
      <c r="X15" s="20">
        <f t="shared" si="5"/>
        <v>29602</v>
      </c>
      <c r="Y15" s="105"/>
      <c r="Z15" s="54"/>
    </row>
    <row r="16" spans="1:26">
      <c r="A16" s="70">
        <f t="shared" si="3"/>
        <v>2018001</v>
      </c>
      <c r="B16" s="74"/>
      <c r="C16" s="405"/>
      <c r="D16" s="403"/>
      <c r="E16" s="403"/>
      <c r="F16" s="403"/>
      <c r="G16" s="403"/>
      <c r="H16" s="403"/>
      <c r="I16" s="403"/>
      <c r="J16" s="399"/>
      <c r="K16" s="65" t="s">
        <v>32</v>
      </c>
      <c r="L16" s="250">
        <f t="shared" ref="L16:X16" si="6">L5-L8</f>
        <v>166074</v>
      </c>
      <c r="M16" s="267">
        <f t="shared" si="6"/>
        <v>94119</v>
      </c>
      <c r="N16" s="267">
        <f t="shared" si="6"/>
        <v>189438</v>
      </c>
      <c r="O16" s="344">
        <f t="shared" si="6"/>
        <v>207953</v>
      </c>
      <c r="P16" s="344">
        <f t="shared" si="6"/>
        <v>58128</v>
      </c>
      <c r="Q16" s="344">
        <f t="shared" si="6"/>
        <v>149950</v>
      </c>
      <c r="R16" s="344">
        <f t="shared" si="6"/>
        <v>197161</v>
      </c>
      <c r="S16" s="344">
        <f t="shared" si="6"/>
        <v>168802</v>
      </c>
      <c r="T16" s="344">
        <f t="shared" si="6"/>
        <v>144214</v>
      </c>
      <c r="U16" s="344">
        <f t="shared" si="6"/>
        <v>140040</v>
      </c>
      <c r="V16" s="344">
        <f t="shared" si="6"/>
        <v>110150</v>
      </c>
      <c r="W16" s="154">
        <f t="shared" si="6"/>
        <v>166074</v>
      </c>
      <c r="X16" s="24">
        <f t="shared" si="6"/>
        <v>1792103</v>
      </c>
      <c r="Z16" s="54"/>
    </row>
    <row r="17" spans="1:27" ht="12.75" customHeight="1">
      <c r="A17" s="69">
        <v>5000016</v>
      </c>
      <c r="C17" s="433">
        <f>C5+1</f>
        <v>2</v>
      </c>
      <c r="D17" s="432" t="s">
        <v>54</v>
      </c>
      <c r="E17" s="432" t="s">
        <v>104</v>
      </c>
      <c r="F17" s="432"/>
      <c r="G17" s="432"/>
      <c r="H17" s="432" t="s">
        <v>50</v>
      </c>
      <c r="I17" s="432" t="s">
        <v>47</v>
      </c>
      <c r="J17" s="397" t="s">
        <v>68</v>
      </c>
      <c r="K17" s="61" t="s">
        <v>22</v>
      </c>
      <c r="L17" s="242">
        <f t="shared" ref="L17:W17" si="7">L18+L19</f>
        <v>515250</v>
      </c>
      <c r="M17" s="243">
        <f t="shared" si="7"/>
        <v>0</v>
      </c>
      <c r="N17" s="272">
        <f t="shared" si="7"/>
        <v>0</v>
      </c>
      <c r="O17" s="272">
        <f t="shared" si="7"/>
        <v>0</v>
      </c>
      <c r="P17" s="352">
        <f t="shared" si="7"/>
        <v>0</v>
      </c>
      <c r="Q17" s="352">
        <f t="shared" si="7"/>
        <v>0</v>
      </c>
      <c r="R17" s="352">
        <f t="shared" si="7"/>
        <v>0</v>
      </c>
      <c r="S17" s="352">
        <f t="shared" si="7"/>
        <v>0</v>
      </c>
      <c r="T17" s="352">
        <f t="shared" si="7"/>
        <v>0</v>
      </c>
      <c r="U17" s="352">
        <f t="shared" si="7"/>
        <v>0</v>
      </c>
      <c r="V17" s="352">
        <f t="shared" si="7"/>
        <v>0</v>
      </c>
      <c r="W17" s="296">
        <f t="shared" si="7"/>
        <v>0</v>
      </c>
      <c r="X17" s="297">
        <f>SUM(L17:W17)</f>
        <v>515250</v>
      </c>
      <c r="Z17" s="54"/>
    </row>
    <row r="18" spans="1:27" ht="13.4" customHeight="1">
      <c r="A18" s="70">
        <f t="shared" ref="A18:B28" si="8">+A17</f>
        <v>5000016</v>
      </c>
      <c r="B18" s="74">
        <f>+B17</f>
        <v>0</v>
      </c>
      <c r="C18" s="404"/>
      <c r="D18" s="402"/>
      <c r="E18" s="402"/>
      <c r="F18" s="402"/>
      <c r="G18" s="402"/>
      <c r="H18" s="402"/>
      <c r="I18" s="402"/>
      <c r="J18" s="398"/>
      <c r="K18" s="159" t="s">
        <v>61</v>
      </c>
      <c r="L18" s="236">
        <v>515250</v>
      </c>
      <c r="M18" s="236"/>
      <c r="N18" s="195"/>
      <c r="O18" s="195"/>
      <c r="P18" s="195"/>
      <c r="Q18" s="195"/>
      <c r="R18" s="195"/>
      <c r="S18" s="195"/>
      <c r="T18" s="195"/>
      <c r="U18" s="195"/>
      <c r="V18" s="195"/>
      <c r="W18" s="282"/>
      <c r="X18" s="283">
        <f>SUM(L18:W18)</f>
        <v>515250</v>
      </c>
      <c r="Y18" s="105"/>
      <c r="Z18" s="54"/>
    </row>
    <row r="19" spans="1:27" ht="13.4" customHeight="1">
      <c r="A19" s="70">
        <f t="shared" si="8"/>
        <v>5000016</v>
      </c>
      <c r="B19" s="74">
        <f t="shared" si="8"/>
        <v>0</v>
      </c>
      <c r="C19" s="404"/>
      <c r="D19" s="402"/>
      <c r="E19" s="402"/>
      <c r="F19" s="402"/>
      <c r="G19" s="402"/>
      <c r="H19" s="402"/>
      <c r="I19" s="402"/>
      <c r="J19" s="398"/>
      <c r="K19" s="159"/>
      <c r="L19" s="237"/>
      <c r="M19" s="237"/>
      <c r="N19" s="192"/>
      <c r="O19" s="195"/>
      <c r="P19" s="195"/>
      <c r="Q19" s="195"/>
      <c r="R19" s="195"/>
      <c r="S19" s="195"/>
      <c r="T19" s="195"/>
      <c r="U19" s="195"/>
      <c r="V19" s="195"/>
      <c r="W19" s="284"/>
      <c r="X19" s="283">
        <v>0</v>
      </c>
      <c r="Z19" s="54"/>
    </row>
    <row r="20" spans="1:27" ht="13.4" customHeight="1">
      <c r="A20" s="70">
        <f t="shared" si="8"/>
        <v>5000016</v>
      </c>
      <c r="B20" s="74">
        <f t="shared" si="8"/>
        <v>0</v>
      </c>
      <c r="C20" s="404"/>
      <c r="D20" s="402"/>
      <c r="E20" s="402"/>
      <c r="F20" s="402"/>
      <c r="G20" s="402"/>
      <c r="H20" s="402"/>
      <c r="I20" s="402"/>
      <c r="J20" s="398"/>
      <c r="K20" s="160" t="s">
        <v>25</v>
      </c>
      <c r="L20" s="238">
        <f t="shared" ref="L20:W20" si="9">SUM(L21:L27)</f>
        <v>466215</v>
      </c>
      <c r="M20" s="238">
        <f t="shared" si="9"/>
        <v>0</v>
      </c>
      <c r="N20" s="193">
        <f t="shared" si="9"/>
        <v>0</v>
      </c>
      <c r="O20" s="343">
        <f t="shared" si="9"/>
        <v>0</v>
      </c>
      <c r="P20" s="343">
        <f t="shared" si="9"/>
        <v>0</v>
      </c>
      <c r="Q20" s="343">
        <f t="shared" si="9"/>
        <v>0</v>
      </c>
      <c r="R20" s="343">
        <f t="shared" si="9"/>
        <v>0</v>
      </c>
      <c r="S20" s="343">
        <f t="shared" si="9"/>
        <v>0</v>
      </c>
      <c r="T20" s="343">
        <f t="shared" si="9"/>
        <v>0</v>
      </c>
      <c r="U20" s="343">
        <f t="shared" si="9"/>
        <v>0</v>
      </c>
      <c r="V20" s="343">
        <f t="shared" si="9"/>
        <v>0</v>
      </c>
      <c r="W20" s="286">
        <f t="shared" si="9"/>
        <v>0</v>
      </c>
      <c r="X20" s="287">
        <f>SUM(L20:W20)</f>
        <v>466215</v>
      </c>
      <c r="Z20" s="54"/>
    </row>
    <row r="21" spans="1:27" ht="13.4" customHeight="1">
      <c r="A21" s="70">
        <f t="shared" si="8"/>
        <v>5000016</v>
      </c>
      <c r="B21" s="74">
        <f t="shared" si="8"/>
        <v>0</v>
      </c>
      <c r="C21" s="404"/>
      <c r="D21" s="402"/>
      <c r="E21" s="402"/>
      <c r="F21" s="402"/>
      <c r="G21" s="402"/>
      <c r="H21" s="402"/>
      <c r="I21" s="402"/>
      <c r="J21" s="398"/>
      <c r="K21" s="161" t="s">
        <v>62</v>
      </c>
      <c r="L21" s="237">
        <v>466215</v>
      </c>
      <c r="M21" s="237"/>
      <c r="N21" s="192"/>
      <c r="O21" s="192"/>
      <c r="P21" s="192"/>
      <c r="Q21" s="192"/>
      <c r="R21" s="192"/>
      <c r="S21" s="192"/>
      <c r="T21" s="192"/>
      <c r="U21" s="192"/>
      <c r="V21" s="192"/>
      <c r="W21" s="288"/>
      <c r="X21" s="283">
        <f t="shared" ref="X21:X27" si="10">SUM(L21:W21)</f>
        <v>466215</v>
      </c>
      <c r="Y21" s="105"/>
      <c r="Z21" s="54"/>
    </row>
    <row r="22" spans="1:27" ht="13.4" customHeight="1">
      <c r="A22" s="70">
        <f t="shared" si="8"/>
        <v>5000016</v>
      </c>
      <c r="B22" s="74">
        <f t="shared" si="8"/>
        <v>0</v>
      </c>
      <c r="C22" s="404"/>
      <c r="D22" s="402"/>
      <c r="E22" s="402"/>
      <c r="F22" s="402"/>
      <c r="G22" s="402"/>
      <c r="H22" s="402"/>
      <c r="I22" s="402"/>
      <c r="J22" s="398"/>
      <c r="K22" s="161"/>
      <c r="L22" s="237"/>
      <c r="M22" s="237"/>
      <c r="N22" s="192"/>
      <c r="O22" s="192"/>
      <c r="P22" s="192"/>
      <c r="Q22" s="192"/>
      <c r="R22" s="192"/>
      <c r="S22" s="192"/>
      <c r="T22" s="192"/>
      <c r="U22" s="192"/>
      <c r="V22" s="192"/>
      <c r="W22" s="289"/>
      <c r="X22" s="283">
        <f t="shared" si="10"/>
        <v>0</v>
      </c>
      <c r="Y22" s="105"/>
      <c r="Z22" s="54"/>
    </row>
    <row r="23" spans="1:27" ht="13.4" customHeight="1">
      <c r="A23" s="70">
        <f t="shared" si="8"/>
        <v>5000016</v>
      </c>
      <c r="B23" s="74">
        <f t="shared" si="8"/>
        <v>0</v>
      </c>
      <c r="C23" s="404"/>
      <c r="D23" s="402"/>
      <c r="E23" s="402"/>
      <c r="F23" s="402"/>
      <c r="G23" s="402"/>
      <c r="H23" s="402"/>
      <c r="I23" s="402"/>
      <c r="J23" s="398"/>
      <c r="K23" s="161"/>
      <c r="L23" s="237"/>
      <c r="M23" s="237"/>
      <c r="N23" s="192"/>
      <c r="O23" s="192"/>
      <c r="P23" s="192"/>
      <c r="Q23" s="192"/>
      <c r="R23" s="192"/>
      <c r="S23" s="192"/>
      <c r="T23" s="192"/>
      <c r="U23" s="192"/>
      <c r="V23" s="192"/>
      <c r="W23" s="289"/>
      <c r="X23" s="283">
        <f t="shared" si="10"/>
        <v>0</v>
      </c>
      <c r="Y23" s="105"/>
      <c r="Z23" s="54"/>
    </row>
    <row r="24" spans="1:27" ht="13.4" customHeight="1">
      <c r="A24" s="70">
        <f t="shared" si="8"/>
        <v>5000016</v>
      </c>
      <c r="B24" s="74">
        <f t="shared" si="8"/>
        <v>0</v>
      </c>
      <c r="C24" s="404"/>
      <c r="D24" s="402"/>
      <c r="E24" s="402"/>
      <c r="F24" s="402"/>
      <c r="G24" s="402"/>
      <c r="H24" s="402"/>
      <c r="I24" s="402"/>
      <c r="J24" s="398"/>
      <c r="K24" s="161"/>
      <c r="L24" s="237"/>
      <c r="M24" s="237"/>
      <c r="N24" s="192"/>
      <c r="O24" s="192"/>
      <c r="P24" s="192"/>
      <c r="Q24" s="192"/>
      <c r="R24" s="192"/>
      <c r="S24" s="192"/>
      <c r="T24" s="192"/>
      <c r="U24" s="192"/>
      <c r="V24" s="192"/>
      <c r="W24" s="289"/>
      <c r="X24" s="283">
        <f t="shared" si="10"/>
        <v>0</v>
      </c>
      <c r="Y24" s="105"/>
      <c r="Z24" s="54"/>
    </row>
    <row r="25" spans="1:27" ht="13.4" customHeight="1">
      <c r="A25" s="70">
        <f t="shared" si="8"/>
        <v>5000016</v>
      </c>
      <c r="B25" s="74">
        <f t="shared" si="8"/>
        <v>0</v>
      </c>
      <c r="C25" s="404"/>
      <c r="D25" s="402"/>
      <c r="E25" s="402"/>
      <c r="F25" s="402"/>
      <c r="G25" s="402"/>
      <c r="H25" s="402"/>
      <c r="I25" s="402"/>
      <c r="J25" s="398"/>
      <c r="K25" s="161"/>
      <c r="L25" s="237"/>
      <c r="M25" s="237"/>
      <c r="N25" s="192"/>
      <c r="O25" s="192"/>
      <c r="P25" s="192"/>
      <c r="Q25" s="192"/>
      <c r="R25" s="192"/>
      <c r="S25" s="192"/>
      <c r="T25" s="192"/>
      <c r="U25" s="192"/>
      <c r="V25" s="192"/>
      <c r="W25" s="289"/>
      <c r="X25" s="283">
        <f t="shared" si="10"/>
        <v>0</v>
      </c>
      <c r="Y25" s="105"/>
      <c r="Z25" s="54"/>
    </row>
    <row r="26" spans="1:27" ht="13.4" customHeight="1">
      <c r="A26" s="70">
        <f t="shared" si="8"/>
        <v>5000016</v>
      </c>
      <c r="B26" s="74">
        <f t="shared" si="8"/>
        <v>0</v>
      </c>
      <c r="C26" s="404"/>
      <c r="D26" s="402"/>
      <c r="E26" s="402"/>
      <c r="F26" s="402"/>
      <c r="G26" s="402"/>
      <c r="H26" s="402"/>
      <c r="I26" s="402"/>
      <c r="J26" s="398"/>
      <c r="K26" s="161"/>
      <c r="L26" s="237"/>
      <c r="M26" s="237"/>
      <c r="N26" s="192"/>
      <c r="O26" s="192"/>
      <c r="P26" s="192"/>
      <c r="Q26" s="192"/>
      <c r="R26" s="192"/>
      <c r="S26" s="192"/>
      <c r="T26" s="192"/>
      <c r="U26" s="192"/>
      <c r="V26" s="192"/>
      <c r="W26" s="289"/>
      <c r="X26" s="283">
        <f t="shared" si="10"/>
        <v>0</v>
      </c>
      <c r="Y26" s="105"/>
      <c r="Z26" s="54"/>
    </row>
    <row r="27" spans="1:27" ht="13.4" customHeight="1">
      <c r="A27" s="70">
        <f t="shared" si="8"/>
        <v>5000016</v>
      </c>
      <c r="B27" s="74">
        <f t="shared" si="8"/>
        <v>0</v>
      </c>
      <c r="C27" s="404"/>
      <c r="D27" s="402"/>
      <c r="E27" s="402"/>
      <c r="F27" s="402"/>
      <c r="G27" s="402"/>
      <c r="H27" s="402"/>
      <c r="I27" s="402"/>
      <c r="J27" s="398"/>
      <c r="K27" s="64"/>
      <c r="L27" s="239"/>
      <c r="M27" s="290"/>
      <c r="N27" s="212"/>
      <c r="O27" s="212"/>
      <c r="P27" s="212"/>
      <c r="Q27" s="212"/>
      <c r="R27" s="212"/>
      <c r="S27" s="212"/>
      <c r="T27" s="212"/>
      <c r="U27" s="212"/>
      <c r="V27" s="212"/>
      <c r="W27" s="291"/>
      <c r="X27" s="283">
        <f t="shared" si="10"/>
        <v>0</v>
      </c>
      <c r="Y27" s="105"/>
      <c r="Z27" s="54"/>
    </row>
    <row r="28" spans="1:27" ht="14.15" customHeight="1" thickBot="1">
      <c r="A28" s="70">
        <f t="shared" si="8"/>
        <v>5000016</v>
      </c>
      <c r="B28" s="74">
        <f t="shared" si="8"/>
        <v>0</v>
      </c>
      <c r="C28" s="438"/>
      <c r="D28" s="436"/>
      <c r="E28" s="436"/>
      <c r="F28" s="436"/>
      <c r="G28" s="436"/>
      <c r="H28" s="436"/>
      <c r="I28" s="436"/>
      <c r="J28" s="437"/>
      <c r="K28" s="67" t="s">
        <v>32</v>
      </c>
      <c r="L28" s="240">
        <f t="shared" ref="L28:O28" si="11">L17-L20</f>
        <v>49035</v>
      </c>
      <c r="M28" s="292">
        <f t="shared" si="11"/>
        <v>0</v>
      </c>
      <c r="N28" s="268">
        <f t="shared" si="11"/>
        <v>0</v>
      </c>
      <c r="O28" s="345">
        <f t="shared" si="11"/>
        <v>0</v>
      </c>
      <c r="P28" s="345">
        <f>P17-P20</f>
        <v>0</v>
      </c>
      <c r="Q28" s="345">
        <f t="shared" ref="Q28:W28" si="12">Q17-Q20</f>
        <v>0</v>
      </c>
      <c r="R28" s="345">
        <f t="shared" si="12"/>
        <v>0</v>
      </c>
      <c r="S28" s="345">
        <f>S17-S20</f>
        <v>0</v>
      </c>
      <c r="T28" s="345">
        <f t="shared" si="12"/>
        <v>0</v>
      </c>
      <c r="U28" s="345">
        <f t="shared" si="12"/>
        <v>0</v>
      </c>
      <c r="V28" s="345">
        <f t="shared" si="12"/>
        <v>0</v>
      </c>
      <c r="W28" s="294">
        <f t="shared" si="12"/>
        <v>0</v>
      </c>
      <c r="X28" s="295">
        <f>X17-X20</f>
        <v>49035</v>
      </c>
      <c r="Z28" s="54"/>
    </row>
    <row r="29" spans="1:27" s="1" customFormat="1" ht="12.65" customHeight="1" thickTop="1">
      <c r="A29" s="68"/>
      <c r="B29" s="72"/>
      <c r="C29" s="460" t="str">
        <f>C2</f>
        <v>EXA</v>
      </c>
      <c r="D29" s="461"/>
      <c r="E29" s="461"/>
      <c r="F29" s="461"/>
      <c r="G29" s="461"/>
      <c r="H29" s="461"/>
      <c r="I29" s="461"/>
      <c r="J29" s="462"/>
      <c r="K29" s="112" t="s">
        <v>19</v>
      </c>
      <c r="L29" s="255">
        <f>L5+L17</f>
        <v>1185250</v>
      </c>
      <c r="M29" s="198">
        <f t="shared" ref="M29:W29" si="13">M5+M17</f>
        <v>576000</v>
      </c>
      <c r="N29" s="198">
        <f t="shared" si="13"/>
        <v>686000</v>
      </c>
      <c r="O29" s="198">
        <f t="shared" si="13"/>
        <v>742000</v>
      </c>
      <c r="P29" s="198">
        <f t="shared" si="13"/>
        <v>528000</v>
      </c>
      <c r="Q29" s="198">
        <f t="shared" si="13"/>
        <v>644000</v>
      </c>
      <c r="R29" s="198">
        <f t="shared" si="13"/>
        <v>776000</v>
      </c>
      <c r="S29" s="198">
        <f t="shared" si="13"/>
        <v>686000</v>
      </c>
      <c r="T29" s="198">
        <f t="shared" si="13"/>
        <v>716000</v>
      </c>
      <c r="U29" s="198">
        <f t="shared" si="13"/>
        <v>642000</v>
      </c>
      <c r="V29" s="198">
        <f t="shared" si="13"/>
        <v>586000</v>
      </c>
      <c r="W29" s="103">
        <f t="shared" si="13"/>
        <v>670000</v>
      </c>
      <c r="X29" s="58">
        <f>SUM(L29:W29)</f>
        <v>8437250</v>
      </c>
      <c r="Z29" s="54"/>
      <c r="AA29" s="2"/>
    </row>
    <row r="30" spans="1:27" s="1" customFormat="1" ht="12" customHeight="1">
      <c r="A30" s="68"/>
      <c r="B30" s="72"/>
      <c r="C30" s="463"/>
      <c r="D30" s="464"/>
      <c r="E30" s="464"/>
      <c r="F30" s="464"/>
      <c r="G30" s="464"/>
      <c r="H30" s="464"/>
      <c r="I30" s="464"/>
      <c r="J30" s="465"/>
      <c r="K30" s="113" t="s">
        <v>20</v>
      </c>
      <c r="L30" s="256">
        <f>L8+L20</f>
        <v>970141</v>
      </c>
      <c r="M30" s="199">
        <f t="shared" ref="M30:W30" si="14">M8+M20</f>
        <v>481881</v>
      </c>
      <c r="N30" s="199">
        <f t="shared" si="14"/>
        <v>496562</v>
      </c>
      <c r="O30" s="199">
        <f t="shared" si="14"/>
        <v>534047</v>
      </c>
      <c r="P30" s="199">
        <f t="shared" si="14"/>
        <v>469872</v>
      </c>
      <c r="Q30" s="199">
        <f t="shared" si="14"/>
        <v>494050</v>
      </c>
      <c r="R30" s="199">
        <f t="shared" si="14"/>
        <v>578839</v>
      </c>
      <c r="S30" s="199">
        <f t="shared" si="14"/>
        <v>517198</v>
      </c>
      <c r="T30" s="199">
        <f t="shared" si="14"/>
        <v>571786</v>
      </c>
      <c r="U30" s="199">
        <f t="shared" si="14"/>
        <v>501960</v>
      </c>
      <c r="V30" s="199">
        <f t="shared" si="14"/>
        <v>475850</v>
      </c>
      <c r="W30" s="60">
        <f t="shared" si="14"/>
        <v>503926</v>
      </c>
      <c r="X30" s="27">
        <f>SUM(L30:W30)</f>
        <v>6596112</v>
      </c>
      <c r="Z30" s="54"/>
      <c r="AA30" s="2"/>
    </row>
    <row r="31" spans="1:27" s="1" customFormat="1" ht="12" customHeight="1">
      <c r="A31" s="68"/>
      <c r="B31" s="72"/>
      <c r="C31" s="466"/>
      <c r="D31" s="467"/>
      <c r="E31" s="467"/>
      <c r="F31" s="467"/>
      <c r="G31" s="467"/>
      <c r="H31" s="467"/>
      <c r="I31" s="467"/>
      <c r="J31" s="468"/>
      <c r="K31" s="117" t="s">
        <v>21</v>
      </c>
      <c r="L31" s="261">
        <f>L29-L30</f>
        <v>215109</v>
      </c>
      <c r="M31" s="262">
        <f t="shared" ref="M31:V31" si="15">M29-M30</f>
        <v>94119</v>
      </c>
      <c r="N31" s="262">
        <f t="shared" si="15"/>
        <v>189438</v>
      </c>
      <c r="O31" s="262">
        <f t="shared" si="15"/>
        <v>207953</v>
      </c>
      <c r="P31" s="262">
        <f t="shared" si="15"/>
        <v>58128</v>
      </c>
      <c r="Q31" s="262">
        <f t="shared" si="15"/>
        <v>149950</v>
      </c>
      <c r="R31" s="262">
        <f t="shared" si="15"/>
        <v>197161</v>
      </c>
      <c r="S31" s="262">
        <f t="shared" si="15"/>
        <v>168802</v>
      </c>
      <c r="T31" s="262">
        <f t="shared" si="15"/>
        <v>144214</v>
      </c>
      <c r="U31" s="262">
        <f t="shared" si="15"/>
        <v>140040</v>
      </c>
      <c r="V31" s="262">
        <f t="shared" si="15"/>
        <v>110150</v>
      </c>
      <c r="W31" s="90">
        <f>W29-W30</f>
        <v>166074</v>
      </c>
      <c r="X31" s="28">
        <f>SUM(L31:W31)</f>
        <v>1841138</v>
      </c>
      <c r="Z31" s="54"/>
      <c r="AA31" s="2"/>
    </row>
    <row r="32" spans="1:27" s="9" customFormat="1" ht="14.75" customHeight="1">
      <c r="A32" s="68"/>
      <c r="B32" s="72"/>
      <c r="C32" s="32"/>
      <c r="D32" s="32"/>
      <c r="E32" s="32"/>
      <c r="F32" s="118"/>
      <c r="G32" s="32"/>
      <c r="H32" s="32"/>
      <c r="I32" s="32"/>
      <c r="J32" s="32"/>
      <c r="K32" s="111" t="s">
        <v>40</v>
      </c>
      <c r="L32" s="469">
        <f>SUM(L29:N29)</f>
        <v>2447250</v>
      </c>
      <c r="M32" s="470"/>
      <c r="N32" s="471"/>
      <c r="O32" s="472">
        <f>SUM(O29:Q29)</f>
        <v>1914000</v>
      </c>
      <c r="P32" s="470"/>
      <c r="Q32" s="471"/>
      <c r="R32" s="472">
        <f>SUM(R29:T29)</f>
        <v>2178000</v>
      </c>
      <c r="S32" s="470"/>
      <c r="T32" s="471"/>
      <c r="U32" s="472">
        <f>SUM(U29:W29)</f>
        <v>1898000</v>
      </c>
      <c r="V32" s="470"/>
      <c r="W32" s="473"/>
      <c r="X32" s="55">
        <f>SUM(L32:W32)</f>
        <v>8437250</v>
      </c>
      <c r="Z32" s="54"/>
      <c r="AA32" s="2"/>
    </row>
    <row r="33" spans="1:27" s="9" customFormat="1" ht="14.75" customHeight="1">
      <c r="A33" s="68"/>
      <c r="B33" s="72"/>
      <c r="C33" s="32"/>
      <c r="D33" s="32"/>
      <c r="E33" s="32"/>
      <c r="F33" s="118"/>
      <c r="G33" s="32"/>
      <c r="H33" s="32"/>
      <c r="I33" s="32"/>
      <c r="J33" s="32"/>
      <c r="K33" s="110" t="s">
        <v>41</v>
      </c>
      <c r="L33" s="455">
        <f>SUM(L31:N31)</f>
        <v>498666</v>
      </c>
      <c r="M33" s="456"/>
      <c r="N33" s="457"/>
      <c r="O33" s="458">
        <f>SUM(O31:Q31)</f>
        <v>416031</v>
      </c>
      <c r="P33" s="456"/>
      <c r="Q33" s="457"/>
      <c r="R33" s="458">
        <f>SUM(R31:T31)</f>
        <v>510177</v>
      </c>
      <c r="S33" s="456"/>
      <c r="T33" s="457"/>
      <c r="U33" s="458">
        <f>SUM(U31:W31)</f>
        <v>416264</v>
      </c>
      <c r="V33" s="456"/>
      <c r="W33" s="459"/>
      <c r="X33" s="56">
        <f>SUM(L33:W33)</f>
        <v>1841138</v>
      </c>
      <c r="Z33" s="54"/>
      <c r="AA33" s="2"/>
    </row>
    <row r="34" spans="1:27">
      <c r="Z34" s="54"/>
    </row>
    <row r="35" spans="1:27">
      <c r="Z35" s="54"/>
    </row>
    <row r="36" spans="1:27">
      <c r="Z36" s="54"/>
    </row>
    <row r="37" spans="1:27">
      <c r="Z37" s="54"/>
    </row>
    <row r="38" spans="1:27">
      <c r="Z38" s="54"/>
    </row>
    <row r="39" spans="1:27">
      <c r="Z39" s="54"/>
    </row>
    <row r="40" spans="1:27">
      <c r="Z40" s="54"/>
    </row>
    <row r="41" spans="1:27">
      <c r="Z41" s="54"/>
    </row>
    <row r="42" spans="1:27">
      <c r="Z42" s="54"/>
    </row>
    <row r="43" spans="1:27">
      <c r="Z43" s="54"/>
    </row>
    <row r="44" spans="1:27">
      <c r="Z44" s="54"/>
    </row>
    <row r="45" spans="1:27">
      <c r="Z45" s="54"/>
    </row>
    <row r="46" spans="1:27">
      <c r="Z46" s="54"/>
    </row>
    <row r="47" spans="1:27">
      <c r="Z47" s="54"/>
    </row>
    <row r="48" spans="1:27">
      <c r="Z48" s="54"/>
    </row>
    <row r="49" spans="26:26">
      <c r="Z49" s="54"/>
    </row>
    <row r="50" spans="26:26">
      <c r="Z50" s="54"/>
    </row>
    <row r="51" spans="26:26">
      <c r="Z51" s="54"/>
    </row>
    <row r="52" spans="26:26">
      <c r="Z52" s="54"/>
    </row>
    <row r="53" spans="26:26">
      <c r="Z53" s="54"/>
    </row>
    <row r="54" spans="26:26">
      <c r="Z54" s="54"/>
    </row>
    <row r="55" spans="26:26">
      <c r="Z55" s="54"/>
    </row>
    <row r="56" spans="26:26">
      <c r="Z56" s="54"/>
    </row>
    <row r="57" spans="26:26">
      <c r="Z57" s="54"/>
    </row>
  </sheetData>
  <mergeCells count="26">
    <mergeCell ref="C17:C28"/>
    <mergeCell ref="D17:D28"/>
    <mergeCell ref="E17:E28"/>
    <mergeCell ref="F17:F28"/>
    <mergeCell ref="G17:G28"/>
    <mergeCell ref="L33:N33"/>
    <mergeCell ref="O33:Q33"/>
    <mergeCell ref="R33:T33"/>
    <mergeCell ref="U33:W33"/>
    <mergeCell ref="C2:J4"/>
    <mergeCell ref="C5:C16"/>
    <mergeCell ref="D5:D16"/>
    <mergeCell ref="C29:J31"/>
    <mergeCell ref="L32:N32"/>
    <mergeCell ref="E5:E16"/>
    <mergeCell ref="F5:F16"/>
    <mergeCell ref="O32:Q32"/>
    <mergeCell ref="R32:T32"/>
    <mergeCell ref="U32:W32"/>
    <mergeCell ref="H17:H28"/>
    <mergeCell ref="I17:I28"/>
    <mergeCell ref="J17:J28"/>
    <mergeCell ref="J5:J16"/>
    <mergeCell ref="G5:G16"/>
    <mergeCell ref="H5:H16"/>
    <mergeCell ref="I5:I16"/>
  </mergeCells>
  <phoneticPr fontId="12"/>
  <printOptions horizontalCentered="1"/>
  <pageMargins left="0.70866141732283472" right="0.70866141732283472" top="0.74803149606299213" bottom="0.74803149606299213" header="0.31496062992125984" footer="0.31496062992125984"/>
  <pageSetup paperSize="8" scale="75" fitToHeight="0" orientation="landscape" r:id="rId1"/>
  <ignoredErrors>
    <ignoredError sqref="X29:X31 X5:X1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A45"/>
  <sheetViews>
    <sheetView showGridLines="0" zoomScale="80" zoomScaleNormal="80" zoomScaleSheetLayoutView="70" workbookViewId="0">
      <pane xSplit="11" ySplit="4" topLeftCell="L5" activePane="bottomRight" state="frozen"/>
      <selection sqref="A1:C1"/>
      <selection pane="topRight" sqref="A1:C1"/>
      <selection pane="bottomLeft" sqref="A1:C1"/>
      <selection pane="bottomRight" activeCell="F5" sqref="F5:F40"/>
    </sheetView>
  </sheetViews>
  <sheetFormatPr defaultRowHeight="12"/>
  <cols>
    <col min="1" max="1" width="10" style="71" customWidth="1"/>
    <col min="2" max="2" width="10" style="73" customWidth="1"/>
    <col min="3" max="3" width="4.90625" style="12" customWidth="1"/>
    <col min="4" max="4" width="9" style="12" customWidth="1"/>
    <col min="5" max="5" width="5.08984375" style="12" customWidth="1"/>
    <col min="6" max="6" width="9.6328125" style="118" customWidth="1"/>
    <col min="7" max="7" width="12.453125" style="12" customWidth="1"/>
    <col min="8" max="8" width="11.90625" style="12" customWidth="1"/>
    <col min="9" max="9" width="11.08984375" style="12" customWidth="1"/>
    <col min="10" max="10" width="10" style="12" customWidth="1"/>
    <col min="11" max="11" width="11" style="12" customWidth="1"/>
    <col min="12" max="23" width="13.08984375" style="12" customWidth="1"/>
    <col min="24" max="24" width="16.453125" style="12" customWidth="1"/>
    <col min="25" max="25" width="9.6328125" style="2" bestFit="1" customWidth="1"/>
    <col min="26" max="26" width="11" style="9" bestFit="1" customWidth="1"/>
    <col min="27" max="259" width="9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9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9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9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9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9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9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9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9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9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9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9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9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9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9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9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9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9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9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9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9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9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9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9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9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9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9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9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9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9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9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9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9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9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9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9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9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9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9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9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9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9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9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9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9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9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9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9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9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9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9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9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9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9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9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9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9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9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9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9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9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9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9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9" style="2"/>
  </cols>
  <sheetData>
    <row r="1" spans="1:26" s="1" customFormat="1" ht="36">
      <c r="A1" s="1" t="s">
        <v>42</v>
      </c>
      <c r="B1" s="1" t="s">
        <v>43</v>
      </c>
      <c r="C1" s="75" t="s">
        <v>35</v>
      </c>
      <c r="D1" s="76" t="s">
        <v>78</v>
      </c>
      <c r="E1" s="76" t="s">
        <v>0</v>
      </c>
      <c r="F1" s="77" t="s">
        <v>1</v>
      </c>
      <c r="G1" s="77" t="s">
        <v>36</v>
      </c>
      <c r="H1" s="77" t="s">
        <v>2</v>
      </c>
      <c r="I1" s="78" t="s">
        <v>3</v>
      </c>
      <c r="J1" s="79" t="s">
        <v>4</v>
      </c>
      <c r="K1" s="10" t="s">
        <v>5</v>
      </c>
      <c r="L1" s="128" t="s">
        <v>6</v>
      </c>
      <c r="M1" s="130" t="s">
        <v>7</v>
      </c>
      <c r="N1" s="130" t="s">
        <v>8</v>
      </c>
      <c r="O1" s="130" t="s">
        <v>9</v>
      </c>
      <c r="P1" s="130" t="s">
        <v>10</v>
      </c>
      <c r="Q1" s="130" t="s">
        <v>11</v>
      </c>
      <c r="R1" s="130" t="s">
        <v>12</v>
      </c>
      <c r="S1" s="130" t="s">
        <v>13</v>
      </c>
      <c r="T1" s="130" t="s">
        <v>14</v>
      </c>
      <c r="U1" s="130" t="s">
        <v>15</v>
      </c>
      <c r="V1" s="130" t="s">
        <v>16</v>
      </c>
      <c r="W1" s="81" t="s">
        <v>17</v>
      </c>
      <c r="X1" s="11" t="s">
        <v>18</v>
      </c>
    </row>
    <row r="2" spans="1:26" s="1" customFormat="1">
      <c r="A2" s="68"/>
      <c r="B2" s="72"/>
      <c r="C2" s="412" t="s">
        <v>45</v>
      </c>
      <c r="D2" s="413"/>
      <c r="E2" s="413"/>
      <c r="F2" s="413"/>
      <c r="G2" s="413"/>
      <c r="H2" s="413"/>
      <c r="I2" s="413"/>
      <c r="J2" s="414"/>
      <c r="K2" s="112" t="s">
        <v>19</v>
      </c>
      <c r="L2" s="201">
        <f>L41</f>
        <v>1605750</v>
      </c>
      <c r="M2" s="269">
        <f t="shared" ref="M2:W3" si="0">M41</f>
        <v>1637900</v>
      </c>
      <c r="N2" s="269">
        <f t="shared" si="0"/>
        <v>1673300</v>
      </c>
      <c r="O2" s="269">
        <f t="shared" si="0"/>
        <v>1733525</v>
      </c>
      <c r="P2" s="269">
        <f t="shared" si="0"/>
        <v>1499800</v>
      </c>
      <c r="Q2" s="269">
        <f t="shared" si="0"/>
        <v>1641800</v>
      </c>
      <c r="R2" s="269">
        <f t="shared" si="0"/>
        <v>1747800</v>
      </c>
      <c r="S2" s="269">
        <f t="shared" si="0"/>
        <v>1475950</v>
      </c>
      <c r="T2" s="269">
        <f t="shared" si="0"/>
        <v>1548500</v>
      </c>
      <c r="U2" s="269">
        <f t="shared" si="0"/>
        <v>1411000</v>
      </c>
      <c r="V2" s="269">
        <f t="shared" si="0"/>
        <v>1048850</v>
      </c>
      <c r="W2" s="13">
        <f t="shared" si="0"/>
        <v>1955666.6666666665</v>
      </c>
      <c r="X2" s="14">
        <f t="shared" ref="X2:X15" si="1">SUM(L2:W2)</f>
        <v>18979841.666666668</v>
      </c>
      <c r="Z2" s="53"/>
    </row>
    <row r="3" spans="1:26" s="1" customFormat="1">
      <c r="A3" s="68"/>
      <c r="B3" s="72"/>
      <c r="C3" s="415"/>
      <c r="D3" s="416"/>
      <c r="E3" s="416"/>
      <c r="F3" s="416"/>
      <c r="G3" s="416"/>
      <c r="H3" s="416"/>
      <c r="I3" s="416"/>
      <c r="J3" s="417"/>
      <c r="K3" s="113" t="s">
        <v>20</v>
      </c>
      <c r="L3" s="189">
        <f>L42</f>
        <v>1251775</v>
      </c>
      <c r="M3" s="264">
        <f t="shared" si="0"/>
        <v>1269463</v>
      </c>
      <c r="N3" s="264">
        <f t="shared" si="0"/>
        <v>1273715</v>
      </c>
      <c r="O3" s="264">
        <f t="shared" si="0"/>
        <v>1313839</v>
      </c>
      <c r="P3" s="264">
        <f t="shared" si="0"/>
        <v>1209884</v>
      </c>
      <c r="Q3" s="264">
        <f t="shared" si="0"/>
        <v>1248621</v>
      </c>
      <c r="R3" s="264">
        <f t="shared" si="0"/>
        <v>1335136</v>
      </c>
      <c r="S3" s="264">
        <f t="shared" si="0"/>
        <v>1174705</v>
      </c>
      <c r="T3" s="264">
        <f t="shared" si="0"/>
        <v>1276085</v>
      </c>
      <c r="U3" s="264">
        <f t="shared" si="0"/>
        <v>1167747</v>
      </c>
      <c r="V3" s="264">
        <f t="shared" si="0"/>
        <v>1060088</v>
      </c>
      <c r="W3" s="15">
        <f t="shared" si="0"/>
        <v>1470620.6666666665</v>
      </c>
      <c r="X3" s="16">
        <f t="shared" si="1"/>
        <v>15051678.666666666</v>
      </c>
      <c r="Z3" s="53"/>
    </row>
    <row r="4" spans="1:26" s="1" customFormat="1" ht="12.5" thickBot="1">
      <c r="A4" s="68"/>
      <c r="B4" s="72"/>
      <c r="C4" s="418"/>
      <c r="D4" s="419"/>
      <c r="E4" s="419"/>
      <c r="F4" s="419"/>
      <c r="G4" s="419"/>
      <c r="H4" s="419"/>
      <c r="I4" s="419"/>
      <c r="J4" s="420"/>
      <c r="K4" s="114" t="s">
        <v>21</v>
      </c>
      <c r="L4" s="190">
        <f>L43</f>
        <v>353975</v>
      </c>
      <c r="M4" s="265">
        <f t="shared" ref="M4:W4" si="2">M43</f>
        <v>368437</v>
      </c>
      <c r="N4" s="265">
        <f t="shared" si="2"/>
        <v>399585</v>
      </c>
      <c r="O4" s="265">
        <f t="shared" si="2"/>
        <v>419686</v>
      </c>
      <c r="P4" s="265">
        <f t="shared" si="2"/>
        <v>289916</v>
      </c>
      <c r="Q4" s="265">
        <f t="shared" si="2"/>
        <v>393179</v>
      </c>
      <c r="R4" s="265">
        <f t="shared" si="2"/>
        <v>412664</v>
      </c>
      <c r="S4" s="265">
        <f t="shared" si="2"/>
        <v>301245</v>
      </c>
      <c r="T4" s="265">
        <f t="shared" si="2"/>
        <v>272415</v>
      </c>
      <c r="U4" s="265">
        <f t="shared" si="2"/>
        <v>243253</v>
      </c>
      <c r="V4" s="265">
        <f t="shared" si="2"/>
        <v>-11238</v>
      </c>
      <c r="W4" s="17">
        <f t="shared" si="2"/>
        <v>485046</v>
      </c>
      <c r="X4" s="18">
        <f t="shared" si="1"/>
        <v>3928163</v>
      </c>
      <c r="Z4" s="53"/>
    </row>
    <row r="5" spans="1:26" ht="14.15" customHeight="1" thickTop="1">
      <c r="A5" s="69">
        <v>2022013</v>
      </c>
      <c r="C5" s="404">
        <v>1</v>
      </c>
      <c r="D5" s="402" t="s">
        <v>38</v>
      </c>
      <c r="E5" s="402"/>
      <c r="F5" s="402"/>
      <c r="G5" s="402"/>
      <c r="H5" s="431"/>
      <c r="I5" s="474" t="s">
        <v>69</v>
      </c>
      <c r="J5" s="397" t="s">
        <v>39</v>
      </c>
      <c r="K5" s="115" t="s">
        <v>22</v>
      </c>
      <c r="L5" s="202">
        <f>L6+L7</f>
        <v>928600</v>
      </c>
      <c r="M5" s="270">
        <f t="shared" ref="M5:W5" si="3">M6+M7</f>
        <v>935400</v>
      </c>
      <c r="N5" s="270">
        <f t="shared" si="3"/>
        <v>945650</v>
      </c>
      <c r="O5" s="270">
        <f t="shared" si="3"/>
        <v>1030850</v>
      </c>
      <c r="P5" s="270">
        <f t="shared" si="3"/>
        <v>857250</v>
      </c>
      <c r="Q5" s="270">
        <f>Q6+Q7</f>
        <v>943000</v>
      </c>
      <c r="R5" s="270">
        <f t="shared" si="3"/>
        <v>982950</v>
      </c>
      <c r="S5" s="270">
        <f t="shared" si="3"/>
        <v>869850</v>
      </c>
      <c r="T5" s="270">
        <f t="shared" si="3"/>
        <v>879850</v>
      </c>
      <c r="U5" s="270">
        <f t="shared" si="3"/>
        <v>842250</v>
      </c>
      <c r="V5" s="270">
        <f t="shared" si="3"/>
        <v>827550</v>
      </c>
      <c r="W5" s="155">
        <f t="shared" si="3"/>
        <v>890666.66666666663</v>
      </c>
      <c r="X5" s="19">
        <f t="shared" si="1"/>
        <v>10933866.666666666</v>
      </c>
      <c r="Z5" s="54"/>
    </row>
    <row r="6" spans="1:26">
      <c r="A6" s="70">
        <f t="shared" ref="A6:B16" si="4">+A5</f>
        <v>2022013</v>
      </c>
      <c r="B6" s="74"/>
      <c r="C6" s="404"/>
      <c r="D6" s="402"/>
      <c r="E6" s="402"/>
      <c r="F6" s="402"/>
      <c r="G6" s="402"/>
      <c r="H6" s="400"/>
      <c r="I6" s="475"/>
      <c r="J6" s="398"/>
      <c r="K6" s="159" t="s">
        <v>23</v>
      </c>
      <c r="L6" s="203">
        <v>883600</v>
      </c>
      <c r="M6" s="203">
        <v>855400</v>
      </c>
      <c r="N6" s="203">
        <v>890650</v>
      </c>
      <c r="O6" s="203">
        <v>965850</v>
      </c>
      <c r="P6" s="203">
        <v>787250</v>
      </c>
      <c r="Q6" s="203">
        <v>893000</v>
      </c>
      <c r="R6" s="203">
        <v>932950</v>
      </c>
      <c r="S6" s="203">
        <v>824850</v>
      </c>
      <c r="T6" s="203">
        <v>824850</v>
      </c>
      <c r="U6" s="203">
        <v>787250</v>
      </c>
      <c r="V6" s="203">
        <v>782550</v>
      </c>
      <c r="W6" s="162">
        <v>829000</v>
      </c>
      <c r="X6" s="20">
        <f t="shared" si="1"/>
        <v>10257200</v>
      </c>
      <c r="Y6" s="105"/>
      <c r="Z6" s="54"/>
    </row>
    <row r="7" spans="1:26">
      <c r="A7" s="70">
        <f t="shared" si="4"/>
        <v>2022013</v>
      </c>
      <c r="B7" s="74"/>
      <c r="C7" s="404"/>
      <c r="D7" s="402"/>
      <c r="E7" s="402"/>
      <c r="F7" s="402"/>
      <c r="G7" s="402"/>
      <c r="H7" s="400"/>
      <c r="I7" s="475"/>
      <c r="J7" s="398"/>
      <c r="K7" s="159" t="s">
        <v>60</v>
      </c>
      <c r="L7" s="379">
        <v>45000</v>
      </c>
      <c r="M7" s="379">
        <v>80000</v>
      </c>
      <c r="N7" s="379">
        <v>55000</v>
      </c>
      <c r="O7" s="379">
        <v>65000</v>
      </c>
      <c r="P7" s="379">
        <v>70000</v>
      </c>
      <c r="Q7" s="379">
        <v>50000</v>
      </c>
      <c r="R7" s="379">
        <v>50000</v>
      </c>
      <c r="S7" s="379">
        <v>45000</v>
      </c>
      <c r="T7" s="379">
        <v>55000</v>
      </c>
      <c r="U7" s="379">
        <v>55000</v>
      </c>
      <c r="V7" s="379">
        <v>45000</v>
      </c>
      <c r="W7" s="390">
        <v>61666.666666666664</v>
      </c>
      <c r="X7" s="20">
        <f t="shared" si="1"/>
        <v>676666.66666666663</v>
      </c>
      <c r="Y7" s="105"/>
      <c r="Z7" s="54"/>
    </row>
    <row r="8" spans="1:26">
      <c r="A8" s="70">
        <f t="shared" si="4"/>
        <v>2022013</v>
      </c>
      <c r="B8" s="74"/>
      <c r="C8" s="404"/>
      <c r="D8" s="402"/>
      <c r="E8" s="402"/>
      <c r="F8" s="402"/>
      <c r="G8" s="402"/>
      <c r="H8" s="400"/>
      <c r="I8" s="475"/>
      <c r="J8" s="398"/>
      <c r="K8" s="160" t="s">
        <v>25</v>
      </c>
      <c r="L8" s="204">
        <f t="shared" ref="L8:W8" si="5">SUM(L9:L15)</f>
        <v>791787</v>
      </c>
      <c r="M8" s="204">
        <f t="shared" si="5"/>
        <v>799372</v>
      </c>
      <c r="N8" s="204">
        <f t="shared" si="5"/>
        <v>797319</v>
      </c>
      <c r="O8" s="204">
        <f t="shared" si="5"/>
        <v>836874</v>
      </c>
      <c r="P8" s="204">
        <f t="shared" si="5"/>
        <v>776109</v>
      </c>
      <c r="Q8" s="204">
        <f>SUM(Q9:Q15)</f>
        <v>774262</v>
      </c>
      <c r="R8" s="204">
        <f t="shared" si="5"/>
        <v>823755</v>
      </c>
      <c r="S8" s="204">
        <f t="shared" si="5"/>
        <v>747117</v>
      </c>
      <c r="T8" s="204">
        <f t="shared" si="5"/>
        <v>790094</v>
      </c>
      <c r="U8" s="204">
        <f t="shared" si="5"/>
        <v>723969</v>
      </c>
      <c r="V8" s="204">
        <f t="shared" si="5"/>
        <v>686990</v>
      </c>
      <c r="W8" s="169">
        <f t="shared" si="5"/>
        <v>778902.77777777775</v>
      </c>
      <c r="X8" s="21">
        <f t="shared" si="1"/>
        <v>9326550.777777778</v>
      </c>
      <c r="Y8" s="105"/>
      <c r="Z8" s="54"/>
    </row>
    <row r="9" spans="1:26">
      <c r="A9" s="70">
        <f t="shared" si="4"/>
        <v>2022013</v>
      </c>
      <c r="B9" s="74"/>
      <c r="C9" s="404"/>
      <c r="D9" s="402"/>
      <c r="E9" s="402"/>
      <c r="F9" s="402"/>
      <c r="G9" s="402"/>
      <c r="H9" s="400"/>
      <c r="I9" s="475"/>
      <c r="J9" s="398"/>
      <c r="K9" s="161" t="s">
        <v>26</v>
      </c>
      <c r="L9" s="203">
        <v>686003</v>
      </c>
      <c r="M9" s="203">
        <v>687620</v>
      </c>
      <c r="N9" s="203">
        <v>685588</v>
      </c>
      <c r="O9" s="203">
        <v>721198</v>
      </c>
      <c r="P9" s="203">
        <v>664598</v>
      </c>
      <c r="Q9" s="203">
        <v>659915</v>
      </c>
      <c r="R9" s="203">
        <v>708893</v>
      </c>
      <c r="S9" s="203">
        <v>635408</v>
      </c>
      <c r="T9" s="203">
        <v>677938</v>
      </c>
      <c r="U9" s="203">
        <v>613678</v>
      </c>
      <c r="V9" s="203">
        <v>576903</v>
      </c>
      <c r="W9" s="171">
        <v>665397.22222222225</v>
      </c>
      <c r="X9" s="20">
        <f t="shared" si="1"/>
        <v>7983139.222222222</v>
      </c>
      <c r="Y9" s="105"/>
      <c r="Z9" s="54"/>
    </row>
    <row r="10" spans="1:26">
      <c r="A10" s="70">
        <f t="shared" si="4"/>
        <v>2022013</v>
      </c>
      <c r="B10" s="74"/>
      <c r="C10" s="404"/>
      <c r="D10" s="402"/>
      <c r="E10" s="402"/>
      <c r="F10" s="402"/>
      <c r="G10" s="402"/>
      <c r="H10" s="400"/>
      <c r="I10" s="475"/>
      <c r="J10" s="398"/>
      <c r="K10" s="161" t="s">
        <v>33</v>
      </c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172"/>
      <c r="X10" s="20">
        <f>SUM(L10:W10)</f>
        <v>0</v>
      </c>
      <c r="Y10" s="105"/>
      <c r="Z10" s="54"/>
    </row>
    <row r="11" spans="1:26">
      <c r="A11" s="70">
        <f t="shared" si="4"/>
        <v>2022013</v>
      </c>
      <c r="B11" s="74"/>
      <c r="C11" s="404"/>
      <c r="D11" s="402"/>
      <c r="E11" s="402"/>
      <c r="F11" s="402"/>
      <c r="G11" s="402"/>
      <c r="H11" s="400"/>
      <c r="I11" s="475"/>
      <c r="J11" s="398"/>
      <c r="K11" s="161" t="s">
        <v>27</v>
      </c>
      <c r="L11" s="203">
        <v>2356</v>
      </c>
      <c r="M11" s="203">
        <v>8246</v>
      </c>
      <c r="N11" s="203">
        <v>8246</v>
      </c>
      <c r="O11" s="203">
        <v>11780</v>
      </c>
      <c r="P11" s="203">
        <v>8246</v>
      </c>
      <c r="Q11" s="203">
        <v>9424</v>
      </c>
      <c r="R11" s="203">
        <v>9424</v>
      </c>
      <c r="S11" s="203">
        <v>7068</v>
      </c>
      <c r="T11" s="203">
        <v>7068</v>
      </c>
      <c r="U11" s="203">
        <v>5890</v>
      </c>
      <c r="V11" s="203">
        <v>5890</v>
      </c>
      <c r="W11" s="162">
        <v>10077.555555555555</v>
      </c>
      <c r="X11" s="20">
        <f t="shared" si="1"/>
        <v>93715.555555555562</v>
      </c>
      <c r="Y11" s="105"/>
      <c r="Z11" s="54"/>
    </row>
    <row r="12" spans="1:26">
      <c r="A12" s="70">
        <f t="shared" si="4"/>
        <v>2022013</v>
      </c>
      <c r="B12" s="74"/>
      <c r="C12" s="404"/>
      <c r="D12" s="402"/>
      <c r="E12" s="402"/>
      <c r="F12" s="402"/>
      <c r="G12" s="402"/>
      <c r="H12" s="400"/>
      <c r="I12" s="475"/>
      <c r="J12" s="398"/>
      <c r="K12" s="161" t="s">
        <v>28</v>
      </c>
      <c r="L12" s="203">
        <v>36725</v>
      </c>
      <c r="M12" s="203">
        <v>36725</v>
      </c>
      <c r="N12" s="203">
        <v>36725</v>
      </c>
      <c r="O12" s="203">
        <v>36725</v>
      </c>
      <c r="P12" s="203">
        <v>36725</v>
      </c>
      <c r="Q12" s="203">
        <v>38420</v>
      </c>
      <c r="R12" s="203">
        <v>38420</v>
      </c>
      <c r="S12" s="203">
        <v>38420</v>
      </c>
      <c r="T12" s="203">
        <v>38420</v>
      </c>
      <c r="U12" s="203">
        <v>38420</v>
      </c>
      <c r="V12" s="203">
        <v>38420</v>
      </c>
      <c r="W12" s="162">
        <v>36725</v>
      </c>
      <c r="X12" s="20">
        <f t="shared" si="1"/>
        <v>450870</v>
      </c>
      <c r="Y12" s="105"/>
      <c r="Z12" s="54"/>
    </row>
    <row r="13" spans="1:26">
      <c r="A13" s="70">
        <f t="shared" si="4"/>
        <v>2022013</v>
      </c>
      <c r="B13" s="74"/>
      <c r="C13" s="404"/>
      <c r="D13" s="402"/>
      <c r="E13" s="402"/>
      <c r="F13" s="402"/>
      <c r="G13" s="402"/>
      <c r="H13" s="400"/>
      <c r="I13" s="475"/>
      <c r="J13" s="398"/>
      <c r="K13" s="161" t="s">
        <v>29</v>
      </c>
      <c r="L13" s="203">
        <v>59475</v>
      </c>
      <c r="M13" s="203">
        <v>59475</v>
      </c>
      <c r="N13" s="203">
        <v>59475</v>
      </c>
      <c r="O13" s="203">
        <v>59475</v>
      </c>
      <c r="P13" s="203">
        <v>59475</v>
      </c>
      <c r="Q13" s="203">
        <v>59475</v>
      </c>
      <c r="R13" s="203">
        <v>59475</v>
      </c>
      <c r="S13" s="203">
        <v>59475</v>
      </c>
      <c r="T13" s="203">
        <v>59475</v>
      </c>
      <c r="U13" s="203">
        <v>59475</v>
      </c>
      <c r="V13" s="203">
        <v>59475</v>
      </c>
      <c r="W13" s="162">
        <v>59475</v>
      </c>
      <c r="X13" s="20">
        <f t="shared" si="1"/>
        <v>713700</v>
      </c>
      <c r="Y13" s="105"/>
      <c r="Z13" s="54"/>
    </row>
    <row r="14" spans="1:26">
      <c r="A14" s="70">
        <f t="shared" si="4"/>
        <v>2022013</v>
      </c>
      <c r="B14" s="74"/>
      <c r="C14" s="404"/>
      <c r="D14" s="402"/>
      <c r="E14" s="402"/>
      <c r="F14" s="402"/>
      <c r="G14" s="402"/>
      <c r="H14" s="400"/>
      <c r="I14" s="475"/>
      <c r="J14" s="398"/>
      <c r="K14" s="161" t="s">
        <v>30</v>
      </c>
      <c r="L14" s="203">
        <v>3442</v>
      </c>
      <c r="M14" s="203">
        <v>3479</v>
      </c>
      <c r="N14" s="203">
        <v>3469</v>
      </c>
      <c r="O14" s="203">
        <v>3665</v>
      </c>
      <c r="P14" s="203">
        <v>3364</v>
      </c>
      <c r="Q14" s="203">
        <v>3347</v>
      </c>
      <c r="R14" s="203">
        <v>3592</v>
      </c>
      <c r="S14" s="203">
        <v>3212</v>
      </c>
      <c r="T14" s="203">
        <v>3425</v>
      </c>
      <c r="U14" s="203">
        <v>3098</v>
      </c>
      <c r="V14" s="203">
        <v>3001</v>
      </c>
      <c r="W14" s="162">
        <v>3442</v>
      </c>
      <c r="X14" s="20">
        <f t="shared" si="1"/>
        <v>40536</v>
      </c>
      <c r="Y14" s="105"/>
      <c r="Z14" s="54"/>
    </row>
    <row r="15" spans="1:26">
      <c r="A15" s="70">
        <f t="shared" si="4"/>
        <v>2022013</v>
      </c>
      <c r="B15" s="74"/>
      <c r="C15" s="404"/>
      <c r="D15" s="402"/>
      <c r="E15" s="402"/>
      <c r="F15" s="402"/>
      <c r="G15" s="402"/>
      <c r="H15" s="400"/>
      <c r="I15" s="475"/>
      <c r="J15" s="398"/>
      <c r="K15" s="161" t="s">
        <v>31</v>
      </c>
      <c r="L15" s="203">
        <v>3786</v>
      </c>
      <c r="M15" s="203">
        <v>3827</v>
      </c>
      <c r="N15" s="203">
        <v>3816</v>
      </c>
      <c r="O15" s="203">
        <v>4031</v>
      </c>
      <c r="P15" s="203">
        <v>3701</v>
      </c>
      <c r="Q15" s="203">
        <v>3681</v>
      </c>
      <c r="R15" s="203">
        <v>3951</v>
      </c>
      <c r="S15" s="203">
        <v>3534</v>
      </c>
      <c r="T15" s="203">
        <v>3768</v>
      </c>
      <c r="U15" s="203">
        <v>3408</v>
      </c>
      <c r="V15" s="203">
        <v>3301</v>
      </c>
      <c r="W15" s="162">
        <v>3786</v>
      </c>
      <c r="X15" s="20">
        <f t="shared" si="1"/>
        <v>44590</v>
      </c>
      <c r="Y15" s="105"/>
      <c r="Z15" s="54"/>
    </row>
    <row r="16" spans="1:26">
      <c r="A16" s="70">
        <f t="shared" si="4"/>
        <v>2022013</v>
      </c>
      <c r="B16" s="74"/>
      <c r="C16" s="404"/>
      <c r="D16" s="403"/>
      <c r="E16" s="402"/>
      <c r="F16" s="402"/>
      <c r="G16" s="402"/>
      <c r="H16" s="400"/>
      <c r="I16" s="475"/>
      <c r="J16" s="399"/>
      <c r="K16" s="116" t="s">
        <v>32</v>
      </c>
      <c r="L16" s="206">
        <f t="shared" ref="L16:X16" si="6">L5-L8</f>
        <v>136813</v>
      </c>
      <c r="M16" s="271">
        <f t="shared" si="6"/>
        <v>136028</v>
      </c>
      <c r="N16" s="271">
        <f t="shared" si="6"/>
        <v>148331</v>
      </c>
      <c r="O16" s="271">
        <f t="shared" si="6"/>
        <v>193976</v>
      </c>
      <c r="P16" s="271">
        <f t="shared" si="6"/>
        <v>81141</v>
      </c>
      <c r="Q16" s="271">
        <f t="shared" si="6"/>
        <v>168738</v>
      </c>
      <c r="R16" s="271">
        <f t="shared" si="6"/>
        <v>159195</v>
      </c>
      <c r="S16" s="271">
        <f t="shared" si="6"/>
        <v>122733</v>
      </c>
      <c r="T16" s="271">
        <f t="shared" si="6"/>
        <v>89756</v>
      </c>
      <c r="U16" s="271">
        <f t="shared" si="6"/>
        <v>118281</v>
      </c>
      <c r="V16" s="271">
        <f t="shared" si="6"/>
        <v>140560</v>
      </c>
      <c r="W16" s="157">
        <f t="shared" si="6"/>
        <v>111763.88888888888</v>
      </c>
      <c r="X16" s="22">
        <f t="shared" si="6"/>
        <v>1607315.8888888881</v>
      </c>
      <c r="Y16" s="105"/>
      <c r="Z16" s="54"/>
    </row>
    <row r="17" spans="1:26" ht="13.4" customHeight="1">
      <c r="A17" s="69">
        <v>2022002</v>
      </c>
      <c r="C17" s="433">
        <f>C5+1</f>
        <v>2</v>
      </c>
      <c r="D17" s="432" t="s">
        <v>38</v>
      </c>
      <c r="E17" s="432"/>
      <c r="F17" s="432"/>
      <c r="G17" s="432"/>
      <c r="H17" s="431"/>
      <c r="I17" s="474" t="s">
        <v>69</v>
      </c>
      <c r="J17" s="397" t="s">
        <v>39</v>
      </c>
      <c r="K17" s="61" t="s">
        <v>22</v>
      </c>
      <c r="L17" s="207">
        <f t="shared" ref="L17:N17" si="7">L18+L19</f>
        <v>677150</v>
      </c>
      <c r="M17" s="272">
        <f t="shared" si="7"/>
        <v>702500</v>
      </c>
      <c r="N17" s="272">
        <f t="shared" si="7"/>
        <v>727650</v>
      </c>
      <c r="O17" s="272">
        <f t="shared" ref="O17:W17" si="8">O18+O19</f>
        <v>702675</v>
      </c>
      <c r="P17" s="272">
        <f t="shared" si="8"/>
        <v>642550</v>
      </c>
      <c r="Q17" s="272">
        <f>Q18+Q19</f>
        <v>698800</v>
      </c>
      <c r="R17" s="272">
        <f t="shared" si="8"/>
        <v>764850</v>
      </c>
      <c r="S17" s="272">
        <f t="shared" si="8"/>
        <v>606100</v>
      </c>
      <c r="T17" s="272">
        <f t="shared" si="8"/>
        <v>668650</v>
      </c>
      <c r="U17" s="272">
        <f t="shared" si="8"/>
        <v>568750</v>
      </c>
      <c r="V17" s="272">
        <f t="shared" si="8"/>
        <v>221300</v>
      </c>
      <c r="W17" s="158">
        <f t="shared" si="8"/>
        <v>612000</v>
      </c>
      <c r="X17" s="23">
        <f t="shared" ref="X17:X27" si="9">SUM(L17:W17)</f>
        <v>7592975</v>
      </c>
      <c r="Z17" s="54"/>
    </row>
    <row r="18" spans="1:26">
      <c r="A18" s="70">
        <f t="shared" ref="A18:B28" si="10">+A17</f>
        <v>2022002</v>
      </c>
      <c r="B18" s="74"/>
      <c r="C18" s="404"/>
      <c r="D18" s="402"/>
      <c r="E18" s="402"/>
      <c r="F18" s="402"/>
      <c r="G18" s="402"/>
      <c r="H18" s="400"/>
      <c r="I18" s="475"/>
      <c r="J18" s="398"/>
      <c r="K18" s="159" t="s">
        <v>23</v>
      </c>
      <c r="L18" s="203">
        <v>627150</v>
      </c>
      <c r="M18" s="203">
        <v>647500</v>
      </c>
      <c r="N18" s="203">
        <v>682650</v>
      </c>
      <c r="O18" s="203">
        <v>657675</v>
      </c>
      <c r="P18" s="203">
        <v>597550</v>
      </c>
      <c r="Q18" s="203">
        <v>643800</v>
      </c>
      <c r="R18" s="203">
        <v>704850</v>
      </c>
      <c r="S18" s="203">
        <v>566100</v>
      </c>
      <c r="T18" s="203">
        <v>608650</v>
      </c>
      <c r="U18" s="203">
        <v>508750</v>
      </c>
      <c r="V18" s="203">
        <v>181300</v>
      </c>
      <c r="W18" s="162">
        <v>592000</v>
      </c>
      <c r="X18" s="20">
        <f t="shared" si="9"/>
        <v>7017975</v>
      </c>
      <c r="Y18" s="105"/>
      <c r="Z18" s="54"/>
    </row>
    <row r="19" spans="1:26">
      <c r="A19" s="70">
        <f t="shared" si="10"/>
        <v>2022002</v>
      </c>
      <c r="B19" s="74"/>
      <c r="C19" s="404"/>
      <c r="D19" s="402"/>
      <c r="E19" s="402"/>
      <c r="F19" s="402"/>
      <c r="G19" s="402"/>
      <c r="H19" s="400"/>
      <c r="I19" s="475"/>
      <c r="J19" s="398"/>
      <c r="K19" s="159" t="s">
        <v>60</v>
      </c>
      <c r="L19" s="379">
        <v>50000</v>
      </c>
      <c r="M19" s="379">
        <v>55000</v>
      </c>
      <c r="N19" s="379">
        <v>45000</v>
      </c>
      <c r="O19" s="379">
        <v>45000</v>
      </c>
      <c r="P19" s="379">
        <v>45000</v>
      </c>
      <c r="Q19" s="379">
        <v>55000</v>
      </c>
      <c r="R19" s="379">
        <v>60000</v>
      </c>
      <c r="S19" s="379">
        <v>40000</v>
      </c>
      <c r="T19" s="379">
        <v>60000</v>
      </c>
      <c r="U19" s="379">
        <v>60000</v>
      </c>
      <c r="V19" s="379">
        <v>40000</v>
      </c>
      <c r="W19" s="390">
        <v>20000</v>
      </c>
      <c r="X19" s="20">
        <f t="shared" si="9"/>
        <v>575000</v>
      </c>
      <c r="Y19" s="105"/>
      <c r="Z19" s="54"/>
    </row>
    <row r="20" spans="1:26">
      <c r="A20" s="70">
        <f t="shared" si="10"/>
        <v>2022002</v>
      </c>
      <c r="B20" s="74"/>
      <c r="C20" s="404"/>
      <c r="D20" s="402"/>
      <c r="E20" s="402"/>
      <c r="F20" s="402"/>
      <c r="G20" s="402"/>
      <c r="H20" s="400"/>
      <c r="I20" s="475"/>
      <c r="J20" s="398"/>
      <c r="K20" s="63" t="s">
        <v>25</v>
      </c>
      <c r="L20" s="208">
        <f>SUM(L21:L27)</f>
        <v>459988</v>
      </c>
      <c r="M20" s="273">
        <f>SUM(M21:M27)</f>
        <v>470091</v>
      </c>
      <c r="N20" s="273">
        <f>SUM(N21:N27)</f>
        <v>476396</v>
      </c>
      <c r="O20" s="273">
        <f>SUM(O21:O27)</f>
        <v>476965</v>
      </c>
      <c r="P20" s="273">
        <f t="shared" ref="P20:W20" si="11">SUM(P21:P27)</f>
        <v>433775</v>
      </c>
      <c r="Q20" s="273">
        <f t="shared" si="11"/>
        <v>474359</v>
      </c>
      <c r="R20" s="273">
        <f t="shared" si="11"/>
        <v>511381</v>
      </c>
      <c r="S20" s="273">
        <f t="shared" si="11"/>
        <v>427588</v>
      </c>
      <c r="T20" s="273">
        <f t="shared" si="11"/>
        <v>485991</v>
      </c>
      <c r="U20" s="273">
        <f t="shared" si="11"/>
        <v>443778</v>
      </c>
      <c r="V20" s="273">
        <f t="shared" si="11"/>
        <v>373098</v>
      </c>
      <c r="W20" s="156">
        <f t="shared" si="11"/>
        <v>373791.88888888888</v>
      </c>
      <c r="X20" s="21">
        <f t="shared" si="9"/>
        <v>5407201.888888889</v>
      </c>
      <c r="Y20" s="105"/>
      <c r="Z20" s="54"/>
    </row>
    <row r="21" spans="1:26">
      <c r="A21" s="70">
        <f t="shared" si="10"/>
        <v>2022002</v>
      </c>
      <c r="B21" s="74"/>
      <c r="C21" s="404"/>
      <c r="D21" s="402"/>
      <c r="E21" s="402"/>
      <c r="F21" s="402"/>
      <c r="G21" s="402"/>
      <c r="H21" s="400"/>
      <c r="I21" s="475"/>
      <c r="J21" s="398"/>
      <c r="K21" s="161" t="s">
        <v>26</v>
      </c>
      <c r="L21" s="203">
        <v>403799</v>
      </c>
      <c r="M21" s="203">
        <v>406237</v>
      </c>
      <c r="N21" s="203">
        <v>416255</v>
      </c>
      <c r="O21" s="203">
        <v>413039</v>
      </c>
      <c r="P21" s="203">
        <v>363420</v>
      </c>
      <c r="Q21" s="203">
        <v>403582</v>
      </c>
      <c r="R21" s="203">
        <v>442110</v>
      </c>
      <c r="S21" s="203">
        <v>361077</v>
      </c>
      <c r="T21" s="203">
        <v>418873</v>
      </c>
      <c r="U21" s="203">
        <v>378989</v>
      </c>
      <c r="V21" s="203">
        <v>310753</v>
      </c>
      <c r="W21" s="162">
        <v>308800</v>
      </c>
      <c r="X21" s="20">
        <f t="shared" si="9"/>
        <v>4626934</v>
      </c>
      <c r="Y21" s="105"/>
      <c r="Z21" s="54"/>
    </row>
    <row r="22" spans="1:26">
      <c r="A22" s="70">
        <f t="shared" si="10"/>
        <v>2022002</v>
      </c>
      <c r="B22" s="74"/>
      <c r="C22" s="404"/>
      <c r="D22" s="402"/>
      <c r="E22" s="402"/>
      <c r="F22" s="402"/>
      <c r="G22" s="402"/>
      <c r="H22" s="400"/>
      <c r="I22" s="475"/>
      <c r="J22" s="398"/>
      <c r="K22" s="161" t="s">
        <v>33</v>
      </c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162"/>
      <c r="X22" s="20">
        <f t="shared" si="9"/>
        <v>0</v>
      </c>
      <c r="Y22" s="105"/>
      <c r="Z22" s="54"/>
    </row>
    <row r="23" spans="1:26">
      <c r="A23" s="70">
        <f t="shared" si="10"/>
        <v>2022002</v>
      </c>
      <c r="B23" s="74"/>
      <c r="C23" s="404"/>
      <c r="D23" s="402"/>
      <c r="E23" s="402"/>
      <c r="F23" s="402"/>
      <c r="G23" s="402"/>
      <c r="H23" s="400"/>
      <c r="I23" s="475"/>
      <c r="J23" s="398"/>
      <c r="K23" s="161" t="s">
        <v>27</v>
      </c>
      <c r="L23" s="203">
        <v>1890</v>
      </c>
      <c r="M23" s="203">
        <v>9450</v>
      </c>
      <c r="N23" s="203">
        <v>5670</v>
      </c>
      <c r="O23" s="203">
        <v>9450</v>
      </c>
      <c r="P23" s="203">
        <v>9450</v>
      </c>
      <c r="Q23" s="203">
        <v>9450</v>
      </c>
      <c r="R23" s="203">
        <v>7560</v>
      </c>
      <c r="S23" s="203">
        <v>5670</v>
      </c>
      <c r="T23" s="203">
        <v>5670</v>
      </c>
      <c r="U23" s="203">
        <v>3780</v>
      </c>
      <c r="V23" s="203">
        <v>1890</v>
      </c>
      <c r="W23" s="162">
        <v>10692.888888888889</v>
      </c>
      <c r="X23" s="20">
        <f t="shared" si="9"/>
        <v>80622.888888888891</v>
      </c>
      <c r="Y23" s="105"/>
      <c r="Z23" s="54"/>
    </row>
    <row r="24" spans="1:26">
      <c r="A24" s="70">
        <f t="shared" si="10"/>
        <v>2022002</v>
      </c>
      <c r="B24" s="74"/>
      <c r="C24" s="404"/>
      <c r="D24" s="402"/>
      <c r="E24" s="402"/>
      <c r="F24" s="402"/>
      <c r="G24" s="402"/>
      <c r="H24" s="400"/>
      <c r="I24" s="475"/>
      <c r="J24" s="398"/>
      <c r="K24" s="161" t="s">
        <v>28</v>
      </c>
      <c r="L24" s="203">
        <v>17100</v>
      </c>
      <c r="M24" s="203">
        <v>17100</v>
      </c>
      <c r="N24" s="203">
        <v>17100</v>
      </c>
      <c r="O24" s="203">
        <v>17100</v>
      </c>
      <c r="P24" s="203">
        <v>19475</v>
      </c>
      <c r="Q24" s="203">
        <v>19475</v>
      </c>
      <c r="R24" s="203">
        <v>19475</v>
      </c>
      <c r="S24" s="203">
        <v>19475</v>
      </c>
      <c r="T24" s="203">
        <v>19475</v>
      </c>
      <c r="U24" s="203">
        <v>19475</v>
      </c>
      <c r="V24" s="203">
        <v>19475</v>
      </c>
      <c r="W24" s="162">
        <v>17100</v>
      </c>
      <c r="X24" s="20">
        <f t="shared" si="9"/>
        <v>221825</v>
      </c>
      <c r="Y24" s="105"/>
      <c r="Z24" s="54"/>
    </row>
    <row r="25" spans="1:26">
      <c r="A25" s="70">
        <f t="shared" si="10"/>
        <v>2022002</v>
      </c>
      <c r="B25" s="74"/>
      <c r="C25" s="404"/>
      <c r="D25" s="402"/>
      <c r="E25" s="402"/>
      <c r="F25" s="402"/>
      <c r="G25" s="402"/>
      <c r="H25" s="400"/>
      <c r="I25" s="475"/>
      <c r="J25" s="398"/>
      <c r="K25" s="161" t="s">
        <v>29</v>
      </c>
      <c r="L25" s="203">
        <v>32940</v>
      </c>
      <c r="M25" s="203">
        <v>32940</v>
      </c>
      <c r="N25" s="203">
        <v>32940</v>
      </c>
      <c r="O25" s="203">
        <v>32940</v>
      </c>
      <c r="P25" s="203">
        <v>37515</v>
      </c>
      <c r="Q25" s="203">
        <v>37515</v>
      </c>
      <c r="R25" s="203">
        <v>37515</v>
      </c>
      <c r="S25" s="203">
        <v>37515</v>
      </c>
      <c r="T25" s="203">
        <v>37515</v>
      </c>
      <c r="U25" s="203">
        <v>37515</v>
      </c>
      <c r="V25" s="203">
        <v>37515</v>
      </c>
      <c r="W25" s="162">
        <v>32940</v>
      </c>
      <c r="X25" s="20">
        <f t="shared" si="9"/>
        <v>427305</v>
      </c>
      <c r="Y25" s="105"/>
      <c r="Z25" s="54"/>
    </row>
    <row r="26" spans="1:26">
      <c r="A26" s="70">
        <f t="shared" si="10"/>
        <v>2022002</v>
      </c>
      <c r="B26" s="74"/>
      <c r="C26" s="404"/>
      <c r="D26" s="402"/>
      <c r="E26" s="402"/>
      <c r="F26" s="402"/>
      <c r="G26" s="402"/>
      <c r="H26" s="400"/>
      <c r="I26" s="475"/>
      <c r="J26" s="398"/>
      <c r="K26" s="161" t="s">
        <v>30</v>
      </c>
      <c r="L26" s="203">
        <v>2028</v>
      </c>
      <c r="M26" s="203">
        <v>2078</v>
      </c>
      <c r="N26" s="203">
        <v>2110</v>
      </c>
      <c r="O26" s="203">
        <v>2112</v>
      </c>
      <c r="P26" s="203">
        <v>1864</v>
      </c>
      <c r="Q26" s="203">
        <v>2065</v>
      </c>
      <c r="R26" s="203">
        <v>2248</v>
      </c>
      <c r="S26" s="203">
        <v>1834</v>
      </c>
      <c r="T26" s="203">
        <v>2123</v>
      </c>
      <c r="U26" s="203">
        <v>1914</v>
      </c>
      <c r="V26" s="203">
        <v>1650</v>
      </c>
      <c r="W26" s="162">
        <v>2028</v>
      </c>
      <c r="X26" s="20">
        <f t="shared" si="9"/>
        <v>24054</v>
      </c>
      <c r="Y26" s="105"/>
      <c r="Z26" s="54"/>
    </row>
    <row r="27" spans="1:26">
      <c r="A27" s="70">
        <f t="shared" si="10"/>
        <v>2022002</v>
      </c>
      <c r="B27" s="74"/>
      <c r="C27" s="404"/>
      <c r="D27" s="402"/>
      <c r="E27" s="402"/>
      <c r="F27" s="402"/>
      <c r="G27" s="402"/>
      <c r="H27" s="400"/>
      <c r="I27" s="475"/>
      <c r="J27" s="398"/>
      <c r="K27" s="161" t="s">
        <v>31</v>
      </c>
      <c r="L27" s="203">
        <v>2231</v>
      </c>
      <c r="M27" s="203">
        <v>2286</v>
      </c>
      <c r="N27" s="203">
        <v>2321</v>
      </c>
      <c r="O27" s="203">
        <v>2324</v>
      </c>
      <c r="P27" s="203">
        <v>2051</v>
      </c>
      <c r="Q27" s="203">
        <v>2272</v>
      </c>
      <c r="R27" s="203">
        <v>2473</v>
      </c>
      <c r="S27" s="203">
        <v>2017</v>
      </c>
      <c r="T27" s="203">
        <v>2335</v>
      </c>
      <c r="U27" s="203">
        <v>2105</v>
      </c>
      <c r="V27" s="203">
        <v>1815</v>
      </c>
      <c r="W27" s="162">
        <v>2231</v>
      </c>
      <c r="X27" s="20">
        <f t="shared" si="9"/>
        <v>26461</v>
      </c>
      <c r="Y27" s="105"/>
      <c r="Z27" s="54"/>
    </row>
    <row r="28" spans="1:26">
      <c r="A28" s="70">
        <f t="shared" si="10"/>
        <v>2022002</v>
      </c>
      <c r="B28" s="74"/>
      <c r="C28" s="405"/>
      <c r="D28" s="403"/>
      <c r="E28" s="403"/>
      <c r="F28" s="403"/>
      <c r="G28" s="403"/>
      <c r="H28" s="401"/>
      <c r="I28" s="475"/>
      <c r="J28" s="399"/>
      <c r="K28" s="392" t="s">
        <v>32</v>
      </c>
      <c r="L28" s="194">
        <f>L17-L20</f>
        <v>217162</v>
      </c>
      <c r="M28" s="267">
        <f t="shared" ref="M28:W28" si="12">M17-M20</f>
        <v>232409</v>
      </c>
      <c r="N28" s="267">
        <f>N17-N20</f>
        <v>251254</v>
      </c>
      <c r="O28" s="267">
        <f t="shared" si="12"/>
        <v>225710</v>
      </c>
      <c r="P28" s="267">
        <f t="shared" si="12"/>
        <v>208775</v>
      </c>
      <c r="Q28" s="267">
        <f t="shared" si="12"/>
        <v>224441</v>
      </c>
      <c r="R28" s="267">
        <f t="shared" si="12"/>
        <v>253469</v>
      </c>
      <c r="S28" s="267">
        <f t="shared" si="12"/>
        <v>178512</v>
      </c>
      <c r="T28" s="267">
        <f t="shared" si="12"/>
        <v>182659</v>
      </c>
      <c r="U28" s="267">
        <f t="shared" si="12"/>
        <v>124972</v>
      </c>
      <c r="V28" s="267">
        <f t="shared" si="12"/>
        <v>-151798</v>
      </c>
      <c r="W28" s="393">
        <f t="shared" si="12"/>
        <v>238208.11111111112</v>
      </c>
      <c r="X28" s="24">
        <f>X17-X20</f>
        <v>2185773.111111111</v>
      </c>
      <c r="Y28" s="105"/>
      <c r="Z28" s="54"/>
    </row>
    <row r="29" spans="1:26" ht="13.25" customHeight="1">
      <c r="A29" s="69">
        <v>2025030</v>
      </c>
      <c r="C29" s="404">
        <f>C17+1</f>
        <v>3</v>
      </c>
      <c r="D29" s="402" t="s">
        <v>38</v>
      </c>
      <c r="E29" s="402"/>
      <c r="F29" s="402"/>
      <c r="G29" s="402"/>
      <c r="H29" s="400"/>
      <c r="I29" s="403" t="s">
        <v>69</v>
      </c>
      <c r="J29" s="398" t="s">
        <v>39</v>
      </c>
      <c r="K29" s="66" t="s">
        <v>22</v>
      </c>
      <c r="L29" s="191">
        <f t="shared" ref="L29:P29" si="13">L30+L31</f>
        <v>0</v>
      </c>
      <c r="M29" s="266">
        <f t="shared" si="13"/>
        <v>0</v>
      </c>
      <c r="N29" s="266">
        <f t="shared" si="13"/>
        <v>0</v>
      </c>
      <c r="O29" s="266">
        <f t="shared" si="13"/>
        <v>0</v>
      </c>
      <c r="P29" s="266">
        <f t="shared" si="13"/>
        <v>0</v>
      </c>
      <c r="Q29" s="266">
        <f>Q30+Q31</f>
        <v>0</v>
      </c>
      <c r="R29" s="266">
        <f t="shared" ref="R29:W29" si="14">R30+R31</f>
        <v>0</v>
      </c>
      <c r="S29" s="266">
        <f t="shared" si="14"/>
        <v>0</v>
      </c>
      <c r="T29" s="266">
        <f t="shared" si="14"/>
        <v>0</v>
      </c>
      <c r="U29" s="266">
        <f t="shared" si="14"/>
        <v>0</v>
      </c>
      <c r="V29" s="266">
        <f t="shared" si="14"/>
        <v>0</v>
      </c>
      <c r="W29" s="391">
        <f t="shared" si="14"/>
        <v>453000</v>
      </c>
      <c r="X29" s="26">
        <f t="shared" ref="X29:X39" si="15">SUM(L29:W29)</f>
        <v>453000</v>
      </c>
      <c r="Z29" s="54"/>
    </row>
    <row r="30" spans="1:26">
      <c r="A30" s="70">
        <f t="shared" ref="A30:B30" si="16">+A29</f>
        <v>2025030</v>
      </c>
      <c r="B30" s="74">
        <f t="shared" si="16"/>
        <v>0</v>
      </c>
      <c r="C30" s="404"/>
      <c r="D30" s="402"/>
      <c r="E30" s="402"/>
      <c r="F30" s="402"/>
      <c r="G30" s="402"/>
      <c r="H30" s="400"/>
      <c r="I30" s="475"/>
      <c r="J30" s="398"/>
      <c r="K30" s="159" t="s">
        <v>23</v>
      </c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162">
        <v>453000</v>
      </c>
      <c r="X30" s="20">
        <f t="shared" si="15"/>
        <v>453000</v>
      </c>
      <c r="Y30" s="105"/>
      <c r="Z30" s="54"/>
    </row>
    <row r="31" spans="1:26">
      <c r="A31" s="70">
        <f t="shared" ref="A31:B31" si="17">+A30</f>
        <v>2025030</v>
      </c>
      <c r="B31" s="74">
        <f t="shared" si="17"/>
        <v>0</v>
      </c>
      <c r="C31" s="404"/>
      <c r="D31" s="402"/>
      <c r="E31" s="402"/>
      <c r="F31" s="402"/>
      <c r="G31" s="402"/>
      <c r="H31" s="400"/>
      <c r="I31" s="475"/>
      <c r="J31" s="398"/>
      <c r="K31" s="159" t="s">
        <v>60</v>
      </c>
      <c r="L31" s="379"/>
      <c r="M31" s="379"/>
      <c r="N31" s="379"/>
      <c r="O31" s="379"/>
      <c r="P31" s="379"/>
      <c r="Q31" s="379"/>
      <c r="R31" s="379"/>
      <c r="S31" s="379"/>
      <c r="T31" s="379"/>
      <c r="U31" s="379"/>
      <c r="V31" s="379"/>
      <c r="W31" s="390"/>
      <c r="X31" s="20">
        <f t="shared" si="15"/>
        <v>0</v>
      </c>
      <c r="Y31" s="105"/>
      <c r="Z31" s="54"/>
    </row>
    <row r="32" spans="1:26">
      <c r="A32" s="70">
        <f t="shared" ref="A32:B32" si="18">+A31</f>
        <v>2025030</v>
      </c>
      <c r="B32" s="74">
        <f t="shared" si="18"/>
        <v>0</v>
      </c>
      <c r="C32" s="404"/>
      <c r="D32" s="402"/>
      <c r="E32" s="402"/>
      <c r="F32" s="402"/>
      <c r="G32" s="402"/>
      <c r="H32" s="400"/>
      <c r="I32" s="475"/>
      <c r="J32" s="398"/>
      <c r="K32" s="63" t="s">
        <v>25</v>
      </c>
      <c r="L32" s="208">
        <f>SUM(L33:L39)</f>
        <v>0</v>
      </c>
      <c r="M32" s="273">
        <f>SUM(M33:M39)</f>
        <v>0</v>
      </c>
      <c r="N32" s="273">
        <f>SUM(N33:N39)</f>
        <v>0</v>
      </c>
      <c r="O32" s="273">
        <f>SUM(O33:O39)</f>
        <v>0</v>
      </c>
      <c r="P32" s="273">
        <f t="shared" ref="P32:W32" si="19">SUM(P33:P39)</f>
        <v>0</v>
      </c>
      <c r="Q32" s="273">
        <f t="shared" si="19"/>
        <v>0</v>
      </c>
      <c r="R32" s="273">
        <f t="shared" si="19"/>
        <v>0</v>
      </c>
      <c r="S32" s="273">
        <f t="shared" si="19"/>
        <v>0</v>
      </c>
      <c r="T32" s="273">
        <f t="shared" si="19"/>
        <v>0</v>
      </c>
      <c r="U32" s="273">
        <f t="shared" si="19"/>
        <v>0</v>
      </c>
      <c r="V32" s="273">
        <f t="shared" si="19"/>
        <v>0</v>
      </c>
      <c r="W32" s="156">
        <f t="shared" si="19"/>
        <v>317926</v>
      </c>
      <c r="X32" s="21">
        <f t="shared" si="15"/>
        <v>317926</v>
      </c>
      <c r="Y32" s="105"/>
      <c r="Z32" s="54"/>
    </row>
    <row r="33" spans="1:27">
      <c r="A33" s="70">
        <f t="shared" ref="A33:B33" si="20">+A32</f>
        <v>2025030</v>
      </c>
      <c r="B33" s="74">
        <f t="shared" si="20"/>
        <v>0</v>
      </c>
      <c r="C33" s="404"/>
      <c r="D33" s="402"/>
      <c r="E33" s="402"/>
      <c r="F33" s="402"/>
      <c r="G33" s="402"/>
      <c r="H33" s="400"/>
      <c r="I33" s="475"/>
      <c r="J33" s="398"/>
      <c r="K33" s="161" t="s">
        <v>26</v>
      </c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162">
        <v>260000</v>
      </c>
      <c r="X33" s="20">
        <f>SUM(L33:W33)</f>
        <v>260000</v>
      </c>
      <c r="Y33" s="105"/>
      <c r="Z33" s="54"/>
    </row>
    <row r="34" spans="1:27">
      <c r="A34" s="70">
        <f t="shared" ref="A34:B34" si="21">+A33</f>
        <v>2025030</v>
      </c>
      <c r="B34" s="74">
        <f t="shared" si="21"/>
        <v>0</v>
      </c>
      <c r="C34" s="404"/>
      <c r="D34" s="402"/>
      <c r="E34" s="402"/>
      <c r="F34" s="402"/>
      <c r="G34" s="402"/>
      <c r="H34" s="400"/>
      <c r="I34" s="475"/>
      <c r="J34" s="398"/>
      <c r="K34" s="161" t="s">
        <v>33</v>
      </c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162"/>
      <c r="X34" s="20">
        <f t="shared" si="15"/>
        <v>0</v>
      </c>
      <c r="Y34" s="105"/>
      <c r="Z34" s="54"/>
    </row>
    <row r="35" spans="1:27">
      <c r="A35" s="70">
        <f t="shared" ref="A35:B35" si="22">+A34</f>
        <v>2025030</v>
      </c>
      <c r="B35" s="74">
        <f t="shared" si="22"/>
        <v>0</v>
      </c>
      <c r="C35" s="404"/>
      <c r="D35" s="402"/>
      <c r="E35" s="402"/>
      <c r="F35" s="402"/>
      <c r="G35" s="402"/>
      <c r="H35" s="400"/>
      <c r="I35" s="475"/>
      <c r="J35" s="398"/>
      <c r="K35" s="161" t="s">
        <v>27</v>
      </c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162">
        <v>18844</v>
      </c>
      <c r="X35" s="20">
        <f t="shared" si="15"/>
        <v>18844</v>
      </c>
      <c r="Y35" s="105"/>
      <c r="Z35" s="54"/>
    </row>
    <row r="36" spans="1:27">
      <c r="A36" s="70">
        <f t="shared" ref="A36:B36" si="23">+A35</f>
        <v>2025030</v>
      </c>
      <c r="B36" s="74">
        <f t="shared" si="23"/>
        <v>0</v>
      </c>
      <c r="C36" s="404"/>
      <c r="D36" s="402"/>
      <c r="E36" s="402"/>
      <c r="F36" s="402"/>
      <c r="G36" s="402"/>
      <c r="H36" s="400"/>
      <c r="I36" s="475"/>
      <c r="J36" s="398"/>
      <c r="K36" s="161" t="s">
        <v>28</v>
      </c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170">
        <v>12350</v>
      </c>
      <c r="X36" s="20">
        <f t="shared" si="15"/>
        <v>12350</v>
      </c>
      <c r="Y36" s="105"/>
      <c r="Z36" s="54"/>
    </row>
    <row r="37" spans="1:27">
      <c r="A37" s="70">
        <f t="shared" ref="A37:B37" si="24">+A36</f>
        <v>2025030</v>
      </c>
      <c r="B37" s="74">
        <f t="shared" si="24"/>
        <v>0</v>
      </c>
      <c r="C37" s="404"/>
      <c r="D37" s="402"/>
      <c r="E37" s="402"/>
      <c r="F37" s="402"/>
      <c r="G37" s="402"/>
      <c r="H37" s="400"/>
      <c r="I37" s="475"/>
      <c r="J37" s="398"/>
      <c r="K37" s="161" t="s">
        <v>29</v>
      </c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170">
        <v>23790</v>
      </c>
      <c r="X37" s="20">
        <f t="shared" si="15"/>
        <v>23790</v>
      </c>
      <c r="Y37" s="105"/>
      <c r="Z37" s="54"/>
    </row>
    <row r="38" spans="1:27">
      <c r="A38" s="70">
        <f t="shared" ref="A38:B38" si="25">+A37</f>
        <v>2025030</v>
      </c>
      <c r="B38" s="74">
        <f t="shared" si="25"/>
        <v>0</v>
      </c>
      <c r="C38" s="404"/>
      <c r="D38" s="402"/>
      <c r="E38" s="402"/>
      <c r="F38" s="402"/>
      <c r="G38" s="402"/>
      <c r="H38" s="400"/>
      <c r="I38" s="475"/>
      <c r="J38" s="398"/>
      <c r="K38" s="161" t="s">
        <v>30</v>
      </c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170">
        <v>1401</v>
      </c>
      <c r="X38" s="20">
        <f t="shared" si="15"/>
        <v>1401</v>
      </c>
      <c r="Y38" s="105"/>
      <c r="Z38" s="54"/>
    </row>
    <row r="39" spans="1:27">
      <c r="A39" s="70">
        <f t="shared" ref="A39:B39" si="26">+A38</f>
        <v>2025030</v>
      </c>
      <c r="B39" s="74">
        <f t="shared" si="26"/>
        <v>0</v>
      </c>
      <c r="C39" s="404"/>
      <c r="D39" s="402"/>
      <c r="E39" s="402"/>
      <c r="F39" s="402"/>
      <c r="G39" s="402"/>
      <c r="H39" s="400"/>
      <c r="I39" s="475"/>
      <c r="J39" s="398"/>
      <c r="K39" s="161" t="s">
        <v>31</v>
      </c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170">
        <v>1541</v>
      </c>
      <c r="X39" s="20">
        <f t="shared" si="15"/>
        <v>1541</v>
      </c>
      <c r="Y39" s="105"/>
      <c r="Z39" s="54"/>
    </row>
    <row r="40" spans="1:27" ht="12.5" thickBot="1">
      <c r="A40" s="70">
        <f t="shared" ref="A40:B40" si="27">+A39</f>
        <v>2025030</v>
      </c>
      <c r="B40" s="74">
        <f t="shared" si="27"/>
        <v>0</v>
      </c>
      <c r="C40" s="479"/>
      <c r="D40" s="480"/>
      <c r="E40" s="480"/>
      <c r="F40" s="480"/>
      <c r="G40" s="480"/>
      <c r="H40" s="481"/>
      <c r="I40" s="482"/>
      <c r="J40" s="483"/>
      <c r="K40" s="167" t="s">
        <v>32</v>
      </c>
      <c r="L40" s="206">
        <f>L29-L32</f>
        <v>0</v>
      </c>
      <c r="M40" s="271">
        <f t="shared" ref="M40" si="28">M29-M32</f>
        <v>0</v>
      </c>
      <c r="N40" s="271">
        <f>N29-N32</f>
        <v>0</v>
      </c>
      <c r="O40" s="271">
        <f t="shared" ref="O40:W40" si="29">O29-O32</f>
        <v>0</v>
      </c>
      <c r="P40" s="271">
        <f t="shared" si="29"/>
        <v>0</v>
      </c>
      <c r="Q40" s="271">
        <f t="shared" si="29"/>
        <v>0</v>
      </c>
      <c r="R40" s="271">
        <f t="shared" si="29"/>
        <v>0</v>
      </c>
      <c r="S40" s="271">
        <f t="shared" si="29"/>
        <v>0</v>
      </c>
      <c r="T40" s="271">
        <f t="shared" si="29"/>
        <v>0</v>
      </c>
      <c r="U40" s="271">
        <f t="shared" si="29"/>
        <v>0</v>
      </c>
      <c r="V40" s="271">
        <f t="shared" si="29"/>
        <v>0</v>
      </c>
      <c r="W40" s="157">
        <f t="shared" si="29"/>
        <v>135074</v>
      </c>
      <c r="X40" s="22">
        <f>X29-X32</f>
        <v>135074</v>
      </c>
      <c r="Y40" s="105"/>
      <c r="Z40" s="54"/>
    </row>
    <row r="41" spans="1:27" s="1" customFormat="1" ht="12.5" thickTop="1">
      <c r="A41" s="68"/>
      <c r="B41" s="72"/>
      <c r="C41" s="476" t="str">
        <f>C2</f>
        <v>Ericson</v>
      </c>
      <c r="D41" s="477"/>
      <c r="E41" s="477"/>
      <c r="F41" s="477"/>
      <c r="G41" s="477"/>
      <c r="H41" s="477"/>
      <c r="I41" s="477"/>
      <c r="J41" s="478"/>
      <c r="K41" s="112" t="s">
        <v>19</v>
      </c>
      <c r="L41" s="377">
        <f>L5+L17+L29</f>
        <v>1605750</v>
      </c>
      <c r="M41" s="377">
        <f t="shared" ref="M41:W41" si="30">M5+M17+M29</f>
        <v>1637900</v>
      </c>
      <c r="N41" s="377">
        <f t="shared" si="30"/>
        <v>1673300</v>
      </c>
      <c r="O41" s="377">
        <f t="shared" si="30"/>
        <v>1733525</v>
      </c>
      <c r="P41" s="377">
        <f t="shared" si="30"/>
        <v>1499800</v>
      </c>
      <c r="Q41" s="377">
        <f t="shared" si="30"/>
        <v>1641800</v>
      </c>
      <c r="R41" s="377">
        <f t="shared" si="30"/>
        <v>1747800</v>
      </c>
      <c r="S41" s="377">
        <f t="shared" si="30"/>
        <v>1475950</v>
      </c>
      <c r="T41" s="377">
        <f t="shared" si="30"/>
        <v>1548500</v>
      </c>
      <c r="U41" s="377">
        <f t="shared" si="30"/>
        <v>1411000</v>
      </c>
      <c r="V41" s="377">
        <f t="shared" si="30"/>
        <v>1048850</v>
      </c>
      <c r="W41" s="394">
        <f t="shared" si="30"/>
        <v>1955666.6666666665</v>
      </c>
      <c r="X41" s="168">
        <f>SUM(L41:W41)</f>
        <v>18979841.666666668</v>
      </c>
      <c r="Z41" s="54"/>
      <c r="AA41" s="2"/>
    </row>
    <row r="42" spans="1:27" s="1" customFormat="1">
      <c r="A42" s="68"/>
      <c r="B42" s="72"/>
      <c r="C42" s="421"/>
      <c r="D42" s="422"/>
      <c r="E42" s="422"/>
      <c r="F42" s="422"/>
      <c r="G42" s="422"/>
      <c r="H42" s="422"/>
      <c r="I42" s="422"/>
      <c r="J42" s="423"/>
      <c r="K42" s="113" t="s">
        <v>20</v>
      </c>
      <c r="L42" s="199">
        <f>L8+L20+L32</f>
        <v>1251775</v>
      </c>
      <c r="M42" s="199">
        <f t="shared" ref="M42:W42" si="31">M8+M20+M32</f>
        <v>1269463</v>
      </c>
      <c r="N42" s="199">
        <f t="shared" si="31"/>
        <v>1273715</v>
      </c>
      <c r="O42" s="199">
        <f t="shared" si="31"/>
        <v>1313839</v>
      </c>
      <c r="P42" s="199">
        <f t="shared" si="31"/>
        <v>1209884</v>
      </c>
      <c r="Q42" s="199">
        <f t="shared" si="31"/>
        <v>1248621</v>
      </c>
      <c r="R42" s="199">
        <f t="shared" si="31"/>
        <v>1335136</v>
      </c>
      <c r="S42" s="199">
        <f t="shared" si="31"/>
        <v>1174705</v>
      </c>
      <c r="T42" s="199">
        <f t="shared" si="31"/>
        <v>1276085</v>
      </c>
      <c r="U42" s="199">
        <f t="shared" si="31"/>
        <v>1167747</v>
      </c>
      <c r="V42" s="199">
        <f t="shared" si="31"/>
        <v>1060088</v>
      </c>
      <c r="W42" s="60">
        <f t="shared" si="31"/>
        <v>1470620.6666666665</v>
      </c>
      <c r="X42" s="27">
        <f>SUM(L42:W42)</f>
        <v>15051678.666666666</v>
      </c>
      <c r="Z42" s="54"/>
      <c r="AA42" s="2"/>
    </row>
    <row r="43" spans="1:27" s="1" customFormat="1">
      <c r="A43" s="68"/>
      <c r="B43" s="72"/>
      <c r="C43" s="424"/>
      <c r="D43" s="425"/>
      <c r="E43" s="425"/>
      <c r="F43" s="425"/>
      <c r="G43" s="425"/>
      <c r="H43" s="425"/>
      <c r="I43" s="425"/>
      <c r="J43" s="426"/>
      <c r="K43" s="117" t="s">
        <v>21</v>
      </c>
      <c r="L43" s="200">
        <f>L41-L42</f>
        <v>353975</v>
      </c>
      <c r="M43" s="262">
        <f t="shared" ref="M43:W43" si="32">M41-M42</f>
        <v>368437</v>
      </c>
      <c r="N43" s="262">
        <f t="shared" si="32"/>
        <v>399585</v>
      </c>
      <c r="O43" s="262">
        <f t="shared" si="32"/>
        <v>419686</v>
      </c>
      <c r="P43" s="262">
        <f t="shared" si="32"/>
        <v>289916</v>
      </c>
      <c r="Q43" s="262">
        <f t="shared" si="32"/>
        <v>393179</v>
      </c>
      <c r="R43" s="262">
        <f t="shared" si="32"/>
        <v>412664</v>
      </c>
      <c r="S43" s="262">
        <f t="shared" si="32"/>
        <v>301245</v>
      </c>
      <c r="T43" s="262">
        <f t="shared" si="32"/>
        <v>272415</v>
      </c>
      <c r="U43" s="262">
        <f t="shared" si="32"/>
        <v>243253</v>
      </c>
      <c r="V43" s="262">
        <f t="shared" si="32"/>
        <v>-11238</v>
      </c>
      <c r="W43" s="145">
        <f t="shared" si="32"/>
        <v>485046</v>
      </c>
      <c r="X43" s="28">
        <f>SUM(L43:W43)</f>
        <v>3928163</v>
      </c>
      <c r="Z43" s="54"/>
      <c r="AA43" s="2"/>
    </row>
    <row r="44" spans="1:27" s="9" customFormat="1" ht="14.75" customHeight="1">
      <c r="A44" s="68"/>
      <c r="B44" s="72"/>
      <c r="C44" s="32"/>
      <c r="D44" s="32"/>
      <c r="E44" s="32"/>
      <c r="F44" s="118"/>
      <c r="G44" s="32"/>
      <c r="H44" s="32"/>
      <c r="I44" s="32"/>
      <c r="J44" s="32"/>
      <c r="K44" s="111" t="s">
        <v>40</v>
      </c>
      <c r="L44" s="484">
        <f>SUM(L41:N41)</f>
        <v>4916950</v>
      </c>
      <c r="M44" s="485"/>
      <c r="N44" s="485"/>
      <c r="O44" s="486">
        <f>SUM(O41:Q41)</f>
        <v>4875125</v>
      </c>
      <c r="P44" s="485"/>
      <c r="Q44" s="485"/>
      <c r="R44" s="486">
        <f>SUM(R41:T41)</f>
        <v>4772250</v>
      </c>
      <c r="S44" s="485"/>
      <c r="T44" s="485"/>
      <c r="U44" s="486">
        <f>SUM(U41:W41)</f>
        <v>4415516.666666666</v>
      </c>
      <c r="V44" s="485"/>
      <c r="W44" s="487"/>
      <c r="X44" s="57">
        <f>SUM(X41)</f>
        <v>18979841.666666668</v>
      </c>
      <c r="Z44" s="54"/>
      <c r="AA44" s="2"/>
    </row>
    <row r="45" spans="1:27" s="9" customFormat="1" ht="14.75" customHeight="1">
      <c r="A45" s="68"/>
      <c r="B45" s="72"/>
      <c r="C45" s="32"/>
      <c r="D45" s="32"/>
      <c r="E45" s="32"/>
      <c r="F45" s="118"/>
      <c r="G45" s="32"/>
      <c r="H45" s="32"/>
      <c r="I45" s="32"/>
      <c r="J45" s="32"/>
      <c r="K45" s="110" t="s">
        <v>41</v>
      </c>
      <c r="L45" s="408">
        <f>SUM(L43:N43)</f>
        <v>1121997</v>
      </c>
      <c r="M45" s="409"/>
      <c r="N45" s="409"/>
      <c r="O45" s="410">
        <f>SUM(O43:Q43)</f>
        <v>1102781</v>
      </c>
      <c r="P45" s="409"/>
      <c r="Q45" s="409"/>
      <c r="R45" s="410">
        <f>SUM(R43:T43)</f>
        <v>986324</v>
      </c>
      <c r="S45" s="409"/>
      <c r="T45" s="409"/>
      <c r="U45" s="410">
        <f>SUM(U43:W43)</f>
        <v>717061</v>
      </c>
      <c r="V45" s="409"/>
      <c r="W45" s="411"/>
      <c r="X45" s="56">
        <f>SUM(X43)</f>
        <v>3928163</v>
      </c>
      <c r="Z45" s="54"/>
      <c r="AA45" s="2"/>
    </row>
  </sheetData>
  <mergeCells count="34">
    <mergeCell ref="U45:W45"/>
    <mergeCell ref="L44:N44"/>
    <mergeCell ref="O44:Q44"/>
    <mergeCell ref="R44:T44"/>
    <mergeCell ref="U44:W44"/>
    <mergeCell ref="C41:J43"/>
    <mergeCell ref="L45:N45"/>
    <mergeCell ref="O45:Q45"/>
    <mergeCell ref="R45:T45"/>
    <mergeCell ref="J17:J28"/>
    <mergeCell ref="C29:C40"/>
    <mergeCell ref="D29:D40"/>
    <mergeCell ref="E29:E40"/>
    <mergeCell ref="F29:F40"/>
    <mergeCell ref="G29:G40"/>
    <mergeCell ref="H29:H40"/>
    <mergeCell ref="I29:I40"/>
    <mergeCell ref="J29:J40"/>
    <mergeCell ref="C2:J4"/>
    <mergeCell ref="C17:C28"/>
    <mergeCell ref="D17:D28"/>
    <mergeCell ref="E17:E28"/>
    <mergeCell ref="F17:F28"/>
    <mergeCell ref="G17:G28"/>
    <mergeCell ref="H5:H16"/>
    <mergeCell ref="I5:I16"/>
    <mergeCell ref="C5:C16"/>
    <mergeCell ref="D5:D16"/>
    <mergeCell ref="E5:E16"/>
    <mergeCell ref="F5:F16"/>
    <mergeCell ref="G5:G16"/>
    <mergeCell ref="I17:I28"/>
    <mergeCell ref="H17:H28"/>
    <mergeCell ref="J5:J16"/>
  </mergeCells>
  <phoneticPr fontId="12"/>
  <printOptions horizontalCentered="1"/>
  <pageMargins left="0.70866141732283472" right="0.70866141732283472" top="0.74803149606299213" bottom="0.74803149606299213" header="0.31496062992125984" footer="0.31496062992125984"/>
  <pageSetup paperSize="9" scale="51" fitToHeight="2" orientation="landscape" r:id="rId1"/>
  <ignoredErrors>
    <ignoredError sqref="X41:X43 X16:X28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AA57"/>
  <sheetViews>
    <sheetView showGridLines="0" zoomScale="80" zoomScaleNormal="80" zoomScaleSheetLayoutView="70" workbookViewId="0">
      <pane xSplit="11" ySplit="4" topLeftCell="L19" activePane="bottomRight" state="frozen"/>
      <selection sqref="A1:C1"/>
      <selection pane="topRight" sqref="A1:C1"/>
      <selection pane="bottomLeft" sqref="A1:C1"/>
      <selection pane="bottomRight" activeCell="F5" sqref="F5:F52"/>
    </sheetView>
  </sheetViews>
  <sheetFormatPr defaultRowHeight="12"/>
  <cols>
    <col min="1" max="1" width="10" style="71" customWidth="1"/>
    <col min="2" max="2" width="10" style="73" customWidth="1"/>
    <col min="3" max="3" width="4.90625" style="12" customWidth="1"/>
    <col min="4" max="4" width="9" style="12" customWidth="1"/>
    <col min="5" max="5" width="5.08984375" style="12" customWidth="1"/>
    <col min="6" max="6" width="9.6328125" style="118" customWidth="1"/>
    <col min="7" max="7" width="12.453125" style="12" customWidth="1"/>
    <col min="8" max="8" width="11.90625" style="12" customWidth="1"/>
    <col min="9" max="9" width="11.08984375" style="12" customWidth="1"/>
    <col min="10" max="10" width="10" style="12" customWidth="1"/>
    <col min="11" max="11" width="13.36328125" style="12" bestFit="1" customWidth="1"/>
    <col min="12" max="23" width="13.08984375" style="12" customWidth="1"/>
    <col min="24" max="24" width="16.453125" style="12" customWidth="1"/>
    <col min="25" max="25" width="9" style="2"/>
    <col min="26" max="26" width="11" style="9" bestFit="1" customWidth="1"/>
    <col min="27" max="259" width="9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9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9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9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9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9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9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9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9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9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9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9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9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9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9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9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9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9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9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9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9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9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9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9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9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9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9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9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9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9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9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9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9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9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9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9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9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9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9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9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9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9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9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9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9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9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9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9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9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9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9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9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9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9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9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9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9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9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9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9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9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9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9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9" style="2"/>
  </cols>
  <sheetData>
    <row r="1" spans="1:26" s="1" customFormat="1" ht="36">
      <c r="A1" s="1" t="s">
        <v>42</v>
      </c>
      <c r="B1" s="1" t="s">
        <v>43</v>
      </c>
      <c r="C1" s="75" t="s">
        <v>35</v>
      </c>
      <c r="D1" s="76" t="s">
        <v>78</v>
      </c>
      <c r="E1" s="76" t="s">
        <v>0</v>
      </c>
      <c r="F1" s="77" t="s">
        <v>1</v>
      </c>
      <c r="G1" s="77" t="s">
        <v>36</v>
      </c>
      <c r="H1" s="77" t="s">
        <v>2</v>
      </c>
      <c r="I1" s="78" t="s">
        <v>3</v>
      </c>
      <c r="J1" s="79" t="s">
        <v>4</v>
      </c>
      <c r="K1" s="10" t="s">
        <v>5</v>
      </c>
      <c r="L1" s="257" t="s">
        <v>6</v>
      </c>
      <c r="M1" s="80" t="s">
        <v>7</v>
      </c>
      <c r="N1" s="130" t="s">
        <v>8</v>
      </c>
      <c r="O1" s="130" t="s">
        <v>9</v>
      </c>
      <c r="P1" s="130" t="s">
        <v>10</v>
      </c>
      <c r="Q1" s="130" t="s">
        <v>11</v>
      </c>
      <c r="R1" s="130" t="s">
        <v>12</v>
      </c>
      <c r="S1" s="130" t="s">
        <v>13</v>
      </c>
      <c r="T1" s="130" t="s">
        <v>14</v>
      </c>
      <c r="U1" s="130" t="s">
        <v>15</v>
      </c>
      <c r="V1" s="130" t="s">
        <v>16</v>
      </c>
      <c r="W1" s="81" t="s">
        <v>17</v>
      </c>
      <c r="X1" s="11" t="s">
        <v>18</v>
      </c>
    </row>
    <row r="2" spans="1:26" s="1" customFormat="1">
      <c r="A2" s="68"/>
      <c r="B2" s="72"/>
      <c r="C2" s="412" t="s">
        <v>46</v>
      </c>
      <c r="D2" s="413"/>
      <c r="E2" s="413"/>
      <c r="F2" s="413"/>
      <c r="G2" s="413"/>
      <c r="H2" s="413"/>
      <c r="I2" s="413"/>
      <c r="J2" s="414"/>
      <c r="K2" s="112" t="s">
        <v>19</v>
      </c>
      <c r="L2" s="258">
        <f>L53</f>
        <v>1947060</v>
      </c>
      <c r="M2" s="300">
        <f t="shared" ref="M2:W3" si="0">M53</f>
        <v>1957920</v>
      </c>
      <c r="N2" s="263">
        <f t="shared" si="0"/>
        <v>2004980</v>
      </c>
      <c r="O2" s="263">
        <f t="shared" si="0"/>
        <v>2023080</v>
      </c>
      <c r="P2" s="263">
        <f t="shared" si="0"/>
        <v>1972400</v>
      </c>
      <c r="Q2" s="263">
        <f t="shared" si="0"/>
        <v>1932580</v>
      </c>
      <c r="R2" s="263">
        <f t="shared" si="0"/>
        <v>1983260</v>
      </c>
      <c r="S2" s="263">
        <f t="shared" si="0"/>
        <v>1915100</v>
      </c>
      <c r="T2" s="263">
        <f t="shared" si="0"/>
        <v>1979640</v>
      </c>
      <c r="U2" s="263">
        <f t="shared" si="0"/>
        <v>2766880</v>
      </c>
      <c r="V2" s="263">
        <f t="shared" si="0"/>
        <v>2741540</v>
      </c>
      <c r="W2" s="92">
        <f t="shared" si="0"/>
        <v>2711278.888888889</v>
      </c>
      <c r="X2" s="14">
        <f>SUM(L2:W2)</f>
        <v>25935718.888888888</v>
      </c>
      <c r="Z2" s="53"/>
    </row>
    <row r="3" spans="1:26" s="1" customFormat="1">
      <c r="A3" s="68"/>
      <c r="B3" s="72"/>
      <c r="C3" s="415"/>
      <c r="D3" s="416"/>
      <c r="E3" s="416"/>
      <c r="F3" s="416"/>
      <c r="G3" s="416"/>
      <c r="H3" s="416"/>
      <c r="I3" s="416"/>
      <c r="J3" s="417"/>
      <c r="K3" s="113" t="s">
        <v>20</v>
      </c>
      <c r="L3" s="259">
        <f>L54</f>
        <v>1430802</v>
      </c>
      <c r="M3" s="301">
        <f t="shared" si="0"/>
        <v>1407510</v>
      </c>
      <c r="N3" s="264">
        <f t="shared" si="0"/>
        <v>1416521</v>
      </c>
      <c r="O3" s="264">
        <f t="shared" si="0"/>
        <v>1438714</v>
      </c>
      <c r="P3" s="264">
        <f t="shared" si="0"/>
        <v>1391316</v>
      </c>
      <c r="Q3" s="264">
        <f t="shared" si="0"/>
        <v>1389741</v>
      </c>
      <c r="R3" s="264">
        <f t="shared" si="0"/>
        <v>1447684</v>
      </c>
      <c r="S3" s="264">
        <f t="shared" si="0"/>
        <v>1361290</v>
      </c>
      <c r="T3" s="264">
        <f t="shared" si="0"/>
        <v>1457031</v>
      </c>
      <c r="U3" s="264">
        <f t="shared" si="0"/>
        <v>1919127</v>
      </c>
      <c r="V3" s="264">
        <f t="shared" si="0"/>
        <v>1905408</v>
      </c>
      <c r="W3" s="93">
        <f t="shared" si="0"/>
        <v>1859789.111111111</v>
      </c>
      <c r="X3" s="16">
        <f>SUM(L3:W3)</f>
        <v>18424933.111111112</v>
      </c>
      <c r="Z3" s="53"/>
    </row>
    <row r="4" spans="1:26" s="1" customFormat="1" ht="12.5" thickBot="1">
      <c r="A4" s="68"/>
      <c r="B4" s="72"/>
      <c r="C4" s="418"/>
      <c r="D4" s="419"/>
      <c r="E4" s="419"/>
      <c r="F4" s="419"/>
      <c r="G4" s="419"/>
      <c r="H4" s="419"/>
      <c r="I4" s="419"/>
      <c r="J4" s="420"/>
      <c r="K4" s="114" t="s">
        <v>21</v>
      </c>
      <c r="L4" s="260">
        <f t="shared" ref="L4:W4" si="1">L2-L3</f>
        <v>516258</v>
      </c>
      <c r="M4" s="302">
        <f t="shared" si="1"/>
        <v>550410</v>
      </c>
      <c r="N4" s="265">
        <f t="shared" si="1"/>
        <v>588459</v>
      </c>
      <c r="O4" s="265">
        <f t="shared" si="1"/>
        <v>584366</v>
      </c>
      <c r="P4" s="265">
        <f t="shared" si="1"/>
        <v>581084</v>
      </c>
      <c r="Q4" s="265">
        <f t="shared" si="1"/>
        <v>542839</v>
      </c>
      <c r="R4" s="265">
        <f t="shared" si="1"/>
        <v>535576</v>
      </c>
      <c r="S4" s="265">
        <f t="shared" si="1"/>
        <v>553810</v>
      </c>
      <c r="T4" s="265">
        <f t="shared" si="1"/>
        <v>522609</v>
      </c>
      <c r="U4" s="265">
        <f t="shared" si="1"/>
        <v>847753</v>
      </c>
      <c r="V4" s="265">
        <f t="shared" si="1"/>
        <v>836132</v>
      </c>
      <c r="W4" s="17">
        <f t="shared" si="1"/>
        <v>851489.77777777798</v>
      </c>
      <c r="X4" s="18">
        <f>SUM(L4:W4)</f>
        <v>7510785.777777778</v>
      </c>
      <c r="Z4" s="53"/>
    </row>
    <row r="5" spans="1:26" ht="12.75" customHeight="1" thickTop="1">
      <c r="A5" s="69">
        <v>2016014</v>
      </c>
      <c r="C5" s="404">
        <v>1</v>
      </c>
      <c r="D5" s="402" t="s">
        <v>34</v>
      </c>
      <c r="E5" s="402"/>
      <c r="F5" s="406"/>
      <c r="G5" s="402"/>
      <c r="H5" s="400"/>
      <c r="I5" s="402" t="s">
        <v>70</v>
      </c>
      <c r="J5" s="398" t="s">
        <v>56</v>
      </c>
      <c r="K5" s="119" t="s">
        <v>22</v>
      </c>
      <c r="L5" s="303">
        <f t="shared" ref="L5:W5" si="2">L6+L7</f>
        <v>627060</v>
      </c>
      <c r="M5" s="304">
        <f t="shared" si="2"/>
        <v>637920</v>
      </c>
      <c r="N5" s="274">
        <f t="shared" si="2"/>
        <v>684980</v>
      </c>
      <c r="O5" s="346">
        <f t="shared" si="2"/>
        <v>703080</v>
      </c>
      <c r="P5" s="346">
        <f t="shared" si="2"/>
        <v>652400</v>
      </c>
      <c r="Q5" s="346">
        <f t="shared" si="2"/>
        <v>612580</v>
      </c>
      <c r="R5" s="346">
        <f t="shared" si="2"/>
        <v>663260</v>
      </c>
      <c r="S5" s="346">
        <f t="shared" si="2"/>
        <v>601720</v>
      </c>
      <c r="T5" s="346">
        <f t="shared" si="2"/>
        <v>659640</v>
      </c>
      <c r="U5" s="346">
        <f t="shared" si="2"/>
        <v>666880</v>
      </c>
      <c r="V5" s="346">
        <f t="shared" si="2"/>
        <v>641540</v>
      </c>
      <c r="W5" s="94">
        <f t="shared" si="2"/>
        <v>611278.88888888888</v>
      </c>
      <c r="X5" s="19">
        <f>SUM(L5:W5)</f>
        <v>7762338.888888889</v>
      </c>
      <c r="Z5" s="54"/>
    </row>
    <row r="6" spans="1:26">
      <c r="A6" s="70">
        <f t="shared" ref="A6:B16" si="3">+A5</f>
        <v>2016014</v>
      </c>
      <c r="B6" s="74"/>
      <c r="C6" s="404"/>
      <c r="D6" s="402"/>
      <c r="E6" s="402"/>
      <c r="F6" s="406"/>
      <c r="G6" s="402"/>
      <c r="H6" s="400"/>
      <c r="I6" s="402"/>
      <c r="J6" s="398"/>
      <c r="K6" s="120" t="s">
        <v>23</v>
      </c>
      <c r="L6" s="249">
        <v>627060</v>
      </c>
      <c r="M6" s="249">
        <v>637920</v>
      </c>
      <c r="N6" s="210">
        <v>684980</v>
      </c>
      <c r="O6" s="210">
        <v>703080</v>
      </c>
      <c r="P6" s="210">
        <v>652400</v>
      </c>
      <c r="Q6" s="210">
        <v>612580</v>
      </c>
      <c r="R6" s="210">
        <v>663260</v>
      </c>
      <c r="S6" s="210">
        <v>601720</v>
      </c>
      <c r="T6" s="210">
        <v>659640</v>
      </c>
      <c r="U6" s="210">
        <v>666880</v>
      </c>
      <c r="V6" s="210">
        <v>641540</v>
      </c>
      <c r="W6" s="83">
        <v>611278.88888888888</v>
      </c>
      <c r="X6" s="20">
        <f>SUM(L6:W6)</f>
        <v>7762338.888888889</v>
      </c>
      <c r="Y6" s="105"/>
      <c r="Z6" s="54"/>
    </row>
    <row r="7" spans="1:26">
      <c r="A7" s="70">
        <f t="shared" si="3"/>
        <v>2016014</v>
      </c>
      <c r="B7" s="74"/>
      <c r="C7" s="404"/>
      <c r="D7" s="402"/>
      <c r="E7" s="402"/>
      <c r="F7" s="406"/>
      <c r="G7" s="402"/>
      <c r="H7" s="400"/>
      <c r="I7" s="402"/>
      <c r="J7" s="398"/>
      <c r="K7" s="120" t="s">
        <v>24</v>
      </c>
      <c r="L7" s="305"/>
      <c r="M7" s="249"/>
      <c r="N7" s="210"/>
      <c r="O7" s="347"/>
      <c r="P7" s="347"/>
      <c r="Q7" s="347"/>
      <c r="R7" s="347"/>
      <c r="S7" s="347"/>
      <c r="T7" s="347"/>
      <c r="U7" s="347"/>
      <c r="V7" s="347"/>
      <c r="W7" s="89"/>
      <c r="X7" s="20">
        <v>0</v>
      </c>
      <c r="Z7" s="54"/>
    </row>
    <row r="8" spans="1:26">
      <c r="A8" s="70">
        <f t="shared" si="3"/>
        <v>2016014</v>
      </c>
      <c r="B8" s="74"/>
      <c r="C8" s="404"/>
      <c r="D8" s="402"/>
      <c r="E8" s="402"/>
      <c r="F8" s="406"/>
      <c r="G8" s="402"/>
      <c r="H8" s="400"/>
      <c r="I8" s="402"/>
      <c r="J8" s="398"/>
      <c r="K8" s="121" t="s">
        <v>25</v>
      </c>
      <c r="L8" s="306">
        <f t="shared" ref="L8:W8" si="4">SUM(L9:L15)</f>
        <v>497001</v>
      </c>
      <c r="M8" s="307">
        <f t="shared" si="4"/>
        <v>489665</v>
      </c>
      <c r="N8" s="227">
        <f t="shared" si="4"/>
        <v>499155</v>
      </c>
      <c r="O8" s="348">
        <f t="shared" si="4"/>
        <v>507873</v>
      </c>
      <c r="P8" s="348">
        <f t="shared" si="4"/>
        <v>479431</v>
      </c>
      <c r="Q8" s="348">
        <f t="shared" si="4"/>
        <v>471935</v>
      </c>
      <c r="R8" s="348">
        <f t="shared" si="4"/>
        <v>517947</v>
      </c>
      <c r="S8" s="348">
        <f t="shared" si="4"/>
        <v>452823</v>
      </c>
      <c r="T8" s="348">
        <f t="shared" si="4"/>
        <v>498995</v>
      </c>
      <c r="U8" s="348">
        <f t="shared" si="4"/>
        <v>492722</v>
      </c>
      <c r="V8" s="348">
        <f t="shared" si="4"/>
        <v>479294</v>
      </c>
      <c r="W8" s="96">
        <f t="shared" si="4"/>
        <v>479402.11111111112</v>
      </c>
      <c r="X8" s="33">
        <f>SUM(L8:W8)</f>
        <v>5866243.111111111</v>
      </c>
      <c r="Z8" s="54"/>
    </row>
    <row r="9" spans="1:26">
      <c r="A9" s="70">
        <f t="shared" si="3"/>
        <v>2016014</v>
      </c>
      <c r="B9" s="74"/>
      <c r="C9" s="404"/>
      <c r="D9" s="402"/>
      <c r="E9" s="402"/>
      <c r="F9" s="406"/>
      <c r="G9" s="402"/>
      <c r="H9" s="400"/>
      <c r="I9" s="402"/>
      <c r="J9" s="398"/>
      <c r="K9" s="122" t="s">
        <v>26</v>
      </c>
      <c r="L9" s="308">
        <v>431787</v>
      </c>
      <c r="M9" s="308">
        <v>424527</v>
      </c>
      <c r="N9" s="336">
        <v>433918</v>
      </c>
      <c r="O9" s="336">
        <v>442546</v>
      </c>
      <c r="P9" s="336">
        <v>414400</v>
      </c>
      <c r="Q9" s="336">
        <v>406982</v>
      </c>
      <c r="R9" s="336">
        <v>452515</v>
      </c>
      <c r="S9" s="336">
        <v>388069</v>
      </c>
      <c r="T9" s="336">
        <v>433760</v>
      </c>
      <c r="U9" s="336">
        <v>427552</v>
      </c>
      <c r="V9" s="336">
        <v>414084</v>
      </c>
      <c r="W9" s="83">
        <v>406469.88888888888</v>
      </c>
      <c r="X9" s="20">
        <f t="shared" ref="X9:X15" si="5">SUM(L9:W9)</f>
        <v>5076609.888888889</v>
      </c>
      <c r="Y9" s="105"/>
      <c r="Z9" s="54"/>
    </row>
    <row r="10" spans="1:26">
      <c r="A10" s="70">
        <f t="shared" si="3"/>
        <v>2016014</v>
      </c>
      <c r="B10" s="74"/>
      <c r="C10" s="404"/>
      <c r="D10" s="402"/>
      <c r="E10" s="402"/>
      <c r="F10" s="406"/>
      <c r="G10" s="402"/>
      <c r="H10" s="400"/>
      <c r="I10" s="402"/>
      <c r="J10" s="398"/>
      <c r="K10" s="174" t="s">
        <v>33</v>
      </c>
      <c r="L10" s="309"/>
      <c r="M10" s="309"/>
      <c r="N10" s="203"/>
      <c r="O10" s="203"/>
      <c r="P10" s="203"/>
      <c r="Q10" s="203"/>
      <c r="R10" s="203"/>
      <c r="S10" s="203"/>
      <c r="T10" s="203"/>
      <c r="U10" s="203"/>
      <c r="V10" s="203"/>
      <c r="W10" s="162"/>
      <c r="X10" s="20">
        <f t="shared" si="5"/>
        <v>0</v>
      </c>
      <c r="Y10" s="105"/>
      <c r="Z10" s="54"/>
    </row>
    <row r="11" spans="1:26">
      <c r="A11" s="70">
        <f t="shared" si="3"/>
        <v>2016014</v>
      </c>
      <c r="B11" s="74"/>
      <c r="C11" s="404"/>
      <c r="D11" s="402"/>
      <c r="E11" s="402"/>
      <c r="F11" s="406"/>
      <c r="G11" s="402"/>
      <c r="H11" s="400"/>
      <c r="I11" s="402"/>
      <c r="J11" s="398"/>
      <c r="K11" s="122" t="s">
        <v>27</v>
      </c>
      <c r="L11" s="290">
        <v>0</v>
      </c>
      <c r="M11" s="290">
        <v>0</v>
      </c>
      <c r="N11" s="290">
        <v>0</v>
      </c>
      <c r="O11" s="212">
        <v>0</v>
      </c>
      <c r="P11" s="212">
        <v>0</v>
      </c>
      <c r="Q11" s="212">
        <v>0</v>
      </c>
      <c r="R11" s="212">
        <v>0</v>
      </c>
      <c r="S11" s="212">
        <v>0</v>
      </c>
      <c r="T11" s="212">
        <v>0</v>
      </c>
      <c r="U11" s="212">
        <v>0</v>
      </c>
      <c r="V11" s="212">
        <v>0</v>
      </c>
      <c r="W11" s="83">
        <v>7718.2222222222226</v>
      </c>
      <c r="X11" s="20">
        <f t="shared" si="5"/>
        <v>7718.2222222222226</v>
      </c>
      <c r="Y11" s="105"/>
      <c r="Z11" s="54"/>
    </row>
    <row r="12" spans="1:26">
      <c r="A12" s="70">
        <f t="shared" si="3"/>
        <v>2016014</v>
      </c>
      <c r="B12" s="74"/>
      <c r="C12" s="404"/>
      <c r="D12" s="402"/>
      <c r="E12" s="402"/>
      <c r="F12" s="406"/>
      <c r="G12" s="402"/>
      <c r="H12" s="400"/>
      <c r="I12" s="402"/>
      <c r="J12" s="398"/>
      <c r="K12" s="122" t="s">
        <v>28</v>
      </c>
      <c r="L12" s="310">
        <v>23165</v>
      </c>
      <c r="M12" s="310">
        <v>23165</v>
      </c>
      <c r="N12" s="337">
        <v>23165</v>
      </c>
      <c r="O12" s="337">
        <v>23165</v>
      </c>
      <c r="P12" s="337">
        <v>23165</v>
      </c>
      <c r="Q12" s="337">
        <v>23165</v>
      </c>
      <c r="R12" s="337">
        <v>23165</v>
      </c>
      <c r="S12" s="337">
        <v>23165</v>
      </c>
      <c r="T12" s="337">
        <v>23165</v>
      </c>
      <c r="U12" s="337">
        <v>23165</v>
      </c>
      <c r="V12" s="337">
        <v>23165</v>
      </c>
      <c r="W12" s="34">
        <v>23165</v>
      </c>
      <c r="X12" s="20">
        <f t="shared" si="5"/>
        <v>277980</v>
      </c>
      <c r="Y12" s="105"/>
      <c r="Z12" s="54"/>
    </row>
    <row r="13" spans="1:26">
      <c r="A13" s="70">
        <f t="shared" si="3"/>
        <v>2016014</v>
      </c>
      <c r="B13" s="74"/>
      <c r="C13" s="404"/>
      <c r="D13" s="402"/>
      <c r="E13" s="402"/>
      <c r="F13" s="406"/>
      <c r="G13" s="402"/>
      <c r="H13" s="400"/>
      <c r="I13" s="402"/>
      <c r="J13" s="398"/>
      <c r="K13" s="122" t="s">
        <v>29</v>
      </c>
      <c r="L13" s="310">
        <v>37515</v>
      </c>
      <c r="M13" s="310">
        <v>37515</v>
      </c>
      <c r="N13" s="337">
        <v>37515</v>
      </c>
      <c r="O13" s="337">
        <v>37515</v>
      </c>
      <c r="P13" s="337">
        <v>37515</v>
      </c>
      <c r="Q13" s="337">
        <v>37515</v>
      </c>
      <c r="R13" s="337">
        <v>37515</v>
      </c>
      <c r="S13" s="337">
        <v>37515</v>
      </c>
      <c r="T13" s="337">
        <v>37515</v>
      </c>
      <c r="U13" s="337">
        <v>37515</v>
      </c>
      <c r="V13" s="337">
        <v>37515</v>
      </c>
      <c r="W13" s="34">
        <v>37515</v>
      </c>
      <c r="X13" s="20">
        <f t="shared" si="5"/>
        <v>450180</v>
      </c>
      <c r="Y13" s="105"/>
      <c r="Z13" s="54"/>
    </row>
    <row r="14" spans="1:26">
      <c r="A14" s="70">
        <f t="shared" si="3"/>
        <v>2016014</v>
      </c>
      <c r="B14" s="74"/>
      <c r="C14" s="404"/>
      <c r="D14" s="402"/>
      <c r="E14" s="402"/>
      <c r="F14" s="406"/>
      <c r="G14" s="402"/>
      <c r="H14" s="400"/>
      <c r="I14" s="402"/>
      <c r="J14" s="398"/>
      <c r="K14" s="122" t="s">
        <v>30</v>
      </c>
      <c r="L14" s="310">
        <v>2159</v>
      </c>
      <c r="M14" s="310">
        <v>2123</v>
      </c>
      <c r="N14" s="337">
        <v>2170</v>
      </c>
      <c r="O14" s="337">
        <v>2213</v>
      </c>
      <c r="P14" s="337">
        <v>2072</v>
      </c>
      <c r="Q14" s="337">
        <v>2035</v>
      </c>
      <c r="R14" s="337">
        <v>2263</v>
      </c>
      <c r="S14" s="337">
        <v>1940</v>
      </c>
      <c r="T14" s="337">
        <v>2169</v>
      </c>
      <c r="U14" s="337">
        <v>2138</v>
      </c>
      <c r="V14" s="337">
        <v>2157</v>
      </c>
      <c r="W14" s="34">
        <v>2159</v>
      </c>
      <c r="X14" s="20">
        <f t="shared" si="5"/>
        <v>25598</v>
      </c>
      <c r="Y14" s="105"/>
      <c r="Z14" s="54"/>
    </row>
    <row r="15" spans="1:26">
      <c r="A15" s="70">
        <f t="shared" si="3"/>
        <v>2016014</v>
      </c>
      <c r="B15" s="74"/>
      <c r="C15" s="404"/>
      <c r="D15" s="402"/>
      <c r="E15" s="402"/>
      <c r="F15" s="406"/>
      <c r="G15" s="402"/>
      <c r="H15" s="400"/>
      <c r="I15" s="402"/>
      <c r="J15" s="398"/>
      <c r="K15" s="122" t="s">
        <v>31</v>
      </c>
      <c r="L15" s="311">
        <v>2375</v>
      </c>
      <c r="M15" s="311">
        <v>2335</v>
      </c>
      <c r="N15" s="338">
        <v>2387</v>
      </c>
      <c r="O15" s="338">
        <v>2434</v>
      </c>
      <c r="P15" s="338">
        <v>2279</v>
      </c>
      <c r="Q15" s="338">
        <v>2238</v>
      </c>
      <c r="R15" s="338">
        <v>2489</v>
      </c>
      <c r="S15" s="338">
        <v>2134</v>
      </c>
      <c r="T15" s="338">
        <v>2386</v>
      </c>
      <c r="U15" s="338">
        <v>2352</v>
      </c>
      <c r="V15" s="338">
        <v>2373</v>
      </c>
      <c r="W15" s="35">
        <v>2375</v>
      </c>
      <c r="X15" s="20">
        <f t="shared" si="5"/>
        <v>28157</v>
      </c>
      <c r="Y15" s="105"/>
      <c r="Z15" s="54"/>
    </row>
    <row r="16" spans="1:26">
      <c r="A16" s="70">
        <f t="shared" si="3"/>
        <v>2016014</v>
      </c>
      <c r="B16" s="74"/>
      <c r="C16" s="405"/>
      <c r="D16" s="403"/>
      <c r="E16" s="403"/>
      <c r="F16" s="407"/>
      <c r="G16" s="403"/>
      <c r="H16" s="401"/>
      <c r="I16" s="403"/>
      <c r="J16" s="399"/>
      <c r="K16" s="123" t="s">
        <v>32</v>
      </c>
      <c r="L16" s="250">
        <f t="shared" ref="L16:X16" si="6">L5-L8</f>
        <v>130059</v>
      </c>
      <c r="M16" s="251">
        <f t="shared" si="6"/>
        <v>148255</v>
      </c>
      <c r="N16" s="267">
        <f t="shared" si="6"/>
        <v>185825</v>
      </c>
      <c r="O16" s="344">
        <f t="shared" si="6"/>
        <v>195207</v>
      </c>
      <c r="P16" s="344">
        <f t="shared" si="6"/>
        <v>172969</v>
      </c>
      <c r="Q16" s="344">
        <f t="shared" si="6"/>
        <v>140645</v>
      </c>
      <c r="R16" s="344">
        <f t="shared" si="6"/>
        <v>145313</v>
      </c>
      <c r="S16" s="344">
        <f t="shared" si="6"/>
        <v>148897</v>
      </c>
      <c r="T16" s="344">
        <f t="shared" si="6"/>
        <v>160645</v>
      </c>
      <c r="U16" s="344">
        <f t="shared" si="6"/>
        <v>174158</v>
      </c>
      <c r="V16" s="344">
        <f t="shared" si="6"/>
        <v>162246</v>
      </c>
      <c r="W16" s="97">
        <f t="shared" si="6"/>
        <v>131876.77777777775</v>
      </c>
      <c r="X16" s="24">
        <f t="shared" si="6"/>
        <v>1896095.777777778</v>
      </c>
      <c r="Z16" s="54"/>
    </row>
    <row r="17" spans="1:26" ht="12.75" customHeight="1">
      <c r="A17" s="241">
        <v>2020018</v>
      </c>
      <c r="C17" s="433">
        <f>C5+1</f>
        <v>2</v>
      </c>
      <c r="D17" s="432" t="s">
        <v>34</v>
      </c>
      <c r="E17" s="432"/>
      <c r="F17" s="432"/>
      <c r="G17" s="432"/>
      <c r="H17" s="431"/>
      <c r="I17" s="432" t="s">
        <v>70</v>
      </c>
      <c r="J17" s="397" t="s">
        <v>56</v>
      </c>
      <c r="K17" s="124" t="s">
        <v>22</v>
      </c>
      <c r="L17" s="314">
        <f t="shared" ref="L17:Q17" si="7">L18+L19</f>
        <v>530000</v>
      </c>
      <c r="M17" s="315">
        <f t="shared" si="7"/>
        <v>530000</v>
      </c>
      <c r="N17" s="275">
        <f t="shared" si="7"/>
        <v>530000</v>
      </c>
      <c r="O17" s="275">
        <f t="shared" si="7"/>
        <v>530000</v>
      </c>
      <c r="P17" s="353">
        <f t="shared" si="7"/>
        <v>530000</v>
      </c>
      <c r="Q17" s="353">
        <f t="shared" si="7"/>
        <v>530000</v>
      </c>
      <c r="R17" s="353">
        <f>R18+R19</f>
        <v>530000</v>
      </c>
      <c r="S17" s="353">
        <f t="shared" ref="S17:V17" si="8">S18+S19</f>
        <v>523380</v>
      </c>
      <c r="T17" s="353">
        <f t="shared" si="8"/>
        <v>530000</v>
      </c>
      <c r="U17" s="353">
        <f t="shared" si="8"/>
        <v>530000</v>
      </c>
      <c r="V17" s="353">
        <f t="shared" si="8"/>
        <v>530000</v>
      </c>
      <c r="W17" s="99">
        <f>W18+W19</f>
        <v>530000</v>
      </c>
      <c r="X17" s="23">
        <f>SUM(L17:W17)</f>
        <v>6353380</v>
      </c>
      <c r="Z17" s="54"/>
    </row>
    <row r="18" spans="1:26">
      <c r="A18" s="70">
        <f t="shared" ref="A18:B18" si="9">+A17</f>
        <v>2020018</v>
      </c>
      <c r="B18" s="74"/>
      <c r="C18" s="404"/>
      <c r="D18" s="402"/>
      <c r="E18" s="402"/>
      <c r="F18" s="402"/>
      <c r="G18" s="402"/>
      <c r="H18" s="400"/>
      <c r="I18" s="402"/>
      <c r="J18" s="398"/>
      <c r="K18" s="120" t="s">
        <v>23</v>
      </c>
      <c r="L18" s="249">
        <v>530000</v>
      </c>
      <c r="M18" s="249">
        <v>530000</v>
      </c>
      <c r="N18" s="210">
        <v>530000</v>
      </c>
      <c r="O18" s="210">
        <v>530000</v>
      </c>
      <c r="P18" s="210">
        <v>530000</v>
      </c>
      <c r="Q18" s="210">
        <v>530000</v>
      </c>
      <c r="R18" s="210">
        <v>530000</v>
      </c>
      <c r="S18" s="210">
        <v>523380</v>
      </c>
      <c r="T18" s="210">
        <v>530000</v>
      </c>
      <c r="U18" s="210">
        <v>530000</v>
      </c>
      <c r="V18" s="210">
        <v>530000</v>
      </c>
      <c r="W18" s="83">
        <v>530000</v>
      </c>
      <c r="X18" s="20">
        <f>SUM(L18:W18)</f>
        <v>6353380</v>
      </c>
      <c r="Z18" s="54"/>
    </row>
    <row r="19" spans="1:26">
      <c r="A19" s="70">
        <f t="shared" ref="A19:B19" si="10">+A18</f>
        <v>2020018</v>
      </c>
      <c r="B19" s="74"/>
      <c r="C19" s="404"/>
      <c r="D19" s="402"/>
      <c r="E19" s="402"/>
      <c r="F19" s="402"/>
      <c r="G19" s="402"/>
      <c r="H19" s="400"/>
      <c r="I19" s="402"/>
      <c r="J19" s="398"/>
      <c r="K19" s="120" t="s">
        <v>24</v>
      </c>
      <c r="L19" s="316"/>
      <c r="M19" s="249"/>
      <c r="N19" s="210"/>
      <c r="O19" s="347"/>
      <c r="P19" s="347"/>
      <c r="Q19" s="347"/>
      <c r="R19" s="347"/>
      <c r="S19" s="347"/>
      <c r="T19" s="347"/>
      <c r="U19" s="347"/>
      <c r="V19" s="347"/>
      <c r="W19" s="89"/>
      <c r="X19" s="20">
        <v>0</v>
      </c>
      <c r="Z19" s="54"/>
    </row>
    <row r="20" spans="1:26">
      <c r="A20" s="70">
        <f t="shared" ref="A20:B20" si="11">+A19</f>
        <v>2020018</v>
      </c>
      <c r="B20" s="74"/>
      <c r="C20" s="404"/>
      <c r="D20" s="402"/>
      <c r="E20" s="402"/>
      <c r="F20" s="402"/>
      <c r="G20" s="402"/>
      <c r="H20" s="400"/>
      <c r="I20" s="402"/>
      <c r="J20" s="398"/>
      <c r="K20" s="121" t="s">
        <v>25</v>
      </c>
      <c r="L20" s="312">
        <f t="shared" ref="L20:Q20" si="12">SUM(L21:L27)</f>
        <v>417588</v>
      </c>
      <c r="M20" s="307">
        <f t="shared" si="12"/>
        <v>413758</v>
      </c>
      <c r="N20" s="227">
        <f t="shared" si="12"/>
        <v>413602</v>
      </c>
      <c r="O20" s="348">
        <f t="shared" si="12"/>
        <v>415871</v>
      </c>
      <c r="P20" s="348">
        <f t="shared" si="12"/>
        <v>413602</v>
      </c>
      <c r="Q20" s="348">
        <f t="shared" si="12"/>
        <v>412949</v>
      </c>
      <c r="R20" s="348">
        <f>SUM(R21:R27)</f>
        <v>406886</v>
      </c>
      <c r="S20" s="348">
        <f t="shared" ref="S20:V20" si="13">SUM(S21:S27)</f>
        <v>407943</v>
      </c>
      <c r="T20" s="348">
        <f t="shared" si="13"/>
        <v>413353</v>
      </c>
      <c r="U20" s="348">
        <f t="shared" si="13"/>
        <v>413198</v>
      </c>
      <c r="V20" s="348">
        <f t="shared" si="13"/>
        <v>412728</v>
      </c>
      <c r="W20" s="96">
        <f>SUM(W21:W27)</f>
        <v>388388</v>
      </c>
      <c r="X20" s="33">
        <f>SUM(L20:W20)</f>
        <v>4929866</v>
      </c>
      <c r="Z20" s="54"/>
    </row>
    <row r="21" spans="1:26">
      <c r="A21" s="70">
        <f t="shared" ref="A21:B21" si="14">+A20</f>
        <v>2020018</v>
      </c>
      <c r="B21" s="74"/>
      <c r="C21" s="404"/>
      <c r="D21" s="402"/>
      <c r="E21" s="402"/>
      <c r="F21" s="402"/>
      <c r="G21" s="402"/>
      <c r="H21" s="400"/>
      <c r="I21" s="402"/>
      <c r="J21" s="398"/>
      <c r="K21" s="122" t="s">
        <v>26</v>
      </c>
      <c r="L21" s="313">
        <v>355200</v>
      </c>
      <c r="M21" s="313">
        <v>356800</v>
      </c>
      <c r="N21" s="339">
        <v>355600</v>
      </c>
      <c r="O21" s="339">
        <v>356800</v>
      </c>
      <c r="P21" s="339">
        <v>355600</v>
      </c>
      <c r="Q21" s="339">
        <v>356000</v>
      </c>
      <c r="R21" s="339">
        <v>350000</v>
      </c>
      <c r="S21" s="339">
        <v>350000</v>
      </c>
      <c r="T21" s="339">
        <v>356400</v>
      </c>
      <c r="U21" s="339">
        <v>355200</v>
      </c>
      <c r="V21" s="339">
        <v>355600</v>
      </c>
      <c r="W21" s="34">
        <v>326000</v>
      </c>
      <c r="X21" s="20">
        <f t="shared" ref="X21:X27" si="15">SUM(L21:W21)</f>
        <v>4229200</v>
      </c>
      <c r="Z21" s="54"/>
    </row>
    <row r="22" spans="1:26" ht="12" customHeight="1">
      <c r="A22" s="70">
        <f t="shared" ref="A22:B22" si="16">+A21</f>
        <v>2020018</v>
      </c>
      <c r="B22" s="74"/>
      <c r="C22" s="404"/>
      <c r="D22" s="402"/>
      <c r="E22" s="402"/>
      <c r="F22" s="402"/>
      <c r="G22" s="402"/>
      <c r="H22" s="400"/>
      <c r="I22" s="402"/>
      <c r="J22" s="398"/>
      <c r="K22" s="122" t="s">
        <v>33</v>
      </c>
      <c r="L22" s="309"/>
      <c r="M22" s="309"/>
      <c r="N22" s="203"/>
      <c r="O22" s="203"/>
      <c r="P22" s="203"/>
      <c r="Q22" s="203"/>
      <c r="R22" s="203"/>
      <c r="S22" s="203"/>
      <c r="T22" s="203"/>
      <c r="U22" s="203"/>
      <c r="V22" s="203"/>
      <c r="W22" s="162"/>
      <c r="X22" s="20">
        <f t="shared" si="15"/>
        <v>0</v>
      </c>
      <c r="Z22" s="54"/>
    </row>
    <row r="23" spans="1:26">
      <c r="A23" s="70">
        <f t="shared" ref="A23:B23" si="17">+A22</f>
        <v>2020018</v>
      </c>
      <c r="B23" s="74"/>
      <c r="C23" s="404"/>
      <c r="D23" s="402"/>
      <c r="E23" s="402"/>
      <c r="F23" s="402"/>
      <c r="G23" s="402"/>
      <c r="H23" s="400"/>
      <c r="I23" s="402"/>
      <c r="J23" s="398"/>
      <c r="K23" s="122" t="s">
        <v>27</v>
      </c>
      <c r="L23" s="290">
        <v>8528</v>
      </c>
      <c r="M23" s="290">
        <v>3138</v>
      </c>
      <c r="N23" s="212">
        <v>4184</v>
      </c>
      <c r="O23" s="212">
        <v>5230</v>
      </c>
      <c r="P23" s="212">
        <v>4184</v>
      </c>
      <c r="Q23" s="212">
        <v>3138</v>
      </c>
      <c r="R23" s="212">
        <v>3138</v>
      </c>
      <c r="S23" s="212">
        <v>4184</v>
      </c>
      <c r="T23" s="212">
        <v>3138</v>
      </c>
      <c r="U23" s="212">
        <v>4184</v>
      </c>
      <c r="V23" s="212">
        <v>3138</v>
      </c>
      <c r="W23" s="83">
        <v>8528</v>
      </c>
      <c r="X23" s="20">
        <f t="shared" si="15"/>
        <v>54712</v>
      </c>
      <c r="Z23" s="54"/>
    </row>
    <row r="24" spans="1:26">
      <c r="A24" s="70">
        <f t="shared" ref="A24:B24" si="18">+A23</f>
        <v>2020018</v>
      </c>
      <c r="B24" s="74"/>
      <c r="C24" s="404"/>
      <c r="D24" s="402"/>
      <c r="E24" s="402"/>
      <c r="F24" s="402"/>
      <c r="G24" s="402"/>
      <c r="H24" s="400"/>
      <c r="I24" s="402"/>
      <c r="J24" s="398"/>
      <c r="K24" s="122" t="s">
        <v>28</v>
      </c>
      <c r="L24" s="310">
        <v>17100</v>
      </c>
      <c r="M24" s="310">
        <v>17100</v>
      </c>
      <c r="N24" s="337">
        <v>17100</v>
      </c>
      <c r="O24" s="337">
        <v>17100</v>
      </c>
      <c r="P24" s="337">
        <v>17100</v>
      </c>
      <c r="Q24" s="337">
        <v>17100</v>
      </c>
      <c r="R24" s="337">
        <v>17100</v>
      </c>
      <c r="S24" s="337">
        <v>17100</v>
      </c>
      <c r="T24" s="337">
        <v>17100</v>
      </c>
      <c r="U24" s="337">
        <v>17100</v>
      </c>
      <c r="V24" s="337">
        <v>17100</v>
      </c>
      <c r="W24" s="34">
        <v>17100</v>
      </c>
      <c r="X24" s="20">
        <f t="shared" si="15"/>
        <v>205200</v>
      </c>
      <c r="Y24" s="105"/>
      <c r="Z24" s="54"/>
    </row>
    <row r="25" spans="1:26">
      <c r="A25" s="70">
        <f t="shared" ref="A25:B25" si="19">+A24</f>
        <v>2020018</v>
      </c>
      <c r="B25" s="74"/>
      <c r="C25" s="404"/>
      <c r="D25" s="402"/>
      <c r="E25" s="402"/>
      <c r="F25" s="402"/>
      <c r="G25" s="402"/>
      <c r="H25" s="400"/>
      <c r="I25" s="402"/>
      <c r="J25" s="398"/>
      <c r="K25" s="122" t="s">
        <v>29</v>
      </c>
      <c r="L25" s="310">
        <v>32940</v>
      </c>
      <c r="M25" s="310">
        <v>32940</v>
      </c>
      <c r="N25" s="337">
        <v>32940</v>
      </c>
      <c r="O25" s="337">
        <v>32940</v>
      </c>
      <c r="P25" s="337">
        <v>32940</v>
      </c>
      <c r="Q25" s="337">
        <v>32940</v>
      </c>
      <c r="R25" s="337">
        <v>32940</v>
      </c>
      <c r="S25" s="337">
        <v>32940</v>
      </c>
      <c r="T25" s="337">
        <v>32940</v>
      </c>
      <c r="U25" s="337">
        <v>32940</v>
      </c>
      <c r="V25" s="337">
        <v>32940</v>
      </c>
      <c r="W25" s="34">
        <v>32940</v>
      </c>
      <c r="X25" s="20">
        <f t="shared" si="15"/>
        <v>395280</v>
      </c>
      <c r="Y25" s="105"/>
      <c r="Z25" s="54"/>
    </row>
    <row r="26" spans="1:26">
      <c r="A26" s="70">
        <f t="shared" ref="A26:B26" si="20">+A25</f>
        <v>2020018</v>
      </c>
      <c r="B26" s="74"/>
      <c r="C26" s="404"/>
      <c r="D26" s="402"/>
      <c r="E26" s="402"/>
      <c r="F26" s="402"/>
      <c r="G26" s="402"/>
      <c r="H26" s="400"/>
      <c r="I26" s="402"/>
      <c r="J26" s="398"/>
      <c r="K26" s="122" t="s">
        <v>30</v>
      </c>
      <c r="L26" s="310">
        <v>1819</v>
      </c>
      <c r="M26" s="310">
        <v>1800</v>
      </c>
      <c r="N26" s="337">
        <v>1799</v>
      </c>
      <c r="O26" s="337">
        <v>1810</v>
      </c>
      <c r="P26" s="337">
        <v>1799</v>
      </c>
      <c r="Q26" s="337">
        <v>1796</v>
      </c>
      <c r="R26" s="337">
        <v>1766</v>
      </c>
      <c r="S26" s="337">
        <v>1771</v>
      </c>
      <c r="T26" s="337">
        <v>1798</v>
      </c>
      <c r="U26" s="337">
        <v>1797</v>
      </c>
      <c r="V26" s="337">
        <v>1881</v>
      </c>
      <c r="W26" s="34">
        <v>1819</v>
      </c>
      <c r="X26" s="20">
        <f t="shared" si="15"/>
        <v>21655</v>
      </c>
      <c r="Y26" s="105"/>
      <c r="Z26" s="54"/>
    </row>
    <row r="27" spans="1:26">
      <c r="A27" s="70">
        <f t="shared" ref="A27:B27" si="21">+A26</f>
        <v>2020018</v>
      </c>
      <c r="B27" s="74"/>
      <c r="C27" s="404"/>
      <c r="D27" s="402"/>
      <c r="E27" s="402"/>
      <c r="F27" s="402"/>
      <c r="G27" s="402"/>
      <c r="H27" s="400"/>
      <c r="I27" s="402"/>
      <c r="J27" s="398"/>
      <c r="K27" s="122" t="s">
        <v>31</v>
      </c>
      <c r="L27" s="311">
        <v>2001</v>
      </c>
      <c r="M27" s="311">
        <v>1980</v>
      </c>
      <c r="N27" s="338">
        <v>1979</v>
      </c>
      <c r="O27" s="338">
        <v>1991</v>
      </c>
      <c r="P27" s="338">
        <v>1979</v>
      </c>
      <c r="Q27" s="338">
        <v>1975</v>
      </c>
      <c r="R27" s="338">
        <v>1942</v>
      </c>
      <c r="S27" s="338">
        <v>1948</v>
      </c>
      <c r="T27" s="338">
        <v>1977</v>
      </c>
      <c r="U27" s="338">
        <v>1977</v>
      </c>
      <c r="V27" s="338">
        <v>2069</v>
      </c>
      <c r="W27" s="35">
        <v>2001</v>
      </c>
      <c r="X27" s="20">
        <f t="shared" si="15"/>
        <v>23819</v>
      </c>
      <c r="Z27" s="54"/>
    </row>
    <row r="28" spans="1:26">
      <c r="A28" s="70">
        <f t="shared" ref="A28:B28" si="22">+A27</f>
        <v>2020018</v>
      </c>
      <c r="B28" s="74"/>
      <c r="C28" s="405"/>
      <c r="D28" s="403"/>
      <c r="E28" s="403"/>
      <c r="F28" s="403"/>
      <c r="G28" s="403"/>
      <c r="H28" s="401"/>
      <c r="I28" s="403"/>
      <c r="J28" s="399"/>
      <c r="K28" s="123" t="s">
        <v>32</v>
      </c>
      <c r="L28" s="250">
        <f t="shared" ref="L28:Q28" si="23">L17-L20</f>
        <v>112412</v>
      </c>
      <c r="M28" s="251">
        <f t="shared" si="23"/>
        <v>116242</v>
      </c>
      <c r="N28" s="267">
        <f t="shared" si="23"/>
        <v>116398</v>
      </c>
      <c r="O28" s="344">
        <f t="shared" si="23"/>
        <v>114129</v>
      </c>
      <c r="P28" s="344">
        <f t="shared" si="23"/>
        <v>116398</v>
      </c>
      <c r="Q28" s="344">
        <f t="shared" si="23"/>
        <v>117051</v>
      </c>
      <c r="R28" s="344">
        <f>R17-R20</f>
        <v>123114</v>
      </c>
      <c r="S28" s="344">
        <f t="shared" ref="S28:V28" si="24">S17-S20</f>
        <v>115437</v>
      </c>
      <c r="T28" s="344">
        <f t="shared" si="24"/>
        <v>116647</v>
      </c>
      <c r="U28" s="344">
        <f t="shared" si="24"/>
        <v>116802</v>
      </c>
      <c r="V28" s="344">
        <f t="shared" si="24"/>
        <v>117272</v>
      </c>
      <c r="W28" s="97">
        <f>W17-W20</f>
        <v>141612</v>
      </c>
      <c r="X28" s="24">
        <f>X17-X20</f>
        <v>1423514</v>
      </c>
      <c r="Z28" s="54"/>
    </row>
    <row r="29" spans="1:26" ht="12.75" customHeight="1">
      <c r="A29" s="69">
        <v>2013008</v>
      </c>
      <c r="C29" s="433">
        <f t="shared" ref="C29" si="25">C17+1</f>
        <v>3</v>
      </c>
      <c r="D29" s="432" t="s">
        <v>34</v>
      </c>
      <c r="E29" s="432"/>
      <c r="F29" s="432"/>
      <c r="G29" s="432"/>
      <c r="H29" s="431"/>
      <c r="I29" s="432" t="s">
        <v>71</v>
      </c>
      <c r="J29" s="397" t="s">
        <v>56</v>
      </c>
      <c r="K29" s="124" t="s">
        <v>22</v>
      </c>
      <c r="L29" s="242">
        <f t="shared" ref="L29:V29" si="26">L30+L31</f>
        <v>790000</v>
      </c>
      <c r="M29" s="243">
        <f t="shared" si="26"/>
        <v>790000</v>
      </c>
      <c r="N29" s="272">
        <f t="shared" si="26"/>
        <v>790000</v>
      </c>
      <c r="O29" s="272">
        <f t="shared" si="26"/>
        <v>790000</v>
      </c>
      <c r="P29" s="352">
        <f t="shared" si="26"/>
        <v>790000</v>
      </c>
      <c r="Q29" s="352">
        <f t="shared" si="26"/>
        <v>790000</v>
      </c>
      <c r="R29" s="352">
        <f>R30+R31</f>
        <v>790000</v>
      </c>
      <c r="S29" s="352">
        <f t="shared" si="26"/>
        <v>790000</v>
      </c>
      <c r="T29" s="352">
        <f t="shared" si="26"/>
        <v>790000</v>
      </c>
      <c r="U29" s="352">
        <f t="shared" si="26"/>
        <v>790000</v>
      </c>
      <c r="V29" s="352">
        <f t="shared" si="26"/>
        <v>790000</v>
      </c>
      <c r="W29" s="99">
        <f>W30+W31</f>
        <v>790000</v>
      </c>
      <c r="X29" s="23">
        <f>SUM(L29:W29)</f>
        <v>9480000</v>
      </c>
      <c r="Z29" s="54"/>
    </row>
    <row r="30" spans="1:26">
      <c r="A30" s="70">
        <f t="shared" ref="A30:B40" si="27">+A29</f>
        <v>2013008</v>
      </c>
      <c r="B30" s="74"/>
      <c r="C30" s="404"/>
      <c r="D30" s="402"/>
      <c r="E30" s="402"/>
      <c r="F30" s="402"/>
      <c r="G30" s="402"/>
      <c r="H30" s="400"/>
      <c r="I30" s="402"/>
      <c r="J30" s="398"/>
      <c r="K30" s="175" t="s">
        <v>23</v>
      </c>
      <c r="L30" s="309">
        <v>790000</v>
      </c>
      <c r="M30" s="309">
        <v>790000</v>
      </c>
      <c r="N30" s="203">
        <v>790000</v>
      </c>
      <c r="O30" s="203">
        <v>790000</v>
      </c>
      <c r="P30" s="203">
        <v>790000</v>
      </c>
      <c r="Q30" s="203">
        <v>790000</v>
      </c>
      <c r="R30" s="203">
        <v>790000</v>
      </c>
      <c r="S30" s="203">
        <v>790000</v>
      </c>
      <c r="T30" s="203">
        <v>790000</v>
      </c>
      <c r="U30" s="203">
        <v>790000</v>
      </c>
      <c r="V30" s="203">
        <v>790000</v>
      </c>
      <c r="W30" s="162">
        <v>790000</v>
      </c>
      <c r="X30" s="20">
        <f>SUM(L30:W30)</f>
        <v>9480000</v>
      </c>
      <c r="Y30" s="105"/>
      <c r="Z30" s="54"/>
    </row>
    <row r="31" spans="1:26">
      <c r="A31" s="70">
        <f t="shared" si="27"/>
        <v>2013008</v>
      </c>
      <c r="B31" s="74"/>
      <c r="C31" s="404"/>
      <c r="D31" s="402"/>
      <c r="E31" s="402"/>
      <c r="F31" s="402"/>
      <c r="G31" s="402"/>
      <c r="H31" s="400"/>
      <c r="I31" s="402"/>
      <c r="J31" s="398"/>
      <c r="K31" s="120" t="s">
        <v>24</v>
      </c>
      <c r="L31" s="239"/>
      <c r="M31" s="290"/>
      <c r="N31" s="212"/>
      <c r="O31" s="224"/>
      <c r="P31" s="224"/>
      <c r="Q31" s="224"/>
      <c r="R31" s="224"/>
      <c r="S31" s="224"/>
      <c r="T31" s="224"/>
      <c r="U31" s="224"/>
      <c r="V31" s="224"/>
      <c r="W31" s="89"/>
      <c r="X31" s="20">
        <v>0</v>
      </c>
      <c r="Z31" s="54"/>
    </row>
    <row r="32" spans="1:26">
      <c r="A32" s="70">
        <f t="shared" si="27"/>
        <v>2013008</v>
      </c>
      <c r="B32" s="74"/>
      <c r="C32" s="404"/>
      <c r="D32" s="402"/>
      <c r="E32" s="402"/>
      <c r="F32" s="402"/>
      <c r="G32" s="402"/>
      <c r="H32" s="400"/>
      <c r="I32" s="402"/>
      <c r="J32" s="398"/>
      <c r="K32" s="121" t="s">
        <v>25</v>
      </c>
      <c r="L32" s="312">
        <f t="shared" ref="L32:V32" si="28">SUM(L33:L39)</f>
        <v>516213</v>
      </c>
      <c r="M32" s="307">
        <f t="shared" si="28"/>
        <v>504087</v>
      </c>
      <c r="N32" s="227">
        <f t="shared" si="28"/>
        <v>503764</v>
      </c>
      <c r="O32" s="348">
        <f t="shared" si="28"/>
        <v>514970</v>
      </c>
      <c r="P32" s="348">
        <f t="shared" si="28"/>
        <v>498283</v>
      </c>
      <c r="Q32" s="348">
        <f t="shared" si="28"/>
        <v>504857</v>
      </c>
      <c r="R32" s="348">
        <f>SUM(R33:R39)</f>
        <v>522851</v>
      </c>
      <c r="S32" s="348">
        <f t="shared" si="28"/>
        <v>500524</v>
      </c>
      <c r="T32" s="348">
        <f t="shared" si="28"/>
        <v>544683</v>
      </c>
      <c r="U32" s="348">
        <f t="shared" si="28"/>
        <v>505005</v>
      </c>
      <c r="V32" s="348">
        <f t="shared" si="28"/>
        <v>503940</v>
      </c>
      <c r="W32" s="96">
        <f>SUM(W33:W39)</f>
        <v>483746</v>
      </c>
      <c r="X32" s="33">
        <f>SUM(L32:W32)</f>
        <v>6102923</v>
      </c>
      <c r="Z32" s="54"/>
    </row>
    <row r="33" spans="1:26">
      <c r="A33" s="70">
        <f t="shared" si="27"/>
        <v>2013008</v>
      </c>
      <c r="B33" s="74"/>
      <c r="C33" s="404"/>
      <c r="D33" s="402"/>
      <c r="E33" s="402"/>
      <c r="F33" s="402"/>
      <c r="G33" s="402"/>
      <c r="H33" s="400"/>
      <c r="I33" s="402"/>
      <c r="J33" s="398"/>
      <c r="K33" s="122" t="s">
        <v>26</v>
      </c>
      <c r="L33" s="313">
        <v>433200</v>
      </c>
      <c r="M33" s="313">
        <v>421200</v>
      </c>
      <c r="N33" s="339">
        <v>424336</v>
      </c>
      <c r="O33" s="339">
        <v>437601</v>
      </c>
      <c r="P33" s="339">
        <v>420000</v>
      </c>
      <c r="Q33" s="339">
        <v>423200</v>
      </c>
      <c r="R33" s="339">
        <v>441007</v>
      </c>
      <c r="S33" s="339">
        <v>420000</v>
      </c>
      <c r="T33" s="339">
        <v>461524</v>
      </c>
      <c r="U33" s="339">
        <v>423200</v>
      </c>
      <c r="V33" s="339">
        <v>423200</v>
      </c>
      <c r="W33" s="34">
        <v>400733</v>
      </c>
      <c r="X33" s="20">
        <f t="shared" ref="X33:X39" si="29">SUM(L33:W33)</f>
        <v>5129201</v>
      </c>
      <c r="Y33" s="105"/>
      <c r="Z33" s="54"/>
    </row>
    <row r="34" spans="1:26" ht="12" customHeight="1">
      <c r="A34" s="70">
        <f t="shared" si="27"/>
        <v>2013008</v>
      </c>
      <c r="B34" s="74"/>
      <c r="C34" s="404"/>
      <c r="D34" s="402"/>
      <c r="E34" s="402"/>
      <c r="F34" s="402"/>
      <c r="G34" s="402"/>
      <c r="H34" s="400"/>
      <c r="I34" s="402"/>
      <c r="J34" s="398"/>
      <c r="K34" s="174" t="s">
        <v>33</v>
      </c>
      <c r="L34" s="309"/>
      <c r="M34" s="309"/>
      <c r="N34" s="203"/>
      <c r="O34" s="203"/>
      <c r="P34" s="203"/>
      <c r="Q34" s="203"/>
      <c r="R34" s="203"/>
      <c r="S34" s="203"/>
      <c r="T34" s="203"/>
      <c r="U34" s="203"/>
      <c r="V34" s="203"/>
      <c r="W34" s="162"/>
      <c r="X34" s="20">
        <f t="shared" si="29"/>
        <v>0</v>
      </c>
      <c r="Y34" s="105"/>
      <c r="Z34" s="54"/>
    </row>
    <row r="35" spans="1:26">
      <c r="A35" s="70">
        <f t="shared" si="27"/>
        <v>2013008</v>
      </c>
      <c r="B35" s="74"/>
      <c r="C35" s="404"/>
      <c r="D35" s="402"/>
      <c r="E35" s="402"/>
      <c r="F35" s="402"/>
      <c r="G35" s="402"/>
      <c r="H35" s="400"/>
      <c r="I35" s="402"/>
      <c r="J35" s="398"/>
      <c r="K35" s="122" t="s">
        <v>27</v>
      </c>
      <c r="L35" s="290">
        <v>17600</v>
      </c>
      <c r="M35" s="290">
        <v>17600</v>
      </c>
      <c r="N35" s="212">
        <v>14144</v>
      </c>
      <c r="O35" s="212">
        <v>11968</v>
      </c>
      <c r="P35" s="212">
        <v>13056</v>
      </c>
      <c r="Q35" s="212">
        <v>11968</v>
      </c>
      <c r="R35" s="212">
        <v>11968</v>
      </c>
      <c r="S35" s="212">
        <v>10880</v>
      </c>
      <c r="T35" s="212">
        <v>13056</v>
      </c>
      <c r="U35" s="212">
        <v>12114</v>
      </c>
      <c r="V35" s="212">
        <v>10880</v>
      </c>
      <c r="W35" s="83">
        <v>17600</v>
      </c>
      <c r="X35" s="20">
        <f t="shared" si="29"/>
        <v>162834</v>
      </c>
      <c r="Y35" s="105"/>
      <c r="Z35" s="54"/>
    </row>
    <row r="36" spans="1:26">
      <c r="A36" s="70">
        <f t="shared" si="27"/>
        <v>2013008</v>
      </c>
      <c r="B36" s="74"/>
      <c r="C36" s="404"/>
      <c r="D36" s="402"/>
      <c r="E36" s="402"/>
      <c r="F36" s="402"/>
      <c r="G36" s="402"/>
      <c r="H36" s="400"/>
      <c r="I36" s="402"/>
      <c r="J36" s="398"/>
      <c r="K36" s="122" t="s">
        <v>28</v>
      </c>
      <c r="L36" s="310">
        <v>23165</v>
      </c>
      <c r="M36" s="310">
        <v>23165</v>
      </c>
      <c r="N36" s="337">
        <v>23165</v>
      </c>
      <c r="O36" s="337">
        <v>23165</v>
      </c>
      <c r="P36" s="337">
        <v>23165</v>
      </c>
      <c r="Q36" s="337">
        <v>24860</v>
      </c>
      <c r="R36" s="337">
        <v>24860</v>
      </c>
      <c r="S36" s="337">
        <v>24860</v>
      </c>
      <c r="T36" s="337">
        <v>24860</v>
      </c>
      <c r="U36" s="337">
        <v>24860</v>
      </c>
      <c r="V36" s="337">
        <v>24860</v>
      </c>
      <c r="W36" s="34">
        <v>23165</v>
      </c>
      <c r="X36" s="20">
        <f t="shared" si="29"/>
        <v>288150</v>
      </c>
      <c r="Y36" s="105"/>
      <c r="Z36" s="54"/>
    </row>
    <row r="37" spans="1:26">
      <c r="A37" s="70">
        <f t="shared" si="27"/>
        <v>2013008</v>
      </c>
      <c r="B37" s="74"/>
      <c r="C37" s="404"/>
      <c r="D37" s="402"/>
      <c r="E37" s="402"/>
      <c r="F37" s="402"/>
      <c r="G37" s="402"/>
      <c r="H37" s="400"/>
      <c r="I37" s="402"/>
      <c r="J37" s="398"/>
      <c r="K37" s="122" t="s">
        <v>29</v>
      </c>
      <c r="L37" s="310">
        <v>37515</v>
      </c>
      <c r="M37" s="310">
        <v>37515</v>
      </c>
      <c r="N37" s="337">
        <v>37515</v>
      </c>
      <c r="O37" s="337">
        <v>37515</v>
      </c>
      <c r="P37" s="337">
        <v>37515</v>
      </c>
      <c r="Q37" s="337">
        <v>40260</v>
      </c>
      <c r="R37" s="337">
        <v>40260</v>
      </c>
      <c r="S37" s="337">
        <v>40260</v>
      </c>
      <c r="T37" s="337">
        <v>40260</v>
      </c>
      <c r="U37" s="337">
        <v>40260</v>
      </c>
      <c r="V37" s="337">
        <v>40260</v>
      </c>
      <c r="W37" s="34">
        <v>37515</v>
      </c>
      <c r="X37" s="20">
        <f t="shared" si="29"/>
        <v>466650</v>
      </c>
      <c r="Y37" s="105"/>
      <c r="Z37" s="54"/>
    </row>
    <row r="38" spans="1:26">
      <c r="A38" s="70">
        <f t="shared" si="27"/>
        <v>2013008</v>
      </c>
      <c r="B38" s="74"/>
      <c r="C38" s="404"/>
      <c r="D38" s="402"/>
      <c r="E38" s="402"/>
      <c r="F38" s="402"/>
      <c r="G38" s="402"/>
      <c r="H38" s="400"/>
      <c r="I38" s="402"/>
      <c r="J38" s="398"/>
      <c r="K38" s="122" t="s">
        <v>30</v>
      </c>
      <c r="L38" s="310">
        <v>2254</v>
      </c>
      <c r="M38" s="310">
        <v>2194</v>
      </c>
      <c r="N38" s="337">
        <v>2192</v>
      </c>
      <c r="O38" s="337">
        <v>2248</v>
      </c>
      <c r="P38" s="337">
        <v>2165</v>
      </c>
      <c r="Q38" s="337">
        <v>2176</v>
      </c>
      <c r="R38" s="337">
        <v>2265</v>
      </c>
      <c r="S38" s="337">
        <v>2154</v>
      </c>
      <c r="T38" s="337">
        <v>2373</v>
      </c>
      <c r="U38" s="337">
        <v>2177</v>
      </c>
      <c r="V38" s="337">
        <v>2257</v>
      </c>
      <c r="W38" s="34">
        <v>2254</v>
      </c>
      <c r="X38" s="20">
        <f t="shared" si="29"/>
        <v>26709</v>
      </c>
      <c r="Y38" s="105"/>
      <c r="Z38" s="54"/>
    </row>
    <row r="39" spans="1:26">
      <c r="A39" s="70">
        <f t="shared" si="27"/>
        <v>2013008</v>
      </c>
      <c r="B39" s="74"/>
      <c r="C39" s="404"/>
      <c r="D39" s="402"/>
      <c r="E39" s="402"/>
      <c r="F39" s="402"/>
      <c r="G39" s="402"/>
      <c r="H39" s="400"/>
      <c r="I39" s="402"/>
      <c r="J39" s="398"/>
      <c r="K39" s="122" t="s">
        <v>31</v>
      </c>
      <c r="L39" s="311">
        <v>2479</v>
      </c>
      <c r="M39" s="311">
        <v>2413</v>
      </c>
      <c r="N39" s="338">
        <v>2412</v>
      </c>
      <c r="O39" s="338">
        <v>2473</v>
      </c>
      <c r="P39" s="338">
        <v>2382</v>
      </c>
      <c r="Q39" s="338">
        <v>2393</v>
      </c>
      <c r="R39" s="338">
        <v>2491</v>
      </c>
      <c r="S39" s="338">
        <v>2370</v>
      </c>
      <c r="T39" s="338">
        <v>2610</v>
      </c>
      <c r="U39" s="338">
        <v>2394</v>
      </c>
      <c r="V39" s="338">
        <v>2483</v>
      </c>
      <c r="W39" s="35">
        <v>2479</v>
      </c>
      <c r="X39" s="20">
        <f t="shared" si="29"/>
        <v>29379</v>
      </c>
      <c r="Y39" s="105"/>
      <c r="Z39" s="54"/>
    </row>
    <row r="40" spans="1:26">
      <c r="A40" s="70">
        <f t="shared" si="27"/>
        <v>2013008</v>
      </c>
      <c r="B40" s="74"/>
      <c r="C40" s="405"/>
      <c r="D40" s="403"/>
      <c r="E40" s="403"/>
      <c r="F40" s="403"/>
      <c r="G40" s="403"/>
      <c r="H40" s="401"/>
      <c r="I40" s="403"/>
      <c r="J40" s="399"/>
      <c r="K40" s="123" t="s">
        <v>32</v>
      </c>
      <c r="L40" s="250">
        <f t="shared" ref="L40:V40" si="30">L29-L32</f>
        <v>273787</v>
      </c>
      <c r="M40" s="251">
        <f t="shared" si="30"/>
        <v>285913</v>
      </c>
      <c r="N40" s="267">
        <f t="shared" si="30"/>
        <v>286236</v>
      </c>
      <c r="O40" s="344">
        <f t="shared" si="30"/>
        <v>275030</v>
      </c>
      <c r="P40" s="344">
        <f t="shared" si="30"/>
        <v>291717</v>
      </c>
      <c r="Q40" s="344">
        <f t="shared" si="30"/>
        <v>285143</v>
      </c>
      <c r="R40" s="344">
        <f>R29-R32</f>
        <v>267149</v>
      </c>
      <c r="S40" s="344">
        <f t="shared" si="30"/>
        <v>289476</v>
      </c>
      <c r="T40" s="344">
        <f t="shared" si="30"/>
        <v>245317</v>
      </c>
      <c r="U40" s="344">
        <f t="shared" si="30"/>
        <v>284995</v>
      </c>
      <c r="V40" s="344">
        <f t="shared" si="30"/>
        <v>286060</v>
      </c>
      <c r="W40" s="97">
        <f>W29-W32</f>
        <v>306254</v>
      </c>
      <c r="X40" s="24">
        <f>X29-X32</f>
        <v>3377077</v>
      </c>
      <c r="Y40" s="105"/>
      <c r="Z40" s="54"/>
    </row>
    <row r="41" spans="1:26" ht="12.75" customHeight="1">
      <c r="A41" s="69">
        <v>2025023</v>
      </c>
      <c r="C41" s="433">
        <f t="shared" ref="C41" si="31">C29+1</f>
        <v>4</v>
      </c>
      <c r="D41" s="432" t="s">
        <v>34</v>
      </c>
      <c r="E41" s="432"/>
      <c r="F41" s="432"/>
      <c r="G41" s="432"/>
      <c r="H41" s="431"/>
      <c r="I41" s="432" t="s">
        <v>71</v>
      </c>
      <c r="J41" s="397" t="s">
        <v>56</v>
      </c>
      <c r="K41" s="124" t="s">
        <v>22</v>
      </c>
      <c r="L41" s="242">
        <f t="shared" ref="L41:Q41" si="32">L42+L43</f>
        <v>0</v>
      </c>
      <c r="M41" s="243">
        <f t="shared" si="32"/>
        <v>0</v>
      </c>
      <c r="N41" s="272">
        <f t="shared" si="32"/>
        <v>0</v>
      </c>
      <c r="O41" s="272">
        <f t="shared" si="32"/>
        <v>0</v>
      </c>
      <c r="P41" s="352">
        <f t="shared" si="32"/>
        <v>0</v>
      </c>
      <c r="Q41" s="352">
        <f t="shared" si="32"/>
        <v>0</v>
      </c>
      <c r="R41" s="352">
        <f>R42+R43</f>
        <v>0</v>
      </c>
      <c r="S41" s="352">
        <f t="shared" ref="S41:V41" si="33">S42+S43</f>
        <v>0</v>
      </c>
      <c r="T41" s="352">
        <f t="shared" si="33"/>
        <v>0</v>
      </c>
      <c r="U41" s="352">
        <f t="shared" si="33"/>
        <v>780000</v>
      </c>
      <c r="V41" s="352">
        <f t="shared" si="33"/>
        <v>780000</v>
      </c>
      <c r="W41" s="99">
        <f>W42+W43</f>
        <v>780000</v>
      </c>
      <c r="X41" s="23">
        <f>SUM(L41:W41)</f>
        <v>2340000</v>
      </c>
      <c r="Z41" s="54"/>
    </row>
    <row r="42" spans="1:26">
      <c r="A42" s="70">
        <f t="shared" ref="A42:B42" si="34">+A41</f>
        <v>2025023</v>
      </c>
      <c r="B42" s="74">
        <f t="shared" si="34"/>
        <v>0</v>
      </c>
      <c r="C42" s="404"/>
      <c r="D42" s="402"/>
      <c r="E42" s="402"/>
      <c r="F42" s="402"/>
      <c r="G42" s="402"/>
      <c r="H42" s="400"/>
      <c r="I42" s="402"/>
      <c r="J42" s="398"/>
      <c r="K42" s="175" t="s">
        <v>23</v>
      </c>
      <c r="L42" s="309"/>
      <c r="M42" s="309"/>
      <c r="N42" s="203"/>
      <c r="O42" s="203"/>
      <c r="P42" s="203"/>
      <c r="Q42" s="203"/>
      <c r="R42" s="203"/>
      <c r="S42" s="203"/>
      <c r="T42" s="203"/>
      <c r="U42" s="203">
        <v>780000</v>
      </c>
      <c r="V42" s="203">
        <v>780000</v>
      </c>
      <c r="W42" s="162">
        <v>780000</v>
      </c>
      <c r="X42" s="20">
        <f>SUM(L42:W42)</f>
        <v>2340000</v>
      </c>
      <c r="Y42" s="105"/>
      <c r="Z42" s="54"/>
    </row>
    <row r="43" spans="1:26">
      <c r="A43" s="70">
        <f t="shared" ref="A43:B43" si="35">+A42</f>
        <v>2025023</v>
      </c>
      <c r="B43" s="74">
        <f t="shared" si="35"/>
        <v>0</v>
      </c>
      <c r="C43" s="404"/>
      <c r="D43" s="402"/>
      <c r="E43" s="402"/>
      <c r="F43" s="402"/>
      <c r="G43" s="402"/>
      <c r="H43" s="400"/>
      <c r="I43" s="402"/>
      <c r="J43" s="398"/>
      <c r="K43" s="120" t="s">
        <v>24</v>
      </c>
      <c r="L43" s="239"/>
      <c r="M43" s="290"/>
      <c r="N43" s="212"/>
      <c r="O43" s="224"/>
      <c r="P43" s="224"/>
      <c r="Q43" s="224"/>
      <c r="R43" s="224"/>
      <c r="S43" s="224"/>
      <c r="T43" s="224"/>
      <c r="U43" s="224"/>
      <c r="V43" s="224"/>
      <c r="W43" s="89"/>
      <c r="X43" s="20">
        <v>0</v>
      </c>
      <c r="Z43" s="54"/>
    </row>
    <row r="44" spans="1:26">
      <c r="A44" s="70">
        <f t="shared" ref="A44:B44" si="36">+A43</f>
        <v>2025023</v>
      </c>
      <c r="B44" s="74">
        <f t="shared" si="36"/>
        <v>0</v>
      </c>
      <c r="C44" s="404"/>
      <c r="D44" s="402"/>
      <c r="E44" s="402"/>
      <c r="F44" s="402"/>
      <c r="G44" s="402"/>
      <c r="H44" s="400"/>
      <c r="I44" s="402"/>
      <c r="J44" s="398"/>
      <c r="K44" s="121" t="s">
        <v>25</v>
      </c>
      <c r="L44" s="312">
        <f t="shared" ref="L44:Q44" si="37">SUM(L45:L51)</f>
        <v>0</v>
      </c>
      <c r="M44" s="307">
        <f t="shared" si="37"/>
        <v>0</v>
      </c>
      <c r="N44" s="227">
        <f t="shared" si="37"/>
        <v>0</v>
      </c>
      <c r="O44" s="348">
        <f t="shared" si="37"/>
        <v>0</v>
      </c>
      <c r="P44" s="348">
        <f t="shared" si="37"/>
        <v>0</v>
      </c>
      <c r="Q44" s="348">
        <f t="shared" si="37"/>
        <v>0</v>
      </c>
      <c r="R44" s="348">
        <f>SUM(R45:R51)</f>
        <v>0</v>
      </c>
      <c r="S44" s="348">
        <f t="shared" ref="S44:V44" si="38">SUM(S45:S51)</f>
        <v>0</v>
      </c>
      <c r="T44" s="348">
        <f t="shared" si="38"/>
        <v>0</v>
      </c>
      <c r="U44" s="348">
        <f t="shared" si="38"/>
        <v>508202</v>
      </c>
      <c r="V44" s="348">
        <f t="shared" si="38"/>
        <v>509446</v>
      </c>
      <c r="W44" s="96">
        <f>SUM(W45:W51)</f>
        <v>508253</v>
      </c>
      <c r="X44" s="33">
        <f>SUM(L44:W44)</f>
        <v>1525901</v>
      </c>
      <c r="Z44" s="54"/>
    </row>
    <row r="45" spans="1:26">
      <c r="A45" s="70">
        <f t="shared" ref="A45:B45" si="39">+A44</f>
        <v>2025023</v>
      </c>
      <c r="B45" s="74">
        <f t="shared" si="39"/>
        <v>0</v>
      </c>
      <c r="C45" s="404"/>
      <c r="D45" s="402"/>
      <c r="E45" s="402"/>
      <c r="F45" s="402"/>
      <c r="G45" s="402"/>
      <c r="H45" s="400"/>
      <c r="I45" s="402"/>
      <c r="J45" s="398"/>
      <c r="K45" s="122" t="s">
        <v>26</v>
      </c>
      <c r="L45" s="313"/>
      <c r="M45" s="313"/>
      <c r="N45" s="339"/>
      <c r="O45" s="339"/>
      <c r="P45" s="339"/>
      <c r="Q45" s="339"/>
      <c r="R45" s="339"/>
      <c r="S45" s="339"/>
      <c r="T45" s="339"/>
      <c r="U45" s="339">
        <v>437200</v>
      </c>
      <c r="V45" s="339">
        <v>435600</v>
      </c>
      <c r="W45" s="34">
        <v>430000</v>
      </c>
      <c r="X45" s="20">
        <f t="shared" ref="X45:X51" si="40">SUM(L45:W45)</f>
        <v>1302800</v>
      </c>
      <c r="Y45" s="105"/>
      <c r="Z45" s="54"/>
    </row>
    <row r="46" spans="1:26" ht="12" customHeight="1">
      <c r="A46" s="70">
        <f t="shared" ref="A46:B46" si="41">+A45</f>
        <v>2025023</v>
      </c>
      <c r="B46" s="74">
        <f t="shared" si="41"/>
        <v>0</v>
      </c>
      <c r="C46" s="404"/>
      <c r="D46" s="402"/>
      <c r="E46" s="402"/>
      <c r="F46" s="402"/>
      <c r="G46" s="402"/>
      <c r="H46" s="400"/>
      <c r="I46" s="402"/>
      <c r="J46" s="398"/>
      <c r="K46" s="174" t="s">
        <v>33</v>
      </c>
      <c r="L46" s="309"/>
      <c r="M46" s="309"/>
      <c r="N46" s="203"/>
      <c r="O46" s="203"/>
      <c r="P46" s="203"/>
      <c r="Q46" s="203"/>
      <c r="R46" s="203"/>
      <c r="S46" s="203"/>
      <c r="T46" s="203"/>
      <c r="U46" s="203"/>
      <c r="V46" s="203"/>
      <c r="W46" s="162"/>
      <c r="X46" s="20">
        <f t="shared" si="40"/>
        <v>0</v>
      </c>
      <c r="Y46" s="105"/>
      <c r="Z46" s="54"/>
    </row>
    <row r="47" spans="1:26">
      <c r="A47" s="70">
        <f t="shared" ref="A47:B47" si="42">+A46</f>
        <v>2025023</v>
      </c>
      <c r="B47" s="74">
        <f t="shared" si="42"/>
        <v>0</v>
      </c>
      <c r="C47" s="404"/>
      <c r="D47" s="402"/>
      <c r="E47" s="402"/>
      <c r="F47" s="402"/>
      <c r="G47" s="402"/>
      <c r="H47" s="400"/>
      <c r="I47" s="402"/>
      <c r="J47" s="398"/>
      <c r="K47" s="122" t="s">
        <v>27</v>
      </c>
      <c r="L47" s="290"/>
      <c r="M47" s="290"/>
      <c r="N47" s="212"/>
      <c r="O47" s="212"/>
      <c r="P47" s="212"/>
      <c r="Q47" s="212"/>
      <c r="R47" s="212"/>
      <c r="S47" s="212"/>
      <c r="T47" s="212"/>
      <c r="U47" s="212">
        <v>1278</v>
      </c>
      <c r="V47" s="212">
        <v>3928</v>
      </c>
      <c r="W47" s="83">
        <v>8400</v>
      </c>
      <c r="X47" s="20">
        <f t="shared" si="40"/>
        <v>13606</v>
      </c>
      <c r="Y47" s="105"/>
      <c r="Z47" s="54"/>
    </row>
    <row r="48" spans="1:26">
      <c r="A48" s="70">
        <f t="shared" ref="A48:B48" si="43">+A47</f>
        <v>2025023</v>
      </c>
      <c r="B48" s="74">
        <f t="shared" si="43"/>
        <v>0</v>
      </c>
      <c r="C48" s="404"/>
      <c r="D48" s="402"/>
      <c r="E48" s="402"/>
      <c r="F48" s="402"/>
      <c r="G48" s="402"/>
      <c r="H48" s="400"/>
      <c r="I48" s="402"/>
      <c r="J48" s="398"/>
      <c r="K48" s="122" t="s">
        <v>28</v>
      </c>
      <c r="L48" s="310"/>
      <c r="M48" s="310"/>
      <c r="N48" s="337"/>
      <c r="O48" s="337"/>
      <c r="P48" s="337"/>
      <c r="Q48" s="337"/>
      <c r="R48" s="337"/>
      <c r="S48" s="337"/>
      <c r="T48" s="337"/>
      <c r="U48" s="337">
        <v>24860</v>
      </c>
      <c r="V48" s="337">
        <v>24860</v>
      </c>
      <c r="W48" s="34">
        <v>24860</v>
      </c>
      <c r="X48" s="20">
        <f t="shared" si="40"/>
        <v>74580</v>
      </c>
      <c r="Y48" s="105"/>
      <c r="Z48" s="54"/>
    </row>
    <row r="49" spans="1:27">
      <c r="A49" s="70">
        <f t="shared" ref="A49:B49" si="44">+A48</f>
        <v>2025023</v>
      </c>
      <c r="B49" s="74">
        <f t="shared" si="44"/>
        <v>0</v>
      </c>
      <c r="C49" s="404"/>
      <c r="D49" s="402"/>
      <c r="E49" s="402"/>
      <c r="F49" s="402"/>
      <c r="G49" s="402"/>
      <c r="H49" s="400"/>
      <c r="I49" s="402"/>
      <c r="J49" s="398"/>
      <c r="K49" s="122" t="s">
        <v>29</v>
      </c>
      <c r="L49" s="310"/>
      <c r="M49" s="310"/>
      <c r="N49" s="337"/>
      <c r="O49" s="337"/>
      <c r="P49" s="337"/>
      <c r="Q49" s="337"/>
      <c r="R49" s="337"/>
      <c r="S49" s="337"/>
      <c r="T49" s="337"/>
      <c r="U49" s="337">
        <v>40260</v>
      </c>
      <c r="V49" s="337">
        <v>40260</v>
      </c>
      <c r="W49" s="34">
        <v>40260</v>
      </c>
      <c r="X49" s="20">
        <f t="shared" si="40"/>
        <v>120780</v>
      </c>
      <c r="Y49" s="105"/>
      <c r="Z49" s="54"/>
    </row>
    <row r="50" spans="1:27">
      <c r="A50" s="70">
        <f t="shared" ref="A50:B50" si="45">+A49</f>
        <v>2025023</v>
      </c>
      <c r="B50" s="74">
        <f t="shared" si="45"/>
        <v>0</v>
      </c>
      <c r="C50" s="404"/>
      <c r="D50" s="402"/>
      <c r="E50" s="402"/>
      <c r="F50" s="402"/>
      <c r="G50" s="402"/>
      <c r="H50" s="400"/>
      <c r="I50" s="402"/>
      <c r="J50" s="398"/>
      <c r="K50" s="122" t="s">
        <v>30</v>
      </c>
      <c r="L50" s="310"/>
      <c r="M50" s="310"/>
      <c r="N50" s="337"/>
      <c r="O50" s="337"/>
      <c r="P50" s="337"/>
      <c r="Q50" s="337"/>
      <c r="R50" s="337"/>
      <c r="S50" s="337"/>
      <c r="T50" s="337"/>
      <c r="U50" s="337">
        <v>2192</v>
      </c>
      <c r="V50" s="337">
        <v>2285</v>
      </c>
      <c r="W50" s="34">
        <v>2254</v>
      </c>
      <c r="X50" s="20">
        <f t="shared" si="40"/>
        <v>6731</v>
      </c>
      <c r="Y50" s="105"/>
      <c r="Z50" s="54"/>
    </row>
    <row r="51" spans="1:27">
      <c r="A51" s="70">
        <f t="shared" ref="A51:B51" si="46">+A50</f>
        <v>2025023</v>
      </c>
      <c r="B51" s="74">
        <f t="shared" si="46"/>
        <v>0</v>
      </c>
      <c r="C51" s="404"/>
      <c r="D51" s="402"/>
      <c r="E51" s="402"/>
      <c r="F51" s="402"/>
      <c r="G51" s="402"/>
      <c r="H51" s="400"/>
      <c r="I51" s="402"/>
      <c r="J51" s="398"/>
      <c r="K51" s="122" t="s">
        <v>31</v>
      </c>
      <c r="L51" s="311"/>
      <c r="M51" s="311"/>
      <c r="N51" s="338"/>
      <c r="O51" s="338"/>
      <c r="P51" s="338"/>
      <c r="Q51" s="338"/>
      <c r="R51" s="338"/>
      <c r="S51" s="338"/>
      <c r="T51" s="338"/>
      <c r="U51" s="338">
        <v>2412</v>
      </c>
      <c r="V51" s="338">
        <v>2513</v>
      </c>
      <c r="W51" s="35">
        <v>2479</v>
      </c>
      <c r="X51" s="20">
        <f t="shared" si="40"/>
        <v>7404</v>
      </c>
      <c r="Y51" s="105"/>
      <c r="Z51" s="54"/>
    </row>
    <row r="52" spans="1:27" ht="12.5" thickBot="1">
      <c r="A52" s="70">
        <f t="shared" ref="A52:B52" si="47">+A51</f>
        <v>2025023</v>
      </c>
      <c r="B52" s="74">
        <f t="shared" si="47"/>
        <v>0</v>
      </c>
      <c r="C52" s="405"/>
      <c r="D52" s="403"/>
      <c r="E52" s="403"/>
      <c r="F52" s="403"/>
      <c r="G52" s="403"/>
      <c r="H52" s="401"/>
      <c r="I52" s="403"/>
      <c r="J52" s="399"/>
      <c r="K52" s="123" t="s">
        <v>32</v>
      </c>
      <c r="L52" s="250">
        <f t="shared" ref="L52:Q52" si="48">L41-L44</f>
        <v>0</v>
      </c>
      <c r="M52" s="251">
        <f t="shared" si="48"/>
        <v>0</v>
      </c>
      <c r="N52" s="267">
        <f t="shared" si="48"/>
        <v>0</v>
      </c>
      <c r="O52" s="344">
        <f t="shared" si="48"/>
        <v>0</v>
      </c>
      <c r="P52" s="344">
        <f t="shared" si="48"/>
        <v>0</v>
      </c>
      <c r="Q52" s="344">
        <f t="shared" si="48"/>
        <v>0</v>
      </c>
      <c r="R52" s="344">
        <f>R41-R44</f>
        <v>0</v>
      </c>
      <c r="S52" s="344">
        <f t="shared" ref="S52:V52" si="49">S41-S44</f>
        <v>0</v>
      </c>
      <c r="T52" s="344">
        <f t="shared" si="49"/>
        <v>0</v>
      </c>
      <c r="U52" s="344">
        <f t="shared" si="49"/>
        <v>271798</v>
      </c>
      <c r="V52" s="344">
        <f t="shared" si="49"/>
        <v>270554</v>
      </c>
      <c r="W52" s="97">
        <f>W41-W44</f>
        <v>271747</v>
      </c>
      <c r="X52" s="24">
        <f>X41-X44</f>
        <v>814099</v>
      </c>
      <c r="Y52" s="105"/>
      <c r="Z52" s="54"/>
    </row>
    <row r="53" spans="1:27" s="1" customFormat="1" ht="12.5" thickTop="1">
      <c r="A53" s="70"/>
      <c r="B53" s="74"/>
      <c r="C53" s="488" t="str">
        <f>C2</f>
        <v>NI+C</v>
      </c>
      <c r="D53" s="489"/>
      <c r="E53" s="489"/>
      <c r="F53" s="489"/>
      <c r="G53" s="489"/>
      <c r="H53" s="489"/>
      <c r="I53" s="489"/>
      <c r="J53" s="490"/>
      <c r="K53" s="112" t="s">
        <v>19</v>
      </c>
      <c r="L53" s="318">
        <f>L5+L17+L29+L41</f>
        <v>1947060</v>
      </c>
      <c r="M53" s="318">
        <f>M5+M17+M29+M41</f>
        <v>1957920</v>
      </c>
      <c r="N53" s="318">
        <f t="shared" ref="N53:W53" si="50">N5+N17+N29+N41</f>
        <v>2004980</v>
      </c>
      <c r="O53" s="318">
        <f t="shared" si="50"/>
        <v>2023080</v>
      </c>
      <c r="P53" s="318">
        <f t="shared" si="50"/>
        <v>1972400</v>
      </c>
      <c r="Q53" s="318">
        <f t="shared" si="50"/>
        <v>1932580</v>
      </c>
      <c r="R53" s="318">
        <f t="shared" si="50"/>
        <v>1983260</v>
      </c>
      <c r="S53" s="318">
        <f t="shared" si="50"/>
        <v>1915100</v>
      </c>
      <c r="T53" s="318">
        <f t="shared" si="50"/>
        <v>1979640</v>
      </c>
      <c r="U53" s="333">
        <f>U5+U17+U29+U41</f>
        <v>2766880</v>
      </c>
      <c r="V53" s="333">
        <f t="shared" si="50"/>
        <v>2741540</v>
      </c>
      <c r="W53" s="318">
        <f t="shared" si="50"/>
        <v>2711278.888888889</v>
      </c>
      <c r="X53" s="58">
        <f>SUM(L53:W53)</f>
        <v>25935718.888888888</v>
      </c>
      <c r="Z53" s="54"/>
    </row>
    <row r="54" spans="1:27" s="1" customFormat="1">
      <c r="A54" s="68"/>
      <c r="B54" s="72"/>
      <c r="C54" s="421"/>
      <c r="D54" s="422"/>
      <c r="E54" s="422"/>
      <c r="F54" s="422"/>
      <c r="G54" s="422"/>
      <c r="H54" s="422"/>
      <c r="I54" s="422"/>
      <c r="J54" s="423"/>
      <c r="K54" s="113" t="s">
        <v>20</v>
      </c>
      <c r="L54" s="256">
        <f>L8+L20+L32+L44</f>
        <v>1430802</v>
      </c>
      <c r="M54" s="256">
        <f>M8+M20+M32+M44</f>
        <v>1407510</v>
      </c>
      <c r="N54" s="256">
        <f t="shared" ref="N54:W54" si="51">N8+N20+N32+N44</f>
        <v>1416521</v>
      </c>
      <c r="O54" s="256">
        <f t="shared" si="51"/>
        <v>1438714</v>
      </c>
      <c r="P54" s="256">
        <f t="shared" si="51"/>
        <v>1391316</v>
      </c>
      <c r="Q54" s="256">
        <f t="shared" si="51"/>
        <v>1389741</v>
      </c>
      <c r="R54" s="256">
        <f t="shared" si="51"/>
        <v>1447684</v>
      </c>
      <c r="S54" s="256">
        <f t="shared" si="51"/>
        <v>1361290</v>
      </c>
      <c r="T54" s="256">
        <f t="shared" si="51"/>
        <v>1457031</v>
      </c>
      <c r="U54" s="199">
        <f>U8+U20+U32+U44</f>
        <v>1919127</v>
      </c>
      <c r="V54" s="199">
        <f t="shared" si="51"/>
        <v>1905408</v>
      </c>
      <c r="W54" s="256">
        <f t="shared" si="51"/>
        <v>1859789.111111111</v>
      </c>
      <c r="X54" s="27">
        <f>SUM(L54:W54)</f>
        <v>18424933.111111112</v>
      </c>
      <c r="Z54" s="54"/>
    </row>
    <row r="55" spans="1:27" s="1" customFormat="1">
      <c r="A55" s="68"/>
      <c r="B55" s="72"/>
      <c r="C55" s="424"/>
      <c r="D55" s="425"/>
      <c r="E55" s="425"/>
      <c r="F55" s="425"/>
      <c r="G55" s="425"/>
      <c r="H55" s="425"/>
      <c r="I55" s="425"/>
      <c r="J55" s="426"/>
      <c r="K55" s="117" t="s">
        <v>21</v>
      </c>
      <c r="L55" s="261">
        <f>L53-L54</f>
        <v>516258</v>
      </c>
      <c r="M55" s="320">
        <f t="shared" ref="M55:N55" si="52">M53-M54</f>
        <v>550410</v>
      </c>
      <c r="N55" s="262">
        <f t="shared" si="52"/>
        <v>588459</v>
      </c>
      <c r="O55" s="262">
        <f>O53-O54</f>
        <v>584366</v>
      </c>
      <c r="P55" s="262">
        <f t="shared" ref="P55" si="53">P53-P54</f>
        <v>581084</v>
      </c>
      <c r="Q55" s="262">
        <f t="shared" ref="Q55" si="54">Q53-Q54</f>
        <v>542839</v>
      </c>
      <c r="R55" s="262">
        <f>R53-R54</f>
        <v>535576</v>
      </c>
      <c r="S55" s="262">
        <f t="shared" ref="S55" si="55">S53-S54</f>
        <v>553810</v>
      </c>
      <c r="T55" s="262">
        <f t="shared" ref="T55" si="56">T53-T54</f>
        <v>522609</v>
      </c>
      <c r="U55" s="262">
        <f>U53-U54</f>
        <v>847753</v>
      </c>
      <c r="V55" s="262">
        <f t="shared" ref="V55" si="57">V53-V54</f>
        <v>836132</v>
      </c>
      <c r="W55" s="145">
        <f t="shared" ref="W55" si="58">W53-W54</f>
        <v>851489.77777777798</v>
      </c>
      <c r="X55" s="28">
        <f>SUM(L55:W55)</f>
        <v>7510785.777777778</v>
      </c>
      <c r="Z55" s="54"/>
    </row>
    <row r="56" spans="1:27" s="9" customFormat="1" ht="14.75" customHeight="1">
      <c r="A56" s="68"/>
      <c r="B56" s="72"/>
      <c r="C56" s="32"/>
      <c r="D56" s="32"/>
      <c r="E56" s="32"/>
      <c r="F56" s="118"/>
      <c r="G56" s="32"/>
      <c r="H56" s="32"/>
      <c r="I56" s="32"/>
      <c r="J56" s="32"/>
      <c r="K56" s="108" t="s">
        <v>40</v>
      </c>
      <c r="L56" s="484">
        <f>SUM(L53:N53)</f>
        <v>5909960</v>
      </c>
      <c r="M56" s="485"/>
      <c r="N56" s="485"/>
      <c r="O56" s="486">
        <f>SUM(O53:Q53)</f>
        <v>5928060</v>
      </c>
      <c r="P56" s="485"/>
      <c r="Q56" s="485"/>
      <c r="R56" s="486">
        <f>SUM(R53:T53)</f>
        <v>5878000</v>
      </c>
      <c r="S56" s="485"/>
      <c r="T56" s="485"/>
      <c r="U56" s="486">
        <f>SUM(U53:W53)</f>
        <v>8219698.888888889</v>
      </c>
      <c r="V56" s="485"/>
      <c r="W56" s="487"/>
      <c r="X56" s="57">
        <f>SUM(L56:W56)</f>
        <v>25935718.888888888</v>
      </c>
      <c r="Z56" s="54"/>
      <c r="AA56" s="2"/>
    </row>
    <row r="57" spans="1:27" s="9" customFormat="1" ht="14.75" customHeight="1">
      <c r="A57" s="68"/>
      <c r="B57" s="72"/>
      <c r="C57" s="32"/>
      <c r="D57" s="32"/>
      <c r="E57" s="32"/>
      <c r="F57" s="118"/>
      <c r="G57" s="32"/>
      <c r="H57" s="32"/>
      <c r="I57" s="32"/>
      <c r="J57" s="32"/>
      <c r="K57" s="110" t="s">
        <v>41</v>
      </c>
      <c r="L57" s="408">
        <f>SUM(L55:N55)</f>
        <v>1655127</v>
      </c>
      <c r="M57" s="409"/>
      <c r="N57" s="409"/>
      <c r="O57" s="410">
        <f>SUM(O55:Q55)</f>
        <v>1708289</v>
      </c>
      <c r="P57" s="409"/>
      <c r="Q57" s="409"/>
      <c r="R57" s="410">
        <f>SUM(R55:T55)</f>
        <v>1611995</v>
      </c>
      <c r="S57" s="409"/>
      <c r="T57" s="409"/>
      <c r="U57" s="410">
        <f>SUM(U55:W55)</f>
        <v>2535374.777777778</v>
      </c>
      <c r="V57" s="409"/>
      <c r="W57" s="409"/>
      <c r="X57" s="56">
        <f>SUM(L57:W57)</f>
        <v>7510785.777777778</v>
      </c>
    </row>
  </sheetData>
  <mergeCells count="42">
    <mergeCell ref="H41:H52"/>
    <mergeCell ref="I41:I52"/>
    <mergeCell ref="J41:J52"/>
    <mergeCell ref="F17:F28"/>
    <mergeCell ref="G17:G28"/>
    <mergeCell ref="U57:W57"/>
    <mergeCell ref="L57:N57"/>
    <mergeCell ref="O57:Q57"/>
    <mergeCell ref="C53:J55"/>
    <mergeCell ref="L56:N56"/>
    <mergeCell ref="O56:Q56"/>
    <mergeCell ref="R56:T56"/>
    <mergeCell ref="U56:W56"/>
    <mergeCell ref="R57:T57"/>
    <mergeCell ref="C41:C52"/>
    <mergeCell ref="D41:D52"/>
    <mergeCell ref="E41:E52"/>
    <mergeCell ref="F41:F52"/>
    <mergeCell ref="G41:G52"/>
    <mergeCell ref="H5:H16"/>
    <mergeCell ref="G5:G16"/>
    <mergeCell ref="J5:J16"/>
    <mergeCell ref="I5:I16"/>
    <mergeCell ref="H17:H28"/>
    <mergeCell ref="I17:I28"/>
    <mergeCell ref="J17:J28"/>
    <mergeCell ref="C2:J4"/>
    <mergeCell ref="C29:C40"/>
    <mergeCell ref="D29:D40"/>
    <mergeCell ref="E29:E40"/>
    <mergeCell ref="F29:F40"/>
    <mergeCell ref="G29:G40"/>
    <mergeCell ref="H29:H40"/>
    <mergeCell ref="I29:I40"/>
    <mergeCell ref="C5:C16"/>
    <mergeCell ref="D5:D16"/>
    <mergeCell ref="E5:E16"/>
    <mergeCell ref="F5:F16"/>
    <mergeCell ref="J29:J40"/>
    <mergeCell ref="C17:C28"/>
    <mergeCell ref="D17:D28"/>
    <mergeCell ref="E17:E28"/>
  </mergeCells>
  <phoneticPr fontId="12"/>
  <printOptions horizontalCentered="1"/>
  <pageMargins left="0.70866141732283472" right="0.70866141732283472" top="0.74803149606299213" bottom="0.74803149606299213" header="0.31496062992125984" footer="0.31496062992125984"/>
  <pageSetup paperSize="8" scale="75" fitToHeight="0" orientation="landscape" r:id="rId1"/>
  <ignoredErrors>
    <ignoredError sqref="X4:X16 X29:X4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A33"/>
  <sheetViews>
    <sheetView showGridLines="0" zoomScale="80" zoomScaleNormal="80" zoomScaleSheetLayoutView="70" workbookViewId="0">
      <pane xSplit="11" ySplit="4" topLeftCell="L5" activePane="bottomRight" state="frozen"/>
      <selection pane="topRight" activeCell="L1" sqref="L1"/>
      <selection pane="bottomLeft" activeCell="A5" sqref="A5"/>
      <selection pane="bottomRight" activeCell="F5" sqref="F5:F28"/>
    </sheetView>
  </sheetViews>
  <sheetFormatPr defaultRowHeight="12"/>
  <cols>
    <col min="1" max="1" width="10" style="68" customWidth="1"/>
    <col min="2" max="2" width="10" style="72" customWidth="1"/>
    <col min="3" max="3" width="4.90625" style="32" customWidth="1"/>
    <col min="4" max="4" width="9" style="32" customWidth="1"/>
    <col min="5" max="5" width="5.08984375" style="32" customWidth="1"/>
    <col min="6" max="6" width="9.6328125" style="118" customWidth="1"/>
    <col min="7" max="7" width="12.453125" style="32" customWidth="1"/>
    <col min="8" max="8" width="11.90625" style="32" customWidth="1"/>
    <col min="9" max="9" width="11.08984375" style="32" customWidth="1"/>
    <col min="10" max="10" width="10" style="32" customWidth="1"/>
    <col min="11" max="11" width="10.90625" style="32" customWidth="1"/>
    <col min="12" max="23" width="13.08984375" style="32" customWidth="1"/>
    <col min="24" max="24" width="16.453125" style="32" customWidth="1"/>
    <col min="25" max="25" width="9.6328125" style="9" bestFit="1" customWidth="1"/>
    <col min="26" max="26" width="11" style="9" bestFit="1" customWidth="1"/>
    <col min="27" max="259" width="9" style="9"/>
    <col min="260" max="260" width="9.90625" style="9" customWidth="1"/>
    <col min="261" max="262" width="5.08984375" style="9" customWidth="1"/>
    <col min="263" max="263" width="9.6328125" style="9" customWidth="1"/>
    <col min="264" max="265" width="11.90625" style="9" customWidth="1"/>
    <col min="266" max="266" width="15.36328125" style="9" customWidth="1"/>
    <col min="267" max="267" width="10.90625" style="9" customWidth="1"/>
    <col min="268" max="278" width="13.36328125" style="9" customWidth="1"/>
    <col min="279" max="279" width="13.90625" style="9" customWidth="1"/>
    <col min="280" max="280" width="16.453125" style="9" customWidth="1"/>
    <col min="281" max="515" width="9" style="9"/>
    <col min="516" max="516" width="9.90625" style="9" customWidth="1"/>
    <col min="517" max="518" width="5.08984375" style="9" customWidth="1"/>
    <col min="519" max="519" width="9.6328125" style="9" customWidth="1"/>
    <col min="520" max="521" width="11.90625" style="9" customWidth="1"/>
    <col min="522" max="522" width="15.36328125" style="9" customWidth="1"/>
    <col min="523" max="523" width="10.90625" style="9" customWidth="1"/>
    <col min="524" max="534" width="13.36328125" style="9" customWidth="1"/>
    <col min="535" max="535" width="13.90625" style="9" customWidth="1"/>
    <col min="536" max="536" width="16.453125" style="9" customWidth="1"/>
    <col min="537" max="771" width="9" style="9"/>
    <col min="772" max="772" width="9.90625" style="9" customWidth="1"/>
    <col min="773" max="774" width="5.08984375" style="9" customWidth="1"/>
    <col min="775" max="775" width="9.6328125" style="9" customWidth="1"/>
    <col min="776" max="777" width="11.90625" style="9" customWidth="1"/>
    <col min="778" max="778" width="15.36328125" style="9" customWidth="1"/>
    <col min="779" max="779" width="10.90625" style="9" customWidth="1"/>
    <col min="780" max="790" width="13.36328125" style="9" customWidth="1"/>
    <col min="791" max="791" width="13.90625" style="9" customWidth="1"/>
    <col min="792" max="792" width="16.453125" style="9" customWidth="1"/>
    <col min="793" max="1027" width="9" style="9"/>
    <col min="1028" max="1028" width="9.90625" style="9" customWidth="1"/>
    <col min="1029" max="1030" width="5.08984375" style="9" customWidth="1"/>
    <col min="1031" max="1031" width="9.6328125" style="9" customWidth="1"/>
    <col min="1032" max="1033" width="11.90625" style="9" customWidth="1"/>
    <col min="1034" max="1034" width="15.36328125" style="9" customWidth="1"/>
    <col min="1035" max="1035" width="10.90625" style="9" customWidth="1"/>
    <col min="1036" max="1046" width="13.36328125" style="9" customWidth="1"/>
    <col min="1047" max="1047" width="13.90625" style="9" customWidth="1"/>
    <col min="1048" max="1048" width="16.453125" style="9" customWidth="1"/>
    <col min="1049" max="1283" width="9" style="9"/>
    <col min="1284" max="1284" width="9.90625" style="9" customWidth="1"/>
    <col min="1285" max="1286" width="5.08984375" style="9" customWidth="1"/>
    <col min="1287" max="1287" width="9.6328125" style="9" customWidth="1"/>
    <col min="1288" max="1289" width="11.90625" style="9" customWidth="1"/>
    <col min="1290" max="1290" width="15.36328125" style="9" customWidth="1"/>
    <col min="1291" max="1291" width="10.90625" style="9" customWidth="1"/>
    <col min="1292" max="1302" width="13.36328125" style="9" customWidth="1"/>
    <col min="1303" max="1303" width="13.90625" style="9" customWidth="1"/>
    <col min="1304" max="1304" width="16.453125" style="9" customWidth="1"/>
    <col min="1305" max="1539" width="9" style="9"/>
    <col min="1540" max="1540" width="9.90625" style="9" customWidth="1"/>
    <col min="1541" max="1542" width="5.08984375" style="9" customWidth="1"/>
    <col min="1543" max="1543" width="9.6328125" style="9" customWidth="1"/>
    <col min="1544" max="1545" width="11.90625" style="9" customWidth="1"/>
    <col min="1546" max="1546" width="15.36328125" style="9" customWidth="1"/>
    <col min="1547" max="1547" width="10.90625" style="9" customWidth="1"/>
    <col min="1548" max="1558" width="13.36328125" style="9" customWidth="1"/>
    <col min="1559" max="1559" width="13.90625" style="9" customWidth="1"/>
    <col min="1560" max="1560" width="16.453125" style="9" customWidth="1"/>
    <col min="1561" max="1795" width="9" style="9"/>
    <col min="1796" max="1796" width="9.90625" style="9" customWidth="1"/>
    <col min="1797" max="1798" width="5.08984375" style="9" customWidth="1"/>
    <col min="1799" max="1799" width="9.6328125" style="9" customWidth="1"/>
    <col min="1800" max="1801" width="11.90625" style="9" customWidth="1"/>
    <col min="1802" max="1802" width="15.36328125" style="9" customWidth="1"/>
    <col min="1803" max="1803" width="10.90625" style="9" customWidth="1"/>
    <col min="1804" max="1814" width="13.36328125" style="9" customWidth="1"/>
    <col min="1815" max="1815" width="13.90625" style="9" customWidth="1"/>
    <col min="1816" max="1816" width="16.453125" style="9" customWidth="1"/>
    <col min="1817" max="2051" width="9" style="9"/>
    <col min="2052" max="2052" width="9.90625" style="9" customWidth="1"/>
    <col min="2053" max="2054" width="5.08984375" style="9" customWidth="1"/>
    <col min="2055" max="2055" width="9.6328125" style="9" customWidth="1"/>
    <col min="2056" max="2057" width="11.90625" style="9" customWidth="1"/>
    <col min="2058" max="2058" width="15.36328125" style="9" customWidth="1"/>
    <col min="2059" max="2059" width="10.90625" style="9" customWidth="1"/>
    <col min="2060" max="2070" width="13.36328125" style="9" customWidth="1"/>
    <col min="2071" max="2071" width="13.90625" style="9" customWidth="1"/>
    <col min="2072" max="2072" width="16.453125" style="9" customWidth="1"/>
    <col min="2073" max="2307" width="9" style="9"/>
    <col min="2308" max="2308" width="9.90625" style="9" customWidth="1"/>
    <col min="2309" max="2310" width="5.08984375" style="9" customWidth="1"/>
    <col min="2311" max="2311" width="9.6328125" style="9" customWidth="1"/>
    <col min="2312" max="2313" width="11.90625" style="9" customWidth="1"/>
    <col min="2314" max="2314" width="15.36328125" style="9" customWidth="1"/>
    <col min="2315" max="2315" width="10.90625" style="9" customWidth="1"/>
    <col min="2316" max="2326" width="13.36328125" style="9" customWidth="1"/>
    <col min="2327" max="2327" width="13.90625" style="9" customWidth="1"/>
    <col min="2328" max="2328" width="16.453125" style="9" customWidth="1"/>
    <col min="2329" max="2563" width="9" style="9"/>
    <col min="2564" max="2564" width="9.90625" style="9" customWidth="1"/>
    <col min="2565" max="2566" width="5.08984375" style="9" customWidth="1"/>
    <col min="2567" max="2567" width="9.6328125" style="9" customWidth="1"/>
    <col min="2568" max="2569" width="11.90625" style="9" customWidth="1"/>
    <col min="2570" max="2570" width="15.36328125" style="9" customWidth="1"/>
    <col min="2571" max="2571" width="10.90625" style="9" customWidth="1"/>
    <col min="2572" max="2582" width="13.36328125" style="9" customWidth="1"/>
    <col min="2583" max="2583" width="13.90625" style="9" customWidth="1"/>
    <col min="2584" max="2584" width="16.453125" style="9" customWidth="1"/>
    <col min="2585" max="2819" width="9" style="9"/>
    <col min="2820" max="2820" width="9.90625" style="9" customWidth="1"/>
    <col min="2821" max="2822" width="5.08984375" style="9" customWidth="1"/>
    <col min="2823" max="2823" width="9.6328125" style="9" customWidth="1"/>
    <col min="2824" max="2825" width="11.90625" style="9" customWidth="1"/>
    <col min="2826" max="2826" width="15.36328125" style="9" customWidth="1"/>
    <col min="2827" max="2827" width="10.90625" style="9" customWidth="1"/>
    <col min="2828" max="2838" width="13.36328125" style="9" customWidth="1"/>
    <col min="2839" max="2839" width="13.90625" style="9" customWidth="1"/>
    <col min="2840" max="2840" width="16.453125" style="9" customWidth="1"/>
    <col min="2841" max="3075" width="9" style="9"/>
    <col min="3076" max="3076" width="9.90625" style="9" customWidth="1"/>
    <col min="3077" max="3078" width="5.08984375" style="9" customWidth="1"/>
    <col min="3079" max="3079" width="9.6328125" style="9" customWidth="1"/>
    <col min="3080" max="3081" width="11.90625" style="9" customWidth="1"/>
    <col min="3082" max="3082" width="15.36328125" style="9" customWidth="1"/>
    <col min="3083" max="3083" width="10.90625" style="9" customWidth="1"/>
    <col min="3084" max="3094" width="13.36328125" style="9" customWidth="1"/>
    <col min="3095" max="3095" width="13.90625" style="9" customWidth="1"/>
    <col min="3096" max="3096" width="16.453125" style="9" customWidth="1"/>
    <col min="3097" max="3331" width="9" style="9"/>
    <col min="3332" max="3332" width="9.90625" style="9" customWidth="1"/>
    <col min="3333" max="3334" width="5.08984375" style="9" customWidth="1"/>
    <col min="3335" max="3335" width="9.6328125" style="9" customWidth="1"/>
    <col min="3336" max="3337" width="11.90625" style="9" customWidth="1"/>
    <col min="3338" max="3338" width="15.36328125" style="9" customWidth="1"/>
    <col min="3339" max="3339" width="10.90625" style="9" customWidth="1"/>
    <col min="3340" max="3350" width="13.36328125" style="9" customWidth="1"/>
    <col min="3351" max="3351" width="13.90625" style="9" customWidth="1"/>
    <col min="3352" max="3352" width="16.453125" style="9" customWidth="1"/>
    <col min="3353" max="3587" width="9" style="9"/>
    <col min="3588" max="3588" width="9.90625" style="9" customWidth="1"/>
    <col min="3589" max="3590" width="5.08984375" style="9" customWidth="1"/>
    <col min="3591" max="3591" width="9.6328125" style="9" customWidth="1"/>
    <col min="3592" max="3593" width="11.90625" style="9" customWidth="1"/>
    <col min="3594" max="3594" width="15.36328125" style="9" customWidth="1"/>
    <col min="3595" max="3595" width="10.90625" style="9" customWidth="1"/>
    <col min="3596" max="3606" width="13.36328125" style="9" customWidth="1"/>
    <col min="3607" max="3607" width="13.90625" style="9" customWidth="1"/>
    <col min="3608" max="3608" width="16.453125" style="9" customWidth="1"/>
    <col min="3609" max="3843" width="9" style="9"/>
    <col min="3844" max="3844" width="9.90625" style="9" customWidth="1"/>
    <col min="3845" max="3846" width="5.08984375" style="9" customWidth="1"/>
    <col min="3847" max="3847" width="9.6328125" style="9" customWidth="1"/>
    <col min="3848" max="3849" width="11.90625" style="9" customWidth="1"/>
    <col min="3850" max="3850" width="15.36328125" style="9" customWidth="1"/>
    <col min="3851" max="3851" width="10.90625" style="9" customWidth="1"/>
    <col min="3852" max="3862" width="13.36328125" style="9" customWidth="1"/>
    <col min="3863" max="3863" width="13.90625" style="9" customWidth="1"/>
    <col min="3864" max="3864" width="16.453125" style="9" customWidth="1"/>
    <col min="3865" max="4099" width="9" style="9"/>
    <col min="4100" max="4100" width="9.90625" style="9" customWidth="1"/>
    <col min="4101" max="4102" width="5.08984375" style="9" customWidth="1"/>
    <col min="4103" max="4103" width="9.6328125" style="9" customWidth="1"/>
    <col min="4104" max="4105" width="11.90625" style="9" customWidth="1"/>
    <col min="4106" max="4106" width="15.36328125" style="9" customWidth="1"/>
    <col min="4107" max="4107" width="10.90625" style="9" customWidth="1"/>
    <col min="4108" max="4118" width="13.36328125" style="9" customWidth="1"/>
    <col min="4119" max="4119" width="13.90625" style="9" customWidth="1"/>
    <col min="4120" max="4120" width="16.453125" style="9" customWidth="1"/>
    <col min="4121" max="4355" width="9" style="9"/>
    <col min="4356" max="4356" width="9.90625" style="9" customWidth="1"/>
    <col min="4357" max="4358" width="5.08984375" style="9" customWidth="1"/>
    <col min="4359" max="4359" width="9.6328125" style="9" customWidth="1"/>
    <col min="4360" max="4361" width="11.90625" style="9" customWidth="1"/>
    <col min="4362" max="4362" width="15.36328125" style="9" customWidth="1"/>
    <col min="4363" max="4363" width="10.90625" style="9" customWidth="1"/>
    <col min="4364" max="4374" width="13.36328125" style="9" customWidth="1"/>
    <col min="4375" max="4375" width="13.90625" style="9" customWidth="1"/>
    <col min="4376" max="4376" width="16.453125" style="9" customWidth="1"/>
    <col min="4377" max="4611" width="9" style="9"/>
    <col min="4612" max="4612" width="9.90625" style="9" customWidth="1"/>
    <col min="4613" max="4614" width="5.08984375" style="9" customWidth="1"/>
    <col min="4615" max="4615" width="9.6328125" style="9" customWidth="1"/>
    <col min="4616" max="4617" width="11.90625" style="9" customWidth="1"/>
    <col min="4618" max="4618" width="15.36328125" style="9" customWidth="1"/>
    <col min="4619" max="4619" width="10.90625" style="9" customWidth="1"/>
    <col min="4620" max="4630" width="13.36328125" style="9" customWidth="1"/>
    <col min="4631" max="4631" width="13.90625" style="9" customWidth="1"/>
    <col min="4632" max="4632" width="16.453125" style="9" customWidth="1"/>
    <col min="4633" max="4867" width="9" style="9"/>
    <col min="4868" max="4868" width="9.90625" style="9" customWidth="1"/>
    <col min="4869" max="4870" width="5.08984375" style="9" customWidth="1"/>
    <col min="4871" max="4871" width="9.6328125" style="9" customWidth="1"/>
    <col min="4872" max="4873" width="11.90625" style="9" customWidth="1"/>
    <col min="4874" max="4874" width="15.36328125" style="9" customWidth="1"/>
    <col min="4875" max="4875" width="10.90625" style="9" customWidth="1"/>
    <col min="4876" max="4886" width="13.36328125" style="9" customWidth="1"/>
    <col min="4887" max="4887" width="13.90625" style="9" customWidth="1"/>
    <col min="4888" max="4888" width="16.453125" style="9" customWidth="1"/>
    <col min="4889" max="5123" width="9" style="9"/>
    <col min="5124" max="5124" width="9.90625" style="9" customWidth="1"/>
    <col min="5125" max="5126" width="5.08984375" style="9" customWidth="1"/>
    <col min="5127" max="5127" width="9.6328125" style="9" customWidth="1"/>
    <col min="5128" max="5129" width="11.90625" style="9" customWidth="1"/>
    <col min="5130" max="5130" width="15.36328125" style="9" customWidth="1"/>
    <col min="5131" max="5131" width="10.90625" style="9" customWidth="1"/>
    <col min="5132" max="5142" width="13.36328125" style="9" customWidth="1"/>
    <col min="5143" max="5143" width="13.90625" style="9" customWidth="1"/>
    <col min="5144" max="5144" width="16.453125" style="9" customWidth="1"/>
    <col min="5145" max="5379" width="9" style="9"/>
    <col min="5380" max="5380" width="9.90625" style="9" customWidth="1"/>
    <col min="5381" max="5382" width="5.08984375" style="9" customWidth="1"/>
    <col min="5383" max="5383" width="9.6328125" style="9" customWidth="1"/>
    <col min="5384" max="5385" width="11.90625" style="9" customWidth="1"/>
    <col min="5386" max="5386" width="15.36328125" style="9" customWidth="1"/>
    <col min="5387" max="5387" width="10.90625" style="9" customWidth="1"/>
    <col min="5388" max="5398" width="13.36328125" style="9" customWidth="1"/>
    <col min="5399" max="5399" width="13.90625" style="9" customWidth="1"/>
    <col min="5400" max="5400" width="16.453125" style="9" customWidth="1"/>
    <col min="5401" max="5635" width="9" style="9"/>
    <col min="5636" max="5636" width="9.90625" style="9" customWidth="1"/>
    <col min="5637" max="5638" width="5.08984375" style="9" customWidth="1"/>
    <col min="5639" max="5639" width="9.6328125" style="9" customWidth="1"/>
    <col min="5640" max="5641" width="11.90625" style="9" customWidth="1"/>
    <col min="5642" max="5642" width="15.36328125" style="9" customWidth="1"/>
    <col min="5643" max="5643" width="10.90625" style="9" customWidth="1"/>
    <col min="5644" max="5654" width="13.36328125" style="9" customWidth="1"/>
    <col min="5655" max="5655" width="13.90625" style="9" customWidth="1"/>
    <col min="5656" max="5656" width="16.453125" style="9" customWidth="1"/>
    <col min="5657" max="5891" width="9" style="9"/>
    <col min="5892" max="5892" width="9.90625" style="9" customWidth="1"/>
    <col min="5893" max="5894" width="5.08984375" style="9" customWidth="1"/>
    <col min="5895" max="5895" width="9.6328125" style="9" customWidth="1"/>
    <col min="5896" max="5897" width="11.90625" style="9" customWidth="1"/>
    <col min="5898" max="5898" width="15.36328125" style="9" customWidth="1"/>
    <col min="5899" max="5899" width="10.90625" style="9" customWidth="1"/>
    <col min="5900" max="5910" width="13.36328125" style="9" customWidth="1"/>
    <col min="5911" max="5911" width="13.90625" style="9" customWidth="1"/>
    <col min="5912" max="5912" width="16.453125" style="9" customWidth="1"/>
    <col min="5913" max="6147" width="9" style="9"/>
    <col min="6148" max="6148" width="9.90625" style="9" customWidth="1"/>
    <col min="6149" max="6150" width="5.08984375" style="9" customWidth="1"/>
    <col min="6151" max="6151" width="9.6328125" style="9" customWidth="1"/>
    <col min="6152" max="6153" width="11.90625" style="9" customWidth="1"/>
    <col min="6154" max="6154" width="15.36328125" style="9" customWidth="1"/>
    <col min="6155" max="6155" width="10.90625" style="9" customWidth="1"/>
    <col min="6156" max="6166" width="13.36328125" style="9" customWidth="1"/>
    <col min="6167" max="6167" width="13.90625" style="9" customWidth="1"/>
    <col min="6168" max="6168" width="16.453125" style="9" customWidth="1"/>
    <col min="6169" max="6403" width="9" style="9"/>
    <col min="6404" max="6404" width="9.90625" style="9" customWidth="1"/>
    <col min="6405" max="6406" width="5.08984375" style="9" customWidth="1"/>
    <col min="6407" max="6407" width="9.6328125" style="9" customWidth="1"/>
    <col min="6408" max="6409" width="11.90625" style="9" customWidth="1"/>
    <col min="6410" max="6410" width="15.36328125" style="9" customWidth="1"/>
    <col min="6411" max="6411" width="10.90625" style="9" customWidth="1"/>
    <col min="6412" max="6422" width="13.36328125" style="9" customWidth="1"/>
    <col min="6423" max="6423" width="13.90625" style="9" customWidth="1"/>
    <col min="6424" max="6424" width="16.453125" style="9" customWidth="1"/>
    <col min="6425" max="6659" width="9" style="9"/>
    <col min="6660" max="6660" width="9.90625" style="9" customWidth="1"/>
    <col min="6661" max="6662" width="5.08984375" style="9" customWidth="1"/>
    <col min="6663" max="6663" width="9.6328125" style="9" customWidth="1"/>
    <col min="6664" max="6665" width="11.90625" style="9" customWidth="1"/>
    <col min="6666" max="6666" width="15.36328125" style="9" customWidth="1"/>
    <col min="6667" max="6667" width="10.90625" style="9" customWidth="1"/>
    <col min="6668" max="6678" width="13.36328125" style="9" customWidth="1"/>
    <col min="6679" max="6679" width="13.90625" style="9" customWidth="1"/>
    <col min="6680" max="6680" width="16.453125" style="9" customWidth="1"/>
    <col min="6681" max="6915" width="9" style="9"/>
    <col min="6916" max="6916" width="9.90625" style="9" customWidth="1"/>
    <col min="6917" max="6918" width="5.08984375" style="9" customWidth="1"/>
    <col min="6919" max="6919" width="9.6328125" style="9" customWidth="1"/>
    <col min="6920" max="6921" width="11.90625" style="9" customWidth="1"/>
    <col min="6922" max="6922" width="15.36328125" style="9" customWidth="1"/>
    <col min="6923" max="6923" width="10.90625" style="9" customWidth="1"/>
    <col min="6924" max="6934" width="13.36328125" style="9" customWidth="1"/>
    <col min="6935" max="6935" width="13.90625" style="9" customWidth="1"/>
    <col min="6936" max="6936" width="16.453125" style="9" customWidth="1"/>
    <col min="6937" max="7171" width="9" style="9"/>
    <col min="7172" max="7172" width="9.90625" style="9" customWidth="1"/>
    <col min="7173" max="7174" width="5.08984375" style="9" customWidth="1"/>
    <col min="7175" max="7175" width="9.6328125" style="9" customWidth="1"/>
    <col min="7176" max="7177" width="11.90625" style="9" customWidth="1"/>
    <col min="7178" max="7178" width="15.36328125" style="9" customWidth="1"/>
    <col min="7179" max="7179" width="10.90625" style="9" customWidth="1"/>
    <col min="7180" max="7190" width="13.36328125" style="9" customWidth="1"/>
    <col min="7191" max="7191" width="13.90625" style="9" customWidth="1"/>
    <col min="7192" max="7192" width="16.453125" style="9" customWidth="1"/>
    <col min="7193" max="7427" width="9" style="9"/>
    <col min="7428" max="7428" width="9.90625" style="9" customWidth="1"/>
    <col min="7429" max="7430" width="5.08984375" style="9" customWidth="1"/>
    <col min="7431" max="7431" width="9.6328125" style="9" customWidth="1"/>
    <col min="7432" max="7433" width="11.90625" style="9" customWidth="1"/>
    <col min="7434" max="7434" width="15.36328125" style="9" customWidth="1"/>
    <col min="7435" max="7435" width="10.90625" style="9" customWidth="1"/>
    <col min="7436" max="7446" width="13.36328125" style="9" customWidth="1"/>
    <col min="7447" max="7447" width="13.90625" style="9" customWidth="1"/>
    <col min="7448" max="7448" width="16.453125" style="9" customWidth="1"/>
    <col min="7449" max="7683" width="9" style="9"/>
    <col min="7684" max="7684" width="9.90625" style="9" customWidth="1"/>
    <col min="7685" max="7686" width="5.08984375" style="9" customWidth="1"/>
    <col min="7687" max="7687" width="9.6328125" style="9" customWidth="1"/>
    <col min="7688" max="7689" width="11.90625" style="9" customWidth="1"/>
    <col min="7690" max="7690" width="15.36328125" style="9" customWidth="1"/>
    <col min="7691" max="7691" width="10.90625" style="9" customWidth="1"/>
    <col min="7692" max="7702" width="13.36328125" style="9" customWidth="1"/>
    <col min="7703" max="7703" width="13.90625" style="9" customWidth="1"/>
    <col min="7704" max="7704" width="16.453125" style="9" customWidth="1"/>
    <col min="7705" max="7939" width="9" style="9"/>
    <col min="7940" max="7940" width="9.90625" style="9" customWidth="1"/>
    <col min="7941" max="7942" width="5.08984375" style="9" customWidth="1"/>
    <col min="7943" max="7943" width="9.6328125" style="9" customWidth="1"/>
    <col min="7944" max="7945" width="11.90625" style="9" customWidth="1"/>
    <col min="7946" max="7946" width="15.36328125" style="9" customWidth="1"/>
    <col min="7947" max="7947" width="10.90625" style="9" customWidth="1"/>
    <col min="7948" max="7958" width="13.36328125" style="9" customWidth="1"/>
    <col min="7959" max="7959" width="13.90625" style="9" customWidth="1"/>
    <col min="7960" max="7960" width="16.453125" style="9" customWidth="1"/>
    <col min="7961" max="8195" width="9" style="9"/>
    <col min="8196" max="8196" width="9.90625" style="9" customWidth="1"/>
    <col min="8197" max="8198" width="5.08984375" style="9" customWidth="1"/>
    <col min="8199" max="8199" width="9.6328125" style="9" customWidth="1"/>
    <col min="8200" max="8201" width="11.90625" style="9" customWidth="1"/>
    <col min="8202" max="8202" width="15.36328125" style="9" customWidth="1"/>
    <col min="8203" max="8203" width="10.90625" style="9" customWidth="1"/>
    <col min="8204" max="8214" width="13.36328125" style="9" customWidth="1"/>
    <col min="8215" max="8215" width="13.90625" style="9" customWidth="1"/>
    <col min="8216" max="8216" width="16.453125" style="9" customWidth="1"/>
    <col min="8217" max="8451" width="9" style="9"/>
    <col min="8452" max="8452" width="9.90625" style="9" customWidth="1"/>
    <col min="8453" max="8454" width="5.08984375" style="9" customWidth="1"/>
    <col min="8455" max="8455" width="9.6328125" style="9" customWidth="1"/>
    <col min="8456" max="8457" width="11.90625" style="9" customWidth="1"/>
    <col min="8458" max="8458" width="15.36328125" style="9" customWidth="1"/>
    <col min="8459" max="8459" width="10.90625" style="9" customWidth="1"/>
    <col min="8460" max="8470" width="13.36328125" style="9" customWidth="1"/>
    <col min="8471" max="8471" width="13.90625" style="9" customWidth="1"/>
    <col min="8472" max="8472" width="16.453125" style="9" customWidth="1"/>
    <col min="8473" max="8707" width="9" style="9"/>
    <col min="8708" max="8708" width="9.90625" style="9" customWidth="1"/>
    <col min="8709" max="8710" width="5.08984375" style="9" customWidth="1"/>
    <col min="8711" max="8711" width="9.6328125" style="9" customWidth="1"/>
    <col min="8712" max="8713" width="11.90625" style="9" customWidth="1"/>
    <col min="8714" max="8714" width="15.36328125" style="9" customWidth="1"/>
    <col min="8715" max="8715" width="10.90625" style="9" customWidth="1"/>
    <col min="8716" max="8726" width="13.36328125" style="9" customWidth="1"/>
    <col min="8727" max="8727" width="13.90625" style="9" customWidth="1"/>
    <col min="8728" max="8728" width="16.453125" style="9" customWidth="1"/>
    <col min="8729" max="8963" width="9" style="9"/>
    <col min="8964" max="8964" width="9.90625" style="9" customWidth="1"/>
    <col min="8965" max="8966" width="5.08984375" style="9" customWidth="1"/>
    <col min="8967" max="8967" width="9.6328125" style="9" customWidth="1"/>
    <col min="8968" max="8969" width="11.90625" style="9" customWidth="1"/>
    <col min="8970" max="8970" width="15.36328125" style="9" customWidth="1"/>
    <col min="8971" max="8971" width="10.90625" style="9" customWidth="1"/>
    <col min="8972" max="8982" width="13.36328125" style="9" customWidth="1"/>
    <col min="8983" max="8983" width="13.90625" style="9" customWidth="1"/>
    <col min="8984" max="8984" width="16.453125" style="9" customWidth="1"/>
    <col min="8985" max="9219" width="9" style="9"/>
    <col min="9220" max="9220" width="9.90625" style="9" customWidth="1"/>
    <col min="9221" max="9222" width="5.08984375" style="9" customWidth="1"/>
    <col min="9223" max="9223" width="9.6328125" style="9" customWidth="1"/>
    <col min="9224" max="9225" width="11.90625" style="9" customWidth="1"/>
    <col min="9226" max="9226" width="15.36328125" style="9" customWidth="1"/>
    <col min="9227" max="9227" width="10.90625" style="9" customWidth="1"/>
    <col min="9228" max="9238" width="13.36328125" style="9" customWidth="1"/>
    <col min="9239" max="9239" width="13.90625" style="9" customWidth="1"/>
    <col min="9240" max="9240" width="16.453125" style="9" customWidth="1"/>
    <col min="9241" max="9475" width="9" style="9"/>
    <col min="9476" max="9476" width="9.90625" style="9" customWidth="1"/>
    <col min="9477" max="9478" width="5.08984375" style="9" customWidth="1"/>
    <col min="9479" max="9479" width="9.6328125" style="9" customWidth="1"/>
    <col min="9480" max="9481" width="11.90625" style="9" customWidth="1"/>
    <col min="9482" max="9482" width="15.36328125" style="9" customWidth="1"/>
    <col min="9483" max="9483" width="10.90625" style="9" customWidth="1"/>
    <col min="9484" max="9494" width="13.36328125" style="9" customWidth="1"/>
    <col min="9495" max="9495" width="13.90625" style="9" customWidth="1"/>
    <col min="9496" max="9496" width="16.453125" style="9" customWidth="1"/>
    <col min="9497" max="9731" width="9" style="9"/>
    <col min="9732" max="9732" width="9.90625" style="9" customWidth="1"/>
    <col min="9733" max="9734" width="5.08984375" style="9" customWidth="1"/>
    <col min="9735" max="9735" width="9.6328125" style="9" customWidth="1"/>
    <col min="9736" max="9737" width="11.90625" style="9" customWidth="1"/>
    <col min="9738" max="9738" width="15.36328125" style="9" customWidth="1"/>
    <col min="9739" max="9739" width="10.90625" style="9" customWidth="1"/>
    <col min="9740" max="9750" width="13.36328125" style="9" customWidth="1"/>
    <col min="9751" max="9751" width="13.90625" style="9" customWidth="1"/>
    <col min="9752" max="9752" width="16.453125" style="9" customWidth="1"/>
    <col min="9753" max="9987" width="9" style="9"/>
    <col min="9988" max="9988" width="9.90625" style="9" customWidth="1"/>
    <col min="9989" max="9990" width="5.08984375" style="9" customWidth="1"/>
    <col min="9991" max="9991" width="9.6328125" style="9" customWidth="1"/>
    <col min="9992" max="9993" width="11.90625" style="9" customWidth="1"/>
    <col min="9994" max="9994" width="15.36328125" style="9" customWidth="1"/>
    <col min="9995" max="9995" width="10.90625" style="9" customWidth="1"/>
    <col min="9996" max="10006" width="13.36328125" style="9" customWidth="1"/>
    <col min="10007" max="10007" width="13.90625" style="9" customWidth="1"/>
    <col min="10008" max="10008" width="16.453125" style="9" customWidth="1"/>
    <col min="10009" max="10243" width="9" style="9"/>
    <col min="10244" max="10244" width="9.90625" style="9" customWidth="1"/>
    <col min="10245" max="10246" width="5.08984375" style="9" customWidth="1"/>
    <col min="10247" max="10247" width="9.6328125" style="9" customWidth="1"/>
    <col min="10248" max="10249" width="11.90625" style="9" customWidth="1"/>
    <col min="10250" max="10250" width="15.36328125" style="9" customWidth="1"/>
    <col min="10251" max="10251" width="10.90625" style="9" customWidth="1"/>
    <col min="10252" max="10262" width="13.36328125" style="9" customWidth="1"/>
    <col min="10263" max="10263" width="13.90625" style="9" customWidth="1"/>
    <col min="10264" max="10264" width="16.453125" style="9" customWidth="1"/>
    <col min="10265" max="10499" width="9" style="9"/>
    <col min="10500" max="10500" width="9.90625" style="9" customWidth="1"/>
    <col min="10501" max="10502" width="5.08984375" style="9" customWidth="1"/>
    <col min="10503" max="10503" width="9.6328125" style="9" customWidth="1"/>
    <col min="10504" max="10505" width="11.90625" style="9" customWidth="1"/>
    <col min="10506" max="10506" width="15.36328125" style="9" customWidth="1"/>
    <col min="10507" max="10507" width="10.90625" style="9" customWidth="1"/>
    <col min="10508" max="10518" width="13.36328125" style="9" customWidth="1"/>
    <col min="10519" max="10519" width="13.90625" style="9" customWidth="1"/>
    <col min="10520" max="10520" width="16.453125" style="9" customWidth="1"/>
    <col min="10521" max="10755" width="9" style="9"/>
    <col min="10756" max="10756" width="9.90625" style="9" customWidth="1"/>
    <col min="10757" max="10758" width="5.08984375" style="9" customWidth="1"/>
    <col min="10759" max="10759" width="9.6328125" style="9" customWidth="1"/>
    <col min="10760" max="10761" width="11.90625" style="9" customWidth="1"/>
    <col min="10762" max="10762" width="15.36328125" style="9" customWidth="1"/>
    <col min="10763" max="10763" width="10.90625" style="9" customWidth="1"/>
    <col min="10764" max="10774" width="13.36328125" style="9" customWidth="1"/>
    <col min="10775" max="10775" width="13.90625" style="9" customWidth="1"/>
    <col min="10776" max="10776" width="16.453125" style="9" customWidth="1"/>
    <col min="10777" max="11011" width="9" style="9"/>
    <col min="11012" max="11012" width="9.90625" style="9" customWidth="1"/>
    <col min="11013" max="11014" width="5.08984375" style="9" customWidth="1"/>
    <col min="11015" max="11015" width="9.6328125" style="9" customWidth="1"/>
    <col min="11016" max="11017" width="11.90625" style="9" customWidth="1"/>
    <col min="11018" max="11018" width="15.36328125" style="9" customWidth="1"/>
    <col min="11019" max="11019" width="10.90625" style="9" customWidth="1"/>
    <col min="11020" max="11030" width="13.36328125" style="9" customWidth="1"/>
    <col min="11031" max="11031" width="13.90625" style="9" customWidth="1"/>
    <col min="11032" max="11032" width="16.453125" style="9" customWidth="1"/>
    <col min="11033" max="11267" width="9" style="9"/>
    <col min="11268" max="11268" width="9.90625" style="9" customWidth="1"/>
    <col min="11269" max="11270" width="5.08984375" style="9" customWidth="1"/>
    <col min="11271" max="11271" width="9.6328125" style="9" customWidth="1"/>
    <col min="11272" max="11273" width="11.90625" style="9" customWidth="1"/>
    <col min="11274" max="11274" width="15.36328125" style="9" customWidth="1"/>
    <col min="11275" max="11275" width="10.90625" style="9" customWidth="1"/>
    <col min="11276" max="11286" width="13.36328125" style="9" customWidth="1"/>
    <col min="11287" max="11287" width="13.90625" style="9" customWidth="1"/>
    <col min="11288" max="11288" width="16.453125" style="9" customWidth="1"/>
    <col min="11289" max="11523" width="9" style="9"/>
    <col min="11524" max="11524" width="9.90625" style="9" customWidth="1"/>
    <col min="11525" max="11526" width="5.08984375" style="9" customWidth="1"/>
    <col min="11527" max="11527" width="9.6328125" style="9" customWidth="1"/>
    <col min="11528" max="11529" width="11.90625" style="9" customWidth="1"/>
    <col min="11530" max="11530" width="15.36328125" style="9" customWidth="1"/>
    <col min="11531" max="11531" width="10.90625" style="9" customWidth="1"/>
    <col min="11532" max="11542" width="13.36328125" style="9" customWidth="1"/>
    <col min="11543" max="11543" width="13.90625" style="9" customWidth="1"/>
    <col min="11544" max="11544" width="16.453125" style="9" customWidth="1"/>
    <col min="11545" max="11779" width="9" style="9"/>
    <col min="11780" max="11780" width="9.90625" style="9" customWidth="1"/>
    <col min="11781" max="11782" width="5.08984375" style="9" customWidth="1"/>
    <col min="11783" max="11783" width="9.6328125" style="9" customWidth="1"/>
    <col min="11784" max="11785" width="11.90625" style="9" customWidth="1"/>
    <col min="11786" max="11786" width="15.36328125" style="9" customWidth="1"/>
    <col min="11787" max="11787" width="10.90625" style="9" customWidth="1"/>
    <col min="11788" max="11798" width="13.36328125" style="9" customWidth="1"/>
    <col min="11799" max="11799" width="13.90625" style="9" customWidth="1"/>
    <col min="11800" max="11800" width="16.453125" style="9" customWidth="1"/>
    <col min="11801" max="12035" width="9" style="9"/>
    <col min="12036" max="12036" width="9.90625" style="9" customWidth="1"/>
    <col min="12037" max="12038" width="5.08984375" style="9" customWidth="1"/>
    <col min="12039" max="12039" width="9.6328125" style="9" customWidth="1"/>
    <col min="12040" max="12041" width="11.90625" style="9" customWidth="1"/>
    <col min="12042" max="12042" width="15.36328125" style="9" customWidth="1"/>
    <col min="12043" max="12043" width="10.90625" style="9" customWidth="1"/>
    <col min="12044" max="12054" width="13.36328125" style="9" customWidth="1"/>
    <col min="12055" max="12055" width="13.90625" style="9" customWidth="1"/>
    <col min="12056" max="12056" width="16.453125" style="9" customWidth="1"/>
    <col min="12057" max="12291" width="9" style="9"/>
    <col min="12292" max="12292" width="9.90625" style="9" customWidth="1"/>
    <col min="12293" max="12294" width="5.08984375" style="9" customWidth="1"/>
    <col min="12295" max="12295" width="9.6328125" style="9" customWidth="1"/>
    <col min="12296" max="12297" width="11.90625" style="9" customWidth="1"/>
    <col min="12298" max="12298" width="15.36328125" style="9" customWidth="1"/>
    <col min="12299" max="12299" width="10.90625" style="9" customWidth="1"/>
    <col min="12300" max="12310" width="13.36328125" style="9" customWidth="1"/>
    <col min="12311" max="12311" width="13.90625" style="9" customWidth="1"/>
    <col min="12312" max="12312" width="16.453125" style="9" customWidth="1"/>
    <col min="12313" max="12547" width="9" style="9"/>
    <col min="12548" max="12548" width="9.90625" style="9" customWidth="1"/>
    <col min="12549" max="12550" width="5.08984375" style="9" customWidth="1"/>
    <col min="12551" max="12551" width="9.6328125" style="9" customWidth="1"/>
    <col min="12552" max="12553" width="11.90625" style="9" customWidth="1"/>
    <col min="12554" max="12554" width="15.36328125" style="9" customWidth="1"/>
    <col min="12555" max="12555" width="10.90625" style="9" customWidth="1"/>
    <col min="12556" max="12566" width="13.36328125" style="9" customWidth="1"/>
    <col min="12567" max="12567" width="13.90625" style="9" customWidth="1"/>
    <col min="12568" max="12568" width="16.453125" style="9" customWidth="1"/>
    <col min="12569" max="12803" width="9" style="9"/>
    <col min="12804" max="12804" width="9.90625" style="9" customWidth="1"/>
    <col min="12805" max="12806" width="5.08984375" style="9" customWidth="1"/>
    <col min="12807" max="12807" width="9.6328125" style="9" customWidth="1"/>
    <col min="12808" max="12809" width="11.90625" style="9" customWidth="1"/>
    <col min="12810" max="12810" width="15.36328125" style="9" customWidth="1"/>
    <col min="12811" max="12811" width="10.90625" style="9" customWidth="1"/>
    <col min="12812" max="12822" width="13.36328125" style="9" customWidth="1"/>
    <col min="12823" max="12823" width="13.90625" style="9" customWidth="1"/>
    <col min="12824" max="12824" width="16.453125" style="9" customWidth="1"/>
    <col min="12825" max="13059" width="9" style="9"/>
    <col min="13060" max="13060" width="9.90625" style="9" customWidth="1"/>
    <col min="13061" max="13062" width="5.08984375" style="9" customWidth="1"/>
    <col min="13063" max="13063" width="9.6328125" style="9" customWidth="1"/>
    <col min="13064" max="13065" width="11.90625" style="9" customWidth="1"/>
    <col min="13066" max="13066" width="15.36328125" style="9" customWidth="1"/>
    <col min="13067" max="13067" width="10.90625" style="9" customWidth="1"/>
    <col min="13068" max="13078" width="13.36328125" style="9" customWidth="1"/>
    <col min="13079" max="13079" width="13.90625" style="9" customWidth="1"/>
    <col min="13080" max="13080" width="16.453125" style="9" customWidth="1"/>
    <col min="13081" max="13315" width="9" style="9"/>
    <col min="13316" max="13316" width="9.90625" style="9" customWidth="1"/>
    <col min="13317" max="13318" width="5.08984375" style="9" customWidth="1"/>
    <col min="13319" max="13319" width="9.6328125" style="9" customWidth="1"/>
    <col min="13320" max="13321" width="11.90625" style="9" customWidth="1"/>
    <col min="13322" max="13322" width="15.36328125" style="9" customWidth="1"/>
    <col min="13323" max="13323" width="10.90625" style="9" customWidth="1"/>
    <col min="13324" max="13334" width="13.36328125" style="9" customWidth="1"/>
    <col min="13335" max="13335" width="13.90625" style="9" customWidth="1"/>
    <col min="13336" max="13336" width="16.453125" style="9" customWidth="1"/>
    <col min="13337" max="13571" width="9" style="9"/>
    <col min="13572" max="13572" width="9.90625" style="9" customWidth="1"/>
    <col min="13573" max="13574" width="5.08984375" style="9" customWidth="1"/>
    <col min="13575" max="13575" width="9.6328125" style="9" customWidth="1"/>
    <col min="13576" max="13577" width="11.90625" style="9" customWidth="1"/>
    <col min="13578" max="13578" width="15.36328125" style="9" customWidth="1"/>
    <col min="13579" max="13579" width="10.90625" style="9" customWidth="1"/>
    <col min="13580" max="13590" width="13.36328125" style="9" customWidth="1"/>
    <col min="13591" max="13591" width="13.90625" style="9" customWidth="1"/>
    <col min="13592" max="13592" width="16.453125" style="9" customWidth="1"/>
    <col min="13593" max="13827" width="9" style="9"/>
    <col min="13828" max="13828" width="9.90625" style="9" customWidth="1"/>
    <col min="13829" max="13830" width="5.08984375" style="9" customWidth="1"/>
    <col min="13831" max="13831" width="9.6328125" style="9" customWidth="1"/>
    <col min="13832" max="13833" width="11.90625" style="9" customWidth="1"/>
    <col min="13834" max="13834" width="15.36328125" style="9" customWidth="1"/>
    <col min="13835" max="13835" width="10.90625" style="9" customWidth="1"/>
    <col min="13836" max="13846" width="13.36328125" style="9" customWidth="1"/>
    <col min="13847" max="13847" width="13.90625" style="9" customWidth="1"/>
    <col min="13848" max="13848" width="16.453125" style="9" customWidth="1"/>
    <col min="13849" max="14083" width="9" style="9"/>
    <col min="14084" max="14084" width="9.90625" style="9" customWidth="1"/>
    <col min="14085" max="14086" width="5.08984375" style="9" customWidth="1"/>
    <col min="14087" max="14087" width="9.6328125" style="9" customWidth="1"/>
    <col min="14088" max="14089" width="11.90625" style="9" customWidth="1"/>
    <col min="14090" max="14090" width="15.36328125" style="9" customWidth="1"/>
    <col min="14091" max="14091" width="10.90625" style="9" customWidth="1"/>
    <col min="14092" max="14102" width="13.36328125" style="9" customWidth="1"/>
    <col min="14103" max="14103" width="13.90625" style="9" customWidth="1"/>
    <col min="14104" max="14104" width="16.453125" style="9" customWidth="1"/>
    <col min="14105" max="14339" width="9" style="9"/>
    <col min="14340" max="14340" width="9.90625" style="9" customWidth="1"/>
    <col min="14341" max="14342" width="5.08984375" style="9" customWidth="1"/>
    <col min="14343" max="14343" width="9.6328125" style="9" customWidth="1"/>
    <col min="14344" max="14345" width="11.90625" style="9" customWidth="1"/>
    <col min="14346" max="14346" width="15.36328125" style="9" customWidth="1"/>
    <col min="14347" max="14347" width="10.90625" style="9" customWidth="1"/>
    <col min="14348" max="14358" width="13.36328125" style="9" customWidth="1"/>
    <col min="14359" max="14359" width="13.90625" style="9" customWidth="1"/>
    <col min="14360" max="14360" width="16.453125" style="9" customWidth="1"/>
    <col min="14361" max="14595" width="9" style="9"/>
    <col min="14596" max="14596" width="9.90625" style="9" customWidth="1"/>
    <col min="14597" max="14598" width="5.08984375" style="9" customWidth="1"/>
    <col min="14599" max="14599" width="9.6328125" style="9" customWidth="1"/>
    <col min="14600" max="14601" width="11.90625" style="9" customWidth="1"/>
    <col min="14602" max="14602" width="15.36328125" style="9" customWidth="1"/>
    <col min="14603" max="14603" width="10.90625" style="9" customWidth="1"/>
    <col min="14604" max="14614" width="13.36328125" style="9" customWidth="1"/>
    <col min="14615" max="14615" width="13.90625" style="9" customWidth="1"/>
    <col min="14616" max="14616" width="16.453125" style="9" customWidth="1"/>
    <col min="14617" max="14851" width="9" style="9"/>
    <col min="14852" max="14852" width="9.90625" style="9" customWidth="1"/>
    <col min="14853" max="14854" width="5.08984375" style="9" customWidth="1"/>
    <col min="14855" max="14855" width="9.6328125" style="9" customWidth="1"/>
    <col min="14856" max="14857" width="11.90625" style="9" customWidth="1"/>
    <col min="14858" max="14858" width="15.36328125" style="9" customWidth="1"/>
    <col min="14859" max="14859" width="10.90625" style="9" customWidth="1"/>
    <col min="14860" max="14870" width="13.36328125" style="9" customWidth="1"/>
    <col min="14871" max="14871" width="13.90625" style="9" customWidth="1"/>
    <col min="14872" max="14872" width="16.453125" style="9" customWidth="1"/>
    <col min="14873" max="15107" width="9" style="9"/>
    <col min="15108" max="15108" width="9.90625" style="9" customWidth="1"/>
    <col min="15109" max="15110" width="5.08984375" style="9" customWidth="1"/>
    <col min="15111" max="15111" width="9.6328125" style="9" customWidth="1"/>
    <col min="15112" max="15113" width="11.90625" style="9" customWidth="1"/>
    <col min="15114" max="15114" width="15.36328125" style="9" customWidth="1"/>
    <col min="15115" max="15115" width="10.90625" style="9" customWidth="1"/>
    <col min="15116" max="15126" width="13.36328125" style="9" customWidth="1"/>
    <col min="15127" max="15127" width="13.90625" style="9" customWidth="1"/>
    <col min="15128" max="15128" width="16.453125" style="9" customWidth="1"/>
    <col min="15129" max="15363" width="9" style="9"/>
    <col min="15364" max="15364" width="9.90625" style="9" customWidth="1"/>
    <col min="15365" max="15366" width="5.08984375" style="9" customWidth="1"/>
    <col min="15367" max="15367" width="9.6328125" style="9" customWidth="1"/>
    <col min="15368" max="15369" width="11.90625" style="9" customWidth="1"/>
    <col min="15370" max="15370" width="15.36328125" style="9" customWidth="1"/>
    <col min="15371" max="15371" width="10.90625" style="9" customWidth="1"/>
    <col min="15372" max="15382" width="13.36328125" style="9" customWidth="1"/>
    <col min="15383" max="15383" width="13.90625" style="9" customWidth="1"/>
    <col min="15384" max="15384" width="16.453125" style="9" customWidth="1"/>
    <col min="15385" max="15619" width="9" style="9"/>
    <col min="15620" max="15620" width="9.90625" style="9" customWidth="1"/>
    <col min="15621" max="15622" width="5.08984375" style="9" customWidth="1"/>
    <col min="15623" max="15623" width="9.6328125" style="9" customWidth="1"/>
    <col min="15624" max="15625" width="11.90625" style="9" customWidth="1"/>
    <col min="15626" max="15626" width="15.36328125" style="9" customWidth="1"/>
    <col min="15627" max="15627" width="10.90625" style="9" customWidth="1"/>
    <col min="15628" max="15638" width="13.36328125" style="9" customWidth="1"/>
    <col min="15639" max="15639" width="13.90625" style="9" customWidth="1"/>
    <col min="15640" max="15640" width="16.453125" style="9" customWidth="1"/>
    <col min="15641" max="15875" width="9" style="9"/>
    <col min="15876" max="15876" width="9.90625" style="9" customWidth="1"/>
    <col min="15877" max="15878" width="5.08984375" style="9" customWidth="1"/>
    <col min="15879" max="15879" width="9.6328125" style="9" customWidth="1"/>
    <col min="15880" max="15881" width="11.90625" style="9" customWidth="1"/>
    <col min="15882" max="15882" width="15.36328125" style="9" customWidth="1"/>
    <col min="15883" max="15883" width="10.90625" style="9" customWidth="1"/>
    <col min="15884" max="15894" width="13.36328125" style="9" customWidth="1"/>
    <col min="15895" max="15895" width="13.90625" style="9" customWidth="1"/>
    <col min="15896" max="15896" width="16.453125" style="9" customWidth="1"/>
    <col min="15897" max="16131" width="9" style="9"/>
    <col min="16132" max="16132" width="9.90625" style="9" customWidth="1"/>
    <col min="16133" max="16134" width="5.08984375" style="9" customWidth="1"/>
    <col min="16135" max="16135" width="9.6328125" style="9" customWidth="1"/>
    <col min="16136" max="16137" width="11.90625" style="9" customWidth="1"/>
    <col min="16138" max="16138" width="15.36328125" style="9" customWidth="1"/>
    <col min="16139" max="16139" width="10.90625" style="9" customWidth="1"/>
    <col min="16140" max="16150" width="13.36328125" style="9" customWidth="1"/>
    <col min="16151" max="16151" width="13.90625" style="9" customWidth="1"/>
    <col min="16152" max="16152" width="16.453125" style="9" customWidth="1"/>
    <col min="16153" max="16384" width="9" style="9"/>
  </cols>
  <sheetData>
    <row r="1" spans="1:26" s="1" customFormat="1" ht="36">
      <c r="A1" s="1" t="s">
        <v>42</v>
      </c>
      <c r="B1" s="1" t="s">
        <v>43</v>
      </c>
      <c r="C1" s="75" t="s">
        <v>35</v>
      </c>
      <c r="D1" s="76" t="s">
        <v>78</v>
      </c>
      <c r="E1" s="76" t="s">
        <v>0</v>
      </c>
      <c r="F1" s="77" t="s">
        <v>1</v>
      </c>
      <c r="G1" s="77" t="s">
        <v>36</v>
      </c>
      <c r="H1" s="77" t="s">
        <v>2</v>
      </c>
      <c r="I1" s="78" t="s">
        <v>3</v>
      </c>
      <c r="J1" s="79" t="s">
        <v>4</v>
      </c>
      <c r="K1" s="10" t="s">
        <v>5</v>
      </c>
      <c r="L1" s="128" t="s">
        <v>6</v>
      </c>
      <c r="M1" s="130" t="s">
        <v>7</v>
      </c>
      <c r="N1" s="130" t="s">
        <v>8</v>
      </c>
      <c r="O1" s="130" t="s">
        <v>9</v>
      </c>
      <c r="P1" s="130" t="s">
        <v>10</v>
      </c>
      <c r="Q1" s="130" t="s">
        <v>11</v>
      </c>
      <c r="R1" s="130" t="s">
        <v>12</v>
      </c>
      <c r="S1" s="130" t="s">
        <v>13</v>
      </c>
      <c r="T1" s="130" t="s">
        <v>14</v>
      </c>
      <c r="U1" s="130" t="s">
        <v>15</v>
      </c>
      <c r="V1" s="130" t="s">
        <v>16</v>
      </c>
      <c r="W1" s="81" t="s">
        <v>17</v>
      </c>
      <c r="X1" s="11" t="s">
        <v>18</v>
      </c>
    </row>
    <row r="2" spans="1:26" s="1" customFormat="1">
      <c r="A2" s="68"/>
      <c r="B2" s="72"/>
      <c r="C2" s="412" t="s">
        <v>44</v>
      </c>
      <c r="D2" s="413"/>
      <c r="E2" s="413"/>
      <c r="F2" s="413"/>
      <c r="G2" s="413"/>
      <c r="H2" s="413"/>
      <c r="I2" s="413"/>
      <c r="J2" s="414"/>
      <c r="K2" s="112" t="s">
        <v>19</v>
      </c>
      <c r="L2" s="216">
        <f>L29</f>
        <v>1416960</v>
      </c>
      <c r="M2" s="276">
        <f t="shared" ref="M2:W3" si="0">M29</f>
        <v>1221510</v>
      </c>
      <c r="N2" s="276">
        <f t="shared" si="0"/>
        <v>1450000</v>
      </c>
      <c r="O2" s="276">
        <f t="shared" si="0"/>
        <v>1483040</v>
      </c>
      <c r="P2" s="276">
        <f t="shared" si="0"/>
        <v>1361690</v>
      </c>
      <c r="Q2" s="276">
        <f t="shared" si="0"/>
        <v>1394730</v>
      </c>
      <c r="R2" s="276">
        <f t="shared" si="0"/>
        <v>1450000</v>
      </c>
      <c r="S2" s="276">
        <f t="shared" si="0"/>
        <v>1350880</v>
      </c>
      <c r="T2" s="276">
        <f t="shared" si="0"/>
        <v>1416960</v>
      </c>
      <c r="U2" s="276">
        <f t="shared" si="0"/>
        <v>1547870</v>
      </c>
      <c r="V2" s="276">
        <f t="shared" si="0"/>
        <v>1383920</v>
      </c>
      <c r="W2" s="29">
        <f t="shared" si="0"/>
        <v>1450000</v>
      </c>
      <c r="X2" s="14">
        <f>SUM(L2:W2)</f>
        <v>16927560</v>
      </c>
      <c r="Y2" s="54"/>
      <c r="Z2" s="53"/>
    </row>
    <row r="3" spans="1:26" s="1" customFormat="1">
      <c r="A3" s="68"/>
      <c r="B3" s="72"/>
      <c r="C3" s="415"/>
      <c r="D3" s="416"/>
      <c r="E3" s="416"/>
      <c r="F3" s="416"/>
      <c r="G3" s="416"/>
      <c r="H3" s="416"/>
      <c r="I3" s="416"/>
      <c r="J3" s="417"/>
      <c r="K3" s="113" t="s">
        <v>20</v>
      </c>
      <c r="L3" s="217">
        <f>L30</f>
        <v>1165794</v>
      </c>
      <c r="M3" s="277">
        <f t="shared" si="0"/>
        <v>1135784</v>
      </c>
      <c r="N3" s="277">
        <f t="shared" si="0"/>
        <v>1165868</v>
      </c>
      <c r="O3" s="277">
        <f t="shared" si="0"/>
        <v>1219723</v>
      </c>
      <c r="P3" s="277">
        <f t="shared" si="0"/>
        <v>1140263</v>
      </c>
      <c r="Q3" s="277">
        <f t="shared" si="0"/>
        <v>1142102</v>
      </c>
      <c r="R3" s="277">
        <f t="shared" si="0"/>
        <v>1192865</v>
      </c>
      <c r="S3" s="277">
        <f t="shared" si="0"/>
        <v>1095377</v>
      </c>
      <c r="T3" s="277">
        <f t="shared" si="0"/>
        <v>1186378</v>
      </c>
      <c r="U3" s="277">
        <f t="shared" si="0"/>
        <v>1225054</v>
      </c>
      <c r="V3" s="277">
        <f t="shared" si="0"/>
        <v>1093748</v>
      </c>
      <c r="W3" s="30">
        <f t="shared" si="0"/>
        <v>1162521.5555555555</v>
      </c>
      <c r="X3" s="16">
        <f>SUM(L3:W3)</f>
        <v>13925477.555555556</v>
      </c>
      <c r="Y3" s="54"/>
      <c r="Z3" s="53"/>
    </row>
    <row r="4" spans="1:26" s="1" customFormat="1" ht="12.5" thickBot="1">
      <c r="A4" s="68"/>
      <c r="B4" s="72"/>
      <c r="C4" s="418"/>
      <c r="D4" s="419"/>
      <c r="E4" s="419"/>
      <c r="F4" s="419"/>
      <c r="G4" s="419"/>
      <c r="H4" s="419"/>
      <c r="I4" s="419"/>
      <c r="J4" s="420"/>
      <c r="K4" s="114" t="s">
        <v>21</v>
      </c>
      <c r="L4" s="218">
        <f>L31</f>
        <v>251166</v>
      </c>
      <c r="M4" s="278">
        <f t="shared" ref="M4:W4" si="1">M31</f>
        <v>85726</v>
      </c>
      <c r="N4" s="278">
        <f t="shared" si="1"/>
        <v>284132</v>
      </c>
      <c r="O4" s="278">
        <f t="shared" si="1"/>
        <v>263317</v>
      </c>
      <c r="P4" s="278">
        <f t="shared" si="1"/>
        <v>221427</v>
      </c>
      <c r="Q4" s="278">
        <f t="shared" si="1"/>
        <v>252628</v>
      </c>
      <c r="R4" s="278">
        <f t="shared" si="1"/>
        <v>257135</v>
      </c>
      <c r="S4" s="278">
        <f t="shared" si="1"/>
        <v>255503</v>
      </c>
      <c r="T4" s="278">
        <f t="shared" si="1"/>
        <v>230582</v>
      </c>
      <c r="U4" s="278">
        <f t="shared" si="1"/>
        <v>322816</v>
      </c>
      <c r="V4" s="278">
        <f t="shared" si="1"/>
        <v>290172</v>
      </c>
      <c r="W4" s="31">
        <f t="shared" si="1"/>
        <v>287478.4444444445</v>
      </c>
      <c r="X4" s="18">
        <f>SUM(L4:W4)</f>
        <v>3002082.4444444445</v>
      </c>
      <c r="Y4" s="54"/>
      <c r="Z4" s="53"/>
    </row>
    <row r="5" spans="1:26" ht="14.15" customHeight="1" thickTop="1">
      <c r="A5" s="68">
        <v>2015021</v>
      </c>
      <c r="C5" s="404">
        <v>1</v>
      </c>
      <c r="D5" s="402" t="s">
        <v>38</v>
      </c>
      <c r="E5" s="402"/>
      <c r="F5" s="402"/>
      <c r="G5" s="402"/>
      <c r="H5" s="402" t="s">
        <v>73</v>
      </c>
      <c r="I5" s="402" t="s">
        <v>72</v>
      </c>
      <c r="J5" s="398" t="s">
        <v>39</v>
      </c>
      <c r="K5" s="115" t="s">
        <v>22</v>
      </c>
      <c r="L5" s="202">
        <f>L6+L7</f>
        <v>626960</v>
      </c>
      <c r="M5" s="270">
        <f t="shared" ref="M5:W5" si="2">M6+M7</f>
        <v>527840</v>
      </c>
      <c r="N5" s="270">
        <f t="shared" si="2"/>
        <v>660000</v>
      </c>
      <c r="O5" s="270">
        <f t="shared" si="2"/>
        <v>693040</v>
      </c>
      <c r="P5" s="270">
        <f t="shared" si="2"/>
        <v>593920</v>
      </c>
      <c r="Q5" s="270">
        <f>Q6+Q7</f>
        <v>626960</v>
      </c>
      <c r="R5" s="270">
        <f t="shared" si="2"/>
        <v>660000</v>
      </c>
      <c r="S5" s="270">
        <f t="shared" si="2"/>
        <v>560880</v>
      </c>
      <c r="T5" s="270">
        <f t="shared" si="2"/>
        <v>626960</v>
      </c>
      <c r="U5" s="270">
        <f t="shared" si="2"/>
        <v>626960</v>
      </c>
      <c r="V5" s="270">
        <f t="shared" si="2"/>
        <v>593920</v>
      </c>
      <c r="W5" s="82">
        <f t="shared" si="2"/>
        <v>660000</v>
      </c>
      <c r="X5" s="19">
        <f>SUM(L5:W5)</f>
        <v>7457440</v>
      </c>
      <c r="Y5" s="54"/>
      <c r="Z5" s="54"/>
    </row>
    <row r="6" spans="1:26">
      <c r="A6" s="70">
        <f t="shared" ref="A6:A16" si="3">+A5</f>
        <v>2015021</v>
      </c>
      <c r="B6" s="74"/>
      <c r="C6" s="404"/>
      <c r="D6" s="402"/>
      <c r="E6" s="402"/>
      <c r="F6" s="402"/>
      <c r="G6" s="402"/>
      <c r="H6" s="402"/>
      <c r="I6" s="491"/>
      <c r="J6" s="398"/>
      <c r="K6" s="159" t="s">
        <v>23</v>
      </c>
      <c r="L6" s="203">
        <v>626960</v>
      </c>
      <c r="M6" s="203">
        <v>527840</v>
      </c>
      <c r="N6" s="203">
        <v>660000</v>
      </c>
      <c r="O6" s="203">
        <v>693040</v>
      </c>
      <c r="P6" s="203">
        <v>593920</v>
      </c>
      <c r="Q6" s="203">
        <v>626960</v>
      </c>
      <c r="R6" s="203">
        <v>660000</v>
      </c>
      <c r="S6" s="203">
        <v>560880</v>
      </c>
      <c r="T6" s="203">
        <v>626960</v>
      </c>
      <c r="U6" s="203">
        <v>626960</v>
      </c>
      <c r="V6" s="203">
        <v>593920</v>
      </c>
      <c r="W6" s="162">
        <v>660000</v>
      </c>
      <c r="X6" s="20">
        <f t="shared" ref="X6:X14" si="4">SUM(L6:W6)</f>
        <v>7457440</v>
      </c>
      <c r="Y6" s="54"/>
      <c r="Z6" s="54"/>
    </row>
    <row r="7" spans="1:26">
      <c r="A7" s="70">
        <f t="shared" si="3"/>
        <v>2015021</v>
      </c>
      <c r="B7" s="74"/>
      <c r="C7" s="404"/>
      <c r="D7" s="402"/>
      <c r="E7" s="402"/>
      <c r="F7" s="402"/>
      <c r="G7" s="402"/>
      <c r="H7" s="402"/>
      <c r="I7" s="491"/>
      <c r="J7" s="398"/>
      <c r="K7" s="62" t="s">
        <v>24</v>
      </c>
      <c r="L7" s="196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84"/>
      <c r="X7" s="20">
        <f t="shared" si="4"/>
        <v>0</v>
      </c>
      <c r="Y7" s="54"/>
      <c r="Z7" s="54"/>
    </row>
    <row r="8" spans="1:26">
      <c r="A8" s="70">
        <f t="shared" si="3"/>
        <v>2015021</v>
      </c>
      <c r="B8" s="74"/>
      <c r="C8" s="404"/>
      <c r="D8" s="402"/>
      <c r="E8" s="402"/>
      <c r="F8" s="402"/>
      <c r="G8" s="402"/>
      <c r="H8" s="402"/>
      <c r="I8" s="491"/>
      <c r="J8" s="398"/>
      <c r="K8" s="63" t="s">
        <v>25</v>
      </c>
      <c r="L8" s="219">
        <f>SUM(L9:L15)</f>
        <v>562696</v>
      </c>
      <c r="M8" s="279">
        <f t="shared" ref="M8:W8" si="5">SUM(M9:M15)</f>
        <v>533899</v>
      </c>
      <c r="N8" s="279">
        <f t="shared" si="5"/>
        <v>562374</v>
      </c>
      <c r="O8" s="279">
        <f t="shared" si="5"/>
        <v>616827</v>
      </c>
      <c r="P8" s="279">
        <f t="shared" si="5"/>
        <v>537577</v>
      </c>
      <c r="Q8" s="279">
        <f t="shared" si="5"/>
        <v>534976</v>
      </c>
      <c r="R8" s="279">
        <f t="shared" si="5"/>
        <v>582732</v>
      </c>
      <c r="S8" s="279">
        <f t="shared" si="5"/>
        <v>488251</v>
      </c>
      <c r="T8" s="279">
        <f t="shared" si="5"/>
        <v>556095</v>
      </c>
      <c r="U8" s="279">
        <f t="shared" si="5"/>
        <v>513452</v>
      </c>
      <c r="V8" s="279">
        <f t="shared" si="5"/>
        <v>490272</v>
      </c>
      <c r="W8" s="85">
        <f t="shared" si="5"/>
        <v>574290.22222222225</v>
      </c>
      <c r="X8" s="21">
        <f t="shared" si="4"/>
        <v>6553441.222222222</v>
      </c>
      <c r="Y8" s="54"/>
      <c r="Z8" s="54"/>
    </row>
    <row r="9" spans="1:26">
      <c r="A9" s="70">
        <f t="shared" si="3"/>
        <v>2015021</v>
      </c>
      <c r="B9" s="74"/>
      <c r="C9" s="404"/>
      <c r="D9" s="402"/>
      <c r="E9" s="402"/>
      <c r="F9" s="402"/>
      <c r="G9" s="402"/>
      <c r="H9" s="402"/>
      <c r="I9" s="491"/>
      <c r="J9" s="398"/>
      <c r="K9" s="161" t="s">
        <v>26</v>
      </c>
      <c r="L9" s="220">
        <v>481880</v>
      </c>
      <c r="M9" s="220">
        <v>455120</v>
      </c>
      <c r="N9" s="220">
        <v>483300</v>
      </c>
      <c r="O9" s="220">
        <v>535209</v>
      </c>
      <c r="P9" s="220">
        <v>458760</v>
      </c>
      <c r="Q9" s="220">
        <v>460580</v>
      </c>
      <c r="R9" s="220">
        <v>507840</v>
      </c>
      <c r="S9" s="220">
        <v>414340</v>
      </c>
      <c r="T9" s="220">
        <v>481480</v>
      </c>
      <c r="U9" s="220">
        <v>439280</v>
      </c>
      <c r="V9" s="220">
        <v>416160</v>
      </c>
      <c r="W9" s="176">
        <v>493474.22222222225</v>
      </c>
      <c r="X9" s="20">
        <f t="shared" si="4"/>
        <v>5627423.222222222</v>
      </c>
      <c r="Y9" s="54"/>
      <c r="Z9" s="54"/>
    </row>
    <row r="10" spans="1:26">
      <c r="A10" s="70">
        <f t="shared" si="3"/>
        <v>2015021</v>
      </c>
      <c r="B10" s="74"/>
      <c r="C10" s="404"/>
      <c r="D10" s="402"/>
      <c r="E10" s="402"/>
      <c r="F10" s="402"/>
      <c r="G10" s="402"/>
      <c r="H10" s="402"/>
      <c r="I10" s="491"/>
      <c r="J10" s="398"/>
      <c r="K10" s="161" t="s">
        <v>33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176"/>
      <c r="X10" s="20">
        <f t="shared" si="4"/>
        <v>0</v>
      </c>
      <c r="Y10" s="54"/>
      <c r="Z10" s="54"/>
    </row>
    <row r="11" spans="1:26">
      <c r="A11" s="70">
        <f t="shared" si="3"/>
        <v>2015021</v>
      </c>
      <c r="B11" s="74"/>
      <c r="C11" s="404"/>
      <c r="D11" s="402"/>
      <c r="E11" s="402"/>
      <c r="F11" s="402"/>
      <c r="G11" s="402"/>
      <c r="H11" s="402"/>
      <c r="I11" s="491"/>
      <c r="J11" s="398"/>
      <c r="K11" s="161" t="s">
        <v>27</v>
      </c>
      <c r="L11" s="220">
        <v>1738</v>
      </c>
      <c r="M11" s="220">
        <v>0</v>
      </c>
      <c r="N11" s="220">
        <v>0</v>
      </c>
      <c r="O11" s="220">
        <v>1977</v>
      </c>
      <c r="P11" s="220">
        <v>0</v>
      </c>
      <c r="Q11" s="220">
        <v>0</v>
      </c>
      <c r="R11" s="220">
        <v>0</v>
      </c>
      <c r="S11" s="220">
        <v>0</v>
      </c>
      <c r="T11" s="220">
        <v>0</v>
      </c>
      <c r="U11" s="220">
        <v>0</v>
      </c>
      <c r="V11" s="220">
        <v>0</v>
      </c>
      <c r="W11" s="176">
        <v>1738</v>
      </c>
      <c r="X11" s="20">
        <f t="shared" si="4"/>
        <v>5453</v>
      </c>
      <c r="Y11" s="54"/>
      <c r="Z11" s="54"/>
    </row>
    <row r="12" spans="1:26">
      <c r="A12" s="70">
        <f t="shared" si="3"/>
        <v>2015021</v>
      </c>
      <c r="B12" s="74"/>
      <c r="C12" s="404"/>
      <c r="D12" s="402"/>
      <c r="E12" s="402"/>
      <c r="F12" s="402"/>
      <c r="G12" s="402"/>
      <c r="H12" s="402"/>
      <c r="I12" s="491"/>
      <c r="J12" s="398"/>
      <c r="K12" s="161" t="s">
        <v>28</v>
      </c>
      <c r="L12" s="220">
        <v>28250</v>
      </c>
      <c r="M12" s="220">
        <v>28250</v>
      </c>
      <c r="N12" s="220">
        <v>28250</v>
      </c>
      <c r="O12" s="220">
        <v>28250</v>
      </c>
      <c r="P12" s="220">
        <v>28250</v>
      </c>
      <c r="Q12" s="220">
        <v>26555</v>
      </c>
      <c r="R12" s="220">
        <v>26555</v>
      </c>
      <c r="S12" s="220">
        <v>26555</v>
      </c>
      <c r="T12" s="220">
        <v>26555</v>
      </c>
      <c r="U12" s="220">
        <v>26555</v>
      </c>
      <c r="V12" s="220">
        <v>26555</v>
      </c>
      <c r="W12" s="176">
        <v>28250</v>
      </c>
      <c r="X12" s="20">
        <f t="shared" si="4"/>
        <v>328830</v>
      </c>
      <c r="Y12" s="54"/>
      <c r="Z12" s="54"/>
    </row>
    <row r="13" spans="1:26">
      <c r="A13" s="70">
        <f t="shared" si="3"/>
        <v>2015021</v>
      </c>
      <c r="B13" s="74"/>
      <c r="C13" s="404"/>
      <c r="D13" s="402"/>
      <c r="E13" s="402"/>
      <c r="F13" s="402"/>
      <c r="G13" s="402"/>
      <c r="H13" s="402"/>
      <c r="I13" s="491"/>
      <c r="J13" s="398"/>
      <c r="K13" s="161" t="s">
        <v>29</v>
      </c>
      <c r="L13" s="220">
        <v>45750</v>
      </c>
      <c r="M13" s="220">
        <v>45750</v>
      </c>
      <c r="N13" s="220">
        <v>45750</v>
      </c>
      <c r="O13" s="220">
        <v>45750</v>
      </c>
      <c r="P13" s="220">
        <v>45750</v>
      </c>
      <c r="Q13" s="220">
        <v>43005</v>
      </c>
      <c r="R13" s="220">
        <v>43005</v>
      </c>
      <c r="S13" s="220">
        <v>43005</v>
      </c>
      <c r="T13" s="220">
        <v>43005</v>
      </c>
      <c r="U13" s="220">
        <v>43005</v>
      </c>
      <c r="V13" s="220">
        <v>43005</v>
      </c>
      <c r="W13" s="176">
        <v>45750</v>
      </c>
      <c r="X13" s="20">
        <f t="shared" si="4"/>
        <v>532530</v>
      </c>
      <c r="Y13" s="54"/>
      <c r="Z13" s="54"/>
    </row>
    <row r="14" spans="1:26">
      <c r="A14" s="70">
        <f t="shared" si="3"/>
        <v>2015021</v>
      </c>
      <c r="B14" s="74"/>
      <c r="C14" s="404"/>
      <c r="D14" s="402"/>
      <c r="E14" s="402"/>
      <c r="F14" s="402"/>
      <c r="G14" s="402"/>
      <c r="H14" s="402"/>
      <c r="I14" s="491"/>
      <c r="J14" s="398"/>
      <c r="K14" s="161" t="s">
        <v>30</v>
      </c>
      <c r="L14" s="220">
        <v>2418</v>
      </c>
      <c r="M14" s="220">
        <v>2276</v>
      </c>
      <c r="N14" s="220">
        <v>2416</v>
      </c>
      <c r="O14" s="220">
        <v>2686</v>
      </c>
      <c r="P14" s="220">
        <v>2294</v>
      </c>
      <c r="Q14" s="220">
        <v>2303</v>
      </c>
      <c r="R14" s="220">
        <v>2539</v>
      </c>
      <c r="S14" s="220">
        <v>2072</v>
      </c>
      <c r="T14" s="220">
        <v>2407</v>
      </c>
      <c r="U14" s="220">
        <v>2196</v>
      </c>
      <c r="V14" s="220">
        <v>2168</v>
      </c>
      <c r="W14" s="176">
        <v>2418</v>
      </c>
      <c r="X14" s="20">
        <f t="shared" si="4"/>
        <v>28193</v>
      </c>
      <c r="Y14" s="54"/>
      <c r="Z14" s="54"/>
    </row>
    <row r="15" spans="1:26">
      <c r="A15" s="70">
        <f t="shared" si="3"/>
        <v>2015021</v>
      </c>
      <c r="B15" s="74"/>
      <c r="C15" s="404"/>
      <c r="D15" s="402"/>
      <c r="E15" s="402"/>
      <c r="F15" s="402"/>
      <c r="G15" s="402"/>
      <c r="H15" s="402"/>
      <c r="I15" s="491"/>
      <c r="J15" s="398"/>
      <c r="K15" s="161" t="s">
        <v>31</v>
      </c>
      <c r="L15" s="220">
        <v>2660</v>
      </c>
      <c r="M15" s="220">
        <v>2503</v>
      </c>
      <c r="N15" s="220">
        <v>2658</v>
      </c>
      <c r="O15" s="220">
        <v>2955</v>
      </c>
      <c r="P15" s="220">
        <v>2523</v>
      </c>
      <c r="Q15" s="220">
        <v>2533</v>
      </c>
      <c r="R15" s="220">
        <v>2793</v>
      </c>
      <c r="S15" s="220">
        <v>2279</v>
      </c>
      <c r="T15" s="220">
        <v>2648</v>
      </c>
      <c r="U15" s="220">
        <v>2416</v>
      </c>
      <c r="V15" s="220">
        <v>2384</v>
      </c>
      <c r="W15" s="176">
        <v>2660</v>
      </c>
      <c r="X15" s="20">
        <f>SUM(L15:W15)</f>
        <v>31012</v>
      </c>
      <c r="Y15" s="54"/>
      <c r="Z15" s="54"/>
    </row>
    <row r="16" spans="1:26">
      <c r="A16" s="70">
        <f t="shared" si="3"/>
        <v>2015021</v>
      </c>
      <c r="B16" s="74"/>
      <c r="C16" s="404"/>
      <c r="D16" s="402"/>
      <c r="E16" s="402"/>
      <c r="F16" s="402"/>
      <c r="G16" s="402"/>
      <c r="H16" s="402"/>
      <c r="I16" s="491"/>
      <c r="J16" s="399"/>
      <c r="K16" s="116" t="s">
        <v>32</v>
      </c>
      <c r="L16" s="206">
        <f>L5-L8</f>
        <v>64264</v>
      </c>
      <c r="M16" s="271">
        <f t="shared" ref="M16:W16" si="6">M5-M8</f>
        <v>-6059</v>
      </c>
      <c r="N16" s="271">
        <f t="shared" si="6"/>
        <v>97626</v>
      </c>
      <c r="O16" s="271">
        <f t="shared" si="6"/>
        <v>76213</v>
      </c>
      <c r="P16" s="271">
        <f t="shared" si="6"/>
        <v>56343</v>
      </c>
      <c r="Q16" s="271">
        <f t="shared" si="6"/>
        <v>91984</v>
      </c>
      <c r="R16" s="271">
        <f t="shared" si="6"/>
        <v>77268</v>
      </c>
      <c r="S16" s="271">
        <f t="shared" si="6"/>
        <v>72629</v>
      </c>
      <c r="T16" s="271">
        <f t="shared" si="6"/>
        <v>70865</v>
      </c>
      <c r="U16" s="271">
        <f t="shared" si="6"/>
        <v>113508</v>
      </c>
      <c r="V16" s="271">
        <f t="shared" si="6"/>
        <v>103648</v>
      </c>
      <c r="W16" s="86">
        <f t="shared" si="6"/>
        <v>85709.777777777752</v>
      </c>
      <c r="X16" s="22">
        <f>X5-X8</f>
        <v>903998.77777777798</v>
      </c>
      <c r="Y16" s="54"/>
      <c r="Z16" s="54"/>
    </row>
    <row r="17" spans="1:27" ht="13.4" customHeight="1">
      <c r="A17" s="68">
        <v>2017012</v>
      </c>
      <c r="C17" s="433">
        <f>C5+1</f>
        <v>2</v>
      </c>
      <c r="D17" s="432" t="s">
        <v>38</v>
      </c>
      <c r="E17" s="432"/>
      <c r="F17" s="432"/>
      <c r="G17" s="432"/>
      <c r="H17" s="432" t="s">
        <v>74</v>
      </c>
      <c r="I17" s="432" t="s">
        <v>72</v>
      </c>
      <c r="J17" s="397" t="s">
        <v>39</v>
      </c>
      <c r="K17" s="61" t="s">
        <v>22</v>
      </c>
      <c r="L17" s="207">
        <f>L18+L19</f>
        <v>790000</v>
      </c>
      <c r="M17" s="272">
        <f t="shared" ref="M17:W17" si="7">M18+M19</f>
        <v>693670</v>
      </c>
      <c r="N17" s="272">
        <f t="shared" si="7"/>
        <v>790000</v>
      </c>
      <c r="O17" s="272">
        <f t="shared" si="7"/>
        <v>790000</v>
      </c>
      <c r="P17" s="272">
        <f t="shared" si="7"/>
        <v>767770</v>
      </c>
      <c r="Q17" s="272">
        <f>Q18+Q19</f>
        <v>767770</v>
      </c>
      <c r="R17" s="272">
        <f t="shared" si="7"/>
        <v>790000</v>
      </c>
      <c r="S17" s="272">
        <f t="shared" si="7"/>
        <v>790000</v>
      </c>
      <c r="T17" s="272">
        <f t="shared" si="7"/>
        <v>790000</v>
      </c>
      <c r="U17" s="272">
        <f t="shared" si="7"/>
        <v>920910</v>
      </c>
      <c r="V17" s="272">
        <f t="shared" si="7"/>
        <v>790000</v>
      </c>
      <c r="W17" s="87">
        <f t="shared" si="7"/>
        <v>790000</v>
      </c>
      <c r="X17" s="23">
        <f t="shared" ref="X17:X27" si="8">SUM(L17:W17)</f>
        <v>9470120</v>
      </c>
      <c r="Y17" s="54"/>
      <c r="Z17" s="54"/>
    </row>
    <row r="18" spans="1:27">
      <c r="A18" s="70">
        <f t="shared" ref="A18:A28" si="9">+A17</f>
        <v>2017012</v>
      </c>
      <c r="B18" s="74">
        <f t="shared" ref="B18:B28" si="10">+B17</f>
        <v>0</v>
      </c>
      <c r="C18" s="404"/>
      <c r="D18" s="402"/>
      <c r="E18" s="402"/>
      <c r="F18" s="402"/>
      <c r="G18" s="402"/>
      <c r="H18" s="402"/>
      <c r="I18" s="491"/>
      <c r="J18" s="398"/>
      <c r="K18" s="159" t="s">
        <v>23</v>
      </c>
      <c r="L18" s="203">
        <v>790000</v>
      </c>
      <c r="M18" s="203">
        <v>693670</v>
      </c>
      <c r="N18" s="203">
        <v>790000</v>
      </c>
      <c r="O18" s="203">
        <v>790000</v>
      </c>
      <c r="P18" s="203">
        <v>767770</v>
      </c>
      <c r="Q18" s="203">
        <v>767770</v>
      </c>
      <c r="R18" s="203">
        <v>790000</v>
      </c>
      <c r="S18" s="203">
        <v>790000</v>
      </c>
      <c r="T18" s="203">
        <v>790000</v>
      </c>
      <c r="U18" s="203">
        <v>920910</v>
      </c>
      <c r="V18" s="203">
        <v>790000</v>
      </c>
      <c r="W18" s="162">
        <v>790000</v>
      </c>
      <c r="X18" s="20">
        <f t="shared" si="8"/>
        <v>9470120</v>
      </c>
      <c r="Y18" s="54"/>
      <c r="Z18" s="54"/>
    </row>
    <row r="19" spans="1:27">
      <c r="A19" s="70">
        <f t="shared" si="9"/>
        <v>2017012</v>
      </c>
      <c r="B19" s="74">
        <f t="shared" si="10"/>
        <v>0</v>
      </c>
      <c r="C19" s="404"/>
      <c r="D19" s="402"/>
      <c r="E19" s="402"/>
      <c r="F19" s="402"/>
      <c r="G19" s="402"/>
      <c r="H19" s="402"/>
      <c r="I19" s="491"/>
      <c r="J19" s="398"/>
      <c r="K19" s="62" t="s">
        <v>24</v>
      </c>
      <c r="L19" s="196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84"/>
      <c r="X19" s="20">
        <f t="shared" si="8"/>
        <v>0</v>
      </c>
      <c r="Y19" s="54"/>
      <c r="Z19" s="54"/>
    </row>
    <row r="20" spans="1:27">
      <c r="A20" s="70">
        <f t="shared" si="9"/>
        <v>2017012</v>
      </c>
      <c r="B20" s="74">
        <f t="shared" si="10"/>
        <v>0</v>
      </c>
      <c r="C20" s="404"/>
      <c r="D20" s="402"/>
      <c r="E20" s="402"/>
      <c r="F20" s="402"/>
      <c r="G20" s="402"/>
      <c r="H20" s="402"/>
      <c r="I20" s="491"/>
      <c r="J20" s="398"/>
      <c r="K20" s="63" t="s">
        <v>25</v>
      </c>
      <c r="L20" s="219">
        <f>SUM(L21:L27)</f>
        <v>603098</v>
      </c>
      <c r="M20" s="279">
        <f t="shared" ref="M20:W20" si="11">SUM(M21:M27)</f>
        <v>601885</v>
      </c>
      <c r="N20" s="279">
        <f t="shared" si="11"/>
        <v>603494</v>
      </c>
      <c r="O20" s="279">
        <f t="shared" si="11"/>
        <v>602896</v>
      </c>
      <c r="P20" s="279">
        <f t="shared" si="11"/>
        <v>602686</v>
      </c>
      <c r="Q20" s="279">
        <f>SUM(Q21:Q27)</f>
        <v>607126</v>
      </c>
      <c r="R20" s="279">
        <f t="shared" si="11"/>
        <v>610133</v>
      </c>
      <c r="S20" s="279">
        <f t="shared" si="11"/>
        <v>607126</v>
      </c>
      <c r="T20" s="279">
        <f t="shared" si="11"/>
        <v>630283</v>
      </c>
      <c r="U20" s="279">
        <f t="shared" si="11"/>
        <v>711602</v>
      </c>
      <c r="V20" s="279">
        <f t="shared" si="11"/>
        <v>603476</v>
      </c>
      <c r="W20" s="85">
        <f t="shared" si="11"/>
        <v>588231.33333333326</v>
      </c>
      <c r="X20" s="21">
        <f t="shared" si="8"/>
        <v>7372036.333333333</v>
      </c>
      <c r="Y20" s="54"/>
      <c r="Z20" s="54"/>
    </row>
    <row r="21" spans="1:27">
      <c r="A21" s="70">
        <f t="shared" si="9"/>
        <v>2017012</v>
      </c>
      <c r="B21" s="74">
        <f t="shared" si="10"/>
        <v>0</v>
      </c>
      <c r="C21" s="404"/>
      <c r="D21" s="402"/>
      <c r="E21" s="402"/>
      <c r="F21" s="402"/>
      <c r="G21" s="402"/>
      <c r="H21" s="402"/>
      <c r="I21" s="491"/>
      <c r="J21" s="398"/>
      <c r="K21" s="161" t="s">
        <v>26</v>
      </c>
      <c r="L21" s="203">
        <v>522600</v>
      </c>
      <c r="M21" s="203">
        <v>521400</v>
      </c>
      <c r="N21" s="203">
        <v>523000</v>
      </c>
      <c r="O21" s="203">
        <v>523400</v>
      </c>
      <c r="P21" s="203">
        <v>522200</v>
      </c>
      <c r="Q21" s="203">
        <v>522200</v>
      </c>
      <c r="R21" s="203">
        <v>522200</v>
      </c>
      <c r="S21" s="203">
        <v>522200</v>
      </c>
      <c r="T21" s="203">
        <v>545116</v>
      </c>
      <c r="U21" s="203">
        <v>626583</v>
      </c>
      <c r="V21" s="203">
        <v>519400</v>
      </c>
      <c r="W21" s="162">
        <v>507733.33333333331</v>
      </c>
      <c r="X21" s="20">
        <f t="shared" si="8"/>
        <v>6378032.333333333</v>
      </c>
      <c r="Y21" s="54"/>
      <c r="Z21" s="54"/>
    </row>
    <row r="22" spans="1:27">
      <c r="A22" s="70">
        <f t="shared" si="9"/>
        <v>2017012</v>
      </c>
      <c r="B22" s="74">
        <f t="shared" si="10"/>
        <v>0</v>
      </c>
      <c r="C22" s="404"/>
      <c r="D22" s="402"/>
      <c r="E22" s="402"/>
      <c r="F22" s="402"/>
      <c r="G22" s="402"/>
      <c r="H22" s="402"/>
      <c r="I22" s="491"/>
      <c r="J22" s="398"/>
      <c r="K22" s="161" t="s">
        <v>33</v>
      </c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162"/>
      <c r="X22" s="20">
        <f t="shared" si="8"/>
        <v>0</v>
      </c>
      <c r="Y22" s="54"/>
      <c r="Z22" s="54"/>
    </row>
    <row r="23" spans="1:27">
      <c r="A23" s="70">
        <f t="shared" si="9"/>
        <v>2017012</v>
      </c>
      <c r="B23" s="74">
        <f t="shared" si="10"/>
        <v>0</v>
      </c>
      <c r="C23" s="404"/>
      <c r="D23" s="402"/>
      <c r="E23" s="402"/>
      <c r="F23" s="402"/>
      <c r="G23" s="402"/>
      <c r="H23" s="402"/>
      <c r="I23" s="491"/>
      <c r="J23" s="398"/>
      <c r="K23" s="161" t="s">
        <v>27</v>
      </c>
      <c r="L23" s="203">
        <v>1000</v>
      </c>
      <c r="M23" s="203">
        <v>1000</v>
      </c>
      <c r="N23" s="203">
        <v>992</v>
      </c>
      <c r="O23" s="203">
        <v>0</v>
      </c>
      <c r="P23" s="203">
        <v>992</v>
      </c>
      <c r="Q23" s="203">
        <v>992</v>
      </c>
      <c r="R23" s="203">
        <v>3968</v>
      </c>
      <c r="S23" s="203">
        <v>992</v>
      </c>
      <c r="T23" s="203">
        <v>992</v>
      </c>
      <c r="U23" s="203">
        <v>0</v>
      </c>
      <c r="V23" s="220">
        <v>0</v>
      </c>
      <c r="W23" s="162">
        <v>1000</v>
      </c>
      <c r="X23" s="20">
        <f t="shared" si="8"/>
        <v>11928</v>
      </c>
      <c r="Y23" s="54"/>
      <c r="Z23" s="54"/>
    </row>
    <row r="24" spans="1:27">
      <c r="A24" s="70">
        <f t="shared" si="9"/>
        <v>2017012</v>
      </c>
      <c r="B24" s="74">
        <f t="shared" si="10"/>
        <v>0</v>
      </c>
      <c r="C24" s="404"/>
      <c r="D24" s="402"/>
      <c r="E24" s="402"/>
      <c r="F24" s="402"/>
      <c r="G24" s="402"/>
      <c r="H24" s="402"/>
      <c r="I24" s="491"/>
      <c r="J24" s="398"/>
      <c r="K24" s="161" t="s">
        <v>28</v>
      </c>
      <c r="L24" s="220">
        <v>28250</v>
      </c>
      <c r="M24" s="220">
        <v>28250</v>
      </c>
      <c r="N24" s="220">
        <v>28250</v>
      </c>
      <c r="O24" s="220">
        <v>28250</v>
      </c>
      <c r="P24" s="220">
        <v>28250</v>
      </c>
      <c r="Q24" s="220">
        <v>29945</v>
      </c>
      <c r="R24" s="220">
        <v>29945</v>
      </c>
      <c r="S24" s="220">
        <v>29945</v>
      </c>
      <c r="T24" s="220">
        <v>29945</v>
      </c>
      <c r="U24" s="220">
        <v>29945</v>
      </c>
      <c r="V24" s="220">
        <v>29945</v>
      </c>
      <c r="W24" s="177">
        <v>28250</v>
      </c>
      <c r="X24" s="20">
        <f t="shared" si="8"/>
        <v>349170</v>
      </c>
      <c r="Y24" s="54"/>
      <c r="Z24" s="54"/>
    </row>
    <row r="25" spans="1:27">
      <c r="A25" s="70">
        <f t="shared" si="9"/>
        <v>2017012</v>
      </c>
      <c r="B25" s="74">
        <f t="shared" si="10"/>
        <v>0</v>
      </c>
      <c r="C25" s="404"/>
      <c r="D25" s="402"/>
      <c r="E25" s="402"/>
      <c r="F25" s="402"/>
      <c r="G25" s="402"/>
      <c r="H25" s="402"/>
      <c r="I25" s="491"/>
      <c r="J25" s="398"/>
      <c r="K25" s="161" t="s">
        <v>29</v>
      </c>
      <c r="L25" s="220">
        <v>45750</v>
      </c>
      <c r="M25" s="220">
        <v>45750</v>
      </c>
      <c r="N25" s="220">
        <v>45750</v>
      </c>
      <c r="O25" s="220">
        <v>45750</v>
      </c>
      <c r="P25" s="220">
        <v>45750</v>
      </c>
      <c r="Q25" s="220">
        <v>48495</v>
      </c>
      <c r="R25" s="220">
        <v>48495</v>
      </c>
      <c r="S25" s="220">
        <v>48495</v>
      </c>
      <c r="T25" s="220">
        <v>48495</v>
      </c>
      <c r="U25" s="220">
        <v>48495</v>
      </c>
      <c r="V25" s="220">
        <v>48495</v>
      </c>
      <c r="W25" s="177">
        <v>45750</v>
      </c>
      <c r="X25" s="20">
        <f t="shared" si="8"/>
        <v>565470</v>
      </c>
      <c r="Y25" s="54"/>
      <c r="Z25" s="54"/>
    </row>
    <row r="26" spans="1:27">
      <c r="A26" s="70">
        <f t="shared" si="9"/>
        <v>2017012</v>
      </c>
      <c r="B26" s="74">
        <f t="shared" si="10"/>
        <v>0</v>
      </c>
      <c r="C26" s="404"/>
      <c r="D26" s="402"/>
      <c r="E26" s="402"/>
      <c r="F26" s="402"/>
      <c r="G26" s="402"/>
      <c r="H26" s="402"/>
      <c r="I26" s="491"/>
      <c r="J26" s="398"/>
      <c r="K26" s="161" t="s">
        <v>30</v>
      </c>
      <c r="L26" s="220">
        <v>2618</v>
      </c>
      <c r="M26" s="220">
        <v>2612</v>
      </c>
      <c r="N26" s="220">
        <v>2620</v>
      </c>
      <c r="O26" s="220">
        <v>2617</v>
      </c>
      <c r="P26" s="220">
        <v>2616</v>
      </c>
      <c r="Q26" s="220">
        <v>2616</v>
      </c>
      <c r="R26" s="220">
        <v>2631</v>
      </c>
      <c r="S26" s="220">
        <v>2616</v>
      </c>
      <c r="T26" s="220">
        <v>2731</v>
      </c>
      <c r="U26" s="220">
        <v>3133</v>
      </c>
      <c r="V26" s="220">
        <v>2684</v>
      </c>
      <c r="W26" s="177">
        <v>2618</v>
      </c>
      <c r="X26" s="20">
        <f t="shared" si="8"/>
        <v>32112</v>
      </c>
      <c r="Y26" s="54"/>
      <c r="Z26" s="54"/>
    </row>
    <row r="27" spans="1:27">
      <c r="A27" s="70">
        <f t="shared" si="9"/>
        <v>2017012</v>
      </c>
      <c r="B27" s="74">
        <f t="shared" si="10"/>
        <v>0</v>
      </c>
      <c r="C27" s="404"/>
      <c r="D27" s="402"/>
      <c r="E27" s="402"/>
      <c r="F27" s="402"/>
      <c r="G27" s="402"/>
      <c r="H27" s="402"/>
      <c r="I27" s="491"/>
      <c r="J27" s="398"/>
      <c r="K27" s="64" t="s">
        <v>31</v>
      </c>
      <c r="L27" s="221">
        <v>2880</v>
      </c>
      <c r="M27" s="221">
        <v>2873</v>
      </c>
      <c r="N27" s="221">
        <v>2882</v>
      </c>
      <c r="O27" s="221">
        <v>2879</v>
      </c>
      <c r="P27" s="221">
        <v>2878</v>
      </c>
      <c r="Q27" s="221">
        <v>2878</v>
      </c>
      <c r="R27" s="221">
        <v>2894</v>
      </c>
      <c r="S27" s="221">
        <v>2878</v>
      </c>
      <c r="T27" s="221">
        <v>3004</v>
      </c>
      <c r="U27" s="221">
        <v>3446</v>
      </c>
      <c r="V27" s="221">
        <v>2952</v>
      </c>
      <c r="W27" s="91">
        <v>2880</v>
      </c>
      <c r="X27" s="20">
        <f t="shared" si="8"/>
        <v>35324</v>
      </c>
      <c r="Y27" s="54"/>
      <c r="Z27" s="54"/>
    </row>
    <row r="28" spans="1:27" ht="12.5" thickBot="1">
      <c r="A28" s="70">
        <f t="shared" si="9"/>
        <v>2017012</v>
      </c>
      <c r="B28" s="74">
        <f t="shared" si="10"/>
        <v>0</v>
      </c>
      <c r="C28" s="438"/>
      <c r="D28" s="436"/>
      <c r="E28" s="436"/>
      <c r="F28" s="436"/>
      <c r="G28" s="436"/>
      <c r="H28" s="436"/>
      <c r="I28" s="492"/>
      <c r="J28" s="437"/>
      <c r="K28" s="67" t="s">
        <v>32</v>
      </c>
      <c r="L28" s="197">
        <f>L17-L20</f>
        <v>186902</v>
      </c>
      <c r="M28" s="268">
        <f t="shared" ref="M28:W28" si="12">M17-M20</f>
        <v>91785</v>
      </c>
      <c r="N28" s="268">
        <f>N17-N20</f>
        <v>186506</v>
      </c>
      <c r="O28" s="268">
        <f t="shared" si="12"/>
        <v>187104</v>
      </c>
      <c r="P28" s="268">
        <f t="shared" si="12"/>
        <v>165084</v>
      </c>
      <c r="Q28" s="268">
        <f t="shared" si="12"/>
        <v>160644</v>
      </c>
      <c r="R28" s="268">
        <f t="shared" si="12"/>
        <v>179867</v>
      </c>
      <c r="S28" s="268">
        <f t="shared" si="12"/>
        <v>182874</v>
      </c>
      <c r="T28" s="268">
        <f t="shared" si="12"/>
        <v>159717</v>
      </c>
      <c r="U28" s="268">
        <f t="shared" si="12"/>
        <v>209308</v>
      </c>
      <c r="V28" s="268">
        <f t="shared" si="12"/>
        <v>186524</v>
      </c>
      <c r="W28" s="147">
        <f t="shared" si="12"/>
        <v>201768.66666666674</v>
      </c>
      <c r="X28" s="59">
        <f>X17-X20</f>
        <v>2098083.666666667</v>
      </c>
      <c r="Z28" s="54"/>
    </row>
    <row r="29" spans="1:27" s="1" customFormat="1" ht="12.5" thickTop="1">
      <c r="A29" s="68"/>
      <c r="B29" s="72"/>
      <c r="C29" s="421" t="str">
        <f>C2</f>
        <v>S&amp;I</v>
      </c>
      <c r="D29" s="422"/>
      <c r="E29" s="422"/>
      <c r="F29" s="422"/>
      <c r="G29" s="422"/>
      <c r="H29" s="422"/>
      <c r="I29" s="422"/>
      <c r="J29" s="423"/>
      <c r="K29" s="112" t="s">
        <v>19</v>
      </c>
      <c r="L29" s="222">
        <f>L5+L17</f>
        <v>1416960</v>
      </c>
      <c r="M29" s="198">
        <f t="shared" ref="M29:W29" si="13">M5+M17</f>
        <v>1221510</v>
      </c>
      <c r="N29" s="198">
        <f t="shared" si="13"/>
        <v>1450000</v>
      </c>
      <c r="O29" s="198">
        <f t="shared" si="13"/>
        <v>1483040</v>
      </c>
      <c r="P29" s="198">
        <f t="shared" si="13"/>
        <v>1361690</v>
      </c>
      <c r="Q29" s="198">
        <f t="shared" si="13"/>
        <v>1394730</v>
      </c>
      <c r="R29" s="198">
        <f t="shared" si="13"/>
        <v>1450000</v>
      </c>
      <c r="S29" s="198">
        <f t="shared" si="13"/>
        <v>1350880</v>
      </c>
      <c r="T29" s="198">
        <f t="shared" si="13"/>
        <v>1416960</v>
      </c>
      <c r="U29" s="198">
        <f t="shared" si="13"/>
        <v>1547870</v>
      </c>
      <c r="V29" s="198">
        <f t="shared" si="13"/>
        <v>1383920</v>
      </c>
      <c r="W29" s="103">
        <f t="shared" si="13"/>
        <v>1450000</v>
      </c>
      <c r="X29" s="58">
        <f>SUM(L29:W29)</f>
        <v>16927560</v>
      </c>
      <c r="Z29" s="54"/>
      <c r="AA29" s="9"/>
    </row>
    <row r="30" spans="1:27" s="1" customFormat="1">
      <c r="A30" s="68"/>
      <c r="B30" s="72"/>
      <c r="C30" s="421"/>
      <c r="D30" s="422"/>
      <c r="E30" s="422"/>
      <c r="F30" s="422"/>
      <c r="G30" s="422"/>
      <c r="H30" s="422"/>
      <c r="I30" s="422"/>
      <c r="J30" s="423"/>
      <c r="K30" s="113" t="s">
        <v>20</v>
      </c>
      <c r="L30" s="215">
        <f t="shared" ref="L30:W30" si="14">L8+L20</f>
        <v>1165794</v>
      </c>
      <c r="M30" s="199">
        <f t="shared" si="14"/>
        <v>1135784</v>
      </c>
      <c r="N30" s="199">
        <f t="shared" si="14"/>
        <v>1165868</v>
      </c>
      <c r="O30" s="199">
        <f t="shared" si="14"/>
        <v>1219723</v>
      </c>
      <c r="P30" s="199">
        <f t="shared" si="14"/>
        <v>1140263</v>
      </c>
      <c r="Q30" s="199">
        <f t="shared" si="14"/>
        <v>1142102</v>
      </c>
      <c r="R30" s="199">
        <f t="shared" si="14"/>
        <v>1192865</v>
      </c>
      <c r="S30" s="199">
        <f t="shared" si="14"/>
        <v>1095377</v>
      </c>
      <c r="T30" s="199">
        <f t="shared" si="14"/>
        <v>1186378</v>
      </c>
      <c r="U30" s="199">
        <f t="shared" si="14"/>
        <v>1225054</v>
      </c>
      <c r="V30" s="199">
        <f t="shared" si="14"/>
        <v>1093748</v>
      </c>
      <c r="W30" s="60">
        <f t="shared" si="14"/>
        <v>1162521.5555555555</v>
      </c>
      <c r="X30" s="27">
        <f>SUM(L30:W30)</f>
        <v>13925477.555555556</v>
      </c>
      <c r="Z30" s="54"/>
    </row>
    <row r="31" spans="1:27" s="1" customFormat="1">
      <c r="A31" s="68"/>
      <c r="B31" s="72"/>
      <c r="C31" s="424"/>
      <c r="D31" s="425"/>
      <c r="E31" s="425"/>
      <c r="F31" s="425"/>
      <c r="G31" s="425"/>
      <c r="H31" s="425"/>
      <c r="I31" s="425"/>
      <c r="J31" s="426"/>
      <c r="K31" s="117" t="s">
        <v>21</v>
      </c>
      <c r="L31" s="200">
        <f>L29-L30</f>
        <v>251166</v>
      </c>
      <c r="M31" s="262">
        <f t="shared" ref="M31:W31" si="15">M29-M30</f>
        <v>85726</v>
      </c>
      <c r="N31" s="262">
        <f t="shared" si="15"/>
        <v>284132</v>
      </c>
      <c r="O31" s="262">
        <f t="shared" si="15"/>
        <v>263317</v>
      </c>
      <c r="P31" s="262">
        <f t="shared" si="15"/>
        <v>221427</v>
      </c>
      <c r="Q31" s="262">
        <f>Q29-Q30</f>
        <v>252628</v>
      </c>
      <c r="R31" s="262">
        <f t="shared" si="15"/>
        <v>257135</v>
      </c>
      <c r="S31" s="262">
        <f t="shared" si="15"/>
        <v>255503</v>
      </c>
      <c r="T31" s="262">
        <f t="shared" si="15"/>
        <v>230582</v>
      </c>
      <c r="U31" s="262">
        <f t="shared" si="15"/>
        <v>322816</v>
      </c>
      <c r="V31" s="262">
        <f t="shared" si="15"/>
        <v>290172</v>
      </c>
      <c r="W31" s="90">
        <f t="shared" si="15"/>
        <v>287478.4444444445</v>
      </c>
      <c r="X31" s="28">
        <f>SUM(L31:W31)</f>
        <v>3002082.4444444445</v>
      </c>
      <c r="Z31" s="54"/>
    </row>
    <row r="32" spans="1:27" ht="14.75" customHeight="1">
      <c r="K32" s="111" t="s">
        <v>40</v>
      </c>
      <c r="L32" s="427">
        <f>SUM(L29:N29)</f>
        <v>4088470</v>
      </c>
      <c r="M32" s="428"/>
      <c r="N32" s="428"/>
      <c r="O32" s="429">
        <f>SUM(O29:Q29)</f>
        <v>4239460</v>
      </c>
      <c r="P32" s="428"/>
      <c r="Q32" s="428"/>
      <c r="R32" s="429">
        <f>SUM(R29:T29)</f>
        <v>4217840</v>
      </c>
      <c r="S32" s="428"/>
      <c r="T32" s="428"/>
      <c r="U32" s="429">
        <f>SUM(U29:W29)</f>
        <v>4381790</v>
      </c>
      <c r="V32" s="428"/>
      <c r="W32" s="430"/>
      <c r="X32" s="55">
        <f>SUM(L32:W32)</f>
        <v>16927560</v>
      </c>
    </row>
    <row r="33" spans="11:24" ht="14.75" customHeight="1">
      <c r="K33" s="110" t="s">
        <v>41</v>
      </c>
      <c r="L33" s="408">
        <f>SUM(L31:N31)</f>
        <v>621024</v>
      </c>
      <c r="M33" s="409"/>
      <c r="N33" s="409"/>
      <c r="O33" s="410">
        <f>SUM(O31:Q31)</f>
        <v>737372</v>
      </c>
      <c r="P33" s="409"/>
      <c r="Q33" s="409"/>
      <c r="R33" s="410">
        <f>SUM(R31:T31)</f>
        <v>743220</v>
      </c>
      <c r="S33" s="409"/>
      <c r="T33" s="409"/>
      <c r="U33" s="410">
        <f>SUM(U31:W31)</f>
        <v>900466.4444444445</v>
      </c>
      <c r="V33" s="409"/>
      <c r="W33" s="411"/>
      <c r="X33" s="56">
        <f>SUM(L33:W33)</f>
        <v>3002082.4444444445</v>
      </c>
    </row>
  </sheetData>
  <mergeCells count="26">
    <mergeCell ref="L33:N33"/>
    <mergeCell ref="O33:Q33"/>
    <mergeCell ref="R33:T33"/>
    <mergeCell ref="U33:W33"/>
    <mergeCell ref="L32:N32"/>
    <mergeCell ref="O32:Q32"/>
    <mergeCell ref="R32:T32"/>
    <mergeCell ref="U32:W32"/>
    <mergeCell ref="C29:J31"/>
    <mergeCell ref="I17:I28"/>
    <mergeCell ref="C17:C28"/>
    <mergeCell ref="D17:D28"/>
    <mergeCell ref="E17:E28"/>
    <mergeCell ref="F17:F28"/>
    <mergeCell ref="G17:G28"/>
    <mergeCell ref="H17:H28"/>
    <mergeCell ref="J17:J28"/>
    <mergeCell ref="J5:J16"/>
    <mergeCell ref="H5:H16"/>
    <mergeCell ref="I5:I16"/>
    <mergeCell ref="C2:J4"/>
    <mergeCell ref="C5:C16"/>
    <mergeCell ref="D5:D16"/>
    <mergeCell ref="E5:E16"/>
    <mergeCell ref="F5:F16"/>
    <mergeCell ref="G5:G16"/>
  </mergeCells>
  <phoneticPr fontId="14"/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ignoredErrors>
    <ignoredError sqref="X16:X2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AA124"/>
  <sheetViews>
    <sheetView showGridLines="0" zoomScale="80" zoomScaleNormal="80" zoomScaleSheetLayoutView="70" workbookViewId="0">
      <pane xSplit="11" ySplit="4" topLeftCell="L16" activePane="bottomRight" state="frozen"/>
      <selection sqref="A1:C1"/>
      <selection pane="topRight" sqref="A1:C1"/>
      <selection pane="bottomLeft" sqref="A1:C1"/>
      <selection pane="bottomRight" activeCell="B6" sqref="B6:B41"/>
    </sheetView>
  </sheetViews>
  <sheetFormatPr defaultRowHeight="12"/>
  <cols>
    <col min="1" max="1" width="10" style="71" customWidth="1"/>
    <col min="2" max="2" width="10" style="73" customWidth="1"/>
    <col min="3" max="3" width="4.90625" style="12" customWidth="1"/>
    <col min="4" max="4" width="9" style="12" customWidth="1"/>
    <col min="5" max="5" width="5.08984375" style="12" customWidth="1"/>
    <col min="6" max="6" width="9.6328125" style="118" customWidth="1"/>
    <col min="7" max="7" width="12.453125" style="12" customWidth="1"/>
    <col min="8" max="8" width="11.90625" style="12" customWidth="1"/>
    <col min="9" max="9" width="11.08984375" style="12" customWidth="1"/>
    <col min="10" max="10" width="10" style="12" customWidth="1"/>
    <col min="11" max="11" width="10.90625" style="12" customWidth="1"/>
    <col min="12" max="23" width="13.08984375" style="12" customWidth="1"/>
    <col min="24" max="24" width="16.453125" style="12" customWidth="1"/>
    <col min="25" max="25" width="9" style="2"/>
    <col min="26" max="26" width="11" style="9" bestFit="1" customWidth="1"/>
    <col min="27" max="259" width="9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9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9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9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9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9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9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9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9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9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9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9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9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9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9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9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9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9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9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9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9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9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9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9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9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9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9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9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9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9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9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9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9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9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9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9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9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9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9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9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9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9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9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9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9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9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9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9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9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9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9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9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9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9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9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9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9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9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9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9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9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9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9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9" style="2"/>
  </cols>
  <sheetData>
    <row r="1" spans="1:26" s="1" customFormat="1" ht="36">
      <c r="A1" s="1" t="s">
        <v>42</v>
      </c>
      <c r="B1" s="1" t="s">
        <v>43</v>
      </c>
      <c r="C1" s="75" t="s">
        <v>35</v>
      </c>
      <c r="D1" s="76" t="s">
        <v>78</v>
      </c>
      <c r="E1" s="76" t="s">
        <v>0</v>
      </c>
      <c r="F1" s="77" t="s">
        <v>1</v>
      </c>
      <c r="G1" s="77" t="s">
        <v>36</v>
      </c>
      <c r="H1" s="77" t="s">
        <v>2</v>
      </c>
      <c r="I1" s="78" t="s">
        <v>3</v>
      </c>
      <c r="J1" s="79" t="s">
        <v>4</v>
      </c>
      <c r="K1" s="10" t="s">
        <v>5</v>
      </c>
      <c r="L1" s="257" t="s">
        <v>6</v>
      </c>
      <c r="M1" s="80" t="s">
        <v>7</v>
      </c>
      <c r="N1" s="130" t="s">
        <v>8</v>
      </c>
      <c r="O1" s="130" t="s">
        <v>9</v>
      </c>
      <c r="P1" s="130" t="s">
        <v>10</v>
      </c>
      <c r="Q1" s="130" t="s">
        <v>11</v>
      </c>
      <c r="R1" s="130" t="s">
        <v>12</v>
      </c>
      <c r="S1" s="130" t="s">
        <v>13</v>
      </c>
      <c r="T1" s="130" t="s">
        <v>14</v>
      </c>
      <c r="U1" s="130" t="s">
        <v>15</v>
      </c>
      <c r="V1" s="130" t="s">
        <v>16</v>
      </c>
      <c r="W1" s="81" t="s">
        <v>17</v>
      </c>
      <c r="X1" s="11" t="s">
        <v>18</v>
      </c>
    </row>
    <row r="2" spans="1:26" s="1" customFormat="1">
      <c r="A2" s="68"/>
      <c r="B2" s="72"/>
      <c r="C2" s="412" t="s">
        <v>48</v>
      </c>
      <c r="D2" s="413"/>
      <c r="E2" s="413"/>
      <c r="F2" s="413"/>
      <c r="G2" s="413"/>
      <c r="H2" s="413"/>
      <c r="I2" s="413"/>
      <c r="J2" s="414"/>
      <c r="K2" s="112" t="s">
        <v>19</v>
      </c>
      <c r="L2" s="258">
        <f>L53</f>
        <v>1240000</v>
      </c>
      <c r="M2" s="300">
        <f t="shared" ref="M2:W3" si="0">M53</f>
        <v>1240000</v>
      </c>
      <c r="N2" s="263">
        <f t="shared" si="0"/>
        <v>1240000</v>
      </c>
      <c r="O2" s="263">
        <f t="shared" si="0"/>
        <v>1228165</v>
      </c>
      <c r="P2" s="263">
        <f t="shared" si="0"/>
        <v>1240000</v>
      </c>
      <c r="Q2" s="263">
        <f t="shared" si="0"/>
        <v>1240000</v>
      </c>
      <c r="R2" s="263">
        <f t="shared" si="0"/>
        <v>1207125</v>
      </c>
      <c r="S2" s="263">
        <f t="shared" si="0"/>
        <v>1142950</v>
      </c>
      <c r="T2" s="263">
        <f t="shared" si="0"/>
        <v>1240000</v>
      </c>
      <c r="U2" s="263">
        <f t="shared" si="0"/>
        <v>1240000</v>
      </c>
      <c r="V2" s="263">
        <f t="shared" si="0"/>
        <v>1215600</v>
      </c>
      <c r="W2" s="92">
        <f t="shared" si="0"/>
        <v>1240000</v>
      </c>
      <c r="X2" s="14">
        <f>SUM(L2:W2)</f>
        <v>14713840</v>
      </c>
      <c r="Z2" s="53"/>
    </row>
    <row r="3" spans="1:26" s="1" customFormat="1">
      <c r="A3" s="68"/>
      <c r="B3" s="72"/>
      <c r="C3" s="415"/>
      <c r="D3" s="416"/>
      <c r="E3" s="416"/>
      <c r="F3" s="416"/>
      <c r="G3" s="416"/>
      <c r="H3" s="416"/>
      <c r="I3" s="416"/>
      <c r="J3" s="417"/>
      <c r="K3" s="113" t="s">
        <v>20</v>
      </c>
      <c r="L3" s="259">
        <f>L54</f>
        <v>972240</v>
      </c>
      <c r="M3" s="301">
        <f t="shared" si="0"/>
        <v>971308</v>
      </c>
      <c r="N3" s="264">
        <f t="shared" si="0"/>
        <v>971076</v>
      </c>
      <c r="O3" s="264">
        <f t="shared" si="0"/>
        <v>1267611</v>
      </c>
      <c r="P3" s="264">
        <f t="shared" si="0"/>
        <v>963651</v>
      </c>
      <c r="Q3" s="264">
        <f t="shared" si="0"/>
        <v>962709</v>
      </c>
      <c r="R3" s="264">
        <f t="shared" si="0"/>
        <v>964571</v>
      </c>
      <c r="S3" s="264">
        <f t="shared" si="0"/>
        <v>955830</v>
      </c>
      <c r="T3" s="264">
        <f t="shared" si="0"/>
        <v>999921</v>
      </c>
      <c r="U3" s="264">
        <f t="shared" si="0"/>
        <v>949314</v>
      </c>
      <c r="V3" s="264">
        <f t="shared" si="0"/>
        <v>963257</v>
      </c>
      <c r="W3" s="93">
        <f t="shared" si="0"/>
        <v>958547</v>
      </c>
      <c r="X3" s="16">
        <f>SUM(L3:W3)</f>
        <v>11900035</v>
      </c>
      <c r="Z3" s="53"/>
    </row>
    <row r="4" spans="1:26" s="1" customFormat="1" ht="12.5" thickBot="1">
      <c r="A4" s="68"/>
      <c r="B4" s="72"/>
      <c r="C4" s="418"/>
      <c r="D4" s="419"/>
      <c r="E4" s="419"/>
      <c r="F4" s="419"/>
      <c r="G4" s="419"/>
      <c r="H4" s="419"/>
      <c r="I4" s="419"/>
      <c r="J4" s="420"/>
      <c r="K4" s="114" t="s">
        <v>21</v>
      </c>
      <c r="L4" s="260">
        <f t="shared" ref="L4:W4" si="1">L2-L3</f>
        <v>267760</v>
      </c>
      <c r="M4" s="321">
        <f t="shared" si="1"/>
        <v>268692</v>
      </c>
      <c r="N4" s="340">
        <f t="shared" si="1"/>
        <v>268924</v>
      </c>
      <c r="O4" s="340">
        <f t="shared" si="1"/>
        <v>-39446</v>
      </c>
      <c r="P4" s="340">
        <f t="shared" si="1"/>
        <v>276349</v>
      </c>
      <c r="Q4" s="340">
        <f t="shared" si="1"/>
        <v>277291</v>
      </c>
      <c r="R4" s="340">
        <f t="shared" si="1"/>
        <v>242554</v>
      </c>
      <c r="S4" s="340">
        <f t="shared" si="1"/>
        <v>187120</v>
      </c>
      <c r="T4" s="340">
        <f t="shared" si="1"/>
        <v>240079</v>
      </c>
      <c r="U4" s="340">
        <f t="shared" si="1"/>
        <v>290686</v>
      </c>
      <c r="V4" s="340">
        <f t="shared" si="1"/>
        <v>252343</v>
      </c>
      <c r="W4" s="17">
        <f t="shared" si="1"/>
        <v>281453</v>
      </c>
      <c r="X4" s="18">
        <f>SUM(L4:W4)</f>
        <v>2813805</v>
      </c>
      <c r="Z4" s="53"/>
    </row>
    <row r="5" spans="1:26" ht="12.75" customHeight="1" thickTop="1">
      <c r="A5" s="69">
        <v>2019048</v>
      </c>
      <c r="B5" s="73" t="s">
        <v>52</v>
      </c>
      <c r="C5" s="404">
        <f>1</f>
        <v>1</v>
      </c>
      <c r="D5" s="402" t="s">
        <v>37</v>
      </c>
      <c r="E5" s="402"/>
      <c r="F5" s="406"/>
      <c r="G5" s="402"/>
      <c r="H5" s="400"/>
      <c r="I5" s="402" t="s">
        <v>48</v>
      </c>
      <c r="J5" s="397" t="s">
        <v>56</v>
      </c>
      <c r="K5" s="66" t="s">
        <v>22</v>
      </c>
      <c r="L5" s="327">
        <f t="shared" ref="L5:W5" si="2">L6+L7</f>
        <v>420000</v>
      </c>
      <c r="M5" s="322">
        <f t="shared" si="2"/>
        <v>420000</v>
      </c>
      <c r="N5" s="341">
        <f t="shared" si="2"/>
        <v>420000</v>
      </c>
      <c r="O5" s="349">
        <f t="shared" si="2"/>
        <v>420000</v>
      </c>
      <c r="P5" s="349">
        <f t="shared" si="2"/>
        <v>420000</v>
      </c>
      <c r="Q5" s="349">
        <f>Q6+Q7</f>
        <v>420000</v>
      </c>
      <c r="R5" s="349">
        <f t="shared" si="2"/>
        <v>387125</v>
      </c>
      <c r="S5" s="349">
        <f t="shared" si="2"/>
        <v>327950</v>
      </c>
      <c r="T5" s="349">
        <f t="shared" si="2"/>
        <v>420000</v>
      </c>
      <c r="U5" s="349">
        <f t="shared" si="2"/>
        <v>420000</v>
      </c>
      <c r="V5" s="349">
        <f t="shared" si="2"/>
        <v>406850</v>
      </c>
      <c r="W5" s="178">
        <f t="shared" si="2"/>
        <v>420000</v>
      </c>
      <c r="X5" s="26">
        <f>SUM(L5:W5)</f>
        <v>4901925</v>
      </c>
      <c r="Z5" s="54"/>
    </row>
    <row r="6" spans="1:26">
      <c r="A6" s="70">
        <f t="shared" ref="A6:B16" si="3">+A5</f>
        <v>2019048</v>
      </c>
      <c r="B6" s="74"/>
      <c r="C6" s="404"/>
      <c r="D6" s="402"/>
      <c r="E6" s="402"/>
      <c r="F6" s="406"/>
      <c r="G6" s="402"/>
      <c r="H6" s="400"/>
      <c r="I6" s="402"/>
      <c r="J6" s="398"/>
      <c r="K6" s="62" t="s">
        <v>23</v>
      </c>
      <c r="L6" s="328">
        <v>420000</v>
      </c>
      <c r="M6" s="309">
        <v>420000</v>
      </c>
      <c r="N6" s="203">
        <v>420000</v>
      </c>
      <c r="O6" s="203">
        <v>420000</v>
      </c>
      <c r="P6" s="203">
        <v>420000</v>
      </c>
      <c r="Q6" s="203">
        <v>420000</v>
      </c>
      <c r="R6" s="203">
        <v>387125</v>
      </c>
      <c r="S6" s="203">
        <v>327950</v>
      </c>
      <c r="T6" s="203">
        <v>420000</v>
      </c>
      <c r="U6" s="203">
        <v>420000</v>
      </c>
      <c r="V6" s="203">
        <v>406850</v>
      </c>
      <c r="W6" s="171">
        <v>420000</v>
      </c>
      <c r="X6" s="20">
        <f>SUM(L6:W6)</f>
        <v>4901925</v>
      </c>
      <c r="Y6" s="105"/>
      <c r="Z6" s="54"/>
    </row>
    <row r="7" spans="1:26">
      <c r="A7" s="70">
        <f t="shared" si="3"/>
        <v>2019048</v>
      </c>
      <c r="B7" s="74"/>
      <c r="C7" s="404"/>
      <c r="D7" s="402"/>
      <c r="E7" s="402"/>
      <c r="F7" s="406"/>
      <c r="G7" s="402"/>
      <c r="H7" s="400"/>
      <c r="I7" s="402"/>
      <c r="J7" s="398"/>
      <c r="K7" s="62" t="s">
        <v>24</v>
      </c>
      <c r="L7" s="305"/>
      <c r="M7" s="290"/>
      <c r="N7" s="212"/>
      <c r="O7" s="224"/>
      <c r="P7" s="224"/>
      <c r="Q7" s="224"/>
      <c r="R7" s="224"/>
      <c r="S7" s="224"/>
      <c r="T7" s="224"/>
      <c r="U7" s="224"/>
      <c r="V7" s="224"/>
      <c r="W7" s="89"/>
      <c r="X7" s="20">
        <v>0</v>
      </c>
      <c r="Z7" s="54"/>
    </row>
    <row r="8" spans="1:26">
      <c r="A8" s="70">
        <f t="shared" si="3"/>
        <v>2019048</v>
      </c>
      <c r="B8" s="74"/>
      <c r="C8" s="404"/>
      <c r="D8" s="402"/>
      <c r="E8" s="402"/>
      <c r="F8" s="406"/>
      <c r="G8" s="402"/>
      <c r="H8" s="400"/>
      <c r="I8" s="402"/>
      <c r="J8" s="398"/>
      <c r="K8" s="63" t="s">
        <v>25</v>
      </c>
      <c r="L8" s="306">
        <f t="shared" ref="L8:W8" si="4">SUM(L9:L15)</f>
        <v>336482</v>
      </c>
      <c r="M8" s="323">
        <f t="shared" si="4"/>
        <v>336482</v>
      </c>
      <c r="N8" s="279">
        <f t="shared" si="4"/>
        <v>336482</v>
      </c>
      <c r="O8" s="350">
        <f t="shared" si="4"/>
        <v>336482</v>
      </c>
      <c r="P8" s="350">
        <f t="shared" si="4"/>
        <v>336482</v>
      </c>
      <c r="Q8" s="350">
        <f t="shared" si="4"/>
        <v>339262</v>
      </c>
      <c r="R8" s="350">
        <f t="shared" si="4"/>
        <v>339262</v>
      </c>
      <c r="S8" s="350">
        <f t="shared" si="4"/>
        <v>332383</v>
      </c>
      <c r="T8" s="350">
        <f t="shared" si="4"/>
        <v>339262</v>
      </c>
      <c r="U8" s="350">
        <f t="shared" si="4"/>
        <v>339262</v>
      </c>
      <c r="V8" s="350">
        <f t="shared" si="4"/>
        <v>339444</v>
      </c>
      <c r="W8" s="96">
        <f t="shared" si="4"/>
        <v>336482</v>
      </c>
      <c r="X8" s="33">
        <f>SUM(L8:W8)</f>
        <v>4047767</v>
      </c>
      <c r="Z8" s="54"/>
    </row>
    <row r="9" spans="1:26">
      <c r="A9" s="70">
        <f t="shared" si="3"/>
        <v>2019048</v>
      </c>
      <c r="B9" s="74"/>
      <c r="C9" s="404"/>
      <c r="D9" s="402"/>
      <c r="E9" s="402"/>
      <c r="F9" s="406"/>
      <c r="G9" s="402"/>
      <c r="H9" s="400"/>
      <c r="I9" s="402"/>
      <c r="J9" s="398"/>
      <c r="K9" s="64" t="s">
        <v>26</v>
      </c>
      <c r="L9" s="325">
        <v>265000</v>
      </c>
      <c r="M9" s="309">
        <v>265000</v>
      </c>
      <c r="N9" s="203">
        <v>265000</v>
      </c>
      <c r="O9" s="203">
        <v>265000</v>
      </c>
      <c r="P9" s="203">
        <v>265000</v>
      </c>
      <c r="Q9" s="203">
        <v>265000</v>
      </c>
      <c r="R9" s="203">
        <v>265000</v>
      </c>
      <c r="S9" s="203">
        <v>258193</v>
      </c>
      <c r="T9" s="203">
        <v>265000</v>
      </c>
      <c r="U9" s="203">
        <v>265000</v>
      </c>
      <c r="V9" s="203">
        <v>265000</v>
      </c>
      <c r="W9" s="162">
        <v>265000</v>
      </c>
      <c r="X9" s="20">
        <f t="shared" ref="X9:X15" si="5">SUM(L9:W9)</f>
        <v>3173193</v>
      </c>
      <c r="Y9" s="105"/>
      <c r="Z9" s="54"/>
    </row>
    <row r="10" spans="1:26">
      <c r="A10" s="70">
        <f t="shared" si="3"/>
        <v>2019048</v>
      </c>
      <c r="B10" s="74"/>
      <c r="C10" s="404"/>
      <c r="D10" s="402"/>
      <c r="E10" s="402"/>
      <c r="F10" s="406"/>
      <c r="G10" s="402"/>
      <c r="H10" s="400"/>
      <c r="I10" s="402"/>
      <c r="J10" s="398"/>
      <c r="K10" s="64" t="s">
        <v>33</v>
      </c>
      <c r="L10" s="329"/>
      <c r="M10" s="324"/>
      <c r="N10" s="205"/>
      <c r="O10" s="205"/>
      <c r="P10" s="205"/>
      <c r="Q10" s="205"/>
      <c r="R10" s="205"/>
      <c r="S10" s="205"/>
      <c r="T10" s="205"/>
      <c r="U10" s="205"/>
      <c r="V10" s="205"/>
      <c r="W10" s="172"/>
      <c r="X10" s="20">
        <f t="shared" si="5"/>
        <v>0</v>
      </c>
      <c r="Y10" s="105"/>
      <c r="Z10" s="54"/>
    </row>
    <row r="11" spans="1:26">
      <c r="A11" s="70">
        <f t="shared" si="3"/>
        <v>2019048</v>
      </c>
      <c r="B11" s="74"/>
      <c r="C11" s="404"/>
      <c r="D11" s="402"/>
      <c r="E11" s="402"/>
      <c r="F11" s="406"/>
      <c r="G11" s="402"/>
      <c r="H11" s="400"/>
      <c r="I11" s="402"/>
      <c r="J11" s="398"/>
      <c r="K11" s="64" t="s">
        <v>27</v>
      </c>
      <c r="L11" s="325">
        <v>29470</v>
      </c>
      <c r="M11" s="309">
        <v>29470</v>
      </c>
      <c r="N11" s="203">
        <v>29470</v>
      </c>
      <c r="O11" s="203">
        <v>29470</v>
      </c>
      <c r="P11" s="203">
        <v>29470</v>
      </c>
      <c r="Q11" s="203">
        <v>29470</v>
      </c>
      <c r="R11" s="203">
        <v>29470</v>
      </c>
      <c r="S11" s="203">
        <v>29470</v>
      </c>
      <c r="T11" s="203">
        <v>29470</v>
      </c>
      <c r="U11" s="203">
        <v>29470</v>
      </c>
      <c r="V11" s="203">
        <v>29470</v>
      </c>
      <c r="W11" s="162">
        <v>29470</v>
      </c>
      <c r="X11" s="20">
        <f t="shared" si="5"/>
        <v>353640</v>
      </c>
      <c r="Y11" s="105"/>
      <c r="Z11" s="54"/>
    </row>
    <row r="12" spans="1:26">
      <c r="A12" s="70">
        <f t="shared" si="3"/>
        <v>2019048</v>
      </c>
      <c r="B12" s="74"/>
      <c r="C12" s="404"/>
      <c r="D12" s="402"/>
      <c r="E12" s="402"/>
      <c r="F12" s="406"/>
      <c r="G12" s="402"/>
      <c r="H12" s="400"/>
      <c r="I12" s="402"/>
      <c r="J12" s="398"/>
      <c r="K12" s="64" t="s">
        <v>28</v>
      </c>
      <c r="L12" s="330">
        <v>13300</v>
      </c>
      <c r="M12" s="309">
        <v>13300</v>
      </c>
      <c r="N12" s="203">
        <v>13300</v>
      </c>
      <c r="O12" s="203">
        <v>13300</v>
      </c>
      <c r="P12" s="203">
        <v>13300</v>
      </c>
      <c r="Q12" s="203">
        <v>14250</v>
      </c>
      <c r="R12" s="203">
        <v>14250</v>
      </c>
      <c r="S12" s="203">
        <v>14250</v>
      </c>
      <c r="T12" s="203">
        <v>14250</v>
      </c>
      <c r="U12" s="203">
        <v>14250</v>
      </c>
      <c r="V12" s="203">
        <v>14250</v>
      </c>
      <c r="W12" s="179">
        <v>13300</v>
      </c>
      <c r="X12" s="20">
        <f t="shared" si="5"/>
        <v>165300</v>
      </c>
      <c r="Y12" s="105"/>
      <c r="Z12" s="54"/>
    </row>
    <row r="13" spans="1:26">
      <c r="A13" s="70">
        <f t="shared" si="3"/>
        <v>2019048</v>
      </c>
      <c r="B13" s="74"/>
      <c r="C13" s="404"/>
      <c r="D13" s="402"/>
      <c r="E13" s="402"/>
      <c r="F13" s="406"/>
      <c r="G13" s="402"/>
      <c r="H13" s="400"/>
      <c r="I13" s="402"/>
      <c r="J13" s="398"/>
      <c r="K13" s="64" t="s">
        <v>29</v>
      </c>
      <c r="L13" s="330">
        <v>25620</v>
      </c>
      <c r="M13" s="309">
        <v>25620</v>
      </c>
      <c r="N13" s="203">
        <v>25620</v>
      </c>
      <c r="O13" s="203">
        <v>25620</v>
      </c>
      <c r="P13" s="203">
        <v>25620</v>
      </c>
      <c r="Q13" s="203">
        <v>27450</v>
      </c>
      <c r="R13" s="203">
        <v>27450</v>
      </c>
      <c r="S13" s="203">
        <v>27450</v>
      </c>
      <c r="T13" s="203">
        <v>27450</v>
      </c>
      <c r="U13" s="203">
        <v>27450</v>
      </c>
      <c r="V13" s="203">
        <v>27450</v>
      </c>
      <c r="W13" s="179">
        <v>25620</v>
      </c>
      <c r="X13" s="20">
        <f t="shared" si="5"/>
        <v>318420</v>
      </c>
      <c r="Y13" s="105"/>
      <c r="Z13" s="54"/>
    </row>
    <row r="14" spans="1:26">
      <c r="A14" s="70">
        <f t="shared" si="3"/>
        <v>2019048</v>
      </c>
      <c r="B14" s="74"/>
      <c r="C14" s="404"/>
      <c r="D14" s="402"/>
      <c r="E14" s="402"/>
      <c r="F14" s="406"/>
      <c r="G14" s="402"/>
      <c r="H14" s="400"/>
      <c r="I14" s="402"/>
      <c r="J14" s="398"/>
      <c r="K14" s="64" t="s">
        <v>30</v>
      </c>
      <c r="L14" s="330">
        <v>1472</v>
      </c>
      <c r="M14" s="309">
        <v>1472</v>
      </c>
      <c r="N14" s="203">
        <v>1472</v>
      </c>
      <c r="O14" s="203">
        <v>1472</v>
      </c>
      <c r="P14" s="203">
        <v>1472</v>
      </c>
      <c r="Q14" s="203">
        <v>1472</v>
      </c>
      <c r="R14" s="203">
        <v>1472</v>
      </c>
      <c r="S14" s="203">
        <v>1438</v>
      </c>
      <c r="T14" s="203">
        <v>1472</v>
      </c>
      <c r="U14" s="203">
        <v>1472</v>
      </c>
      <c r="V14" s="203">
        <v>1559</v>
      </c>
      <c r="W14" s="179">
        <v>1472</v>
      </c>
      <c r="X14" s="20">
        <f t="shared" si="5"/>
        <v>17717</v>
      </c>
      <c r="Y14" s="105"/>
      <c r="Z14" s="54"/>
    </row>
    <row r="15" spans="1:26">
      <c r="A15" s="70">
        <f t="shared" si="3"/>
        <v>2019048</v>
      </c>
      <c r="B15" s="74"/>
      <c r="C15" s="404"/>
      <c r="D15" s="402"/>
      <c r="E15" s="402"/>
      <c r="F15" s="406"/>
      <c r="G15" s="402"/>
      <c r="H15" s="400"/>
      <c r="I15" s="402"/>
      <c r="J15" s="398"/>
      <c r="K15" s="64" t="s">
        <v>31</v>
      </c>
      <c r="L15" s="331">
        <v>1620</v>
      </c>
      <c r="M15" s="309">
        <v>1620</v>
      </c>
      <c r="N15" s="203">
        <v>1620</v>
      </c>
      <c r="O15" s="203">
        <v>1620</v>
      </c>
      <c r="P15" s="203">
        <v>1620</v>
      </c>
      <c r="Q15" s="203">
        <v>1620</v>
      </c>
      <c r="R15" s="203">
        <v>1620</v>
      </c>
      <c r="S15" s="203">
        <v>1582</v>
      </c>
      <c r="T15" s="203">
        <v>1620</v>
      </c>
      <c r="U15" s="203">
        <v>1620</v>
      </c>
      <c r="V15" s="203">
        <v>1715</v>
      </c>
      <c r="W15" s="180">
        <v>1620</v>
      </c>
      <c r="X15" s="20">
        <f t="shared" si="5"/>
        <v>19497</v>
      </c>
      <c r="Y15" s="105"/>
      <c r="Z15" s="54"/>
    </row>
    <row r="16" spans="1:26">
      <c r="A16" s="70">
        <f t="shared" si="3"/>
        <v>2019048</v>
      </c>
      <c r="B16" s="74"/>
      <c r="C16" s="405"/>
      <c r="D16" s="403"/>
      <c r="E16" s="403"/>
      <c r="F16" s="407"/>
      <c r="G16" s="403"/>
      <c r="H16" s="401"/>
      <c r="I16" s="403"/>
      <c r="J16" s="399"/>
      <c r="K16" s="65" t="s">
        <v>32</v>
      </c>
      <c r="L16" s="250">
        <f t="shared" ref="L16:X16" si="6">L5-L8</f>
        <v>83518</v>
      </c>
      <c r="M16" s="251">
        <f t="shared" si="6"/>
        <v>83518</v>
      </c>
      <c r="N16" s="267">
        <f t="shared" si="6"/>
        <v>83518</v>
      </c>
      <c r="O16" s="344">
        <f t="shared" si="6"/>
        <v>83518</v>
      </c>
      <c r="P16" s="344">
        <f t="shared" si="6"/>
        <v>83518</v>
      </c>
      <c r="Q16" s="344">
        <f t="shared" si="6"/>
        <v>80738</v>
      </c>
      <c r="R16" s="344">
        <f t="shared" si="6"/>
        <v>47863</v>
      </c>
      <c r="S16" s="344">
        <f t="shared" si="6"/>
        <v>-4433</v>
      </c>
      <c r="T16" s="344">
        <f t="shared" si="6"/>
        <v>80738</v>
      </c>
      <c r="U16" s="344">
        <f t="shared" si="6"/>
        <v>80738</v>
      </c>
      <c r="V16" s="344">
        <f t="shared" si="6"/>
        <v>67406</v>
      </c>
      <c r="W16" s="97">
        <f t="shared" si="6"/>
        <v>83518</v>
      </c>
      <c r="X16" s="24">
        <f t="shared" si="6"/>
        <v>854158</v>
      </c>
      <c r="Z16" s="54"/>
    </row>
    <row r="17" spans="1:26" ht="12.75" customHeight="1">
      <c r="A17" s="69">
        <v>2020010</v>
      </c>
      <c r="C17" s="404">
        <f>C5+1</f>
        <v>2</v>
      </c>
      <c r="D17" s="402" t="s">
        <v>37</v>
      </c>
      <c r="E17" s="402"/>
      <c r="F17" s="406"/>
      <c r="G17" s="402"/>
      <c r="H17" s="400"/>
      <c r="I17" s="402" t="s">
        <v>48</v>
      </c>
      <c r="J17" s="397" t="s">
        <v>56</v>
      </c>
      <c r="K17" s="66" t="s">
        <v>22</v>
      </c>
      <c r="L17" s="332">
        <f t="shared" ref="L17:W17" si="7">L18+L19</f>
        <v>420000</v>
      </c>
      <c r="M17" s="281">
        <f t="shared" si="7"/>
        <v>420000</v>
      </c>
      <c r="N17" s="266">
        <f t="shared" si="7"/>
        <v>420000</v>
      </c>
      <c r="O17" s="351">
        <f t="shared" si="7"/>
        <v>408165</v>
      </c>
      <c r="P17" s="351">
        <f t="shared" si="7"/>
        <v>420000</v>
      </c>
      <c r="Q17" s="351">
        <f t="shared" si="7"/>
        <v>420000</v>
      </c>
      <c r="R17" s="351">
        <f t="shared" si="7"/>
        <v>420000</v>
      </c>
      <c r="S17" s="351">
        <f t="shared" si="7"/>
        <v>420000</v>
      </c>
      <c r="T17" s="351">
        <f t="shared" si="7"/>
        <v>420000</v>
      </c>
      <c r="U17" s="351">
        <f t="shared" si="7"/>
        <v>420000</v>
      </c>
      <c r="V17" s="351">
        <f t="shared" si="7"/>
        <v>420000</v>
      </c>
      <c r="W17" s="100">
        <f t="shared" si="7"/>
        <v>420000</v>
      </c>
      <c r="X17" s="26">
        <f>SUM(L17:W17)</f>
        <v>5028165</v>
      </c>
      <c r="Z17" s="54"/>
    </row>
    <row r="18" spans="1:26">
      <c r="A18" s="70">
        <f t="shared" ref="A18:B28" si="8">+A17</f>
        <v>2020010</v>
      </c>
      <c r="B18" s="74"/>
      <c r="C18" s="404"/>
      <c r="D18" s="402"/>
      <c r="E18" s="402"/>
      <c r="F18" s="406"/>
      <c r="G18" s="402"/>
      <c r="H18" s="400"/>
      <c r="I18" s="402"/>
      <c r="J18" s="398"/>
      <c r="K18" s="62" t="s">
        <v>23</v>
      </c>
      <c r="L18" s="328">
        <v>420000</v>
      </c>
      <c r="M18" s="309">
        <v>420000</v>
      </c>
      <c r="N18" s="203">
        <v>420000</v>
      </c>
      <c r="O18" s="203">
        <v>408165</v>
      </c>
      <c r="P18" s="203">
        <v>420000</v>
      </c>
      <c r="Q18" s="203">
        <v>420000</v>
      </c>
      <c r="R18" s="203">
        <v>420000</v>
      </c>
      <c r="S18" s="203">
        <v>420000</v>
      </c>
      <c r="T18" s="203">
        <v>420000</v>
      </c>
      <c r="U18" s="203">
        <v>420000</v>
      </c>
      <c r="V18" s="203">
        <v>420000</v>
      </c>
      <c r="W18" s="171">
        <v>420000</v>
      </c>
      <c r="X18" s="20">
        <f>SUM(L18:W18)</f>
        <v>5028165</v>
      </c>
      <c r="Y18" s="105"/>
      <c r="Z18" s="54"/>
    </row>
    <row r="19" spans="1:26">
      <c r="A19" s="70">
        <f t="shared" si="8"/>
        <v>2020010</v>
      </c>
      <c r="B19" s="74"/>
      <c r="C19" s="404"/>
      <c r="D19" s="402"/>
      <c r="E19" s="402"/>
      <c r="F19" s="406"/>
      <c r="G19" s="402"/>
      <c r="H19" s="400"/>
      <c r="I19" s="402"/>
      <c r="J19" s="398"/>
      <c r="K19" s="62" t="s">
        <v>24</v>
      </c>
      <c r="L19" s="305"/>
      <c r="M19" s="290"/>
      <c r="N19" s="212"/>
      <c r="O19" s="224"/>
      <c r="P19" s="224"/>
      <c r="Q19" s="224"/>
      <c r="R19" s="224"/>
      <c r="S19" s="224"/>
      <c r="T19" s="224"/>
      <c r="U19" s="224"/>
      <c r="V19" s="224"/>
      <c r="W19" s="89"/>
      <c r="X19" s="20">
        <v>0</v>
      </c>
      <c r="Z19" s="54"/>
    </row>
    <row r="20" spans="1:26">
      <c r="A20" s="70">
        <f t="shared" si="8"/>
        <v>2020010</v>
      </c>
      <c r="B20" s="74"/>
      <c r="C20" s="404"/>
      <c r="D20" s="402"/>
      <c r="E20" s="402"/>
      <c r="F20" s="406"/>
      <c r="G20" s="402"/>
      <c r="H20" s="400"/>
      <c r="I20" s="402"/>
      <c r="J20" s="398"/>
      <c r="K20" s="63" t="s">
        <v>25</v>
      </c>
      <c r="L20" s="306">
        <f t="shared" ref="L20:W20" si="9">SUM(L21:L27)</f>
        <v>327844</v>
      </c>
      <c r="M20" s="323">
        <f t="shared" si="9"/>
        <v>326912</v>
      </c>
      <c r="N20" s="279">
        <f t="shared" si="9"/>
        <v>326912</v>
      </c>
      <c r="O20" s="350">
        <f t="shared" si="9"/>
        <v>326912</v>
      </c>
      <c r="P20" s="350">
        <f t="shared" si="9"/>
        <v>330634</v>
      </c>
      <c r="Q20" s="350">
        <f t="shared" si="9"/>
        <v>326912</v>
      </c>
      <c r="R20" s="350">
        <f t="shared" si="9"/>
        <v>328774</v>
      </c>
      <c r="S20" s="350">
        <f t="shared" si="9"/>
        <v>326912</v>
      </c>
      <c r="T20" s="350">
        <f t="shared" si="9"/>
        <v>364124</v>
      </c>
      <c r="U20" s="350">
        <f t="shared" si="9"/>
        <v>313517</v>
      </c>
      <c r="V20" s="350">
        <f t="shared" si="9"/>
        <v>327095</v>
      </c>
      <c r="W20" s="96">
        <f t="shared" si="9"/>
        <v>326923</v>
      </c>
      <c r="X20" s="33">
        <f>SUM(L20:W20)</f>
        <v>3953471</v>
      </c>
      <c r="Z20" s="54"/>
    </row>
    <row r="21" spans="1:26">
      <c r="A21" s="70">
        <f t="shared" si="8"/>
        <v>2020010</v>
      </c>
      <c r="B21" s="74"/>
      <c r="C21" s="404"/>
      <c r="D21" s="402"/>
      <c r="E21" s="402"/>
      <c r="F21" s="406"/>
      <c r="G21" s="402"/>
      <c r="H21" s="400"/>
      <c r="I21" s="402"/>
      <c r="J21" s="398"/>
      <c r="K21" s="64" t="s">
        <v>26</v>
      </c>
      <c r="L21" s="325">
        <v>265921</v>
      </c>
      <c r="M21" s="309">
        <v>265000</v>
      </c>
      <c r="N21" s="203">
        <v>265000</v>
      </c>
      <c r="O21" s="203">
        <v>265000</v>
      </c>
      <c r="P21" s="203">
        <v>268683</v>
      </c>
      <c r="Q21" s="203">
        <v>265000</v>
      </c>
      <c r="R21" s="203">
        <v>266842</v>
      </c>
      <c r="S21" s="203">
        <v>265000</v>
      </c>
      <c r="T21" s="203">
        <v>301825</v>
      </c>
      <c r="U21" s="203">
        <v>251743</v>
      </c>
      <c r="V21" s="203">
        <v>265000</v>
      </c>
      <c r="W21" s="162">
        <v>265000</v>
      </c>
      <c r="X21" s="20">
        <f t="shared" ref="X21:X27" si="10">SUM(L21:W21)</f>
        <v>3210014</v>
      </c>
      <c r="Y21" s="105"/>
      <c r="Z21" s="54"/>
    </row>
    <row r="22" spans="1:26">
      <c r="A22" s="70">
        <f t="shared" si="8"/>
        <v>2020010</v>
      </c>
      <c r="B22" s="74"/>
      <c r="C22" s="404"/>
      <c r="D22" s="402"/>
      <c r="E22" s="402"/>
      <c r="F22" s="406"/>
      <c r="G22" s="402"/>
      <c r="H22" s="400"/>
      <c r="I22" s="402"/>
      <c r="J22" s="398"/>
      <c r="K22" s="64" t="s">
        <v>33</v>
      </c>
      <c r="L22" s="329"/>
      <c r="M22" s="324"/>
      <c r="N22" s="205"/>
      <c r="O22" s="205"/>
      <c r="P22" s="205"/>
      <c r="Q22" s="205"/>
      <c r="R22" s="205"/>
      <c r="S22" s="205"/>
      <c r="T22" s="205"/>
      <c r="U22" s="205"/>
      <c r="V22" s="205"/>
      <c r="W22" s="172"/>
      <c r="X22" s="20">
        <f t="shared" si="10"/>
        <v>0</v>
      </c>
      <c r="Y22" s="105"/>
      <c r="Z22" s="54"/>
    </row>
    <row r="23" spans="1:26">
      <c r="A23" s="70">
        <f t="shared" si="8"/>
        <v>2020010</v>
      </c>
      <c r="B23" s="74"/>
      <c r="C23" s="404"/>
      <c r="D23" s="402"/>
      <c r="E23" s="402"/>
      <c r="F23" s="406"/>
      <c r="G23" s="402"/>
      <c r="H23" s="400"/>
      <c r="I23" s="402"/>
      <c r="J23" s="398"/>
      <c r="K23" s="64" t="s">
        <v>27</v>
      </c>
      <c r="L23" s="325">
        <v>20000</v>
      </c>
      <c r="M23" s="309">
        <v>20000</v>
      </c>
      <c r="N23" s="203">
        <v>20000</v>
      </c>
      <c r="O23" s="203">
        <v>20000</v>
      </c>
      <c r="P23" s="203">
        <v>20000</v>
      </c>
      <c r="Q23" s="203">
        <v>20000</v>
      </c>
      <c r="R23" s="203">
        <v>20000</v>
      </c>
      <c r="S23" s="203">
        <v>20000</v>
      </c>
      <c r="T23" s="203">
        <v>20000</v>
      </c>
      <c r="U23" s="203">
        <v>20000</v>
      </c>
      <c r="V23" s="203">
        <v>20000</v>
      </c>
      <c r="W23" s="162">
        <v>20000</v>
      </c>
      <c r="X23" s="20">
        <f t="shared" si="10"/>
        <v>240000</v>
      </c>
      <c r="Y23" s="105"/>
      <c r="Z23" s="54"/>
    </row>
    <row r="24" spans="1:26">
      <c r="A24" s="70">
        <f t="shared" si="8"/>
        <v>2020010</v>
      </c>
      <c r="B24" s="74"/>
      <c r="C24" s="404"/>
      <c r="D24" s="402"/>
      <c r="E24" s="402"/>
      <c r="F24" s="406"/>
      <c r="G24" s="402"/>
      <c r="H24" s="400"/>
      <c r="I24" s="402"/>
      <c r="J24" s="398"/>
      <c r="K24" s="64" t="s">
        <v>28</v>
      </c>
      <c r="L24" s="330">
        <v>13300</v>
      </c>
      <c r="M24" s="309">
        <v>13300</v>
      </c>
      <c r="N24" s="203">
        <v>13300</v>
      </c>
      <c r="O24" s="203">
        <v>13300</v>
      </c>
      <c r="P24" s="203">
        <v>13300</v>
      </c>
      <c r="Q24" s="203">
        <v>13300</v>
      </c>
      <c r="R24" s="203">
        <v>13300</v>
      </c>
      <c r="S24" s="203">
        <v>13300</v>
      </c>
      <c r="T24" s="203">
        <v>13300</v>
      </c>
      <c r="U24" s="203">
        <v>13300</v>
      </c>
      <c r="V24" s="203">
        <v>13300</v>
      </c>
      <c r="W24" s="179">
        <v>13300</v>
      </c>
      <c r="X24" s="20">
        <f t="shared" si="10"/>
        <v>159600</v>
      </c>
      <c r="Y24" s="105"/>
      <c r="Z24" s="54"/>
    </row>
    <row r="25" spans="1:26">
      <c r="A25" s="70">
        <f t="shared" si="8"/>
        <v>2020010</v>
      </c>
      <c r="B25" s="74"/>
      <c r="C25" s="404"/>
      <c r="D25" s="402"/>
      <c r="E25" s="402"/>
      <c r="F25" s="406"/>
      <c r="G25" s="402"/>
      <c r="H25" s="400"/>
      <c r="I25" s="402"/>
      <c r="J25" s="398"/>
      <c r="K25" s="64" t="s">
        <v>29</v>
      </c>
      <c r="L25" s="330">
        <v>25620</v>
      </c>
      <c r="M25" s="309">
        <v>25620</v>
      </c>
      <c r="N25" s="203">
        <v>25620</v>
      </c>
      <c r="O25" s="203">
        <v>25620</v>
      </c>
      <c r="P25" s="203">
        <v>25620</v>
      </c>
      <c r="Q25" s="203">
        <v>25620</v>
      </c>
      <c r="R25" s="203">
        <v>25620</v>
      </c>
      <c r="S25" s="203">
        <v>25620</v>
      </c>
      <c r="T25" s="203">
        <v>25620</v>
      </c>
      <c r="U25" s="203">
        <v>25620</v>
      </c>
      <c r="V25" s="203">
        <v>25620</v>
      </c>
      <c r="W25" s="179">
        <v>25620</v>
      </c>
      <c r="X25" s="20">
        <f t="shared" si="10"/>
        <v>307440</v>
      </c>
      <c r="Y25" s="105"/>
      <c r="Z25" s="54"/>
    </row>
    <row r="26" spans="1:26">
      <c r="A26" s="70">
        <f t="shared" si="8"/>
        <v>2020010</v>
      </c>
      <c r="B26" s="74"/>
      <c r="C26" s="404"/>
      <c r="D26" s="402"/>
      <c r="E26" s="402"/>
      <c r="F26" s="406"/>
      <c r="G26" s="402"/>
      <c r="H26" s="400"/>
      <c r="I26" s="402"/>
      <c r="J26" s="398"/>
      <c r="K26" s="64" t="s">
        <v>30</v>
      </c>
      <c r="L26" s="330">
        <v>1430</v>
      </c>
      <c r="M26" s="309">
        <v>1425</v>
      </c>
      <c r="N26" s="203">
        <v>1425</v>
      </c>
      <c r="O26" s="203">
        <v>1425</v>
      </c>
      <c r="P26" s="203">
        <v>1443</v>
      </c>
      <c r="Q26" s="203">
        <v>1425</v>
      </c>
      <c r="R26" s="203">
        <v>1434</v>
      </c>
      <c r="S26" s="203">
        <v>1425</v>
      </c>
      <c r="T26" s="203">
        <v>1609</v>
      </c>
      <c r="U26" s="203">
        <v>1359</v>
      </c>
      <c r="V26" s="203">
        <v>1512</v>
      </c>
      <c r="W26" s="179">
        <v>1430</v>
      </c>
      <c r="X26" s="20">
        <f t="shared" si="10"/>
        <v>17342</v>
      </c>
      <c r="Y26" s="105"/>
      <c r="Z26" s="54"/>
    </row>
    <row r="27" spans="1:26">
      <c r="A27" s="70">
        <f t="shared" si="8"/>
        <v>2020010</v>
      </c>
      <c r="B27" s="74"/>
      <c r="C27" s="404"/>
      <c r="D27" s="402"/>
      <c r="E27" s="402"/>
      <c r="F27" s="406"/>
      <c r="G27" s="402"/>
      <c r="H27" s="400"/>
      <c r="I27" s="402"/>
      <c r="J27" s="398"/>
      <c r="K27" s="64" t="s">
        <v>31</v>
      </c>
      <c r="L27" s="331">
        <v>1573</v>
      </c>
      <c r="M27" s="309">
        <v>1567</v>
      </c>
      <c r="N27" s="203">
        <v>1567</v>
      </c>
      <c r="O27" s="203">
        <v>1567</v>
      </c>
      <c r="P27" s="203">
        <v>1588</v>
      </c>
      <c r="Q27" s="203">
        <v>1567</v>
      </c>
      <c r="R27" s="203">
        <v>1578</v>
      </c>
      <c r="S27" s="203">
        <v>1567</v>
      </c>
      <c r="T27" s="203">
        <v>1770</v>
      </c>
      <c r="U27" s="203">
        <v>1495</v>
      </c>
      <c r="V27" s="203">
        <v>1663</v>
      </c>
      <c r="W27" s="180">
        <v>1573</v>
      </c>
      <c r="X27" s="20">
        <f t="shared" si="10"/>
        <v>19075</v>
      </c>
      <c r="Y27" s="105"/>
      <c r="Z27" s="54"/>
    </row>
    <row r="28" spans="1:26">
      <c r="A28" s="70">
        <f t="shared" si="8"/>
        <v>2020010</v>
      </c>
      <c r="B28" s="74"/>
      <c r="C28" s="405"/>
      <c r="D28" s="403"/>
      <c r="E28" s="403"/>
      <c r="F28" s="407"/>
      <c r="G28" s="403"/>
      <c r="H28" s="401"/>
      <c r="I28" s="403"/>
      <c r="J28" s="399"/>
      <c r="K28" s="65" t="s">
        <v>32</v>
      </c>
      <c r="L28" s="250">
        <f t="shared" ref="L28:X28" si="11">L17-L20</f>
        <v>92156</v>
      </c>
      <c r="M28" s="251">
        <f t="shared" si="11"/>
        <v>93088</v>
      </c>
      <c r="N28" s="267">
        <f t="shared" si="11"/>
        <v>93088</v>
      </c>
      <c r="O28" s="344">
        <f t="shared" si="11"/>
        <v>81253</v>
      </c>
      <c r="P28" s="344">
        <f t="shared" si="11"/>
        <v>89366</v>
      </c>
      <c r="Q28" s="344">
        <f t="shared" si="11"/>
        <v>93088</v>
      </c>
      <c r="R28" s="344">
        <f t="shared" si="11"/>
        <v>91226</v>
      </c>
      <c r="S28" s="344">
        <f t="shared" si="11"/>
        <v>93088</v>
      </c>
      <c r="T28" s="344">
        <f t="shared" si="11"/>
        <v>55876</v>
      </c>
      <c r="U28" s="344">
        <f t="shared" si="11"/>
        <v>106483</v>
      </c>
      <c r="V28" s="344">
        <f t="shared" si="11"/>
        <v>92905</v>
      </c>
      <c r="W28" s="97">
        <f t="shared" si="11"/>
        <v>93077</v>
      </c>
      <c r="X28" s="24">
        <f t="shared" si="11"/>
        <v>1074694</v>
      </c>
      <c r="Z28" s="54"/>
    </row>
    <row r="29" spans="1:26" ht="12.75" customHeight="1">
      <c r="A29" s="69">
        <v>2024018</v>
      </c>
      <c r="C29" s="433">
        <f>C17+1</f>
        <v>3</v>
      </c>
      <c r="D29" s="432" t="s">
        <v>37</v>
      </c>
      <c r="E29" s="432" t="s">
        <v>104</v>
      </c>
      <c r="F29" s="434"/>
      <c r="G29" s="432"/>
      <c r="H29" s="431"/>
      <c r="I29" s="432" t="s">
        <v>48</v>
      </c>
      <c r="J29" s="397" t="s">
        <v>56</v>
      </c>
      <c r="K29" s="61" t="s">
        <v>22</v>
      </c>
      <c r="L29" s="314">
        <f t="shared" ref="L29:W29" si="12">L30+L31</f>
        <v>400000</v>
      </c>
      <c r="M29" s="243">
        <f t="shared" si="12"/>
        <v>400000</v>
      </c>
      <c r="N29" s="243">
        <f t="shared" si="12"/>
        <v>400000</v>
      </c>
      <c r="O29" s="244">
        <f t="shared" si="12"/>
        <v>400000</v>
      </c>
      <c r="P29" s="244">
        <f t="shared" si="12"/>
        <v>0</v>
      </c>
      <c r="Q29" s="352">
        <f t="shared" si="12"/>
        <v>0</v>
      </c>
      <c r="R29" s="352">
        <f t="shared" si="12"/>
        <v>0</v>
      </c>
      <c r="S29" s="352">
        <f t="shared" si="12"/>
        <v>0</v>
      </c>
      <c r="T29" s="352">
        <f t="shared" si="12"/>
        <v>0</v>
      </c>
      <c r="U29" s="352">
        <f t="shared" si="12"/>
        <v>0</v>
      </c>
      <c r="V29" s="352">
        <f t="shared" si="12"/>
        <v>0</v>
      </c>
      <c r="W29" s="366">
        <f t="shared" si="12"/>
        <v>0</v>
      </c>
      <c r="X29" s="297">
        <f>SUM(L29:W29)</f>
        <v>1600000</v>
      </c>
      <c r="Z29" s="54"/>
    </row>
    <row r="30" spans="1:26">
      <c r="A30" s="70">
        <f t="shared" ref="A30:B30" si="13">+A29</f>
        <v>2024018</v>
      </c>
      <c r="B30" s="74"/>
      <c r="C30" s="404"/>
      <c r="D30" s="402"/>
      <c r="E30" s="402"/>
      <c r="F30" s="406"/>
      <c r="G30" s="402"/>
      <c r="H30" s="400"/>
      <c r="I30" s="402"/>
      <c r="J30" s="398"/>
      <c r="K30" s="62" t="s">
        <v>23</v>
      </c>
      <c r="L30" s="328">
        <v>400000</v>
      </c>
      <c r="M30" s="309">
        <v>400000</v>
      </c>
      <c r="N30" s="309">
        <v>400000</v>
      </c>
      <c r="O30" s="309">
        <v>400000</v>
      </c>
      <c r="P30" s="309"/>
      <c r="Q30" s="203"/>
      <c r="R30" s="203"/>
      <c r="S30" s="203"/>
      <c r="T30" s="203"/>
      <c r="U30" s="203"/>
      <c r="V30" s="203"/>
      <c r="W30" s="360"/>
      <c r="X30" s="283">
        <f>SUM(L30:W30)</f>
        <v>1600000</v>
      </c>
      <c r="Y30" s="105"/>
      <c r="Z30" s="54"/>
    </row>
    <row r="31" spans="1:26">
      <c r="A31" s="70">
        <f t="shared" ref="A31:B31" si="14">+A30</f>
        <v>2024018</v>
      </c>
      <c r="B31" s="74"/>
      <c r="C31" s="404"/>
      <c r="D31" s="402"/>
      <c r="E31" s="402"/>
      <c r="F31" s="406"/>
      <c r="G31" s="402"/>
      <c r="H31" s="400"/>
      <c r="I31" s="402"/>
      <c r="J31" s="398"/>
      <c r="K31" s="62" t="s">
        <v>24</v>
      </c>
      <c r="L31" s="316"/>
      <c r="M31" s="290"/>
      <c r="N31" s="290"/>
      <c r="O31" s="367"/>
      <c r="P31" s="367"/>
      <c r="Q31" s="224"/>
      <c r="R31" s="224"/>
      <c r="S31" s="224"/>
      <c r="T31" s="224"/>
      <c r="U31" s="224"/>
      <c r="V31" s="224"/>
      <c r="W31" s="368"/>
      <c r="X31" s="283">
        <v>0</v>
      </c>
      <c r="Z31" s="54"/>
    </row>
    <row r="32" spans="1:26">
      <c r="A32" s="70">
        <f t="shared" ref="A32:B32" si="15">+A31</f>
        <v>2024018</v>
      </c>
      <c r="B32" s="74"/>
      <c r="C32" s="404"/>
      <c r="D32" s="402"/>
      <c r="E32" s="402"/>
      <c r="F32" s="406"/>
      <c r="G32" s="402"/>
      <c r="H32" s="400"/>
      <c r="I32" s="402"/>
      <c r="J32" s="398"/>
      <c r="K32" s="63" t="s">
        <v>25</v>
      </c>
      <c r="L32" s="312">
        <f t="shared" ref="L32:W32" si="16">SUM(L33:L39)</f>
        <v>307914</v>
      </c>
      <c r="M32" s="323">
        <f t="shared" si="16"/>
        <v>307914</v>
      </c>
      <c r="N32" s="323">
        <f t="shared" si="16"/>
        <v>307682</v>
      </c>
      <c r="O32" s="369">
        <f t="shared" si="16"/>
        <v>307682</v>
      </c>
      <c r="P32" s="369">
        <f t="shared" si="16"/>
        <v>0</v>
      </c>
      <c r="Q32" s="350">
        <f t="shared" si="16"/>
        <v>0</v>
      </c>
      <c r="R32" s="350">
        <f t="shared" si="16"/>
        <v>0</v>
      </c>
      <c r="S32" s="350">
        <f t="shared" si="16"/>
        <v>0</v>
      </c>
      <c r="T32" s="350">
        <f t="shared" si="16"/>
        <v>0</v>
      </c>
      <c r="U32" s="350">
        <f t="shared" si="16"/>
        <v>0</v>
      </c>
      <c r="V32" s="350">
        <f t="shared" si="16"/>
        <v>0</v>
      </c>
      <c r="W32" s="370">
        <f t="shared" si="16"/>
        <v>0</v>
      </c>
      <c r="X32" s="287">
        <f>SUM(L32:W32)</f>
        <v>1231192</v>
      </c>
      <c r="Z32" s="54"/>
    </row>
    <row r="33" spans="1:26">
      <c r="A33" s="70">
        <f t="shared" ref="A33:B33" si="17">+A32</f>
        <v>2024018</v>
      </c>
      <c r="B33" s="74"/>
      <c r="C33" s="404"/>
      <c r="D33" s="402"/>
      <c r="E33" s="402"/>
      <c r="F33" s="406"/>
      <c r="G33" s="402"/>
      <c r="H33" s="400"/>
      <c r="I33" s="402"/>
      <c r="J33" s="398"/>
      <c r="K33" s="64" t="s">
        <v>26</v>
      </c>
      <c r="L33" s="325">
        <v>250000</v>
      </c>
      <c r="M33" s="309">
        <v>250000</v>
      </c>
      <c r="N33" s="309">
        <v>250000</v>
      </c>
      <c r="O33" s="309">
        <v>250000</v>
      </c>
      <c r="P33" s="309"/>
      <c r="Q33" s="203"/>
      <c r="R33" s="203"/>
      <c r="S33" s="203"/>
      <c r="T33" s="203"/>
      <c r="U33" s="203"/>
      <c r="V33" s="203"/>
      <c r="W33" s="288"/>
      <c r="X33" s="283">
        <f t="shared" ref="X33:X39" si="18">SUM(L33:W33)</f>
        <v>1000000</v>
      </c>
      <c r="Y33" s="105"/>
      <c r="Z33" s="54"/>
    </row>
    <row r="34" spans="1:26">
      <c r="A34" s="70">
        <f t="shared" ref="A34:B34" si="19">+A33</f>
        <v>2024018</v>
      </c>
      <c r="B34" s="74"/>
      <c r="C34" s="404"/>
      <c r="D34" s="402"/>
      <c r="E34" s="402"/>
      <c r="F34" s="406"/>
      <c r="G34" s="402"/>
      <c r="H34" s="400"/>
      <c r="I34" s="402"/>
      <c r="J34" s="398"/>
      <c r="K34" s="64" t="s">
        <v>33</v>
      </c>
      <c r="L34" s="329"/>
      <c r="M34" s="324"/>
      <c r="N34" s="324"/>
      <c r="O34" s="324"/>
      <c r="P34" s="324"/>
      <c r="Q34" s="205"/>
      <c r="R34" s="205"/>
      <c r="S34" s="205"/>
      <c r="T34" s="205"/>
      <c r="U34" s="205"/>
      <c r="V34" s="205"/>
      <c r="W34" s="371"/>
      <c r="X34" s="283">
        <f t="shared" si="18"/>
        <v>0</v>
      </c>
      <c r="Y34" s="105"/>
      <c r="Z34" s="54"/>
    </row>
    <row r="35" spans="1:26">
      <c r="A35" s="70">
        <f t="shared" ref="A35:B35" si="20">+A34</f>
        <v>2024018</v>
      </c>
      <c r="B35" s="74"/>
      <c r="C35" s="404"/>
      <c r="D35" s="402"/>
      <c r="E35" s="402"/>
      <c r="F35" s="406"/>
      <c r="G35" s="402"/>
      <c r="H35" s="400"/>
      <c r="I35" s="402"/>
      <c r="J35" s="398"/>
      <c r="K35" s="64" t="s">
        <v>27</v>
      </c>
      <c r="L35" s="325">
        <v>18950</v>
      </c>
      <c r="M35" s="309">
        <v>18950</v>
      </c>
      <c r="N35" s="309">
        <v>18720</v>
      </c>
      <c r="O35" s="309">
        <v>18720</v>
      </c>
      <c r="P35" s="309"/>
      <c r="Q35" s="203"/>
      <c r="R35" s="203"/>
      <c r="S35" s="203"/>
      <c r="T35" s="203"/>
      <c r="U35" s="203"/>
      <c r="V35" s="203"/>
      <c r="W35" s="288"/>
      <c r="X35" s="283">
        <f t="shared" si="18"/>
        <v>75340</v>
      </c>
      <c r="Y35" s="105"/>
      <c r="Z35" s="54"/>
    </row>
    <row r="36" spans="1:26">
      <c r="A36" s="70">
        <f t="shared" ref="A36:B36" si="21">+A35</f>
        <v>2024018</v>
      </c>
      <c r="B36" s="74"/>
      <c r="C36" s="404"/>
      <c r="D36" s="402"/>
      <c r="E36" s="402"/>
      <c r="F36" s="406"/>
      <c r="G36" s="402"/>
      <c r="H36" s="400"/>
      <c r="I36" s="402"/>
      <c r="J36" s="398"/>
      <c r="K36" s="64" t="s">
        <v>28</v>
      </c>
      <c r="L36" s="330">
        <v>12350</v>
      </c>
      <c r="M36" s="309">
        <v>12350</v>
      </c>
      <c r="N36" s="309">
        <v>12350</v>
      </c>
      <c r="O36" s="309">
        <v>12350</v>
      </c>
      <c r="P36" s="309"/>
      <c r="Q36" s="203"/>
      <c r="R36" s="203"/>
      <c r="S36" s="203"/>
      <c r="T36" s="203"/>
      <c r="U36" s="203"/>
      <c r="V36" s="203"/>
      <c r="W36" s="372"/>
      <c r="X36" s="283">
        <f t="shared" si="18"/>
        <v>49400</v>
      </c>
      <c r="Y36" s="105"/>
      <c r="Z36" s="54"/>
    </row>
    <row r="37" spans="1:26">
      <c r="A37" s="70">
        <f t="shared" ref="A37:B37" si="22">+A36</f>
        <v>2024018</v>
      </c>
      <c r="B37" s="74"/>
      <c r="C37" s="404"/>
      <c r="D37" s="402"/>
      <c r="E37" s="402"/>
      <c r="F37" s="406"/>
      <c r="G37" s="402"/>
      <c r="H37" s="400"/>
      <c r="I37" s="402"/>
      <c r="J37" s="398"/>
      <c r="K37" s="64" t="s">
        <v>29</v>
      </c>
      <c r="L37" s="330">
        <v>23790</v>
      </c>
      <c r="M37" s="309">
        <v>23790</v>
      </c>
      <c r="N37" s="309">
        <v>23790</v>
      </c>
      <c r="O37" s="309">
        <v>23790</v>
      </c>
      <c r="P37" s="309"/>
      <c r="Q37" s="203"/>
      <c r="R37" s="203"/>
      <c r="S37" s="203"/>
      <c r="T37" s="203"/>
      <c r="U37" s="203"/>
      <c r="V37" s="203"/>
      <c r="W37" s="372"/>
      <c r="X37" s="283">
        <f t="shared" si="18"/>
        <v>95160</v>
      </c>
      <c r="Y37" s="105"/>
      <c r="Z37" s="54"/>
    </row>
    <row r="38" spans="1:26">
      <c r="A38" s="70">
        <f t="shared" ref="A38:B38" si="23">+A37</f>
        <v>2024018</v>
      </c>
      <c r="B38" s="74"/>
      <c r="C38" s="404"/>
      <c r="D38" s="402"/>
      <c r="E38" s="402"/>
      <c r="F38" s="406"/>
      <c r="G38" s="402"/>
      <c r="H38" s="400"/>
      <c r="I38" s="402"/>
      <c r="J38" s="398"/>
      <c r="K38" s="64" t="s">
        <v>30</v>
      </c>
      <c r="L38" s="330">
        <v>1345</v>
      </c>
      <c r="M38" s="309">
        <v>1345</v>
      </c>
      <c r="N38" s="309">
        <v>1344</v>
      </c>
      <c r="O38" s="309">
        <v>1344</v>
      </c>
      <c r="P38" s="309"/>
      <c r="Q38" s="203"/>
      <c r="R38" s="203"/>
      <c r="S38" s="203"/>
      <c r="T38" s="203"/>
      <c r="U38" s="203"/>
      <c r="V38" s="203"/>
      <c r="W38" s="372"/>
      <c r="X38" s="283">
        <f t="shared" si="18"/>
        <v>5378</v>
      </c>
      <c r="Y38" s="105"/>
      <c r="Z38" s="54"/>
    </row>
    <row r="39" spans="1:26">
      <c r="A39" s="70">
        <f t="shared" ref="A39:B39" si="24">+A38</f>
        <v>2024018</v>
      </c>
      <c r="B39" s="74"/>
      <c r="C39" s="404"/>
      <c r="D39" s="402"/>
      <c r="E39" s="402"/>
      <c r="F39" s="406"/>
      <c r="G39" s="402"/>
      <c r="H39" s="400"/>
      <c r="I39" s="402"/>
      <c r="J39" s="398"/>
      <c r="K39" s="64" t="s">
        <v>31</v>
      </c>
      <c r="L39" s="331">
        <v>1479</v>
      </c>
      <c r="M39" s="309">
        <v>1479</v>
      </c>
      <c r="N39" s="309">
        <v>1478</v>
      </c>
      <c r="O39" s="309">
        <v>1478</v>
      </c>
      <c r="P39" s="309"/>
      <c r="Q39" s="203"/>
      <c r="R39" s="203"/>
      <c r="S39" s="203"/>
      <c r="T39" s="203"/>
      <c r="U39" s="203"/>
      <c r="V39" s="203"/>
      <c r="W39" s="373"/>
      <c r="X39" s="283">
        <f t="shared" si="18"/>
        <v>5914</v>
      </c>
      <c r="Y39" s="105"/>
      <c r="Z39" s="54"/>
    </row>
    <row r="40" spans="1:26">
      <c r="A40" s="70">
        <f t="shared" ref="A40:B40" si="25">+A39</f>
        <v>2024018</v>
      </c>
      <c r="B40" s="74"/>
      <c r="C40" s="405"/>
      <c r="D40" s="403"/>
      <c r="E40" s="403"/>
      <c r="F40" s="407"/>
      <c r="G40" s="403"/>
      <c r="H40" s="401"/>
      <c r="I40" s="403"/>
      <c r="J40" s="399"/>
      <c r="K40" s="65" t="s">
        <v>32</v>
      </c>
      <c r="L40" s="250">
        <f t="shared" ref="L40:W40" si="26">L29-L32</f>
        <v>92086</v>
      </c>
      <c r="M40" s="251">
        <f t="shared" si="26"/>
        <v>92086</v>
      </c>
      <c r="N40" s="251">
        <f t="shared" si="26"/>
        <v>92318</v>
      </c>
      <c r="O40" s="252">
        <f t="shared" si="26"/>
        <v>92318</v>
      </c>
      <c r="P40" s="252">
        <f t="shared" si="26"/>
        <v>0</v>
      </c>
      <c r="Q40" s="344">
        <f t="shared" si="26"/>
        <v>0</v>
      </c>
      <c r="R40" s="344">
        <f t="shared" si="26"/>
        <v>0</v>
      </c>
      <c r="S40" s="344">
        <f t="shared" si="26"/>
        <v>0</v>
      </c>
      <c r="T40" s="344">
        <f t="shared" si="26"/>
        <v>0</v>
      </c>
      <c r="U40" s="344">
        <f t="shared" si="26"/>
        <v>0</v>
      </c>
      <c r="V40" s="344">
        <f t="shared" si="26"/>
        <v>0</v>
      </c>
      <c r="W40" s="374">
        <f t="shared" si="26"/>
        <v>0</v>
      </c>
      <c r="X40" s="375">
        <f>X29-X32</f>
        <v>368808</v>
      </c>
      <c r="Z40" s="54"/>
    </row>
    <row r="41" spans="1:26" ht="12.75" customHeight="1">
      <c r="A41" s="69">
        <v>2025004</v>
      </c>
      <c r="C41" s="433">
        <f>C29+1</f>
        <v>4</v>
      </c>
      <c r="D41" s="432" t="s">
        <v>37</v>
      </c>
      <c r="E41" s="432"/>
      <c r="F41" s="434"/>
      <c r="G41" s="432"/>
      <c r="H41" s="431"/>
      <c r="I41" s="432" t="s">
        <v>48</v>
      </c>
      <c r="J41" s="397" t="s">
        <v>56</v>
      </c>
      <c r="K41" s="61" t="s">
        <v>22</v>
      </c>
      <c r="L41" s="314">
        <f t="shared" ref="L41:W41" si="27">L42+L43</f>
        <v>0</v>
      </c>
      <c r="M41" s="243">
        <f t="shared" si="27"/>
        <v>0</v>
      </c>
      <c r="N41" s="272">
        <f t="shared" si="27"/>
        <v>0</v>
      </c>
      <c r="O41" s="352">
        <f t="shared" si="27"/>
        <v>0</v>
      </c>
      <c r="P41" s="352">
        <f t="shared" si="27"/>
        <v>400000</v>
      </c>
      <c r="Q41" s="352">
        <f t="shared" si="27"/>
        <v>400000</v>
      </c>
      <c r="R41" s="352">
        <f t="shared" si="27"/>
        <v>400000</v>
      </c>
      <c r="S41" s="352">
        <f t="shared" si="27"/>
        <v>395000</v>
      </c>
      <c r="T41" s="352">
        <f t="shared" si="27"/>
        <v>400000</v>
      </c>
      <c r="U41" s="352">
        <f t="shared" si="27"/>
        <v>400000</v>
      </c>
      <c r="V41" s="352">
        <f t="shared" si="27"/>
        <v>388750</v>
      </c>
      <c r="W41" s="99">
        <f t="shared" si="27"/>
        <v>400000</v>
      </c>
      <c r="X41" s="23">
        <f>SUM(L41:W41)</f>
        <v>3183750</v>
      </c>
      <c r="Z41" s="54"/>
    </row>
    <row r="42" spans="1:26">
      <c r="A42" s="70">
        <f t="shared" ref="A42:B42" si="28">+A41</f>
        <v>2025004</v>
      </c>
      <c r="B42" s="74">
        <f t="shared" si="28"/>
        <v>0</v>
      </c>
      <c r="C42" s="404"/>
      <c r="D42" s="402"/>
      <c r="E42" s="402"/>
      <c r="F42" s="406"/>
      <c r="G42" s="402"/>
      <c r="H42" s="400"/>
      <c r="I42" s="402"/>
      <c r="J42" s="398"/>
      <c r="K42" s="62" t="s">
        <v>23</v>
      </c>
      <c r="L42" s="328"/>
      <c r="M42" s="309"/>
      <c r="N42" s="203"/>
      <c r="O42" s="203">
        <v>0</v>
      </c>
      <c r="P42" s="203">
        <v>400000</v>
      </c>
      <c r="Q42" s="203">
        <v>400000</v>
      </c>
      <c r="R42" s="203">
        <v>400000</v>
      </c>
      <c r="S42" s="203">
        <v>395000</v>
      </c>
      <c r="T42" s="203">
        <v>400000</v>
      </c>
      <c r="U42" s="203">
        <v>400000</v>
      </c>
      <c r="V42" s="203">
        <v>388750</v>
      </c>
      <c r="W42" s="170">
        <v>400000</v>
      </c>
      <c r="X42" s="20">
        <f>SUM(L42:W42)</f>
        <v>3183750</v>
      </c>
      <c r="Y42" s="105"/>
      <c r="Z42" s="54"/>
    </row>
    <row r="43" spans="1:26">
      <c r="A43" s="70">
        <f t="shared" ref="A43:B43" si="29">+A42</f>
        <v>2025004</v>
      </c>
      <c r="B43" s="74">
        <f t="shared" si="29"/>
        <v>0</v>
      </c>
      <c r="C43" s="404"/>
      <c r="D43" s="402"/>
      <c r="E43" s="402"/>
      <c r="F43" s="406"/>
      <c r="G43" s="402"/>
      <c r="H43" s="400"/>
      <c r="I43" s="402"/>
      <c r="J43" s="398"/>
      <c r="K43" s="62" t="s">
        <v>24</v>
      </c>
      <c r="L43" s="316"/>
      <c r="M43" s="290"/>
      <c r="N43" s="212"/>
      <c r="O43" s="224"/>
      <c r="P43" s="224"/>
      <c r="Q43" s="224"/>
      <c r="R43" s="224"/>
      <c r="S43" s="224"/>
      <c r="T43" s="224"/>
      <c r="U43" s="224"/>
      <c r="V43" s="224"/>
      <c r="W43" s="89"/>
      <c r="X43" s="20">
        <v>0</v>
      </c>
      <c r="Z43" s="54"/>
    </row>
    <row r="44" spans="1:26">
      <c r="A44" s="70">
        <f t="shared" ref="A44:B44" si="30">+A43</f>
        <v>2025004</v>
      </c>
      <c r="B44" s="74">
        <f t="shared" si="30"/>
        <v>0</v>
      </c>
      <c r="C44" s="404"/>
      <c r="D44" s="402"/>
      <c r="E44" s="402"/>
      <c r="F44" s="406"/>
      <c r="G44" s="402"/>
      <c r="H44" s="400"/>
      <c r="I44" s="402"/>
      <c r="J44" s="398"/>
      <c r="K44" s="63" t="s">
        <v>25</v>
      </c>
      <c r="L44" s="312">
        <f t="shared" ref="L44:W44" si="31">SUM(L45:L51)</f>
        <v>0</v>
      </c>
      <c r="M44" s="323">
        <f t="shared" si="31"/>
        <v>0</v>
      </c>
      <c r="N44" s="279">
        <f t="shared" si="31"/>
        <v>0</v>
      </c>
      <c r="O44" s="350">
        <f t="shared" si="31"/>
        <v>296535</v>
      </c>
      <c r="P44" s="350">
        <f t="shared" si="31"/>
        <v>296535</v>
      </c>
      <c r="Q44" s="350">
        <f t="shared" si="31"/>
        <v>296535</v>
      </c>
      <c r="R44" s="350">
        <f t="shared" si="31"/>
        <v>296535</v>
      </c>
      <c r="S44" s="350">
        <f t="shared" si="31"/>
        <v>296535</v>
      </c>
      <c r="T44" s="350">
        <f t="shared" si="31"/>
        <v>296535</v>
      </c>
      <c r="U44" s="350">
        <f t="shared" si="31"/>
        <v>296535</v>
      </c>
      <c r="V44" s="350">
        <f t="shared" si="31"/>
        <v>296718</v>
      </c>
      <c r="W44" s="96">
        <f t="shared" si="31"/>
        <v>295142</v>
      </c>
      <c r="X44" s="33">
        <f>SUM(L44:W44)</f>
        <v>2667605</v>
      </c>
      <c r="Z44" s="54"/>
    </row>
    <row r="45" spans="1:26">
      <c r="A45" s="70">
        <f t="shared" ref="A45:B45" si="32">+A44</f>
        <v>2025004</v>
      </c>
      <c r="B45" s="74">
        <f t="shared" si="32"/>
        <v>0</v>
      </c>
      <c r="C45" s="404"/>
      <c r="D45" s="402"/>
      <c r="E45" s="402"/>
      <c r="F45" s="406"/>
      <c r="G45" s="402"/>
      <c r="H45" s="400"/>
      <c r="I45" s="402"/>
      <c r="J45" s="398"/>
      <c r="K45" s="64" t="s">
        <v>26</v>
      </c>
      <c r="L45" s="325"/>
      <c r="M45" s="309"/>
      <c r="N45" s="203"/>
      <c r="O45" s="203">
        <v>240000</v>
      </c>
      <c r="P45" s="203">
        <v>240000</v>
      </c>
      <c r="Q45" s="203">
        <v>240000</v>
      </c>
      <c r="R45" s="203">
        <v>240000</v>
      </c>
      <c r="S45" s="203">
        <v>240000</v>
      </c>
      <c r="T45" s="203">
        <v>240000</v>
      </c>
      <c r="U45" s="203">
        <v>240000</v>
      </c>
      <c r="V45" s="203">
        <v>240000</v>
      </c>
      <c r="W45" s="170">
        <v>240000</v>
      </c>
      <c r="X45" s="20">
        <f t="shared" ref="X45:X51" si="33">SUM(L45:W45)</f>
        <v>2160000</v>
      </c>
      <c r="Y45" s="105"/>
      <c r="Z45" s="54"/>
    </row>
    <row r="46" spans="1:26">
      <c r="A46" s="70">
        <f t="shared" ref="A46:B46" si="34">+A45</f>
        <v>2025004</v>
      </c>
      <c r="B46" s="74">
        <f t="shared" si="34"/>
        <v>0</v>
      </c>
      <c r="C46" s="404"/>
      <c r="D46" s="402"/>
      <c r="E46" s="402"/>
      <c r="F46" s="406"/>
      <c r="G46" s="402"/>
      <c r="H46" s="400"/>
      <c r="I46" s="402"/>
      <c r="J46" s="398"/>
      <c r="K46" s="64" t="s">
        <v>33</v>
      </c>
      <c r="L46" s="329"/>
      <c r="M46" s="324"/>
      <c r="N46" s="205"/>
      <c r="O46" s="205"/>
      <c r="P46" s="205"/>
      <c r="Q46" s="205"/>
      <c r="R46" s="205"/>
      <c r="S46" s="205"/>
      <c r="T46" s="205"/>
      <c r="U46" s="205"/>
      <c r="V46" s="205"/>
      <c r="W46" s="173"/>
      <c r="X46" s="20">
        <f t="shared" si="33"/>
        <v>0</v>
      </c>
      <c r="Y46" s="105"/>
      <c r="Z46" s="54"/>
    </row>
    <row r="47" spans="1:26">
      <c r="A47" s="70">
        <f t="shared" ref="A47:B47" si="35">+A46</f>
        <v>2025004</v>
      </c>
      <c r="B47" s="74">
        <f t="shared" si="35"/>
        <v>0</v>
      </c>
      <c r="C47" s="404"/>
      <c r="D47" s="402"/>
      <c r="E47" s="402"/>
      <c r="F47" s="406"/>
      <c r="G47" s="402"/>
      <c r="H47" s="400"/>
      <c r="I47" s="402"/>
      <c r="J47" s="398"/>
      <c r="K47" s="64" t="s">
        <v>27</v>
      </c>
      <c r="L47" s="325"/>
      <c r="M47" s="309"/>
      <c r="N47" s="203"/>
      <c r="O47" s="203">
        <v>17690</v>
      </c>
      <c r="P47" s="203">
        <v>17690</v>
      </c>
      <c r="Q47" s="203">
        <v>17690</v>
      </c>
      <c r="R47" s="203">
        <v>17690</v>
      </c>
      <c r="S47" s="203">
        <v>17690</v>
      </c>
      <c r="T47" s="203">
        <v>17690</v>
      </c>
      <c r="U47" s="203">
        <v>17690</v>
      </c>
      <c r="V47" s="203">
        <v>17690</v>
      </c>
      <c r="W47" s="170">
        <v>16310</v>
      </c>
      <c r="X47" s="20">
        <f t="shared" si="33"/>
        <v>157830</v>
      </c>
      <c r="Y47" s="105"/>
      <c r="Z47" s="54"/>
    </row>
    <row r="48" spans="1:26">
      <c r="A48" s="70">
        <f t="shared" ref="A48:B48" si="36">+A47</f>
        <v>2025004</v>
      </c>
      <c r="B48" s="74">
        <f t="shared" si="36"/>
        <v>0</v>
      </c>
      <c r="C48" s="404"/>
      <c r="D48" s="402"/>
      <c r="E48" s="402"/>
      <c r="F48" s="406"/>
      <c r="G48" s="402"/>
      <c r="H48" s="400"/>
      <c r="I48" s="402"/>
      <c r="J48" s="398"/>
      <c r="K48" s="64" t="s">
        <v>28</v>
      </c>
      <c r="L48" s="330"/>
      <c r="M48" s="309"/>
      <c r="N48" s="203"/>
      <c r="O48" s="203">
        <v>12350</v>
      </c>
      <c r="P48" s="203">
        <v>12350</v>
      </c>
      <c r="Q48" s="203">
        <v>12350</v>
      </c>
      <c r="R48" s="203">
        <v>12350</v>
      </c>
      <c r="S48" s="203">
        <v>12350</v>
      </c>
      <c r="T48" s="203">
        <v>12350</v>
      </c>
      <c r="U48" s="203">
        <v>12350</v>
      </c>
      <c r="V48" s="203">
        <v>12350</v>
      </c>
      <c r="W48" s="170">
        <v>12350</v>
      </c>
      <c r="X48" s="20">
        <f t="shared" si="33"/>
        <v>111150</v>
      </c>
      <c r="Y48" s="105"/>
      <c r="Z48" s="54"/>
    </row>
    <row r="49" spans="1:27">
      <c r="A49" s="70">
        <f t="shared" ref="A49:B49" si="37">+A48</f>
        <v>2025004</v>
      </c>
      <c r="B49" s="74">
        <f t="shared" si="37"/>
        <v>0</v>
      </c>
      <c r="C49" s="404"/>
      <c r="D49" s="402"/>
      <c r="E49" s="402"/>
      <c r="F49" s="406"/>
      <c r="G49" s="402"/>
      <c r="H49" s="400"/>
      <c r="I49" s="402"/>
      <c r="J49" s="398"/>
      <c r="K49" s="64" t="s">
        <v>29</v>
      </c>
      <c r="L49" s="330"/>
      <c r="M49" s="309"/>
      <c r="N49" s="203"/>
      <c r="O49" s="203">
        <v>23790</v>
      </c>
      <c r="P49" s="203">
        <v>23790</v>
      </c>
      <c r="Q49" s="203">
        <v>23790</v>
      </c>
      <c r="R49" s="203">
        <v>23790</v>
      </c>
      <c r="S49" s="203">
        <v>23790</v>
      </c>
      <c r="T49" s="203">
        <v>23790</v>
      </c>
      <c r="U49" s="203">
        <v>23790</v>
      </c>
      <c r="V49" s="203">
        <v>23790</v>
      </c>
      <c r="W49" s="170">
        <v>23790</v>
      </c>
      <c r="X49" s="20">
        <f t="shared" si="33"/>
        <v>214110</v>
      </c>
      <c r="Y49" s="105"/>
      <c r="Z49" s="54"/>
    </row>
    <row r="50" spans="1:27">
      <c r="A50" s="70">
        <f t="shared" ref="A50:B50" si="38">+A49</f>
        <v>2025004</v>
      </c>
      <c r="B50" s="74">
        <f t="shared" si="38"/>
        <v>0</v>
      </c>
      <c r="C50" s="404"/>
      <c r="D50" s="402"/>
      <c r="E50" s="402"/>
      <c r="F50" s="406"/>
      <c r="G50" s="402"/>
      <c r="H50" s="400"/>
      <c r="I50" s="402"/>
      <c r="J50" s="398"/>
      <c r="K50" s="64" t="s">
        <v>30</v>
      </c>
      <c r="L50" s="330"/>
      <c r="M50" s="309"/>
      <c r="N50" s="203"/>
      <c r="O50" s="203">
        <v>1288</v>
      </c>
      <c r="P50" s="203">
        <v>1288</v>
      </c>
      <c r="Q50" s="203">
        <v>1288</v>
      </c>
      <c r="R50" s="203">
        <v>1288</v>
      </c>
      <c r="S50" s="203">
        <v>1288</v>
      </c>
      <c r="T50" s="203">
        <v>1288</v>
      </c>
      <c r="U50" s="203">
        <v>1288</v>
      </c>
      <c r="V50" s="203">
        <v>1375</v>
      </c>
      <c r="W50" s="170">
        <v>1282</v>
      </c>
      <c r="X50" s="20">
        <f t="shared" si="33"/>
        <v>11673</v>
      </c>
      <c r="Y50" s="105"/>
      <c r="Z50" s="54"/>
    </row>
    <row r="51" spans="1:27">
      <c r="A51" s="70">
        <f t="shared" ref="A51:B51" si="39">+A50</f>
        <v>2025004</v>
      </c>
      <c r="B51" s="74">
        <f t="shared" si="39"/>
        <v>0</v>
      </c>
      <c r="C51" s="404"/>
      <c r="D51" s="402"/>
      <c r="E51" s="402"/>
      <c r="F51" s="406"/>
      <c r="G51" s="402"/>
      <c r="H51" s="400"/>
      <c r="I51" s="402"/>
      <c r="J51" s="398"/>
      <c r="K51" s="64" t="s">
        <v>31</v>
      </c>
      <c r="L51" s="331"/>
      <c r="M51" s="309"/>
      <c r="N51" s="203"/>
      <c r="O51" s="203">
        <v>1417</v>
      </c>
      <c r="P51" s="203">
        <v>1417</v>
      </c>
      <c r="Q51" s="203">
        <v>1417</v>
      </c>
      <c r="R51" s="203">
        <v>1417</v>
      </c>
      <c r="S51" s="203">
        <v>1417</v>
      </c>
      <c r="T51" s="203">
        <v>1417</v>
      </c>
      <c r="U51" s="203">
        <v>1417</v>
      </c>
      <c r="V51" s="203">
        <v>1513</v>
      </c>
      <c r="W51" s="170">
        <v>1410</v>
      </c>
      <c r="X51" s="20">
        <f t="shared" si="33"/>
        <v>12842</v>
      </c>
      <c r="Y51" s="105"/>
      <c r="Z51" s="54"/>
    </row>
    <row r="52" spans="1:27" ht="12.5" thickBot="1">
      <c r="A52" s="70">
        <f t="shared" ref="A52:B52" si="40">+A51</f>
        <v>2025004</v>
      </c>
      <c r="B52" s="74">
        <f t="shared" si="40"/>
        <v>0</v>
      </c>
      <c r="C52" s="438"/>
      <c r="D52" s="436"/>
      <c r="E52" s="436"/>
      <c r="F52" s="439"/>
      <c r="G52" s="436"/>
      <c r="H52" s="435"/>
      <c r="I52" s="436"/>
      <c r="J52" s="437"/>
      <c r="K52" s="67" t="s">
        <v>32</v>
      </c>
      <c r="L52" s="240">
        <f t="shared" ref="L52:W52" si="41">L41-L44</f>
        <v>0</v>
      </c>
      <c r="M52" s="292">
        <f t="shared" si="41"/>
        <v>0</v>
      </c>
      <c r="N52" s="268">
        <f t="shared" si="41"/>
        <v>0</v>
      </c>
      <c r="O52" s="345">
        <f t="shared" si="41"/>
        <v>-296535</v>
      </c>
      <c r="P52" s="345">
        <f t="shared" si="41"/>
        <v>103465</v>
      </c>
      <c r="Q52" s="345">
        <f t="shared" si="41"/>
        <v>103465</v>
      </c>
      <c r="R52" s="345">
        <f t="shared" si="41"/>
        <v>103465</v>
      </c>
      <c r="S52" s="345">
        <f t="shared" si="41"/>
        <v>98465</v>
      </c>
      <c r="T52" s="345">
        <f t="shared" si="41"/>
        <v>103465</v>
      </c>
      <c r="U52" s="345">
        <f t="shared" si="41"/>
        <v>103465</v>
      </c>
      <c r="V52" s="345">
        <f t="shared" si="41"/>
        <v>92032</v>
      </c>
      <c r="W52" s="102">
        <f t="shared" si="41"/>
        <v>104858</v>
      </c>
      <c r="X52" s="59">
        <f>X41-X44</f>
        <v>516145</v>
      </c>
      <c r="Z52" s="54"/>
    </row>
    <row r="53" spans="1:27" s="1" customFormat="1" ht="12.5" thickTop="1">
      <c r="A53" s="68"/>
      <c r="B53" s="72"/>
      <c r="C53" s="421" t="str">
        <f>C2</f>
        <v>ジャステック</v>
      </c>
      <c r="D53" s="422"/>
      <c r="E53" s="422"/>
      <c r="F53" s="422"/>
      <c r="G53" s="422"/>
      <c r="H53" s="422"/>
      <c r="I53" s="422"/>
      <c r="J53" s="423"/>
      <c r="K53" s="112" t="s">
        <v>19</v>
      </c>
      <c r="L53" s="317">
        <f>L5+L17+L29+L41</f>
        <v>1240000</v>
      </c>
      <c r="M53" s="318">
        <f t="shared" ref="M53:W53" si="42">M5+M17+M29+M41</f>
        <v>1240000</v>
      </c>
      <c r="N53" s="333">
        <f t="shared" si="42"/>
        <v>1240000</v>
      </c>
      <c r="O53" s="333">
        <f t="shared" si="42"/>
        <v>1228165</v>
      </c>
      <c r="P53" s="333">
        <f>P5+P17+P29+P41</f>
        <v>1240000</v>
      </c>
      <c r="Q53" s="333">
        <f t="shared" si="42"/>
        <v>1240000</v>
      </c>
      <c r="R53" s="333">
        <f t="shared" si="42"/>
        <v>1207125</v>
      </c>
      <c r="S53" s="333">
        <f t="shared" si="42"/>
        <v>1142950</v>
      </c>
      <c r="T53" s="333">
        <f t="shared" si="42"/>
        <v>1240000</v>
      </c>
      <c r="U53" s="333">
        <f t="shared" si="42"/>
        <v>1240000</v>
      </c>
      <c r="V53" s="333">
        <f t="shared" si="42"/>
        <v>1215600</v>
      </c>
      <c r="W53" s="298">
        <f t="shared" si="42"/>
        <v>1240000</v>
      </c>
      <c r="X53" s="58">
        <f>SUM(L53:W53)</f>
        <v>14713840</v>
      </c>
      <c r="Z53" s="54"/>
      <c r="AA53" s="2"/>
    </row>
    <row r="54" spans="1:27" s="1" customFormat="1">
      <c r="A54" s="68"/>
      <c r="B54" s="72"/>
      <c r="C54" s="421"/>
      <c r="D54" s="422"/>
      <c r="E54" s="422"/>
      <c r="F54" s="422"/>
      <c r="G54" s="422"/>
      <c r="H54" s="422"/>
      <c r="I54" s="422"/>
      <c r="J54" s="423"/>
      <c r="K54" s="113" t="s">
        <v>20</v>
      </c>
      <c r="L54" s="319">
        <f>L8+L20+L32+L44</f>
        <v>972240</v>
      </c>
      <c r="M54" s="256">
        <f t="shared" ref="M54:W54" si="43">M8+M20+M32+M44</f>
        <v>971308</v>
      </c>
      <c r="N54" s="199">
        <f t="shared" si="43"/>
        <v>971076</v>
      </c>
      <c r="O54" s="199">
        <f t="shared" si="43"/>
        <v>1267611</v>
      </c>
      <c r="P54" s="199">
        <f>P8+P20+P32+P44</f>
        <v>963651</v>
      </c>
      <c r="Q54" s="199">
        <f t="shared" si="43"/>
        <v>962709</v>
      </c>
      <c r="R54" s="199">
        <f t="shared" si="43"/>
        <v>964571</v>
      </c>
      <c r="S54" s="199">
        <f t="shared" si="43"/>
        <v>955830</v>
      </c>
      <c r="T54" s="199">
        <f t="shared" si="43"/>
        <v>999921</v>
      </c>
      <c r="U54" s="199">
        <f t="shared" si="43"/>
        <v>949314</v>
      </c>
      <c r="V54" s="199">
        <f t="shared" si="43"/>
        <v>963257</v>
      </c>
      <c r="W54" s="299">
        <f t="shared" si="43"/>
        <v>958547</v>
      </c>
      <c r="X54" s="27">
        <f>SUM(L54:W54)</f>
        <v>11900035</v>
      </c>
      <c r="Z54" s="54"/>
      <c r="AA54" s="2"/>
    </row>
    <row r="55" spans="1:27" s="1" customFormat="1">
      <c r="A55" s="68"/>
      <c r="B55" s="72"/>
      <c r="C55" s="424"/>
      <c r="D55" s="425"/>
      <c r="E55" s="425"/>
      <c r="F55" s="425"/>
      <c r="G55" s="425"/>
      <c r="H55" s="425"/>
      <c r="I55" s="425"/>
      <c r="J55" s="426"/>
      <c r="K55" s="117" t="s">
        <v>21</v>
      </c>
      <c r="L55" s="261">
        <f>L53-L54</f>
        <v>267760</v>
      </c>
      <c r="M55" s="326">
        <f t="shared" ref="M55:W55" si="44">M53-M54</f>
        <v>268692</v>
      </c>
      <c r="N55" s="342">
        <f t="shared" si="44"/>
        <v>268924</v>
      </c>
      <c r="O55" s="342">
        <f t="shared" si="44"/>
        <v>-39446</v>
      </c>
      <c r="P55" s="342">
        <f t="shared" si="44"/>
        <v>276349</v>
      </c>
      <c r="Q55" s="342">
        <f t="shared" si="44"/>
        <v>277291</v>
      </c>
      <c r="R55" s="342">
        <f t="shared" si="44"/>
        <v>242554</v>
      </c>
      <c r="S55" s="342">
        <f t="shared" si="44"/>
        <v>187120</v>
      </c>
      <c r="T55" s="342">
        <f t="shared" si="44"/>
        <v>240079</v>
      </c>
      <c r="U55" s="342">
        <f t="shared" si="44"/>
        <v>290686</v>
      </c>
      <c r="V55" s="342">
        <f t="shared" si="44"/>
        <v>252343</v>
      </c>
      <c r="W55" s="90">
        <f t="shared" si="44"/>
        <v>281453</v>
      </c>
      <c r="X55" s="28">
        <f>SUM(L55:W55)</f>
        <v>2813805</v>
      </c>
      <c r="Z55" s="54"/>
      <c r="AA55" s="2"/>
    </row>
    <row r="56" spans="1:27" s="9" customFormat="1" ht="14.75" customHeight="1">
      <c r="A56" s="68"/>
      <c r="B56" s="72"/>
      <c r="C56" s="32"/>
      <c r="D56" s="32"/>
      <c r="E56" s="32"/>
      <c r="F56" s="118"/>
      <c r="G56" s="32"/>
      <c r="H56" s="32"/>
      <c r="I56" s="32"/>
      <c r="J56" s="32"/>
      <c r="K56" s="111" t="s">
        <v>40</v>
      </c>
      <c r="L56" s="427">
        <f>SUM(L53:N53)</f>
        <v>3720000</v>
      </c>
      <c r="M56" s="428"/>
      <c r="N56" s="428"/>
      <c r="O56" s="429">
        <f>SUM(O53:Q53)</f>
        <v>3708165</v>
      </c>
      <c r="P56" s="428"/>
      <c r="Q56" s="428"/>
      <c r="R56" s="429">
        <f>SUM(R53:T53)</f>
        <v>3590075</v>
      </c>
      <c r="S56" s="428"/>
      <c r="T56" s="428"/>
      <c r="U56" s="429">
        <f>SUM(U53:W53)</f>
        <v>3695600</v>
      </c>
      <c r="V56" s="428"/>
      <c r="W56" s="430"/>
      <c r="X56" s="55">
        <f>SUM(L56:W56)</f>
        <v>14713840</v>
      </c>
      <c r="Z56" s="54"/>
      <c r="AA56" s="2"/>
    </row>
    <row r="57" spans="1:27" s="9" customFormat="1" ht="14.75" customHeight="1">
      <c r="A57" s="68"/>
      <c r="B57" s="72"/>
      <c r="C57" s="32"/>
      <c r="D57" s="32"/>
      <c r="E57" s="32"/>
      <c r="F57" s="118"/>
      <c r="G57" s="32"/>
      <c r="H57" s="32"/>
      <c r="I57" s="32"/>
      <c r="J57" s="32"/>
      <c r="K57" s="110" t="s">
        <v>41</v>
      </c>
      <c r="L57" s="408">
        <f>SUM(L55:N55)</f>
        <v>805376</v>
      </c>
      <c r="M57" s="409"/>
      <c r="N57" s="409"/>
      <c r="O57" s="410">
        <f>SUM(O55:Q55)</f>
        <v>514194</v>
      </c>
      <c r="P57" s="409"/>
      <c r="Q57" s="409"/>
      <c r="R57" s="410">
        <f>SUM(R55:T55)</f>
        <v>669753</v>
      </c>
      <c r="S57" s="409"/>
      <c r="T57" s="409"/>
      <c r="U57" s="410">
        <f>SUM(U55:W55)</f>
        <v>824482</v>
      </c>
      <c r="V57" s="409"/>
      <c r="W57" s="411"/>
      <c r="X57" s="56">
        <f>SUM(L57:W57)</f>
        <v>2813805</v>
      </c>
      <c r="Z57" s="54"/>
      <c r="AA57" s="2"/>
    </row>
    <row r="58" spans="1:27">
      <c r="Z58" s="54"/>
    </row>
    <row r="59" spans="1:27">
      <c r="Z59" s="54"/>
    </row>
    <row r="60" spans="1:27">
      <c r="Z60" s="54"/>
    </row>
    <row r="61" spans="1:27">
      <c r="Z61" s="54"/>
    </row>
    <row r="62" spans="1:27">
      <c r="Z62" s="54"/>
    </row>
    <row r="63" spans="1:27">
      <c r="Z63" s="54"/>
    </row>
    <row r="64" spans="1:27">
      <c r="Z64" s="54"/>
    </row>
    <row r="65" spans="26:26">
      <c r="Z65" s="54"/>
    </row>
    <row r="66" spans="26:26">
      <c r="Z66" s="54"/>
    </row>
    <row r="67" spans="26:26">
      <c r="Z67" s="54"/>
    </row>
    <row r="68" spans="26:26">
      <c r="Z68" s="54"/>
    </row>
    <row r="69" spans="26:26">
      <c r="Z69" s="54"/>
    </row>
    <row r="70" spans="26:26">
      <c r="Z70" s="54"/>
    </row>
    <row r="71" spans="26:26">
      <c r="Z71" s="54"/>
    </row>
    <row r="72" spans="26:26">
      <c r="Z72" s="54"/>
    </row>
    <row r="73" spans="26:26">
      <c r="Z73" s="54"/>
    </row>
    <row r="74" spans="26:26">
      <c r="Z74" s="54"/>
    </row>
    <row r="75" spans="26:26">
      <c r="Z75" s="54"/>
    </row>
    <row r="76" spans="26:26">
      <c r="Z76" s="54"/>
    </row>
    <row r="77" spans="26:26">
      <c r="Z77" s="54"/>
    </row>
    <row r="78" spans="26:26">
      <c r="Z78" s="54"/>
    </row>
    <row r="79" spans="26:26">
      <c r="Z79" s="54"/>
    </row>
    <row r="80" spans="26:26">
      <c r="Z80" s="54"/>
    </row>
    <row r="81" spans="26:26">
      <c r="Z81" s="54"/>
    </row>
    <row r="82" spans="26:26">
      <c r="Z82" s="54"/>
    </row>
    <row r="83" spans="26:26">
      <c r="Z83" s="54"/>
    </row>
    <row r="84" spans="26:26">
      <c r="Z84" s="54"/>
    </row>
    <row r="85" spans="26:26">
      <c r="Z85" s="54"/>
    </row>
    <row r="86" spans="26:26">
      <c r="Z86" s="54"/>
    </row>
    <row r="87" spans="26:26">
      <c r="Z87" s="54"/>
    </row>
    <row r="88" spans="26:26">
      <c r="Z88" s="54"/>
    </row>
    <row r="89" spans="26:26">
      <c r="Z89" s="54"/>
    </row>
    <row r="90" spans="26:26">
      <c r="Z90" s="54"/>
    </row>
    <row r="91" spans="26:26">
      <c r="Z91" s="54"/>
    </row>
    <row r="92" spans="26:26">
      <c r="Z92" s="54"/>
    </row>
    <row r="93" spans="26:26">
      <c r="Z93" s="54"/>
    </row>
    <row r="94" spans="26:26">
      <c r="Z94" s="54"/>
    </row>
    <row r="95" spans="26:26">
      <c r="Z95" s="54"/>
    </row>
    <row r="96" spans="26:26">
      <c r="Z96" s="54"/>
    </row>
    <row r="97" spans="26:26">
      <c r="Z97" s="54"/>
    </row>
    <row r="98" spans="26:26">
      <c r="Z98" s="54"/>
    </row>
    <row r="99" spans="26:26">
      <c r="Z99" s="54"/>
    </row>
    <row r="100" spans="26:26">
      <c r="Z100" s="54"/>
    </row>
    <row r="101" spans="26:26">
      <c r="Z101" s="54"/>
    </row>
    <row r="102" spans="26:26">
      <c r="Z102" s="54"/>
    </row>
    <row r="103" spans="26:26">
      <c r="Z103" s="54"/>
    </row>
    <row r="104" spans="26:26">
      <c r="Z104" s="54"/>
    </row>
    <row r="105" spans="26:26">
      <c r="Z105" s="54"/>
    </row>
    <row r="106" spans="26:26">
      <c r="Z106" s="54"/>
    </row>
    <row r="107" spans="26:26">
      <c r="Z107" s="54"/>
    </row>
    <row r="108" spans="26:26">
      <c r="Z108" s="54"/>
    </row>
    <row r="109" spans="26:26">
      <c r="Z109" s="54"/>
    </row>
    <row r="110" spans="26:26">
      <c r="Z110" s="54"/>
    </row>
    <row r="111" spans="26:26">
      <c r="Z111" s="54"/>
    </row>
    <row r="112" spans="26:26">
      <c r="Z112" s="54"/>
    </row>
    <row r="113" spans="26:26">
      <c r="Z113" s="54"/>
    </row>
    <row r="114" spans="26:26">
      <c r="Z114" s="54"/>
    </row>
    <row r="115" spans="26:26">
      <c r="Z115" s="54"/>
    </row>
    <row r="116" spans="26:26">
      <c r="Z116" s="54"/>
    </row>
    <row r="117" spans="26:26">
      <c r="Z117" s="54"/>
    </row>
    <row r="118" spans="26:26">
      <c r="Z118" s="54"/>
    </row>
    <row r="119" spans="26:26">
      <c r="Z119" s="54"/>
    </row>
    <row r="120" spans="26:26">
      <c r="Z120" s="54"/>
    </row>
    <row r="121" spans="26:26">
      <c r="Z121" s="54"/>
    </row>
    <row r="122" spans="26:26">
      <c r="Z122" s="54"/>
    </row>
    <row r="123" spans="26:26">
      <c r="Z123" s="54"/>
    </row>
    <row r="124" spans="26:26">
      <c r="Z124" s="54"/>
    </row>
  </sheetData>
  <mergeCells count="42">
    <mergeCell ref="H41:H52"/>
    <mergeCell ref="I41:I52"/>
    <mergeCell ref="J41:J52"/>
    <mergeCell ref="C41:C52"/>
    <mergeCell ref="D41:D52"/>
    <mergeCell ref="E41:E52"/>
    <mergeCell ref="F41:F52"/>
    <mergeCell ref="G41:G52"/>
    <mergeCell ref="H29:H40"/>
    <mergeCell ref="I29:I40"/>
    <mergeCell ref="J29:J40"/>
    <mergeCell ref="C29:C40"/>
    <mergeCell ref="D29:D40"/>
    <mergeCell ref="E29:E40"/>
    <mergeCell ref="F29:F40"/>
    <mergeCell ref="G29:G40"/>
    <mergeCell ref="L57:N57"/>
    <mergeCell ref="O57:Q57"/>
    <mergeCell ref="R57:T57"/>
    <mergeCell ref="U57:W57"/>
    <mergeCell ref="C2:J4"/>
    <mergeCell ref="C53:J55"/>
    <mergeCell ref="L56:N56"/>
    <mergeCell ref="O56:Q56"/>
    <mergeCell ref="R56:T56"/>
    <mergeCell ref="U56:W56"/>
    <mergeCell ref="C5:C16"/>
    <mergeCell ref="I5:I16"/>
    <mergeCell ref="D5:D16"/>
    <mergeCell ref="E5:E16"/>
    <mergeCell ref="F5:F16"/>
    <mergeCell ref="G5:G16"/>
    <mergeCell ref="C17:C28"/>
    <mergeCell ref="D17:D28"/>
    <mergeCell ref="E17:E28"/>
    <mergeCell ref="F17:F28"/>
    <mergeCell ref="G17:G28"/>
    <mergeCell ref="J17:J28"/>
    <mergeCell ref="J5:J16"/>
    <mergeCell ref="H17:H28"/>
    <mergeCell ref="I17:I28"/>
    <mergeCell ref="H5:H16"/>
  </mergeCells>
  <phoneticPr fontId="12"/>
  <printOptions horizontalCentered="1"/>
  <pageMargins left="0.70866141732283472" right="0.70866141732283472" top="0.74803149606299213" bottom="0.74803149606299213" header="0.31496062992125984" footer="0.31496062992125984"/>
  <pageSetup paperSize="8" scale="73" fitToWidth="0" fitToHeight="0" orientation="landscape" r:id="rId1"/>
  <ignoredErrors>
    <ignoredError sqref="X5:X28 X40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7BE2-8781-4320-9F32-2A975EB0F7AC}">
  <dimension ref="A1:AA89"/>
  <sheetViews>
    <sheetView showGridLines="0" zoomScale="80" zoomScaleNormal="80" zoomScaleSheetLayoutView="70" workbookViewId="0">
      <pane xSplit="11" ySplit="4" topLeftCell="L37" activePane="bottomRight" state="frozen"/>
      <selection sqref="A1:C1"/>
      <selection pane="topRight" sqref="A1:C1"/>
      <selection pane="bottomLeft" sqref="A1:C1"/>
      <selection pane="bottomRight" activeCell="F41" sqref="F41:F52"/>
    </sheetView>
  </sheetViews>
  <sheetFormatPr defaultRowHeight="12"/>
  <cols>
    <col min="1" max="1" width="10" style="71" customWidth="1"/>
    <col min="2" max="2" width="10" style="73" customWidth="1"/>
    <col min="3" max="3" width="4.90625" style="12" customWidth="1"/>
    <col min="4" max="4" width="9" style="12" customWidth="1"/>
    <col min="5" max="5" width="5.08984375" style="12" customWidth="1"/>
    <col min="6" max="6" width="9.6328125" style="118" customWidth="1"/>
    <col min="7" max="7" width="12.453125" style="12" customWidth="1"/>
    <col min="8" max="8" width="11.90625" style="12" customWidth="1"/>
    <col min="9" max="9" width="11.08984375" style="12" customWidth="1"/>
    <col min="10" max="10" width="10" style="12" customWidth="1"/>
    <col min="11" max="11" width="10.90625" style="12" customWidth="1"/>
    <col min="12" max="23" width="13.08984375" style="12" customWidth="1"/>
    <col min="24" max="24" width="16.453125" style="12" customWidth="1"/>
    <col min="25" max="25" width="10.90625" style="2" bestFit="1" customWidth="1"/>
    <col min="26" max="26" width="11" style="9" bestFit="1" customWidth="1"/>
    <col min="27" max="259" width="8.90625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8.90625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8.90625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8.90625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8.90625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8.90625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8.90625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8.90625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8.90625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8.90625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8.90625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8.90625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8.90625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8.90625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8.90625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8.90625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8.90625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8.90625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8.90625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8.90625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8.90625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8.90625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8.90625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8.90625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8.90625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8.90625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8.90625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8.90625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8.90625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8.90625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8.90625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8.90625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8.90625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8.90625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8.90625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8.90625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8.90625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8.90625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8.90625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8.90625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8.90625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8.90625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8.90625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8.90625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8.90625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8.90625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8.90625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8.90625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8.90625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8.90625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8.90625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8.90625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8.90625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8.90625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8.90625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8.90625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8.90625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8.90625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8.90625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8.90625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8.90625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8.90625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8.90625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8.90625" style="2"/>
  </cols>
  <sheetData>
    <row r="1" spans="1:26" s="1" customFormat="1" ht="36">
      <c r="A1" s="1" t="s">
        <v>42</v>
      </c>
      <c r="B1" s="1" t="s">
        <v>43</v>
      </c>
      <c r="C1" s="75" t="s">
        <v>35</v>
      </c>
      <c r="D1" s="76" t="s">
        <v>78</v>
      </c>
      <c r="E1" s="76" t="s">
        <v>0</v>
      </c>
      <c r="F1" s="77" t="s">
        <v>1</v>
      </c>
      <c r="G1" s="77" t="s">
        <v>36</v>
      </c>
      <c r="H1" s="77" t="s">
        <v>2</v>
      </c>
      <c r="I1" s="78" t="s">
        <v>3</v>
      </c>
      <c r="J1" s="79" t="s">
        <v>4</v>
      </c>
      <c r="K1" s="10" t="s">
        <v>5</v>
      </c>
      <c r="L1" s="128" t="s">
        <v>6</v>
      </c>
      <c r="M1" s="130" t="s">
        <v>7</v>
      </c>
      <c r="N1" s="130" t="s">
        <v>8</v>
      </c>
      <c r="O1" s="130" t="s">
        <v>9</v>
      </c>
      <c r="P1" s="130" t="s">
        <v>10</v>
      </c>
      <c r="Q1" s="130" t="s">
        <v>11</v>
      </c>
      <c r="R1" s="130" t="s">
        <v>12</v>
      </c>
      <c r="S1" s="130" t="s">
        <v>13</v>
      </c>
      <c r="T1" s="130" t="s">
        <v>14</v>
      </c>
      <c r="U1" s="130" t="s">
        <v>15</v>
      </c>
      <c r="V1" s="130" t="s">
        <v>16</v>
      </c>
      <c r="W1" s="139" t="s">
        <v>17</v>
      </c>
      <c r="X1" s="107" t="s">
        <v>18</v>
      </c>
    </row>
    <row r="2" spans="1:26" s="1" customFormat="1">
      <c r="A2" s="68"/>
      <c r="B2" s="72"/>
      <c r="C2" s="412" t="s">
        <v>57</v>
      </c>
      <c r="D2" s="413"/>
      <c r="E2" s="413"/>
      <c r="F2" s="413"/>
      <c r="G2" s="413"/>
      <c r="H2" s="413"/>
      <c r="I2" s="413"/>
      <c r="J2" s="414"/>
      <c r="K2" s="112" t="s">
        <v>19</v>
      </c>
      <c r="L2" s="188">
        <f>L77</f>
        <v>1415000</v>
      </c>
      <c r="M2" s="263">
        <f t="shared" ref="M2:W3" si="0">M77</f>
        <v>1310000</v>
      </c>
      <c r="N2" s="263">
        <f>N77</f>
        <v>1310000</v>
      </c>
      <c r="O2" s="263">
        <f t="shared" si="0"/>
        <v>1310000</v>
      </c>
      <c r="P2" s="263">
        <f t="shared" si="0"/>
        <v>1310000</v>
      </c>
      <c r="Q2" s="263">
        <f t="shared" si="0"/>
        <v>1310000</v>
      </c>
      <c r="R2" s="263">
        <f t="shared" si="0"/>
        <v>1860000</v>
      </c>
      <c r="S2" s="263">
        <f t="shared" si="0"/>
        <v>1848240</v>
      </c>
      <c r="T2" s="263">
        <f t="shared" si="0"/>
        <v>1860000</v>
      </c>
      <c r="U2" s="263">
        <f t="shared" si="0"/>
        <v>1114920</v>
      </c>
      <c r="V2" s="263">
        <f t="shared" si="0"/>
        <v>1128640</v>
      </c>
      <c r="W2" s="140">
        <f t="shared" si="0"/>
        <v>1160000</v>
      </c>
      <c r="X2" s="46">
        <f>SUM(L2:W2)</f>
        <v>16936800</v>
      </c>
      <c r="Z2" s="53"/>
    </row>
    <row r="3" spans="1:26" s="1" customFormat="1">
      <c r="A3" s="68"/>
      <c r="B3" s="72"/>
      <c r="C3" s="415"/>
      <c r="D3" s="416"/>
      <c r="E3" s="416"/>
      <c r="F3" s="416"/>
      <c r="G3" s="416"/>
      <c r="H3" s="416"/>
      <c r="I3" s="416"/>
      <c r="J3" s="417"/>
      <c r="K3" s="113" t="s">
        <v>20</v>
      </c>
      <c r="L3" s="189">
        <f>L78</f>
        <v>1100902</v>
      </c>
      <c r="M3" s="264">
        <f t="shared" si="0"/>
        <v>940274</v>
      </c>
      <c r="N3" s="264">
        <f>N78</f>
        <v>956967</v>
      </c>
      <c r="O3" s="264">
        <f t="shared" si="0"/>
        <v>994665</v>
      </c>
      <c r="P3" s="264">
        <f t="shared" si="0"/>
        <v>951096</v>
      </c>
      <c r="Q3" s="264">
        <f t="shared" si="0"/>
        <v>987153</v>
      </c>
      <c r="R3" s="264">
        <f t="shared" si="0"/>
        <v>1364855</v>
      </c>
      <c r="S3" s="264">
        <f t="shared" si="0"/>
        <v>1339644</v>
      </c>
      <c r="T3" s="264">
        <f t="shared" si="0"/>
        <v>1668517</v>
      </c>
      <c r="U3" s="264">
        <f t="shared" si="0"/>
        <v>797595</v>
      </c>
      <c r="V3" s="264">
        <f t="shared" si="0"/>
        <v>796570</v>
      </c>
      <c r="W3" s="141">
        <f t="shared" si="0"/>
        <v>807304</v>
      </c>
      <c r="X3" s="47">
        <f>SUM(L3:W3)</f>
        <v>12705542</v>
      </c>
      <c r="Z3" s="53"/>
    </row>
    <row r="4" spans="1:26" s="1" customFormat="1" ht="12.5" thickBot="1">
      <c r="A4" s="68"/>
      <c r="B4" s="72"/>
      <c r="C4" s="418"/>
      <c r="D4" s="419"/>
      <c r="E4" s="419"/>
      <c r="F4" s="419"/>
      <c r="G4" s="419"/>
      <c r="H4" s="419"/>
      <c r="I4" s="419"/>
      <c r="J4" s="420"/>
      <c r="K4" s="114" t="s">
        <v>21</v>
      </c>
      <c r="L4" s="190">
        <f t="shared" ref="L4:W4" si="1">L2-L3</f>
        <v>314098</v>
      </c>
      <c r="M4" s="265">
        <f t="shared" si="1"/>
        <v>369726</v>
      </c>
      <c r="N4" s="265">
        <f>N2-N3</f>
        <v>353033</v>
      </c>
      <c r="O4" s="265">
        <f t="shared" si="1"/>
        <v>315335</v>
      </c>
      <c r="P4" s="265">
        <f t="shared" si="1"/>
        <v>358904</v>
      </c>
      <c r="Q4" s="265">
        <f t="shared" si="1"/>
        <v>322847</v>
      </c>
      <c r="R4" s="265">
        <f t="shared" si="1"/>
        <v>495145</v>
      </c>
      <c r="S4" s="265">
        <f t="shared" si="1"/>
        <v>508596</v>
      </c>
      <c r="T4" s="265">
        <f t="shared" si="1"/>
        <v>191483</v>
      </c>
      <c r="U4" s="265">
        <f t="shared" si="1"/>
        <v>317325</v>
      </c>
      <c r="V4" s="265">
        <f t="shared" si="1"/>
        <v>332070</v>
      </c>
      <c r="W4" s="142">
        <f t="shared" si="1"/>
        <v>352696</v>
      </c>
      <c r="X4" s="48">
        <f>SUM(L4:W4)</f>
        <v>4231258</v>
      </c>
      <c r="Z4" s="53"/>
    </row>
    <row r="5" spans="1:26" ht="12.75" customHeight="1" thickTop="1">
      <c r="A5" s="101">
        <v>2018030</v>
      </c>
      <c r="B5" s="104"/>
      <c r="C5" s="433">
        <f>1</f>
        <v>1</v>
      </c>
      <c r="D5" s="432" t="s">
        <v>34</v>
      </c>
      <c r="E5" s="432" t="s">
        <v>104</v>
      </c>
      <c r="F5" s="432"/>
      <c r="G5" s="432"/>
      <c r="H5" s="432"/>
      <c r="I5" s="432"/>
      <c r="J5" s="397" t="s">
        <v>56</v>
      </c>
      <c r="K5" s="61" t="s">
        <v>22</v>
      </c>
      <c r="L5" s="242">
        <f t="shared" ref="L5:O5" si="2">L6+L7</f>
        <v>780000</v>
      </c>
      <c r="M5" s="243">
        <f t="shared" si="2"/>
        <v>780000</v>
      </c>
      <c r="N5" s="243">
        <f t="shared" si="2"/>
        <v>780000</v>
      </c>
      <c r="O5" s="244">
        <f t="shared" si="2"/>
        <v>780000</v>
      </c>
      <c r="P5" s="244">
        <f>P6+P7</f>
        <v>780000</v>
      </c>
      <c r="Q5" s="244">
        <f t="shared" ref="Q5:W5" si="3">Q6+Q7</f>
        <v>780000</v>
      </c>
      <c r="R5" s="244">
        <f t="shared" si="3"/>
        <v>780000</v>
      </c>
      <c r="S5" s="244">
        <f t="shared" si="3"/>
        <v>780000</v>
      </c>
      <c r="T5" s="244">
        <f t="shared" si="3"/>
        <v>780000</v>
      </c>
      <c r="U5" s="352">
        <f t="shared" si="3"/>
        <v>0</v>
      </c>
      <c r="V5" s="352">
        <f t="shared" si="3"/>
        <v>0</v>
      </c>
      <c r="W5" s="245">
        <f t="shared" si="3"/>
        <v>0</v>
      </c>
      <c r="X5" s="246">
        <f>SUM(L5:W5)</f>
        <v>7020000</v>
      </c>
      <c r="Z5" s="54"/>
    </row>
    <row r="6" spans="1:26">
      <c r="A6" s="70">
        <f>+A5</f>
        <v>2018030</v>
      </c>
      <c r="B6" s="74"/>
      <c r="C6" s="404"/>
      <c r="D6" s="402"/>
      <c r="E6" s="402"/>
      <c r="F6" s="402"/>
      <c r="G6" s="402"/>
      <c r="H6" s="402"/>
      <c r="I6" s="402"/>
      <c r="J6" s="398"/>
      <c r="K6" s="159" t="s">
        <v>23</v>
      </c>
      <c r="L6" s="236">
        <v>780000</v>
      </c>
      <c r="M6" s="236">
        <v>780000</v>
      </c>
      <c r="N6" s="236">
        <v>780000</v>
      </c>
      <c r="O6" s="236">
        <v>780000</v>
      </c>
      <c r="P6" s="236">
        <v>780000</v>
      </c>
      <c r="Q6" s="236">
        <v>780000</v>
      </c>
      <c r="R6" s="236">
        <v>780000</v>
      </c>
      <c r="S6" s="236">
        <v>780000</v>
      </c>
      <c r="T6" s="236">
        <v>780000</v>
      </c>
      <c r="U6" s="195"/>
      <c r="V6" s="195"/>
      <c r="W6" s="288"/>
      <c r="X6" s="247">
        <f>SUM(L6:W6)</f>
        <v>7020000</v>
      </c>
      <c r="Y6" s="105"/>
      <c r="Z6" s="54"/>
    </row>
    <row r="7" spans="1:26">
      <c r="A7" s="70">
        <f t="shared" ref="A7:A16" si="4">+A6</f>
        <v>2018030</v>
      </c>
      <c r="B7" s="74"/>
      <c r="C7" s="404"/>
      <c r="D7" s="402"/>
      <c r="E7" s="402"/>
      <c r="F7" s="402"/>
      <c r="G7" s="402"/>
      <c r="H7" s="402"/>
      <c r="I7" s="402"/>
      <c r="J7" s="398"/>
      <c r="K7" s="159" t="s">
        <v>24</v>
      </c>
      <c r="L7" s="237"/>
      <c r="M7" s="237"/>
      <c r="N7" s="237"/>
      <c r="O7" s="236"/>
      <c r="P7" s="236"/>
      <c r="Q7" s="236"/>
      <c r="R7" s="236"/>
      <c r="S7" s="236"/>
      <c r="T7" s="236"/>
      <c r="U7" s="195"/>
      <c r="V7" s="195"/>
      <c r="W7" s="334"/>
      <c r="X7" s="247">
        <v>0</v>
      </c>
      <c r="Z7" s="54"/>
    </row>
    <row r="8" spans="1:26">
      <c r="A8" s="70">
        <f t="shared" si="4"/>
        <v>2018030</v>
      </c>
      <c r="B8" s="74"/>
      <c r="C8" s="404"/>
      <c r="D8" s="402"/>
      <c r="E8" s="402"/>
      <c r="F8" s="402"/>
      <c r="G8" s="402"/>
      <c r="H8" s="402"/>
      <c r="I8" s="402"/>
      <c r="J8" s="398"/>
      <c r="K8" s="160" t="s">
        <v>25</v>
      </c>
      <c r="L8" s="238">
        <f t="shared" ref="L8:W8" si="5">SUM(L9:L15)</f>
        <v>550446</v>
      </c>
      <c r="M8" s="238">
        <f t="shared" si="5"/>
        <v>549638</v>
      </c>
      <c r="N8" s="238">
        <f t="shared" si="5"/>
        <v>554296</v>
      </c>
      <c r="O8" s="285">
        <f t="shared" si="5"/>
        <v>591994</v>
      </c>
      <c r="P8" s="285">
        <f t="shared" si="5"/>
        <v>548425</v>
      </c>
      <c r="Q8" s="285">
        <f t="shared" si="5"/>
        <v>584482</v>
      </c>
      <c r="R8" s="285">
        <f t="shared" si="5"/>
        <v>564063</v>
      </c>
      <c r="S8" s="285">
        <f t="shared" si="5"/>
        <v>547213</v>
      </c>
      <c r="T8" s="285">
        <f t="shared" si="5"/>
        <v>580198</v>
      </c>
      <c r="U8" s="343">
        <f t="shared" si="5"/>
        <v>0</v>
      </c>
      <c r="V8" s="343">
        <f t="shared" si="5"/>
        <v>0</v>
      </c>
      <c r="W8" s="335">
        <f t="shared" si="5"/>
        <v>0</v>
      </c>
      <c r="X8" s="248">
        <f>SUM(L8:W8)</f>
        <v>5070755</v>
      </c>
      <c r="Z8" s="54"/>
    </row>
    <row r="9" spans="1:26">
      <c r="A9" s="70">
        <f t="shared" si="4"/>
        <v>2018030</v>
      </c>
      <c r="B9" s="74"/>
      <c r="C9" s="404"/>
      <c r="D9" s="402"/>
      <c r="E9" s="402"/>
      <c r="F9" s="402"/>
      <c r="G9" s="402"/>
      <c r="H9" s="402"/>
      <c r="I9" s="402"/>
      <c r="J9" s="398"/>
      <c r="K9" s="161" t="s">
        <v>26</v>
      </c>
      <c r="L9" s="237">
        <v>463600</v>
      </c>
      <c r="M9" s="237">
        <v>462800</v>
      </c>
      <c r="N9" s="237">
        <v>467410</v>
      </c>
      <c r="O9" s="237">
        <v>504715</v>
      </c>
      <c r="P9" s="237">
        <v>461600</v>
      </c>
      <c r="Q9" s="237">
        <v>497281</v>
      </c>
      <c r="R9" s="237">
        <v>477074</v>
      </c>
      <c r="S9" s="237">
        <v>460400</v>
      </c>
      <c r="T9" s="237">
        <v>493042</v>
      </c>
      <c r="U9" s="192"/>
      <c r="V9" s="192"/>
      <c r="W9" s="288"/>
      <c r="X9" s="247">
        <f t="shared" ref="X9:X15" si="6">SUM(L9:W9)</f>
        <v>4287922</v>
      </c>
      <c r="Y9" s="105"/>
      <c r="Z9" s="54"/>
    </row>
    <row r="10" spans="1:26">
      <c r="A10" s="70">
        <f t="shared" si="4"/>
        <v>2018030</v>
      </c>
      <c r="B10" s="74"/>
      <c r="C10" s="404"/>
      <c r="D10" s="402"/>
      <c r="E10" s="402"/>
      <c r="F10" s="402"/>
      <c r="G10" s="402"/>
      <c r="H10" s="402"/>
      <c r="I10" s="402"/>
      <c r="J10" s="398"/>
      <c r="K10" s="161" t="s">
        <v>33</v>
      </c>
      <c r="L10" s="237"/>
      <c r="M10" s="237"/>
      <c r="N10" s="237"/>
      <c r="O10" s="237"/>
      <c r="P10" s="237"/>
      <c r="Q10" s="237"/>
      <c r="R10" s="237"/>
      <c r="S10" s="237"/>
      <c r="T10" s="237"/>
      <c r="U10" s="192"/>
      <c r="V10" s="192"/>
      <c r="W10" s="288"/>
      <c r="X10" s="247">
        <f t="shared" si="6"/>
        <v>0</v>
      </c>
      <c r="Y10" s="105"/>
      <c r="Z10" s="54"/>
    </row>
    <row r="11" spans="1:26">
      <c r="A11" s="70">
        <f t="shared" si="4"/>
        <v>2018030</v>
      </c>
      <c r="B11" s="74"/>
      <c r="C11" s="404"/>
      <c r="D11" s="402"/>
      <c r="E11" s="402"/>
      <c r="F11" s="402"/>
      <c r="G11" s="402"/>
      <c r="H11" s="402"/>
      <c r="I11" s="402"/>
      <c r="J11" s="398"/>
      <c r="K11" s="161" t="s">
        <v>27</v>
      </c>
      <c r="L11" s="237">
        <v>12290</v>
      </c>
      <c r="M11" s="237">
        <v>12290</v>
      </c>
      <c r="N11" s="237">
        <v>12290</v>
      </c>
      <c r="O11" s="237">
        <v>12290</v>
      </c>
      <c r="P11" s="237">
        <v>12290</v>
      </c>
      <c r="Q11" s="237">
        <v>12290</v>
      </c>
      <c r="R11" s="237">
        <v>12290</v>
      </c>
      <c r="S11" s="237">
        <v>12290</v>
      </c>
      <c r="T11" s="237">
        <v>12290</v>
      </c>
      <c r="U11" s="192"/>
      <c r="V11" s="192"/>
      <c r="W11" s="288"/>
      <c r="X11" s="247">
        <f t="shared" si="6"/>
        <v>110610</v>
      </c>
      <c r="Y11" s="105"/>
      <c r="Z11" s="54"/>
    </row>
    <row r="12" spans="1:26">
      <c r="A12" s="70">
        <f t="shared" si="4"/>
        <v>2018030</v>
      </c>
      <c r="B12" s="74"/>
      <c r="C12" s="404"/>
      <c r="D12" s="402"/>
      <c r="E12" s="402"/>
      <c r="F12" s="402"/>
      <c r="G12" s="402"/>
      <c r="H12" s="402"/>
      <c r="I12" s="402"/>
      <c r="J12" s="398"/>
      <c r="K12" s="161" t="s">
        <v>28</v>
      </c>
      <c r="L12" s="237">
        <v>26555</v>
      </c>
      <c r="M12" s="237">
        <v>26555</v>
      </c>
      <c r="N12" s="237">
        <v>26555</v>
      </c>
      <c r="O12" s="237">
        <v>26555</v>
      </c>
      <c r="P12" s="237">
        <v>26555</v>
      </c>
      <c r="Q12" s="237">
        <v>26555</v>
      </c>
      <c r="R12" s="237">
        <v>26555</v>
      </c>
      <c r="S12" s="237">
        <v>26555</v>
      </c>
      <c r="T12" s="237">
        <v>26555</v>
      </c>
      <c r="U12" s="192"/>
      <c r="V12" s="192"/>
      <c r="W12" s="288"/>
      <c r="X12" s="247">
        <f t="shared" si="6"/>
        <v>238995</v>
      </c>
      <c r="Y12" s="105"/>
      <c r="Z12" s="54"/>
    </row>
    <row r="13" spans="1:26">
      <c r="A13" s="70">
        <f t="shared" si="4"/>
        <v>2018030</v>
      </c>
      <c r="B13" s="74"/>
      <c r="C13" s="404"/>
      <c r="D13" s="402"/>
      <c r="E13" s="402"/>
      <c r="F13" s="402"/>
      <c r="G13" s="402"/>
      <c r="H13" s="402"/>
      <c r="I13" s="402"/>
      <c r="J13" s="398"/>
      <c r="K13" s="161" t="s">
        <v>29</v>
      </c>
      <c r="L13" s="237">
        <v>43005</v>
      </c>
      <c r="M13" s="237">
        <v>43005</v>
      </c>
      <c r="N13" s="237">
        <v>43005</v>
      </c>
      <c r="O13" s="237">
        <v>43005</v>
      </c>
      <c r="P13" s="237">
        <v>43005</v>
      </c>
      <c r="Q13" s="237">
        <v>43005</v>
      </c>
      <c r="R13" s="237">
        <v>43005</v>
      </c>
      <c r="S13" s="237">
        <v>43005</v>
      </c>
      <c r="T13" s="237">
        <v>43005</v>
      </c>
      <c r="U13" s="192"/>
      <c r="V13" s="192"/>
      <c r="W13" s="288"/>
      <c r="X13" s="247">
        <f t="shared" si="6"/>
        <v>387045</v>
      </c>
      <c r="Y13" s="105"/>
      <c r="Z13" s="54"/>
    </row>
    <row r="14" spans="1:26">
      <c r="A14" s="70">
        <f t="shared" si="4"/>
        <v>2018030</v>
      </c>
      <c r="B14" s="74"/>
      <c r="C14" s="404"/>
      <c r="D14" s="402"/>
      <c r="E14" s="402"/>
      <c r="F14" s="402"/>
      <c r="G14" s="402"/>
      <c r="H14" s="402"/>
      <c r="I14" s="402"/>
      <c r="J14" s="398"/>
      <c r="K14" s="161" t="s">
        <v>30</v>
      </c>
      <c r="L14" s="237">
        <v>2379</v>
      </c>
      <c r="M14" s="237">
        <v>2375</v>
      </c>
      <c r="N14" s="237">
        <v>2398</v>
      </c>
      <c r="O14" s="237">
        <v>2585</v>
      </c>
      <c r="P14" s="237">
        <v>2369</v>
      </c>
      <c r="Q14" s="237">
        <v>2548</v>
      </c>
      <c r="R14" s="237">
        <v>2447</v>
      </c>
      <c r="S14" s="237">
        <v>2363</v>
      </c>
      <c r="T14" s="237">
        <v>2527</v>
      </c>
      <c r="U14" s="192"/>
      <c r="V14" s="192"/>
      <c r="W14" s="288"/>
      <c r="X14" s="247">
        <f t="shared" si="6"/>
        <v>21991</v>
      </c>
      <c r="Y14" s="105"/>
      <c r="Z14" s="54"/>
    </row>
    <row r="15" spans="1:26">
      <c r="A15" s="70">
        <f t="shared" si="4"/>
        <v>2018030</v>
      </c>
      <c r="B15" s="74"/>
      <c r="C15" s="404"/>
      <c r="D15" s="402"/>
      <c r="E15" s="402"/>
      <c r="F15" s="402"/>
      <c r="G15" s="402"/>
      <c r="H15" s="402"/>
      <c r="I15" s="402"/>
      <c r="J15" s="398"/>
      <c r="K15" s="161" t="s">
        <v>31</v>
      </c>
      <c r="L15" s="237">
        <v>2617</v>
      </c>
      <c r="M15" s="237">
        <v>2613</v>
      </c>
      <c r="N15" s="237">
        <v>2638</v>
      </c>
      <c r="O15" s="237">
        <v>2844</v>
      </c>
      <c r="P15" s="237">
        <v>2606</v>
      </c>
      <c r="Q15" s="237">
        <v>2803</v>
      </c>
      <c r="R15" s="237">
        <v>2692</v>
      </c>
      <c r="S15" s="237">
        <v>2600</v>
      </c>
      <c r="T15" s="237">
        <v>2779</v>
      </c>
      <c r="U15" s="192"/>
      <c r="V15" s="192"/>
      <c r="W15" s="288"/>
      <c r="X15" s="247">
        <f t="shared" si="6"/>
        <v>24192</v>
      </c>
      <c r="Y15" s="105"/>
      <c r="Z15" s="54"/>
    </row>
    <row r="16" spans="1:26">
      <c r="A16" s="70">
        <f t="shared" si="4"/>
        <v>2018030</v>
      </c>
      <c r="B16" s="74"/>
      <c r="C16" s="405"/>
      <c r="D16" s="403"/>
      <c r="E16" s="403"/>
      <c r="F16" s="403"/>
      <c r="G16" s="403"/>
      <c r="H16" s="403"/>
      <c r="I16" s="403"/>
      <c r="J16" s="399"/>
      <c r="K16" s="65" t="s">
        <v>32</v>
      </c>
      <c r="L16" s="250">
        <f t="shared" ref="L16:M16" si="7">L5-L8</f>
        <v>229554</v>
      </c>
      <c r="M16" s="251">
        <f t="shared" si="7"/>
        <v>230362</v>
      </c>
      <c r="N16" s="251">
        <f>N5-N8</f>
        <v>225704</v>
      </c>
      <c r="O16" s="252">
        <f t="shared" ref="O16:W16" si="8">O5-O8</f>
        <v>188006</v>
      </c>
      <c r="P16" s="252">
        <f t="shared" si="8"/>
        <v>231575</v>
      </c>
      <c r="Q16" s="252">
        <f t="shared" si="8"/>
        <v>195518</v>
      </c>
      <c r="R16" s="252">
        <f t="shared" si="8"/>
        <v>215937</v>
      </c>
      <c r="S16" s="252">
        <f t="shared" si="8"/>
        <v>232787</v>
      </c>
      <c r="T16" s="252">
        <f t="shared" si="8"/>
        <v>199802</v>
      </c>
      <c r="U16" s="344">
        <f t="shared" si="8"/>
        <v>0</v>
      </c>
      <c r="V16" s="344">
        <f t="shared" si="8"/>
        <v>0</v>
      </c>
      <c r="W16" s="253">
        <f t="shared" si="8"/>
        <v>0</v>
      </c>
      <c r="X16" s="254">
        <f>X5-X8</f>
        <v>1949245</v>
      </c>
      <c r="Z16" s="54"/>
    </row>
    <row r="17" spans="1:26" ht="12.75" customHeight="1">
      <c r="A17" s="101">
        <v>2021004</v>
      </c>
      <c r="B17" s="104"/>
      <c r="C17" s="433">
        <f>C5+1</f>
        <v>2</v>
      </c>
      <c r="D17" s="432" t="s">
        <v>34</v>
      </c>
      <c r="E17" s="432" t="s">
        <v>104</v>
      </c>
      <c r="F17" s="432"/>
      <c r="G17" s="432"/>
      <c r="H17" s="432"/>
      <c r="I17" s="432"/>
      <c r="J17" s="397" t="s">
        <v>56</v>
      </c>
      <c r="K17" s="61" t="s">
        <v>22</v>
      </c>
      <c r="L17" s="242">
        <f t="shared" ref="L17:O17" si="9">L18+L19</f>
        <v>635000</v>
      </c>
      <c r="M17" s="243">
        <f t="shared" si="9"/>
        <v>0</v>
      </c>
      <c r="N17" s="272">
        <f t="shared" si="9"/>
        <v>0</v>
      </c>
      <c r="O17" s="352">
        <f t="shared" si="9"/>
        <v>0</v>
      </c>
      <c r="P17" s="352">
        <f>P18+P19</f>
        <v>0</v>
      </c>
      <c r="Q17" s="352">
        <f t="shared" ref="Q17:W17" si="10">Q18+Q19</f>
        <v>0</v>
      </c>
      <c r="R17" s="352">
        <f t="shared" si="10"/>
        <v>0</v>
      </c>
      <c r="S17" s="352">
        <f t="shared" si="10"/>
        <v>0</v>
      </c>
      <c r="T17" s="352">
        <f t="shared" si="10"/>
        <v>0</v>
      </c>
      <c r="U17" s="352">
        <f t="shared" si="10"/>
        <v>0</v>
      </c>
      <c r="V17" s="352">
        <f t="shared" si="10"/>
        <v>0</v>
      </c>
      <c r="W17" s="245">
        <f t="shared" si="10"/>
        <v>0</v>
      </c>
      <c r="X17" s="246">
        <f>SUM(L17:W17)</f>
        <v>635000</v>
      </c>
      <c r="Z17" s="54"/>
    </row>
    <row r="18" spans="1:26">
      <c r="A18" s="70">
        <f>+A17</f>
        <v>2021004</v>
      </c>
      <c r="B18" s="74"/>
      <c r="C18" s="404"/>
      <c r="D18" s="402"/>
      <c r="E18" s="402"/>
      <c r="F18" s="402"/>
      <c r="G18" s="402"/>
      <c r="H18" s="402"/>
      <c r="I18" s="402"/>
      <c r="J18" s="398"/>
      <c r="K18" s="159" t="s">
        <v>23</v>
      </c>
      <c r="L18" s="236">
        <v>635000</v>
      </c>
      <c r="M18" s="236"/>
      <c r="N18" s="195"/>
      <c r="O18" s="195"/>
      <c r="P18" s="195"/>
      <c r="Q18" s="195"/>
      <c r="R18" s="195"/>
      <c r="S18" s="195"/>
      <c r="T18" s="195"/>
      <c r="U18" s="195"/>
      <c r="V18" s="195"/>
      <c r="W18" s="288"/>
      <c r="X18" s="247">
        <f>SUM(L18:W18)</f>
        <v>635000</v>
      </c>
      <c r="Y18" s="105"/>
      <c r="Z18" s="54"/>
    </row>
    <row r="19" spans="1:26">
      <c r="A19" s="70">
        <f t="shared" ref="A19" si="11">+A18</f>
        <v>2021004</v>
      </c>
      <c r="B19" s="74"/>
      <c r="C19" s="404"/>
      <c r="D19" s="402"/>
      <c r="E19" s="402"/>
      <c r="F19" s="402"/>
      <c r="G19" s="402"/>
      <c r="H19" s="402"/>
      <c r="I19" s="402"/>
      <c r="J19" s="398"/>
      <c r="K19" s="159" t="s">
        <v>24</v>
      </c>
      <c r="L19" s="237"/>
      <c r="M19" s="237"/>
      <c r="N19" s="192"/>
      <c r="O19" s="195"/>
      <c r="P19" s="195"/>
      <c r="Q19" s="195"/>
      <c r="R19" s="195"/>
      <c r="S19" s="195"/>
      <c r="T19" s="195"/>
      <c r="U19" s="195"/>
      <c r="V19" s="195"/>
      <c r="W19" s="334"/>
      <c r="X19" s="247">
        <v>0</v>
      </c>
      <c r="Z19" s="54"/>
    </row>
    <row r="20" spans="1:26">
      <c r="A20" s="70">
        <f t="shared" ref="A20" si="12">+A19</f>
        <v>2021004</v>
      </c>
      <c r="B20" s="74"/>
      <c r="C20" s="404"/>
      <c r="D20" s="402"/>
      <c r="E20" s="402"/>
      <c r="F20" s="402"/>
      <c r="G20" s="402"/>
      <c r="H20" s="402"/>
      <c r="I20" s="402"/>
      <c r="J20" s="398"/>
      <c r="K20" s="160" t="s">
        <v>25</v>
      </c>
      <c r="L20" s="238">
        <f t="shared" ref="L20" si="13">SUM(L21:L27)</f>
        <v>550456</v>
      </c>
      <c r="M20" s="238">
        <f t="shared" ref="M20:W20" si="14">SUM(M21:M27)</f>
        <v>0</v>
      </c>
      <c r="N20" s="193">
        <f t="shared" si="14"/>
        <v>0</v>
      </c>
      <c r="O20" s="343">
        <f t="shared" si="14"/>
        <v>0</v>
      </c>
      <c r="P20" s="343">
        <f t="shared" si="14"/>
        <v>0</v>
      </c>
      <c r="Q20" s="343">
        <f t="shared" si="14"/>
        <v>0</v>
      </c>
      <c r="R20" s="343">
        <f t="shared" si="14"/>
        <v>0</v>
      </c>
      <c r="S20" s="343">
        <f t="shared" si="14"/>
        <v>0</v>
      </c>
      <c r="T20" s="343">
        <f t="shared" si="14"/>
        <v>0</v>
      </c>
      <c r="U20" s="343">
        <f t="shared" si="14"/>
        <v>0</v>
      </c>
      <c r="V20" s="343">
        <f t="shared" si="14"/>
        <v>0</v>
      </c>
      <c r="W20" s="335">
        <f t="shared" si="14"/>
        <v>0</v>
      </c>
      <c r="X20" s="248">
        <f>SUM(L20:W20)</f>
        <v>550456</v>
      </c>
      <c r="Z20" s="54"/>
    </row>
    <row r="21" spans="1:26">
      <c r="A21" s="70">
        <f t="shared" ref="A21" si="15">+A20</f>
        <v>2021004</v>
      </c>
      <c r="B21" s="74"/>
      <c r="C21" s="404"/>
      <c r="D21" s="402"/>
      <c r="E21" s="402"/>
      <c r="F21" s="402"/>
      <c r="G21" s="402"/>
      <c r="H21" s="402"/>
      <c r="I21" s="402"/>
      <c r="J21" s="398"/>
      <c r="K21" s="161" t="s">
        <v>26</v>
      </c>
      <c r="L21" s="237">
        <v>450000</v>
      </c>
      <c r="M21" s="237"/>
      <c r="N21" s="192"/>
      <c r="O21" s="192"/>
      <c r="P21" s="192"/>
      <c r="Q21" s="192"/>
      <c r="R21" s="192"/>
      <c r="S21" s="192"/>
      <c r="T21" s="192"/>
      <c r="U21" s="192"/>
      <c r="V21" s="192"/>
      <c r="W21" s="288"/>
      <c r="X21" s="247">
        <f t="shared" ref="X21:X27" si="16">SUM(L21:W21)</f>
        <v>450000</v>
      </c>
      <c r="Y21" s="105"/>
      <c r="Z21" s="54"/>
    </row>
    <row r="22" spans="1:26">
      <c r="A22" s="70">
        <f t="shared" ref="A22" si="17">+A21</f>
        <v>2021004</v>
      </c>
      <c r="B22" s="74"/>
      <c r="C22" s="404"/>
      <c r="D22" s="402"/>
      <c r="E22" s="402"/>
      <c r="F22" s="402"/>
      <c r="G22" s="402"/>
      <c r="H22" s="402"/>
      <c r="I22" s="402"/>
      <c r="J22" s="398"/>
      <c r="K22" s="161" t="s">
        <v>33</v>
      </c>
      <c r="L22" s="237"/>
      <c r="M22" s="237"/>
      <c r="N22" s="192"/>
      <c r="O22" s="192"/>
      <c r="P22" s="192"/>
      <c r="Q22" s="192"/>
      <c r="R22" s="192"/>
      <c r="S22" s="192"/>
      <c r="T22" s="192"/>
      <c r="U22" s="192"/>
      <c r="V22" s="192"/>
      <c r="W22" s="288"/>
      <c r="X22" s="247">
        <f t="shared" si="16"/>
        <v>0</v>
      </c>
      <c r="Y22" s="105"/>
      <c r="Z22" s="54"/>
    </row>
    <row r="23" spans="1:26">
      <c r="A23" s="70">
        <f t="shared" ref="A23" si="18">+A22</f>
        <v>2021004</v>
      </c>
      <c r="B23" s="74"/>
      <c r="C23" s="404"/>
      <c r="D23" s="402"/>
      <c r="E23" s="402"/>
      <c r="F23" s="402"/>
      <c r="G23" s="402"/>
      <c r="H23" s="402"/>
      <c r="I23" s="402"/>
      <c r="J23" s="398"/>
      <c r="K23" s="161" t="s">
        <v>27</v>
      </c>
      <c r="L23" s="237">
        <v>25900</v>
      </c>
      <c r="M23" s="237"/>
      <c r="N23" s="192"/>
      <c r="O23" s="192"/>
      <c r="P23" s="192"/>
      <c r="Q23" s="192"/>
      <c r="R23" s="192"/>
      <c r="S23" s="192"/>
      <c r="T23" s="192"/>
      <c r="U23" s="192"/>
      <c r="V23" s="192"/>
      <c r="W23" s="288"/>
      <c r="X23" s="247">
        <f t="shared" si="16"/>
        <v>25900</v>
      </c>
      <c r="Y23" s="105"/>
      <c r="Z23" s="54"/>
    </row>
    <row r="24" spans="1:26">
      <c r="A24" s="70">
        <f t="shared" ref="A24" si="19">+A23</f>
        <v>2021004</v>
      </c>
      <c r="B24" s="74"/>
      <c r="C24" s="404"/>
      <c r="D24" s="402"/>
      <c r="E24" s="402"/>
      <c r="F24" s="402"/>
      <c r="G24" s="402"/>
      <c r="H24" s="402"/>
      <c r="I24" s="402"/>
      <c r="J24" s="398"/>
      <c r="K24" s="161" t="s">
        <v>28</v>
      </c>
      <c r="L24" s="237">
        <v>26555</v>
      </c>
      <c r="M24" s="237"/>
      <c r="N24" s="192"/>
      <c r="O24" s="192"/>
      <c r="P24" s="192"/>
      <c r="Q24" s="192"/>
      <c r="R24" s="192"/>
      <c r="S24" s="192"/>
      <c r="T24" s="192"/>
      <c r="U24" s="192"/>
      <c r="V24" s="192"/>
      <c r="W24" s="288"/>
      <c r="X24" s="247">
        <f t="shared" si="16"/>
        <v>26555</v>
      </c>
      <c r="Y24" s="105"/>
      <c r="Z24" s="54"/>
    </row>
    <row r="25" spans="1:26">
      <c r="A25" s="70">
        <f t="shared" ref="A25" si="20">+A24</f>
        <v>2021004</v>
      </c>
      <c r="B25" s="74"/>
      <c r="C25" s="404"/>
      <c r="D25" s="402"/>
      <c r="E25" s="402"/>
      <c r="F25" s="402"/>
      <c r="G25" s="402"/>
      <c r="H25" s="402"/>
      <c r="I25" s="402"/>
      <c r="J25" s="398"/>
      <c r="K25" s="161" t="s">
        <v>29</v>
      </c>
      <c r="L25" s="237">
        <v>43005</v>
      </c>
      <c r="M25" s="237"/>
      <c r="N25" s="192"/>
      <c r="O25" s="192"/>
      <c r="P25" s="192"/>
      <c r="Q25" s="192"/>
      <c r="R25" s="192"/>
      <c r="S25" s="192"/>
      <c r="T25" s="192"/>
      <c r="U25" s="192"/>
      <c r="V25" s="192"/>
      <c r="W25" s="288"/>
      <c r="X25" s="247">
        <f t="shared" si="16"/>
        <v>43005</v>
      </c>
      <c r="Y25" s="105"/>
      <c r="Z25" s="54"/>
    </row>
    <row r="26" spans="1:26">
      <c r="A26" s="70">
        <f t="shared" ref="A26" si="21">+A25</f>
        <v>2021004</v>
      </c>
      <c r="B26" s="74"/>
      <c r="C26" s="404"/>
      <c r="D26" s="402"/>
      <c r="E26" s="402"/>
      <c r="F26" s="402"/>
      <c r="G26" s="402"/>
      <c r="H26" s="402"/>
      <c r="I26" s="402"/>
      <c r="J26" s="398"/>
      <c r="K26" s="161" t="s">
        <v>30</v>
      </c>
      <c r="L26" s="237">
        <v>2379</v>
      </c>
      <c r="M26" s="237"/>
      <c r="N26" s="192"/>
      <c r="O26" s="192"/>
      <c r="P26" s="192"/>
      <c r="Q26" s="192"/>
      <c r="R26" s="192"/>
      <c r="S26" s="192"/>
      <c r="T26" s="192"/>
      <c r="U26" s="192"/>
      <c r="V26" s="192"/>
      <c r="W26" s="288"/>
      <c r="X26" s="247">
        <f t="shared" si="16"/>
        <v>2379</v>
      </c>
      <c r="Y26" s="105"/>
      <c r="Z26" s="54"/>
    </row>
    <row r="27" spans="1:26">
      <c r="A27" s="70">
        <f t="shared" ref="A27" si="22">+A26</f>
        <v>2021004</v>
      </c>
      <c r="B27" s="74"/>
      <c r="C27" s="404"/>
      <c r="D27" s="402"/>
      <c r="E27" s="402"/>
      <c r="F27" s="402"/>
      <c r="G27" s="402"/>
      <c r="H27" s="402"/>
      <c r="I27" s="402"/>
      <c r="J27" s="398"/>
      <c r="K27" s="161" t="s">
        <v>31</v>
      </c>
      <c r="L27" s="237">
        <v>2617</v>
      </c>
      <c r="M27" s="237"/>
      <c r="N27" s="192"/>
      <c r="O27" s="192"/>
      <c r="P27" s="192"/>
      <c r="Q27" s="192"/>
      <c r="R27" s="192"/>
      <c r="S27" s="192"/>
      <c r="T27" s="192"/>
      <c r="U27" s="192"/>
      <c r="V27" s="192"/>
      <c r="W27" s="288"/>
      <c r="X27" s="247">
        <f t="shared" si="16"/>
        <v>2617</v>
      </c>
      <c r="Y27" s="105"/>
      <c r="Z27" s="54"/>
    </row>
    <row r="28" spans="1:26">
      <c r="A28" s="70">
        <f t="shared" ref="A28" si="23">+A27</f>
        <v>2021004</v>
      </c>
      <c r="B28" s="74"/>
      <c r="C28" s="405"/>
      <c r="D28" s="403"/>
      <c r="E28" s="403"/>
      <c r="F28" s="403"/>
      <c r="G28" s="403"/>
      <c r="H28" s="403"/>
      <c r="I28" s="403"/>
      <c r="J28" s="399"/>
      <c r="K28" s="65" t="s">
        <v>32</v>
      </c>
      <c r="L28" s="250">
        <f t="shared" ref="L28:M28" si="24">L17-L20</f>
        <v>84544</v>
      </c>
      <c r="M28" s="251">
        <f t="shared" si="24"/>
        <v>0</v>
      </c>
      <c r="N28" s="267">
        <f>N17-N20</f>
        <v>0</v>
      </c>
      <c r="O28" s="344">
        <f t="shared" ref="O28:W28" si="25">O17-O20</f>
        <v>0</v>
      </c>
      <c r="P28" s="344">
        <f t="shared" si="25"/>
        <v>0</v>
      </c>
      <c r="Q28" s="344">
        <f t="shared" si="25"/>
        <v>0</v>
      </c>
      <c r="R28" s="344">
        <f t="shared" si="25"/>
        <v>0</v>
      </c>
      <c r="S28" s="344">
        <f t="shared" si="25"/>
        <v>0</v>
      </c>
      <c r="T28" s="344">
        <f t="shared" si="25"/>
        <v>0</v>
      </c>
      <c r="U28" s="344">
        <f t="shared" si="25"/>
        <v>0</v>
      </c>
      <c r="V28" s="344">
        <f t="shared" si="25"/>
        <v>0</v>
      </c>
      <c r="W28" s="253">
        <f t="shared" si="25"/>
        <v>0</v>
      </c>
      <c r="X28" s="254">
        <f>X17-X20</f>
        <v>84544</v>
      </c>
      <c r="Z28" s="54"/>
    </row>
    <row r="29" spans="1:26" ht="12.75" customHeight="1">
      <c r="A29" s="101">
        <v>2020005</v>
      </c>
      <c r="B29" s="104"/>
      <c r="C29" s="433">
        <f>C17+1</f>
        <v>3</v>
      </c>
      <c r="D29" s="432" t="s">
        <v>34</v>
      </c>
      <c r="E29" s="432"/>
      <c r="F29" s="432"/>
      <c r="G29" s="432"/>
      <c r="H29" s="432"/>
      <c r="I29" s="432"/>
      <c r="J29" s="397" t="s">
        <v>56</v>
      </c>
      <c r="K29" s="61" t="s">
        <v>22</v>
      </c>
      <c r="L29" s="207">
        <f t="shared" ref="L29:O29" si="26">L30+L31</f>
        <v>0</v>
      </c>
      <c r="M29" s="272">
        <f t="shared" si="26"/>
        <v>530000</v>
      </c>
      <c r="N29" s="272">
        <f t="shared" si="26"/>
        <v>530000</v>
      </c>
      <c r="O29" s="352">
        <f t="shared" si="26"/>
        <v>530000</v>
      </c>
      <c r="P29" s="352">
        <f>P30+P31</f>
        <v>530000</v>
      </c>
      <c r="Q29" s="352">
        <f t="shared" ref="Q29:W29" si="27">Q30+Q31</f>
        <v>530000</v>
      </c>
      <c r="R29" s="352">
        <f t="shared" si="27"/>
        <v>530000</v>
      </c>
      <c r="S29" s="352">
        <f t="shared" si="27"/>
        <v>530000</v>
      </c>
      <c r="T29" s="352">
        <f t="shared" si="27"/>
        <v>530000</v>
      </c>
      <c r="U29" s="352">
        <f t="shared" si="27"/>
        <v>530000</v>
      </c>
      <c r="V29" s="352">
        <f t="shared" si="27"/>
        <v>530000</v>
      </c>
      <c r="W29" s="131">
        <f t="shared" si="27"/>
        <v>530000</v>
      </c>
      <c r="X29" s="132">
        <f>SUM(L29:W29)</f>
        <v>5830000</v>
      </c>
      <c r="Z29" s="54"/>
    </row>
    <row r="30" spans="1:26">
      <c r="A30" s="70">
        <f>+A29</f>
        <v>2020005</v>
      </c>
      <c r="B30" s="74"/>
      <c r="C30" s="404"/>
      <c r="D30" s="402"/>
      <c r="E30" s="402"/>
      <c r="F30" s="402"/>
      <c r="G30" s="402"/>
      <c r="H30" s="402"/>
      <c r="I30" s="402"/>
      <c r="J30" s="398"/>
      <c r="K30" s="159" t="s">
        <v>23</v>
      </c>
      <c r="L30" s="195"/>
      <c r="M30" s="195">
        <v>530000</v>
      </c>
      <c r="N30" s="195">
        <v>530000</v>
      </c>
      <c r="O30" s="195">
        <v>530000</v>
      </c>
      <c r="P30" s="195">
        <v>530000</v>
      </c>
      <c r="Q30" s="195">
        <v>530000</v>
      </c>
      <c r="R30" s="195">
        <v>530000</v>
      </c>
      <c r="S30" s="195">
        <v>530000</v>
      </c>
      <c r="T30" s="195">
        <v>530000</v>
      </c>
      <c r="U30" s="195">
        <v>530000</v>
      </c>
      <c r="V30" s="195">
        <v>530000</v>
      </c>
      <c r="W30" s="162">
        <v>530000</v>
      </c>
      <c r="X30" s="135">
        <f>SUM(L30:W30)</f>
        <v>5830000</v>
      </c>
      <c r="Y30" s="105"/>
      <c r="Z30" s="54"/>
    </row>
    <row r="31" spans="1:26">
      <c r="A31" s="70">
        <f t="shared" ref="A31" si="28">+A30</f>
        <v>2020005</v>
      </c>
      <c r="B31" s="74"/>
      <c r="C31" s="404"/>
      <c r="D31" s="402"/>
      <c r="E31" s="402"/>
      <c r="F31" s="402"/>
      <c r="G31" s="402"/>
      <c r="H31" s="402"/>
      <c r="I31" s="402"/>
      <c r="J31" s="398"/>
      <c r="K31" s="159" t="s">
        <v>24</v>
      </c>
      <c r="L31" s="192"/>
      <c r="M31" s="192"/>
      <c r="N31" s="192"/>
      <c r="O31" s="195"/>
      <c r="P31" s="195"/>
      <c r="Q31" s="195"/>
      <c r="R31" s="195"/>
      <c r="S31" s="195"/>
      <c r="T31" s="195"/>
      <c r="U31" s="195"/>
      <c r="V31" s="195"/>
      <c r="W31" s="181"/>
      <c r="X31" s="135">
        <v>0</v>
      </c>
      <c r="Z31" s="54"/>
    </row>
    <row r="32" spans="1:26">
      <c r="A32" s="70">
        <f t="shared" ref="A32" si="29">+A31</f>
        <v>2020005</v>
      </c>
      <c r="B32" s="74"/>
      <c r="C32" s="404"/>
      <c r="D32" s="402"/>
      <c r="E32" s="402"/>
      <c r="F32" s="402"/>
      <c r="G32" s="402"/>
      <c r="H32" s="402"/>
      <c r="I32" s="402"/>
      <c r="J32" s="398"/>
      <c r="K32" s="160" t="s">
        <v>25</v>
      </c>
      <c r="L32" s="193">
        <f t="shared" ref="L32:W32" si="30">SUM(L33:L39)</f>
        <v>0</v>
      </c>
      <c r="M32" s="193">
        <f t="shared" si="30"/>
        <v>390636</v>
      </c>
      <c r="N32" s="193">
        <f t="shared" si="30"/>
        <v>402671</v>
      </c>
      <c r="O32" s="343">
        <f t="shared" si="30"/>
        <v>402671</v>
      </c>
      <c r="P32" s="343">
        <f t="shared" si="30"/>
        <v>402671</v>
      </c>
      <c r="Q32" s="343">
        <f t="shared" si="30"/>
        <v>402671</v>
      </c>
      <c r="R32" s="343">
        <f t="shared" si="30"/>
        <v>402671</v>
      </c>
      <c r="S32" s="343">
        <f t="shared" si="30"/>
        <v>403187</v>
      </c>
      <c r="T32" s="343">
        <f t="shared" si="30"/>
        <v>402671</v>
      </c>
      <c r="U32" s="343">
        <f t="shared" si="30"/>
        <v>403702</v>
      </c>
      <c r="V32" s="343">
        <f t="shared" si="30"/>
        <v>402495</v>
      </c>
      <c r="W32" s="182">
        <f t="shared" si="30"/>
        <v>388200</v>
      </c>
      <c r="X32" s="136">
        <f>SUM(L32:W32)</f>
        <v>4404246</v>
      </c>
      <c r="Z32" s="54"/>
    </row>
    <row r="33" spans="1:26">
      <c r="A33" s="70">
        <f t="shared" ref="A33" si="31">+A32</f>
        <v>2020005</v>
      </c>
      <c r="B33" s="74"/>
      <c r="C33" s="404"/>
      <c r="D33" s="402"/>
      <c r="E33" s="402"/>
      <c r="F33" s="402"/>
      <c r="G33" s="402"/>
      <c r="H33" s="402"/>
      <c r="I33" s="402"/>
      <c r="J33" s="398"/>
      <c r="K33" s="161" t="s">
        <v>26</v>
      </c>
      <c r="L33" s="192"/>
      <c r="M33" s="192">
        <v>311350</v>
      </c>
      <c r="N33" s="192">
        <v>320000</v>
      </c>
      <c r="O33" s="192">
        <v>320000</v>
      </c>
      <c r="P33" s="192">
        <v>320000</v>
      </c>
      <c r="Q33" s="192">
        <v>320000</v>
      </c>
      <c r="R33" s="192">
        <v>320000</v>
      </c>
      <c r="S33" s="192">
        <v>320000</v>
      </c>
      <c r="T33" s="192">
        <v>320000</v>
      </c>
      <c r="U33" s="192">
        <v>320000</v>
      </c>
      <c r="V33" s="192">
        <v>319135</v>
      </c>
      <c r="W33" s="162">
        <v>320000</v>
      </c>
      <c r="X33" s="135">
        <f t="shared" ref="X33:X39" si="32">SUM(L33:W33)</f>
        <v>3510485</v>
      </c>
      <c r="Y33" s="105"/>
      <c r="Z33" s="54"/>
    </row>
    <row r="34" spans="1:26">
      <c r="A34" s="70">
        <f t="shared" ref="A34" si="33">+A33</f>
        <v>2020005</v>
      </c>
      <c r="B34" s="74"/>
      <c r="C34" s="404"/>
      <c r="D34" s="402"/>
      <c r="E34" s="402"/>
      <c r="F34" s="402"/>
      <c r="G34" s="402"/>
      <c r="H34" s="402"/>
      <c r="I34" s="402"/>
      <c r="J34" s="398"/>
      <c r="K34" s="161" t="s">
        <v>33</v>
      </c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62"/>
      <c r="X34" s="135">
        <f t="shared" si="32"/>
        <v>0</v>
      </c>
      <c r="Y34" s="105"/>
      <c r="Z34" s="54"/>
    </row>
    <row r="35" spans="1:26">
      <c r="A35" s="70">
        <f t="shared" ref="A35" si="34">+A34</f>
        <v>2020005</v>
      </c>
      <c r="B35" s="74"/>
      <c r="C35" s="404"/>
      <c r="D35" s="402"/>
      <c r="E35" s="402"/>
      <c r="F35" s="402"/>
      <c r="G35" s="402"/>
      <c r="H35" s="402"/>
      <c r="I35" s="402"/>
      <c r="J35" s="398"/>
      <c r="K35" s="161" t="s">
        <v>27</v>
      </c>
      <c r="L35" s="192"/>
      <c r="M35" s="192">
        <v>25430</v>
      </c>
      <c r="N35" s="192">
        <v>28690</v>
      </c>
      <c r="O35" s="192">
        <v>28690</v>
      </c>
      <c r="P35" s="192">
        <v>28690</v>
      </c>
      <c r="Q35" s="192">
        <v>28690</v>
      </c>
      <c r="R35" s="192">
        <v>28690</v>
      </c>
      <c r="S35" s="192">
        <v>29200</v>
      </c>
      <c r="T35" s="192">
        <v>28690</v>
      </c>
      <c r="U35" s="192">
        <v>29710</v>
      </c>
      <c r="V35" s="192">
        <v>29200</v>
      </c>
      <c r="W35" s="162">
        <v>19580</v>
      </c>
      <c r="X35" s="135">
        <f t="shared" si="32"/>
        <v>305260</v>
      </c>
      <c r="Y35" s="105"/>
      <c r="Z35" s="54"/>
    </row>
    <row r="36" spans="1:26">
      <c r="A36" s="70">
        <f t="shared" ref="A36" si="35">+A35</f>
        <v>2020005</v>
      </c>
      <c r="B36" s="74"/>
      <c r="C36" s="404"/>
      <c r="D36" s="402"/>
      <c r="E36" s="402"/>
      <c r="F36" s="402"/>
      <c r="G36" s="402"/>
      <c r="H36" s="402"/>
      <c r="I36" s="402"/>
      <c r="J36" s="398"/>
      <c r="K36" s="161" t="s">
        <v>28</v>
      </c>
      <c r="L36" s="192"/>
      <c r="M36" s="192">
        <v>19210</v>
      </c>
      <c r="N36" s="192">
        <v>19210</v>
      </c>
      <c r="O36" s="192">
        <v>19210</v>
      </c>
      <c r="P36" s="192">
        <v>19210</v>
      </c>
      <c r="Q36" s="192">
        <v>19210</v>
      </c>
      <c r="R36" s="192">
        <v>19210</v>
      </c>
      <c r="S36" s="192">
        <v>19210</v>
      </c>
      <c r="T36" s="192">
        <v>19210</v>
      </c>
      <c r="U36" s="192">
        <v>19210</v>
      </c>
      <c r="V36" s="192">
        <v>19210</v>
      </c>
      <c r="W36" s="162">
        <v>14450</v>
      </c>
      <c r="X36" s="135">
        <f t="shared" si="32"/>
        <v>206550</v>
      </c>
      <c r="Y36" s="105"/>
      <c r="Z36" s="54"/>
    </row>
    <row r="37" spans="1:26">
      <c r="A37" s="70">
        <f t="shared" ref="A37" si="36">+A36</f>
        <v>2020005</v>
      </c>
      <c r="B37" s="74"/>
      <c r="C37" s="404"/>
      <c r="D37" s="402"/>
      <c r="E37" s="402"/>
      <c r="F37" s="402"/>
      <c r="G37" s="402"/>
      <c r="H37" s="402"/>
      <c r="I37" s="402"/>
      <c r="J37" s="398"/>
      <c r="K37" s="161" t="s">
        <v>29</v>
      </c>
      <c r="L37" s="192"/>
      <c r="M37" s="192">
        <v>31110</v>
      </c>
      <c r="N37" s="192">
        <v>31110</v>
      </c>
      <c r="O37" s="192">
        <v>31110</v>
      </c>
      <c r="P37" s="192">
        <v>31110</v>
      </c>
      <c r="Q37" s="192">
        <v>31110</v>
      </c>
      <c r="R37" s="192">
        <v>31110</v>
      </c>
      <c r="S37" s="192">
        <v>31110</v>
      </c>
      <c r="T37" s="192">
        <v>31110</v>
      </c>
      <c r="U37" s="192">
        <v>31110</v>
      </c>
      <c r="V37" s="192">
        <v>31110</v>
      </c>
      <c r="W37" s="162">
        <v>31110</v>
      </c>
      <c r="X37" s="135">
        <f t="shared" si="32"/>
        <v>342210</v>
      </c>
      <c r="Y37" s="105"/>
      <c r="Z37" s="54"/>
    </row>
    <row r="38" spans="1:26">
      <c r="A38" s="70">
        <f t="shared" ref="A38" si="37">+A37</f>
        <v>2020005</v>
      </c>
      <c r="B38" s="74"/>
      <c r="C38" s="404"/>
      <c r="D38" s="402"/>
      <c r="E38" s="402"/>
      <c r="F38" s="402"/>
      <c r="G38" s="402"/>
      <c r="H38" s="402"/>
      <c r="I38" s="402"/>
      <c r="J38" s="398"/>
      <c r="K38" s="161" t="s">
        <v>30</v>
      </c>
      <c r="L38" s="192"/>
      <c r="M38" s="192">
        <v>1684</v>
      </c>
      <c r="N38" s="192">
        <v>1743</v>
      </c>
      <c r="O38" s="192">
        <v>1743</v>
      </c>
      <c r="P38" s="192">
        <v>1743</v>
      </c>
      <c r="Q38" s="192">
        <v>1743</v>
      </c>
      <c r="R38" s="192">
        <v>1743</v>
      </c>
      <c r="S38" s="192">
        <v>1746</v>
      </c>
      <c r="T38" s="192">
        <v>1743</v>
      </c>
      <c r="U38" s="192">
        <v>1749</v>
      </c>
      <c r="V38" s="192">
        <v>1829</v>
      </c>
      <c r="W38" s="162">
        <v>1020</v>
      </c>
      <c r="X38" s="135">
        <f t="shared" si="32"/>
        <v>18486</v>
      </c>
      <c r="Y38" s="105"/>
      <c r="Z38" s="54"/>
    </row>
    <row r="39" spans="1:26">
      <c r="A39" s="70">
        <f t="shared" ref="A39" si="38">+A38</f>
        <v>2020005</v>
      </c>
      <c r="B39" s="74"/>
      <c r="C39" s="404"/>
      <c r="D39" s="402"/>
      <c r="E39" s="402"/>
      <c r="F39" s="402"/>
      <c r="G39" s="402"/>
      <c r="H39" s="402"/>
      <c r="I39" s="402"/>
      <c r="J39" s="398"/>
      <c r="K39" s="161" t="s">
        <v>31</v>
      </c>
      <c r="L39" s="192"/>
      <c r="M39" s="192">
        <v>1852</v>
      </c>
      <c r="N39" s="192">
        <v>1918</v>
      </c>
      <c r="O39" s="192">
        <v>1918</v>
      </c>
      <c r="P39" s="192">
        <v>1918</v>
      </c>
      <c r="Q39" s="192">
        <v>1918</v>
      </c>
      <c r="R39" s="192">
        <v>1918</v>
      </c>
      <c r="S39" s="192">
        <v>1921</v>
      </c>
      <c r="T39" s="192">
        <v>1918</v>
      </c>
      <c r="U39" s="192">
        <v>1923</v>
      </c>
      <c r="V39" s="192">
        <v>2011</v>
      </c>
      <c r="W39" s="162">
        <v>2040</v>
      </c>
      <c r="X39" s="135">
        <f t="shared" si="32"/>
        <v>21255</v>
      </c>
      <c r="Y39" s="105"/>
      <c r="Z39" s="54"/>
    </row>
    <row r="40" spans="1:26">
      <c r="A40" s="70">
        <f t="shared" ref="A40" si="39">+A39</f>
        <v>2020005</v>
      </c>
      <c r="B40" s="74"/>
      <c r="C40" s="405"/>
      <c r="D40" s="403"/>
      <c r="E40" s="403"/>
      <c r="F40" s="403"/>
      <c r="G40" s="403"/>
      <c r="H40" s="403"/>
      <c r="I40" s="403"/>
      <c r="J40" s="399"/>
      <c r="K40" s="65" t="s">
        <v>32</v>
      </c>
      <c r="L40" s="194">
        <f t="shared" ref="L40:M40" si="40">L29-L32</f>
        <v>0</v>
      </c>
      <c r="M40" s="267">
        <f t="shared" si="40"/>
        <v>139364</v>
      </c>
      <c r="N40" s="267">
        <f>N29-N32</f>
        <v>127329</v>
      </c>
      <c r="O40" s="344">
        <f t="shared" ref="O40:W40" si="41">O29-O32</f>
        <v>127329</v>
      </c>
      <c r="P40" s="344">
        <f t="shared" si="41"/>
        <v>127329</v>
      </c>
      <c r="Q40" s="344">
        <f t="shared" si="41"/>
        <v>127329</v>
      </c>
      <c r="R40" s="344">
        <f t="shared" si="41"/>
        <v>127329</v>
      </c>
      <c r="S40" s="344">
        <f t="shared" si="41"/>
        <v>126813</v>
      </c>
      <c r="T40" s="344">
        <f t="shared" si="41"/>
        <v>127329</v>
      </c>
      <c r="U40" s="344">
        <f t="shared" si="41"/>
        <v>126298</v>
      </c>
      <c r="V40" s="344">
        <f t="shared" si="41"/>
        <v>127505</v>
      </c>
      <c r="W40" s="129">
        <f t="shared" si="41"/>
        <v>141800</v>
      </c>
      <c r="X40" s="50">
        <f>X29-X32</f>
        <v>1425754</v>
      </c>
      <c r="Z40" s="54"/>
    </row>
    <row r="41" spans="1:26" ht="12.75" customHeight="1">
      <c r="A41" s="101">
        <v>2022025</v>
      </c>
      <c r="B41" s="104"/>
      <c r="C41" s="433">
        <v>4</v>
      </c>
      <c r="D41" s="432" t="s">
        <v>34</v>
      </c>
      <c r="E41" s="432"/>
      <c r="F41" s="432"/>
      <c r="G41" s="432"/>
      <c r="H41" s="432"/>
      <c r="I41" s="432"/>
      <c r="J41" s="397" t="s">
        <v>56</v>
      </c>
      <c r="K41" s="61" t="s">
        <v>22</v>
      </c>
      <c r="L41" s="207">
        <f t="shared" ref="L41:O41" si="42">L42+L43</f>
        <v>0</v>
      </c>
      <c r="M41" s="272">
        <f t="shared" si="42"/>
        <v>0</v>
      </c>
      <c r="N41" s="272">
        <f t="shared" si="42"/>
        <v>0</v>
      </c>
      <c r="O41" s="352">
        <f t="shared" si="42"/>
        <v>0</v>
      </c>
      <c r="P41" s="352">
        <f>P42+P43</f>
        <v>0</v>
      </c>
      <c r="Q41" s="352">
        <f t="shared" ref="Q41:W41" si="43">Q42+Q43</f>
        <v>0</v>
      </c>
      <c r="R41" s="352">
        <f t="shared" si="43"/>
        <v>550000</v>
      </c>
      <c r="S41" s="352">
        <f t="shared" si="43"/>
        <v>538240</v>
      </c>
      <c r="T41" s="352">
        <f t="shared" si="43"/>
        <v>550000</v>
      </c>
      <c r="U41" s="352">
        <f t="shared" si="43"/>
        <v>504920</v>
      </c>
      <c r="V41" s="352">
        <f t="shared" si="43"/>
        <v>518640</v>
      </c>
      <c r="W41" s="131">
        <f t="shared" si="43"/>
        <v>550000</v>
      </c>
      <c r="X41" s="132">
        <f>SUM(L41:W41)</f>
        <v>3211800</v>
      </c>
      <c r="Z41" s="54"/>
    </row>
    <row r="42" spans="1:26">
      <c r="A42" s="70">
        <f>+A41</f>
        <v>2022025</v>
      </c>
      <c r="B42" s="74"/>
      <c r="C42" s="404"/>
      <c r="D42" s="402"/>
      <c r="E42" s="402"/>
      <c r="F42" s="402"/>
      <c r="G42" s="402"/>
      <c r="H42" s="402"/>
      <c r="I42" s="402"/>
      <c r="J42" s="398"/>
      <c r="K42" s="159" t="s">
        <v>23</v>
      </c>
      <c r="L42" s="195"/>
      <c r="M42" s="195"/>
      <c r="N42" s="195"/>
      <c r="O42" s="195"/>
      <c r="P42" s="195"/>
      <c r="Q42" s="195"/>
      <c r="R42" s="195">
        <v>550000</v>
      </c>
      <c r="S42" s="195">
        <v>538240</v>
      </c>
      <c r="T42" s="195">
        <v>550000</v>
      </c>
      <c r="U42" s="195">
        <v>504920</v>
      </c>
      <c r="V42" s="195">
        <v>518640</v>
      </c>
      <c r="W42" s="166">
        <v>550000</v>
      </c>
      <c r="X42" s="135">
        <f>SUM(L42:W42)</f>
        <v>3211800</v>
      </c>
      <c r="Y42" s="105"/>
      <c r="Z42" s="54"/>
    </row>
    <row r="43" spans="1:26">
      <c r="A43" s="70">
        <f t="shared" ref="A43" si="44">+A42</f>
        <v>2022025</v>
      </c>
      <c r="B43" s="74"/>
      <c r="C43" s="404"/>
      <c r="D43" s="402"/>
      <c r="E43" s="402"/>
      <c r="F43" s="402"/>
      <c r="G43" s="402"/>
      <c r="H43" s="402"/>
      <c r="I43" s="402"/>
      <c r="J43" s="398"/>
      <c r="K43" s="159" t="s">
        <v>24</v>
      </c>
      <c r="L43" s="192"/>
      <c r="M43" s="192"/>
      <c r="N43" s="192"/>
      <c r="O43" s="195"/>
      <c r="P43" s="195"/>
      <c r="Q43" s="195"/>
      <c r="R43" s="195"/>
      <c r="S43" s="195"/>
      <c r="T43" s="195"/>
      <c r="U43" s="195"/>
      <c r="V43" s="195"/>
      <c r="W43" s="181"/>
      <c r="X43" s="135">
        <v>0</v>
      </c>
      <c r="Z43" s="54"/>
    </row>
    <row r="44" spans="1:26">
      <c r="A44" s="70">
        <f t="shared" ref="A44" si="45">+A43</f>
        <v>2022025</v>
      </c>
      <c r="B44" s="74"/>
      <c r="C44" s="404"/>
      <c r="D44" s="402"/>
      <c r="E44" s="402"/>
      <c r="F44" s="402"/>
      <c r="G44" s="402"/>
      <c r="H44" s="402"/>
      <c r="I44" s="402"/>
      <c r="J44" s="398"/>
      <c r="K44" s="160" t="s">
        <v>25</v>
      </c>
      <c r="L44" s="193">
        <f t="shared" ref="L44:W44" si="46">SUM(L45:L51)</f>
        <v>0</v>
      </c>
      <c r="M44" s="193">
        <f t="shared" si="46"/>
        <v>0</v>
      </c>
      <c r="N44" s="193">
        <f t="shared" si="46"/>
        <v>0</v>
      </c>
      <c r="O44" s="343">
        <f t="shared" si="46"/>
        <v>0</v>
      </c>
      <c r="P44" s="343">
        <f t="shared" si="46"/>
        <v>0</v>
      </c>
      <c r="Q44" s="343">
        <f t="shared" si="46"/>
        <v>0</v>
      </c>
      <c r="R44" s="343">
        <f t="shared" si="46"/>
        <v>398121</v>
      </c>
      <c r="S44" s="343">
        <f t="shared" si="46"/>
        <v>389244</v>
      </c>
      <c r="T44" s="343">
        <f t="shared" si="46"/>
        <v>388893</v>
      </c>
      <c r="U44" s="343">
        <f t="shared" si="46"/>
        <v>393893</v>
      </c>
      <c r="V44" s="343">
        <f t="shared" si="46"/>
        <v>394075</v>
      </c>
      <c r="W44" s="182">
        <f t="shared" si="46"/>
        <v>419104</v>
      </c>
      <c r="X44" s="136">
        <f>SUM(L44:W44)</f>
        <v>2383330</v>
      </c>
      <c r="Z44" s="54"/>
    </row>
    <row r="45" spans="1:26">
      <c r="A45" s="70">
        <f t="shared" ref="A45" si="47">+A44</f>
        <v>2022025</v>
      </c>
      <c r="B45" s="74"/>
      <c r="C45" s="404"/>
      <c r="D45" s="402"/>
      <c r="E45" s="402"/>
      <c r="F45" s="402"/>
      <c r="G45" s="402"/>
      <c r="H45" s="402"/>
      <c r="I45" s="402"/>
      <c r="J45" s="398"/>
      <c r="K45" s="161" t="s">
        <v>26</v>
      </c>
      <c r="L45" s="192"/>
      <c r="M45" s="192"/>
      <c r="N45" s="192"/>
      <c r="O45" s="192"/>
      <c r="P45" s="192"/>
      <c r="Q45" s="192"/>
      <c r="R45" s="378">
        <v>337784</v>
      </c>
      <c r="S45" s="378">
        <v>330400</v>
      </c>
      <c r="T45" s="378">
        <v>330000</v>
      </c>
      <c r="U45" s="378">
        <v>335000</v>
      </c>
      <c r="V45" s="378">
        <v>335000</v>
      </c>
      <c r="W45" s="376">
        <v>360000</v>
      </c>
      <c r="X45" s="135">
        <f>SUM(L45:W45)</f>
        <v>2028184</v>
      </c>
      <c r="Y45" s="105"/>
      <c r="Z45" s="54"/>
    </row>
    <row r="46" spans="1:26">
      <c r="A46" s="70">
        <f t="shared" ref="A46" si="48">+A45</f>
        <v>2022025</v>
      </c>
      <c r="B46" s="74"/>
      <c r="C46" s="404"/>
      <c r="D46" s="402"/>
      <c r="E46" s="402"/>
      <c r="F46" s="402"/>
      <c r="G46" s="402"/>
      <c r="H46" s="402"/>
      <c r="I46" s="402"/>
      <c r="J46" s="398"/>
      <c r="K46" s="161" t="s">
        <v>33</v>
      </c>
      <c r="L46" s="192"/>
      <c r="M46" s="192"/>
      <c r="N46" s="192"/>
      <c r="O46" s="192"/>
      <c r="P46" s="192"/>
      <c r="Q46" s="192"/>
      <c r="R46" s="378"/>
      <c r="S46" s="378"/>
      <c r="T46" s="378"/>
      <c r="U46" s="378"/>
      <c r="V46" s="378"/>
      <c r="W46" s="376"/>
      <c r="X46" s="135">
        <f t="shared" ref="X46:X51" si="49">SUM(L46:W46)</f>
        <v>0</v>
      </c>
      <c r="Y46" s="105"/>
      <c r="Z46" s="54"/>
    </row>
    <row r="47" spans="1:26">
      <c r="A47" s="70">
        <f t="shared" ref="A47" si="50">+A46</f>
        <v>2022025</v>
      </c>
      <c r="B47" s="74"/>
      <c r="C47" s="404"/>
      <c r="D47" s="402"/>
      <c r="E47" s="402"/>
      <c r="F47" s="402"/>
      <c r="G47" s="402"/>
      <c r="H47" s="402"/>
      <c r="I47" s="402"/>
      <c r="J47" s="398"/>
      <c r="K47" s="161" t="s">
        <v>27</v>
      </c>
      <c r="L47" s="192"/>
      <c r="M47" s="192"/>
      <c r="N47" s="192"/>
      <c r="O47" s="192"/>
      <c r="P47" s="192"/>
      <c r="Q47" s="192"/>
      <c r="R47" s="378">
        <v>6680</v>
      </c>
      <c r="S47" s="378">
        <v>5280</v>
      </c>
      <c r="T47" s="378">
        <v>5280</v>
      </c>
      <c r="U47" s="378">
        <v>5280</v>
      </c>
      <c r="V47" s="378">
        <v>5280</v>
      </c>
      <c r="W47" s="376">
        <v>5280</v>
      </c>
      <c r="X47" s="135">
        <f t="shared" si="49"/>
        <v>33080</v>
      </c>
      <c r="Y47" s="105"/>
      <c r="Z47" s="54"/>
    </row>
    <row r="48" spans="1:26">
      <c r="A48" s="70">
        <f t="shared" ref="A48" si="51">+A47</f>
        <v>2022025</v>
      </c>
      <c r="B48" s="74"/>
      <c r="C48" s="404"/>
      <c r="D48" s="402"/>
      <c r="E48" s="402"/>
      <c r="F48" s="402"/>
      <c r="G48" s="402"/>
      <c r="H48" s="402"/>
      <c r="I48" s="402"/>
      <c r="J48" s="398"/>
      <c r="K48" s="161" t="s">
        <v>28</v>
      </c>
      <c r="L48" s="192"/>
      <c r="M48" s="192"/>
      <c r="N48" s="192"/>
      <c r="O48" s="192"/>
      <c r="P48" s="192"/>
      <c r="Q48" s="192"/>
      <c r="R48" s="192">
        <v>17100</v>
      </c>
      <c r="S48" s="192">
        <v>17100</v>
      </c>
      <c r="T48" s="192">
        <v>17100</v>
      </c>
      <c r="U48" s="192">
        <v>17100</v>
      </c>
      <c r="V48" s="192">
        <v>17100</v>
      </c>
      <c r="W48" s="165">
        <v>17100</v>
      </c>
      <c r="X48" s="135">
        <f t="shared" si="49"/>
        <v>102600</v>
      </c>
      <c r="Y48" s="105"/>
      <c r="Z48" s="54"/>
    </row>
    <row r="49" spans="1:26">
      <c r="A49" s="70">
        <f t="shared" ref="A49" si="52">+A48</f>
        <v>2022025</v>
      </c>
      <c r="B49" s="74"/>
      <c r="C49" s="404"/>
      <c r="D49" s="402"/>
      <c r="E49" s="402"/>
      <c r="F49" s="402"/>
      <c r="G49" s="402"/>
      <c r="H49" s="402"/>
      <c r="I49" s="402"/>
      <c r="J49" s="398"/>
      <c r="K49" s="161" t="s">
        <v>29</v>
      </c>
      <c r="L49" s="192"/>
      <c r="M49" s="192"/>
      <c r="N49" s="192"/>
      <c r="O49" s="192"/>
      <c r="P49" s="192"/>
      <c r="Q49" s="192"/>
      <c r="R49" s="192">
        <v>32940</v>
      </c>
      <c r="S49" s="192">
        <v>32940</v>
      </c>
      <c r="T49" s="192">
        <v>32940</v>
      </c>
      <c r="U49" s="192">
        <v>32940</v>
      </c>
      <c r="V49" s="192">
        <v>32940</v>
      </c>
      <c r="W49" s="165">
        <v>32940</v>
      </c>
      <c r="X49" s="135">
        <f t="shared" si="49"/>
        <v>197640</v>
      </c>
      <c r="Y49" s="105"/>
      <c r="Z49" s="54"/>
    </row>
    <row r="50" spans="1:26">
      <c r="A50" s="70">
        <f t="shared" ref="A50" si="53">+A49</f>
        <v>2022025</v>
      </c>
      <c r="B50" s="74"/>
      <c r="C50" s="404"/>
      <c r="D50" s="402"/>
      <c r="E50" s="402"/>
      <c r="F50" s="402"/>
      <c r="G50" s="402"/>
      <c r="H50" s="402"/>
      <c r="I50" s="402"/>
      <c r="J50" s="398"/>
      <c r="K50" s="161" t="s">
        <v>30</v>
      </c>
      <c r="L50" s="192"/>
      <c r="M50" s="192"/>
      <c r="N50" s="192"/>
      <c r="O50" s="192"/>
      <c r="P50" s="192"/>
      <c r="Q50" s="192"/>
      <c r="R50" s="192">
        <v>1722</v>
      </c>
      <c r="S50" s="192">
        <v>1678</v>
      </c>
      <c r="T50" s="192">
        <v>1701</v>
      </c>
      <c r="U50" s="192">
        <v>1701</v>
      </c>
      <c r="V50" s="192">
        <v>1788</v>
      </c>
      <c r="W50" s="165">
        <v>1802</v>
      </c>
      <c r="X50" s="135">
        <f t="shared" si="49"/>
        <v>10392</v>
      </c>
      <c r="Y50" s="105"/>
      <c r="Z50" s="54"/>
    </row>
    <row r="51" spans="1:26">
      <c r="A51" s="70">
        <f t="shared" ref="A51" si="54">+A50</f>
        <v>2022025</v>
      </c>
      <c r="B51" s="74"/>
      <c r="C51" s="404"/>
      <c r="D51" s="402"/>
      <c r="E51" s="402"/>
      <c r="F51" s="402"/>
      <c r="G51" s="402"/>
      <c r="H51" s="402"/>
      <c r="I51" s="402"/>
      <c r="J51" s="398"/>
      <c r="K51" s="161" t="s">
        <v>31</v>
      </c>
      <c r="L51" s="192"/>
      <c r="M51" s="192"/>
      <c r="N51" s="192"/>
      <c r="O51" s="192"/>
      <c r="P51" s="192"/>
      <c r="Q51" s="192"/>
      <c r="R51" s="192">
        <v>1895</v>
      </c>
      <c r="S51" s="192">
        <v>1846</v>
      </c>
      <c r="T51" s="192">
        <v>1872</v>
      </c>
      <c r="U51" s="192">
        <v>1872</v>
      </c>
      <c r="V51" s="192">
        <v>1967</v>
      </c>
      <c r="W51" s="165">
        <v>1982</v>
      </c>
      <c r="X51" s="135">
        <f t="shared" si="49"/>
        <v>11434</v>
      </c>
      <c r="Y51" s="105"/>
      <c r="Z51" s="54"/>
    </row>
    <row r="52" spans="1:26">
      <c r="A52" s="70">
        <f t="shared" ref="A52" si="55">+A51</f>
        <v>2022025</v>
      </c>
      <c r="B52" s="74"/>
      <c r="C52" s="405"/>
      <c r="D52" s="403"/>
      <c r="E52" s="403"/>
      <c r="F52" s="403"/>
      <c r="G52" s="403"/>
      <c r="H52" s="403"/>
      <c r="I52" s="403"/>
      <c r="J52" s="399"/>
      <c r="K52" s="65" t="s">
        <v>32</v>
      </c>
      <c r="L52" s="194">
        <f t="shared" ref="L52:M52" si="56">L41-L44</f>
        <v>0</v>
      </c>
      <c r="M52" s="267">
        <f t="shared" si="56"/>
        <v>0</v>
      </c>
      <c r="N52" s="267">
        <f>N41-N44</f>
        <v>0</v>
      </c>
      <c r="O52" s="344">
        <f t="shared" ref="O52:W52" si="57">O41-O44</f>
        <v>0</v>
      </c>
      <c r="P52" s="344">
        <f t="shared" si="57"/>
        <v>0</v>
      </c>
      <c r="Q52" s="344">
        <f t="shared" si="57"/>
        <v>0</v>
      </c>
      <c r="R52" s="344">
        <f t="shared" si="57"/>
        <v>151879</v>
      </c>
      <c r="S52" s="344">
        <f t="shared" si="57"/>
        <v>148996</v>
      </c>
      <c r="T52" s="344">
        <f t="shared" si="57"/>
        <v>161107</v>
      </c>
      <c r="U52" s="344">
        <f t="shared" si="57"/>
        <v>111027</v>
      </c>
      <c r="V52" s="344">
        <f t="shared" si="57"/>
        <v>124565</v>
      </c>
      <c r="W52" s="129">
        <f t="shared" si="57"/>
        <v>130896</v>
      </c>
      <c r="X52" s="50">
        <f>X41-X44</f>
        <v>828470</v>
      </c>
      <c r="Z52" s="54"/>
    </row>
    <row r="53" spans="1:26" ht="12.75" customHeight="1">
      <c r="A53" s="101" t="s">
        <v>117</v>
      </c>
      <c r="B53" s="104"/>
      <c r="C53" s="433">
        <v>5</v>
      </c>
      <c r="D53" s="432" t="s">
        <v>119</v>
      </c>
      <c r="E53" s="432"/>
      <c r="F53" s="432"/>
      <c r="G53" s="432"/>
      <c r="H53" s="432"/>
      <c r="I53" s="432"/>
      <c r="J53" s="397" t="s">
        <v>118</v>
      </c>
      <c r="K53" s="61" t="s">
        <v>22</v>
      </c>
      <c r="L53" s="207">
        <f t="shared" ref="L53:O53" si="58">L54+L55</f>
        <v>0</v>
      </c>
      <c r="M53" s="272">
        <f t="shared" si="58"/>
        <v>0</v>
      </c>
      <c r="N53" s="272">
        <f t="shared" si="58"/>
        <v>0</v>
      </c>
      <c r="O53" s="352">
        <f t="shared" si="58"/>
        <v>0</v>
      </c>
      <c r="P53" s="352">
        <f>P54+P55</f>
        <v>0</v>
      </c>
      <c r="Q53" s="352">
        <f t="shared" ref="Q53:W53" si="59">Q54+Q55</f>
        <v>0</v>
      </c>
      <c r="R53" s="352">
        <f t="shared" si="59"/>
        <v>0</v>
      </c>
      <c r="S53" s="352">
        <f t="shared" si="59"/>
        <v>0</v>
      </c>
      <c r="T53" s="352">
        <f t="shared" si="59"/>
        <v>0</v>
      </c>
      <c r="U53" s="352">
        <f t="shared" si="59"/>
        <v>80000</v>
      </c>
      <c r="V53" s="352">
        <f t="shared" si="59"/>
        <v>80000</v>
      </c>
      <c r="W53" s="131">
        <f t="shared" si="59"/>
        <v>80000</v>
      </c>
      <c r="X53" s="132">
        <f>SUM(L53:W53)</f>
        <v>240000</v>
      </c>
      <c r="Z53" s="54"/>
    </row>
    <row r="54" spans="1:26">
      <c r="A54" s="70" t="str">
        <f>+A53</f>
        <v>ー</v>
      </c>
      <c r="B54" s="74"/>
      <c r="C54" s="404"/>
      <c r="D54" s="402"/>
      <c r="E54" s="402"/>
      <c r="F54" s="402"/>
      <c r="G54" s="402"/>
      <c r="H54" s="402"/>
      <c r="I54" s="402"/>
      <c r="J54" s="398"/>
      <c r="K54" s="159" t="s">
        <v>23</v>
      </c>
      <c r="L54" s="195"/>
      <c r="M54" s="195"/>
      <c r="N54" s="195"/>
      <c r="O54" s="195"/>
      <c r="P54" s="195"/>
      <c r="Q54" s="195"/>
      <c r="R54" s="195"/>
      <c r="S54" s="195"/>
      <c r="T54" s="195"/>
      <c r="U54" s="195">
        <v>80000</v>
      </c>
      <c r="V54" s="195">
        <v>80000</v>
      </c>
      <c r="W54" s="166">
        <v>80000</v>
      </c>
      <c r="X54" s="135">
        <f>SUM(L54:W54)</f>
        <v>240000</v>
      </c>
      <c r="Y54" s="105"/>
      <c r="Z54" s="54"/>
    </row>
    <row r="55" spans="1:26">
      <c r="A55" s="70" t="str">
        <f t="shared" ref="A55" si="60">+A54</f>
        <v>ー</v>
      </c>
      <c r="B55" s="74"/>
      <c r="C55" s="404"/>
      <c r="D55" s="402"/>
      <c r="E55" s="402"/>
      <c r="F55" s="402"/>
      <c r="G55" s="402"/>
      <c r="H55" s="402"/>
      <c r="I55" s="402"/>
      <c r="J55" s="398"/>
      <c r="K55" s="159" t="s">
        <v>24</v>
      </c>
      <c r="L55" s="192"/>
      <c r="M55" s="192"/>
      <c r="N55" s="192"/>
      <c r="O55" s="195"/>
      <c r="P55" s="195"/>
      <c r="Q55" s="195"/>
      <c r="R55" s="195"/>
      <c r="S55" s="195"/>
      <c r="T55" s="195"/>
      <c r="U55" s="195"/>
      <c r="V55" s="195"/>
      <c r="W55" s="181"/>
      <c r="X55" s="135">
        <v>0</v>
      </c>
      <c r="Z55" s="54"/>
    </row>
    <row r="56" spans="1:26">
      <c r="A56" s="70" t="str">
        <f t="shared" ref="A56" si="61">+A55</f>
        <v>ー</v>
      </c>
      <c r="B56" s="74"/>
      <c r="C56" s="404"/>
      <c r="D56" s="402"/>
      <c r="E56" s="402"/>
      <c r="F56" s="402"/>
      <c r="G56" s="402"/>
      <c r="H56" s="402"/>
      <c r="I56" s="402"/>
      <c r="J56" s="398"/>
      <c r="K56" s="160" t="s">
        <v>25</v>
      </c>
      <c r="L56" s="193">
        <f t="shared" ref="L56:W56" si="62">SUM(L57:L63)</f>
        <v>0</v>
      </c>
      <c r="M56" s="193">
        <f t="shared" si="62"/>
        <v>0</v>
      </c>
      <c r="N56" s="193">
        <f t="shared" si="62"/>
        <v>0</v>
      </c>
      <c r="O56" s="343">
        <f t="shared" si="62"/>
        <v>0</v>
      </c>
      <c r="P56" s="343">
        <f t="shared" si="62"/>
        <v>0</v>
      </c>
      <c r="Q56" s="343">
        <f t="shared" si="62"/>
        <v>0</v>
      </c>
      <c r="R56" s="343">
        <f t="shared" si="62"/>
        <v>0</v>
      </c>
      <c r="S56" s="343">
        <f t="shared" si="62"/>
        <v>0</v>
      </c>
      <c r="T56" s="343">
        <f t="shared" si="62"/>
        <v>296755</v>
      </c>
      <c r="U56" s="343">
        <f t="shared" si="62"/>
        <v>0</v>
      </c>
      <c r="V56" s="343">
        <f t="shared" si="62"/>
        <v>0</v>
      </c>
      <c r="W56" s="182">
        <f t="shared" si="62"/>
        <v>0</v>
      </c>
      <c r="X56" s="136">
        <f>SUM(L56:W56)</f>
        <v>296755</v>
      </c>
      <c r="Z56" s="54"/>
    </row>
    <row r="57" spans="1:26">
      <c r="A57" s="70" t="str">
        <f t="shared" ref="A57" si="63">+A56</f>
        <v>ー</v>
      </c>
      <c r="B57" s="74"/>
      <c r="C57" s="404"/>
      <c r="D57" s="402"/>
      <c r="E57" s="402"/>
      <c r="F57" s="402"/>
      <c r="G57" s="402"/>
      <c r="H57" s="402"/>
      <c r="I57" s="402"/>
      <c r="J57" s="398"/>
      <c r="K57" s="161" t="s">
        <v>26</v>
      </c>
      <c r="L57" s="192"/>
      <c r="M57" s="192"/>
      <c r="N57" s="192"/>
      <c r="O57" s="192"/>
      <c r="P57" s="192"/>
      <c r="Q57" s="192"/>
      <c r="R57" s="378"/>
      <c r="S57" s="378"/>
      <c r="T57" s="378">
        <v>296755</v>
      </c>
      <c r="U57" s="378">
        <v>0</v>
      </c>
      <c r="V57" s="378">
        <v>0</v>
      </c>
      <c r="W57" s="376">
        <v>0</v>
      </c>
      <c r="X57" s="135">
        <f>SUM(L57:W57)</f>
        <v>296755</v>
      </c>
      <c r="Y57" s="105"/>
      <c r="Z57" s="54"/>
    </row>
    <row r="58" spans="1:26">
      <c r="A58" s="70" t="str">
        <f t="shared" ref="A58" si="64">+A57</f>
        <v>ー</v>
      </c>
      <c r="B58" s="74"/>
      <c r="C58" s="404"/>
      <c r="D58" s="402"/>
      <c r="E58" s="402"/>
      <c r="F58" s="402"/>
      <c r="G58" s="402"/>
      <c r="H58" s="402"/>
      <c r="I58" s="402"/>
      <c r="J58" s="398"/>
      <c r="K58" s="161" t="s">
        <v>33</v>
      </c>
      <c r="L58" s="192"/>
      <c r="M58" s="192"/>
      <c r="N58" s="192"/>
      <c r="O58" s="192"/>
      <c r="P58" s="192"/>
      <c r="Q58" s="192"/>
      <c r="R58" s="378"/>
      <c r="S58" s="378"/>
      <c r="T58" s="378"/>
      <c r="U58" s="378"/>
      <c r="V58" s="378"/>
      <c r="W58" s="376"/>
      <c r="X58" s="135">
        <f t="shared" ref="X58:X63" si="65">SUM(L58:W58)</f>
        <v>0</v>
      </c>
      <c r="Y58" s="105"/>
      <c r="Z58" s="54"/>
    </row>
    <row r="59" spans="1:26">
      <c r="A59" s="70" t="str">
        <f t="shared" ref="A59" si="66">+A58</f>
        <v>ー</v>
      </c>
      <c r="B59" s="74"/>
      <c r="C59" s="404"/>
      <c r="D59" s="402"/>
      <c r="E59" s="402"/>
      <c r="F59" s="402"/>
      <c r="G59" s="402"/>
      <c r="H59" s="402"/>
      <c r="I59" s="402"/>
      <c r="J59" s="398"/>
      <c r="K59" s="161" t="s">
        <v>27</v>
      </c>
      <c r="L59" s="192"/>
      <c r="M59" s="192"/>
      <c r="N59" s="192"/>
      <c r="O59" s="192"/>
      <c r="P59" s="192"/>
      <c r="Q59" s="192"/>
      <c r="R59" s="378"/>
      <c r="S59" s="378"/>
      <c r="T59" s="378"/>
      <c r="U59" s="378"/>
      <c r="V59" s="378"/>
      <c r="W59" s="376"/>
      <c r="X59" s="135">
        <f t="shared" si="65"/>
        <v>0</v>
      </c>
      <c r="Y59" s="105"/>
      <c r="Z59" s="54"/>
    </row>
    <row r="60" spans="1:26">
      <c r="A60" s="70" t="str">
        <f t="shared" ref="A60" si="67">+A59</f>
        <v>ー</v>
      </c>
      <c r="B60" s="74"/>
      <c r="C60" s="404"/>
      <c r="D60" s="402"/>
      <c r="E60" s="402"/>
      <c r="F60" s="402"/>
      <c r="G60" s="402"/>
      <c r="H60" s="402"/>
      <c r="I60" s="402"/>
      <c r="J60" s="398"/>
      <c r="K60" s="161" t="s">
        <v>28</v>
      </c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65"/>
      <c r="X60" s="135">
        <f t="shared" si="65"/>
        <v>0</v>
      </c>
      <c r="Y60" s="105"/>
      <c r="Z60" s="54"/>
    </row>
    <row r="61" spans="1:26">
      <c r="A61" s="70" t="str">
        <f t="shared" ref="A61" si="68">+A60</f>
        <v>ー</v>
      </c>
      <c r="B61" s="74"/>
      <c r="C61" s="404"/>
      <c r="D61" s="402"/>
      <c r="E61" s="402"/>
      <c r="F61" s="402"/>
      <c r="G61" s="402"/>
      <c r="H61" s="402"/>
      <c r="I61" s="402"/>
      <c r="J61" s="398"/>
      <c r="K61" s="161" t="s">
        <v>29</v>
      </c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65"/>
      <c r="X61" s="135">
        <f t="shared" si="65"/>
        <v>0</v>
      </c>
      <c r="Y61" s="105"/>
      <c r="Z61" s="54"/>
    </row>
    <row r="62" spans="1:26">
      <c r="A62" s="70" t="str">
        <f t="shared" ref="A62" si="69">+A61</f>
        <v>ー</v>
      </c>
      <c r="B62" s="74"/>
      <c r="C62" s="404"/>
      <c r="D62" s="402"/>
      <c r="E62" s="402"/>
      <c r="F62" s="402"/>
      <c r="G62" s="402"/>
      <c r="H62" s="402"/>
      <c r="I62" s="402"/>
      <c r="J62" s="398"/>
      <c r="K62" s="161" t="s">
        <v>30</v>
      </c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65"/>
      <c r="X62" s="135">
        <f t="shared" si="65"/>
        <v>0</v>
      </c>
      <c r="Y62" s="105"/>
      <c r="Z62" s="54"/>
    </row>
    <row r="63" spans="1:26">
      <c r="A63" s="70" t="str">
        <f t="shared" ref="A63" si="70">+A62</f>
        <v>ー</v>
      </c>
      <c r="B63" s="74"/>
      <c r="C63" s="404"/>
      <c r="D63" s="402"/>
      <c r="E63" s="402"/>
      <c r="F63" s="402"/>
      <c r="G63" s="402"/>
      <c r="H63" s="402"/>
      <c r="I63" s="402"/>
      <c r="J63" s="398"/>
      <c r="K63" s="161" t="s">
        <v>31</v>
      </c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65"/>
      <c r="X63" s="135">
        <f t="shared" si="65"/>
        <v>0</v>
      </c>
      <c r="Y63" s="105"/>
      <c r="Z63" s="54"/>
    </row>
    <row r="64" spans="1:26">
      <c r="A64" s="70" t="str">
        <f t="shared" ref="A64" si="71">+A63</f>
        <v>ー</v>
      </c>
      <c r="B64" s="74"/>
      <c r="C64" s="405"/>
      <c r="D64" s="403"/>
      <c r="E64" s="403"/>
      <c r="F64" s="403"/>
      <c r="G64" s="403"/>
      <c r="H64" s="403"/>
      <c r="I64" s="403"/>
      <c r="J64" s="399"/>
      <c r="K64" s="65" t="s">
        <v>32</v>
      </c>
      <c r="L64" s="194">
        <f t="shared" ref="L64:M64" si="72">L53-L56</f>
        <v>0</v>
      </c>
      <c r="M64" s="267">
        <f t="shared" si="72"/>
        <v>0</v>
      </c>
      <c r="N64" s="267">
        <f>N53-N56</f>
        <v>0</v>
      </c>
      <c r="O64" s="344">
        <f t="shared" ref="O64:W64" si="73">O53-O56</f>
        <v>0</v>
      </c>
      <c r="P64" s="344">
        <f t="shared" si="73"/>
        <v>0</v>
      </c>
      <c r="Q64" s="344">
        <f t="shared" si="73"/>
        <v>0</v>
      </c>
      <c r="R64" s="344">
        <f t="shared" si="73"/>
        <v>0</v>
      </c>
      <c r="S64" s="344">
        <f t="shared" si="73"/>
        <v>0</v>
      </c>
      <c r="T64" s="344">
        <f t="shared" si="73"/>
        <v>-296755</v>
      </c>
      <c r="U64" s="344">
        <f t="shared" si="73"/>
        <v>80000</v>
      </c>
      <c r="V64" s="344">
        <f t="shared" si="73"/>
        <v>80000</v>
      </c>
      <c r="W64" s="129">
        <f t="shared" si="73"/>
        <v>80000</v>
      </c>
      <c r="X64" s="50">
        <f>X53-X56</f>
        <v>-56755</v>
      </c>
      <c r="Z64" s="54"/>
    </row>
    <row r="65" spans="1:27" ht="12.75" customHeight="1">
      <c r="A65" s="101"/>
      <c r="B65" s="104"/>
      <c r="C65" s="433">
        <v>6</v>
      </c>
      <c r="D65" s="432"/>
      <c r="E65" s="432"/>
      <c r="F65" s="432"/>
      <c r="G65" s="432"/>
      <c r="H65" s="432"/>
      <c r="I65" s="432"/>
      <c r="J65" s="397"/>
      <c r="K65" s="61" t="s">
        <v>22</v>
      </c>
      <c r="L65" s="207">
        <f t="shared" ref="L65:O65" si="74">L66+L67</f>
        <v>0</v>
      </c>
      <c r="M65" s="272">
        <f t="shared" si="74"/>
        <v>0</v>
      </c>
      <c r="N65" s="272">
        <f t="shared" si="74"/>
        <v>0</v>
      </c>
      <c r="O65" s="352">
        <f t="shared" si="74"/>
        <v>0</v>
      </c>
      <c r="P65" s="352">
        <f>P66+P67</f>
        <v>0</v>
      </c>
      <c r="Q65" s="352">
        <f t="shared" ref="Q65:W65" si="75">Q66+Q67</f>
        <v>0</v>
      </c>
      <c r="R65" s="352">
        <f t="shared" si="75"/>
        <v>0</v>
      </c>
      <c r="S65" s="352">
        <f t="shared" si="75"/>
        <v>0</v>
      </c>
      <c r="T65" s="352">
        <f t="shared" si="75"/>
        <v>0</v>
      </c>
      <c r="U65" s="352">
        <f t="shared" si="75"/>
        <v>0</v>
      </c>
      <c r="V65" s="352">
        <f t="shared" si="75"/>
        <v>0</v>
      </c>
      <c r="W65" s="131">
        <f t="shared" si="75"/>
        <v>0</v>
      </c>
      <c r="X65" s="132">
        <f>SUM(L65:W65)</f>
        <v>0</v>
      </c>
      <c r="Z65" s="54"/>
    </row>
    <row r="66" spans="1:27">
      <c r="A66" s="70"/>
      <c r="B66" s="74"/>
      <c r="C66" s="404"/>
      <c r="D66" s="402"/>
      <c r="E66" s="402"/>
      <c r="F66" s="402"/>
      <c r="G66" s="402"/>
      <c r="H66" s="402"/>
      <c r="I66" s="402"/>
      <c r="J66" s="398"/>
      <c r="K66" s="159" t="s">
        <v>23</v>
      </c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66"/>
      <c r="X66" s="135">
        <f>SUM(L66:W66)</f>
        <v>0</v>
      </c>
      <c r="Y66" s="105"/>
      <c r="Z66" s="54"/>
    </row>
    <row r="67" spans="1:27">
      <c r="A67" s="70">
        <f t="shared" ref="A67:B67" si="76">+A66</f>
        <v>0</v>
      </c>
      <c r="B67" s="74">
        <f t="shared" si="76"/>
        <v>0</v>
      </c>
      <c r="C67" s="404"/>
      <c r="D67" s="402"/>
      <c r="E67" s="402"/>
      <c r="F67" s="402"/>
      <c r="G67" s="402"/>
      <c r="H67" s="402"/>
      <c r="I67" s="402"/>
      <c r="J67" s="398"/>
      <c r="K67" s="159" t="s">
        <v>24</v>
      </c>
      <c r="L67" s="192"/>
      <c r="M67" s="192"/>
      <c r="N67" s="192"/>
      <c r="O67" s="195"/>
      <c r="P67" s="195"/>
      <c r="Q67" s="195"/>
      <c r="R67" s="195"/>
      <c r="S67" s="195"/>
      <c r="T67" s="195"/>
      <c r="U67" s="195"/>
      <c r="V67" s="195"/>
      <c r="W67" s="181"/>
      <c r="X67" s="135">
        <v>0</v>
      </c>
      <c r="Z67" s="54"/>
    </row>
    <row r="68" spans="1:27">
      <c r="A68" s="70">
        <f t="shared" ref="A68:B68" si="77">+A67</f>
        <v>0</v>
      </c>
      <c r="B68" s="74">
        <f t="shared" si="77"/>
        <v>0</v>
      </c>
      <c r="C68" s="404"/>
      <c r="D68" s="402"/>
      <c r="E68" s="402"/>
      <c r="F68" s="402"/>
      <c r="G68" s="402"/>
      <c r="H68" s="402"/>
      <c r="I68" s="402"/>
      <c r="J68" s="398"/>
      <c r="K68" s="160" t="s">
        <v>25</v>
      </c>
      <c r="L68" s="193">
        <f t="shared" ref="L68:W68" si="78">SUM(L69:L75)</f>
        <v>0</v>
      </c>
      <c r="M68" s="193">
        <f t="shared" si="78"/>
        <v>0</v>
      </c>
      <c r="N68" s="193">
        <f t="shared" si="78"/>
        <v>0</v>
      </c>
      <c r="O68" s="343">
        <f t="shared" si="78"/>
        <v>0</v>
      </c>
      <c r="P68" s="343">
        <f t="shared" si="78"/>
        <v>0</v>
      </c>
      <c r="Q68" s="343">
        <f t="shared" si="78"/>
        <v>0</v>
      </c>
      <c r="R68" s="343">
        <f t="shared" si="78"/>
        <v>0</v>
      </c>
      <c r="S68" s="343">
        <f t="shared" si="78"/>
        <v>0</v>
      </c>
      <c r="T68" s="343">
        <f t="shared" si="78"/>
        <v>0</v>
      </c>
      <c r="U68" s="343">
        <f t="shared" si="78"/>
        <v>0</v>
      </c>
      <c r="V68" s="343">
        <f t="shared" si="78"/>
        <v>0</v>
      </c>
      <c r="W68" s="182">
        <f t="shared" si="78"/>
        <v>0</v>
      </c>
      <c r="X68" s="136">
        <f>SUM(L68:W68)</f>
        <v>0</v>
      </c>
      <c r="Z68" s="54"/>
    </row>
    <row r="69" spans="1:27">
      <c r="A69" s="70">
        <f t="shared" ref="A69:B69" si="79">+A68</f>
        <v>0</v>
      </c>
      <c r="B69" s="74">
        <f t="shared" si="79"/>
        <v>0</v>
      </c>
      <c r="C69" s="404"/>
      <c r="D69" s="402"/>
      <c r="E69" s="402"/>
      <c r="F69" s="402"/>
      <c r="G69" s="402"/>
      <c r="H69" s="402"/>
      <c r="I69" s="402"/>
      <c r="J69" s="398"/>
      <c r="K69" s="161" t="s">
        <v>26</v>
      </c>
      <c r="L69" s="192"/>
      <c r="M69" s="192"/>
      <c r="N69" s="192"/>
      <c r="O69" s="192"/>
      <c r="P69" s="192"/>
      <c r="Q69" s="192"/>
      <c r="R69" s="378"/>
      <c r="S69" s="378"/>
      <c r="T69" s="378"/>
      <c r="U69" s="378"/>
      <c r="V69" s="378"/>
      <c r="W69" s="376"/>
      <c r="X69" s="135">
        <f>SUM(L69:W69)</f>
        <v>0</v>
      </c>
      <c r="Y69" s="105"/>
      <c r="Z69" s="54"/>
    </row>
    <row r="70" spans="1:27">
      <c r="A70" s="70">
        <f t="shared" ref="A70:B70" si="80">+A69</f>
        <v>0</v>
      </c>
      <c r="B70" s="74">
        <f t="shared" si="80"/>
        <v>0</v>
      </c>
      <c r="C70" s="404"/>
      <c r="D70" s="402"/>
      <c r="E70" s="402"/>
      <c r="F70" s="402"/>
      <c r="G70" s="402"/>
      <c r="H70" s="402"/>
      <c r="I70" s="402"/>
      <c r="J70" s="398"/>
      <c r="K70" s="161" t="s">
        <v>33</v>
      </c>
      <c r="L70" s="192"/>
      <c r="M70" s="192"/>
      <c r="N70" s="192"/>
      <c r="O70" s="192"/>
      <c r="P70" s="192"/>
      <c r="Q70" s="192"/>
      <c r="R70" s="378"/>
      <c r="S70" s="378"/>
      <c r="T70" s="378"/>
      <c r="U70" s="378"/>
      <c r="V70" s="378"/>
      <c r="W70" s="376"/>
      <c r="X70" s="135">
        <f t="shared" ref="X70:X75" si="81">SUM(L70:W70)</f>
        <v>0</v>
      </c>
      <c r="Y70" s="105"/>
      <c r="Z70" s="54"/>
    </row>
    <row r="71" spans="1:27">
      <c r="A71" s="70">
        <f t="shared" ref="A71:B71" si="82">+A70</f>
        <v>0</v>
      </c>
      <c r="B71" s="74">
        <f t="shared" si="82"/>
        <v>0</v>
      </c>
      <c r="C71" s="404"/>
      <c r="D71" s="402"/>
      <c r="E71" s="402"/>
      <c r="F71" s="402"/>
      <c r="G71" s="402"/>
      <c r="H71" s="402"/>
      <c r="I71" s="402"/>
      <c r="J71" s="398"/>
      <c r="K71" s="161" t="s">
        <v>27</v>
      </c>
      <c r="L71" s="192"/>
      <c r="M71" s="192"/>
      <c r="N71" s="192"/>
      <c r="O71" s="192"/>
      <c r="P71" s="192"/>
      <c r="Q71" s="192"/>
      <c r="R71" s="378"/>
      <c r="S71" s="378"/>
      <c r="T71" s="378"/>
      <c r="U71" s="378"/>
      <c r="V71" s="378"/>
      <c r="W71" s="376"/>
      <c r="X71" s="135">
        <f t="shared" si="81"/>
        <v>0</v>
      </c>
      <c r="Y71" s="105"/>
      <c r="Z71" s="54"/>
    </row>
    <row r="72" spans="1:27">
      <c r="A72" s="70">
        <f t="shared" ref="A72:B72" si="83">+A71</f>
        <v>0</v>
      </c>
      <c r="B72" s="74">
        <f t="shared" si="83"/>
        <v>0</v>
      </c>
      <c r="C72" s="404"/>
      <c r="D72" s="402"/>
      <c r="E72" s="402"/>
      <c r="F72" s="402"/>
      <c r="G72" s="402"/>
      <c r="H72" s="402"/>
      <c r="I72" s="402"/>
      <c r="J72" s="398"/>
      <c r="K72" s="161" t="s">
        <v>28</v>
      </c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65"/>
      <c r="X72" s="135">
        <f t="shared" si="81"/>
        <v>0</v>
      </c>
      <c r="Y72" s="105"/>
      <c r="Z72" s="54"/>
    </row>
    <row r="73" spans="1:27">
      <c r="A73" s="70">
        <f t="shared" ref="A73:B73" si="84">+A72</f>
        <v>0</v>
      </c>
      <c r="B73" s="74">
        <f t="shared" si="84"/>
        <v>0</v>
      </c>
      <c r="C73" s="404"/>
      <c r="D73" s="402"/>
      <c r="E73" s="402"/>
      <c r="F73" s="402"/>
      <c r="G73" s="402"/>
      <c r="H73" s="402"/>
      <c r="I73" s="402"/>
      <c r="J73" s="398"/>
      <c r="K73" s="161" t="s">
        <v>29</v>
      </c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65"/>
      <c r="X73" s="135">
        <f t="shared" si="81"/>
        <v>0</v>
      </c>
      <c r="Y73" s="105"/>
      <c r="Z73" s="54"/>
    </row>
    <row r="74" spans="1:27">
      <c r="A74" s="70">
        <f t="shared" ref="A74:B74" si="85">+A73</f>
        <v>0</v>
      </c>
      <c r="B74" s="74">
        <f t="shared" si="85"/>
        <v>0</v>
      </c>
      <c r="C74" s="404"/>
      <c r="D74" s="402"/>
      <c r="E74" s="402"/>
      <c r="F74" s="402"/>
      <c r="G74" s="402"/>
      <c r="H74" s="402"/>
      <c r="I74" s="402"/>
      <c r="J74" s="398"/>
      <c r="K74" s="161" t="s">
        <v>30</v>
      </c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65"/>
      <c r="X74" s="135">
        <f t="shared" si="81"/>
        <v>0</v>
      </c>
      <c r="Y74" s="105"/>
      <c r="Z74" s="54"/>
    </row>
    <row r="75" spans="1:27">
      <c r="A75" s="70">
        <f t="shared" ref="A75:B75" si="86">+A74</f>
        <v>0</v>
      </c>
      <c r="B75" s="74">
        <f t="shared" si="86"/>
        <v>0</v>
      </c>
      <c r="C75" s="404"/>
      <c r="D75" s="402"/>
      <c r="E75" s="402"/>
      <c r="F75" s="402"/>
      <c r="G75" s="402"/>
      <c r="H75" s="402"/>
      <c r="I75" s="402"/>
      <c r="J75" s="398"/>
      <c r="K75" s="161" t="s">
        <v>31</v>
      </c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65"/>
      <c r="X75" s="135">
        <f t="shared" si="81"/>
        <v>0</v>
      </c>
      <c r="Y75" s="105"/>
      <c r="Z75" s="54"/>
    </row>
    <row r="76" spans="1:27" ht="12.5" thickBot="1">
      <c r="A76" s="70">
        <f t="shared" ref="A76:B76" si="87">+A75</f>
        <v>0</v>
      </c>
      <c r="B76" s="74">
        <f t="shared" si="87"/>
        <v>0</v>
      </c>
      <c r="C76" s="438"/>
      <c r="D76" s="436"/>
      <c r="E76" s="436"/>
      <c r="F76" s="436"/>
      <c r="G76" s="436"/>
      <c r="H76" s="436"/>
      <c r="I76" s="436"/>
      <c r="J76" s="437"/>
      <c r="K76" s="67" t="s">
        <v>32</v>
      </c>
      <c r="L76" s="197">
        <f t="shared" ref="L76:M76" si="88">L65-L68</f>
        <v>0</v>
      </c>
      <c r="M76" s="268">
        <f t="shared" si="88"/>
        <v>0</v>
      </c>
      <c r="N76" s="268">
        <f>N65-N68</f>
        <v>0</v>
      </c>
      <c r="O76" s="345">
        <f t="shared" ref="O76:W76" si="89">O65-O68</f>
        <v>0</v>
      </c>
      <c r="P76" s="345">
        <f t="shared" si="89"/>
        <v>0</v>
      </c>
      <c r="Q76" s="345">
        <f t="shared" si="89"/>
        <v>0</v>
      </c>
      <c r="R76" s="345">
        <f t="shared" si="89"/>
        <v>0</v>
      </c>
      <c r="S76" s="345">
        <f t="shared" si="89"/>
        <v>0</v>
      </c>
      <c r="T76" s="345">
        <f t="shared" si="89"/>
        <v>0</v>
      </c>
      <c r="U76" s="345">
        <f t="shared" si="89"/>
        <v>0</v>
      </c>
      <c r="V76" s="345">
        <f t="shared" si="89"/>
        <v>0</v>
      </c>
      <c r="W76" s="125">
        <f t="shared" si="89"/>
        <v>0</v>
      </c>
      <c r="X76" s="126">
        <f>X65-X68</f>
        <v>0</v>
      </c>
      <c r="Z76" s="54"/>
    </row>
    <row r="77" spans="1:27" s="1" customFormat="1" ht="12.65" customHeight="1" thickTop="1">
      <c r="A77" s="68"/>
      <c r="B77" s="72"/>
      <c r="C77" s="463"/>
      <c r="D77" s="464"/>
      <c r="E77" s="464"/>
      <c r="F77" s="464"/>
      <c r="G77" s="464"/>
      <c r="H77" s="464"/>
      <c r="I77" s="464"/>
      <c r="J77" s="465"/>
      <c r="K77" s="112" t="s">
        <v>19</v>
      </c>
      <c r="L77" s="387">
        <f>L5+L17+L29+L41+L53+L65</f>
        <v>1415000</v>
      </c>
      <c r="M77" s="333">
        <f t="shared" ref="M77:W77" si="90">M5+M17+M29+M41+M53+M65</f>
        <v>1310000</v>
      </c>
      <c r="N77" s="333">
        <f t="shared" si="90"/>
        <v>1310000</v>
      </c>
      <c r="O77" s="333">
        <f t="shared" si="90"/>
        <v>1310000</v>
      </c>
      <c r="P77" s="333">
        <f t="shared" si="90"/>
        <v>1310000</v>
      </c>
      <c r="Q77" s="333">
        <f t="shared" si="90"/>
        <v>1310000</v>
      </c>
      <c r="R77" s="333">
        <f t="shared" si="90"/>
        <v>1860000</v>
      </c>
      <c r="S77" s="333">
        <f t="shared" si="90"/>
        <v>1848240</v>
      </c>
      <c r="T77" s="333">
        <f t="shared" si="90"/>
        <v>1860000</v>
      </c>
      <c r="U77" s="333">
        <f>U5+U17+U29+U41+U53+U65</f>
        <v>1114920</v>
      </c>
      <c r="V77" s="333">
        <f t="shared" si="90"/>
        <v>1128640</v>
      </c>
      <c r="W77" s="388">
        <f t="shared" si="90"/>
        <v>1160000</v>
      </c>
      <c r="X77" s="127">
        <f>SUM(L77:W77)</f>
        <v>16936800</v>
      </c>
      <c r="Z77" s="54"/>
      <c r="AA77" s="2"/>
    </row>
    <row r="78" spans="1:27" s="1" customFormat="1" ht="12" customHeight="1">
      <c r="A78" s="68"/>
      <c r="B78" s="72"/>
      <c r="C78" s="463"/>
      <c r="D78" s="464"/>
      <c r="E78" s="464"/>
      <c r="F78" s="464"/>
      <c r="G78" s="464"/>
      <c r="H78" s="464"/>
      <c r="I78" s="464"/>
      <c r="J78" s="465"/>
      <c r="K78" s="113" t="s">
        <v>20</v>
      </c>
      <c r="L78" s="215">
        <f>L8+L20+L32+L44+L56+L68</f>
        <v>1100902</v>
      </c>
      <c r="M78" s="199">
        <f t="shared" ref="M78:W78" si="91">M8+M20+M32+M44+M56+M68</f>
        <v>940274</v>
      </c>
      <c r="N78" s="199">
        <f t="shared" si="91"/>
        <v>956967</v>
      </c>
      <c r="O78" s="199">
        <f t="shared" si="91"/>
        <v>994665</v>
      </c>
      <c r="P78" s="199">
        <f t="shared" si="91"/>
        <v>951096</v>
      </c>
      <c r="Q78" s="199">
        <f t="shared" si="91"/>
        <v>987153</v>
      </c>
      <c r="R78" s="199">
        <f t="shared" si="91"/>
        <v>1364855</v>
      </c>
      <c r="S78" s="199">
        <f t="shared" si="91"/>
        <v>1339644</v>
      </c>
      <c r="T78" s="199">
        <f t="shared" si="91"/>
        <v>1668517</v>
      </c>
      <c r="U78" s="199">
        <f>U8+U20+U32+U44+U56+U68</f>
        <v>797595</v>
      </c>
      <c r="V78" s="199">
        <f t="shared" si="91"/>
        <v>796570</v>
      </c>
      <c r="W78" s="389">
        <f t="shared" si="91"/>
        <v>807304</v>
      </c>
      <c r="X78" s="51">
        <f>SUM(L78:W78)</f>
        <v>12705542</v>
      </c>
      <c r="Z78" s="54"/>
      <c r="AA78" s="2"/>
    </row>
    <row r="79" spans="1:27" s="1" customFormat="1" ht="12" customHeight="1">
      <c r="A79" s="68"/>
      <c r="B79" s="72"/>
      <c r="C79" s="466"/>
      <c r="D79" s="467"/>
      <c r="E79" s="467"/>
      <c r="F79" s="467"/>
      <c r="G79" s="467"/>
      <c r="H79" s="467"/>
      <c r="I79" s="467"/>
      <c r="J79" s="468"/>
      <c r="K79" s="117" t="s">
        <v>21</v>
      </c>
      <c r="L79" s="200">
        <f>L77-L78</f>
        <v>314098</v>
      </c>
      <c r="M79" s="262">
        <f t="shared" ref="M79:W79" si="92">M77-M78</f>
        <v>369726</v>
      </c>
      <c r="N79" s="262">
        <f t="shared" si="92"/>
        <v>353033</v>
      </c>
      <c r="O79" s="262">
        <f t="shared" si="92"/>
        <v>315335</v>
      </c>
      <c r="P79" s="262">
        <f t="shared" si="92"/>
        <v>358904</v>
      </c>
      <c r="Q79" s="262">
        <f t="shared" si="92"/>
        <v>322847</v>
      </c>
      <c r="R79" s="262">
        <f t="shared" si="92"/>
        <v>495145</v>
      </c>
      <c r="S79" s="262">
        <f t="shared" si="92"/>
        <v>508596</v>
      </c>
      <c r="T79" s="262">
        <f t="shared" si="92"/>
        <v>191483</v>
      </c>
      <c r="U79" s="262">
        <f t="shared" si="92"/>
        <v>317325</v>
      </c>
      <c r="V79" s="262">
        <f t="shared" si="92"/>
        <v>332070</v>
      </c>
      <c r="W79" s="146">
        <f t="shared" si="92"/>
        <v>352696</v>
      </c>
      <c r="X79" s="52">
        <f>SUM(L79:W79)</f>
        <v>4231258</v>
      </c>
      <c r="Z79" s="54"/>
      <c r="AA79" s="2"/>
    </row>
    <row r="80" spans="1:27" s="9" customFormat="1" ht="14.75" customHeight="1">
      <c r="A80" s="68"/>
      <c r="B80" s="72"/>
      <c r="C80" s="148"/>
      <c r="D80" s="32"/>
      <c r="E80" s="32"/>
      <c r="F80" s="118"/>
      <c r="G80" s="32"/>
      <c r="H80" s="32"/>
      <c r="I80" s="32"/>
      <c r="J80" s="32"/>
      <c r="K80" s="111" t="s">
        <v>40</v>
      </c>
      <c r="L80" s="427">
        <f>SUM(L77:N77)</f>
        <v>4035000</v>
      </c>
      <c r="M80" s="429"/>
      <c r="N80" s="429"/>
      <c r="O80" s="429">
        <f>SUM(O77:Q77)</f>
        <v>3930000</v>
      </c>
      <c r="P80" s="429"/>
      <c r="Q80" s="429"/>
      <c r="R80" s="429">
        <f>SUM(R77:T77)</f>
        <v>5568240</v>
      </c>
      <c r="S80" s="429"/>
      <c r="T80" s="429"/>
      <c r="U80" s="429">
        <f>SUM(U77:W77)</f>
        <v>3403560</v>
      </c>
      <c r="V80" s="429"/>
      <c r="W80" s="472"/>
      <c r="X80" s="55">
        <f>SUM(L80:W80)</f>
        <v>16936800</v>
      </c>
      <c r="Z80" s="54"/>
      <c r="AA80" s="2"/>
    </row>
    <row r="81" spans="1:27" s="9" customFormat="1" ht="14.75" customHeight="1">
      <c r="A81" s="68"/>
      <c r="B81" s="72"/>
      <c r="C81" s="149"/>
      <c r="D81" s="150"/>
      <c r="E81" s="150"/>
      <c r="F81" s="151"/>
      <c r="G81" s="150"/>
      <c r="H81" s="150"/>
      <c r="I81" s="150"/>
      <c r="J81" s="150"/>
      <c r="K81" s="110" t="s">
        <v>41</v>
      </c>
      <c r="L81" s="408">
        <f>SUM(L79:N79)</f>
        <v>1036857</v>
      </c>
      <c r="M81" s="410"/>
      <c r="N81" s="410"/>
      <c r="O81" s="410">
        <f>SUM(O79:Q79)</f>
        <v>997086</v>
      </c>
      <c r="P81" s="410"/>
      <c r="Q81" s="410"/>
      <c r="R81" s="410">
        <f>SUM(R79:T79)</f>
        <v>1195224</v>
      </c>
      <c r="S81" s="410"/>
      <c r="T81" s="410"/>
      <c r="U81" s="410">
        <f>SUM(U79:W79)</f>
        <v>1002091</v>
      </c>
      <c r="V81" s="410"/>
      <c r="W81" s="458"/>
      <c r="X81" s="56">
        <f>SUM(L81:W81)</f>
        <v>4231258</v>
      </c>
      <c r="Z81" s="54"/>
      <c r="AA81" s="2"/>
    </row>
    <row r="89" spans="1:27">
      <c r="Q89" s="2"/>
    </row>
  </sheetData>
  <mergeCells count="58">
    <mergeCell ref="C2:J4"/>
    <mergeCell ref="C5:C16"/>
    <mergeCell ref="D5:D16"/>
    <mergeCell ref="E5:E16"/>
    <mergeCell ref="F5:F16"/>
    <mergeCell ref="G5:G16"/>
    <mergeCell ref="I5:I16"/>
    <mergeCell ref="J5:J16"/>
    <mergeCell ref="H5:H16"/>
    <mergeCell ref="C77:J79"/>
    <mergeCell ref="L80:N80"/>
    <mergeCell ref="U80:W80"/>
    <mergeCell ref="L81:N81"/>
    <mergeCell ref="O81:Q81"/>
    <mergeCell ref="R81:T81"/>
    <mergeCell ref="U81:W81"/>
    <mergeCell ref="O80:Q80"/>
    <mergeCell ref="R80:T80"/>
    <mergeCell ref="H17:H28"/>
    <mergeCell ref="I17:I28"/>
    <mergeCell ref="J17:J28"/>
    <mergeCell ref="C17:C28"/>
    <mergeCell ref="D17:D28"/>
    <mergeCell ref="E17:E28"/>
    <mergeCell ref="F17:F28"/>
    <mergeCell ref="G17:G28"/>
    <mergeCell ref="H29:H40"/>
    <mergeCell ref="I29:I40"/>
    <mergeCell ref="J29:J40"/>
    <mergeCell ref="C29:C40"/>
    <mergeCell ref="D29:D40"/>
    <mergeCell ref="E29:E40"/>
    <mergeCell ref="F29:F40"/>
    <mergeCell ref="G29:G40"/>
    <mergeCell ref="H65:H76"/>
    <mergeCell ref="I65:I76"/>
    <mergeCell ref="J65:J76"/>
    <mergeCell ref="C65:C76"/>
    <mergeCell ref="D65:D76"/>
    <mergeCell ref="E65:E76"/>
    <mergeCell ref="F65:F76"/>
    <mergeCell ref="G65:G76"/>
    <mergeCell ref="H41:H52"/>
    <mergeCell ref="I41:I52"/>
    <mergeCell ref="J41:J52"/>
    <mergeCell ref="C53:C64"/>
    <mergeCell ref="D53:D64"/>
    <mergeCell ref="E53:E64"/>
    <mergeCell ref="F53:F64"/>
    <mergeCell ref="G53:G64"/>
    <mergeCell ref="H53:H64"/>
    <mergeCell ref="I53:I64"/>
    <mergeCell ref="J53:J64"/>
    <mergeCell ref="C41:C52"/>
    <mergeCell ref="D41:D52"/>
    <mergeCell ref="E41:E52"/>
    <mergeCell ref="F41:F52"/>
    <mergeCell ref="G41:G52"/>
  </mergeCells>
  <phoneticPr fontId="12"/>
  <printOptions horizontalCentered="1"/>
  <pageMargins left="0.70866141732283472" right="0.70866141732283472" top="0.74803149606299213" bottom="0.74803149606299213" header="0.31496062992125984" footer="0.31496062992125984"/>
  <pageSetup paperSize="8" scale="66" fitToHeight="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1">
    <pageSetUpPr fitToPage="1"/>
  </sheetPr>
  <dimension ref="A1:AA449"/>
  <sheetViews>
    <sheetView showGridLines="0" tabSelected="1" zoomScale="80" zoomScaleNormal="80" zoomScaleSheetLayoutView="70" workbookViewId="0">
      <pane xSplit="11" ySplit="4" topLeftCell="L5" activePane="bottomRight" state="frozen"/>
      <selection sqref="A1:C1"/>
      <selection pane="topRight" sqref="A1:C1"/>
      <selection pane="bottomLeft" sqref="A1:C1"/>
      <selection pane="bottomRight" activeCell="G17" sqref="G17:G28"/>
    </sheetView>
  </sheetViews>
  <sheetFormatPr defaultRowHeight="12"/>
  <cols>
    <col min="1" max="1" width="10" style="71" customWidth="1"/>
    <col min="2" max="2" width="10" style="73" customWidth="1"/>
    <col min="3" max="3" width="4.90625" style="12" customWidth="1"/>
    <col min="4" max="4" width="9" style="12" customWidth="1"/>
    <col min="5" max="5" width="5.08984375" style="12" customWidth="1"/>
    <col min="6" max="6" width="9.6328125" style="118" customWidth="1"/>
    <col min="7" max="7" width="12.453125" style="12" customWidth="1"/>
    <col min="8" max="8" width="11.90625" style="12" customWidth="1"/>
    <col min="9" max="9" width="11.08984375" style="12" customWidth="1"/>
    <col min="10" max="10" width="10" style="12" customWidth="1"/>
    <col min="11" max="11" width="10.90625" style="12" customWidth="1"/>
    <col min="12" max="23" width="13.08984375" style="12" customWidth="1"/>
    <col min="24" max="24" width="16.453125" style="12" customWidth="1"/>
    <col min="25" max="25" width="10.90625" style="2" bestFit="1" customWidth="1"/>
    <col min="26" max="26" width="11" style="9" bestFit="1" customWidth="1"/>
    <col min="27" max="259" width="9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9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9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9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9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9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9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9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9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9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9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9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9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9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9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9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9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9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9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9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9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9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9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9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9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9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9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9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9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9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9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9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9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9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9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9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9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9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9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9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9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9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9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9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9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9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9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9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9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9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9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9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9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9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9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9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9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9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9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9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9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9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9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9" style="2"/>
  </cols>
  <sheetData>
    <row r="1" spans="1:26" s="1" customFormat="1" ht="36">
      <c r="A1" s="1" t="s">
        <v>42</v>
      </c>
      <c r="B1" s="1" t="s">
        <v>43</v>
      </c>
      <c r="C1" s="75" t="s">
        <v>35</v>
      </c>
      <c r="D1" s="76" t="s">
        <v>78</v>
      </c>
      <c r="E1" s="76" t="s">
        <v>0</v>
      </c>
      <c r="F1" s="77" t="s">
        <v>1</v>
      </c>
      <c r="G1" s="77" t="s">
        <v>36</v>
      </c>
      <c r="H1" s="77" t="s">
        <v>2</v>
      </c>
      <c r="I1" s="78" t="s">
        <v>3</v>
      </c>
      <c r="J1" s="79" t="s">
        <v>4</v>
      </c>
      <c r="K1" s="10" t="s">
        <v>5</v>
      </c>
      <c r="L1" s="128" t="s">
        <v>6</v>
      </c>
      <c r="M1" s="130" t="s">
        <v>7</v>
      </c>
      <c r="N1" s="130" t="s">
        <v>8</v>
      </c>
      <c r="O1" s="130" t="s">
        <v>9</v>
      </c>
      <c r="P1" s="130" t="s">
        <v>10</v>
      </c>
      <c r="Q1" s="130" t="s">
        <v>11</v>
      </c>
      <c r="R1" s="130" t="s">
        <v>12</v>
      </c>
      <c r="S1" s="130" t="s">
        <v>13</v>
      </c>
      <c r="T1" s="130" t="s">
        <v>14</v>
      </c>
      <c r="U1" s="130" t="s">
        <v>15</v>
      </c>
      <c r="V1" s="130" t="s">
        <v>16</v>
      </c>
      <c r="W1" s="139" t="s">
        <v>17</v>
      </c>
      <c r="X1" s="107" t="s">
        <v>18</v>
      </c>
    </row>
    <row r="2" spans="1:26" s="1" customFormat="1">
      <c r="A2" s="68"/>
      <c r="B2" s="72"/>
      <c r="C2" s="412" t="s">
        <v>49</v>
      </c>
      <c r="D2" s="413"/>
      <c r="E2" s="413"/>
      <c r="F2" s="413"/>
      <c r="G2" s="413"/>
      <c r="H2" s="413"/>
      <c r="I2" s="413"/>
      <c r="J2" s="414"/>
      <c r="K2" s="112" t="s">
        <v>19</v>
      </c>
      <c r="L2" s="188">
        <f>L437</f>
        <v>15296635</v>
      </c>
      <c r="M2" s="263">
        <f t="shared" ref="M2:W3" si="0">M437</f>
        <v>15169568</v>
      </c>
      <c r="N2" s="263">
        <f>N437</f>
        <v>15036952</v>
      </c>
      <c r="O2" s="263">
        <f t="shared" si="0"/>
        <v>14494274</v>
      </c>
      <c r="P2" s="263">
        <f t="shared" si="0"/>
        <v>15036071</v>
      </c>
      <c r="Q2" s="263">
        <f t="shared" si="0"/>
        <v>14992235</v>
      </c>
      <c r="R2" s="263">
        <f t="shared" si="0"/>
        <v>16934444</v>
      </c>
      <c r="S2" s="263">
        <f t="shared" si="0"/>
        <v>16483052</v>
      </c>
      <c r="T2" s="263">
        <f t="shared" si="0"/>
        <v>16576200</v>
      </c>
      <c r="U2" s="263">
        <f t="shared" si="0"/>
        <v>16494038</v>
      </c>
      <c r="V2" s="263">
        <f t="shared" si="0"/>
        <v>16589573</v>
      </c>
      <c r="W2" s="140">
        <f t="shared" si="0"/>
        <v>17058000</v>
      </c>
      <c r="X2" s="46">
        <f>SUM(L2:W2)</f>
        <v>190161042</v>
      </c>
      <c r="Z2" s="53"/>
    </row>
    <row r="3" spans="1:26" s="1" customFormat="1">
      <c r="A3" s="68"/>
      <c r="B3" s="72"/>
      <c r="C3" s="415"/>
      <c r="D3" s="416"/>
      <c r="E3" s="416"/>
      <c r="F3" s="416"/>
      <c r="G3" s="416"/>
      <c r="H3" s="416"/>
      <c r="I3" s="416"/>
      <c r="J3" s="417"/>
      <c r="K3" s="113" t="s">
        <v>20</v>
      </c>
      <c r="L3" s="189">
        <f>L438</f>
        <v>11533697</v>
      </c>
      <c r="M3" s="264">
        <f t="shared" si="0"/>
        <v>11415957</v>
      </c>
      <c r="N3" s="264">
        <f>N438</f>
        <v>11483797</v>
      </c>
      <c r="O3" s="264">
        <f t="shared" si="0"/>
        <v>11210893</v>
      </c>
      <c r="P3" s="264">
        <f t="shared" si="0"/>
        <v>11651075.033199562</v>
      </c>
      <c r="Q3" s="264">
        <f t="shared" si="0"/>
        <v>11575752.659998834</v>
      </c>
      <c r="R3" s="264">
        <f t="shared" si="0"/>
        <v>13177584.749039352</v>
      </c>
      <c r="S3" s="264">
        <f t="shared" si="0"/>
        <v>13185712.090121318</v>
      </c>
      <c r="T3" s="264">
        <f t="shared" si="0"/>
        <v>13238879.119255485</v>
      </c>
      <c r="U3" s="264">
        <f t="shared" si="0"/>
        <v>13333239.138122022</v>
      </c>
      <c r="V3" s="264">
        <f t="shared" si="0"/>
        <v>13350084.145006016</v>
      </c>
      <c r="W3" s="141">
        <f t="shared" si="0"/>
        <v>13892901.111111112</v>
      </c>
      <c r="X3" s="47">
        <f>SUM(L3:W3)</f>
        <v>149049572.04585367</v>
      </c>
      <c r="Z3" s="53"/>
    </row>
    <row r="4" spans="1:26" s="1" customFormat="1" ht="12.5" thickBot="1">
      <c r="A4" s="68"/>
      <c r="B4" s="72"/>
      <c r="C4" s="418"/>
      <c r="D4" s="419"/>
      <c r="E4" s="419"/>
      <c r="F4" s="419"/>
      <c r="G4" s="419"/>
      <c r="H4" s="419"/>
      <c r="I4" s="419"/>
      <c r="J4" s="420"/>
      <c r="K4" s="114" t="s">
        <v>21</v>
      </c>
      <c r="L4" s="190">
        <f t="shared" ref="L4:W4" si="1">L2-L3</f>
        <v>3762938</v>
      </c>
      <c r="M4" s="265">
        <f t="shared" si="1"/>
        <v>3753611</v>
      </c>
      <c r="N4" s="265">
        <f>N2-N3</f>
        <v>3553155</v>
      </c>
      <c r="O4" s="265">
        <f t="shared" si="1"/>
        <v>3283381</v>
      </c>
      <c r="P4" s="265">
        <f t="shared" si="1"/>
        <v>3384995.9668004382</v>
      </c>
      <c r="Q4" s="265">
        <f t="shared" si="1"/>
        <v>3416482.3400011659</v>
      </c>
      <c r="R4" s="265">
        <f t="shared" si="1"/>
        <v>3756859.2509606481</v>
      </c>
      <c r="S4" s="265">
        <f t="shared" si="1"/>
        <v>3297339.9098786823</v>
      </c>
      <c r="T4" s="265">
        <f t="shared" si="1"/>
        <v>3337320.880744515</v>
      </c>
      <c r="U4" s="265">
        <f t="shared" si="1"/>
        <v>3160798.8618779778</v>
      </c>
      <c r="V4" s="265">
        <f t="shared" si="1"/>
        <v>3239488.8549939841</v>
      </c>
      <c r="W4" s="142">
        <f t="shared" si="1"/>
        <v>3165098.8888888881</v>
      </c>
      <c r="X4" s="48">
        <f>SUM(L4:W4)</f>
        <v>41111469.954146296</v>
      </c>
      <c r="Z4" s="53"/>
    </row>
    <row r="5" spans="1:26" ht="12.75" customHeight="1" thickTop="1">
      <c r="A5" s="69">
        <v>2019035</v>
      </c>
      <c r="C5" s="404">
        <f>1</f>
        <v>1</v>
      </c>
      <c r="D5" s="402" t="s">
        <v>65</v>
      </c>
      <c r="E5" s="402"/>
      <c r="F5" s="402"/>
      <c r="G5" s="402"/>
      <c r="H5" s="402"/>
      <c r="I5" s="507" t="s">
        <v>64</v>
      </c>
      <c r="J5" s="398" t="s">
        <v>56</v>
      </c>
      <c r="K5" s="115" t="s">
        <v>22</v>
      </c>
      <c r="L5" s="209">
        <f t="shared" ref="L5:W5" si="2">L6+L7</f>
        <v>820000</v>
      </c>
      <c r="M5" s="274">
        <f t="shared" si="2"/>
        <v>820000</v>
      </c>
      <c r="N5" s="274">
        <f t="shared" si="2"/>
        <v>820000</v>
      </c>
      <c r="O5" s="346">
        <f t="shared" si="2"/>
        <v>820000</v>
      </c>
      <c r="P5" s="346">
        <f t="shared" si="2"/>
        <v>820000</v>
      </c>
      <c r="Q5" s="346">
        <f t="shared" si="2"/>
        <v>820000</v>
      </c>
      <c r="R5" s="346">
        <f t="shared" si="2"/>
        <v>820000</v>
      </c>
      <c r="S5" s="346">
        <f t="shared" si="2"/>
        <v>820000</v>
      </c>
      <c r="T5" s="346">
        <f t="shared" si="2"/>
        <v>820000</v>
      </c>
      <c r="U5" s="346">
        <f t="shared" si="2"/>
        <v>820000</v>
      </c>
      <c r="V5" s="346">
        <f t="shared" si="2"/>
        <v>820000</v>
      </c>
      <c r="W5" s="143">
        <f t="shared" si="2"/>
        <v>820000</v>
      </c>
      <c r="X5" s="144">
        <f>SUM(L5:W5)</f>
        <v>9840000</v>
      </c>
      <c r="Z5" s="54"/>
    </row>
    <row r="6" spans="1:26">
      <c r="A6" s="70">
        <f t="shared" ref="A6:A16" si="3">+A5</f>
        <v>2019035</v>
      </c>
      <c r="B6" s="74"/>
      <c r="C6" s="404"/>
      <c r="D6" s="402"/>
      <c r="E6" s="402"/>
      <c r="F6" s="402"/>
      <c r="G6" s="402"/>
      <c r="H6" s="402"/>
      <c r="I6" s="507"/>
      <c r="J6" s="398"/>
      <c r="K6" s="62" t="s">
        <v>23</v>
      </c>
      <c r="L6" s="224">
        <v>820000</v>
      </c>
      <c r="M6" s="224">
        <v>820000</v>
      </c>
      <c r="N6" s="224">
        <v>820000</v>
      </c>
      <c r="O6" s="224">
        <v>820000</v>
      </c>
      <c r="P6" s="224">
        <v>820000</v>
      </c>
      <c r="Q6" s="224">
        <v>820000</v>
      </c>
      <c r="R6" s="224">
        <v>820000</v>
      </c>
      <c r="S6" s="224">
        <v>820000</v>
      </c>
      <c r="T6" s="224">
        <v>820000</v>
      </c>
      <c r="U6" s="224">
        <v>820000</v>
      </c>
      <c r="V6" s="224">
        <v>820000</v>
      </c>
      <c r="W6" s="88">
        <v>820000</v>
      </c>
      <c r="X6" s="135">
        <f>SUM(L6:W6)</f>
        <v>9840000</v>
      </c>
      <c r="Z6" s="54"/>
    </row>
    <row r="7" spans="1:26">
      <c r="A7" s="70">
        <f t="shared" si="3"/>
        <v>2019035</v>
      </c>
      <c r="B7" s="74"/>
      <c r="C7" s="404"/>
      <c r="D7" s="402"/>
      <c r="E7" s="402"/>
      <c r="F7" s="402"/>
      <c r="G7" s="402"/>
      <c r="H7" s="402"/>
      <c r="I7" s="507"/>
      <c r="J7" s="398"/>
      <c r="K7" s="62" t="s">
        <v>24</v>
      </c>
      <c r="L7" s="211"/>
      <c r="M7" s="210"/>
      <c r="N7" s="210"/>
      <c r="O7" s="347"/>
      <c r="P7" s="347"/>
      <c r="Q7" s="347"/>
      <c r="R7" s="347"/>
      <c r="S7" s="347"/>
      <c r="T7" s="347"/>
      <c r="U7" s="347"/>
      <c r="V7" s="347"/>
      <c r="W7" s="133"/>
      <c r="X7" s="135">
        <v>0</v>
      </c>
      <c r="Z7" s="54"/>
    </row>
    <row r="8" spans="1:26">
      <c r="A8" s="70">
        <f t="shared" si="3"/>
        <v>2019035</v>
      </c>
      <c r="B8" s="74"/>
      <c r="C8" s="404"/>
      <c r="D8" s="402"/>
      <c r="E8" s="402"/>
      <c r="F8" s="402"/>
      <c r="G8" s="402"/>
      <c r="H8" s="402"/>
      <c r="I8" s="507"/>
      <c r="J8" s="398"/>
      <c r="K8" s="63" t="s">
        <v>25</v>
      </c>
      <c r="L8" s="219">
        <f t="shared" ref="L8:W8" si="4">SUM(L9:L15)</f>
        <v>700693</v>
      </c>
      <c r="M8" s="279">
        <f t="shared" si="4"/>
        <v>700693</v>
      </c>
      <c r="N8" s="279">
        <f t="shared" si="4"/>
        <v>701098</v>
      </c>
      <c r="O8" s="350">
        <f t="shared" si="4"/>
        <v>702152</v>
      </c>
      <c r="P8" s="350">
        <f t="shared" si="4"/>
        <v>699481</v>
      </c>
      <c r="Q8" s="350">
        <f t="shared" si="4"/>
        <v>705133</v>
      </c>
      <c r="R8" s="350">
        <f>SUM(R9:R15)</f>
        <v>705133</v>
      </c>
      <c r="S8" s="350">
        <f t="shared" si="4"/>
        <v>704325</v>
      </c>
      <c r="T8" s="350">
        <f t="shared" si="4"/>
        <v>705133</v>
      </c>
      <c r="U8" s="350">
        <f t="shared" si="4"/>
        <v>704325</v>
      </c>
      <c r="V8" s="350">
        <f t="shared" si="4"/>
        <v>704103</v>
      </c>
      <c r="W8" s="134">
        <f t="shared" si="4"/>
        <v>699475.22222222213</v>
      </c>
      <c r="X8" s="136">
        <f>SUM(L8:W8)</f>
        <v>8431744.222222222</v>
      </c>
      <c r="Z8" s="54"/>
    </row>
    <row r="9" spans="1:26">
      <c r="A9" s="70">
        <f t="shared" si="3"/>
        <v>2019035</v>
      </c>
      <c r="B9" s="74"/>
      <c r="C9" s="404"/>
      <c r="D9" s="402"/>
      <c r="E9" s="402"/>
      <c r="F9" s="402"/>
      <c r="G9" s="402"/>
      <c r="H9" s="402"/>
      <c r="I9" s="507"/>
      <c r="J9" s="398"/>
      <c r="K9" s="161" t="s">
        <v>26</v>
      </c>
      <c r="L9" s="203">
        <v>607000</v>
      </c>
      <c r="M9" s="203">
        <v>607000</v>
      </c>
      <c r="N9" s="203">
        <v>607400</v>
      </c>
      <c r="O9" s="203">
        <v>607400</v>
      </c>
      <c r="P9" s="203">
        <v>605800</v>
      </c>
      <c r="Q9" s="203">
        <v>607000</v>
      </c>
      <c r="R9" s="203">
        <v>607000</v>
      </c>
      <c r="S9" s="203">
        <v>606200</v>
      </c>
      <c r="T9" s="203">
        <v>607000</v>
      </c>
      <c r="U9" s="203">
        <v>606200</v>
      </c>
      <c r="V9" s="203">
        <v>605800</v>
      </c>
      <c r="W9" s="170">
        <v>604911.11111111112</v>
      </c>
      <c r="X9" s="135">
        <f t="shared" ref="X9:X15" si="5">SUM(L9:W9)</f>
        <v>7278711.111111111</v>
      </c>
      <c r="Y9" s="105"/>
      <c r="Z9" s="54"/>
    </row>
    <row r="10" spans="1:26">
      <c r="A10" s="70">
        <f t="shared" si="3"/>
        <v>2019035</v>
      </c>
      <c r="B10" s="74"/>
      <c r="C10" s="404"/>
      <c r="D10" s="402"/>
      <c r="E10" s="402"/>
      <c r="F10" s="402"/>
      <c r="G10" s="402"/>
      <c r="H10" s="402"/>
      <c r="I10" s="507"/>
      <c r="J10" s="398"/>
      <c r="K10" s="161" t="s">
        <v>33</v>
      </c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170"/>
      <c r="X10" s="135">
        <f t="shared" si="5"/>
        <v>0</v>
      </c>
      <c r="Y10" s="105"/>
      <c r="Z10" s="54"/>
    </row>
    <row r="11" spans="1:26">
      <c r="A11" s="70">
        <f t="shared" si="3"/>
        <v>2019035</v>
      </c>
      <c r="B11" s="74"/>
      <c r="C11" s="404"/>
      <c r="D11" s="402"/>
      <c r="E11" s="402"/>
      <c r="F11" s="402"/>
      <c r="G11" s="402"/>
      <c r="H11" s="402"/>
      <c r="I11" s="507"/>
      <c r="J11" s="398"/>
      <c r="K11" s="161" t="s">
        <v>27</v>
      </c>
      <c r="L11" s="203">
        <v>0</v>
      </c>
      <c r="M11" s="203">
        <v>0</v>
      </c>
      <c r="N11" s="203">
        <v>0</v>
      </c>
      <c r="O11" s="203">
        <v>1044</v>
      </c>
      <c r="P11" s="203">
        <v>0</v>
      </c>
      <c r="Q11" s="203">
        <v>0</v>
      </c>
      <c r="R11" s="203">
        <v>0</v>
      </c>
      <c r="S11" s="203">
        <v>0</v>
      </c>
      <c r="T11" s="203">
        <v>0</v>
      </c>
      <c r="U11" s="203">
        <v>0</v>
      </c>
      <c r="V11" s="203">
        <v>0</v>
      </c>
      <c r="W11" s="170">
        <v>0</v>
      </c>
      <c r="X11" s="135">
        <f t="shared" si="5"/>
        <v>1044</v>
      </c>
      <c r="Y11" s="105"/>
      <c r="Z11" s="54"/>
    </row>
    <row r="12" spans="1:26">
      <c r="A12" s="70">
        <f t="shared" si="3"/>
        <v>2019035</v>
      </c>
      <c r="B12" s="74"/>
      <c r="C12" s="404"/>
      <c r="D12" s="402"/>
      <c r="E12" s="402"/>
      <c r="F12" s="402"/>
      <c r="G12" s="402"/>
      <c r="H12" s="402"/>
      <c r="I12" s="507"/>
      <c r="J12" s="398"/>
      <c r="K12" s="161" t="s">
        <v>28</v>
      </c>
      <c r="L12" s="203">
        <v>33335</v>
      </c>
      <c r="M12" s="203">
        <v>33335</v>
      </c>
      <c r="N12" s="203">
        <v>33335</v>
      </c>
      <c r="O12" s="203">
        <v>33335</v>
      </c>
      <c r="P12" s="203">
        <v>33335</v>
      </c>
      <c r="Q12" s="203">
        <v>35030</v>
      </c>
      <c r="R12" s="203">
        <v>35030</v>
      </c>
      <c r="S12" s="203">
        <v>35030</v>
      </c>
      <c r="T12" s="203">
        <v>35030</v>
      </c>
      <c r="U12" s="203">
        <v>35030</v>
      </c>
      <c r="V12" s="203">
        <v>35030</v>
      </c>
      <c r="W12" s="170">
        <v>33925</v>
      </c>
      <c r="X12" s="135">
        <f t="shared" si="5"/>
        <v>410780</v>
      </c>
      <c r="Y12" s="105"/>
      <c r="Z12" s="54"/>
    </row>
    <row r="13" spans="1:26">
      <c r="A13" s="70">
        <f t="shared" si="3"/>
        <v>2019035</v>
      </c>
      <c r="B13" s="74"/>
      <c r="C13" s="404"/>
      <c r="D13" s="402"/>
      <c r="E13" s="402"/>
      <c r="F13" s="402"/>
      <c r="G13" s="402"/>
      <c r="H13" s="402"/>
      <c r="I13" s="507"/>
      <c r="J13" s="398"/>
      <c r="K13" s="161" t="s">
        <v>29</v>
      </c>
      <c r="L13" s="203">
        <v>53985</v>
      </c>
      <c r="M13" s="203">
        <v>53985</v>
      </c>
      <c r="N13" s="203">
        <v>53985</v>
      </c>
      <c r="O13" s="203">
        <v>53985</v>
      </c>
      <c r="P13" s="203">
        <v>53985</v>
      </c>
      <c r="Q13" s="203">
        <v>56730</v>
      </c>
      <c r="R13" s="203">
        <v>56730</v>
      </c>
      <c r="S13" s="203">
        <v>56730</v>
      </c>
      <c r="T13" s="203">
        <v>56730</v>
      </c>
      <c r="U13" s="203">
        <v>56730</v>
      </c>
      <c r="V13" s="203">
        <v>56730</v>
      </c>
      <c r="W13" s="170">
        <v>53985</v>
      </c>
      <c r="X13" s="135">
        <f t="shared" si="5"/>
        <v>664290</v>
      </c>
      <c r="Y13" s="105"/>
      <c r="Z13" s="54"/>
    </row>
    <row r="14" spans="1:26">
      <c r="A14" s="70">
        <f t="shared" si="3"/>
        <v>2019035</v>
      </c>
      <c r="B14" s="74"/>
      <c r="C14" s="404"/>
      <c r="D14" s="402"/>
      <c r="E14" s="402"/>
      <c r="F14" s="402"/>
      <c r="G14" s="402"/>
      <c r="H14" s="402"/>
      <c r="I14" s="507"/>
      <c r="J14" s="398"/>
      <c r="K14" s="161" t="s">
        <v>30</v>
      </c>
      <c r="L14" s="203">
        <v>3035</v>
      </c>
      <c r="M14" s="203">
        <v>3035</v>
      </c>
      <c r="N14" s="203">
        <v>3037</v>
      </c>
      <c r="O14" s="203">
        <v>3042</v>
      </c>
      <c r="P14" s="203">
        <v>3029</v>
      </c>
      <c r="Q14" s="203">
        <v>3035</v>
      </c>
      <c r="R14" s="203">
        <v>3035</v>
      </c>
      <c r="S14" s="203">
        <v>3031</v>
      </c>
      <c r="T14" s="203">
        <v>3035</v>
      </c>
      <c r="U14" s="203">
        <v>3031</v>
      </c>
      <c r="V14" s="203">
        <v>3116</v>
      </c>
      <c r="W14" s="170">
        <v>3024.5555555555557</v>
      </c>
      <c r="X14" s="135">
        <f t="shared" si="5"/>
        <v>36485.555555555555</v>
      </c>
      <c r="Y14" s="105"/>
      <c r="Z14" s="54"/>
    </row>
    <row r="15" spans="1:26">
      <c r="A15" s="70">
        <f t="shared" si="3"/>
        <v>2019035</v>
      </c>
      <c r="B15" s="74"/>
      <c r="C15" s="404"/>
      <c r="D15" s="402"/>
      <c r="E15" s="402"/>
      <c r="F15" s="402"/>
      <c r="G15" s="402"/>
      <c r="H15" s="402"/>
      <c r="I15" s="507"/>
      <c r="J15" s="398"/>
      <c r="K15" s="161" t="s">
        <v>31</v>
      </c>
      <c r="L15" s="203">
        <v>3338</v>
      </c>
      <c r="M15" s="203">
        <v>3338</v>
      </c>
      <c r="N15" s="203">
        <v>3341</v>
      </c>
      <c r="O15" s="203">
        <v>3346</v>
      </c>
      <c r="P15" s="203">
        <v>3332</v>
      </c>
      <c r="Q15" s="203">
        <v>3338</v>
      </c>
      <c r="R15" s="203">
        <v>3338</v>
      </c>
      <c r="S15" s="203">
        <v>3334</v>
      </c>
      <c r="T15" s="203">
        <v>3338</v>
      </c>
      <c r="U15" s="203">
        <v>3334</v>
      </c>
      <c r="V15" s="203">
        <v>3427</v>
      </c>
      <c r="W15" s="170">
        <v>3629.5555555555557</v>
      </c>
      <c r="X15" s="135">
        <f t="shared" si="5"/>
        <v>40433.555555555555</v>
      </c>
      <c r="Y15" s="105"/>
      <c r="Z15" s="54"/>
    </row>
    <row r="16" spans="1:26">
      <c r="A16" s="70">
        <f t="shared" si="3"/>
        <v>2019035</v>
      </c>
      <c r="B16" s="74"/>
      <c r="C16" s="405"/>
      <c r="D16" s="403"/>
      <c r="E16" s="403"/>
      <c r="F16" s="403"/>
      <c r="G16" s="403"/>
      <c r="H16" s="403"/>
      <c r="I16" s="508"/>
      <c r="J16" s="399"/>
      <c r="K16" s="65" t="s">
        <v>32</v>
      </c>
      <c r="L16" s="194">
        <f t="shared" ref="L16:X16" si="6">L5-L8</f>
        <v>119307</v>
      </c>
      <c r="M16" s="267">
        <f t="shared" si="6"/>
        <v>119307</v>
      </c>
      <c r="N16" s="267">
        <f t="shared" si="6"/>
        <v>118902</v>
      </c>
      <c r="O16" s="344">
        <f t="shared" si="6"/>
        <v>117848</v>
      </c>
      <c r="P16" s="344">
        <f t="shared" si="6"/>
        <v>120519</v>
      </c>
      <c r="Q16" s="344">
        <f>Q5-Q8</f>
        <v>114867</v>
      </c>
      <c r="R16" s="344">
        <f>R5-R8</f>
        <v>114867</v>
      </c>
      <c r="S16" s="344">
        <f t="shared" si="6"/>
        <v>115675</v>
      </c>
      <c r="T16" s="344">
        <f t="shared" si="6"/>
        <v>114867</v>
      </c>
      <c r="U16" s="344">
        <f t="shared" si="6"/>
        <v>115675</v>
      </c>
      <c r="V16" s="344">
        <f t="shared" si="6"/>
        <v>115897</v>
      </c>
      <c r="W16" s="129">
        <f t="shared" si="6"/>
        <v>120524.77777777787</v>
      </c>
      <c r="X16" s="50">
        <f t="shared" si="6"/>
        <v>1408255.777777778</v>
      </c>
      <c r="Z16" s="54"/>
    </row>
    <row r="17" spans="1:26" ht="12.75" customHeight="1">
      <c r="A17" s="101">
        <v>2015013</v>
      </c>
      <c r="C17" s="433">
        <f>C5+1</f>
        <v>2</v>
      </c>
      <c r="D17" s="432" t="s">
        <v>65</v>
      </c>
      <c r="E17" s="432"/>
      <c r="F17" s="434"/>
      <c r="G17" s="432"/>
      <c r="H17" s="432"/>
      <c r="I17" s="499" t="s">
        <v>53</v>
      </c>
      <c r="J17" s="397" t="s">
        <v>56</v>
      </c>
      <c r="K17" s="61" t="s">
        <v>22</v>
      </c>
      <c r="L17" s="213">
        <f t="shared" ref="L17:W17" si="7">L18+L19</f>
        <v>800000</v>
      </c>
      <c r="M17" s="275">
        <f t="shared" si="7"/>
        <v>800000</v>
      </c>
      <c r="N17" s="275">
        <f t="shared" si="7"/>
        <v>800000</v>
      </c>
      <c r="O17" s="353">
        <f t="shared" si="7"/>
        <v>800000</v>
      </c>
      <c r="P17" s="353">
        <f t="shared" si="7"/>
        <v>800000</v>
      </c>
      <c r="Q17" s="353">
        <f t="shared" si="7"/>
        <v>800000</v>
      </c>
      <c r="R17" s="353">
        <f t="shared" si="7"/>
        <v>800000</v>
      </c>
      <c r="S17" s="353">
        <f t="shared" si="7"/>
        <v>800000</v>
      </c>
      <c r="T17" s="353">
        <f t="shared" si="7"/>
        <v>800000</v>
      </c>
      <c r="U17" s="353">
        <f t="shared" si="7"/>
        <v>800000</v>
      </c>
      <c r="V17" s="353">
        <f t="shared" si="7"/>
        <v>800000</v>
      </c>
      <c r="W17" s="131">
        <f t="shared" si="7"/>
        <v>800000</v>
      </c>
      <c r="X17" s="132">
        <f>SUM(L17:W17)</f>
        <v>9600000</v>
      </c>
      <c r="Z17" s="54"/>
    </row>
    <row r="18" spans="1:26">
      <c r="A18" s="70">
        <f t="shared" ref="A18:A28" si="8">+A17</f>
        <v>2015013</v>
      </c>
      <c r="B18" s="74"/>
      <c r="C18" s="404"/>
      <c r="D18" s="402"/>
      <c r="E18" s="402"/>
      <c r="F18" s="406"/>
      <c r="G18" s="402"/>
      <c r="H18" s="402"/>
      <c r="I18" s="495"/>
      <c r="J18" s="398"/>
      <c r="K18" s="62" t="s">
        <v>23</v>
      </c>
      <c r="L18" s="196">
        <v>800000</v>
      </c>
      <c r="M18" s="212">
        <v>800000</v>
      </c>
      <c r="N18" s="212">
        <v>800000</v>
      </c>
      <c r="O18" s="212">
        <v>800000</v>
      </c>
      <c r="P18" s="212">
        <v>800000</v>
      </c>
      <c r="Q18" s="212">
        <v>800000</v>
      </c>
      <c r="R18" s="212">
        <v>800000</v>
      </c>
      <c r="S18" s="212">
        <v>800000</v>
      </c>
      <c r="T18" s="212">
        <v>800000</v>
      </c>
      <c r="U18" s="212">
        <v>800000</v>
      </c>
      <c r="V18" s="212">
        <v>800000</v>
      </c>
      <c r="W18" s="36">
        <v>800000</v>
      </c>
      <c r="X18" s="135">
        <f>SUM(L18:W18)</f>
        <v>9600000</v>
      </c>
      <c r="Z18" s="54"/>
    </row>
    <row r="19" spans="1:26">
      <c r="A19" s="70">
        <f t="shared" si="8"/>
        <v>2015013</v>
      </c>
      <c r="B19" s="74"/>
      <c r="C19" s="404"/>
      <c r="D19" s="402"/>
      <c r="E19" s="402"/>
      <c r="F19" s="406"/>
      <c r="G19" s="402"/>
      <c r="H19" s="402"/>
      <c r="I19" s="495"/>
      <c r="J19" s="398"/>
      <c r="K19" s="62" t="s">
        <v>24</v>
      </c>
      <c r="L19" s="214"/>
      <c r="M19" s="210"/>
      <c r="N19" s="210"/>
      <c r="O19" s="347"/>
      <c r="P19" s="347"/>
      <c r="Q19" s="347"/>
      <c r="R19" s="347"/>
      <c r="S19" s="347"/>
      <c r="T19" s="347"/>
      <c r="U19" s="347"/>
      <c r="V19" s="347"/>
      <c r="W19" s="133"/>
      <c r="X19" s="135">
        <v>0</v>
      </c>
      <c r="Z19" s="54"/>
    </row>
    <row r="20" spans="1:26">
      <c r="A20" s="70">
        <f t="shared" si="8"/>
        <v>2015013</v>
      </c>
      <c r="B20" s="74"/>
      <c r="C20" s="404"/>
      <c r="D20" s="402"/>
      <c r="E20" s="402"/>
      <c r="F20" s="406"/>
      <c r="G20" s="402"/>
      <c r="H20" s="402"/>
      <c r="I20" s="495"/>
      <c r="J20" s="398"/>
      <c r="K20" s="63" t="s">
        <v>25</v>
      </c>
      <c r="L20" s="219">
        <f t="shared" ref="L20:W20" si="9">SUM(L21:L27)</f>
        <v>648886</v>
      </c>
      <c r="M20" s="279">
        <f t="shared" si="9"/>
        <v>648886</v>
      </c>
      <c r="N20" s="279">
        <f t="shared" si="9"/>
        <v>645931</v>
      </c>
      <c r="O20" s="350">
        <f t="shared" si="9"/>
        <v>653986</v>
      </c>
      <c r="P20" s="350">
        <f t="shared" si="9"/>
        <v>645122</v>
      </c>
      <c r="Q20" s="350">
        <f t="shared" si="9"/>
        <v>660078</v>
      </c>
      <c r="R20" s="350">
        <f t="shared" si="9"/>
        <v>660482</v>
      </c>
      <c r="S20" s="350">
        <f t="shared" si="9"/>
        <v>660482</v>
      </c>
      <c r="T20" s="350">
        <f t="shared" si="9"/>
        <v>661694</v>
      </c>
      <c r="U20" s="350">
        <f t="shared" si="9"/>
        <v>661290</v>
      </c>
      <c r="V20" s="350">
        <f t="shared" si="9"/>
        <v>662685</v>
      </c>
      <c r="W20" s="134">
        <f t="shared" si="9"/>
        <v>648130.4444444445</v>
      </c>
      <c r="X20" s="136">
        <f>SUM(L20:W20)</f>
        <v>7857652.444444444</v>
      </c>
      <c r="Z20" s="54"/>
    </row>
    <row r="21" spans="1:26">
      <c r="A21" s="70">
        <f t="shared" si="8"/>
        <v>2015013</v>
      </c>
      <c r="B21" s="74"/>
      <c r="C21" s="404"/>
      <c r="D21" s="402"/>
      <c r="E21" s="402"/>
      <c r="F21" s="406"/>
      <c r="G21" s="402"/>
      <c r="H21" s="402"/>
      <c r="I21" s="495"/>
      <c r="J21" s="398"/>
      <c r="K21" s="161" t="s">
        <v>26</v>
      </c>
      <c r="L21" s="203">
        <v>557600</v>
      </c>
      <c r="M21" s="203">
        <v>557600</v>
      </c>
      <c r="N21" s="203">
        <v>557200</v>
      </c>
      <c r="O21" s="203">
        <v>557600</v>
      </c>
      <c r="P21" s="203">
        <v>556400</v>
      </c>
      <c r="Q21" s="203">
        <v>551200</v>
      </c>
      <c r="R21" s="203">
        <v>551600</v>
      </c>
      <c r="S21" s="203">
        <v>551600</v>
      </c>
      <c r="T21" s="203">
        <v>552800</v>
      </c>
      <c r="U21" s="203">
        <v>552400</v>
      </c>
      <c r="V21" s="203">
        <v>553600</v>
      </c>
      <c r="W21" s="162">
        <v>556844.4444444445</v>
      </c>
      <c r="X21" s="135">
        <f t="shared" ref="X21:X27" si="10">SUM(L21:W21)</f>
        <v>6656444.444444444</v>
      </c>
      <c r="Y21" s="105"/>
      <c r="Z21" s="54"/>
    </row>
    <row r="22" spans="1:26">
      <c r="A22" s="70">
        <f t="shared" si="8"/>
        <v>2015013</v>
      </c>
      <c r="B22" s="74"/>
      <c r="C22" s="404"/>
      <c r="D22" s="402"/>
      <c r="E22" s="402"/>
      <c r="F22" s="406"/>
      <c r="G22" s="402"/>
      <c r="H22" s="402"/>
      <c r="I22" s="495"/>
      <c r="J22" s="398"/>
      <c r="K22" s="161" t="s">
        <v>33</v>
      </c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162"/>
      <c r="X22" s="135">
        <f t="shared" si="10"/>
        <v>0</v>
      </c>
      <c r="Y22" s="105"/>
      <c r="Z22" s="54"/>
    </row>
    <row r="23" spans="1:26">
      <c r="A23" s="70">
        <f t="shared" si="8"/>
        <v>2015013</v>
      </c>
      <c r="B23" s="74"/>
      <c r="C23" s="404"/>
      <c r="D23" s="402"/>
      <c r="E23" s="402"/>
      <c r="F23" s="406"/>
      <c r="G23" s="402"/>
      <c r="H23" s="402"/>
      <c r="I23" s="495"/>
      <c r="J23" s="398"/>
      <c r="K23" s="161" t="s">
        <v>27</v>
      </c>
      <c r="L23" s="203">
        <v>2524</v>
      </c>
      <c r="M23" s="203">
        <v>2524</v>
      </c>
      <c r="N23" s="203">
        <v>0</v>
      </c>
      <c r="O23" s="203">
        <v>7572</v>
      </c>
      <c r="P23" s="203">
        <v>0</v>
      </c>
      <c r="Q23" s="203">
        <v>20000</v>
      </c>
      <c r="R23" s="203">
        <v>20000</v>
      </c>
      <c r="S23" s="203">
        <v>20000</v>
      </c>
      <c r="T23" s="203">
        <v>20000</v>
      </c>
      <c r="U23" s="203">
        <v>20000</v>
      </c>
      <c r="V23" s="203">
        <v>20000</v>
      </c>
      <c r="W23" s="162">
        <v>2524</v>
      </c>
      <c r="X23" s="135">
        <f t="shared" si="10"/>
        <v>135144</v>
      </c>
      <c r="Y23" s="105"/>
      <c r="Z23" s="54"/>
    </row>
    <row r="24" spans="1:26">
      <c r="A24" s="70">
        <f t="shared" si="8"/>
        <v>2015013</v>
      </c>
      <c r="B24" s="74"/>
      <c r="C24" s="404"/>
      <c r="D24" s="402"/>
      <c r="E24" s="402"/>
      <c r="F24" s="406"/>
      <c r="G24" s="402"/>
      <c r="H24" s="402"/>
      <c r="I24" s="495"/>
      <c r="J24" s="398"/>
      <c r="K24" s="161" t="s">
        <v>28</v>
      </c>
      <c r="L24" s="203">
        <v>31640</v>
      </c>
      <c r="M24" s="203">
        <v>31640</v>
      </c>
      <c r="N24" s="203">
        <v>31640</v>
      </c>
      <c r="O24" s="203">
        <v>31640</v>
      </c>
      <c r="P24" s="203">
        <v>31640</v>
      </c>
      <c r="Q24" s="203">
        <v>31640</v>
      </c>
      <c r="R24" s="203">
        <v>31640</v>
      </c>
      <c r="S24" s="203">
        <v>31640</v>
      </c>
      <c r="T24" s="203">
        <v>31640</v>
      </c>
      <c r="U24" s="203">
        <v>31640</v>
      </c>
      <c r="V24" s="203">
        <v>31640</v>
      </c>
      <c r="W24" s="162">
        <v>31640</v>
      </c>
      <c r="X24" s="135">
        <f t="shared" si="10"/>
        <v>379680</v>
      </c>
      <c r="Y24" s="105"/>
      <c r="Z24" s="54"/>
    </row>
    <row r="25" spans="1:26">
      <c r="A25" s="70">
        <f t="shared" si="8"/>
        <v>2015013</v>
      </c>
      <c r="B25" s="74"/>
      <c r="C25" s="404"/>
      <c r="D25" s="402"/>
      <c r="E25" s="402"/>
      <c r="F25" s="406"/>
      <c r="G25" s="402"/>
      <c r="H25" s="402"/>
      <c r="I25" s="495"/>
      <c r="J25" s="398"/>
      <c r="K25" s="161" t="s">
        <v>29</v>
      </c>
      <c r="L25" s="203">
        <v>51240</v>
      </c>
      <c r="M25" s="203">
        <v>51240</v>
      </c>
      <c r="N25" s="203">
        <v>51240</v>
      </c>
      <c r="O25" s="203">
        <v>51240</v>
      </c>
      <c r="P25" s="203">
        <v>51240</v>
      </c>
      <c r="Q25" s="203">
        <v>51240</v>
      </c>
      <c r="R25" s="203">
        <v>51240</v>
      </c>
      <c r="S25" s="203">
        <v>51240</v>
      </c>
      <c r="T25" s="203">
        <v>51240</v>
      </c>
      <c r="U25" s="203">
        <v>51240</v>
      </c>
      <c r="V25" s="203">
        <v>51240</v>
      </c>
      <c r="W25" s="162">
        <v>51240</v>
      </c>
      <c r="X25" s="135">
        <f t="shared" si="10"/>
        <v>614880</v>
      </c>
      <c r="Y25" s="105"/>
      <c r="Z25" s="54"/>
    </row>
    <row r="26" spans="1:26">
      <c r="A26" s="70">
        <f t="shared" si="8"/>
        <v>2015013</v>
      </c>
      <c r="B26" s="74"/>
      <c r="C26" s="404"/>
      <c r="D26" s="402"/>
      <c r="E26" s="402"/>
      <c r="F26" s="406"/>
      <c r="G26" s="402"/>
      <c r="H26" s="402"/>
      <c r="I26" s="495"/>
      <c r="J26" s="398"/>
      <c r="K26" s="161" t="s">
        <v>30</v>
      </c>
      <c r="L26" s="203">
        <v>2801</v>
      </c>
      <c r="M26" s="203">
        <v>2801</v>
      </c>
      <c r="N26" s="203">
        <v>2786</v>
      </c>
      <c r="O26" s="203">
        <v>2826</v>
      </c>
      <c r="P26" s="203">
        <v>2782</v>
      </c>
      <c r="Q26" s="203">
        <v>2856</v>
      </c>
      <c r="R26" s="203">
        <v>2858</v>
      </c>
      <c r="S26" s="203">
        <v>2858</v>
      </c>
      <c r="T26" s="203">
        <v>2864</v>
      </c>
      <c r="U26" s="203">
        <v>2862</v>
      </c>
      <c r="V26" s="203">
        <v>2955</v>
      </c>
      <c r="W26" s="162">
        <v>2801</v>
      </c>
      <c r="X26" s="135">
        <f t="shared" si="10"/>
        <v>34050</v>
      </c>
      <c r="Y26" s="105"/>
      <c r="Z26" s="54"/>
    </row>
    <row r="27" spans="1:26">
      <c r="A27" s="70">
        <f t="shared" si="8"/>
        <v>2015013</v>
      </c>
      <c r="B27" s="74"/>
      <c r="C27" s="404"/>
      <c r="D27" s="402"/>
      <c r="E27" s="402"/>
      <c r="F27" s="406"/>
      <c r="G27" s="402"/>
      <c r="H27" s="402"/>
      <c r="I27" s="495"/>
      <c r="J27" s="398"/>
      <c r="K27" s="161" t="s">
        <v>31</v>
      </c>
      <c r="L27" s="203">
        <v>3081</v>
      </c>
      <c r="M27" s="203">
        <v>3081</v>
      </c>
      <c r="N27" s="203">
        <v>3065</v>
      </c>
      <c r="O27" s="203">
        <v>3108</v>
      </c>
      <c r="P27" s="203">
        <v>3060</v>
      </c>
      <c r="Q27" s="203">
        <v>3142</v>
      </c>
      <c r="R27" s="203">
        <v>3144</v>
      </c>
      <c r="S27" s="203">
        <v>3144</v>
      </c>
      <c r="T27" s="203">
        <v>3150</v>
      </c>
      <c r="U27" s="203">
        <v>3148</v>
      </c>
      <c r="V27" s="203">
        <v>3250</v>
      </c>
      <c r="W27" s="162">
        <v>3081</v>
      </c>
      <c r="X27" s="135">
        <f t="shared" si="10"/>
        <v>37454</v>
      </c>
      <c r="Y27" s="105"/>
      <c r="Z27" s="54"/>
    </row>
    <row r="28" spans="1:26">
      <c r="A28" s="70">
        <f t="shared" si="8"/>
        <v>2015013</v>
      </c>
      <c r="B28" s="74"/>
      <c r="C28" s="405"/>
      <c r="D28" s="403"/>
      <c r="E28" s="403"/>
      <c r="F28" s="407"/>
      <c r="G28" s="403"/>
      <c r="H28" s="403"/>
      <c r="I28" s="496"/>
      <c r="J28" s="399"/>
      <c r="K28" s="65" t="s">
        <v>32</v>
      </c>
      <c r="L28" s="194">
        <f t="shared" ref="L28:X28" si="11">L17-L20</f>
        <v>151114</v>
      </c>
      <c r="M28" s="267">
        <f t="shared" si="11"/>
        <v>151114</v>
      </c>
      <c r="N28" s="267">
        <f t="shared" si="11"/>
        <v>154069</v>
      </c>
      <c r="O28" s="344">
        <f t="shared" si="11"/>
        <v>146014</v>
      </c>
      <c r="P28" s="344">
        <f t="shared" si="11"/>
        <v>154878</v>
      </c>
      <c r="Q28" s="344">
        <f t="shared" si="11"/>
        <v>139922</v>
      </c>
      <c r="R28" s="344">
        <f t="shared" si="11"/>
        <v>139518</v>
      </c>
      <c r="S28" s="344">
        <f t="shared" si="11"/>
        <v>139518</v>
      </c>
      <c r="T28" s="344">
        <f t="shared" si="11"/>
        <v>138306</v>
      </c>
      <c r="U28" s="344">
        <f t="shared" si="11"/>
        <v>138710</v>
      </c>
      <c r="V28" s="344">
        <f t="shared" si="11"/>
        <v>137315</v>
      </c>
      <c r="W28" s="129">
        <f t="shared" si="11"/>
        <v>151869.5555555555</v>
      </c>
      <c r="X28" s="50">
        <f t="shared" si="11"/>
        <v>1742347.555555556</v>
      </c>
      <c r="Z28" s="54"/>
    </row>
    <row r="29" spans="1:26" ht="12.75" customHeight="1">
      <c r="A29" s="101">
        <v>2015005</v>
      </c>
      <c r="C29" s="433">
        <f t="shared" ref="C29" si="12">C17+1</f>
        <v>3</v>
      </c>
      <c r="D29" s="402" t="s">
        <v>65</v>
      </c>
      <c r="E29" s="402"/>
      <c r="F29" s="406"/>
      <c r="G29" s="402"/>
      <c r="H29" s="402"/>
      <c r="I29" s="495" t="s">
        <v>76</v>
      </c>
      <c r="J29" s="397" t="s">
        <v>56</v>
      </c>
      <c r="K29" s="66" t="s">
        <v>22</v>
      </c>
      <c r="L29" s="191">
        <f t="shared" ref="L29:W29" si="13">L30+L31</f>
        <v>730000</v>
      </c>
      <c r="M29" s="266">
        <f t="shared" si="13"/>
        <v>730000</v>
      </c>
      <c r="N29" s="266">
        <f t="shared" si="13"/>
        <v>730000</v>
      </c>
      <c r="O29" s="351">
        <f t="shared" si="13"/>
        <v>730000</v>
      </c>
      <c r="P29" s="351">
        <f>P30+P31</f>
        <v>730000</v>
      </c>
      <c r="Q29" s="351">
        <f t="shared" si="13"/>
        <v>730000</v>
      </c>
      <c r="R29" s="351">
        <f t="shared" si="13"/>
        <v>730000</v>
      </c>
      <c r="S29" s="351">
        <f t="shared" si="13"/>
        <v>730000</v>
      </c>
      <c r="T29" s="351">
        <f t="shared" si="13"/>
        <v>730000</v>
      </c>
      <c r="U29" s="351">
        <f t="shared" si="13"/>
        <v>621865</v>
      </c>
      <c r="V29" s="351">
        <f t="shared" si="13"/>
        <v>730000</v>
      </c>
      <c r="W29" s="137">
        <f t="shared" si="13"/>
        <v>730000</v>
      </c>
      <c r="X29" s="49">
        <f>SUM(L29:W29)</f>
        <v>8651865</v>
      </c>
      <c r="Z29" s="54"/>
    </row>
    <row r="30" spans="1:26">
      <c r="A30" s="70">
        <f t="shared" ref="A30:A40" si="14">+A29</f>
        <v>2015005</v>
      </c>
      <c r="B30" s="74"/>
      <c r="C30" s="404"/>
      <c r="D30" s="402"/>
      <c r="E30" s="402"/>
      <c r="F30" s="406"/>
      <c r="G30" s="402"/>
      <c r="H30" s="402"/>
      <c r="I30" s="495"/>
      <c r="J30" s="398"/>
      <c r="K30" s="159" t="s">
        <v>23</v>
      </c>
      <c r="L30" s="203">
        <v>730000</v>
      </c>
      <c r="M30" s="203">
        <v>730000</v>
      </c>
      <c r="N30" s="203">
        <v>730000</v>
      </c>
      <c r="O30" s="203">
        <v>730000</v>
      </c>
      <c r="P30" s="203">
        <v>730000</v>
      </c>
      <c r="Q30" s="203">
        <v>730000</v>
      </c>
      <c r="R30" s="203">
        <v>730000</v>
      </c>
      <c r="S30" s="203">
        <v>730000</v>
      </c>
      <c r="T30" s="203">
        <v>730000</v>
      </c>
      <c r="U30" s="203">
        <v>621865</v>
      </c>
      <c r="V30" s="203">
        <v>730000</v>
      </c>
      <c r="W30" s="171">
        <v>730000</v>
      </c>
      <c r="X30" s="135">
        <f>SUM(L30:W30)</f>
        <v>8651865</v>
      </c>
      <c r="Y30" s="105"/>
      <c r="Z30" s="54"/>
    </row>
    <row r="31" spans="1:26">
      <c r="A31" s="70">
        <f t="shared" si="14"/>
        <v>2015005</v>
      </c>
      <c r="B31" s="74"/>
      <c r="C31" s="404"/>
      <c r="D31" s="402"/>
      <c r="E31" s="402"/>
      <c r="F31" s="406"/>
      <c r="G31" s="402"/>
      <c r="H31" s="402"/>
      <c r="I31" s="495"/>
      <c r="J31" s="398"/>
      <c r="K31" s="159" t="s">
        <v>24</v>
      </c>
      <c r="L31" s="203"/>
      <c r="M31" s="203"/>
      <c r="N31" s="203"/>
      <c r="O31" s="220"/>
      <c r="P31" s="220"/>
      <c r="Q31" s="220"/>
      <c r="R31" s="220"/>
      <c r="S31" s="220"/>
      <c r="T31" s="220"/>
      <c r="U31" s="220"/>
      <c r="V31" s="220"/>
      <c r="W31" s="181"/>
      <c r="X31" s="135">
        <v>0</v>
      </c>
      <c r="Z31" s="54"/>
    </row>
    <row r="32" spans="1:26">
      <c r="A32" s="70">
        <f t="shared" si="14"/>
        <v>2015005</v>
      </c>
      <c r="B32" s="74"/>
      <c r="C32" s="404"/>
      <c r="D32" s="402"/>
      <c r="E32" s="402"/>
      <c r="F32" s="406"/>
      <c r="G32" s="402"/>
      <c r="H32" s="402"/>
      <c r="I32" s="495"/>
      <c r="J32" s="398"/>
      <c r="K32" s="160" t="s">
        <v>25</v>
      </c>
      <c r="L32" s="204">
        <f t="shared" ref="L32:W32" si="15">SUM(L33:L39)</f>
        <v>508109</v>
      </c>
      <c r="M32" s="204">
        <f t="shared" si="15"/>
        <v>497696</v>
      </c>
      <c r="N32" s="204">
        <f t="shared" si="15"/>
        <v>516326</v>
      </c>
      <c r="O32" s="354">
        <f t="shared" si="15"/>
        <v>534439</v>
      </c>
      <c r="P32" s="354">
        <f t="shared" si="15"/>
        <v>519673</v>
      </c>
      <c r="Q32" s="354">
        <f t="shared" si="15"/>
        <v>507704</v>
      </c>
      <c r="R32" s="354">
        <f t="shared" si="15"/>
        <v>508840</v>
      </c>
      <c r="S32" s="354">
        <f t="shared" si="15"/>
        <v>500554</v>
      </c>
      <c r="T32" s="354">
        <f t="shared" si="15"/>
        <v>516307</v>
      </c>
      <c r="U32" s="354">
        <f t="shared" si="15"/>
        <v>504191</v>
      </c>
      <c r="V32" s="354">
        <f t="shared" si="15"/>
        <v>505928</v>
      </c>
      <c r="W32" s="182">
        <f t="shared" si="15"/>
        <v>504125.44444444444</v>
      </c>
      <c r="X32" s="136">
        <f>SUM(L32:W32)</f>
        <v>6123892.444444444</v>
      </c>
      <c r="Z32" s="54"/>
    </row>
    <row r="33" spans="1:26">
      <c r="A33" s="70">
        <f t="shared" si="14"/>
        <v>2015005</v>
      </c>
      <c r="B33" s="74"/>
      <c r="C33" s="404"/>
      <c r="D33" s="402"/>
      <c r="E33" s="402"/>
      <c r="F33" s="406"/>
      <c r="G33" s="402"/>
      <c r="H33" s="402"/>
      <c r="I33" s="495"/>
      <c r="J33" s="398"/>
      <c r="K33" s="161" t="s">
        <v>26</v>
      </c>
      <c r="L33" s="203">
        <v>433200</v>
      </c>
      <c r="M33" s="203">
        <v>432000</v>
      </c>
      <c r="N33" s="203">
        <v>441333</v>
      </c>
      <c r="O33" s="203">
        <v>458688</v>
      </c>
      <c r="P33" s="203">
        <v>444983</v>
      </c>
      <c r="Q33" s="203">
        <v>432800</v>
      </c>
      <c r="R33" s="203">
        <v>433924</v>
      </c>
      <c r="S33" s="203">
        <v>428000</v>
      </c>
      <c r="T33" s="203">
        <v>440176</v>
      </c>
      <c r="U33" s="203">
        <v>431600</v>
      </c>
      <c r="V33" s="203">
        <v>432000</v>
      </c>
      <c r="W33" s="162">
        <v>429216.44444444444</v>
      </c>
      <c r="X33" s="135">
        <f t="shared" ref="X33:X39" si="16">SUM(L33:W33)</f>
        <v>5237920.444444444</v>
      </c>
      <c r="Y33" s="105"/>
      <c r="Z33" s="54"/>
    </row>
    <row r="34" spans="1:26">
      <c r="A34" s="70">
        <f t="shared" si="14"/>
        <v>2015005</v>
      </c>
      <c r="B34" s="74"/>
      <c r="C34" s="404"/>
      <c r="D34" s="402"/>
      <c r="E34" s="402"/>
      <c r="F34" s="406"/>
      <c r="G34" s="402"/>
      <c r="H34" s="402"/>
      <c r="I34" s="495"/>
      <c r="J34" s="398"/>
      <c r="K34" s="161" t="s">
        <v>33</v>
      </c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162"/>
      <c r="X34" s="135">
        <f t="shared" si="16"/>
        <v>0</v>
      </c>
      <c r="Y34" s="105"/>
      <c r="Z34" s="54"/>
    </row>
    <row r="35" spans="1:26">
      <c r="A35" s="70">
        <f t="shared" si="14"/>
        <v>2015005</v>
      </c>
      <c r="B35" s="74"/>
      <c r="C35" s="404"/>
      <c r="D35" s="402"/>
      <c r="E35" s="402"/>
      <c r="F35" s="406"/>
      <c r="G35" s="402"/>
      <c r="H35" s="402"/>
      <c r="I35" s="495"/>
      <c r="J35" s="398"/>
      <c r="K35" s="161" t="s">
        <v>27</v>
      </c>
      <c r="L35" s="203">
        <v>9104</v>
      </c>
      <c r="M35" s="203">
        <v>0</v>
      </c>
      <c r="N35" s="203">
        <v>9104</v>
      </c>
      <c r="O35" s="203">
        <v>9673</v>
      </c>
      <c r="P35" s="203">
        <v>8765</v>
      </c>
      <c r="Q35" s="203">
        <v>9104</v>
      </c>
      <c r="R35" s="203">
        <v>9104</v>
      </c>
      <c r="S35" s="203">
        <v>6828</v>
      </c>
      <c r="T35" s="203">
        <v>10242</v>
      </c>
      <c r="U35" s="203">
        <v>6828</v>
      </c>
      <c r="V35" s="203">
        <v>7966</v>
      </c>
      <c r="W35" s="162">
        <v>9104</v>
      </c>
      <c r="X35" s="135">
        <f t="shared" si="16"/>
        <v>95822</v>
      </c>
      <c r="Y35" s="105"/>
      <c r="Z35" s="54"/>
    </row>
    <row r="36" spans="1:26">
      <c r="A36" s="70">
        <f t="shared" si="14"/>
        <v>2015005</v>
      </c>
      <c r="B36" s="74"/>
      <c r="C36" s="404"/>
      <c r="D36" s="402"/>
      <c r="E36" s="402"/>
      <c r="F36" s="406"/>
      <c r="G36" s="402"/>
      <c r="H36" s="402"/>
      <c r="I36" s="495"/>
      <c r="J36" s="398"/>
      <c r="K36" s="161" t="s">
        <v>28</v>
      </c>
      <c r="L36" s="203">
        <v>20900</v>
      </c>
      <c r="M36" s="203">
        <v>20900</v>
      </c>
      <c r="N36" s="203">
        <v>20900</v>
      </c>
      <c r="O36" s="203">
        <v>20900</v>
      </c>
      <c r="P36" s="203">
        <v>20900</v>
      </c>
      <c r="Q36" s="203">
        <v>20900</v>
      </c>
      <c r="R36" s="203">
        <v>20900</v>
      </c>
      <c r="S36" s="203">
        <v>20900</v>
      </c>
      <c r="T36" s="203">
        <v>20900</v>
      </c>
      <c r="U36" s="203">
        <v>20900</v>
      </c>
      <c r="V36" s="203">
        <v>20900</v>
      </c>
      <c r="W36" s="162">
        <v>20900</v>
      </c>
      <c r="X36" s="135">
        <f t="shared" si="16"/>
        <v>250800</v>
      </c>
      <c r="Y36" s="105"/>
      <c r="Z36" s="54"/>
    </row>
    <row r="37" spans="1:26">
      <c r="A37" s="70">
        <f t="shared" si="14"/>
        <v>2015005</v>
      </c>
      <c r="B37" s="74"/>
      <c r="C37" s="404"/>
      <c r="D37" s="402"/>
      <c r="E37" s="402"/>
      <c r="F37" s="406"/>
      <c r="G37" s="402"/>
      <c r="H37" s="402"/>
      <c r="I37" s="495"/>
      <c r="J37" s="398"/>
      <c r="K37" s="161" t="s">
        <v>29</v>
      </c>
      <c r="L37" s="203">
        <v>40260</v>
      </c>
      <c r="M37" s="203">
        <v>40260</v>
      </c>
      <c r="N37" s="203">
        <v>40260</v>
      </c>
      <c r="O37" s="203">
        <v>40260</v>
      </c>
      <c r="P37" s="203">
        <v>40260</v>
      </c>
      <c r="Q37" s="203">
        <v>40260</v>
      </c>
      <c r="R37" s="203">
        <v>40260</v>
      </c>
      <c r="S37" s="203">
        <v>40260</v>
      </c>
      <c r="T37" s="203">
        <v>40260</v>
      </c>
      <c r="U37" s="203">
        <v>40260</v>
      </c>
      <c r="V37" s="203">
        <v>40260</v>
      </c>
      <c r="W37" s="162">
        <v>40260</v>
      </c>
      <c r="X37" s="135">
        <f t="shared" si="16"/>
        <v>483120</v>
      </c>
      <c r="Y37" s="105"/>
      <c r="Z37" s="54"/>
    </row>
    <row r="38" spans="1:26">
      <c r="A38" s="70">
        <f t="shared" si="14"/>
        <v>2015005</v>
      </c>
      <c r="B38" s="74"/>
      <c r="C38" s="404"/>
      <c r="D38" s="402"/>
      <c r="E38" s="402"/>
      <c r="F38" s="406"/>
      <c r="G38" s="402"/>
      <c r="H38" s="402"/>
      <c r="I38" s="495"/>
      <c r="J38" s="398"/>
      <c r="K38" s="161" t="s">
        <v>30</v>
      </c>
      <c r="L38" s="203">
        <v>2212</v>
      </c>
      <c r="M38" s="203">
        <v>2160</v>
      </c>
      <c r="N38" s="203">
        <v>2252</v>
      </c>
      <c r="O38" s="203">
        <v>2342</v>
      </c>
      <c r="P38" s="203">
        <v>2269</v>
      </c>
      <c r="Q38" s="203">
        <v>2210</v>
      </c>
      <c r="R38" s="203">
        <v>2215</v>
      </c>
      <c r="S38" s="203">
        <v>2174</v>
      </c>
      <c r="T38" s="203">
        <v>2252</v>
      </c>
      <c r="U38" s="203">
        <v>2192</v>
      </c>
      <c r="V38" s="203">
        <v>2287</v>
      </c>
      <c r="W38" s="162">
        <v>2212</v>
      </c>
      <c r="X38" s="135">
        <f t="shared" si="16"/>
        <v>26777</v>
      </c>
      <c r="Y38" s="105"/>
      <c r="Z38" s="54"/>
    </row>
    <row r="39" spans="1:26">
      <c r="A39" s="70">
        <f t="shared" si="14"/>
        <v>2015005</v>
      </c>
      <c r="B39" s="74"/>
      <c r="C39" s="404"/>
      <c r="D39" s="402"/>
      <c r="E39" s="402"/>
      <c r="F39" s="406"/>
      <c r="G39" s="402"/>
      <c r="H39" s="402"/>
      <c r="I39" s="495"/>
      <c r="J39" s="398"/>
      <c r="K39" s="161" t="s">
        <v>31</v>
      </c>
      <c r="L39" s="203">
        <v>2433</v>
      </c>
      <c r="M39" s="203">
        <v>2376</v>
      </c>
      <c r="N39" s="203">
        <v>2477</v>
      </c>
      <c r="O39" s="203">
        <v>2576</v>
      </c>
      <c r="P39" s="203">
        <v>2496</v>
      </c>
      <c r="Q39" s="203">
        <v>2430</v>
      </c>
      <c r="R39" s="203">
        <v>2437</v>
      </c>
      <c r="S39" s="203">
        <v>2392</v>
      </c>
      <c r="T39" s="203">
        <v>2477</v>
      </c>
      <c r="U39" s="203">
        <v>2411</v>
      </c>
      <c r="V39" s="203">
        <v>2515</v>
      </c>
      <c r="W39" s="162">
        <v>2433</v>
      </c>
      <c r="X39" s="135">
        <f t="shared" si="16"/>
        <v>29453</v>
      </c>
      <c r="Y39" s="105"/>
      <c r="Z39" s="54"/>
    </row>
    <row r="40" spans="1:26">
      <c r="A40" s="70">
        <f t="shared" si="14"/>
        <v>2015005</v>
      </c>
      <c r="B40" s="74"/>
      <c r="C40" s="405"/>
      <c r="D40" s="403"/>
      <c r="E40" s="403"/>
      <c r="F40" s="407"/>
      <c r="G40" s="403"/>
      <c r="H40" s="403"/>
      <c r="I40" s="496"/>
      <c r="J40" s="399"/>
      <c r="K40" s="65" t="s">
        <v>32</v>
      </c>
      <c r="L40" s="194">
        <f t="shared" ref="L40:X40" si="17">L29-L32</f>
        <v>221891</v>
      </c>
      <c r="M40" s="267">
        <f t="shared" si="17"/>
        <v>232304</v>
      </c>
      <c r="N40" s="267">
        <f t="shared" si="17"/>
        <v>213674</v>
      </c>
      <c r="O40" s="344">
        <f t="shared" si="17"/>
        <v>195561</v>
      </c>
      <c r="P40" s="344">
        <f t="shared" si="17"/>
        <v>210327</v>
      </c>
      <c r="Q40" s="344">
        <f t="shared" si="17"/>
        <v>222296</v>
      </c>
      <c r="R40" s="344">
        <f t="shared" si="17"/>
        <v>221160</v>
      </c>
      <c r="S40" s="344">
        <f t="shared" si="17"/>
        <v>229446</v>
      </c>
      <c r="T40" s="344">
        <f t="shared" si="17"/>
        <v>213693</v>
      </c>
      <c r="U40" s="344">
        <f t="shared" si="17"/>
        <v>117674</v>
      </c>
      <c r="V40" s="344">
        <f t="shared" si="17"/>
        <v>224072</v>
      </c>
      <c r="W40" s="129">
        <f t="shared" si="17"/>
        <v>225874.55555555556</v>
      </c>
      <c r="X40" s="50">
        <f t="shared" si="17"/>
        <v>2527972.555555556</v>
      </c>
      <c r="Z40" s="54"/>
    </row>
    <row r="41" spans="1:26" ht="12.75" customHeight="1">
      <c r="A41" s="101">
        <v>2022016</v>
      </c>
      <c r="C41" s="433">
        <f t="shared" ref="C41" si="18">C29+1</f>
        <v>4</v>
      </c>
      <c r="D41" s="402" t="s">
        <v>65</v>
      </c>
      <c r="E41" s="402"/>
      <c r="F41" s="406"/>
      <c r="G41" s="402"/>
      <c r="H41" s="402"/>
      <c r="I41" s="497" t="s">
        <v>55</v>
      </c>
      <c r="J41" s="397" t="s">
        <v>56</v>
      </c>
      <c r="K41" s="66" t="s">
        <v>22</v>
      </c>
      <c r="L41" s="191">
        <f t="shared" ref="L41:O41" si="19">L42+L43</f>
        <v>650000</v>
      </c>
      <c r="M41" s="266">
        <f t="shared" si="19"/>
        <v>650000</v>
      </c>
      <c r="N41" s="266">
        <f t="shared" si="19"/>
        <v>650000</v>
      </c>
      <c r="O41" s="351">
        <f t="shared" si="19"/>
        <v>650000</v>
      </c>
      <c r="P41" s="351">
        <f>P42+P43</f>
        <v>650000</v>
      </c>
      <c r="Q41" s="351">
        <f t="shared" ref="Q41:W41" si="20">Q42+Q43</f>
        <v>650000</v>
      </c>
      <c r="R41" s="351">
        <f t="shared" si="20"/>
        <v>650000</v>
      </c>
      <c r="S41" s="351">
        <f t="shared" si="20"/>
        <v>650000</v>
      </c>
      <c r="T41" s="351">
        <f t="shared" si="20"/>
        <v>650000</v>
      </c>
      <c r="U41" s="351">
        <f t="shared" si="20"/>
        <v>618535</v>
      </c>
      <c r="V41" s="351">
        <f t="shared" si="20"/>
        <v>650000</v>
      </c>
      <c r="W41" s="137">
        <f t="shared" si="20"/>
        <v>650000</v>
      </c>
      <c r="X41" s="49">
        <f>SUM(L41:W41)</f>
        <v>7768535</v>
      </c>
      <c r="Z41" s="54"/>
    </row>
    <row r="42" spans="1:26">
      <c r="A42" s="70">
        <f>+A41</f>
        <v>2022016</v>
      </c>
      <c r="B42" s="74"/>
      <c r="C42" s="404"/>
      <c r="D42" s="402"/>
      <c r="E42" s="402"/>
      <c r="F42" s="406"/>
      <c r="G42" s="402"/>
      <c r="H42" s="402"/>
      <c r="I42" s="497"/>
      <c r="J42" s="398"/>
      <c r="K42" s="159" t="s">
        <v>23</v>
      </c>
      <c r="L42" s="203">
        <v>650000</v>
      </c>
      <c r="M42" s="203">
        <v>650000</v>
      </c>
      <c r="N42" s="203">
        <v>650000</v>
      </c>
      <c r="O42" s="203">
        <v>650000</v>
      </c>
      <c r="P42" s="203">
        <v>650000</v>
      </c>
      <c r="Q42" s="203">
        <v>650000</v>
      </c>
      <c r="R42" s="203">
        <v>650000</v>
      </c>
      <c r="S42" s="203">
        <v>650000</v>
      </c>
      <c r="T42" s="203">
        <v>650000</v>
      </c>
      <c r="U42" s="203">
        <v>618535</v>
      </c>
      <c r="V42" s="203">
        <v>650000</v>
      </c>
      <c r="W42" s="171">
        <v>650000</v>
      </c>
      <c r="X42" s="135">
        <f>SUM(L42:W42)</f>
        <v>7768535</v>
      </c>
      <c r="Z42" s="54"/>
    </row>
    <row r="43" spans="1:26">
      <c r="A43" s="70">
        <f t="shared" ref="A43:A45" si="21">+A42</f>
        <v>2022016</v>
      </c>
      <c r="B43" s="74"/>
      <c r="C43" s="404"/>
      <c r="D43" s="402"/>
      <c r="E43" s="402"/>
      <c r="F43" s="406"/>
      <c r="G43" s="402"/>
      <c r="H43" s="402"/>
      <c r="I43" s="497"/>
      <c r="J43" s="398"/>
      <c r="K43" s="159" t="s">
        <v>24</v>
      </c>
      <c r="L43" s="203"/>
      <c r="M43" s="203"/>
      <c r="N43" s="203"/>
      <c r="O43" s="220"/>
      <c r="P43" s="220"/>
      <c r="Q43" s="220"/>
      <c r="R43" s="220"/>
      <c r="S43" s="220"/>
      <c r="T43" s="220"/>
      <c r="U43" s="220"/>
      <c r="V43" s="220"/>
      <c r="W43" s="181"/>
      <c r="X43" s="135">
        <v>0</v>
      </c>
      <c r="Z43" s="54"/>
    </row>
    <row r="44" spans="1:26">
      <c r="A44" s="70">
        <f t="shared" si="21"/>
        <v>2022016</v>
      </c>
      <c r="B44" s="74"/>
      <c r="C44" s="404"/>
      <c r="D44" s="402"/>
      <c r="E44" s="402"/>
      <c r="F44" s="406"/>
      <c r="G44" s="402"/>
      <c r="H44" s="402"/>
      <c r="I44" s="497"/>
      <c r="J44" s="398"/>
      <c r="K44" s="160" t="s">
        <v>25</v>
      </c>
      <c r="L44" s="204">
        <f t="shared" ref="L44:W44" si="22">SUM(L45:L51)</f>
        <v>414484</v>
      </c>
      <c r="M44" s="204">
        <f t="shared" si="22"/>
        <v>418435</v>
      </c>
      <c r="N44" s="204">
        <f t="shared" si="22"/>
        <v>418435</v>
      </c>
      <c r="O44" s="354">
        <f t="shared" si="22"/>
        <v>418435</v>
      </c>
      <c r="P44" s="354">
        <f t="shared" si="22"/>
        <v>431980</v>
      </c>
      <c r="Q44" s="354">
        <f t="shared" si="22"/>
        <v>430363</v>
      </c>
      <c r="R44" s="354">
        <f t="shared" si="22"/>
        <v>429555</v>
      </c>
      <c r="S44" s="354">
        <f t="shared" si="22"/>
        <v>429555</v>
      </c>
      <c r="T44" s="354">
        <f t="shared" si="22"/>
        <v>435213</v>
      </c>
      <c r="U44" s="354">
        <f t="shared" si="22"/>
        <v>432788</v>
      </c>
      <c r="V44" s="354">
        <f t="shared" si="22"/>
        <v>434587</v>
      </c>
      <c r="W44" s="182">
        <f t="shared" si="22"/>
        <v>414084</v>
      </c>
      <c r="X44" s="136">
        <f>SUM(L44:W44)</f>
        <v>5107914</v>
      </c>
      <c r="Z44" s="54"/>
    </row>
    <row r="45" spans="1:26">
      <c r="A45" s="70">
        <f t="shared" si="21"/>
        <v>2022016</v>
      </c>
      <c r="B45" s="74"/>
      <c r="C45" s="404"/>
      <c r="D45" s="402"/>
      <c r="E45" s="402"/>
      <c r="F45" s="406"/>
      <c r="G45" s="402"/>
      <c r="H45" s="402"/>
      <c r="I45" s="497"/>
      <c r="J45" s="398"/>
      <c r="K45" s="161" t="s">
        <v>26</v>
      </c>
      <c r="L45" s="203">
        <v>360400</v>
      </c>
      <c r="M45" s="203">
        <v>360000</v>
      </c>
      <c r="N45" s="203">
        <v>360000</v>
      </c>
      <c r="O45" s="203">
        <v>360000</v>
      </c>
      <c r="P45" s="203">
        <v>362400</v>
      </c>
      <c r="Q45" s="203">
        <v>360800</v>
      </c>
      <c r="R45" s="203">
        <v>360000</v>
      </c>
      <c r="S45" s="203">
        <v>360000</v>
      </c>
      <c r="T45" s="203">
        <v>365600</v>
      </c>
      <c r="U45" s="203">
        <v>363200</v>
      </c>
      <c r="V45" s="203">
        <v>364800</v>
      </c>
      <c r="W45" s="162">
        <v>360000</v>
      </c>
      <c r="X45" s="135">
        <f t="shared" ref="X45:X51" si="23">SUM(L45:W45)</f>
        <v>4337200</v>
      </c>
      <c r="Y45" s="105"/>
      <c r="Z45" s="54"/>
    </row>
    <row r="46" spans="1:26">
      <c r="A46" s="70">
        <f t="shared" ref="A46" si="24">+A45</f>
        <v>2022016</v>
      </c>
      <c r="B46" s="74"/>
      <c r="C46" s="404"/>
      <c r="D46" s="402"/>
      <c r="E46" s="402"/>
      <c r="F46" s="406"/>
      <c r="G46" s="402"/>
      <c r="H46" s="402"/>
      <c r="I46" s="497"/>
      <c r="J46" s="398"/>
      <c r="K46" s="161" t="s">
        <v>33</v>
      </c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162"/>
      <c r="X46" s="135">
        <f t="shared" si="23"/>
        <v>0</v>
      </c>
      <c r="Y46" s="105"/>
      <c r="Z46" s="54"/>
    </row>
    <row r="47" spans="1:26">
      <c r="A47" s="70">
        <f t="shared" ref="A47" si="25">+A46</f>
        <v>2022016</v>
      </c>
      <c r="B47" s="74"/>
      <c r="C47" s="404"/>
      <c r="D47" s="402"/>
      <c r="E47" s="402"/>
      <c r="F47" s="406"/>
      <c r="G47" s="402"/>
      <c r="H47" s="402"/>
      <c r="I47" s="497"/>
      <c r="J47" s="398"/>
      <c r="K47" s="161" t="s">
        <v>27</v>
      </c>
      <c r="L47" s="203">
        <v>8510</v>
      </c>
      <c r="M47" s="203">
        <v>12820</v>
      </c>
      <c r="N47" s="203">
        <v>12820</v>
      </c>
      <c r="O47" s="203">
        <v>12820</v>
      </c>
      <c r="P47" s="203">
        <v>12820</v>
      </c>
      <c r="Q47" s="203">
        <v>12820</v>
      </c>
      <c r="R47" s="203">
        <v>12820</v>
      </c>
      <c r="S47" s="203">
        <v>12820</v>
      </c>
      <c r="T47" s="203">
        <v>12820</v>
      </c>
      <c r="U47" s="203">
        <v>12820</v>
      </c>
      <c r="V47" s="203">
        <v>12820</v>
      </c>
      <c r="W47" s="162">
        <v>8510</v>
      </c>
      <c r="X47" s="135">
        <f t="shared" si="23"/>
        <v>145220</v>
      </c>
      <c r="Y47" s="105"/>
      <c r="Z47" s="54"/>
    </row>
    <row r="48" spans="1:26">
      <c r="A48" s="70">
        <f t="shared" ref="A48" si="26">+A47</f>
        <v>2022016</v>
      </c>
      <c r="B48" s="74"/>
      <c r="C48" s="404"/>
      <c r="D48" s="402"/>
      <c r="E48" s="402"/>
      <c r="F48" s="406"/>
      <c r="G48" s="402"/>
      <c r="H48" s="402"/>
      <c r="I48" s="497"/>
      <c r="J48" s="398"/>
      <c r="K48" s="161" t="s">
        <v>28</v>
      </c>
      <c r="L48" s="203">
        <v>14250</v>
      </c>
      <c r="M48" s="203">
        <v>14250</v>
      </c>
      <c r="N48" s="203">
        <v>14250</v>
      </c>
      <c r="O48" s="203">
        <v>14250</v>
      </c>
      <c r="P48" s="203">
        <v>18050</v>
      </c>
      <c r="Q48" s="203">
        <v>18050</v>
      </c>
      <c r="R48" s="203">
        <v>18050</v>
      </c>
      <c r="S48" s="203">
        <v>18050</v>
      </c>
      <c r="T48" s="203">
        <v>18050</v>
      </c>
      <c r="U48" s="203">
        <v>18050</v>
      </c>
      <c r="V48" s="203">
        <v>18050</v>
      </c>
      <c r="W48" s="162">
        <v>14250</v>
      </c>
      <c r="X48" s="135">
        <f t="shared" si="23"/>
        <v>197600</v>
      </c>
      <c r="Y48" s="105"/>
      <c r="Z48" s="54"/>
    </row>
    <row r="49" spans="1:26">
      <c r="A49" s="70">
        <f t="shared" ref="A49" si="27">+A48</f>
        <v>2022016</v>
      </c>
      <c r="B49" s="74"/>
      <c r="C49" s="404"/>
      <c r="D49" s="402"/>
      <c r="E49" s="402"/>
      <c r="F49" s="406"/>
      <c r="G49" s="402"/>
      <c r="H49" s="402"/>
      <c r="I49" s="497"/>
      <c r="J49" s="398"/>
      <c r="K49" s="161" t="s">
        <v>29</v>
      </c>
      <c r="L49" s="203">
        <v>27450</v>
      </c>
      <c r="M49" s="203">
        <v>27450</v>
      </c>
      <c r="N49" s="203">
        <v>27450</v>
      </c>
      <c r="O49" s="203">
        <v>27450</v>
      </c>
      <c r="P49" s="203">
        <v>34770</v>
      </c>
      <c r="Q49" s="203">
        <v>34770</v>
      </c>
      <c r="R49" s="203">
        <v>34770</v>
      </c>
      <c r="S49" s="203">
        <v>34770</v>
      </c>
      <c r="T49" s="203">
        <v>34770</v>
      </c>
      <c r="U49" s="203">
        <v>34770</v>
      </c>
      <c r="V49" s="203">
        <v>34770</v>
      </c>
      <c r="W49" s="162">
        <v>27450</v>
      </c>
      <c r="X49" s="135">
        <f t="shared" si="23"/>
        <v>380640</v>
      </c>
      <c r="Y49" s="105"/>
      <c r="Z49" s="54"/>
    </row>
    <row r="50" spans="1:26">
      <c r="A50" s="70">
        <f t="shared" ref="A50" si="28">+A49</f>
        <v>2022016</v>
      </c>
      <c r="B50" s="74"/>
      <c r="C50" s="404"/>
      <c r="D50" s="402"/>
      <c r="E50" s="402"/>
      <c r="F50" s="406"/>
      <c r="G50" s="402"/>
      <c r="H50" s="402"/>
      <c r="I50" s="497"/>
      <c r="J50" s="398"/>
      <c r="K50" s="161" t="s">
        <v>30</v>
      </c>
      <c r="L50" s="203">
        <v>1845</v>
      </c>
      <c r="M50" s="203">
        <v>1864</v>
      </c>
      <c r="N50" s="203">
        <v>1864</v>
      </c>
      <c r="O50" s="203">
        <v>1864</v>
      </c>
      <c r="P50" s="203">
        <v>1876</v>
      </c>
      <c r="Q50" s="203">
        <v>1868</v>
      </c>
      <c r="R50" s="203">
        <v>1864</v>
      </c>
      <c r="S50" s="203">
        <v>1864</v>
      </c>
      <c r="T50" s="203">
        <v>1892</v>
      </c>
      <c r="U50" s="203">
        <v>1880</v>
      </c>
      <c r="V50" s="203">
        <v>1975</v>
      </c>
      <c r="W50" s="162">
        <v>1845</v>
      </c>
      <c r="X50" s="135">
        <f t="shared" si="23"/>
        <v>22501</v>
      </c>
      <c r="Y50" s="105"/>
      <c r="Z50" s="54"/>
    </row>
    <row r="51" spans="1:26">
      <c r="A51" s="70">
        <f t="shared" ref="A51" si="29">+A50</f>
        <v>2022016</v>
      </c>
      <c r="B51" s="74"/>
      <c r="C51" s="404"/>
      <c r="D51" s="402"/>
      <c r="E51" s="402"/>
      <c r="F51" s="406"/>
      <c r="G51" s="402"/>
      <c r="H51" s="402"/>
      <c r="I51" s="497"/>
      <c r="J51" s="398"/>
      <c r="K51" s="161" t="s">
        <v>31</v>
      </c>
      <c r="L51" s="203">
        <v>2029</v>
      </c>
      <c r="M51" s="203">
        <v>2051</v>
      </c>
      <c r="N51" s="203">
        <v>2051</v>
      </c>
      <c r="O51" s="203">
        <v>2051</v>
      </c>
      <c r="P51" s="203">
        <v>2064</v>
      </c>
      <c r="Q51" s="203">
        <v>2055</v>
      </c>
      <c r="R51" s="203">
        <v>2051</v>
      </c>
      <c r="S51" s="203">
        <v>2051</v>
      </c>
      <c r="T51" s="203">
        <v>2081</v>
      </c>
      <c r="U51" s="203">
        <v>2068</v>
      </c>
      <c r="V51" s="203">
        <v>2172</v>
      </c>
      <c r="W51" s="162">
        <v>2029</v>
      </c>
      <c r="X51" s="135">
        <f t="shared" si="23"/>
        <v>24753</v>
      </c>
      <c r="Y51" s="105"/>
      <c r="Z51" s="54"/>
    </row>
    <row r="52" spans="1:26">
      <c r="A52" s="70">
        <f t="shared" ref="A52" si="30">+A51</f>
        <v>2022016</v>
      </c>
      <c r="B52" s="74"/>
      <c r="C52" s="405"/>
      <c r="D52" s="403"/>
      <c r="E52" s="403"/>
      <c r="F52" s="407"/>
      <c r="G52" s="403"/>
      <c r="H52" s="403"/>
      <c r="I52" s="498"/>
      <c r="J52" s="399"/>
      <c r="K52" s="65" t="s">
        <v>32</v>
      </c>
      <c r="L52" s="194">
        <f t="shared" ref="L52:M52" si="31">L41-L44</f>
        <v>235516</v>
      </c>
      <c r="M52" s="267">
        <f t="shared" si="31"/>
        <v>231565</v>
      </c>
      <c r="N52" s="267">
        <f>N41-N44</f>
        <v>231565</v>
      </c>
      <c r="O52" s="344">
        <f t="shared" ref="O52:W52" si="32">O41-O44</f>
        <v>231565</v>
      </c>
      <c r="P52" s="344">
        <f t="shared" si="32"/>
        <v>218020</v>
      </c>
      <c r="Q52" s="344">
        <f t="shared" si="32"/>
        <v>219637</v>
      </c>
      <c r="R52" s="344">
        <f t="shared" si="32"/>
        <v>220445</v>
      </c>
      <c r="S52" s="344">
        <f t="shared" si="32"/>
        <v>220445</v>
      </c>
      <c r="T52" s="344">
        <f t="shared" si="32"/>
        <v>214787</v>
      </c>
      <c r="U52" s="344">
        <f t="shared" si="32"/>
        <v>185747</v>
      </c>
      <c r="V52" s="344">
        <f t="shared" si="32"/>
        <v>215413</v>
      </c>
      <c r="W52" s="129">
        <f t="shared" si="32"/>
        <v>235916</v>
      </c>
      <c r="X52" s="50">
        <f>X41-X44</f>
        <v>2660621</v>
      </c>
      <c r="Z52" s="54"/>
    </row>
    <row r="53" spans="1:26" ht="12.75" customHeight="1">
      <c r="A53" s="101">
        <v>2014009</v>
      </c>
      <c r="C53" s="433">
        <f t="shared" ref="C53" si="33">C41+1</f>
        <v>5</v>
      </c>
      <c r="D53" s="402" t="s">
        <v>34</v>
      </c>
      <c r="E53" s="402"/>
      <c r="F53" s="406"/>
      <c r="G53" s="402"/>
      <c r="H53" s="402"/>
      <c r="I53" s="507" t="s">
        <v>66</v>
      </c>
      <c r="J53" s="397" t="s">
        <v>56</v>
      </c>
      <c r="K53" s="66" t="s">
        <v>82</v>
      </c>
      <c r="L53" s="191">
        <f t="shared" ref="L53:W53" si="34">L54+L55</f>
        <v>940000</v>
      </c>
      <c r="M53" s="266">
        <f t="shared" si="34"/>
        <v>940000</v>
      </c>
      <c r="N53" s="266">
        <f t="shared" si="34"/>
        <v>940000</v>
      </c>
      <c r="O53" s="351">
        <f t="shared" si="34"/>
        <v>963500</v>
      </c>
      <c r="P53" s="351">
        <f t="shared" si="34"/>
        <v>940000</v>
      </c>
      <c r="Q53" s="351">
        <f t="shared" si="34"/>
        <v>940000</v>
      </c>
      <c r="R53" s="351">
        <f t="shared" si="34"/>
        <v>940000</v>
      </c>
      <c r="S53" s="351">
        <f t="shared" si="34"/>
        <v>916500</v>
      </c>
      <c r="T53" s="351">
        <f t="shared" si="34"/>
        <v>940000</v>
      </c>
      <c r="U53" s="351">
        <f t="shared" si="34"/>
        <v>940000</v>
      </c>
      <c r="V53" s="351">
        <f t="shared" si="34"/>
        <v>778437</v>
      </c>
      <c r="W53" s="137">
        <f t="shared" si="34"/>
        <v>940000</v>
      </c>
      <c r="X53" s="49">
        <f t="shared" ref="X53:X63" si="35">SUM(L53:W53)</f>
        <v>11118437</v>
      </c>
      <c r="Z53" s="54"/>
    </row>
    <row r="54" spans="1:26">
      <c r="A54" s="70">
        <f t="shared" ref="A54:A64" si="36">+A53</f>
        <v>2014009</v>
      </c>
      <c r="B54" s="74"/>
      <c r="C54" s="404"/>
      <c r="D54" s="402"/>
      <c r="E54" s="402"/>
      <c r="F54" s="406"/>
      <c r="G54" s="402"/>
      <c r="H54" s="402"/>
      <c r="I54" s="507"/>
      <c r="J54" s="398"/>
      <c r="K54" s="159" t="s">
        <v>83</v>
      </c>
      <c r="L54" s="203">
        <v>940000</v>
      </c>
      <c r="M54" s="203">
        <v>940000</v>
      </c>
      <c r="N54" s="203">
        <v>940000</v>
      </c>
      <c r="O54" s="203">
        <v>963500</v>
      </c>
      <c r="P54" s="203">
        <v>940000</v>
      </c>
      <c r="Q54" s="203">
        <v>940000</v>
      </c>
      <c r="R54" s="203">
        <v>940000</v>
      </c>
      <c r="S54" s="203">
        <v>916500</v>
      </c>
      <c r="T54" s="203">
        <v>940000</v>
      </c>
      <c r="U54" s="203">
        <v>940000</v>
      </c>
      <c r="V54" s="203">
        <v>778437</v>
      </c>
      <c r="W54" s="171">
        <v>940000</v>
      </c>
      <c r="X54" s="135">
        <f t="shared" si="35"/>
        <v>11118437</v>
      </c>
      <c r="Y54" s="105"/>
      <c r="Z54" s="54"/>
    </row>
    <row r="55" spans="1:26">
      <c r="A55" s="70">
        <f t="shared" si="36"/>
        <v>2014009</v>
      </c>
      <c r="B55" s="74"/>
      <c r="C55" s="404"/>
      <c r="D55" s="402"/>
      <c r="E55" s="402"/>
      <c r="F55" s="406"/>
      <c r="G55" s="402"/>
      <c r="H55" s="402"/>
      <c r="I55" s="507"/>
      <c r="J55" s="398"/>
      <c r="K55" s="159"/>
      <c r="L55" s="203"/>
      <c r="M55" s="203"/>
      <c r="N55" s="203"/>
      <c r="O55" s="220"/>
      <c r="P55" s="220"/>
      <c r="Q55" s="220"/>
      <c r="R55" s="220"/>
      <c r="S55" s="220"/>
      <c r="T55" s="220"/>
      <c r="U55" s="220"/>
      <c r="V55" s="220"/>
      <c r="W55" s="181"/>
      <c r="X55" s="135">
        <f t="shared" si="35"/>
        <v>0</v>
      </c>
      <c r="Z55" s="54"/>
    </row>
    <row r="56" spans="1:26">
      <c r="A56" s="70">
        <f t="shared" si="36"/>
        <v>2014009</v>
      </c>
      <c r="B56" s="74"/>
      <c r="C56" s="404"/>
      <c r="D56" s="402"/>
      <c r="E56" s="402"/>
      <c r="F56" s="406"/>
      <c r="G56" s="402"/>
      <c r="H56" s="402"/>
      <c r="I56" s="507"/>
      <c r="J56" s="398"/>
      <c r="K56" s="160" t="s">
        <v>84</v>
      </c>
      <c r="L56" s="204">
        <f t="shared" ref="L56:W56" si="37">SUM(L57:L63)</f>
        <v>758186</v>
      </c>
      <c r="M56" s="204">
        <f t="shared" si="37"/>
        <v>758186</v>
      </c>
      <c r="N56" s="204">
        <f t="shared" si="37"/>
        <v>758186</v>
      </c>
      <c r="O56" s="354">
        <f t="shared" si="37"/>
        <v>758186</v>
      </c>
      <c r="P56" s="354">
        <f t="shared" si="37"/>
        <v>758186</v>
      </c>
      <c r="Q56" s="354">
        <f t="shared" si="37"/>
        <v>756491</v>
      </c>
      <c r="R56" s="354">
        <f t="shared" si="37"/>
        <v>756491</v>
      </c>
      <c r="S56" s="354">
        <f t="shared" si="37"/>
        <v>757226</v>
      </c>
      <c r="T56" s="354">
        <f t="shared" si="37"/>
        <v>756491</v>
      </c>
      <c r="U56" s="354">
        <f t="shared" si="37"/>
        <v>807016</v>
      </c>
      <c r="V56" s="354">
        <f t="shared" si="37"/>
        <v>739192</v>
      </c>
      <c r="W56" s="182">
        <f t="shared" si="37"/>
        <v>758186</v>
      </c>
      <c r="X56" s="136">
        <f t="shared" si="35"/>
        <v>9122023</v>
      </c>
      <c r="Z56" s="54"/>
    </row>
    <row r="57" spans="1:26">
      <c r="A57" s="70">
        <f t="shared" si="36"/>
        <v>2014009</v>
      </c>
      <c r="B57" s="74"/>
      <c r="C57" s="404"/>
      <c r="D57" s="402"/>
      <c r="E57" s="402"/>
      <c r="F57" s="406"/>
      <c r="G57" s="402"/>
      <c r="H57" s="402"/>
      <c r="I57" s="507"/>
      <c r="J57" s="398"/>
      <c r="K57" s="161" t="s">
        <v>85</v>
      </c>
      <c r="L57" s="203">
        <v>640000</v>
      </c>
      <c r="M57" s="203">
        <v>640000</v>
      </c>
      <c r="N57" s="203">
        <v>640000</v>
      </c>
      <c r="O57" s="203">
        <v>640000</v>
      </c>
      <c r="P57" s="203">
        <v>640000</v>
      </c>
      <c r="Q57" s="203">
        <v>640000</v>
      </c>
      <c r="R57" s="203">
        <v>640000</v>
      </c>
      <c r="S57" s="203">
        <v>640000</v>
      </c>
      <c r="T57" s="203">
        <v>640000</v>
      </c>
      <c r="U57" s="203">
        <v>690000</v>
      </c>
      <c r="V57" s="203">
        <v>622700</v>
      </c>
      <c r="W57" s="162">
        <v>640000</v>
      </c>
      <c r="X57" s="135">
        <f t="shared" si="35"/>
        <v>7712700</v>
      </c>
      <c r="Y57" s="105"/>
      <c r="Z57" s="54"/>
    </row>
    <row r="58" spans="1:26">
      <c r="A58" s="70">
        <f t="shared" si="36"/>
        <v>2014009</v>
      </c>
      <c r="B58" s="74"/>
      <c r="C58" s="404"/>
      <c r="D58" s="402"/>
      <c r="E58" s="402"/>
      <c r="F58" s="406"/>
      <c r="G58" s="402"/>
      <c r="H58" s="402"/>
      <c r="I58" s="507"/>
      <c r="J58" s="398"/>
      <c r="K58" s="161" t="s">
        <v>33</v>
      </c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162"/>
      <c r="X58" s="135">
        <f t="shared" si="35"/>
        <v>0</v>
      </c>
      <c r="Y58" s="105"/>
      <c r="Z58" s="54"/>
    </row>
    <row r="59" spans="1:26">
      <c r="A59" s="70">
        <f t="shared" si="36"/>
        <v>2014009</v>
      </c>
      <c r="B59" s="74"/>
      <c r="C59" s="404"/>
      <c r="D59" s="402"/>
      <c r="E59" s="402"/>
      <c r="F59" s="406"/>
      <c r="G59" s="402"/>
      <c r="H59" s="402"/>
      <c r="I59" s="507"/>
      <c r="J59" s="398"/>
      <c r="K59" s="161" t="s">
        <v>86</v>
      </c>
      <c r="L59" s="203">
        <v>13430</v>
      </c>
      <c r="M59" s="203">
        <v>13430</v>
      </c>
      <c r="N59" s="203">
        <v>13430</v>
      </c>
      <c r="O59" s="203">
        <v>13430</v>
      </c>
      <c r="P59" s="203">
        <v>13430</v>
      </c>
      <c r="Q59" s="203">
        <v>13430</v>
      </c>
      <c r="R59" s="203">
        <v>13430</v>
      </c>
      <c r="S59" s="203">
        <v>13430</v>
      </c>
      <c r="T59" s="203">
        <v>13430</v>
      </c>
      <c r="U59" s="203">
        <v>13430</v>
      </c>
      <c r="V59" s="203">
        <v>13430</v>
      </c>
      <c r="W59" s="162">
        <v>13430</v>
      </c>
      <c r="X59" s="135">
        <f t="shared" si="35"/>
        <v>161160</v>
      </c>
      <c r="Y59" s="105"/>
      <c r="Z59" s="54"/>
    </row>
    <row r="60" spans="1:26">
      <c r="A60" s="70">
        <f t="shared" si="36"/>
        <v>2014009</v>
      </c>
      <c r="B60" s="74"/>
      <c r="C60" s="404"/>
      <c r="D60" s="402"/>
      <c r="E60" s="402"/>
      <c r="F60" s="406"/>
      <c r="G60" s="402"/>
      <c r="H60" s="402"/>
      <c r="I60" s="507"/>
      <c r="J60" s="398"/>
      <c r="K60" s="161" t="s">
        <v>87</v>
      </c>
      <c r="L60" s="203">
        <v>38420</v>
      </c>
      <c r="M60" s="203">
        <v>38420</v>
      </c>
      <c r="N60" s="203">
        <v>38420</v>
      </c>
      <c r="O60" s="203">
        <v>38420</v>
      </c>
      <c r="P60" s="203">
        <v>38420</v>
      </c>
      <c r="Q60" s="203">
        <v>36725</v>
      </c>
      <c r="R60" s="203">
        <v>36725</v>
      </c>
      <c r="S60" s="203">
        <v>36725</v>
      </c>
      <c r="T60" s="203">
        <v>36725</v>
      </c>
      <c r="U60" s="203">
        <v>36725</v>
      </c>
      <c r="V60" s="203">
        <v>36725</v>
      </c>
      <c r="W60" s="162">
        <v>38420</v>
      </c>
      <c r="X60" s="135">
        <f t="shared" si="35"/>
        <v>450870</v>
      </c>
      <c r="Y60" s="105"/>
      <c r="Z60" s="54"/>
    </row>
    <row r="61" spans="1:26">
      <c r="A61" s="70">
        <f t="shared" si="36"/>
        <v>2014009</v>
      </c>
      <c r="B61" s="74"/>
      <c r="C61" s="404"/>
      <c r="D61" s="402"/>
      <c r="E61" s="402"/>
      <c r="F61" s="406"/>
      <c r="G61" s="402"/>
      <c r="H61" s="402"/>
      <c r="I61" s="507"/>
      <c r="J61" s="398"/>
      <c r="K61" s="161" t="s">
        <v>88</v>
      </c>
      <c r="L61" s="203">
        <v>59475</v>
      </c>
      <c r="M61" s="203">
        <v>59475</v>
      </c>
      <c r="N61" s="203">
        <v>59475</v>
      </c>
      <c r="O61" s="203">
        <v>59475</v>
      </c>
      <c r="P61" s="203">
        <v>59475</v>
      </c>
      <c r="Q61" s="203">
        <v>59475</v>
      </c>
      <c r="R61" s="203">
        <v>59475</v>
      </c>
      <c r="S61" s="203">
        <v>59475</v>
      </c>
      <c r="T61" s="203">
        <v>59475</v>
      </c>
      <c r="U61" s="203">
        <v>59475</v>
      </c>
      <c r="V61" s="203">
        <v>59475</v>
      </c>
      <c r="W61" s="162">
        <v>59475</v>
      </c>
      <c r="X61" s="135">
        <f t="shared" si="35"/>
        <v>713700</v>
      </c>
      <c r="Y61" s="105"/>
      <c r="Z61" s="54"/>
    </row>
    <row r="62" spans="1:26">
      <c r="A62" s="70">
        <f t="shared" si="36"/>
        <v>2014009</v>
      </c>
      <c r="B62" s="74"/>
      <c r="C62" s="404"/>
      <c r="D62" s="402"/>
      <c r="E62" s="402"/>
      <c r="F62" s="406"/>
      <c r="G62" s="402"/>
      <c r="H62" s="402"/>
      <c r="I62" s="507"/>
      <c r="J62" s="398"/>
      <c r="K62" s="161" t="s">
        <v>89</v>
      </c>
      <c r="L62" s="203">
        <v>3267</v>
      </c>
      <c r="M62" s="203">
        <v>3267</v>
      </c>
      <c r="N62" s="203">
        <v>3267</v>
      </c>
      <c r="O62" s="203">
        <v>3267</v>
      </c>
      <c r="P62" s="203">
        <v>3267</v>
      </c>
      <c r="Q62" s="203">
        <v>3267</v>
      </c>
      <c r="R62" s="203">
        <v>3267</v>
      </c>
      <c r="S62" s="203">
        <v>3617</v>
      </c>
      <c r="T62" s="203">
        <v>3267</v>
      </c>
      <c r="U62" s="203">
        <v>3517</v>
      </c>
      <c r="V62" s="203">
        <v>3268</v>
      </c>
      <c r="W62" s="162">
        <v>3267</v>
      </c>
      <c r="X62" s="135">
        <f t="shared" si="35"/>
        <v>39805</v>
      </c>
      <c r="Y62" s="105"/>
      <c r="Z62" s="54"/>
    </row>
    <row r="63" spans="1:26">
      <c r="A63" s="70">
        <f t="shared" si="36"/>
        <v>2014009</v>
      </c>
      <c r="B63" s="74"/>
      <c r="C63" s="404"/>
      <c r="D63" s="402"/>
      <c r="E63" s="402"/>
      <c r="F63" s="406"/>
      <c r="G63" s="402"/>
      <c r="H63" s="402"/>
      <c r="I63" s="507"/>
      <c r="J63" s="398"/>
      <c r="K63" s="161" t="s">
        <v>90</v>
      </c>
      <c r="L63" s="203">
        <v>3594</v>
      </c>
      <c r="M63" s="203">
        <v>3594</v>
      </c>
      <c r="N63" s="203">
        <v>3594</v>
      </c>
      <c r="O63" s="203">
        <v>3594</v>
      </c>
      <c r="P63" s="203">
        <v>3594</v>
      </c>
      <c r="Q63" s="203">
        <v>3594</v>
      </c>
      <c r="R63" s="203">
        <v>3594</v>
      </c>
      <c r="S63" s="203">
        <v>3979</v>
      </c>
      <c r="T63" s="203">
        <v>3594</v>
      </c>
      <c r="U63" s="203">
        <v>3869</v>
      </c>
      <c r="V63" s="203">
        <v>3594</v>
      </c>
      <c r="W63" s="162">
        <v>3594</v>
      </c>
      <c r="X63" s="135">
        <f t="shared" si="35"/>
        <v>43788</v>
      </c>
      <c r="Y63" s="105"/>
      <c r="Z63" s="54"/>
    </row>
    <row r="64" spans="1:26">
      <c r="A64" s="70">
        <f t="shared" si="36"/>
        <v>2014009</v>
      </c>
      <c r="B64" s="74"/>
      <c r="C64" s="405"/>
      <c r="D64" s="403"/>
      <c r="E64" s="403"/>
      <c r="F64" s="407"/>
      <c r="G64" s="403"/>
      <c r="H64" s="403"/>
      <c r="I64" s="508"/>
      <c r="J64" s="399"/>
      <c r="K64" s="65" t="s">
        <v>91</v>
      </c>
      <c r="L64" s="194">
        <f t="shared" ref="L64:X64" si="38">L53-L56</f>
        <v>181814</v>
      </c>
      <c r="M64" s="267">
        <f t="shared" si="38"/>
        <v>181814</v>
      </c>
      <c r="N64" s="267">
        <f t="shared" si="38"/>
        <v>181814</v>
      </c>
      <c r="O64" s="344">
        <f t="shared" si="38"/>
        <v>205314</v>
      </c>
      <c r="P64" s="344">
        <f t="shared" si="38"/>
        <v>181814</v>
      </c>
      <c r="Q64" s="344">
        <f t="shared" si="38"/>
        <v>183509</v>
      </c>
      <c r="R64" s="344">
        <f t="shared" si="38"/>
        <v>183509</v>
      </c>
      <c r="S64" s="344">
        <f t="shared" si="38"/>
        <v>159274</v>
      </c>
      <c r="T64" s="344">
        <f t="shared" si="38"/>
        <v>183509</v>
      </c>
      <c r="U64" s="344">
        <f t="shared" si="38"/>
        <v>132984</v>
      </c>
      <c r="V64" s="344">
        <f t="shared" si="38"/>
        <v>39245</v>
      </c>
      <c r="W64" s="129">
        <f t="shared" si="38"/>
        <v>181814</v>
      </c>
      <c r="X64" s="50">
        <f t="shared" si="38"/>
        <v>1996414</v>
      </c>
      <c r="Z64" s="54"/>
    </row>
    <row r="65" spans="1:26" ht="12.75" customHeight="1">
      <c r="A65" s="101">
        <v>2011007</v>
      </c>
      <c r="C65" s="433">
        <f t="shared" ref="C65" si="39">C53+1</f>
        <v>6</v>
      </c>
      <c r="D65" s="402" t="s">
        <v>34</v>
      </c>
      <c r="E65" s="402"/>
      <c r="F65" s="406"/>
      <c r="G65" s="402"/>
      <c r="H65" s="402"/>
      <c r="I65" s="495" t="s">
        <v>77</v>
      </c>
      <c r="J65" s="397" t="s">
        <v>56</v>
      </c>
      <c r="K65" s="66" t="s">
        <v>22</v>
      </c>
      <c r="L65" s="223">
        <f t="shared" ref="L65:W65" si="40">L66+L67</f>
        <v>850000</v>
      </c>
      <c r="M65" s="280">
        <f t="shared" si="40"/>
        <v>850000</v>
      </c>
      <c r="N65" s="280">
        <f t="shared" si="40"/>
        <v>850000</v>
      </c>
      <c r="O65" s="355">
        <f t="shared" si="40"/>
        <v>850000</v>
      </c>
      <c r="P65" s="355">
        <f t="shared" si="40"/>
        <v>850000</v>
      </c>
      <c r="Q65" s="355">
        <f t="shared" si="40"/>
        <v>850000</v>
      </c>
      <c r="R65" s="355">
        <f t="shared" si="40"/>
        <v>850000</v>
      </c>
      <c r="S65" s="355">
        <f t="shared" si="40"/>
        <v>850000</v>
      </c>
      <c r="T65" s="355">
        <f t="shared" si="40"/>
        <v>850000</v>
      </c>
      <c r="U65" s="355">
        <f t="shared" si="40"/>
        <v>850000</v>
      </c>
      <c r="V65" s="355">
        <f t="shared" si="40"/>
        <v>850000</v>
      </c>
      <c r="W65" s="137">
        <f t="shared" si="40"/>
        <v>850000</v>
      </c>
      <c r="X65" s="49">
        <f>SUM(L65:W65)</f>
        <v>10200000</v>
      </c>
      <c r="Z65" s="54"/>
    </row>
    <row r="66" spans="1:26">
      <c r="A66" s="70">
        <f>+A65</f>
        <v>2011007</v>
      </c>
      <c r="B66" s="74"/>
      <c r="C66" s="404"/>
      <c r="D66" s="402"/>
      <c r="E66" s="402"/>
      <c r="F66" s="406"/>
      <c r="G66" s="402"/>
      <c r="H66" s="402"/>
      <c r="I66" s="495"/>
      <c r="J66" s="398"/>
      <c r="K66" s="62" t="s">
        <v>23</v>
      </c>
      <c r="L66" s="196">
        <v>850000</v>
      </c>
      <c r="M66" s="212">
        <v>850000</v>
      </c>
      <c r="N66" s="212">
        <v>850000</v>
      </c>
      <c r="O66" s="212">
        <v>850000</v>
      </c>
      <c r="P66" s="212">
        <v>850000</v>
      </c>
      <c r="Q66" s="212">
        <v>850000</v>
      </c>
      <c r="R66" s="212">
        <v>850000</v>
      </c>
      <c r="S66" s="212">
        <v>850000</v>
      </c>
      <c r="T66" s="212">
        <v>850000</v>
      </c>
      <c r="U66" s="212">
        <v>850000</v>
      </c>
      <c r="V66" s="212">
        <v>850000</v>
      </c>
      <c r="W66" s="36">
        <v>850000</v>
      </c>
      <c r="X66" s="135">
        <f>SUM(L66:W66)</f>
        <v>10200000</v>
      </c>
      <c r="Z66" s="54"/>
    </row>
    <row r="67" spans="1:26">
      <c r="A67" s="70">
        <f t="shared" ref="A67:A76" si="41">+A66</f>
        <v>2011007</v>
      </c>
      <c r="B67" s="74"/>
      <c r="C67" s="404"/>
      <c r="D67" s="402"/>
      <c r="E67" s="402"/>
      <c r="F67" s="406"/>
      <c r="G67" s="402"/>
      <c r="H67" s="402"/>
      <c r="I67" s="495"/>
      <c r="J67" s="398"/>
      <c r="K67" s="62" t="s">
        <v>24</v>
      </c>
      <c r="L67" s="211"/>
      <c r="M67" s="210"/>
      <c r="N67" s="210"/>
      <c r="O67" s="347"/>
      <c r="P67" s="347"/>
      <c r="Q67" s="347"/>
      <c r="R67" s="347"/>
      <c r="S67" s="347"/>
      <c r="T67" s="347"/>
      <c r="U67" s="347"/>
      <c r="V67" s="347"/>
      <c r="W67" s="133"/>
      <c r="X67" s="135">
        <v>0</v>
      </c>
      <c r="Z67" s="54"/>
    </row>
    <row r="68" spans="1:26">
      <c r="A68" s="70">
        <f t="shared" si="41"/>
        <v>2011007</v>
      </c>
      <c r="B68" s="74"/>
      <c r="C68" s="404"/>
      <c r="D68" s="402"/>
      <c r="E68" s="402"/>
      <c r="F68" s="406"/>
      <c r="G68" s="402"/>
      <c r="H68" s="402"/>
      <c r="I68" s="495"/>
      <c r="J68" s="398"/>
      <c r="K68" s="63" t="s">
        <v>25</v>
      </c>
      <c r="L68" s="219">
        <f t="shared" ref="L68:W68" si="42">SUM(L69:L75)</f>
        <v>630577</v>
      </c>
      <c r="M68" s="279">
        <f t="shared" si="42"/>
        <v>630173</v>
      </c>
      <c r="N68" s="279">
        <f t="shared" si="42"/>
        <v>630577</v>
      </c>
      <c r="O68" s="350">
        <f t="shared" si="42"/>
        <v>630577</v>
      </c>
      <c r="P68" s="350">
        <f t="shared" si="42"/>
        <v>629769</v>
      </c>
      <c r="Q68" s="350">
        <f>SUM(Q69:Q75)</f>
        <v>629769</v>
      </c>
      <c r="R68" s="350">
        <f t="shared" si="42"/>
        <v>630981</v>
      </c>
      <c r="S68" s="350">
        <f t="shared" si="42"/>
        <v>629365</v>
      </c>
      <c r="T68" s="350">
        <f t="shared" si="42"/>
        <v>630173</v>
      </c>
      <c r="U68" s="350">
        <f t="shared" si="42"/>
        <v>628960</v>
      </c>
      <c r="V68" s="350">
        <f t="shared" si="42"/>
        <v>629951</v>
      </c>
      <c r="W68" s="134">
        <f t="shared" si="42"/>
        <v>630577</v>
      </c>
      <c r="X68" s="136">
        <f>SUM(L68:W68)</f>
        <v>7561449</v>
      </c>
      <c r="Z68" s="54"/>
    </row>
    <row r="69" spans="1:26">
      <c r="A69" s="70">
        <f t="shared" si="41"/>
        <v>2011007</v>
      </c>
      <c r="B69" s="74"/>
      <c r="C69" s="404"/>
      <c r="D69" s="402"/>
      <c r="E69" s="402"/>
      <c r="F69" s="406"/>
      <c r="G69" s="402"/>
      <c r="H69" s="402"/>
      <c r="I69" s="495"/>
      <c r="J69" s="398"/>
      <c r="K69" s="161" t="s">
        <v>26</v>
      </c>
      <c r="L69" s="203">
        <v>546400</v>
      </c>
      <c r="M69" s="203">
        <v>546000</v>
      </c>
      <c r="N69" s="203">
        <v>546400</v>
      </c>
      <c r="O69" s="203">
        <v>546400</v>
      </c>
      <c r="P69" s="203">
        <v>545600</v>
      </c>
      <c r="Q69" s="203">
        <v>545600</v>
      </c>
      <c r="R69" s="203">
        <v>546800</v>
      </c>
      <c r="S69" s="203">
        <v>545200</v>
      </c>
      <c r="T69" s="203">
        <v>546000</v>
      </c>
      <c r="U69" s="203">
        <v>544800</v>
      </c>
      <c r="V69" s="203">
        <v>545600</v>
      </c>
      <c r="W69" s="162">
        <v>546400</v>
      </c>
      <c r="X69" s="135">
        <f t="shared" ref="X69:X75" si="43">SUM(L69:W69)</f>
        <v>6551200</v>
      </c>
      <c r="Y69" s="105"/>
      <c r="Z69" s="54"/>
    </row>
    <row r="70" spans="1:26">
      <c r="A70" s="70">
        <f t="shared" si="41"/>
        <v>2011007</v>
      </c>
      <c r="B70" s="74"/>
      <c r="C70" s="404"/>
      <c r="D70" s="402"/>
      <c r="E70" s="402"/>
      <c r="F70" s="406"/>
      <c r="G70" s="402"/>
      <c r="H70" s="402"/>
      <c r="I70" s="495"/>
      <c r="J70" s="398"/>
      <c r="K70" s="161" t="s">
        <v>33</v>
      </c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162"/>
      <c r="X70" s="135">
        <f t="shared" si="43"/>
        <v>0</v>
      </c>
      <c r="Y70" s="105"/>
      <c r="Z70" s="54"/>
    </row>
    <row r="71" spans="1:26">
      <c r="A71" s="70">
        <f t="shared" si="41"/>
        <v>2011007</v>
      </c>
      <c r="B71" s="74"/>
      <c r="C71" s="404"/>
      <c r="D71" s="402"/>
      <c r="E71" s="402"/>
      <c r="F71" s="406"/>
      <c r="G71" s="402"/>
      <c r="H71" s="402"/>
      <c r="I71" s="495"/>
      <c r="J71" s="398"/>
      <c r="K71" s="161" t="s">
        <v>27</v>
      </c>
      <c r="L71" s="203">
        <v>0</v>
      </c>
      <c r="M71" s="203">
        <v>0</v>
      </c>
      <c r="N71" s="203">
        <v>0</v>
      </c>
      <c r="O71" s="203">
        <v>0</v>
      </c>
      <c r="P71" s="203">
        <v>0</v>
      </c>
      <c r="Q71" s="203">
        <v>0</v>
      </c>
      <c r="R71" s="203">
        <v>0</v>
      </c>
      <c r="S71" s="203">
        <v>0</v>
      </c>
      <c r="T71" s="203">
        <v>0</v>
      </c>
      <c r="U71" s="203">
        <v>0</v>
      </c>
      <c r="V71" s="203">
        <v>0</v>
      </c>
      <c r="W71" s="162">
        <v>0</v>
      </c>
      <c r="X71" s="135">
        <f t="shared" si="43"/>
        <v>0</v>
      </c>
      <c r="Y71" s="105"/>
      <c r="Z71" s="54"/>
    </row>
    <row r="72" spans="1:26">
      <c r="A72" s="70">
        <f t="shared" si="41"/>
        <v>2011007</v>
      </c>
      <c r="B72" s="74"/>
      <c r="C72" s="404"/>
      <c r="D72" s="402"/>
      <c r="E72" s="402"/>
      <c r="F72" s="406"/>
      <c r="G72" s="402"/>
      <c r="H72" s="402"/>
      <c r="I72" s="495"/>
      <c r="J72" s="398"/>
      <c r="K72" s="161" t="s">
        <v>28</v>
      </c>
      <c r="L72" s="203">
        <v>29945</v>
      </c>
      <c r="M72" s="203">
        <v>29945</v>
      </c>
      <c r="N72" s="203">
        <v>29945</v>
      </c>
      <c r="O72" s="203">
        <v>29945</v>
      </c>
      <c r="P72" s="203">
        <v>29945</v>
      </c>
      <c r="Q72" s="203">
        <v>29945</v>
      </c>
      <c r="R72" s="203">
        <v>29945</v>
      </c>
      <c r="S72" s="203">
        <v>29945</v>
      </c>
      <c r="T72" s="203">
        <v>29945</v>
      </c>
      <c r="U72" s="203">
        <v>29945</v>
      </c>
      <c r="V72" s="203">
        <v>29945</v>
      </c>
      <c r="W72" s="162">
        <v>29945</v>
      </c>
      <c r="X72" s="135">
        <f t="shared" si="43"/>
        <v>359340</v>
      </c>
      <c r="Y72" s="105"/>
      <c r="Z72" s="54"/>
    </row>
    <row r="73" spans="1:26">
      <c r="A73" s="70">
        <f t="shared" si="41"/>
        <v>2011007</v>
      </c>
      <c r="B73" s="74"/>
      <c r="C73" s="404"/>
      <c r="D73" s="402"/>
      <c r="E73" s="402"/>
      <c r="F73" s="406"/>
      <c r="G73" s="402"/>
      <c r="H73" s="402"/>
      <c r="I73" s="495"/>
      <c r="J73" s="398"/>
      <c r="K73" s="161" t="s">
        <v>29</v>
      </c>
      <c r="L73" s="203">
        <v>48495</v>
      </c>
      <c r="M73" s="203">
        <v>48495</v>
      </c>
      <c r="N73" s="203">
        <v>48495</v>
      </c>
      <c r="O73" s="203">
        <v>48495</v>
      </c>
      <c r="P73" s="203">
        <v>48495</v>
      </c>
      <c r="Q73" s="203">
        <v>48495</v>
      </c>
      <c r="R73" s="203">
        <v>48495</v>
      </c>
      <c r="S73" s="203">
        <v>48495</v>
      </c>
      <c r="T73" s="203">
        <v>48495</v>
      </c>
      <c r="U73" s="203">
        <v>48495</v>
      </c>
      <c r="V73" s="203">
        <v>48495</v>
      </c>
      <c r="W73" s="162">
        <v>48495</v>
      </c>
      <c r="X73" s="135">
        <f t="shared" si="43"/>
        <v>581940</v>
      </c>
      <c r="Y73" s="105"/>
      <c r="Z73" s="54"/>
    </row>
    <row r="74" spans="1:26">
      <c r="A74" s="70">
        <f t="shared" si="41"/>
        <v>2011007</v>
      </c>
      <c r="B74" s="74"/>
      <c r="C74" s="404"/>
      <c r="D74" s="402"/>
      <c r="E74" s="402"/>
      <c r="F74" s="406"/>
      <c r="G74" s="402"/>
      <c r="H74" s="402"/>
      <c r="I74" s="495"/>
      <c r="J74" s="398"/>
      <c r="K74" s="161" t="s">
        <v>30</v>
      </c>
      <c r="L74" s="203">
        <v>2732</v>
      </c>
      <c r="M74" s="203">
        <v>2730</v>
      </c>
      <c r="N74" s="203">
        <v>2732</v>
      </c>
      <c r="O74" s="203">
        <v>2732</v>
      </c>
      <c r="P74" s="203">
        <v>2728</v>
      </c>
      <c r="Q74" s="203">
        <v>2728</v>
      </c>
      <c r="R74" s="203">
        <v>2734</v>
      </c>
      <c r="S74" s="203">
        <v>2726</v>
      </c>
      <c r="T74" s="203">
        <v>2730</v>
      </c>
      <c r="U74" s="203">
        <v>2724</v>
      </c>
      <c r="V74" s="203">
        <v>2815</v>
      </c>
      <c r="W74" s="162">
        <v>2732</v>
      </c>
      <c r="X74" s="135">
        <f t="shared" si="43"/>
        <v>32843</v>
      </c>
      <c r="Y74" s="105"/>
      <c r="Z74" s="54"/>
    </row>
    <row r="75" spans="1:26">
      <c r="A75" s="70">
        <f t="shared" si="41"/>
        <v>2011007</v>
      </c>
      <c r="B75" s="74"/>
      <c r="C75" s="404"/>
      <c r="D75" s="402"/>
      <c r="E75" s="402"/>
      <c r="F75" s="406"/>
      <c r="G75" s="402"/>
      <c r="H75" s="402"/>
      <c r="I75" s="495"/>
      <c r="J75" s="398"/>
      <c r="K75" s="161" t="s">
        <v>31</v>
      </c>
      <c r="L75" s="203">
        <v>3005</v>
      </c>
      <c r="M75" s="203">
        <v>3003</v>
      </c>
      <c r="N75" s="203">
        <v>3005</v>
      </c>
      <c r="O75" s="203">
        <v>3005</v>
      </c>
      <c r="P75" s="203">
        <v>3001</v>
      </c>
      <c r="Q75" s="203">
        <v>3001</v>
      </c>
      <c r="R75" s="203">
        <v>3007</v>
      </c>
      <c r="S75" s="203">
        <v>2999</v>
      </c>
      <c r="T75" s="203">
        <v>3003</v>
      </c>
      <c r="U75" s="203">
        <v>2996</v>
      </c>
      <c r="V75" s="203">
        <v>3096</v>
      </c>
      <c r="W75" s="162">
        <v>3005</v>
      </c>
      <c r="X75" s="135">
        <f t="shared" si="43"/>
        <v>36126</v>
      </c>
      <c r="Y75" s="105"/>
      <c r="Z75" s="54"/>
    </row>
    <row r="76" spans="1:26">
      <c r="A76" s="70">
        <f t="shared" si="41"/>
        <v>2011007</v>
      </c>
      <c r="B76" s="74"/>
      <c r="C76" s="405"/>
      <c r="D76" s="403"/>
      <c r="E76" s="403"/>
      <c r="F76" s="407"/>
      <c r="G76" s="403"/>
      <c r="H76" s="403"/>
      <c r="I76" s="496"/>
      <c r="J76" s="399"/>
      <c r="K76" s="65" t="s">
        <v>32</v>
      </c>
      <c r="L76" s="194">
        <f t="shared" ref="L76:X76" si="44">L65-L68</f>
        <v>219423</v>
      </c>
      <c r="M76" s="267">
        <f t="shared" si="44"/>
        <v>219827</v>
      </c>
      <c r="N76" s="267">
        <f t="shared" si="44"/>
        <v>219423</v>
      </c>
      <c r="O76" s="344">
        <f t="shared" si="44"/>
        <v>219423</v>
      </c>
      <c r="P76" s="344">
        <f t="shared" si="44"/>
        <v>220231</v>
      </c>
      <c r="Q76" s="344">
        <f t="shared" si="44"/>
        <v>220231</v>
      </c>
      <c r="R76" s="344">
        <f t="shared" si="44"/>
        <v>219019</v>
      </c>
      <c r="S76" s="344">
        <f t="shared" si="44"/>
        <v>220635</v>
      </c>
      <c r="T76" s="344">
        <f t="shared" si="44"/>
        <v>219827</v>
      </c>
      <c r="U76" s="344">
        <f t="shared" si="44"/>
        <v>221040</v>
      </c>
      <c r="V76" s="344">
        <f t="shared" si="44"/>
        <v>220049</v>
      </c>
      <c r="W76" s="129">
        <f t="shared" si="44"/>
        <v>219423</v>
      </c>
      <c r="X76" s="50">
        <f t="shared" si="44"/>
        <v>2638551</v>
      </c>
      <c r="Z76" s="54"/>
    </row>
    <row r="77" spans="1:26" ht="12.75" customHeight="1">
      <c r="A77" s="101">
        <v>2017023</v>
      </c>
      <c r="C77" s="433">
        <f t="shared" ref="C77" si="45">C65+1</f>
        <v>7</v>
      </c>
      <c r="D77" s="402" t="s">
        <v>34</v>
      </c>
      <c r="E77" s="402"/>
      <c r="F77" s="406"/>
      <c r="G77" s="402"/>
      <c r="H77" s="402"/>
      <c r="I77" s="497" t="s">
        <v>111</v>
      </c>
      <c r="J77" s="397" t="s">
        <v>56</v>
      </c>
      <c r="K77" s="66" t="s">
        <v>22</v>
      </c>
      <c r="L77" s="191">
        <f>L78+L79</f>
        <v>791415</v>
      </c>
      <c r="M77" s="266">
        <f>M78+M79</f>
        <v>784608</v>
      </c>
      <c r="N77" s="266">
        <f>N78+N79</f>
        <v>767103</v>
      </c>
      <c r="O77" s="351">
        <f>O78+O79</f>
        <v>726258</v>
      </c>
      <c r="P77" s="351">
        <f t="shared" ref="P77:W77" si="46">P78+P79</f>
        <v>806976</v>
      </c>
      <c r="Q77" s="351">
        <f t="shared" si="46"/>
        <v>737928</v>
      </c>
      <c r="R77" s="351">
        <f t="shared" si="46"/>
        <v>762240</v>
      </c>
      <c r="S77" s="351">
        <f t="shared" si="46"/>
        <v>770020</v>
      </c>
      <c r="T77" s="351">
        <f t="shared" si="46"/>
        <v>700000</v>
      </c>
      <c r="U77" s="351">
        <f t="shared" si="46"/>
        <v>737928</v>
      </c>
      <c r="V77" s="351">
        <f t="shared" si="46"/>
        <v>762240</v>
      </c>
      <c r="W77" s="137">
        <f t="shared" si="46"/>
        <v>700000</v>
      </c>
      <c r="X77" s="49">
        <f>SUM(L77:W77)</f>
        <v>9046716</v>
      </c>
      <c r="Z77" s="54"/>
    </row>
    <row r="78" spans="1:26">
      <c r="A78" s="70">
        <f>+A77</f>
        <v>2017023</v>
      </c>
      <c r="B78" s="74"/>
      <c r="C78" s="404"/>
      <c r="D78" s="402"/>
      <c r="E78" s="402"/>
      <c r="F78" s="406"/>
      <c r="G78" s="402"/>
      <c r="H78" s="402"/>
      <c r="I78" s="497"/>
      <c r="J78" s="398"/>
      <c r="K78" s="159" t="s">
        <v>23</v>
      </c>
      <c r="L78" s="203">
        <v>791415</v>
      </c>
      <c r="M78" s="203">
        <v>784608</v>
      </c>
      <c r="N78" s="203">
        <v>767103</v>
      </c>
      <c r="O78" s="203">
        <v>726258</v>
      </c>
      <c r="P78" s="220">
        <v>806976</v>
      </c>
      <c r="Q78" s="203">
        <v>737928</v>
      </c>
      <c r="R78" s="203">
        <v>762240</v>
      </c>
      <c r="S78" s="203">
        <v>770020</v>
      </c>
      <c r="T78" s="203">
        <v>700000</v>
      </c>
      <c r="U78" s="203">
        <v>737928</v>
      </c>
      <c r="V78" s="203">
        <v>762240</v>
      </c>
      <c r="W78" s="171">
        <v>700000</v>
      </c>
      <c r="X78" s="135">
        <f>SUM(L78:W78)</f>
        <v>9046716</v>
      </c>
      <c r="Y78" s="105"/>
      <c r="Z78" s="54"/>
    </row>
    <row r="79" spans="1:26">
      <c r="A79" s="70">
        <f t="shared" ref="A79:A88" si="47">+A78</f>
        <v>2017023</v>
      </c>
      <c r="B79" s="74"/>
      <c r="C79" s="404"/>
      <c r="D79" s="402"/>
      <c r="E79" s="402"/>
      <c r="F79" s="406"/>
      <c r="G79" s="402"/>
      <c r="H79" s="402"/>
      <c r="I79" s="497"/>
      <c r="J79" s="398"/>
      <c r="K79" s="159" t="s">
        <v>24</v>
      </c>
      <c r="L79" s="203"/>
      <c r="M79" s="203"/>
      <c r="N79" s="203"/>
      <c r="O79" s="220"/>
      <c r="P79" s="220"/>
      <c r="Q79" s="220"/>
      <c r="R79" s="220"/>
      <c r="S79" s="220"/>
      <c r="T79" s="220"/>
      <c r="U79" s="220"/>
      <c r="V79" s="220"/>
      <c r="W79" s="181"/>
      <c r="X79" s="135">
        <v>0</v>
      </c>
      <c r="Z79" s="54"/>
    </row>
    <row r="80" spans="1:26">
      <c r="A80" s="70">
        <f t="shared" si="47"/>
        <v>2017023</v>
      </c>
      <c r="B80" s="74"/>
      <c r="C80" s="404"/>
      <c r="D80" s="402"/>
      <c r="E80" s="402"/>
      <c r="F80" s="406"/>
      <c r="G80" s="402"/>
      <c r="H80" s="402"/>
      <c r="I80" s="497"/>
      <c r="J80" s="398"/>
      <c r="K80" s="160" t="s">
        <v>25</v>
      </c>
      <c r="L80" s="204">
        <f>SUM(L81:L87)</f>
        <v>699604</v>
      </c>
      <c r="M80" s="204">
        <f>SUM(M81:M87)</f>
        <v>655389</v>
      </c>
      <c r="N80" s="204">
        <f>SUM(N81:N87)</f>
        <v>639306</v>
      </c>
      <c r="O80" s="354">
        <f>SUM(O81:O87)</f>
        <v>694774</v>
      </c>
      <c r="P80" s="354">
        <f t="shared" ref="P80:W80" si="48">SUM(P81:P87)</f>
        <v>636457</v>
      </c>
      <c r="Q80" s="354">
        <f t="shared" si="48"/>
        <v>648817</v>
      </c>
      <c r="R80" s="354">
        <f t="shared" si="48"/>
        <v>670618</v>
      </c>
      <c r="S80" s="354">
        <f t="shared" si="48"/>
        <v>600231</v>
      </c>
      <c r="T80" s="354">
        <f t="shared" si="48"/>
        <v>649989</v>
      </c>
      <c r="U80" s="354">
        <f t="shared" si="48"/>
        <v>651617</v>
      </c>
      <c r="V80" s="354">
        <f>SUM(V81:V87)</f>
        <v>623290</v>
      </c>
      <c r="W80" s="182">
        <f t="shared" si="48"/>
        <v>599461</v>
      </c>
      <c r="X80" s="136">
        <f>SUM(L80:W80)</f>
        <v>7769553</v>
      </c>
      <c r="Z80" s="54"/>
    </row>
    <row r="81" spans="1:26">
      <c r="A81" s="70">
        <f t="shared" si="47"/>
        <v>2017023</v>
      </c>
      <c r="B81" s="74"/>
      <c r="C81" s="404"/>
      <c r="D81" s="402"/>
      <c r="E81" s="402"/>
      <c r="F81" s="406"/>
      <c r="G81" s="402"/>
      <c r="H81" s="402"/>
      <c r="I81" s="497"/>
      <c r="J81" s="398"/>
      <c r="K81" s="161" t="s">
        <v>26</v>
      </c>
      <c r="L81" s="203">
        <v>610143</v>
      </c>
      <c r="M81" s="203">
        <v>568628</v>
      </c>
      <c r="N81" s="203">
        <v>551272</v>
      </c>
      <c r="O81" s="203">
        <v>606707</v>
      </c>
      <c r="P81" s="203">
        <v>550085</v>
      </c>
      <c r="Q81" s="203">
        <v>550223</v>
      </c>
      <c r="R81" s="203">
        <v>569621</v>
      </c>
      <c r="S81" s="203">
        <v>502141</v>
      </c>
      <c r="T81" s="203">
        <v>551382</v>
      </c>
      <c r="U81" s="203">
        <v>551906</v>
      </c>
      <c r="V81" s="203">
        <v>523692</v>
      </c>
      <c r="W81" s="162">
        <v>510000</v>
      </c>
      <c r="X81" s="135">
        <f t="shared" ref="X81:X87" si="49">SUM(L81:W81)</f>
        <v>6645800</v>
      </c>
      <c r="Y81" s="105"/>
      <c r="Z81" s="54"/>
    </row>
    <row r="82" spans="1:26">
      <c r="A82" s="70">
        <f t="shared" si="47"/>
        <v>2017023</v>
      </c>
      <c r="B82" s="74"/>
      <c r="C82" s="404"/>
      <c r="D82" s="402"/>
      <c r="E82" s="402"/>
      <c r="F82" s="406"/>
      <c r="G82" s="402"/>
      <c r="H82" s="402"/>
      <c r="I82" s="497"/>
      <c r="J82" s="398"/>
      <c r="K82" s="161" t="s">
        <v>33</v>
      </c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162"/>
      <c r="X82" s="135">
        <f t="shared" si="49"/>
        <v>0</v>
      </c>
      <c r="Y82" s="105"/>
      <c r="Z82" s="54"/>
    </row>
    <row r="83" spans="1:26">
      <c r="A83" s="70">
        <f t="shared" si="47"/>
        <v>2017023</v>
      </c>
      <c r="B83" s="74"/>
      <c r="C83" s="404"/>
      <c r="D83" s="402"/>
      <c r="E83" s="402"/>
      <c r="F83" s="406"/>
      <c r="G83" s="402"/>
      <c r="H83" s="402"/>
      <c r="I83" s="497"/>
      <c r="J83" s="398"/>
      <c r="K83" s="161" t="s">
        <v>27</v>
      </c>
      <c r="L83" s="203">
        <v>8960</v>
      </c>
      <c r="M83" s="203">
        <v>6720</v>
      </c>
      <c r="N83" s="203">
        <v>8160</v>
      </c>
      <c r="O83" s="203">
        <v>7616</v>
      </c>
      <c r="P83" s="203">
        <v>6528</v>
      </c>
      <c r="Q83" s="203">
        <v>5440</v>
      </c>
      <c r="R83" s="203">
        <v>7616</v>
      </c>
      <c r="S83" s="203">
        <v>5440</v>
      </c>
      <c r="T83" s="203">
        <v>5440</v>
      </c>
      <c r="U83" s="203">
        <v>6528</v>
      </c>
      <c r="V83" s="203">
        <v>6528</v>
      </c>
      <c r="W83" s="162">
        <v>8960</v>
      </c>
      <c r="X83" s="135">
        <f t="shared" si="49"/>
        <v>83936</v>
      </c>
      <c r="Y83" s="105"/>
      <c r="Z83" s="54"/>
    </row>
    <row r="84" spans="1:26">
      <c r="A84" s="70">
        <f t="shared" si="47"/>
        <v>2017023</v>
      </c>
      <c r="B84" s="74"/>
      <c r="C84" s="404"/>
      <c r="D84" s="402"/>
      <c r="E84" s="402"/>
      <c r="F84" s="406"/>
      <c r="G84" s="402"/>
      <c r="H84" s="402"/>
      <c r="I84" s="497"/>
      <c r="J84" s="398"/>
      <c r="K84" s="161" t="s">
        <v>28</v>
      </c>
      <c r="L84" s="203">
        <v>28250</v>
      </c>
      <c r="M84" s="203">
        <v>28250</v>
      </c>
      <c r="N84" s="203">
        <v>28250</v>
      </c>
      <c r="O84" s="203">
        <v>28250</v>
      </c>
      <c r="P84" s="203">
        <v>28250</v>
      </c>
      <c r="Q84" s="203">
        <v>33335</v>
      </c>
      <c r="R84" s="203">
        <v>33335</v>
      </c>
      <c r="S84" s="203">
        <v>33335</v>
      </c>
      <c r="T84" s="203">
        <v>33335</v>
      </c>
      <c r="U84" s="203">
        <v>33335</v>
      </c>
      <c r="V84" s="203">
        <v>33335</v>
      </c>
      <c r="W84" s="162">
        <v>28250</v>
      </c>
      <c r="X84" s="135">
        <f t="shared" si="49"/>
        <v>369510</v>
      </c>
      <c r="Y84" s="105"/>
      <c r="Z84" s="54"/>
    </row>
    <row r="85" spans="1:26">
      <c r="A85" s="70">
        <f t="shared" si="47"/>
        <v>2017023</v>
      </c>
      <c r="B85" s="74"/>
      <c r="C85" s="404"/>
      <c r="D85" s="402"/>
      <c r="E85" s="402"/>
      <c r="F85" s="406"/>
      <c r="G85" s="402"/>
      <c r="H85" s="402"/>
      <c r="I85" s="497"/>
      <c r="J85" s="398"/>
      <c r="K85" s="161" t="s">
        <v>29</v>
      </c>
      <c r="L85" s="203">
        <v>45750</v>
      </c>
      <c r="M85" s="203">
        <v>45750</v>
      </c>
      <c r="N85" s="203">
        <v>45750</v>
      </c>
      <c r="O85" s="203">
        <v>45750</v>
      </c>
      <c r="P85" s="203">
        <v>45750</v>
      </c>
      <c r="Q85" s="203">
        <v>53985</v>
      </c>
      <c r="R85" s="203">
        <v>53985</v>
      </c>
      <c r="S85" s="203">
        <v>53985</v>
      </c>
      <c r="T85" s="203">
        <v>53985</v>
      </c>
      <c r="U85" s="203">
        <v>53985</v>
      </c>
      <c r="V85" s="203">
        <v>53985</v>
      </c>
      <c r="W85" s="162">
        <v>45750</v>
      </c>
      <c r="X85" s="135">
        <f t="shared" si="49"/>
        <v>598410</v>
      </c>
      <c r="Y85" s="105"/>
      <c r="Z85" s="54"/>
    </row>
    <row r="86" spans="1:26">
      <c r="A86" s="70">
        <f t="shared" si="47"/>
        <v>2017023</v>
      </c>
      <c r="B86" s="74"/>
      <c r="C86" s="404"/>
      <c r="D86" s="402"/>
      <c r="E86" s="402"/>
      <c r="F86" s="406"/>
      <c r="G86" s="402"/>
      <c r="H86" s="402"/>
      <c r="I86" s="497"/>
      <c r="J86" s="398"/>
      <c r="K86" s="161" t="s">
        <v>30</v>
      </c>
      <c r="L86" s="203">
        <v>3096</v>
      </c>
      <c r="M86" s="203">
        <v>2877</v>
      </c>
      <c r="N86" s="203">
        <v>2797</v>
      </c>
      <c r="O86" s="203">
        <v>3072</v>
      </c>
      <c r="P86" s="203">
        <v>2783</v>
      </c>
      <c r="Q86" s="203">
        <v>2778</v>
      </c>
      <c r="R86" s="203">
        <v>2886</v>
      </c>
      <c r="S86" s="203">
        <v>2538</v>
      </c>
      <c r="T86" s="203">
        <v>2784</v>
      </c>
      <c r="U86" s="203">
        <v>2792</v>
      </c>
      <c r="V86" s="203">
        <v>2738</v>
      </c>
      <c r="W86" s="162">
        <v>3096</v>
      </c>
      <c r="X86" s="135">
        <f t="shared" si="49"/>
        <v>34237</v>
      </c>
      <c r="Y86" s="105"/>
      <c r="Z86" s="54"/>
    </row>
    <row r="87" spans="1:26">
      <c r="A87" s="70">
        <f t="shared" si="47"/>
        <v>2017023</v>
      </c>
      <c r="B87" s="74"/>
      <c r="C87" s="404"/>
      <c r="D87" s="402"/>
      <c r="E87" s="402"/>
      <c r="F87" s="406"/>
      <c r="G87" s="402"/>
      <c r="H87" s="402"/>
      <c r="I87" s="497"/>
      <c r="J87" s="398"/>
      <c r="K87" s="161" t="s">
        <v>31</v>
      </c>
      <c r="L87" s="203">
        <v>3405</v>
      </c>
      <c r="M87" s="203">
        <v>3164</v>
      </c>
      <c r="N87" s="203">
        <v>3077</v>
      </c>
      <c r="O87" s="203">
        <v>3379</v>
      </c>
      <c r="P87" s="203">
        <v>3061</v>
      </c>
      <c r="Q87" s="203">
        <v>3056</v>
      </c>
      <c r="R87" s="203">
        <v>3175</v>
      </c>
      <c r="S87" s="203">
        <v>2792</v>
      </c>
      <c r="T87" s="203">
        <v>3063</v>
      </c>
      <c r="U87" s="203">
        <v>3071</v>
      </c>
      <c r="V87" s="203">
        <v>3012</v>
      </c>
      <c r="W87" s="162">
        <v>3405</v>
      </c>
      <c r="X87" s="135">
        <f t="shared" si="49"/>
        <v>37660</v>
      </c>
      <c r="Y87" s="105"/>
      <c r="Z87" s="54"/>
    </row>
    <row r="88" spans="1:26">
      <c r="A88" s="70">
        <f t="shared" si="47"/>
        <v>2017023</v>
      </c>
      <c r="B88" s="74"/>
      <c r="C88" s="405"/>
      <c r="D88" s="403"/>
      <c r="E88" s="403"/>
      <c r="F88" s="407"/>
      <c r="G88" s="403"/>
      <c r="H88" s="403"/>
      <c r="I88" s="498"/>
      <c r="J88" s="399"/>
      <c r="K88" s="65" t="s">
        <v>32</v>
      </c>
      <c r="L88" s="194">
        <f>L77-L80</f>
        <v>91811</v>
      </c>
      <c r="M88" s="267">
        <f>M77-M80</f>
        <v>129219</v>
      </c>
      <c r="N88" s="267">
        <f>N77-N80</f>
        <v>127797</v>
      </c>
      <c r="O88" s="344">
        <f>O77-O80</f>
        <v>31484</v>
      </c>
      <c r="P88" s="344">
        <f t="shared" ref="P88:W88" si="50">P77-P80</f>
        <v>170519</v>
      </c>
      <c r="Q88" s="344">
        <f t="shared" si="50"/>
        <v>89111</v>
      </c>
      <c r="R88" s="344">
        <f t="shared" si="50"/>
        <v>91622</v>
      </c>
      <c r="S88" s="344">
        <f t="shared" si="50"/>
        <v>169789</v>
      </c>
      <c r="T88" s="344">
        <f t="shared" si="50"/>
        <v>50011</v>
      </c>
      <c r="U88" s="344">
        <f t="shared" si="50"/>
        <v>86311</v>
      </c>
      <c r="V88" s="344">
        <f t="shared" si="50"/>
        <v>138950</v>
      </c>
      <c r="W88" s="129">
        <f t="shared" si="50"/>
        <v>100539</v>
      </c>
      <c r="X88" s="50">
        <f>X77-X80</f>
        <v>1277163</v>
      </c>
      <c r="Z88" s="54"/>
    </row>
    <row r="89" spans="1:26" ht="12.75" customHeight="1">
      <c r="A89" s="101">
        <v>2009008</v>
      </c>
      <c r="C89" s="433">
        <f t="shared" ref="C89" si="51">C77+1</f>
        <v>8</v>
      </c>
      <c r="D89" s="402" t="s">
        <v>34</v>
      </c>
      <c r="E89" s="402"/>
      <c r="F89" s="406"/>
      <c r="G89" s="402"/>
      <c r="H89" s="402"/>
      <c r="I89" s="495" t="s">
        <v>58</v>
      </c>
      <c r="J89" s="397" t="s">
        <v>56</v>
      </c>
      <c r="K89" s="66" t="s">
        <v>22</v>
      </c>
      <c r="L89" s="191">
        <f>L90+L91</f>
        <v>800000</v>
      </c>
      <c r="M89" s="266">
        <f t="shared" ref="M89:W89" si="52">M90+M91</f>
        <v>800000</v>
      </c>
      <c r="N89" s="266">
        <f t="shared" si="52"/>
        <v>800000</v>
      </c>
      <c r="O89" s="351">
        <f t="shared" si="52"/>
        <v>800000</v>
      </c>
      <c r="P89" s="351">
        <f t="shared" si="52"/>
        <v>800000</v>
      </c>
      <c r="Q89" s="351">
        <f>Q90+Q91</f>
        <v>800000</v>
      </c>
      <c r="R89" s="351">
        <f t="shared" si="52"/>
        <v>800000</v>
      </c>
      <c r="S89" s="351">
        <f t="shared" si="52"/>
        <v>800000</v>
      </c>
      <c r="T89" s="351">
        <f t="shared" si="52"/>
        <v>800000</v>
      </c>
      <c r="U89" s="351">
        <f t="shared" si="52"/>
        <v>800000</v>
      </c>
      <c r="V89" s="351">
        <f t="shared" si="52"/>
        <v>800000</v>
      </c>
      <c r="W89" s="137">
        <f t="shared" si="52"/>
        <v>800000</v>
      </c>
      <c r="X89" s="49">
        <f>SUM(L89:W89)</f>
        <v>9600000</v>
      </c>
      <c r="Z89" s="54"/>
    </row>
    <row r="90" spans="1:26">
      <c r="A90" s="70">
        <f t="shared" ref="A90:A100" si="53">+A89</f>
        <v>2009008</v>
      </c>
      <c r="B90" s="74"/>
      <c r="C90" s="404"/>
      <c r="D90" s="402"/>
      <c r="E90" s="402"/>
      <c r="F90" s="406"/>
      <c r="G90" s="402"/>
      <c r="H90" s="402"/>
      <c r="I90" s="495"/>
      <c r="J90" s="398"/>
      <c r="K90" s="159" t="s">
        <v>23</v>
      </c>
      <c r="L90" s="203">
        <v>800000</v>
      </c>
      <c r="M90" s="203">
        <v>800000</v>
      </c>
      <c r="N90" s="203">
        <v>800000</v>
      </c>
      <c r="O90" s="203">
        <v>800000</v>
      </c>
      <c r="P90" s="203">
        <v>800000</v>
      </c>
      <c r="Q90" s="203">
        <v>800000</v>
      </c>
      <c r="R90" s="203">
        <v>800000</v>
      </c>
      <c r="S90" s="203">
        <v>800000</v>
      </c>
      <c r="T90" s="203">
        <v>800000</v>
      </c>
      <c r="U90" s="203">
        <v>800000</v>
      </c>
      <c r="V90" s="203">
        <v>800000</v>
      </c>
      <c r="W90" s="183">
        <v>800000</v>
      </c>
      <c r="X90" s="135">
        <f>SUM(L90:W90)</f>
        <v>9600000</v>
      </c>
      <c r="Z90" s="54"/>
    </row>
    <row r="91" spans="1:26">
      <c r="A91" s="70">
        <f t="shared" si="53"/>
        <v>2009008</v>
      </c>
      <c r="B91" s="74"/>
      <c r="C91" s="404"/>
      <c r="D91" s="402"/>
      <c r="E91" s="402"/>
      <c r="F91" s="406"/>
      <c r="G91" s="402"/>
      <c r="H91" s="402"/>
      <c r="I91" s="495"/>
      <c r="J91" s="398"/>
      <c r="K91" s="159" t="s">
        <v>24</v>
      </c>
      <c r="L91" s="203"/>
      <c r="M91" s="203"/>
      <c r="N91" s="203"/>
      <c r="O91" s="220"/>
      <c r="P91" s="220"/>
      <c r="Q91" s="220"/>
      <c r="R91" s="220"/>
      <c r="S91" s="220"/>
      <c r="T91" s="220"/>
      <c r="U91" s="220"/>
      <c r="V91" s="220"/>
      <c r="W91" s="181"/>
      <c r="X91" s="135">
        <v>0</v>
      </c>
      <c r="Z91" s="54"/>
    </row>
    <row r="92" spans="1:26">
      <c r="A92" s="70">
        <f t="shared" si="53"/>
        <v>2009008</v>
      </c>
      <c r="B92" s="74"/>
      <c r="C92" s="404"/>
      <c r="D92" s="402"/>
      <c r="E92" s="402"/>
      <c r="F92" s="406"/>
      <c r="G92" s="402"/>
      <c r="H92" s="402"/>
      <c r="I92" s="495"/>
      <c r="J92" s="398"/>
      <c r="K92" s="160" t="s">
        <v>25</v>
      </c>
      <c r="L92" s="204">
        <f>SUM(L93:L99)</f>
        <v>532369</v>
      </c>
      <c r="M92" s="204">
        <f t="shared" ref="M92:W92" si="54">SUM(M93:M99)</f>
        <v>531965</v>
      </c>
      <c r="N92" s="204">
        <f t="shared" si="54"/>
        <v>533278</v>
      </c>
      <c r="O92" s="354">
        <f t="shared" si="54"/>
        <v>533682</v>
      </c>
      <c r="P92" s="354">
        <f t="shared" si="54"/>
        <v>532470</v>
      </c>
      <c r="Q92" s="354">
        <f>SUM(Q93:Q99)</f>
        <v>532369</v>
      </c>
      <c r="R92" s="354">
        <f t="shared" si="54"/>
        <v>555669</v>
      </c>
      <c r="S92" s="354">
        <f t="shared" si="54"/>
        <v>531561</v>
      </c>
      <c r="T92" s="354">
        <f t="shared" si="54"/>
        <v>531965</v>
      </c>
      <c r="U92" s="354">
        <f t="shared" si="54"/>
        <v>532470</v>
      </c>
      <c r="V92" s="354">
        <f t="shared" si="54"/>
        <v>532248</v>
      </c>
      <c r="W92" s="182">
        <f t="shared" si="54"/>
        <v>532369</v>
      </c>
      <c r="X92" s="136">
        <f>SUM(L92:W92)</f>
        <v>6412415</v>
      </c>
      <c r="Z92" s="54"/>
    </row>
    <row r="93" spans="1:26">
      <c r="A93" s="70">
        <f t="shared" si="53"/>
        <v>2009008</v>
      </c>
      <c r="B93" s="74"/>
      <c r="C93" s="404"/>
      <c r="D93" s="402"/>
      <c r="E93" s="402"/>
      <c r="F93" s="406"/>
      <c r="G93" s="402"/>
      <c r="H93" s="402"/>
      <c r="I93" s="495"/>
      <c r="J93" s="398"/>
      <c r="K93" s="161" t="s">
        <v>26</v>
      </c>
      <c r="L93" s="203">
        <v>458000</v>
      </c>
      <c r="M93" s="203">
        <v>457600</v>
      </c>
      <c r="N93" s="203">
        <v>458000</v>
      </c>
      <c r="O93" s="203">
        <v>458400</v>
      </c>
      <c r="P93" s="203">
        <v>457200</v>
      </c>
      <c r="Q93" s="203">
        <v>458000</v>
      </c>
      <c r="R93" s="203">
        <v>481058</v>
      </c>
      <c r="S93" s="203">
        <v>457200</v>
      </c>
      <c r="T93" s="203">
        <v>457600</v>
      </c>
      <c r="U93" s="203">
        <v>457200</v>
      </c>
      <c r="V93" s="203">
        <v>456800</v>
      </c>
      <c r="W93" s="162">
        <v>458000</v>
      </c>
      <c r="X93" s="135">
        <f t="shared" ref="X93:X99" si="55">SUM(L93:W93)</f>
        <v>5515058</v>
      </c>
      <c r="Y93" s="105"/>
      <c r="Z93" s="54"/>
    </row>
    <row r="94" spans="1:26">
      <c r="A94" s="70">
        <f t="shared" si="53"/>
        <v>2009008</v>
      </c>
      <c r="B94" s="74"/>
      <c r="C94" s="404"/>
      <c r="D94" s="402"/>
      <c r="E94" s="402"/>
      <c r="F94" s="406"/>
      <c r="G94" s="402"/>
      <c r="H94" s="402"/>
      <c r="I94" s="495"/>
      <c r="J94" s="398"/>
      <c r="K94" s="161" t="s">
        <v>33</v>
      </c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162"/>
      <c r="X94" s="135">
        <f t="shared" si="55"/>
        <v>0</v>
      </c>
      <c r="Y94" s="105"/>
      <c r="Z94" s="54"/>
    </row>
    <row r="95" spans="1:26">
      <c r="A95" s="70">
        <f t="shared" si="53"/>
        <v>2009008</v>
      </c>
      <c r="B95" s="74"/>
      <c r="C95" s="404"/>
      <c r="D95" s="402"/>
      <c r="E95" s="402"/>
      <c r="F95" s="406"/>
      <c r="G95" s="402"/>
      <c r="H95" s="402"/>
      <c r="I95" s="495"/>
      <c r="J95" s="398"/>
      <c r="K95" s="161" t="s">
        <v>27</v>
      </c>
      <c r="L95" s="203">
        <v>0</v>
      </c>
      <c r="M95" s="203">
        <v>0</v>
      </c>
      <c r="N95" s="203">
        <v>900</v>
      </c>
      <c r="O95" s="203">
        <v>900</v>
      </c>
      <c r="P95" s="203">
        <v>900</v>
      </c>
      <c r="Q95" s="203">
        <v>0</v>
      </c>
      <c r="R95" s="203">
        <v>0</v>
      </c>
      <c r="S95" s="203">
        <v>0</v>
      </c>
      <c r="T95" s="203">
        <v>0</v>
      </c>
      <c r="U95" s="203">
        <v>900</v>
      </c>
      <c r="V95" s="203">
        <v>900</v>
      </c>
      <c r="W95" s="162">
        <v>0</v>
      </c>
      <c r="X95" s="135">
        <f t="shared" si="55"/>
        <v>4500</v>
      </c>
      <c r="Y95" s="105"/>
      <c r="Z95" s="54"/>
    </row>
    <row r="96" spans="1:26">
      <c r="A96" s="70">
        <f t="shared" si="53"/>
        <v>2009008</v>
      </c>
      <c r="B96" s="74"/>
      <c r="C96" s="404"/>
      <c r="D96" s="402"/>
      <c r="E96" s="402"/>
      <c r="F96" s="406"/>
      <c r="G96" s="402"/>
      <c r="H96" s="402"/>
      <c r="I96" s="495"/>
      <c r="J96" s="398"/>
      <c r="K96" s="161" t="s">
        <v>28</v>
      </c>
      <c r="L96" s="203">
        <v>26555</v>
      </c>
      <c r="M96" s="203">
        <v>26555</v>
      </c>
      <c r="N96" s="203">
        <v>26555</v>
      </c>
      <c r="O96" s="203">
        <v>26555</v>
      </c>
      <c r="P96" s="203">
        <v>26555</v>
      </c>
      <c r="Q96" s="203">
        <v>26555</v>
      </c>
      <c r="R96" s="203">
        <v>26555</v>
      </c>
      <c r="S96" s="203">
        <v>26555</v>
      </c>
      <c r="T96" s="203">
        <v>26555</v>
      </c>
      <c r="U96" s="203">
        <v>26555</v>
      </c>
      <c r="V96" s="203">
        <v>26555</v>
      </c>
      <c r="W96" s="162">
        <v>26555</v>
      </c>
      <c r="X96" s="135">
        <f t="shared" si="55"/>
        <v>318660</v>
      </c>
      <c r="Y96" s="105"/>
      <c r="Z96" s="54"/>
    </row>
    <row r="97" spans="1:26">
      <c r="A97" s="70">
        <f t="shared" si="53"/>
        <v>2009008</v>
      </c>
      <c r="B97" s="74"/>
      <c r="C97" s="404"/>
      <c r="D97" s="402"/>
      <c r="E97" s="402"/>
      <c r="F97" s="406"/>
      <c r="G97" s="402"/>
      <c r="H97" s="402"/>
      <c r="I97" s="495"/>
      <c r="J97" s="398"/>
      <c r="K97" s="161" t="s">
        <v>29</v>
      </c>
      <c r="L97" s="203">
        <v>43005</v>
      </c>
      <c r="M97" s="203">
        <v>43005</v>
      </c>
      <c r="N97" s="203">
        <v>43005</v>
      </c>
      <c r="O97" s="203">
        <v>43005</v>
      </c>
      <c r="P97" s="203">
        <v>43005</v>
      </c>
      <c r="Q97" s="203">
        <v>43005</v>
      </c>
      <c r="R97" s="203">
        <v>43005</v>
      </c>
      <c r="S97" s="203">
        <v>43005</v>
      </c>
      <c r="T97" s="203">
        <v>43005</v>
      </c>
      <c r="U97" s="203">
        <v>43005</v>
      </c>
      <c r="V97" s="203">
        <v>43005</v>
      </c>
      <c r="W97" s="162">
        <v>43005</v>
      </c>
      <c r="X97" s="135">
        <f t="shared" si="55"/>
        <v>516060</v>
      </c>
      <c r="Y97" s="105"/>
      <c r="Z97" s="54"/>
    </row>
    <row r="98" spans="1:26">
      <c r="A98" s="70">
        <f t="shared" si="53"/>
        <v>2009008</v>
      </c>
      <c r="B98" s="74"/>
      <c r="C98" s="404"/>
      <c r="D98" s="402"/>
      <c r="E98" s="402"/>
      <c r="F98" s="406"/>
      <c r="G98" s="402"/>
      <c r="H98" s="402"/>
      <c r="I98" s="495"/>
      <c r="J98" s="398"/>
      <c r="K98" s="161" t="s">
        <v>30</v>
      </c>
      <c r="L98" s="203">
        <v>2290</v>
      </c>
      <c r="M98" s="203">
        <v>2288</v>
      </c>
      <c r="N98" s="203">
        <v>2294</v>
      </c>
      <c r="O98" s="203">
        <v>2296</v>
      </c>
      <c r="P98" s="203">
        <v>2290</v>
      </c>
      <c r="Q98" s="203">
        <v>2290</v>
      </c>
      <c r="R98" s="203">
        <v>2405</v>
      </c>
      <c r="S98" s="203">
        <v>2286</v>
      </c>
      <c r="T98" s="203">
        <v>2288</v>
      </c>
      <c r="U98" s="203">
        <v>2290</v>
      </c>
      <c r="V98" s="203">
        <v>2375</v>
      </c>
      <c r="W98" s="162">
        <v>2290</v>
      </c>
      <c r="X98" s="135">
        <f t="shared" si="55"/>
        <v>27682</v>
      </c>
      <c r="Y98" s="105"/>
      <c r="Z98" s="54"/>
    </row>
    <row r="99" spans="1:26">
      <c r="A99" s="70">
        <f t="shared" si="53"/>
        <v>2009008</v>
      </c>
      <c r="B99" s="74"/>
      <c r="C99" s="404"/>
      <c r="D99" s="402"/>
      <c r="E99" s="402"/>
      <c r="F99" s="406"/>
      <c r="G99" s="402"/>
      <c r="H99" s="402"/>
      <c r="I99" s="495"/>
      <c r="J99" s="398"/>
      <c r="K99" s="161" t="s">
        <v>31</v>
      </c>
      <c r="L99" s="203">
        <v>2519</v>
      </c>
      <c r="M99" s="203">
        <v>2517</v>
      </c>
      <c r="N99" s="203">
        <v>2524</v>
      </c>
      <c r="O99" s="203">
        <v>2526</v>
      </c>
      <c r="P99" s="203">
        <v>2520</v>
      </c>
      <c r="Q99" s="203">
        <v>2519</v>
      </c>
      <c r="R99" s="203">
        <v>2646</v>
      </c>
      <c r="S99" s="203">
        <v>2515</v>
      </c>
      <c r="T99" s="203">
        <v>2517</v>
      </c>
      <c r="U99" s="203">
        <v>2520</v>
      </c>
      <c r="V99" s="203">
        <v>2613</v>
      </c>
      <c r="W99" s="162">
        <v>2519</v>
      </c>
      <c r="X99" s="135">
        <f t="shared" si="55"/>
        <v>30455</v>
      </c>
      <c r="Y99" s="105"/>
      <c r="Z99" s="54"/>
    </row>
    <row r="100" spans="1:26">
      <c r="A100" s="70">
        <f t="shared" si="53"/>
        <v>2009008</v>
      </c>
      <c r="B100" s="74"/>
      <c r="C100" s="405"/>
      <c r="D100" s="403"/>
      <c r="E100" s="403"/>
      <c r="F100" s="407"/>
      <c r="G100" s="403"/>
      <c r="H100" s="403"/>
      <c r="I100" s="496"/>
      <c r="J100" s="399"/>
      <c r="K100" s="65" t="s">
        <v>32</v>
      </c>
      <c r="L100" s="194">
        <f>L89-L92</f>
        <v>267631</v>
      </c>
      <c r="M100" s="267">
        <f t="shared" ref="M100:W100" si="56">M89-M92</f>
        <v>268035</v>
      </c>
      <c r="N100" s="267">
        <f t="shared" si="56"/>
        <v>266722</v>
      </c>
      <c r="O100" s="344">
        <f t="shared" si="56"/>
        <v>266318</v>
      </c>
      <c r="P100" s="344">
        <f t="shared" si="56"/>
        <v>267530</v>
      </c>
      <c r="Q100" s="344">
        <f t="shared" si="56"/>
        <v>267631</v>
      </c>
      <c r="R100" s="344">
        <f t="shared" si="56"/>
        <v>244331</v>
      </c>
      <c r="S100" s="344">
        <f t="shared" si="56"/>
        <v>268439</v>
      </c>
      <c r="T100" s="344">
        <f t="shared" si="56"/>
        <v>268035</v>
      </c>
      <c r="U100" s="344">
        <f t="shared" si="56"/>
        <v>267530</v>
      </c>
      <c r="V100" s="344">
        <f t="shared" si="56"/>
        <v>267752</v>
      </c>
      <c r="W100" s="129">
        <f t="shared" si="56"/>
        <v>267631</v>
      </c>
      <c r="X100" s="50">
        <f>X89-X92</f>
        <v>3187585</v>
      </c>
      <c r="Z100" s="54"/>
    </row>
    <row r="101" spans="1:26" ht="12.75" customHeight="1">
      <c r="A101" s="101">
        <v>2012007</v>
      </c>
      <c r="C101" s="433">
        <f t="shared" ref="C101" si="57">C89+1</f>
        <v>9</v>
      </c>
      <c r="D101" s="402" t="s">
        <v>34</v>
      </c>
      <c r="E101" s="402"/>
      <c r="F101" s="406"/>
      <c r="G101" s="402"/>
      <c r="H101" s="402"/>
      <c r="I101" s="495" t="s">
        <v>75</v>
      </c>
      <c r="J101" s="397" t="s">
        <v>56</v>
      </c>
      <c r="K101" s="66" t="s">
        <v>22</v>
      </c>
      <c r="L101" s="223">
        <f t="shared" ref="L101:W101" si="58">L102+L103</f>
        <v>750000</v>
      </c>
      <c r="M101" s="280">
        <f t="shared" si="58"/>
        <v>750000</v>
      </c>
      <c r="N101" s="280">
        <f t="shared" si="58"/>
        <v>750000</v>
      </c>
      <c r="O101" s="355">
        <f t="shared" si="58"/>
        <v>750000</v>
      </c>
      <c r="P101" s="355">
        <f t="shared" si="58"/>
        <v>750000</v>
      </c>
      <c r="Q101" s="355">
        <f t="shared" si="58"/>
        <v>750000</v>
      </c>
      <c r="R101" s="355">
        <f t="shared" si="58"/>
        <v>750000</v>
      </c>
      <c r="S101" s="355">
        <f t="shared" si="58"/>
        <v>750000</v>
      </c>
      <c r="T101" s="355">
        <f t="shared" si="58"/>
        <v>750000</v>
      </c>
      <c r="U101" s="355">
        <f t="shared" si="58"/>
        <v>750000</v>
      </c>
      <c r="V101" s="355">
        <f t="shared" si="58"/>
        <v>750000</v>
      </c>
      <c r="W101" s="137">
        <f t="shared" si="58"/>
        <v>750000</v>
      </c>
      <c r="X101" s="49">
        <f t="shared" ref="X101:X111" si="59">SUM(L101:W101)</f>
        <v>9000000</v>
      </c>
      <c r="Z101" s="54"/>
    </row>
    <row r="102" spans="1:26">
      <c r="A102" s="70">
        <f t="shared" ref="A102:A112" si="60">+A101</f>
        <v>2012007</v>
      </c>
      <c r="B102" s="74"/>
      <c r="C102" s="404"/>
      <c r="D102" s="402"/>
      <c r="E102" s="402"/>
      <c r="F102" s="406"/>
      <c r="G102" s="402"/>
      <c r="H102" s="402"/>
      <c r="I102" s="495"/>
      <c r="J102" s="398"/>
      <c r="K102" s="62" t="s">
        <v>23</v>
      </c>
      <c r="L102" s="196">
        <v>750000</v>
      </c>
      <c r="M102" s="212">
        <v>750000</v>
      </c>
      <c r="N102" s="212">
        <v>750000</v>
      </c>
      <c r="O102" s="212">
        <v>750000</v>
      </c>
      <c r="P102" s="212">
        <v>750000</v>
      </c>
      <c r="Q102" s="212">
        <v>750000</v>
      </c>
      <c r="R102" s="212">
        <v>750000</v>
      </c>
      <c r="S102" s="212">
        <v>750000</v>
      </c>
      <c r="T102" s="212">
        <v>750000</v>
      </c>
      <c r="U102" s="212">
        <v>750000</v>
      </c>
      <c r="V102" s="212">
        <v>750000</v>
      </c>
      <c r="W102" s="36">
        <v>750000</v>
      </c>
      <c r="X102" s="135">
        <f t="shared" si="59"/>
        <v>9000000</v>
      </c>
      <c r="Z102" s="54"/>
    </row>
    <row r="103" spans="1:26">
      <c r="A103" s="70">
        <f t="shared" si="60"/>
        <v>2012007</v>
      </c>
      <c r="B103" s="74"/>
      <c r="C103" s="404"/>
      <c r="D103" s="402"/>
      <c r="E103" s="402"/>
      <c r="F103" s="406"/>
      <c r="G103" s="402"/>
      <c r="H103" s="402"/>
      <c r="I103" s="495"/>
      <c r="J103" s="398"/>
      <c r="K103" s="62" t="s">
        <v>24</v>
      </c>
      <c r="L103" s="211"/>
      <c r="M103" s="210"/>
      <c r="N103" s="210"/>
      <c r="O103" s="347"/>
      <c r="P103" s="347"/>
      <c r="Q103" s="347"/>
      <c r="R103" s="347"/>
      <c r="S103" s="347"/>
      <c r="T103" s="347"/>
      <c r="U103" s="347"/>
      <c r="V103" s="347"/>
      <c r="W103" s="133"/>
      <c r="X103" s="135">
        <f t="shared" si="59"/>
        <v>0</v>
      </c>
      <c r="Z103" s="54"/>
    </row>
    <row r="104" spans="1:26">
      <c r="A104" s="70">
        <f t="shared" si="60"/>
        <v>2012007</v>
      </c>
      <c r="B104" s="74"/>
      <c r="C104" s="404"/>
      <c r="D104" s="402"/>
      <c r="E104" s="402"/>
      <c r="F104" s="406"/>
      <c r="G104" s="402"/>
      <c r="H104" s="402"/>
      <c r="I104" s="495"/>
      <c r="J104" s="398"/>
      <c r="K104" s="63" t="s">
        <v>25</v>
      </c>
      <c r="L104" s="219">
        <f t="shared" ref="L104:W104" si="61">SUM(L105:L111)</f>
        <v>715919</v>
      </c>
      <c r="M104" s="279">
        <f t="shared" si="61"/>
        <v>693984</v>
      </c>
      <c r="N104" s="279">
        <f t="shared" si="61"/>
        <v>721808</v>
      </c>
      <c r="O104" s="350">
        <f t="shared" si="61"/>
        <v>762212</v>
      </c>
      <c r="P104" s="350">
        <f t="shared" si="61"/>
        <v>695313</v>
      </c>
      <c r="Q104" s="350">
        <f t="shared" si="61"/>
        <v>702931</v>
      </c>
      <c r="R104" s="350">
        <f t="shared" si="61"/>
        <v>763262</v>
      </c>
      <c r="S104" s="350">
        <f t="shared" si="61"/>
        <v>693626</v>
      </c>
      <c r="T104" s="350">
        <f t="shared" si="61"/>
        <v>728925</v>
      </c>
      <c r="U104" s="350">
        <f t="shared" si="61"/>
        <v>700889</v>
      </c>
      <c r="V104" s="350">
        <f t="shared" si="61"/>
        <v>698607</v>
      </c>
      <c r="W104" s="134">
        <f t="shared" si="61"/>
        <v>712727</v>
      </c>
      <c r="X104" s="136">
        <f t="shared" si="59"/>
        <v>8590203</v>
      </c>
      <c r="Z104" s="54"/>
    </row>
    <row r="105" spans="1:26">
      <c r="A105" s="70">
        <f t="shared" si="60"/>
        <v>2012007</v>
      </c>
      <c r="B105" s="74"/>
      <c r="C105" s="404"/>
      <c r="D105" s="402"/>
      <c r="E105" s="402"/>
      <c r="F105" s="406"/>
      <c r="G105" s="402"/>
      <c r="H105" s="402"/>
      <c r="I105" s="495"/>
      <c r="J105" s="398"/>
      <c r="K105" s="161" t="s">
        <v>26</v>
      </c>
      <c r="L105" s="203">
        <v>603192</v>
      </c>
      <c r="M105" s="203">
        <v>583200</v>
      </c>
      <c r="N105" s="203">
        <v>612452</v>
      </c>
      <c r="O105" s="203">
        <v>647880</v>
      </c>
      <c r="P105" s="203">
        <v>582800</v>
      </c>
      <c r="Q105" s="203">
        <v>585944</v>
      </c>
      <c r="R105" s="203">
        <v>649080</v>
      </c>
      <c r="S105" s="203">
        <v>583600</v>
      </c>
      <c r="T105" s="203">
        <v>613384</v>
      </c>
      <c r="U105" s="203">
        <v>582800</v>
      </c>
      <c r="V105" s="203">
        <v>583200</v>
      </c>
      <c r="W105" s="162">
        <v>600000</v>
      </c>
      <c r="X105" s="135">
        <f t="shared" si="59"/>
        <v>7227532</v>
      </c>
      <c r="Y105" s="105"/>
      <c r="Z105" s="54"/>
    </row>
    <row r="106" spans="1:26">
      <c r="A106" s="70">
        <f t="shared" si="60"/>
        <v>2012007</v>
      </c>
      <c r="B106" s="74"/>
      <c r="C106" s="404"/>
      <c r="D106" s="402"/>
      <c r="E106" s="402"/>
      <c r="F106" s="406"/>
      <c r="G106" s="402"/>
      <c r="H106" s="402"/>
      <c r="I106" s="495"/>
      <c r="J106" s="398"/>
      <c r="K106" s="161" t="s">
        <v>33</v>
      </c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162"/>
      <c r="X106" s="135">
        <f t="shared" si="59"/>
        <v>0</v>
      </c>
      <c r="Y106" s="105"/>
      <c r="Z106" s="54"/>
    </row>
    <row r="107" spans="1:26">
      <c r="A107" s="70">
        <f t="shared" si="60"/>
        <v>2012007</v>
      </c>
      <c r="B107" s="74"/>
      <c r="C107" s="404"/>
      <c r="D107" s="402"/>
      <c r="E107" s="402"/>
      <c r="F107" s="406"/>
      <c r="G107" s="402"/>
      <c r="H107" s="402"/>
      <c r="I107" s="495"/>
      <c r="J107" s="398"/>
      <c r="K107" s="161" t="s">
        <v>27</v>
      </c>
      <c r="L107" s="203">
        <v>18876</v>
      </c>
      <c r="M107" s="203">
        <v>17160</v>
      </c>
      <c r="N107" s="203">
        <v>15444</v>
      </c>
      <c r="O107" s="203">
        <v>20000</v>
      </c>
      <c r="P107" s="203">
        <v>18876</v>
      </c>
      <c r="Q107" s="203">
        <v>18876</v>
      </c>
      <c r="R107" s="203">
        <v>15444</v>
      </c>
      <c r="S107" s="203">
        <v>12012</v>
      </c>
      <c r="T107" s="203">
        <v>17160</v>
      </c>
      <c r="U107" s="203">
        <v>20000</v>
      </c>
      <c r="V107" s="203">
        <v>17160</v>
      </c>
      <c r="W107" s="162">
        <v>18876</v>
      </c>
      <c r="X107" s="135">
        <f t="shared" si="59"/>
        <v>209884</v>
      </c>
      <c r="Y107" s="105"/>
      <c r="Z107" s="54"/>
    </row>
    <row r="108" spans="1:26">
      <c r="A108" s="70">
        <f t="shared" si="60"/>
        <v>2012007</v>
      </c>
      <c r="B108" s="74"/>
      <c r="C108" s="404"/>
      <c r="D108" s="402"/>
      <c r="E108" s="402"/>
      <c r="F108" s="406"/>
      <c r="G108" s="402"/>
      <c r="H108" s="402"/>
      <c r="I108" s="495"/>
      <c r="J108" s="398"/>
      <c r="K108" s="161" t="s">
        <v>28</v>
      </c>
      <c r="L108" s="203">
        <v>33335</v>
      </c>
      <c r="M108" s="203">
        <v>33335</v>
      </c>
      <c r="N108" s="203">
        <v>33335</v>
      </c>
      <c r="O108" s="203">
        <v>33335</v>
      </c>
      <c r="P108" s="203">
        <v>33335</v>
      </c>
      <c r="Q108" s="203">
        <v>35030</v>
      </c>
      <c r="R108" s="203">
        <v>35030</v>
      </c>
      <c r="S108" s="203">
        <v>35030</v>
      </c>
      <c r="T108" s="203">
        <v>35030</v>
      </c>
      <c r="U108" s="203">
        <v>35030</v>
      </c>
      <c r="V108" s="203">
        <v>35030</v>
      </c>
      <c r="W108" s="162">
        <v>33335</v>
      </c>
      <c r="X108" s="135">
        <f t="shared" si="59"/>
        <v>410190</v>
      </c>
      <c r="Y108" s="105"/>
      <c r="Z108" s="54"/>
    </row>
    <row r="109" spans="1:26">
      <c r="A109" s="70">
        <f t="shared" si="60"/>
        <v>2012007</v>
      </c>
      <c r="B109" s="74"/>
      <c r="C109" s="404"/>
      <c r="D109" s="402"/>
      <c r="E109" s="402"/>
      <c r="F109" s="406"/>
      <c r="G109" s="402"/>
      <c r="H109" s="402"/>
      <c r="I109" s="495"/>
      <c r="J109" s="398"/>
      <c r="K109" s="161" t="s">
        <v>29</v>
      </c>
      <c r="L109" s="203">
        <v>53985</v>
      </c>
      <c r="M109" s="203">
        <v>53985</v>
      </c>
      <c r="N109" s="203">
        <v>53985</v>
      </c>
      <c r="O109" s="203">
        <v>53985</v>
      </c>
      <c r="P109" s="203">
        <v>53985</v>
      </c>
      <c r="Q109" s="203">
        <v>56730</v>
      </c>
      <c r="R109" s="203">
        <v>56730</v>
      </c>
      <c r="S109" s="203">
        <v>56730</v>
      </c>
      <c r="T109" s="203">
        <v>56730</v>
      </c>
      <c r="U109" s="203">
        <v>56730</v>
      </c>
      <c r="V109" s="203">
        <v>56730</v>
      </c>
      <c r="W109" s="162">
        <v>53985</v>
      </c>
      <c r="X109" s="135">
        <f t="shared" si="59"/>
        <v>664290</v>
      </c>
      <c r="Y109" s="105"/>
      <c r="Z109" s="54"/>
    </row>
    <row r="110" spans="1:26">
      <c r="A110" s="70">
        <f t="shared" si="60"/>
        <v>2012007</v>
      </c>
      <c r="B110" s="74"/>
      <c r="C110" s="404"/>
      <c r="D110" s="402"/>
      <c r="E110" s="402"/>
      <c r="F110" s="406"/>
      <c r="G110" s="402"/>
      <c r="H110" s="402"/>
      <c r="I110" s="495"/>
      <c r="J110" s="398"/>
      <c r="K110" s="161" t="s">
        <v>30</v>
      </c>
      <c r="L110" s="203">
        <v>3110</v>
      </c>
      <c r="M110" s="203">
        <v>3002</v>
      </c>
      <c r="N110" s="203">
        <v>3139</v>
      </c>
      <c r="O110" s="203">
        <v>3339</v>
      </c>
      <c r="P110" s="203">
        <v>3008</v>
      </c>
      <c r="Q110" s="203">
        <v>3024</v>
      </c>
      <c r="R110" s="203">
        <v>3323</v>
      </c>
      <c r="S110" s="203">
        <v>2978</v>
      </c>
      <c r="T110" s="203">
        <v>3153</v>
      </c>
      <c r="U110" s="203">
        <v>3014</v>
      </c>
      <c r="V110" s="203">
        <v>3089</v>
      </c>
      <c r="W110" s="162">
        <v>3110</v>
      </c>
      <c r="X110" s="135">
        <f t="shared" si="59"/>
        <v>37289</v>
      </c>
      <c r="Y110" s="105"/>
      <c r="Z110" s="54"/>
    </row>
    <row r="111" spans="1:26">
      <c r="A111" s="70">
        <f t="shared" si="60"/>
        <v>2012007</v>
      </c>
      <c r="B111" s="74"/>
      <c r="C111" s="404"/>
      <c r="D111" s="402"/>
      <c r="E111" s="402"/>
      <c r="F111" s="406"/>
      <c r="G111" s="402"/>
      <c r="H111" s="402"/>
      <c r="I111" s="495"/>
      <c r="J111" s="398"/>
      <c r="K111" s="161" t="s">
        <v>31</v>
      </c>
      <c r="L111" s="203">
        <v>3421</v>
      </c>
      <c r="M111" s="203">
        <v>3302</v>
      </c>
      <c r="N111" s="203">
        <v>3453</v>
      </c>
      <c r="O111" s="203">
        <v>3673</v>
      </c>
      <c r="P111" s="203">
        <v>3309</v>
      </c>
      <c r="Q111" s="203">
        <v>3327</v>
      </c>
      <c r="R111" s="203">
        <v>3655</v>
      </c>
      <c r="S111" s="203">
        <v>3276</v>
      </c>
      <c r="T111" s="203">
        <v>3468</v>
      </c>
      <c r="U111" s="203">
        <v>3315</v>
      </c>
      <c r="V111" s="203">
        <v>3398</v>
      </c>
      <c r="W111" s="162">
        <v>3421</v>
      </c>
      <c r="X111" s="135">
        <f t="shared" si="59"/>
        <v>41018</v>
      </c>
      <c r="Y111" s="105"/>
      <c r="Z111" s="54"/>
    </row>
    <row r="112" spans="1:26">
      <c r="A112" s="70">
        <f t="shared" si="60"/>
        <v>2012007</v>
      </c>
      <c r="B112" s="74"/>
      <c r="C112" s="405"/>
      <c r="D112" s="403"/>
      <c r="E112" s="403"/>
      <c r="F112" s="407"/>
      <c r="G112" s="403"/>
      <c r="H112" s="403"/>
      <c r="I112" s="496"/>
      <c r="J112" s="399"/>
      <c r="K112" s="65" t="s">
        <v>32</v>
      </c>
      <c r="L112" s="194">
        <f t="shared" ref="L112:X112" si="62">L101-L104</f>
        <v>34081</v>
      </c>
      <c r="M112" s="267">
        <f t="shared" si="62"/>
        <v>56016</v>
      </c>
      <c r="N112" s="267">
        <f t="shared" si="62"/>
        <v>28192</v>
      </c>
      <c r="O112" s="344">
        <f t="shared" si="62"/>
        <v>-12212</v>
      </c>
      <c r="P112" s="344">
        <f t="shared" si="62"/>
        <v>54687</v>
      </c>
      <c r="Q112" s="344">
        <f t="shared" si="62"/>
        <v>47069</v>
      </c>
      <c r="R112" s="344">
        <f t="shared" si="62"/>
        <v>-13262</v>
      </c>
      <c r="S112" s="344">
        <f t="shared" si="62"/>
        <v>56374</v>
      </c>
      <c r="T112" s="344">
        <f t="shared" si="62"/>
        <v>21075</v>
      </c>
      <c r="U112" s="344">
        <f t="shared" si="62"/>
        <v>49111</v>
      </c>
      <c r="V112" s="344">
        <f t="shared" si="62"/>
        <v>51393</v>
      </c>
      <c r="W112" s="129">
        <f t="shared" si="62"/>
        <v>37273</v>
      </c>
      <c r="X112" s="50">
        <f t="shared" si="62"/>
        <v>409797</v>
      </c>
      <c r="Z112" s="54"/>
    </row>
    <row r="113" spans="1:26" ht="12.75" customHeight="1">
      <c r="A113" s="101">
        <v>2016024</v>
      </c>
      <c r="C113" s="433">
        <f t="shared" ref="C113" si="63">C101+1</f>
        <v>10</v>
      </c>
      <c r="D113" s="402" t="s">
        <v>34</v>
      </c>
      <c r="E113" s="402"/>
      <c r="F113" s="406"/>
      <c r="G113" s="402"/>
      <c r="H113" s="402"/>
      <c r="I113" s="495" t="s">
        <v>59</v>
      </c>
      <c r="J113" s="397" t="s">
        <v>56</v>
      </c>
      <c r="K113" s="66" t="s">
        <v>22</v>
      </c>
      <c r="L113" s="191">
        <f t="shared" ref="L113:W113" si="64">L114+L115</f>
        <v>660000</v>
      </c>
      <c r="M113" s="266">
        <f t="shared" si="64"/>
        <v>660000</v>
      </c>
      <c r="N113" s="266">
        <f t="shared" si="64"/>
        <v>660000</v>
      </c>
      <c r="O113" s="351">
        <f t="shared" si="64"/>
        <v>660000</v>
      </c>
      <c r="P113" s="351">
        <f t="shared" si="64"/>
        <v>660000</v>
      </c>
      <c r="Q113" s="351">
        <f t="shared" si="64"/>
        <v>660000</v>
      </c>
      <c r="R113" s="351">
        <f t="shared" si="64"/>
        <v>660000</v>
      </c>
      <c r="S113" s="351">
        <f t="shared" si="64"/>
        <v>625969</v>
      </c>
      <c r="T113" s="351">
        <f t="shared" si="64"/>
        <v>660000</v>
      </c>
      <c r="U113" s="351">
        <f t="shared" si="64"/>
        <v>660000</v>
      </c>
      <c r="V113" s="351">
        <f t="shared" si="64"/>
        <v>657937</v>
      </c>
      <c r="W113" s="137">
        <f t="shared" si="64"/>
        <v>660000</v>
      </c>
      <c r="X113" s="49">
        <f>SUM(L113:W113)</f>
        <v>7883906</v>
      </c>
      <c r="Z113" s="54"/>
    </row>
    <row r="114" spans="1:26">
      <c r="A114" s="70">
        <f t="shared" ref="A114:A124" si="65">+A113</f>
        <v>2016024</v>
      </c>
      <c r="B114" s="74"/>
      <c r="C114" s="404"/>
      <c r="D114" s="402"/>
      <c r="E114" s="402"/>
      <c r="F114" s="406"/>
      <c r="G114" s="402"/>
      <c r="H114" s="402"/>
      <c r="I114" s="495"/>
      <c r="J114" s="398"/>
      <c r="K114" s="159" t="s">
        <v>23</v>
      </c>
      <c r="L114" s="203">
        <v>660000</v>
      </c>
      <c r="M114" s="203">
        <v>660000</v>
      </c>
      <c r="N114" s="203">
        <v>660000</v>
      </c>
      <c r="O114" s="203">
        <v>660000</v>
      </c>
      <c r="P114" s="203">
        <v>660000</v>
      </c>
      <c r="Q114" s="203">
        <v>660000</v>
      </c>
      <c r="R114" s="203">
        <v>660000</v>
      </c>
      <c r="S114" s="203">
        <v>625969</v>
      </c>
      <c r="T114" s="203">
        <v>660000</v>
      </c>
      <c r="U114" s="203">
        <v>660000</v>
      </c>
      <c r="V114" s="203">
        <v>657937</v>
      </c>
      <c r="W114" s="171">
        <v>660000</v>
      </c>
      <c r="X114" s="135">
        <f>SUM(L114:W114)</f>
        <v>7883906</v>
      </c>
      <c r="Y114" s="105"/>
      <c r="Z114" s="54"/>
    </row>
    <row r="115" spans="1:26">
      <c r="A115" s="70">
        <f t="shared" si="65"/>
        <v>2016024</v>
      </c>
      <c r="B115" s="74"/>
      <c r="C115" s="404"/>
      <c r="D115" s="402"/>
      <c r="E115" s="402"/>
      <c r="F115" s="406"/>
      <c r="G115" s="402"/>
      <c r="H115" s="402"/>
      <c r="I115" s="495"/>
      <c r="J115" s="398"/>
      <c r="K115" s="159" t="s">
        <v>24</v>
      </c>
      <c r="L115" s="203"/>
      <c r="M115" s="203"/>
      <c r="N115" s="203"/>
      <c r="O115" s="220"/>
      <c r="P115" s="220"/>
      <c r="Q115" s="220"/>
      <c r="R115" s="220"/>
      <c r="S115" s="220"/>
      <c r="T115" s="220"/>
      <c r="U115" s="220"/>
      <c r="V115" s="220"/>
      <c r="W115" s="181"/>
      <c r="X115" s="135">
        <v>0</v>
      </c>
      <c r="Z115" s="54"/>
    </row>
    <row r="116" spans="1:26">
      <c r="A116" s="70">
        <f t="shared" si="65"/>
        <v>2016024</v>
      </c>
      <c r="B116" s="74"/>
      <c r="C116" s="404"/>
      <c r="D116" s="402"/>
      <c r="E116" s="402"/>
      <c r="F116" s="406"/>
      <c r="G116" s="402"/>
      <c r="H116" s="402"/>
      <c r="I116" s="495"/>
      <c r="J116" s="398"/>
      <c r="K116" s="160" t="s">
        <v>25</v>
      </c>
      <c r="L116" s="204">
        <f t="shared" ref="L116:W116" si="66">SUM(L117:L123)</f>
        <v>564345</v>
      </c>
      <c r="M116" s="204">
        <f t="shared" si="66"/>
        <v>564345</v>
      </c>
      <c r="N116" s="204">
        <f t="shared" si="66"/>
        <v>564345</v>
      </c>
      <c r="O116" s="354">
        <f t="shared" si="66"/>
        <v>564345</v>
      </c>
      <c r="P116" s="354">
        <f t="shared" si="66"/>
        <v>564345</v>
      </c>
      <c r="Q116" s="354">
        <f t="shared" si="66"/>
        <v>564345</v>
      </c>
      <c r="R116" s="354">
        <f t="shared" si="66"/>
        <v>564345</v>
      </c>
      <c r="S116" s="354">
        <f t="shared" si="66"/>
        <v>536685</v>
      </c>
      <c r="T116" s="354">
        <f t="shared" si="66"/>
        <v>564345</v>
      </c>
      <c r="U116" s="354">
        <f t="shared" si="66"/>
        <v>564345</v>
      </c>
      <c r="V116" s="354">
        <f t="shared" si="66"/>
        <v>563298</v>
      </c>
      <c r="W116" s="182">
        <f t="shared" si="66"/>
        <v>564345</v>
      </c>
      <c r="X116" s="136">
        <f>SUM(L116:W116)</f>
        <v>6743433</v>
      </c>
      <c r="Z116" s="54"/>
    </row>
    <row r="117" spans="1:26">
      <c r="A117" s="70">
        <f t="shared" si="65"/>
        <v>2016024</v>
      </c>
      <c r="B117" s="74"/>
      <c r="C117" s="404"/>
      <c r="D117" s="402"/>
      <c r="E117" s="402"/>
      <c r="F117" s="406"/>
      <c r="G117" s="402"/>
      <c r="H117" s="402"/>
      <c r="I117" s="495"/>
      <c r="J117" s="398"/>
      <c r="K117" s="161" t="s">
        <v>26</v>
      </c>
      <c r="L117" s="203">
        <v>450000</v>
      </c>
      <c r="M117" s="203">
        <v>450000</v>
      </c>
      <c r="N117" s="203">
        <v>450000</v>
      </c>
      <c r="O117" s="203">
        <v>450000</v>
      </c>
      <c r="P117" s="203">
        <v>450000</v>
      </c>
      <c r="Q117" s="203">
        <v>450000</v>
      </c>
      <c r="R117" s="203">
        <v>450000</v>
      </c>
      <c r="S117" s="203">
        <v>422628</v>
      </c>
      <c r="T117" s="203">
        <v>450000</v>
      </c>
      <c r="U117" s="203">
        <v>450000</v>
      </c>
      <c r="V117" s="203">
        <v>448783</v>
      </c>
      <c r="W117" s="162">
        <v>450000</v>
      </c>
      <c r="X117" s="135">
        <f t="shared" ref="X117:X123" si="67">SUM(L117:W117)</f>
        <v>5371411</v>
      </c>
      <c r="Y117" s="105"/>
      <c r="Z117" s="54"/>
    </row>
    <row r="118" spans="1:26">
      <c r="A118" s="70">
        <f t="shared" si="65"/>
        <v>2016024</v>
      </c>
      <c r="B118" s="74"/>
      <c r="C118" s="404"/>
      <c r="D118" s="402"/>
      <c r="E118" s="402"/>
      <c r="F118" s="406"/>
      <c r="G118" s="402"/>
      <c r="H118" s="402"/>
      <c r="I118" s="495"/>
      <c r="J118" s="398"/>
      <c r="K118" s="161" t="s">
        <v>33</v>
      </c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162"/>
      <c r="X118" s="135">
        <f t="shared" si="67"/>
        <v>0</v>
      </c>
      <c r="Y118" s="105"/>
      <c r="Z118" s="54"/>
    </row>
    <row r="119" spans="1:26">
      <c r="A119" s="70">
        <f t="shared" si="65"/>
        <v>2016024</v>
      </c>
      <c r="B119" s="74"/>
      <c r="C119" s="404"/>
      <c r="D119" s="402"/>
      <c r="E119" s="402"/>
      <c r="F119" s="406"/>
      <c r="G119" s="402"/>
      <c r="H119" s="402"/>
      <c r="I119" s="495"/>
      <c r="J119" s="398"/>
      <c r="K119" s="161" t="s">
        <v>27</v>
      </c>
      <c r="L119" s="203">
        <v>35250</v>
      </c>
      <c r="M119" s="203">
        <v>35250</v>
      </c>
      <c r="N119" s="203">
        <v>35250</v>
      </c>
      <c r="O119" s="203">
        <v>35250</v>
      </c>
      <c r="P119" s="203">
        <v>35250</v>
      </c>
      <c r="Q119" s="203">
        <v>35250</v>
      </c>
      <c r="R119" s="203">
        <v>35250</v>
      </c>
      <c r="S119" s="203">
        <v>35250</v>
      </c>
      <c r="T119" s="203">
        <v>35250</v>
      </c>
      <c r="U119" s="203">
        <v>35250</v>
      </c>
      <c r="V119" s="203">
        <v>35250</v>
      </c>
      <c r="W119" s="162">
        <v>35250</v>
      </c>
      <c r="X119" s="135">
        <f t="shared" si="67"/>
        <v>423000</v>
      </c>
      <c r="Y119" s="105"/>
      <c r="Z119" s="54"/>
    </row>
    <row r="120" spans="1:26">
      <c r="A120" s="70">
        <f t="shared" si="65"/>
        <v>2016024</v>
      </c>
      <c r="B120" s="74"/>
      <c r="C120" s="404"/>
      <c r="D120" s="402"/>
      <c r="E120" s="402"/>
      <c r="F120" s="406"/>
      <c r="G120" s="402"/>
      <c r="H120" s="402"/>
      <c r="I120" s="495"/>
      <c r="J120" s="398"/>
      <c r="K120" s="161" t="s">
        <v>28</v>
      </c>
      <c r="L120" s="203">
        <v>28250</v>
      </c>
      <c r="M120" s="203">
        <v>28250</v>
      </c>
      <c r="N120" s="203">
        <v>28250</v>
      </c>
      <c r="O120" s="203">
        <v>28250</v>
      </c>
      <c r="P120" s="203">
        <v>28250</v>
      </c>
      <c r="Q120" s="203">
        <v>28250</v>
      </c>
      <c r="R120" s="203">
        <v>28250</v>
      </c>
      <c r="S120" s="203">
        <v>28250</v>
      </c>
      <c r="T120" s="203">
        <v>28250</v>
      </c>
      <c r="U120" s="203">
        <v>28250</v>
      </c>
      <c r="V120" s="203">
        <v>28250</v>
      </c>
      <c r="W120" s="162">
        <v>28250</v>
      </c>
      <c r="X120" s="135">
        <f t="shared" si="67"/>
        <v>339000</v>
      </c>
      <c r="Y120" s="105"/>
      <c r="Z120" s="54"/>
    </row>
    <row r="121" spans="1:26">
      <c r="A121" s="70">
        <f t="shared" si="65"/>
        <v>2016024</v>
      </c>
      <c r="B121" s="74"/>
      <c r="C121" s="404"/>
      <c r="D121" s="402"/>
      <c r="E121" s="402"/>
      <c r="F121" s="406"/>
      <c r="G121" s="402"/>
      <c r="H121" s="402"/>
      <c r="I121" s="495"/>
      <c r="J121" s="398"/>
      <c r="K121" s="161" t="s">
        <v>29</v>
      </c>
      <c r="L121" s="203">
        <v>45750</v>
      </c>
      <c r="M121" s="203">
        <v>45750</v>
      </c>
      <c r="N121" s="203">
        <v>45750</v>
      </c>
      <c r="O121" s="203">
        <v>45750</v>
      </c>
      <c r="P121" s="203">
        <v>45750</v>
      </c>
      <c r="Q121" s="203">
        <v>45750</v>
      </c>
      <c r="R121" s="203">
        <v>45750</v>
      </c>
      <c r="S121" s="203">
        <v>45750</v>
      </c>
      <c r="T121" s="203">
        <v>45750</v>
      </c>
      <c r="U121" s="203">
        <v>45750</v>
      </c>
      <c r="V121" s="203">
        <v>45750</v>
      </c>
      <c r="W121" s="162">
        <v>45750</v>
      </c>
      <c r="X121" s="135">
        <f t="shared" si="67"/>
        <v>549000</v>
      </c>
      <c r="Y121" s="105"/>
      <c r="Z121" s="54"/>
    </row>
    <row r="122" spans="1:26">
      <c r="A122" s="70">
        <f t="shared" si="65"/>
        <v>2016024</v>
      </c>
      <c r="B122" s="74"/>
      <c r="C122" s="404"/>
      <c r="D122" s="402"/>
      <c r="E122" s="402"/>
      <c r="F122" s="406"/>
      <c r="G122" s="402"/>
      <c r="H122" s="402"/>
      <c r="I122" s="495"/>
      <c r="J122" s="398"/>
      <c r="K122" s="161" t="s">
        <v>30</v>
      </c>
      <c r="L122" s="203">
        <v>2426</v>
      </c>
      <c r="M122" s="203">
        <v>2426</v>
      </c>
      <c r="N122" s="203">
        <v>2426</v>
      </c>
      <c r="O122" s="203">
        <v>2426</v>
      </c>
      <c r="P122" s="203">
        <v>2426</v>
      </c>
      <c r="Q122" s="203">
        <v>2426</v>
      </c>
      <c r="R122" s="203">
        <v>2426</v>
      </c>
      <c r="S122" s="203">
        <v>2289</v>
      </c>
      <c r="T122" s="203">
        <v>2426</v>
      </c>
      <c r="U122" s="203">
        <v>2426</v>
      </c>
      <c r="V122" s="203">
        <v>2507</v>
      </c>
      <c r="W122" s="162">
        <v>2426</v>
      </c>
      <c r="X122" s="135">
        <f t="shared" si="67"/>
        <v>29056</v>
      </c>
      <c r="Y122" s="105"/>
      <c r="Z122" s="54"/>
    </row>
    <row r="123" spans="1:26">
      <c r="A123" s="70">
        <f t="shared" si="65"/>
        <v>2016024</v>
      </c>
      <c r="B123" s="74"/>
      <c r="C123" s="404"/>
      <c r="D123" s="402"/>
      <c r="E123" s="402"/>
      <c r="F123" s="406"/>
      <c r="G123" s="402"/>
      <c r="H123" s="402"/>
      <c r="I123" s="495"/>
      <c r="J123" s="398"/>
      <c r="K123" s="161" t="s">
        <v>31</v>
      </c>
      <c r="L123" s="203">
        <v>2669</v>
      </c>
      <c r="M123" s="203">
        <v>2669</v>
      </c>
      <c r="N123" s="203">
        <v>2669</v>
      </c>
      <c r="O123" s="203">
        <v>2669</v>
      </c>
      <c r="P123" s="203">
        <v>2669</v>
      </c>
      <c r="Q123" s="203">
        <v>2669</v>
      </c>
      <c r="R123" s="203">
        <v>2669</v>
      </c>
      <c r="S123" s="203">
        <v>2518</v>
      </c>
      <c r="T123" s="203">
        <v>2669</v>
      </c>
      <c r="U123" s="203">
        <v>2669</v>
      </c>
      <c r="V123" s="203">
        <v>2758</v>
      </c>
      <c r="W123" s="162">
        <v>2669</v>
      </c>
      <c r="X123" s="135">
        <f t="shared" si="67"/>
        <v>31966</v>
      </c>
      <c r="Y123" s="105"/>
      <c r="Z123" s="54"/>
    </row>
    <row r="124" spans="1:26">
      <c r="A124" s="70">
        <f t="shared" si="65"/>
        <v>2016024</v>
      </c>
      <c r="B124" s="74"/>
      <c r="C124" s="405"/>
      <c r="D124" s="403"/>
      <c r="E124" s="403"/>
      <c r="F124" s="407"/>
      <c r="G124" s="403"/>
      <c r="H124" s="403"/>
      <c r="I124" s="496"/>
      <c r="J124" s="399"/>
      <c r="K124" s="65" t="s">
        <v>32</v>
      </c>
      <c r="L124" s="194">
        <f t="shared" ref="L124:X124" si="68">L113-L116</f>
        <v>95655</v>
      </c>
      <c r="M124" s="267">
        <f t="shared" si="68"/>
        <v>95655</v>
      </c>
      <c r="N124" s="267">
        <f t="shared" si="68"/>
        <v>95655</v>
      </c>
      <c r="O124" s="344">
        <f t="shared" si="68"/>
        <v>95655</v>
      </c>
      <c r="P124" s="344">
        <f t="shared" si="68"/>
        <v>95655</v>
      </c>
      <c r="Q124" s="344">
        <f t="shared" si="68"/>
        <v>95655</v>
      </c>
      <c r="R124" s="344">
        <f t="shared" si="68"/>
        <v>95655</v>
      </c>
      <c r="S124" s="344">
        <f t="shared" si="68"/>
        <v>89284</v>
      </c>
      <c r="T124" s="344">
        <f t="shared" si="68"/>
        <v>95655</v>
      </c>
      <c r="U124" s="344">
        <f t="shared" si="68"/>
        <v>95655</v>
      </c>
      <c r="V124" s="344">
        <f t="shared" si="68"/>
        <v>94639</v>
      </c>
      <c r="W124" s="129">
        <f t="shared" si="68"/>
        <v>95655</v>
      </c>
      <c r="X124" s="50">
        <f t="shared" si="68"/>
        <v>1140473</v>
      </c>
      <c r="Z124" s="54"/>
    </row>
    <row r="125" spans="1:26" ht="12.75" customHeight="1">
      <c r="A125" s="101">
        <v>2016009</v>
      </c>
      <c r="C125" s="433">
        <f t="shared" ref="C125" si="69">C113+1</f>
        <v>11</v>
      </c>
      <c r="D125" s="402" t="s">
        <v>34</v>
      </c>
      <c r="E125" s="402"/>
      <c r="F125" s="406"/>
      <c r="G125" s="402"/>
      <c r="H125" s="402"/>
      <c r="I125" s="497" t="s">
        <v>67</v>
      </c>
      <c r="J125" s="397" t="s">
        <v>56</v>
      </c>
      <c r="K125" s="66" t="s">
        <v>22</v>
      </c>
      <c r="L125" s="191">
        <f t="shared" ref="L125:W125" si="70">L126+L127</f>
        <v>695000</v>
      </c>
      <c r="M125" s="266">
        <f t="shared" si="70"/>
        <v>637740</v>
      </c>
      <c r="N125" s="266">
        <f t="shared" si="70"/>
        <v>695000</v>
      </c>
      <c r="O125" s="351">
        <f t="shared" si="70"/>
        <v>695000</v>
      </c>
      <c r="P125" s="351">
        <f t="shared" si="70"/>
        <v>596840</v>
      </c>
      <c r="Q125" s="351">
        <f>Q126+Q127</f>
        <v>695000</v>
      </c>
      <c r="R125" s="351">
        <f t="shared" si="70"/>
        <v>605020</v>
      </c>
      <c r="S125" s="351">
        <f t="shared" si="70"/>
        <v>654100</v>
      </c>
      <c r="T125" s="351">
        <f t="shared" si="70"/>
        <v>695000</v>
      </c>
      <c r="U125" s="351">
        <f t="shared" si="70"/>
        <v>670460</v>
      </c>
      <c r="V125" s="351">
        <f t="shared" si="70"/>
        <v>670460</v>
      </c>
      <c r="W125" s="137">
        <f t="shared" si="70"/>
        <v>695000</v>
      </c>
      <c r="X125" s="49">
        <f t="shared" ref="X125:X135" si="71">SUM(L125:W125)</f>
        <v>8004620</v>
      </c>
      <c r="Z125" s="54"/>
    </row>
    <row r="126" spans="1:26">
      <c r="A126" s="70">
        <f t="shared" ref="A126:A136" si="72">+A125</f>
        <v>2016009</v>
      </c>
      <c r="B126" s="74"/>
      <c r="C126" s="404"/>
      <c r="D126" s="402"/>
      <c r="E126" s="402"/>
      <c r="F126" s="406"/>
      <c r="G126" s="402"/>
      <c r="H126" s="402"/>
      <c r="I126" s="497"/>
      <c r="J126" s="398"/>
      <c r="K126" s="159" t="s">
        <v>23</v>
      </c>
      <c r="L126" s="203">
        <v>695000</v>
      </c>
      <c r="M126" s="203">
        <v>637740</v>
      </c>
      <c r="N126" s="203">
        <v>695000</v>
      </c>
      <c r="O126" s="203">
        <v>695000</v>
      </c>
      <c r="P126" s="203">
        <v>596840</v>
      </c>
      <c r="Q126" s="203">
        <v>695000</v>
      </c>
      <c r="R126" s="203">
        <v>605020</v>
      </c>
      <c r="S126" s="203">
        <v>654100</v>
      </c>
      <c r="T126" s="203">
        <v>695000</v>
      </c>
      <c r="U126" s="203">
        <v>670460</v>
      </c>
      <c r="V126" s="203">
        <v>670460</v>
      </c>
      <c r="W126" s="171">
        <v>695000</v>
      </c>
      <c r="X126" s="135">
        <f t="shared" si="71"/>
        <v>8004620</v>
      </c>
      <c r="Y126" s="105"/>
      <c r="Z126" s="54"/>
    </row>
    <row r="127" spans="1:26">
      <c r="A127" s="70">
        <f t="shared" si="72"/>
        <v>2016009</v>
      </c>
      <c r="B127" s="74"/>
      <c r="C127" s="404"/>
      <c r="D127" s="402"/>
      <c r="E127" s="402"/>
      <c r="F127" s="406"/>
      <c r="G127" s="402"/>
      <c r="H127" s="402"/>
      <c r="I127" s="497"/>
      <c r="J127" s="398"/>
      <c r="K127" s="159" t="s">
        <v>24</v>
      </c>
      <c r="L127" s="203"/>
      <c r="M127" s="203"/>
      <c r="N127" s="203"/>
      <c r="O127" s="220"/>
      <c r="P127" s="220"/>
      <c r="Q127" s="220"/>
      <c r="R127" s="220"/>
      <c r="S127" s="220"/>
      <c r="T127" s="220"/>
      <c r="U127" s="220"/>
      <c r="V127" s="220"/>
      <c r="W127" s="181"/>
      <c r="X127" s="135">
        <f t="shared" si="71"/>
        <v>0</v>
      </c>
      <c r="Z127" s="54"/>
    </row>
    <row r="128" spans="1:26">
      <c r="A128" s="70">
        <f t="shared" si="72"/>
        <v>2016009</v>
      </c>
      <c r="B128" s="74"/>
      <c r="C128" s="404"/>
      <c r="D128" s="402"/>
      <c r="E128" s="402"/>
      <c r="F128" s="406"/>
      <c r="G128" s="402"/>
      <c r="H128" s="402"/>
      <c r="I128" s="497"/>
      <c r="J128" s="398"/>
      <c r="K128" s="160" t="s">
        <v>25</v>
      </c>
      <c r="L128" s="204">
        <f t="shared" ref="L128:W128" si="73">SUM(L129:L135)</f>
        <v>514792</v>
      </c>
      <c r="M128" s="204">
        <f t="shared" si="73"/>
        <v>514792</v>
      </c>
      <c r="N128" s="204">
        <f t="shared" si="73"/>
        <v>514792</v>
      </c>
      <c r="O128" s="354">
        <f t="shared" si="73"/>
        <v>514792</v>
      </c>
      <c r="P128" s="354">
        <f t="shared" si="73"/>
        <v>514792</v>
      </c>
      <c r="Q128" s="354">
        <f t="shared" si="73"/>
        <v>514792</v>
      </c>
      <c r="R128" s="354">
        <f t="shared" si="73"/>
        <v>514792</v>
      </c>
      <c r="S128" s="354">
        <f t="shared" si="73"/>
        <v>514918</v>
      </c>
      <c r="T128" s="354">
        <f t="shared" si="73"/>
        <v>514792</v>
      </c>
      <c r="U128" s="354">
        <f t="shared" si="73"/>
        <v>514792</v>
      </c>
      <c r="V128" s="354">
        <f t="shared" si="73"/>
        <v>514975</v>
      </c>
      <c r="W128" s="182">
        <f t="shared" si="73"/>
        <v>514792</v>
      </c>
      <c r="X128" s="136">
        <f t="shared" si="71"/>
        <v>6177813</v>
      </c>
      <c r="Z128" s="54"/>
    </row>
    <row r="129" spans="1:26">
      <c r="A129" s="70">
        <f t="shared" si="72"/>
        <v>2016009</v>
      </c>
      <c r="B129" s="74"/>
      <c r="C129" s="404"/>
      <c r="D129" s="402"/>
      <c r="E129" s="402"/>
      <c r="F129" s="406"/>
      <c r="G129" s="402"/>
      <c r="H129" s="402"/>
      <c r="I129" s="497"/>
      <c r="J129" s="398"/>
      <c r="K129" s="161" t="s">
        <v>26</v>
      </c>
      <c r="L129" s="203">
        <v>425000</v>
      </c>
      <c r="M129" s="203">
        <v>425000</v>
      </c>
      <c r="N129" s="203">
        <v>425000</v>
      </c>
      <c r="O129" s="203">
        <v>425000</v>
      </c>
      <c r="P129" s="203">
        <v>425000</v>
      </c>
      <c r="Q129" s="203">
        <v>425000</v>
      </c>
      <c r="R129" s="203">
        <v>425000</v>
      </c>
      <c r="S129" s="203">
        <v>425000</v>
      </c>
      <c r="T129" s="203">
        <v>425000</v>
      </c>
      <c r="U129" s="203">
        <v>425000</v>
      </c>
      <c r="V129" s="203">
        <v>425000</v>
      </c>
      <c r="W129" s="162">
        <v>425000</v>
      </c>
      <c r="X129" s="135">
        <f t="shared" si="71"/>
        <v>5100000</v>
      </c>
      <c r="Y129" s="105"/>
      <c r="Z129" s="54"/>
    </row>
    <row r="130" spans="1:26">
      <c r="A130" s="70">
        <f t="shared" si="72"/>
        <v>2016009</v>
      </c>
      <c r="B130" s="74"/>
      <c r="C130" s="404"/>
      <c r="D130" s="402"/>
      <c r="E130" s="402"/>
      <c r="F130" s="406"/>
      <c r="G130" s="402"/>
      <c r="H130" s="402"/>
      <c r="I130" s="497"/>
      <c r="J130" s="398"/>
      <c r="K130" s="161" t="s">
        <v>33</v>
      </c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162"/>
      <c r="X130" s="135">
        <f t="shared" si="71"/>
        <v>0</v>
      </c>
      <c r="Y130" s="105"/>
      <c r="Z130" s="54"/>
    </row>
    <row r="131" spans="1:26">
      <c r="A131" s="70">
        <f t="shared" si="72"/>
        <v>2016009</v>
      </c>
      <c r="B131" s="74"/>
      <c r="C131" s="404"/>
      <c r="D131" s="402"/>
      <c r="E131" s="402"/>
      <c r="F131" s="406"/>
      <c r="G131" s="402"/>
      <c r="H131" s="402"/>
      <c r="I131" s="497"/>
      <c r="J131" s="398"/>
      <c r="K131" s="161" t="s">
        <v>27</v>
      </c>
      <c r="L131" s="203">
        <v>20000</v>
      </c>
      <c r="M131" s="203">
        <v>20000</v>
      </c>
      <c r="N131" s="203">
        <v>20000</v>
      </c>
      <c r="O131" s="203">
        <v>20000</v>
      </c>
      <c r="P131" s="203">
        <v>20000</v>
      </c>
      <c r="Q131" s="203">
        <v>20000</v>
      </c>
      <c r="R131" s="203">
        <v>20000</v>
      </c>
      <c r="S131" s="203">
        <v>20000</v>
      </c>
      <c r="T131" s="203">
        <v>20000</v>
      </c>
      <c r="U131" s="203">
        <v>20000</v>
      </c>
      <c r="V131" s="203">
        <v>20000</v>
      </c>
      <c r="W131" s="162">
        <v>20000</v>
      </c>
      <c r="X131" s="135">
        <f t="shared" si="71"/>
        <v>240000</v>
      </c>
      <c r="Y131" s="105"/>
      <c r="Z131" s="54"/>
    </row>
    <row r="132" spans="1:26">
      <c r="A132" s="70">
        <f t="shared" si="72"/>
        <v>2016009</v>
      </c>
      <c r="B132" s="74"/>
      <c r="C132" s="404"/>
      <c r="D132" s="402"/>
      <c r="E132" s="402"/>
      <c r="F132" s="406"/>
      <c r="G132" s="402"/>
      <c r="H132" s="402"/>
      <c r="I132" s="497"/>
      <c r="J132" s="398"/>
      <c r="K132" s="161" t="s">
        <v>28</v>
      </c>
      <c r="L132" s="203">
        <v>24860</v>
      </c>
      <c r="M132" s="203">
        <v>24860</v>
      </c>
      <c r="N132" s="203">
        <v>24860</v>
      </c>
      <c r="O132" s="203">
        <v>24860</v>
      </c>
      <c r="P132" s="203">
        <v>24860</v>
      </c>
      <c r="Q132" s="203">
        <v>24860</v>
      </c>
      <c r="R132" s="203">
        <v>24860</v>
      </c>
      <c r="S132" s="203">
        <v>24860</v>
      </c>
      <c r="T132" s="203">
        <v>24860</v>
      </c>
      <c r="U132" s="203">
        <v>24860</v>
      </c>
      <c r="V132" s="203">
        <v>24860</v>
      </c>
      <c r="W132" s="162">
        <v>24860</v>
      </c>
      <c r="X132" s="135">
        <f t="shared" si="71"/>
        <v>298320</v>
      </c>
      <c r="Y132" s="105"/>
      <c r="Z132" s="54"/>
    </row>
    <row r="133" spans="1:26">
      <c r="A133" s="70">
        <f t="shared" si="72"/>
        <v>2016009</v>
      </c>
      <c r="B133" s="74"/>
      <c r="C133" s="404"/>
      <c r="D133" s="402"/>
      <c r="E133" s="402"/>
      <c r="F133" s="406"/>
      <c r="G133" s="402"/>
      <c r="H133" s="402"/>
      <c r="I133" s="497"/>
      <c r="J133" s="398"/>
      <c r="K133" s="161" t="s">
        <v>29</v>
      </c>
      <c r="L133" s="203">
        <v>40260</v>
      </c>
      <c r="M133" s="203">
        <v>40260</v>
      </c>
      <c r="N133" s="203">
        <v>40260</v>
      </c>
      <c r="O133" s="203">
        <v>40260</v>
      </c>
      <c r="P133" s="203">
        <v>40260</v>
      </c>
      <c r="Q133" s="203">
        <v>40260</v>
      </c>
      <c r="R133" s="203">
        <v>40260</v>
      </c>
      <c r="S133" s="203">
        <v>40260</v>
      </c>
      <c r="T133" s="203">
        <v>40260</v>
      </c>
      <c r="U133" s="203">
        <v>40260</v>
      </c>
      <c r="V133" s="203">
        <v>40260</v>
      </c>
      <c r="W133" s="162">
        <v>40260</v>
      </c>
      <c r="X133" s="135">
        <f t="shared" si="71"/>
        <v>483120</v>
      </c>
      <c r="Y133" s="105"/>
      <c r="Z133" s="54"/>
    </row>
    <row r="134" spans="1:26">
      <c r="A134" s="70">
        <f t="shared" si="72"/>
        <v>2016009</v>
      </c>
      <c r="B134" s="74"/>
      <c r="C134" s="404"/>
      <c r="D134" s="402"/>
      <c r="E134" s="402"/>
      <c r="F134" s="406"/>
      <c r="G134" s="402"/>
      <c r="H134" s="402"/>
      <c r="I134" s="497"/>
      <c r="J134" s="398"/>
      <c r="K134" s="161" t="s">
        <v>30</v>
      </c>
      <c r="L134" s="203">
        <v>2225</v>
      </c>
      <c r="M134" s="203">
        <v>2225</v>
      </c>
      <c r="N134" s="203">
        <v>2225</v>
      </c>
      <c r="O134" s="203">
        <v>2225</v>
      </c>
      <c r="P134" s="203">
        <v>2225</v>
      </c>
      <c r="Q134" s="203">
        <v>2225</v>
      </c>
      <c r="R134" s="203">
        <v>2225</v>
      </c>
      <c r="S134" s="203">
        <v>2285</v>
      </c>
      <c r="T134" s="203">
        <v>2225</v>
      </c>
      <c r="U134" s="203">
        <v>2225</v>
      </c>
      <c r="V134" s="203">
        <v>2312</v>
      </c>
      <c r="W134" s="162">
        <v>2225</v>
      </c>
      <c r="X134" s="135">
        <f t="shared" si="71"/>
        <v>26847</v>
      </c>
      <c r="Y134" s="105"/>
      <c r="Z134" s="54"/>
    </row>
    <row r="135" spans="1:26">
      <c r="A135" s="70">
        <f t="shared" si="72"/>
        <v>2016009</v>
      </c>
      <c r="B135" s="74"/>
      <c r="C135" s="404"/>
      <c r="D135" s="402"/>
      <c r="E135" s="402"/>
      <c r="F135" s="406"/>
      <c r="G135" s="402"/>
      <c r="H135" s="402"/>
      <c r="I135" s="497"/>
      <c r="J135" s="398"/>
      <c r="K135" s="161" t="s">
        <v>31</v>
      </c>
      <c r="L135" s="203">
        <v>2447</v>
      </c>
      <c r="M135" s="203">
        <v>2447</v>
      </c>
      <c r="N135" s="203">
        <v>2447</v>
      </c>
      <c r="O135" s="203">
        <v>2447</v>
      </c>
      <c r="P135" s="203">
        <v>2447</v>
      </c>
      <c r="Q135" s="203">
        <v>2447</v>
      </c>
      <c r="R135" s="203">
        <v>2447</v>
      </c>
      <c r="S135" s="203">
        <v>2513</v>
      </c>
      <c r="T135" s="203">
        <v>2447</v>
      </c>
      <c r="U135" s="203">
        <v>2447</v>
      </c>
      <c r="V135" s="203">
        <v>2543</v>
      </c>
      <c r="W135" s="162">
        <v>2447</v>
      </c>
      <c r="X135" s="135">
        <f t="shared" si="71"/>
        <v>29526</v>
      </c>
      <c r="Y135" s="105"/>
      <c r="Z135" s="54"/>
    </row>
    <row r="136" spans="1:26">
      <c r="A136" s="70">
        <f t="shared" si="72"/>
        <v>2016009</v>
      </c>
      <c r="B136" s="74"/>
      <c r="C136" s="405"/>
      <c r="D136" s="403"/>
      <c r="E136" s="403"/>
      <c r="F136" s="407"/>
      <c r="G136" s="403"/>
      <c r="H136" s="403"/>
      <c r="I136" s="498"/>
      <c r="J136" s="399"/>
      <c r="K136" s="65" t="s">
        <v>32</v>
      </c>
      <c r="L136" s="194">
        <f t="shared" ref="L136:X136" si="74">L125-L128</f>
        <v>180208</v>
      </c>
      <c r="M136" s="267">
        <f t="shared" si="74"/>
        <v>122948</v>
      </c>
      <c r="N136" s="267">
        <f t="shared" si="74"/>
        <v>180208</v>
      </c>
      <c r="O136" s="344">
        <f t="shared" si="74"/>
        <v>180208</v>
      </c>
      <c r="P136" s="344">
        <f t="shared" si="74"/>
        <v>82048</v>
      </c>
      <c r="Q136" s="344">
        <f t="shared" si="74"/>
        <v>180208</v>
      </c>
      <c r="R136" s="344">
        <f t="shared" si="74"/>
        <v>90228</v>
      </c>
      <c r="S136" s="344">
        <f t="shared" si="74"/>
        <v>139182</v>
      </c>
      <c r="T136" s="344">
        <f t="shared" si="74"/>
        <v>180208</v>
      </c>
      <c r="U136" s="344">
        <f t="shared" si="74"/>
        <v>155668</v>
      </c>
      <c r="V136" s="344">
        <f t="shared" si="74"/>
        <v>155485</v>
      </c>
      <c r="W136" s="129">
        <f t="shared" si="74"/>
        <v>180208</v>
      </c>
      <c r="X136" s="50">
        <f t="shared" si="74"/>
        <v>1826807</v>
      </c>
      <c r="Z136" s="54"/>
    </row>
    <row r="137" spans="1:26" ht="12.75" customHeight="1">
      <c r="A137" s="101">
        <v>2021018</v>
      </c>
      <c r="C137" s="433">
        <f t="shared" ref="C137" si="75">C125+1</f>
        <v>12</v>
      </c>
      <c r="D137" s="402" t="s">
        <v>34</v>
      </c>
      <c r="E137" s="402" t="s">
        <v>104</v>
      </c>
      <c r="F137" s="406"/>
      <c r="G137" s="402"/>
      <c r="H137" s="402"/>
      <c r="I137" s="495" t="s">
        <v>63</v>
      </c>
      <c r="J137" s="397" t="s">
        <v>56</v>
      </c>
      <c r="K137" s="66" t="s">
        <v>22</v>
      </c>
      <c r="L137" s="235">
        <f t="shared" ref="L137:O137" si="76">L138+L139</f>
        <v>550000</v>
      </c>
      <c r="M137" s="281">
        <f t="shared" si="76"/>
        <v>550000</v>
      </c>
      <c r="N137" s="281">
        <f t="shared" si="76"/>
        <v>350654</v>
      </c>
      <c r="O137" s="357">
        <f t="shared" si="76"/>
        <v>0</v>
      </c>
      <c r="P137" s="351">
        <f>P138+P139</f>
        <v>0</v>
      </c>
      <c r="Q137" s="351">
        <f t="shared" ref="Q137:W137" si="77">Q138+Q139</f>
        <v>0</v>
      </c>
      <c r="R137" s="351">
        <f t="shared" si="77"/>
        <v>0</v>
      </c>
      <c r="S137" s="351">
        <f t="shared" si="77"/>
        <v>0</v>
      </c>
      <c r="T137" s="351">
        <f t="shared" si="77"/>
        <v>0</v>
      </c>
      <c r="U137" s="351">
        <f t="shared" si="77"/>
        <v>0</v>
      </c>
      <c r="V137" s="351">
        <f t="shared" si="77"/>
        <v>0</v>
      </c>
      <c r="W137" s="358">
        <f t="shared" si="77"/>
        <v>0</v>
      </c>
      <c r="X137" s="359">
        <f>SUM(L137:W137)</f>
        <v>1450654</v>
      </c>
      <c r="Z137" s="54"/>
    </row>
    <row r="138" spans="1:26">
      <c r="A138" s="70">
        <f>+A137</f>
        <v>2021018</v>
      </c>
      <c r="B138" s="74"/>
      <c r="C138" s="404"/>
      <c r="D138" s="402"/>
      <c r="E138" s="402"/>
      <c r="F138" s="406"/>
      <c r="G138" s="402"/>
      <c r="H138" s="402"/>
      <c r="I138" s="495"/>
      <c r="J138" s="398"/>
      <c r="K138" s="159" t="s">
        <v>23</v>
      </c>
      <c r="L138" s="309">
        <v>550000</v>
      </c>
      <c r="M138" s="309">
        <v>550000</v>
      </c>
      <c r="N138" s="309">
        <v>350654</v>
      </c>
      <c r="O138" s="309">
        <v>0</v>
      </c>
      <c r="P138" s="203">
        <v>0</v>
      </c>
      <c r="Q138" s="203">
        <v>0</v>
      </c>
      <c r="R138" s="203"/>
      <c r="S138" s="203"/>
      <c r="T138" s="203"/>
      <c r="U138" s="203"/>
      <c r="V138" s="203"/>
      <c r="W138" s="360"/>
      <c r="X138" s="247">
        <f>SUM(L138:W138)</f>
        <v>1450654</v>
      </c>
      <c r="Y138" s="105"/>
      <c r="Z138" s="54"/>
    </row>
    <row r="139" spans="1:26">
      <c r="A139" s="70">
        <f t="shared" ref="A139" si="78">+A138</f>
        <v>2021018</v>
      </c>
      <c r="B139" s="74"/>
      <c r="C139" s="404"/>
      <c r="D139" s="402"/>
      <c r="E139" s="402"/>
      <c r="F139" s="406"/>
      <c r="G139" s="402"/>
      <c r="H139" s="402"/>
      <c r="I139" s="495"/>
      <c r="J139" s="398"/>
      <c r="K139" s="159" t="s">
        <v>24</v>
      </c>
      <c r="L139" s="309"/>
      <c r="M139" s="309"/>
      <c r="N139" s="309"/>
      <c r="O139" s="361"/>
      <c r="P139" s="220"/>
      <c r="Q139" s="220"/>
      <c r="R139" s="220"/>
      <c r="S139" s="220"/>
      <c r="T139" s="220"/>
      <c r="U139" s="220"/>
      <c r="V139" s="220"/>
      <c r="W139" s="334"/>
      <c r="X139" s="247">
        <v>0</v>
      </c>
      <c r="Z139" s="54"/>
    </row>
    <row r="140" spans="1:26">
      <c r="A140" s="70">
        <f t="shared" ref="A140" si="79">+A139</f>
        <v>2021018</v>
      </c>
      <c r="B140" s="74"/>
      <c r="C140" s="404"/>
      <c r="D140" s="402"/>
      <c r="E140" s="402"/>
      <c r="F140" s="406"/>
      <c r="G140" s="402"/>
      <c r="H140" s="402"/>
      <c r="I140" s="495"/>
      <c r="J140" s="398"/>
      <c r="K140" s="160" t="s">
        <v>25</v>
      </c>
      <c r="L140" s="362">
        <f>SUM(L141:L147)</f>
        <v>361964</v>
      </c>
      <c r="M140" s="362">
        <f t="shared" ref="M140:W140" si="80">SUM(M141:M147)</f>
        <v>361944</v>
      </c>
      <c r="N140" s="362">
        <f t="shared" si="80"/>
        <v>356370</v>
      </c>
      <c r="O140" s="363">
        <f t="shared" si="80"/>
        <v>0</v>
      </c>
      <c r="P140" s="354">
        <f t="shared" si="80"/>
        <v>0</v>
      </c>
      <c r="Q140" s="354">
        <f t="shared" si="80"/>
        <v>0</v>
      </c>
      <c r="R140" s="354">
        <f t="shared" si="80"/>
        <v>0</v>
      </c>
      <c r="S140" s="354">
        <f t="shared" si="80"/>
        <v>0</v>
      </c>
      <c r="T140" s="354">
        <f t="shared" si="80"/>
        <v>0</v>
      </c>
      <c r="U140" s="354">
        <f t="shared" si="80"/>
        <v>0</v>
      </c>
      <c r="V140" s="354">
        <f t="shared" si="80"/>
        <v>0</v>
      </c>
      <c r="W140" s="335">
        <f t="shared" si="80"/>
        <v>0</v>
      </c>
      <c r="X140" s="248">
        <f>SUM(L140:W140)</f>
        <v>1080278</v>
      </c>
      <c r="Z140" s="54"/>
    </row>
    <row r="141" spans="1:26">
      <c r="A141" s="70">
        <f t="shared" ref="A141" si="81">+A140</f>
        <v>2021018</v>
      </c>
      <c r="B141" s="74"/>
      <c r="C141" s="404"/>
      <c r="D141" s="402"/>
      <c r="E141" s="402"/>
      <c r="F141" s="406"/>
      <c r="G141" s="402"/>
      <c r="H141" s="402"/>
      <c r="I141" s="495"/>
      <c r="J141" s="398"/>
      <c r="K141" s="161" t="s">
        <v>26</v>
      </c>
      <c r="L141" s="309">
        <v>314200</v>
      </c>
      <c r="M141" s="309">
        <v>312200</v>
      </c>
      <c r="N141" s="309">
        <v>311400</v>
      </c>
      <c r="O141" s="309"/>
      <c r="P141" s="203"/>
      <c r="Q141" s="203"/>
      <c r="R141" s="203"/>
      <c r="S141" s="203"/>
      <c r="T141" s="203"/>
      <c r="U141" s="203"/>
      <c r="V141" s="203"/>
      <c r="W141" s="288"/>
      <c r="X141" s="247">
        <f t="shared" ref="X141:X147" si="82">SUM(L141:W141)</f>
        <v>937800</v>
      </c>
      <c r="Y141" s="105"/>
      <c r="Z141" s="54"/>
    </row>
    <row r="142" spans="1:26">
      <c r="A142" s="70">
        <f t="shared" ref="A142" si="83">+A141</f>
        <v>2021018</v>
      </c>
      <c r="B142" s="74"/>
      <c r="C142" s="404"/>
      <c r="D142" s="402"/>
      <c r="E142" s="402"/>
      <c r="F142" s="406"/>
      <c r="G142" s="402"/>
      <c r="H142" s="402"/>
      <c r="I142" s="495"/>
      <c r="J142" s="398"/>
      <c r="K142" s="161" t="s">
        <v>33</v>
      </c>
      <c r="L142" s="309"/>
      <c r="M142" s="309"/>
      <c r="N142" s="309"/>
      <c r="O142" s="309"/>
      <c r="P142" s="203"/>
      <c r="Q142" s="203"/>
      <c r="R142" s="203"/>
      <c r="S142" s="203"/>
      <c r="T142" s="203"/>
      <c r="U142" s="203"/>
      <c r="V142" s="203"/>
      <c r="W142" s="288"/>
      <c r="X142" s="247">
        <f t="shared" si="82"/>
        <v>0</v>
      </c>
      <c r="Y142" s="105"/>
      <c r="Z142" s="54"/>
    </row>
    <row r="143" spans="1:26">
      <c r="A143" s="70">
        <f t="shared" ref="A143" si="84">+A142</f>
        <v>2021018</v>
      </c>
      <c r="B143" s="74"/>
      <c r="C143" s="404"/>
      <c r="D143" s="402"/>
      <c r="E143" s="402"/>
      <c r="F143" s="406"/>
      <c r="G143" s="402"/>
      <c r="H143" s="402"/>
      <c r="I143" s="495"/>
      <c r="J143" s="398"/>
      <c r="K143" s="161" t="s">
        <v>27</v>
      </c>
      <c r="L143" s="309">
        <v>2736</v>
      </c>
      <c r="M143" s="309">
        <v>4716</v>
      </c>
      <c r="N143" s="309">
        <v>0</v>
      </c>
      <c r="O143" s="309"/>
      <c r="P143" s="203"/>
      <c r="Q143" s="203"/>
      <c r="R143" s="203"/>
      <c r="S143" s="203"/>
      <c r="T143" s="203"/>
      <c r="U143" s="203"/>
      <c r="V143" s="203"/>
      <c r="W143" s="288"/>
      <c r="X143" s="247">
        <f t="shared" si="82"/>
        <v>7452</v>
      </c>
      <c r="Y143" s="105"/>
      <c r="Z143" s="54"/>
    </row>
    <row r="144" spans="1:26">
      <c r="A144" s="70">
        <f t="shared" ref="A144" si="85">+A143</f>
        <v>2021018</v>
      </c>
      <c r="B144" s="74"/>
      <c r="C144" s="404"/>
      <c r="D144" s="402"/>
      <c r="E144" s="402"/>
      <c r="F144" s="406"/>
      <c r="G144" s="402"/>
      <c r="H144" s="402"/>
      <c r="I144" s="495"/>
      <c r="J144" s="398"/>
      <c r="K144" s="161" t="s">
        <v>28</v>
      </c>
      <c r="L144" s="309">
        <v>14250</v>
      </c>
      <c r="M144" s="309">
        <v>14250</v>
      </c>
      <c r="N144" s="309">
        <v>14250</v>
      </c>
      <c r="O144" s="309"/>
      <c r="P144" s="203"/>
      <c r="Q144" s="203"/>
      <c r="R144" s="203"/>
      <c r="S144" s="203"/>
      <c r="T144" s="203"/>
      <c r="U144" s="203"/>
      <c r="V144" s="203"/>
      <c r="W144" s="288"/>
      <c r="X144" s="247">
        <f t="shared" si="82"/>
        <v>42750</v>
      </c>
      <c r="Y144" s="105"/>
      <c r="Z144" s="54"/>
    </row>
    <row r="145" spans="1:26">
      <c r="A145" s="70">
        <f t="shared" ref="A145" si="86">+A144</f>
        <v>2021018</v>
      </c>
      <c r="B145" s="74"/>
      <c r="C145" s="404"/>
      <c r="D145" s="402"/>
      <c r="E145" s="402"/>
      <c r="F145" s="406"/>
      <c r="G145" s="402"/>
      <c r="H145" s="402"/>
      <c r="I145" s="495"/>
      <c r="J145" s="398"/>
      <c r="K145" s="161" t="s">
        <v>29</v>
      </c>
      <c r="L145" s="309">
        <v>27450</v>
      </c>
      <c r="M145" s="309">
        <v>27450</v>
      </c>
      <c r="N145" s="309">
        <v>27450</v>
      </c>
      <c r="O145" s="309"/>
      <c r="P145" s="203"/>
      <c r="Q145" s="203"/>
      <c r="R145" s="203"/>
      <c r="S145" s="203"/>
      <c r="T145" s="203"/>
      <c r="U145" s="203"/>
      <c r="V145" s="203"/>
      <c r="W145" s="288"/>
      <c r="X145" s="247">
        <f t="shared" si="82"/>
        <v>82350</v>
      </c>
      <c r="Y145" s="105"/>
      <c r="Z145" s="54"/>
    </row>
    <row r="146" spans="1:26">
      <c r="A146" s="70">
        <f t="shared" ref="A146" si="87">+A145</f>
        <v>2021018</v>
      </c>
      <c r="B146" s="74"/>
      <c r="C146" s="404"/>
      <c r="D146" s="402"/>
      <c r="E146" s="402"/>
      <c r="F146" s="406"/>
      <c r="G146" s="402"/>
      <c r="H146" s="402"/>
      <c r="I146" s="495"/>
      <c r="J146" s="398"/>
      <c r="K146" s="161" t="s">
        <v>30</v>
      </c>
      <c r="L146" s="309">
        <v>1585</v>
      </c>
      <c r="M146" s="309">
        <v>1585</v>
      </c>
      <c r="N146" s="309">
        <v>1557</v>
      </c>
      <c r="O146" s="309"/>
      <c r="P146" s="203"/>
      <c r="Q146" s="203"/>
      <c r="R146" s="203"/>
      <c r="S146" s="203"/>
      <c r="T146" s="203"/>
      <c r="U146" s="203"/>
      <c r="V146" s="203"/>
      <c r="W146" s="288"/>
      <c r="X146" s="247">
        <f t="shared" si="82"/>
        <v>4727</v>
      </c>
      <c r="Y146" s="105"/>
      <c r="Z146" s="54"/>
    </row>
    <row r="147" spans="1:26">
      <c r="A147" s="70">
        <f t="shared" ref="A147" si="88">+A146</f>
        <v>2021018</v>
      </c>
      <c r="B147" s="74"/>
      <c r="C147" s="404"/>
      <c r="D147" s="402"/>
      <c r="E147" s="402"/>
      <c r="F147" s="406"/>
      <c r="G147" s="402"/>
      <c r="H147" s="402"/>
      <c r="I147" s="495"/>
      <c r="J147" s="398"/>
      <c r="K147" s="161" t="s">
        <v>31</v>
      </c>
      <c r="L147" s="309">
        <v>1743</v>
      </c>
      <c r="M147" s="309">
        <v>1743</v>
      </c>
      <c r="N147" s="309">
        <v>1713</v>
      </c>
      <c r="O147" s="309"/>
      <c r="P147" s="203"/>
      <c r="Q147" s="203"/>
      <c r="R147" s="203"/>
      <c r="S147" s="203"/>
      <c r="T147" s="203"/>
      <c r="U147" s="203"/>
      <c r="V147" s="203"/>
      <c r="W147" s="288"/>
      <c r="X147" s="247">
        <f t="shared" si="82"/>
        <v>5199</v>
      </c>
      <c r="Y147" s="105"/>
      <c r="Z147" s="54"/>
    </row>
    <row r="148" spans="1:26">
      <c r="A148" s="70">
        <f t="shared" ref="A148" si="89">+A147</f>
        <v>2021018</v>
      </c>
      <c r="B148" s="74"/>
      <c r="C148" s="405"/>
      <c r="D148" s="403"/>
      <c r="E148" s="403"/>
      <c r="F148" s="407"/>
      <c r="G148" s="403"/>
      <c r="H148" s="403"/>
      <c r="I148" s="496"/>
      <c r="J148" s="399"/>
      <c r="K148" s="65" t="s">
        <v>32</v>
      </c>
      <c r="L148" s="250">
        <f t="shared" ref="L148:M148" si="90">L137-L140</f>
        <v>188036</v>
      </c>
      <c r="M148" s="251">
        <f t="shared" si="90"/>
        <v>188056</v>
      </c>
      <c r="N148" s="251">
        <f>N137-N140</f>
        <v>-5716</v>
      </c>
      <c r="O148" s="252">
        <f t="shared" ref="O148:W148" si="91">O137-O140</f>
        <v>0</v>
      </c>
      <c r="P148" s="344">
        <f t="shared" si="91"/>
        <v>0</v>
      </c>
      <c r="Q148" s="344">
        <f t="shared" si="91"/>
        <v>0</v>
      </c>
      <c r="R148" s="344">
        <f t="shared" si="91"/>
        <v>0</v>
      </c>
      <c r="S148" s="344">
        <f t="shared" si="91"/>
        <v>0</v>
      </c>
      <c r="T148" s="344">
        <f t="shared" si="91"/>
        <v>0</v>
      </c>
      <c r="U148" s="344">
        <f t="shared" si="91"/>
        <v>0</v>
      </c>
      <c r="V148" s="344">
        <f t="shared" si="91"/>
        <v>0</v>
      </c>
      <c r="W148" s="253">
        <f t="shared" si="91"/>
        <v>0</v>
      </c>
      <c r="X148" s="254">
        <f>X137-X140</f>
        <v>370376</v>
      </c>
      <c r="Z148" s="54"/>
    </row>
    <row r="149" spans="1:26" ht="12.75" customHeight="1">
      <c r="A149" s="101">
        <v>2023013</v>
      </c>
      <c r="C149" s="433">
        <f t="shared" ref="C149" si="92">C137+1</f>
        <v>13</v>
      </c>
      <c r="D149" s="402" t="s">
        <v>34</v>
      </c>
      <c r="E149" s="402" t="s">
        <v>104</v>
      </c>
      <c r="F149" s="402"/>
      <c r="G149" s="402"/>
      <c r="H149" s="402"/>
      <c r="I149" s="495" t="s">
        <v>81</v>
      </c>
      <c r="J149" s="397" t="s">
        <v>56</v>
      </c>
      <c r="K149" s="66" t="s">
        <v>22</v>
      </c>
      <c r="L149" s="235">
        <f t="shared" ref="L149:O149" si="93">L150+L151</f>
        <v>550000</v>
      </c>
      <c r="M149" s="281">
        <f t="shared" si="93"/>
        <v>550000</v>
      </c>
      <c r="N149" s="281">
        <f t="shared" si="93"/>
        <v>550000</v>
      </c>
      <c r="O149" s="357">
        <f t="shared" si="93"/>
        <v>0</v>
      </c>
      <c r="P149" s="351">
        <f>P150+P151</f>
        <v>0</v>
      </c>
      <c r="Q149" s="351">
        <f t="shared" ref="Q149:W149" si="94">Q150+Q151</f>
        <v>0</v>
      </c>
      <c r="R149" s="351">
        <f t="shared" si="94"/>
        <v>0</v>
      </c>
      <c r="S149" s="351">
        <f t="shared" si="94"/>
        <v>0</v>
      </c>
      <c r="T149" s="351">
        <f t="shared" si="94"/>
        <v>0</v>
      </c>
      <c r="U149" s="351">
        <f t="shared" si="94"/>
        <v>0</v>
      </c>
      <c r="V149" s="351">
        <f t="shared" si="94"/>
        <v>0</v>
      </c>
      <c r="W149" s="358">
        <f t="shared" si="94"/>
        <v>0</v>
      </c>
      <c r="X149" s="359">
        <f>SUM(L149:W149)</f>
        <v>1650000</v>
      </c>
      <c r="Z149" s="54"/>
    </row>
    <row r="150" spans="1:26">
      <c r="A150" s="70">
        <f>+A149</f>
        <v>2023013</v>
      </c>
      <c r="B150" s="74"/>
      <c r="C150" s="404"/>
      <c r="D150" s="402"/>
      <c r="E150" s="402"/>
      <c r="F150" s="402"/>
      <c r="G150" s="402"/>
      <c r="H150" s="402"/>
      <c r="I150" s="495"/>
      <c r="J150" s="398"/>
      <c r="K150" s="159" t="s">
        <v>23</v>
      </c>
      <c r="L150" s="309">
        <v>550000</v>
      </c>
      <c r="M150" s="309">
        <v>550000</v>
      </c>
      <c r="N150" s="309">
        <v>550000</v>
      </c>
      <c r="O150" s="309"/>
      <c r="P150" s="203"/>
      <c r="Q150" s="203"/>
      <c r="R150" s="203"/>
      <c r="S150" s="203"/>
      <c r="T150" s="203"/>
      <c r="U150" s="203"/>
      <c r="V150" s="203"/>
      <c r="W150" s="360"/>
      <c r="X150" s="247">
        <f>SUM(L150:W150)</f>
        <v>1650000</v>
      </c>
      <c r="Y150" s="105"/>
      <c r="Z150" s="54"/>
    </row>
    <row r="151" spans="1:26">
      <c r="A151" s="70">
        <f t="shared" ref="A151" si="95">+A150</f>
        <v>2023013</v>
      </c>
      <c r="B151" s="74"/>
      <c r="C151" s="404"/>
      <c r="D151" s="402"/>
      <c r="E151" s="402"/>
      <c r="F151" s="402"/>
      <c r="G151" s="402"/>
      <c r="H151" s="402"/>
      <c r="I151" s="495"/>
      <c r="J151" s="398"/>
      <c r="K151" s="159" t="s">
        <v>24</v>
      </c>
      <c r="L151" s="309"/>
      <c r="M151" s="309"/>
      <c r="N151" s="309"/>
      <c r="O151" s="361"/>
      <c r="P151" s="220"/>
      <c r="Q151" s="220"/>
      <c r="R151" s="220"/>
      <c r="S151" s="220"/>
      <c r="T151" s="220"/>
      <c r="U151" s="220"/>
      <c r="V151" s="220"/>
      <c r="W151" s="334"/>
      <c r="X151" s="247">
        <v>0</v>
      </c>
      <c r="Z151" s="54"/>
    </row>
    <row r="152" spans="1:26">
      <c r="A152" s="70">
        <f t="shared" ref="A152" si="96">+A151</f>
        <v>2023013</v>
      </c>
      <c r="B152" s="74"/>
      <c r="C152" s="404"/>
      <c r="D152" s="402"/>
      <c r="E152" s="402"/>
      <c r="F152" s="402"/>
      <c r="G152" s="402"/>
      <c r="H152" s="402"/>
      <c r="I152" s="495"/>
      <c r="J152" s="398"/>
      <c r="K152" s="160" t="s">
        <v>25</v>
      </c>
      <c r="L152" s="362">
        <f t="shared" ref="L152:W152" si="97">SUM(L153:L159)</f>
        <v>352644</v>
      </c>
      <c r="M152" s="362">
        <f t="shared" si="97"/>
        <v>354863</v>
      </c>
      <c r="N152" s="362">
        <f t="shared" si="97"/>
        <v>355267</v>
      </c>
      <c r="O152" s="363">
        <f t="shared" si="97"/>
        <v>0</v>
      </c>
      <c r="P152" s="354">
        <f t="shared" si="97"/>
        <v>0</v>
      </c>
      <c r="Q152" s="354">
        <f t="shared" si="97"/>
        <v>0</v>
      </c>
      <c r="R152" s="354">
        <f t="shared" si="97"/>
        <v>0</v>
      </c>
      <c r="S152" s="354">
        <f t="shared" si="97"/>
        <v>0</v>
      </c>
      <c r="T152" s="354">
        <f t="shared" si="97"/>
        <v>0</v>
      </c>
      <c r="U152" s="354">
        <f t="shared" si="97"/>
        <v>0</v>
      </c>
      <c r="V152" s="354">
        <f t="shared" si="97"/>
        <v>0</v>
      </c>
      <c r="W152" s="335">
        <f t="shared" si="97"/>
        <v>0</v>
      </c>
      <c r="X152" s="248">
        <f>SUM(L152:W152)</f>
        <v>1062774</v>
      </c>
      <c r="Z152" s="54"/>
    </row>
    <row r="153" spans="1:26">
      <c r="A153" s="70">
        <f t="shared" ref="A153" si="98">+A152</f>
        <v>2023013</v>
      </c>
      <c r="B153" s="74"/>
      <c r="C153" s="404"/>
      <c r="D153" s="402"/>
      <c r="E153" s="402"/>
      <c r="F153" s="402"/>
      <c r="G153" s="402"/>
      <c r="H153" s="402"/>
      <c r="I153" s="495"/>
      <c r="J153" s="398"/>
      <c r="K153" s="161" t="s">
        <v>26</v>
      </c>
      <c r="L153" s="309">
        <v>303200</v>
      </c>
      <c r="M153" s="309">
        <v>304400</v>
      </c>
      <c r="N153" s="309">
        <v>304800</v>
      </c>
      <c r="O153" s="309"/>
      <c r="P153" s="203"/>
      <c r="Q153" s="203"/>
      <c r="R153" s="203"/>
      <c r="S153" s="203"/>
      <c r="T153" s="203"/>
      <c r="U153" s="203"/>
      <c r="V153" s="203"/>
      <c r="W153" s="288"/>
      <c r="X153" s="247">
        <f t="shared" ref="X153:X159" si="99">SUM(L153:W153)</f>
        <v>912400</v>
      </c>
      <c r="Y153" s="105"/>
      <c r="Z153" s="54"/>
    </row>
    <row r="154" spans="1:26">
      <c r="A154" s="70">
        <f t="shared" ref="A154" si="100">+A153</f>
        <v>2023013</v>
      </c>
      <c r="B154" s="74"/>
      <c r="C154" s="404"/>
      <c r="D154" s="402"/>
      <c r="E154" s="402"/>
      <c r="F154" s="402"/>
      <c r="G154" s="402"/>
      <c r="H154" s="402"/>
      <c r="I154" s="495"/>
      <c r="J154" s="398"/>
      <c r="K154" s="161" t="s">
        <v>33</v>
      </c>
      <c r="L154" s="309"/>
      <c r="M154" s="309"/>
      <c r="N154" s="309"/>
      <c r="O154" s="309"/>
      <c r="P154" s="203"/>
      <c r="Q154" s="203"/>
      <c r="R154" s="203"/>
      <c r="S154" s="203"/>
      <c r="T154" s="203"/>
      <c r="U154" s="203"/>
      <c r="V154" s="203"/>
      <c r="W154" s="288"/>
      <c r="X154" s="247">
        <f t="shared" si="99"/>
        <v>0</v>
      </c>
      <c r="Y154" s="105"/>
      <c r="Z154" s="54"/>
    </row>
    <row r="155" spans="1:26">
      <c r="A155" s="70">
        <f t="shared" ref="A155" si="101">+A154</f>
        <v>2023013</v>
      </c>
      <c r="B155" s="74"/>
      <c r="C155" s="404"/>
      <c r="D155" s="402"/>
      <c r="E155" s="402"/>
      <c r="F155" s="402"/>
      <c r="G155" s="402"/>
      <c r="H155" s="402"/>
      <c r="I155" s="495"/>
      <c r="J155" s="398"/>
      <c r="K155" s="161" t="s">
        <v>27</v>
      </c>
      <c r="L155" s="309">
        <v>7264</v>
      </c>
      <c r="M155" s="309">
        <v>8260</v>
      </c>
      <c r="N155" s="309">
        <v>8260</v>
      </c>
      <c r="O155" s="309"/>
      <c r="P155" s="203"/>
      <c r="Q155" s="203"/>
      <c r="R155" s="203"/>
      <c r="S155" s="203"/>
      <c r="T155" s="203"/>
      <c r="U155" s="203"/>
      <c r="V155" s="203"/>
      <c r="W155" s="288"/>
      <c r="X155" s="247">
        <f t="shared" si="99"/>
        <v>23784</v>
      </c>
      <c r="Y155" s="105"/>
      <c r="Z155" s="54"/>
    </row>
    <row r="156" spans="1:26">
      <c r="A156" s="70">
        <f t="shared" ref="A156" si="102">+A155</f>
        <v>2023013</v>
      </c>
      <c r="B156" s="74"/>
      <c r="C156" s="404"/>
      <c r="D156" s="402"/>
      <c r="E156" s="402"/>
      <c r="F156" s="402"/>
      <c r="G156" s="402"/>
      <c r="H156" s="402"/>
      <c r="I156" s="495"/>
      <c r="J156" s="398"/>
      <c r="K156" s="161" t="s">
        <v>28</v>
      </c>
      <c r="L156" s="309">
        <v>13300</v>
      </c>
      <c r="M156" s="309">
        <v>13300</v>
      </c>
      <c r="N156" s="309">
        <v>13300</v>
      </c>
      <c r="O156" s="309"/>
      <c r="P156" s="203"/>
      <c r="Q156" s="203"/>
      <c r="R156" s="203"/>
      <c r="S156" s="203"/>
      <c r="T156" s="203"/>
      <c r="U156" s="203"/>
      <c r="V156" s="203"/>
      <c r="W156" s="288"/>
      <c r="X156" s="247">
        <f t="shared" si="99"/>
        <v>39900</v>
      </c>
      <c r="Y156" s="105"/>
      <c r="Z156" s="54"/>
    </row>
    <row r="157" spans="1:26">
      <c r="A157" s="70">
        <f t="shared" ref="A157" si="103">+A156</f>
        <v>2023013</v>
      </c>
      <c r="B157" s="74"/>
      <c r="C157" s="404"/>
      <c r="D157" s="402"/>
      <c r="E157" s="402"/>
      <c r="F157" s="402"/>
      <c r="G157" s="402"/>
      <c r="H157" s="402"/>
      <c r="I157" s="495"/>
      <c r="J157" s="398"/>
      <c r="K157" s="161" t="s">
        <v>29</v>
      </c>
      <c r="L157" s="309">
        <v>25620</v>
      </c>
      <c r="M157" s="309">
        <v>25620</v>
      </c>
      <c r="N157" s="309">
        <v>25620</v>
      </c>
      <c r="O157" s="309"/>
      <c r="P157" s="203"/>
      <c r="Q157" s="203"/>
      <c r="R157" s="203"/>
      <c r="S157" s="203"/>
      <c r="T157" s="203"/>
      <c r="U157" s="203"/>
      <c r="V157" s="203"/>
      <c r="W157" s="288"/>
      <c r="X157" s="247">
        <f t="shared" si="99"/>
        <v>76860</v>
      </c>
      <c r="Y157" s="105"/>
      <c r="Z157" s="54"/>
    </row>
    <row r="158" spans="1:26">
      <c r="A158" s="70">
        <f t="shared" ref="A158" si="104">+A157</f>
        <v>2023013</v>
      </c>
      <c r="B158" s="74"/>
      <c r="C158" s="404"/>
      <c r="D158" s="402"/>
      <c r="E158" s="402"/>
      <c r="F158" s="402"/>
      <c r="G158" s="402"/>
      <c r="H158" s="402"/>
      <c r="I158" s="495"/>
      <c r="J158" s="398"/>
      <c r="K158" s="161" t="s">
        <v>30</v>
      </c>
      <c r="L158" s="309">
        <v>1552</v>
      </c>
      <c r="M158" s="309">
        <v>1563</v>
      </c>
      <c r="N158" s="309">
        <v>1565</v>
      </c>
      <c r="O158" s="309"/>
      <c r="P158" s="203"/>
      <c r="Q158" s="203"/>
      <c r="R158" s="203"/>
      <c r="S158" s="203"/>
      <c r="T158" s="203"/>
      <c r="U158" s="203"/>
      <c r="V158" s="203"/>
      <c r="W158" s="288"/>
      <c r="X158" s="247">
        <f t="shared" si="99"/>
        <v>4680</v>
      </c>
      <c r="Y158" s="105"/>
      <c r="Z158" s="54"/>
    </row>
    <row r="159" spans="1:26">
      <c r="A159" s="70">
        <f t="shared" ref="A159" si="105">+A158</f>
        <v>2023013</v>
      </c>
      <c r="B159" s="74"/>
      <c r="C159" s="404"/>
      <c r="D159" s="402"/>
      <c r="E159" s="402"/>
      <c r="F159" s="402"/>
      <c r="G159" s="402"/>
      <c r="H159" s="402"/>
      <c r="I159" s="495"/>
      <c r="J159" s="398"/>
      <c r="K159" s="161" t="s">
        <v>31</v>
      </c>
      <c r="L159" s="309">
        <v>1708</v>
      </c>
      <c r="M159" s="309">
        <v>1720</v>
      </c>
      <c r="N159" s="309">
        <v>1722</v>
      </c>
      <c r="O159" s="309"/>
      <c r="P159" s="203"/>
      <c r="Q159" s="203"/>
      <c r="R159" s="203"/>
      <c r="S159" s="203"/>
      <c r="T159" s="203"/>
      <c r="U159" s="203"/>
      <c r="V159" s="203"/>
      <c r="W159" s="288"/>
      <c r="X159" s="247">
        <f t="shared" si="99"/>
        <v>5150</v>
      </c>
      <c r="Y159" s="105"/>
      <c r="Z159" s="54"/>
    </row>
    <row r="160" spans="1:26">
      <c r="A160" s="70">
        <f t="shared" ref="A160" si="106">+A159</f>
        <v>2023013</v>
      </c>
      <c r="B160" s="74"/>
      <c r="C160" s="405"/>
      <c r="D160" s="403"/>
      <c r="E160" s="403"/>
      <c r="F160" s="403"/>
      <c r="G160" s="403"/>
      <c r="H160" s="403"/>
      <c r="I160" s="496"/>
      <c r="J160" s="399"/>
      <c r="K160" s="65" t="s">
        <v>32</v>
      </c>
      <c r="L160" s="250">
        <f t="shared" ref="L160:M160" si="107">L149-L152</f>
        <v>197356</v>
      </c>
      <c r="M160" s="251">
        <f t="shared" si="107"/>
        <v>195137</v>
      </c>
      <c r="N160" s="251">
        <f>N149-N152</f>
        <v>194733</v>
      </c>
      <c r="O160" s="252">
        <f t="shared" ref="O160:S160" si="108">O149-O152</f>
        <v>0</v>
      </c>
      <c r="P160" s="344">
        <f t="shared" si="108"/>
        <v>0</v>
      </c>
      <c r="Q160" s="344">
        <f t="shared" si="108"/>
        <v>0</v>
      </c>
      <c r="R160" s="344">
        <f t="shared" si="108"/>
        <v>0</v>
      </c>
      <c r="S160" s="344">
        <f t="shared" si="108"/>
        <v>0</v>
      </c>
      <c r="T160" s="344">
        <f>T149-T152</f>
        <v>0</v>
      </c>
      <c r="U160" s="344">
        <f t="shared" ref="U160:W160" si="109">U149-U152</f>
        <v>0</v>
      </c>
      <c r="V160" s="344">
        <f t="shared" si="109"/>
        <v>0</v>
      </c>
      <c r="W160" s="253">
        <f t="shared" si="109"/>
        <v>0</v>
      </c>
      <c r="X160" s="254">
        <f>X149-X152</f>
        <v>587226</v>
      </c>
      <c r="Z160" s="54"/>
    </row>
    <row r="161" spans="1:26" ht="12.75" customHeight="1">
      <c r="A161" s="101">
        <v>2023001</v>
      </c>
      <c r="C161" s="433">
        <f t="shared" ref="C161" si="110">C149+1</f>
        <v>14</v>
      </c>
      <c r="D161" s="402" t="s">
        <v>34</v>
      </c>
      <c r="E161" s="402" t="s">
        <v>104</v>
      </c>
      <c r="F161" s="406"/>
      <c r="G161" s="402"/>
      <c r="H161" s="402"/>
      <c r="I161" s="493" t="s">
        <v>95</v>
      </c>
      <c r="J161" s="397" t="s">
        <v>56</v>
      </c>
      <c r="K161" s="66" t="s">
        <v>22</v>
      </c>
      <c r="L161" s="235">
        <f t="shared" ref="L161:O161" si="111">L162+L163</f>
        <v>460000</v>
      </c>
      <c r="M161" s="281">
        <f t="shared" si="111"/>
        <v>460000</v>
      </c>
      <c r="N161" s="281">
        <f t="shared" si="111"/>
        <v>460000</v>
      </c>
      <c r="O161" s="357">
        <f t="shared" si="111"/>
        <v>0</v>
      </c>
      <c r="P161" s="351">
        <f>P162+P163</f>
        <v>0</v>
      </c>
      <c r="Q161" s="351">
        <f t="shared" ref="Q161:W161" si="112">Q162+Q163</f>
        <v>0</v>
      </c>
      <c r="R161" s="351">
        <f t="shared" si="112"/>
        <v>0</v>
      </c>
      <c r="S161" s="351">
        <f t="shared" si="112"/>
        <v>0</v>
      </c>
      <c r="T161" s="351">
        <f t="shared" si="112"/>
        <v>0</v>
      </c>
      <c r="U161" s="351">
        <f t="shared" si="112"/>
        <v>0</v>
      </c>
      <c r="V161" s="351">
        <f t="shared" si="112"/>
        <v>0</v>
      </c>
      <c r="W161" s="358">
        <f t="shared" si="112"/>
        <v>0</v>
      </c>
      <c r="X161" s="359">
        <f>SUM(L161:W161)</f>
        <v>1380000</v>
      </c>
      <c r="Z161" s="54"/>
    </row>
    <row r="162" spans="1:26">
      <c r="A162" s="70">
        <f>+A161</f>
        <v>2023001</v>
      </c>
      <c r="B162" s="74"/>
      <c r="C162" s="404"/>
      <c r="D162" s="402"/>
      <c r="E162" s="402"/>
      <c r="F162" s="406"/>
      <c r="G162" s="402"/>
      <c r="H162" s="402"/>
      <c r="I162" s="493"/>
      <c r="J162" s="398"/>
      <c r="K162" s="159" t="s">
        <v>23</v>
      </c>
      <c r="L162" s="309">
        <v>460000</v>
      </c>
      <c r="M162" s="309">
        <v>460000</v>
      </c>
      <c r="N162" s="309">
        <v>460000</v>
      </c>
      <c r="O162" s="309"/>
      <c r="P162" s="203"/>
      <c r="Q162" s="203"/>
      <c r="R162" s="203"/>
      <c r="S162" s="203"/>
      <c r="T162" s="203"/>
      <c r="U162" s="203"/>
      <c r="V162" s="203"/>
      <c r="W162" s="360"/>
      <c r="X162" s="247">
        <f>SUM(L162:W162)</f>
        <v>1380000</v>
      </c>
      <c r="Y162" s="105"/>
      <c r="Z162" s="54"/>
    </row>
    <row r="163" spans="1:26">
      <c r="A163" s="70">
        <f t="shared" ref="A163" si="113">+A162</f>
        <v>2023001</v>
      </c>
      <c r="B163" s="74"/>
      <c r="C163" s="404"/>
      <c r="D163" s="402"/>
      <c r="E163" s="402"/>
      <c r="F163" s="406"/>
      <c r="G163" s="402"/>
      <c r="H163" s="402"/>
      <c r="I163" s="493"/>
      <c r="J163" s="398"/>
      <c r="K163" s="159" t="s">
        <v>24</v>
      </c>
      <c r="L163" s="309"/>
      <c r="M163" s="309"/>
      <c r="N163" s="309"/>
      <c r="O163" s="361"/>
      <c r="P163" s="220"/>
      <c r="Q163" s="220"/>
      <c r="R163" s="220"/>
      <c r="S163" s="220"/>
      <c r="T163" s="220"/>
      <c r="U163" s="220"/>
      <c r="V163" s="220"/>
      <c r="W163" s="334"/>
      <c r="X163" s="247">
        <v>0</v>
      </c>
      <c r="Z163" s="54"/>
    </row>
    <row r="164" spans="1:26">
      <c r="A164" s="70">
        <f t="shared" ref="A164" si="114">+A163</f>
        <v>2023001</v>
      </c>
      <c r="B164" s="74"/>
      <c r="C164" s="404"/>
      <c r="D164" s="402"/>
      <c r="E164" s="402"/>
      <c r="F164" s="406"/>
      <c r="G164" s="402"/>
      <c r="H164" s="402"/>
      <c r="I164" s="493"/>
      <c r="J164" s="398"/>
      <c r="K164" s="160" t="s">
        <v>25</v>
      </c>
      <c r="L164" s="362">
        <f>SUM(L165:L171)</f>
        <v>324254</v>
      </c>
      <c r="M164" s="362">
        <f t="shared" ref="M164:W164" si="115">SUM(M165:M171)</f>
        <v>324254</v>
      </c>
      <c r="N164" s="362">
        <f t="shared" si="115"/>
        <v>324254</v>
      </c>
      <c r="O164" s="363">
        <f t="shared" si="115"/>
        <v>0</v>
      </c>
      <c r="P164" s="354">
        <f t="shared" si="115"/>
        <v>0</v>
      </c>
      <c r="Q164" s="354">
        <f t="shared" si="115"/>
        <v>0</v>
      </c>
      <c r="R164" s="354">
        <f t="shared" si="115"/>
        <v>0</v>
      </c>
      <c r="S164" s="354">
        <f t="shared" si="115"/>
        <v>0</v>
      </c>
      <c r="T164" s="354">
        <f t="shared" si="115"/>
        <v>0</v>
      </c>
      <c r="U164" s="354">
        <f t="shared" si="115"/>
        <v>0</v>
      </c>
      <c r="V164" s="354">
        <f t="shared" si="115"/>
        <v>0</v>
      </c>
      <c r="W164" s="335">
        <f t="shared" si="115"/>
        <v>0</v>
      </c>
      <c r="X164" s="248">
        <f>SUM(L164:W164)</f>
        <v>972762</v>
      </c>
      <c r="Z164" s="54"/>
    </row>
    <row r="165" spans="1:26">
      <c r="A165" s="70">
        <f t="shared" ref="A165" si="116">+A164</f>
        <v>2023001</v>
      </c>
      <c r="B165" s="74"/>
      <c r="C165" s="404"/>
      <c r="D165" s="402"/>
      <c r="E165" s="402"/>
      <c r="F165" s="406"/>
      <c r="G165" s="402"/>
      <c r="H165" s="402"/>
      <c r="I165" s="493"/>
      <c r="J165" s="398"/>
      <c r="K165" s="161" t="s">
        <v>26</v>
      </c>
      <c r="L165" s="309">
        <v>270000</v>
      </c>
      <c r="M165" s="309">
        <v>270000</v>
      </c>
      <c r="N165" s="309">
        <v>270000</v>
      </c>
      <c r="O165" s="309"/>
      <c r="P165" s="203"/>
      <c r="Q165" s="203"/>
      <c r="R165" s="203"/>
      <c r="S165" s="203"/>
      <c r="T165" s="203"/>
      <c r="U165" s="203"/>
      <c r="V165" s="203"/>
      <c r="W165" s="288"/>
      <c r="X165" s="247">
        <f t="shared" ref="X165:X171" si="117">SUM(L165:W165)</f>
        <v>810000</v>
      </c>
      <c r="Y165" s="105"/>
      <c r="Z165" s="54"/>
    </row>
    <row r="166" spans="1:26">
      <c r="A166" s="70">
        <f t="shared" ref="A166" si="118">+A165</f>
        <v>2023001</v>
      </c>
      <c r="B166" s="74"/>
      <c r="C166" s="404"/>
      <c r="D166" s="402"/>
      <c r="E166" s="402"/>
      <c r="F166" s="406"/>
      <c r="G166" s="402"/>
      <c r="H166" s="402"/>
      <c r="I166" s="493"/>
      <c r="J166" s="398"/>
      <c r="K166" s="161" t="s">
        <v>33</v>
      </c>
      <c r="L166" s="309"/>
      <c r="M166" s="309"/>
      <c r="N166" s="309"/>
      <c r="O166" s="309"/>
      <c r="P166" s="203"/>
      <c r="Q166" s="203"/>
      <c r="R166" s="203"/>
      <c r="S166" s="203"/>
      <c r="T166" s="203"/>
      <c r="U166" s="203"/>
      <c r="V166" s="203"/>
      <c r="W166" s="288"/>
      <c r="X166" s="247">
        <f t="shared" si="117"/>
        <v>0</v>
      </c>
      <c r="Y166" s="105"/>
      <c r="Z166" s="54"/>
    </row>
    <row r="167" spans="1:26">
      <c r="A167" s="70">
        <f t="shared" ref="A167" si="119">+A166</f>
        <v>2023001</v>
      </c>
      <c r="B167" s="74"/>
      <c r="C167" s="404"/>
      <c r="D167" s="402"/>
      <c r="E167" s="402"/>
      <c r="F167" s="406"/>
      <c r="G167" s="402"/>
      <c r="H167" s="402"/>
      <c r="I167" s="493"/>
      <c r="J167" s="398"/>
      <c r="K167" s="161" t="s">
        <v>27</v>
      </c>
      <c r="L167" s="309">
        <v>15120</v>
      </c>
      <c r="M167" s="309">
        <v>15120</v>
      </c>
      <c r="N167" s="309">
        <v>15120</v>
      </c>
      <c r="O167" s="309"/>
      <c r="P167" s="203"/>
      <c r="Q167" s="203"/>
      <c r="R167" s="203"/>
      <c r="S167" s="203"/>
      <c r="T167" s="203"/>
      <c r="U167" s="203"/>
      <c r="V167" s="203"/>
      <c r="W167" s="288"/>
      <c r="X167" s="247">
        <f t="shared" si="117"/>
        <v>45360</v>
      </c>
      <c r="Y167" s="105"/>
      <c r="Z167" s="54"/>
    </row>
    <row r="168" spans="1:26">
      <c r="A168" s="70">
        <f t="shared" ref="A168" si="120">+A167</f>
        <v>2023001</v>
      </c>
      <c r="B168" s="74"/>
      <c r="C168" s="404"/>
      <c r="D168" s="402"/>
      <c r="E168" s="402"/>
      <c r="F168" s="406"/>
      <c r="G168" s="402"/>
      <c r="H168" s="402"/>
      <c r="I168" s="493"/>
      <c r="J168" s="398"/>
      <c r="K168" s="161" t="s">
        <v>28</v>
      </c>
      <c r="L168" s="309">
        <v>12350</v>
      </c>
      <c r="M168" s="309">
        <v>12350</v>
      </c>
      <c r="N168" s="309">
        <v>12350</v>
      </c>
      <c r="O168" s="309"/>
      <c r="P168" s="203"/>
      <c r="Q168" s="203"/>
      <c r="R168" s="203"/>
      <c r="S168" s="203"/>
      <c r="T168" s="203"/>
      <c r="U168" s="203"/>
      <c r="V168" s="203"/>
      <c r="W168" s="288"/>
      <c r="X168" s="247">
        <f t="shared" si="117"/>
        <v>37050</v>
      </c>
      <c r="Y168" s="105"/>
      <c r="Z168" s="54"/>
    </row>
    <row r="169" spans="1:26">
      <c r="A169" s="70">
        <f t="shared" ref="A169" si="121">+A168</f>
        <v>2023001</v>
      </c>
      <c r="B169" s="74"/>
      <c r="C169" s="404"/>
      <c r="D169" s="402"/>
      <c r="E169" s="402"/>
      <c r="F169" s="406"/>
      <c r="G169" s="402"/>
      <c r="H169" s="402"/>
      <c r="I169" s="493"/>
      <c r="J169" s="398"/>
      <c r="K169" s="161" t="s">
        <v>29</v>
      </c>
      <c r="L169" s="309">
        <v>23790</v>
      </c>
      <c r="M169" s="309">
        <v>23790</v>
      </c>
      <c r="N169" s="309">
        <v>23790</v>
      </c>
      <c r="O169" s="309"/>
      <c r="P169" s="203"/>
      <c r="Q169" s="203"/>
      <c r="R169" s="203"/>
      <c r="S169" s="203"/>
      <c r="T169" s="203"/>
      <c r="U169" s="203"/>
      <c r="V169" s="203"/>
      <c r="W169" s="288"/>
      <c r="X169" s="247">
        <f t="shared" si="117"/>
        <v>71370</v>
      </c>
      <c r="Y169" s="105"/>
      <c r="Z169" s="54"/>
    </row>
    <row r="170" spans="1:26">
      <c r="A170" s="70">
        <f t="shared" ref="A170" si="122">+A169</f>
        <v>2023001</v>
      </c>
      <c r="B170" s="74"/>
      <c r="C170" s="404"/>
      <c r="D170" s="402"/>
      <c r="E170" s="402"/>
      <c r="F170" s="406"/>
      <c r="G170" s="402"/>
      <c r="H170" s="402"/>
      <c r="I170" s="493"/>
      <c r="J170" s="398"/>
      <c r="K170" s="161" t="s">
        <v>30</v>
      </c>
      <c r="L170" s="309">
        <v>1426</v>
      </c>
      <c r="M170" s="309">
        <v>1426</v>
      </c>
      <c r="N170" s="309">
        <v>1426</v>
      </c>
      <c r="O170" s="309"/>
      <c r="P170" s="203"/>
      <c r="Q170" s="203"/>
      <c r="R170" s="203"/>
      <c r="S170" s="203"/>
      <c r="T170" s="203"/>
      <c r="U170" s="203"/>
      <c r="V170" s="203"/>
      <c r="W170" s="288"/>
      <c r="X170" s="247">
        <f t="shared" si="117"/>
        <v>4278</v>
      </c>
      <c r="Y170" s="105"/>
      <c r="Z170" s="54"/>
    </row>
    <row r="171" spans="1:26">
      <c r="A171" s="70">
        <f>+A170</f>
        <v>2023001</v>
      </c>
      <c r="B171" s="74"/>
      <c r="C171" s="404"/>
      <c r="D171" s="402"/>
      <c r="E171" s="402"/>
      <c r="F171" s="406"/>
      <c r="G171" s="402"/>
      <c r="H171" s="402"/>
      <c r="I171" s="493"/>
      <c r="J171" s="398"/>
      <c r="K171" s="161" t="s">
        <v>31</v>
      </c>
      <c r="L171" s="309">
        <v>1568</v>
      </c>
      <c r="M171" s="309">
        <v>1568</v>
      </c>
      <c r="N171" s="309">
        <v>1568</v>
      </c>
      <c r="O171" s="309"/>
      <c r="P171" s="203"/>
      <c r="Q171" s="203"/>
      <c r="R171" s="203"/>
      <c r="S171" s="203"/>
      <c r="T171" s="203"/>
      <c r="U171" s="203"/>
      <c r="V171" s="203"/>
      <c r="W171" s="288"/>
      <c r="X171" s="247">
        <f t="shared" si="117"/>
        <v>4704</v>
      </c>
      <c r="Y171" s="105"/>
      <c r="Z171" s="54"/>
    </row>
    <row r="172" spans="1:26">
      <c r="A172" s="70">
        <f t="shared" ref="A172" si="123">+A171</f>
        <v>2023001</v>
      </c>
      <c r="B172" s="74"/>
      <c r="C172" s="405"/>
      <c r="D172" s="403"/>
      <c r="E172" s="403"/>
      <c r="F172" s="407"/>
      <c r="G172" s="403"/>
      <c r="H172" s="403"/>
      <c r="I172" s="494"/>
      <c r="J172" s="399"/>
      <c r="K172" s="65" t="s">
        <v>32</v>
      </c>
      <c r="L172" s="250">
        <f t="shared" ref="L172:M172" si="124">L161-L164</f>
        <v>135746</v>
      </c>
      <c r="M172" s="251">
        <f t="shared" si="124"/>
        <v>135746</v>
      </c>
      <c r="N172" s="251">
        <f>N161-N164</f>
        <v>135746</v>
      </c>
      <c r="O172" s="252">
        <f t="shared" ref="O172:W172" si="125">O161-O164</f>
        <v>0</v>
      </c>
      <c r="P172" s="344">
        <f t="shared" si="125"/>
        <v>0</v>
      </c>
      <c r="Q172" s="344">
        <f t="shared" si="125"/>
        <v>0</v>
      </c>
      <c r="R172" s="344">
        <f t="shared" si="125"/>
        <v>0</v>
      </c>
      <c r="S172" s="344">
        <f t="shared" si="125"/>
        <v>0</v>
      </c>
      <c r="T172" s="344">
        <f t="shared" si="125"/>
        <v>0</v>
      </c>
      <c r="U172" s="344">
        <f t="shared" si="125"/>
        <v>0</v>
      </c>
      <c r="V172" s="344">
        <f t="shared" si="125"/>
        <v>0</v>
      </c>
      <c r="W172" s="253">
        <f t="shared" si="125"/>
        <v>0</v>
      </c>
      <c r="X172" s="254">
        <f>X161-X164</f>
        <v>407238</v>
      </c>
      <c r="Z172" s="54"/>
    </row>
    <row r="173" spans="1:26" ht="12.75" customHeight="1">
      <c r="A173" s="101">
        <v>2023026</v>
      </c>
      <c r="C173" s="433">
        <f t="shared" ref="C173" si="126">C161+1</f>
        <v>15</v>
      </c>
      <c r="D173" s="402" t="s">
        <v>34</v>
      </c>
      <c r="E173" s="402"/>
      <c r="F173" s="406"/>
      <c r="G173" s="402"/>
      <c r="H173" s="402" t="s">
        <v>80</v>
      </c>
      <c r="I173" s="493" t="s">
        <v>79</v>
      </c>
      <c r="J173" s="397" t="s">
        <v>56</v>
      </c>
      <c r="K173" s="66" t="s">
        <v>22</v>
      </c>
      <c r="L173" s="191">
        <f t="shared" ref="L173:O173" si="127">L174+L175</f>
        <v>450000</v>
      </c>
      <c r="M173" s="266">
        <f t="shared" si="127"/>
        <v>450000</v>
      </c>
      <c r="N173" s="266">
        <f t="shared" si="127"/>
        <v>450000</v>
      </c>
      <c r="O173" s="351">
        <f t="shared" si="127"/>
        <v>450000</v>
      </c>
      <c r="P173" s="351">
        <f>P174+P175</f>
        <v>450000</v>
      </c>
      <c r="Q173" s="351">
        <f t="shared" ref="Q173:W173" si="128">Q174+Q175</f>
        <v>450000</v>
      </c>
      <c r="R173" s="351">
        <f t="shared" si="128"/>
        <v>450000</v>
      </c>
      <c r="S173" s="351">
        <f t="shared" si="128"/>
        <v>450000</v>
      </c>
      <c r="T173" s="351">
        <f t="shared" si="128"/>
        <v>450000</v>
      </c>
      <c r="U173" s="351">
        <f t="shared" si="128"/>
        <v>450000</v>
      </c>
      <c r="V173" s="351">
        <f t="shared" si="128"/>
        <v>450000</v>
      </c>
      <c r="W173" s="137">
        <f t="shared" si="128"/>
        <v>450000</v>
      </c>
      <c r="X173" s="49">
        <f>SUM(L173:W173)</f>
        <v>5400000</v>
      </c>
      <c r="Z173" s="54"/>
    </row>
    <row r="174" spans="1:26">
      <c r="A174" s="70">
        <f>+A173</f>
        <v>2023026</v>
      </c>
      <c r="B174" s="74"/>
      <c r="C174" s="404"/>
      <c r="D174" s="402"/>
      <c r="E174" s="402"/>
      <c r="F174" s="406"/>
      <c r="G174" s="402"/>
      <c r="H174" s="402"/>
      <c r="I174" s="493"/>
      <c r="J174" s="398"/>
      <c r="K174" s="159" t="s">
        <v>23</v>
      </c>
      <c r="L174" s="203">
        <v>450000</v>
      </c>
      <c r="M174" s="203">
        <v>450000</v>
      </c>
      <c r="N174" s="203">
        <v>450000</v>
      </c>
      <c r="O174" s="203">
        <v>450000</v>
      </c>
      <c r="P174" s="203">
        <v>450000</v>
      </c>
      <c r="Q174" s="203">
        <v>450000</v>
      </c>
      <c r="R174" s="203">
        <v>450000</v>
      </c>
      <c r="S174" s="203">
        <v>450000</v>
      </c>
      <c r="T174" s="203">
        <v>450000</v>
      </c>
      <c r="U174" s="203">
        <v>450000</v>
      </c>
      <c r="V174" s="203">
        <v>450000</v>
      </c>
      <c r="W174" s="171">
        <v>450000</v>
      </c>
      <c r="X174" s="135">
        <f>SUM(L174:W174)</f>
        <v>5400000</v>
      </c>
      <c r="Y174" s="105"/>
      <c r="Z174" s="54"/>
    </row>
    <row r="175" spans="1:26">
      <c r="A175" s="70">
        <f t="shared" ref="A175" si="129">+A174</f>
        <v>2023026</v>
      </c>
      <c r="B175" s="74"/>
      <c r="C175" s="404"/>
      <c r="D175" s="402"/>
      <c r="E175" s="402"/>
      <c r="F175" s="406"/>
      <c r="G175" s="402"/>
      <c r="H175" s="402"/>
      <c r="I175" s="493"/>
      <c r="J175" s="398"/>
      <c r="K175" s="159" t="s">
        <v>24</v>
      </c>
      <c r="L175" s="203"/>
      <c r="M175" s="203"/>
      <c r="N175" s="203"/>
      <c r="O175" s="220"/>
      <c r="P175" s="220"/>
      <c r="Q175" s="220"/>
      <c r="R175" s="220"/>
      <c r="S175" s="220"/>
      <c r="T175" s="220"/>
      <c r="U175" s="220"/>
      <c r="V175" s="220"/>
      <c r="W175" s="181"/>
      <c r="X175" s="135">
        <v>0</v>
      </c>
      <c r="Z175" s="54"/>
    </row>
    <row r="176" spans="1:26">
      <c r="A176" s="70">
        <f t="shared" ref="A176" si="130">+A175</f>
        <v>2023026</v>
      </c>
      <c r="B176" s="74"/>
      <c r="C176" s="404"/>
      <c r="D176" s="402"/>
      <c r="E176" s="402"/>
      <c r="F176" s="406"/>
      <c r="G176" s="402"/>
      <c r="H176" s="402"/>
      <c r="I176" s="493"/>
      <c r="J176" s="398"/>
      <c r="K176" s="160" t="s">
        <v>25</v>
      </c>
      <c r="L176" s="204">
        <f>SUM(L177:L183)</f>
        <v>314199</v>
      </c>
      <c r="M176" s="204">
        <f t="shared" ref="M176:W176" si="131">SUM(M177:M183)</f>
        <v>314199</v>
      </c>
      <c r="N176" s="204">
        <f t="shared" si="131"/>
        <v>303872</v>
      </c>
      <c r="O176" s="354">
        <f t="shared" si="131"/>
        <v>303872</v>
      </c>
      <c r="P176" s="354">
        <f t="shared" si="131"/>
        <v>303872</v>
      </c>
      <c r="Q176" s="354">
        <f t="shared" si="131"/>
        <v>303872</v>
      </c>
      <c r="R176" s="354">
        <f t="shared" si="131"/>
        <v>303872</v>
      </c>
      <c r="S176" s="354">
        <f t="shared" si="131"/>
        <v>303872</v>
      </c>
      <c r="T176" s="354">
        <f t="shared" si="131"/>
        <v>303872</v>
      </c>
      <c r="U176" s="354">
        <f t="shared" si="131"/>
        <v>303872</v>
      </c>
      <c r="V176" s="354">
        <f t="shared" si="131"/>
        <v>304055</v>
      </c>
      <c r="W176" s="182">
        <f t="shared" si="131"/>
        <v>314199</v>
      </c>
      <c r="X176" s="136">
        <f>SUM(L176:W176)</f>
        <v>3677628</v>
      </c>
      <c r="Z176" s="54"/>
    </row>
    <row r="177" spans="1:26">
      <c r="A177" s="70">
        <f t="shared" ref="A177" si="132">+A176</f>
        <v>2023026</v>
      </c>
      <c r="B177" s="74"/>
      <c r="C177" s="404"/>
      <c r="D177" s="402"/>
      <c r="E177" s="402"/>
      <c r="F177" s="406"/>
      <c r="G177" s="402"/>
      <c r="H177" s="402"/>
      <c r="I177" s="493"/>
      <c r="J177" s="398"/>
      <c r="K177" s="161" t="s">
        <v>26</v>
      </c>
      <c r="L177" s="203">
        <v>258000</v>
      </c>
      <c r="M177" s="203">
        <v>258000</v>
      </c>
      <c r="N177" s="203">
        <v>258000</v>
      </c>
      <c r="O177" s="203">
        <v>258000</v>
      </c>
      <c r="P177" s="203">
        <v>258000</v>
      </c>
      <c r="Q177" s="203">
        <v>258000</v>
      </c>
      <c r="R177" s="203">
        <v>258000</v>
      </c>
      <c r="S177" s="203">
        <v>258000</v>
      </c>
      <c r="T177" s="203">
        <v>258000</v>
      </c>
      <c r="U177" s="203">
        <v>258000</v>
      </c>
      <c r="V177" s="203">
        <v>258000</v>
      </c>
      <c r="W177" s="162">
        <v>258000</v>
      </c>
      <c r="X177" s="135">
        <f t="shared" ref="X177:X183" si="133">SUM(L177:W177)</f>
        <v>3096000</v>
      </c>
      <c r="Y177" s="105"/>
      <c r="Z177" s="54"/>
    </row>
    <row r="178" spans="1:26">
      <c r="A178" s="70">
        <f t="shared" ref="A178" si="134">+A177</f>
        <v>2023026</v>
      </c>
      <c r="B178" s="74"/>
      <c r="C178" s="404"/>
      <c r="D178" s="402"/>
      <c r="E178" s="402"/>
      <c r="F178" s="406"/>
      <c r="G178" s="402"/>
      <c r="H178" s="402"/>
      <c r="I178" s="493"/>
      <c r="J178" s="398"/>
      <c r="K178" s="161" t="s">
        <v>33</v>
      </c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162"/>
      <c r="X178" s="135">
        <f t="shared" si="133"/>
        <v>0</v>
      </c>
      <c r="Y178" s="105"/>
      <c r="Z178" s="54"/>
    </row>
    <row r="179" spans="1:26">
      <c r="A179" s="70">
        <f t="shared" ref="A179" si="135">+A178</f>
        <v>2023026</v>
      </c>
      <c r="B179" s="74"/>
      <c r="C179" s="404"/>
      <c r="D179" s="402"/>
      <c r="E179" s="402"/>
      <c r="F179" s="406"/>
      <c r="G179" s="402"/>
      <c r="H179" s="402"/>
      <c r="I179" s="493"/>
      <c r="J179" s="398"/>
      <c r="K179" s="161" t="s">
        <v>27</v>
      </c>
      <c r="L179" s="203">
        <v>17170</v>
      </c>
      <c r="M179" s="203">
        <v>17170</v>
      </c>
      <c r="N179" s="203">
        <v>6950</v>
      </c>
      <c r="O179" s="203">
        <v>6950</v>
      </c>
      <c r="P179" s="203">
        <v>6950</v>
      </c>
      <c r="Q179" s="203">
        <v>6950</v>
      </c>
      <c r="R179" s="203">
        <v>6950</v>
      </c>
      <c r="S179" s="203">
        <v>6950</v>
      </c>
      <c r="T179" s="203">
        <v>6950</v>
      </c>
      <c r="U179" s="203">
        <v>6950</v>
      </c>
      <c r="V179" s="203">
        <v>6950</v>
      </c>
      <c r="W179" s="162">
        <v>17170</v>
      </c>
      <c r="X179" s="135">
        <f t="shared" si="133"/>
        <v>114060</v>
      </c>
      <c r="Y179" s="105"/>
      <c r="Z179" s="54"/>
    </row>
    <row r="180" spans="1:26">
      <c r="A180" s="70">
        <f t="shared" ref="A180" si="136">+A179</f>
        <v>2023026</v>
      </c>
      <c r="B180" s="74"/>
      <c r="C180" s="404"/>
      <c r="D180" s="402"/>
      <c r="E180" s="402"/>
      <c r="F180" s="406"/>
      <c r="G180" s="402"/>
      <c r="H180" s="402"/>
      <c r="I180" s="493"/>
      <c r="J180" s="398"/>
      <c r="K180" s="161" t="s">
        <v>28</v>
      </c>
      <c r="L180" s="203">
        <v>12350</v>
      </c>
      <c r="M180" s="203">
        <v>12350</v>
      </c>
      <c r="N180" s="203">
        <v>12350</v>
      </c>
      <c r="O180" s="203">
        <v>12350</v>
      </c>
      <c r="P180" s="203">
        <v>12350</v>
      </c>
      <c r="Q180" s="203">
        <v>12350</v>
      </c>
      <c r="R180" s="203">
        <v>12350</v>
      </c>
      <c r="S180" s="203">
        <v>12350</v>
      </c>
      <c r="T180" s="203">
        <v>12350</v>
      </c>
      <c r="U180" s="203">
        <v>12350</v>
      </c>
      <c r="V180" s="203">
        <v>12350</v>
      </c>
      <c r="W180" s="162">
        <v>12350</v>
      </c>
      <c r="X180" s="135">
        <f t="shared" si="133"/>
        <v>148200</v>
      </c>
      <c r="Y180" s="105"/>
      <c r="Z180" s="54"/>
    </row>
    <row r="181" spans="1:26">
      <c r="A181" s="70">
        <f t="shared" ref="A181" si="137">+A180</f>
        <v>2023026</v>
      </c>
      <c r="B181" s="74"/>
      <c r="C181" s="404"/>
      <c r="D181" s="402"/>
      <c r="E181" s="402"/>
      <c r="F181" s="406"/>
      <c r="G181" s="402"/>
      <c r="H181" s="402"/>
      <c r="I181" s="493"/>
      <c r="J181" s="398"/>
      <c r="K181" s="161" t="s">
        <v>29</v>
      </c>
      <c r="L181" s="203">
        <v>23790</v>
      </c>
      <c r="M181" s="203">
        <v>23790</v>
      </c>
      <c r="N181" s="203">
        <v>23790</v>
      </c>
      <c r="O181" s="203">
        <v>23790</v>
      </c>
      <c r="P181" s="203">
        <v>23790</v>
      </c>
      <c r="Q181" s="203">
        <v>23790</v>
      </c>
      <c r="R181" s="203">
        <v>23790</v>
      </c>
      <c r="S181" s="203">
        <v>23790</v>
      </c>
      <c r="T181" s="203">
        <v>23790</v>
      </c>
      <c r="U181" s="203">
        <v>23790</v>
      </c>
      <c r="V181" s="203">
        <v>23790</v>
      </c>
      <c r="W181" s="162">
        <v>23790</v>
      </c>
      <c r="X181" s="135">
        <f t="shared" si="133"/>
        <v>285480</v>
      </c>
      <c r="Y181" s="105"/>
      <c r="Z181" s="54"/>
    </row>
    <row r="182" spans="1:26">
      <c r="A182" s="70">
        <f t="shared" ref="A182" si="138">+A181</f>
        <v>2023026</v>
      </c>
      <c r="B182" s="74"/>
      <c r="C182" s="404"/>
      <c r="D182" s="402"/>
      <c r="E182" s="402"/>
      <c r="F182" s="406"/>
      <c r="G182" s="402"/>
      <c r="H182" s="402"/>
      <c r="I182" s="493"/>
      <c r="J182" s="398"/>
      <c r="K182" s="161" t="s">
        <v>30</v>
      </c>
      <c r="L182" s="203">
        <v>1376</v>
      </c>
      <c r="M182" s="203">
        <v>1376</v>
      </c>
      <c r="N182" s="203">
        <v>1325</v>
      </c>
      <c r="O182" s="203">
        <v>1325</v>
      </c>
      <c r="P182" s="203">
        <v>1325</v>
      </c>
      <c r="Q182" s="203">
        <v>1325</v>
      </c>
      <c r="R182" s="203">
        <v>1325</v>
      </c>
      <c r="S182" s="203">
        <v>1325</v>
      </c>
      <c r="T182" s="203">
        <v>1325</v>
      </c>
      <c r="U182" s="203">
        <v>1325</v>
      </c>
      <c r="V182" s="203">
        <v>1412</v>
      </c>
      <c r="W182" s="162">
        <v>1376</v>
      </c>
      <c r="X182" s="135">
        <f t="shared" si="133"/>
        <v>16140</v>
      </c>
      <c r="Y182" s="105"/>
      <c r="Z182" s="54"/>
    </row>
    <row r="183" spans="1:26">
      <c r="A183" s="70">
        <f t="shared" ref="A183" si="139">+A182</f>
        <v>2023026</v>
      </c>
      <c r="B183" s="74"/>
      <c r="C183" s="404"/>
      <c r="D183" s="402"/>
      <c r="E183" s="402"/>
      <c r="F183" s="406"/>
      <c r="G183" s="402"/>
      <c r="H183" s="402"/>
      <c r="I183" s="493"/>
      <c r="J183" s="398"/>
      <c r="K183" s="161" t="s">
        <v>31</v>
      </c>
      <c r="L183" s="203">
        <v>1513</v>
      </c>
      <c r="M183" s="203">
        <v>1513</v>
      </c>
      <c r="N183" s="203">
        <v>1457</v>
      </c>
      <c r="O183" s="203">
        <v>1457</v>
      </c>
      <c r="P183" s="203">
        <v>1457</v>
      </c>
      <c r="Q183" s="203">
        <v>1457</v>
      </c>
      <c r="R183" s="203">
        <v>1457</v>
      </c>
      <c r="S183" s="203">
        <v>1457</v>
      </c>
      <c r="T183" s="203">
        <v>1457</v>
      </c>
      <c r="U183" s="203">
        <v>1457</v>
      </c>
      <c r="V183" s="203">
        <v>1553</v>
      </c>
      <c r="W183" s="162">
        <v>1513</v>
      </c>
      <c r="X183" s="135">
        <f t="shared" si="133"/>
        <v>17748</v>
      </c>
      <c r="Y183" s="105"/>
      <c r="Z183" s="54"/>
    </row>
    <row r="184" spans="1:26">
      <c r="A184" s="70">
        <f t="shared" ref="A184" si="140">+A183</f>
        <v>2023026</v>
      </c>
      <c r="B184" s="74"/>
      <c r="C184" s="405"/>
      <c r="D184" s="403"/>
      <c r="E184" s="403"/>
      <c r="F184" s="407"/>
      <c r="G184" s="403"/>
      <c r="H184" s="403"/>
      <c r="I184" s="494"/>
      <c r="J184" s="399"/>
      <c r="K184" s="65" t="s">
        <v>32</v>
      </c>
      <c r="L184" s="194">
        <f t="shared" ref="L184:M184" si="141">L173-L176</f>
        <v>135801</v>
      </c>
      <c r="M184" s="267">
        <f t="shared" si="141"/>
        <v>135801</v>
      </c>
      <c r="N184" s="267">
        <f>N173-N176</f>
        <v>146128</v>
      </c>
      <c r="O184" s="344">
        <f t="shared" ref="O184:W184" si="142">O173-O176</f>
        <v>146128</v>
      </c>
      <c r="P184" s="344">
        <f t="shared" si="142"/>
        <v>146128</v>
      </c>
      <c r="Q184" s="344">
        <f t="shared" si="142"/>
        <v>146128</v>
      </c>
      <c r="R184" s="344">
        <f t="shared" si="142"/>
        <v>146128</v>
      </c>
      <c r="S184" s="344">
        <f t="shared" si="142"/>
        <v>146128</v>
      </c>
      <c r="T184" s="344">
        <f t="shared" si="142"/>
        <v>146128</v>
      </c>
      <c r="U184" s="344">
        <f t="shared" si="142"/>
        <v>146128</v>
      </c>
      <c r="V184" s="344">
        <f t="shared" si="142"/>
        <v>145945</v>
      </c>
      <c r="W184" s="129">
        <f t="shared" si="142"/>
        <v>135801</v>
      </c>
      <c r="X184" s="50">
        <f>X173-X176</f>
        <v>1722372</v>
      </c>
      <c r="Z184" s="54"/>
    </row>
    <row r="185" spans="1:26" ht="12.75" customHeight="1">
      <c r="A185" s="101">
        <v>2024028</v>
      </c>
      <c r="B185" s="104"/>
      <c r="C185" s="433">
        <f t="shared" ref="C185" si="143">C173+1</f>
        <v>16</v>
      </c>
      <c r="D185" s="432" t="s">
        <v>37</v>
      </c>
      <c r="E185" s="432" t="s">
        <v>104</v>
      </c>
      <c r="F185" s="432"/>
      <c r="G185" s="432"/>
      <c r="H185" s="432"/>
      <c r="I185" s="434" t="s">
        <v>102</v>
      </c>
      <c r="J185" s="397"/>
      <c r="K185" s="61" t="s">
        <v>22</v>
      </c>
      <c r="L185" s="314">
        <f t="shared" ref="L185:W185" si="144">L186+L187</f>
        <v>479220</v>
      </c>
      <c r="M185" s="315">
        <f t="shared" si="144"/>
        <v>479220</v>
      </c>
      <c r="N185" s="315">
        <f t="shared" si="144"/>
        <v>479220</v>
      </c>
      <c r="O185" s="315">
        <f t="shared" si="144"/>
        <v>505300</v>
      </c>
      <c r="P185" s="315">
        <f t="shared" si="144"/>
        <v>479220</v>
      </c>
      <c r="Q185" s="380">
        <f t="shared" si="144"/>
        <v>479220</v>
      </c>
      <c r="R185" s="380">
        <f t="shared" si="144"/>
        <v>479220</v>
      </c>
      <c r="S185" s="380">
        <f t="shared" si="144"/>
        <v>326000</v>
      </c>
      <c r="T185" s="353">
        <f t="shared" si="144"/>
        <v>0</v>
      </c>
      <c r="U185" s="353">
        <f t="shared" si="144"/>
        <v>0</v>
      </c>
      <c r="V185" s="353">
        <f t="shared" si="144"/>
        <v>0</v>
      </c>
      <c r="W185" s="245">
        <f t="shared" si="144"/>
        <v>0</v>
      </c>
      <c r="X185" s="246">
        <f>SUM(L185:W185)</f>
        <v>3706620</v>
      </c>
      <c r="Z185" s="54"/>
    </row>
    <row r="186" spans="1:26">
      <c r="A186" s="70">
        <f>+A185</f>
        <v>2024028</v>
      </c>
      <c r="B186" s="74"/>
      <c r="C186" s="404"/>
      <c r="D186" s="402"/>
      <c r="E186" s="402"/>
      <c r="F186" s="402"/>
      <c r="G186" s="402"/>
      <c r="H186" s="402"/>
      <c r="I186" s="406"/>
      <c r="J186" s="398"/>
      <c r="K186" s="62" t="s">
        <v>23</v>
      </c>
      <c r="L186" s="386">
        <v>479220</v>
      </c>
      <c r="M186" s="386">
        <v>479220</v>
      </c>
      <c r="N186" s="386">
        <v>479220</v>
      </c>
      <c r="O186" s="386">
        <v>505300</v>
      </c>
      <c r="P186" s="386">
        <v>479220</v>
      </c>
      <c r="Q186" s="386">
        <v>479220</v>
      </c>
      <c r="R186" s="386">
        <v>479220</v>
      </c>
      <c r="S186" s="386">
        <v>326000</v>
      </c>
      <c r="T186" s="225"/>
      <c r="U186" s="225"/>
      <c r="V186" s="225"/>
      <c r="W186" s="386"/>
      <c r="X186" s="247">
        <f>SUM(L186:W186)</f>
        <v>3706620</v>
      </c>
      <c r="Y186" s="105"/>
      <c r="Z186" s="54"/>
    </row>
    <row r="187" spans="1:26">
      <c r="A187" s="70">
        <f t="shared" ref="A187" si="145">+A186</f>
        <v>2024028</v>
      </c>
      <c r="B187" s="74"/>
      <c r="C187" s="404"/>
      <c r="D187" s="402"/>
      <c r="E187" s="402"/>
      <c r="F187" s="402"/>
      <c r="G187" s="402"/>
      <c r="H187" s="402"/>
      <c r="I187" s="406"/>
      <c r="J187" s="398"/>
      <c r="K187" s="62" t="s">
        <v>24</v>
      </c>
      <c r="L187" s="381"/>
      <c r="M187" s="249"/>
      <c r="N187" s="249"/>
      <c r="O187" s="382"/>
      <c r="P187" s="382"/>
      <c r="Q187" s="382"/>
      <c r="R187" s="382"/>
      <c r="S187" s="382"/>
      <c r="T187" s="347"/>
      <c r="U187" s="347"/>
      <c r="V187" s="347"/>
      <c r="W187" s="382"/>
      <c r="X187" s="247">
        <v>0</v>
      </c>
      <c r="Z187" s="54"/>
    </row>
    <row r="188" spans="1:26">
      <c r="A188" s="70">
        <f t="shared" ref="A188" si="146">+A187</f>
        <v>2024028</v>
      </c>
      <c r="B188" s="74"/>
      <c r="C188" s="404"/>
      <c r="D188" s="402"/>
      <c r="E188" s="402"/>
      <c r="F188" s="402"/>
      <c r="G188" s="402"/>
      <c r="H188" s="402"/>
      <c r="I188" s="406"/>
      <c r="J188" s="398"/>
      <c r="K188" s="63" t="s">
        <v>25</v>
      </c>
      <c r="L188" s="307">
        <f t="shared" ref="L188:W188" si="147">SUM(L189:L195)</f>
        <v>306318</v>
      </c>
      <c r="M188" s="307">
        <f t="shared" si="147"/>
        <v>306318</v>
      </c>
      <c r="N188" s="307">
        <f t="shared" si="147"/>
        <v>306318</v>
      </c>
      <c r="O188" s="384">
        <f t="shared" si="147"/>
        <v>306318</v>
      </c>
      <c r="P188" s="384">
        <f t="shared" si="147"/>
        <v>306318</v>
      </c>
      <c r="Q188" s="384">
        <f t="shared" si="147"/>
        <v>306318</v>
      </c>
      <c r="R188" s="384">
        <f t="shared" si="147"/>
        <v>306318</v>
      </c>
      <c r="S188" s="384">
        <f t="shared" si="147"/>
        <v>306318</v>
      </c>
      <c r="T188" s="348">
        <f t="shared" si="147"/>
        <v>0</v>
      </c>
      <c r="U188" s="348">
        <f t="shared" si="147"/>
        <v>0</v>
      </c>
      <c r="V188" s="348">
        <f t="shared" si="147"/>
        <v>0</v>
      </c>
      <c r="W188" s="384">
        <f t="shared" si="147"/>
        <v>0</v>
      </c>
      <c r="X188" s="248">
        <f>SUM(L188:W188)</f>
        <v>2450544</v>
      </c>
      <c r="Z188" s="54"/>
    </row>
    <row r="189" spans="1:26">
      <c r="A189" s="70">
        <f t="shared" ref="A189" si="148">+A188</f>
        <v>2024028</v>
      </c>
      <c r="B189" s="74"/>
      <c r="C189" s="404"/>
      <c r="D189" s="402"/>
      <c r="E189" s="402"/>
      <c r="F189" s="402"/>
      <c r="G189" s="402"/>
      <c r="H189" s="402"/>
      <c r="I189" s="406"/>
      <c r="J189" s="398"/>
      <c r="K189" s="64" t="s">
        <v>26</v>
      </c>
      <c r="L189" s="249">
        <v>245000</v>
      </c>
      <c r="M189" s="249">
        <v>245000</v>
      </c>
      <c r="N189" s="249">
        <v>245000</v>
      </c>
      <c r="O189" s="249">
        <v>245000</v>
      </c>
      <c r="P189" s="249">
        <v>245000</v>
      </c>
      <c r="Q189" s="249">
        <v>245000</v>
      </c>
      <c r="R189" s="249">
        <v>245000</v>
      </c>
      <c r="S189" s="249">
        <v>245000</v>
      </c>
      <c r="T189" s="210"/>
      <c r="U189" s="210"/>
      <c r="V189" s="210"/>
      <c r="W189" s="249"/>
      <c r="X189" s="247">
        <f t="shared" ref="X189:X195" si="149">SUM(L189:W189)</f>
        <v>1960000</v>
      </c>
      <c r="Y189" s="105"/>
      <c r="Z189" s="54"/>
    </row>
    <row r="190" spans="1:26">
      <c r="A190" s="70">
        <f t="shared" ref="A190" si="150">+A189</f>
        <v>2024028</v>
      </c>
      <c r="B190" s="74"/>
      <c r="C190" s="404"/>
      <c r="D190" s="402"/>
      <c r="E190" s="402"/>
      <c r="F190" s="402"/>
      <c r="G190" s="402"/>
      <c r="H190" s="402"/>
      <c r="I190" s="406"/>
      <c r="J190" s="398"/>
      <c r="K190" s="64" t="s">
        <v>33</v>
      </c>
      <c r="L190" s="249"/>
      <c r="M190" s="249"/>
      <c r="N190" s="249"/>
      <c r="O190" s="249"/>
      <c r="P190" s="249"/>
      <c r="Q190" s="249"/>
      <c r="R190" s="249"/>
      <c r="S190" s="249"/>
      <c r="T190" s="210"/>
      <c r="U190" s="210"/>
      <c r="V190" s="210"/>
      <c r="W190" s="249"/>
      <c r="X190" s="247">
        <f t="shared" si="149"/>
        <v>0</v>
      </c>
      <c r="Y190" s="105"/>
      <c r="Z190" s="54"/>
    </row>
    <row r="191" spans="1:26">
      <c r="A191" s="70">
        <f t="shared" ref="A191" si="151">+A190</f>
        <v>2024028</v>
      </c>
      <c r="B191" s="74"/>
      <c r="C191" s="404"/>
      <c r="D191" s="402"/>
      <c r="E191" s="402"/>
      <c r="F191" s="402"/>
      <c r="G191" s="402"/>
      <c r="H191" s="402"/>
      <c r="I191" s="406"/>
      <c r="J191" s="398"/>
      <c r="K191" s="64" t="s">
        <v>27</v>
      </c>
      <c r="L191" s="386">
        <v>22370</v>
      </c>
      <c r="M191" s="386">
        <v>22370</v>
      </c>
      <c r="N191" s="386">
        <v>22370</v>
      </c>
      <c r="O191" s="386">
        <v>22370</v>
      </c>
      <c r="P191" s="386">
        <v>22370</v>
      </c>
      <c r="Q191" s="386">
        <v>22370</v>
      </c>
      <c r="R191" s="386">
        <v>22370</v>
      </c>
      <c r="S191" s="386">
        <v>22370</v>
      </c>
      <c r="T191" s="225"/>
      <c r="U191" s="225"/>
      <c r="V191" s="225"/>
      <c r="W191" s="386"/>
      <c r="X191" s="247">
        <f t="shared" si="149"/>
        <v>178960</v>
      </c>
      <c r="Y191" s="105"/>
      <c r="Z191" s="54"/>
    </row>
    <row r="192" spans="1:26">
      <c r="A192" s="70">
        <f t="shared" ref="A192" si="152">+A191</f>
        <v>2024028</v>
      </c>
      <c r="B192" s="74"/>
      <c r="C192" s="404"/>
      <c r="D192" s="402"/>
      <c r="E192" s="402"/>
      <c r="F192" s="402"/>
      <c r="G192" s="402"/>
      <c r="H192" s="402"/>
      <c r="I192" s="406"/>
      <c r="J192" s="398"/>
      <c r="K192" s="64" t="s">
        <v>28</v>
      </c>
      <c r="L192" s="386">
        <v>12350</v>
      </c>
      <c r="M192" s="386">
        <v>12350</v>
      </c>
      <c r="N192" s="386">
        <v>12350</v>
      </c>
      <c r="O192" s="386">
        <v>12350</v>
      </c>
      <c r="P192" s="386">
        <v>12350</v>
      </c>
      <c r="Q192" s="386">
        <v>12350</v>
      </c>
      <c r="R192" s="386">
        <v>12350</v>
      </c>
      <c r="S192" s="386">
        <v>12350</v>
      </c>
      <c r="T192" s="225"/>
      <c r="U192" s="225"/>
      <c r="V192" s="225"/>
      <c r="W192" s="386"/>
      <c r="X192" s="247">
        <f t="shared" si="149"/>
        <v>98800</v>
      </c>
      <c r="Y192" s="105"/>
      <c r="Z192" s="54"/>
    </row>
    <row r="193" spans="1:26">
      <c r="A193" s="70">
        <f t="shared" ref="A193" si="153">+A192</f>
        <v>2024028</v>
      </c>
      <c r="B193" s="74"/>
      <c r="C193" s="404"/>
      <c r="D193" s="402"/>
      <c r="E193" s="402"/>
      <c r="F193" s="402"/>
      <c r="G193" s="402"/>
      <c r="H193" s="402"/>
      <c r="I193" s="406"/>
      <c r="J193" s="398"/>
      <c r="K193" s="64" t="s">
        <v>29</v>
      </c>
      <c r="L193" s="386">
        <v>23790</v>
      </c>
      <c r="M193" s="386">
        <v>23790</v>
      </c>
      <c r="N193" s="386">
        <v>23790</v>
      </c>
      <c r="O193" s="386">
        <v>23790</v>
      </c>
      <c r="P193" s="386">
        <v>23790</v>
      </c>
      <c r="Q193" s="386">
        <v>23790</v>
      </c>
      <c r="R193" s="386">
        <v>23790</v>
      </c>
      <c r="S193" s="386">
        <v>23790</v>
      </c>
      <c r="T193" s="225"/>
      <c r="U193" s="225"/>
      <c r="V193" s="225"/>
      <c r="W193" s="386"/>
      <c r="X193" s="247">
        <f t="shared" si="149"/>
        <v>190320</v>
      </c>
      <c r="Y193" s="105"/>
      <c r="Z193" s="54"/>
    </row>
    <row r="194" spans="1:26">
      <c r="A194" s="70">
        <f t="shared" ref="A194" si="154">+A193</f>
        <v>2024028</v>
      </c>
      <c r="B194" s="74"/>
      <c r="C194" s="404"/>
      <c r="D194" s="402"/>
      <c r="E194" s="402"/>
      <c r="F194" s="402"/>
      <c r="G194" s="402"/>
      <c r="H194" s="402"/>
      <c r="I194" s="406"/>
      <c r="J194" s="398"/>
      <c r="K194" s="64" t="s">
        <v>30</v>
      </c>
      <c r="L194" s="386">
        <v>1337</v>
      </c>
      <c r="M194" s="386">
        <v>1337</v>
      </c>
      <c r="N194" s="386">
        <v>1337</v>
      </c>
      <c r="O194" s="386">
        <v>1337</v>
      </c>
      <c r="P194" s="386">
        <v>1337</v>
      </c>
      <c r="Q194" s="386">
        <v>1337</v>
      </c>
      <c r="R194" s="386">
        <v>1337</v>
      </c>
      <c r="S194" s="386">
        <v>1337</v>
      </c>
      <c r="T194" s="225"/>
      <c r="U194" s="225"/>
      <c r="V194" s="225"/>
      <c r="W194" s="386"/>
      <c r="X194" s="247">
        <f t="shared" si="149"/>
        <v>10696</v>
      </c>
      <c r="Y194" s="105"/>
      <c r="Z194" s="54"/>
    </row>
    <row r="195" spans="1:26">
      <c r="A195" s="70">
        <f t="shared" ref="A195" si="155">+A194</f>
        <v>2024028</v>
      </c>
      <c r="B195" s="74"/>
      <c r="C195" s="404"/>
      <c r="D195" s="402"/>
      <c r="E195" s="402"/>
      <c r="F195" s="402"/>
      <c r="G195" s="402"/>
      <c r="H195" s="402"/>
      <c r="I195" s="406"/>
      <c r="J195" s="398"/>
      <c r="K195" s="64" t="s">
        <v>31</v>
      </c>
      <c r="L195" s="386">
        <v>1471</v>
      </c>
      <c r="M195" s="386">
        <v>1471</v>
      </c>
      <c r="N195" s="386">
        <v>1471</v>
      </c>
      <c r="O195" s="386">
        <v>1471</v>
      </c>
      <c r="P195" s="386">
        <v>1471</v>
      </c>
      <c r="Q195" s="386">
        <v>1471</v>
      </c>
      <c r="R195" s="386">
        <v>1471</v>
      </c>
      <c r="S195" s="386">
        <v>1471</v>
      </c>
      <c r="T195" s="225"/>
      <c r="U195" s="225"/>
      <c r="V195" s="225"/>
      <c r="W195" s="386"/>
      <c r="X195" s="247">
        <f t="shared" si="149"/>
        <v>11768</v>
      </c>
      <c r="Y195" s="105"/>
      <c r="Z195" s="54"/>
    </row>
    <row r="196" spans="1:26">
      <c r="A196" s="70">
        <f t="shared" ref="A196" si="156">+A195</f>
        <v>2024028</v>
      </c>
      <c r="B196" s="74"/>
      <c r="C196" s="405"/>
      <c r="D196" s="403"/>
      <c r="E196" s="403"/>
      <c r="F196" s="403"/>
      <c r="G196" s="403"/>
      <c r="H196" s="403"/>
      <c r="I196" s="407"/>
      <c r="J196" s="399"/>
      <c r="K196" s="65" t="s">
        <v>32</v>
      </c>
      <c r="L196" s="250">
        <f t="shared" ref="L196:X196" si="157">L185-L188</f>
        <v>172902</v>
      </c>
      <c r="M196" s="251">
        <f t="shared" si="157"/>
        <v>172902</v>
      </c>
      <c r="N196" s="251">
        <f t="shared" si="157"/>
        <v>172902</v>
      </c>
      <c r="O196" s="252">
        <f t="shared" si="157"/>
        <v>198982</v>
      </c>
      <c r="P196" s="252">
        <f t="shared" si="157"/>
        <v>172902</v>
      </c>
      <c r="Q196" s="252">
        <f t="shared" si="157"/>
        <v>172902</v>
      </c>
      <c r="R196" s="252">
        <f t="shared" si="157"/>
        <v>172902</v>
      </c>
      <c r="S196" s="252">
        <f t="shared" si="157"/>
        <v>19682</v>
      </c>
      <c r="T196" s="344">
        <f t="shared" si="157"/>
        <v>0</v>
      </c>
      <c r="U196" s="344">
        <f t="shared" si="157"/>
        <v>0</v>
      </c>
      <c r="V196" s="344">
        <f t="shared" si="157"/>
        <v>0</v>
      </c>
      <c r="W196" s="253">
        <f t="shared" si="157"/>
        <v>0</v>
      </c>
      <c r="X196" s="254">
        <f t="shared" si="157"/>
        <v>1256076</v>
      </c>
      <c r="Z196" s="54"/>
    </row>
    <row r="197" spans="1:26" ht="12.75" customHeight="1">
      <c r="A197" s="101">
        <v>2024014</v>
      </c>
      <c r="B197" s="104"/>
      <c r="C197" s="433">
        <f t="shared" ref="C197" si="158">C185+1</f>
        <v>17</v>
      </c>
      <c r="D197" s="402" t="s">
        <v>92</v>
      </c>
      <c r="E197" s="402"/>
      <c r="F197" s="402"/>
      <c r="G197" s="402"/>
      <c r="H197" s="402"/>
      <c r="I197" s="495" t="s">
        <v>93</v>
      </c>
      <c r="J197" s="398" t="s">
        <v>94</v>
      </c>
      <c r="K197" s="66" t="s">
        <v>22</v>
      </c>
      <c r="L197" s="223">
        <f t="shared" ref="L197:O197" si="159">L198+L199</f>
        <v>730000</v>
      </c>
      <c r="M197" s="280">
        <f t="shared" si="159"/>
        <v>730000</v>
      </c>
      <c r="N197" s="280">
        <f t="shared" si="159"/>
        <v>730000</v>
      </c>
      <c r="O197" s="355">
        <f t="shared" si="159"/>
        <v>730000</v>
      </c>
      <c r="P197" s="355">
        <f>P198+P199</f>
        <v>730000</v>
      </c>
      <c r="Q197" s="355">
        <f t="shared" ref="Q197:W197" si="160">Q198+Q199</f>
        <v>730000</v>
      </c>
      <c r="R197" s="355">
        <f t="shared" si="160"/>
        <v>730000</v>
      </c>
      <c r="S197" s="355">
        <f t="shared" si="160"/>
        <v>730000</v>
      </c>
      <c r="T197" s="355">
        <f t="shared" si="160"/>
        <v>730000</v>
      </c>
      <c r="U197" s="355">
        <f t="shared" si="160"/>
        <v>730000</v>
      </c>
      <c r="V197" s="355">
        <f t="shared" si="160"/>
        <v>730000</v>
      </c>
      <c r="W197" s="137">
        <f t="shared" si="160"/>
        <v>730000</v>
      </c>
      <c r="X197" s="49">
        <f>SUM(L197:W197)</f>
        <v>8760000</v>
      </c>
      <c r="Z197" s="54"/>
    </row>
    <row r="198" spans="1:26">
      <c r="A198" s="70">
        <f>+A197</f>
        <v>2024014</v>
      </c>
      <c r="B198" s="74"/>
      <c r="C198" s="404"/>
      <c r="D198" s="402"/>
      <c r="E198" s="402"/>
      <c r="F198" s="402"/>
      <c r="G198" s="402"/>
      <c r="H198" s="402"/>
      <c r="I198" s="495"/>
      <c r="J198" s="398"/>
      <c r="K198" s="62" t="s">
        <v>23</v>
      </c>
      <c r="L198" s="225">
        <v>730000</v>
      </c>
      <c r="M198" s="225">
        <v>730000</v>
      </c>
      <c r="N198" s="225">
        <v>730000</v>
      </c>
      <c r="O198" s="225">
        <v>730000</v>
      </c>
      <c r="P198" s="225">
        <v>730000</v>
      </c>
      <c r="Q198" s="225">
        <v>730000</v>
      </c>
      <c r="R198" s="225">
        <v>730000</v>
      </c>
      <c r="S198" s="225">
        <v>730000</v>
      </c>
      <c r="T198" s="225">
        <v>730000</v>
      </c>
      <c r="U198" s="225">
        <v>730000</v>
      </c>
      <c r="V198" s="225">
        <v>730000</v>
      </c>
      <c r="W198" s="106">
        <v>730000</v>
      </c>
      <c r="X198" s="135">
        <f>SUM(L198:W198)</f>
        <v>8760000</v>
      </c>
      <c r="Y198" s="105"/>
      <c r="Z198" s="54"/>
    </row>
    <row r="199" spans="1:26">
      <c r="A199" s="70">
        <f t="shared" ref="A199" si="161">+A198</f>
        <v>2024014</v>
      </c>
      <c r="B199" s="74"/>
      <c r="C199" s="404"/>
      <c r="D199" s="402"/>
      <c r="E199" s="402"/>
      <c r="F199" s="402"/>
      <c r="G199" s="402"/>
      <c r="H199" s="402"/>
      <c r="I199" s="495"/>
      <c r="J199" s="398"/>
      <c r="K199" s="62" t="s">
        <v>24</v>
      </c>
      <c r="L199" s="226"/>
      <c r="M199" s="210"/>
      <c r="N199" s="210"/>
      <c r="O199" s="347"/>
      <c r="P199" s="347"/>
      <c r="Q199" s="347"/>
      <c r="R199" s="347"/>
      <c r="S199" s="347"/>
      <c r="T199" s="347"/>
      <c r="U199" s="347"/>
      <c r="V199" s="347"/>
      <c r="W199" s="133"/>
      <c r="X199" s="135">
        <v>0</v>
      </c>
      <c r="Z199" s="54"/>
    </row>
    <row r="200" spans="1:26">
      <c r="A200" s="70">
        <f t="shared" ref="A200" si="162">+A199</f>
        <v>2024014</v>
      </c>
      <c r="B200" s="74"/>
      <c r="C200" s="404"/>
      <c r="D200" s="402"/>
      <c r="E200" s="402"/>
      <c r="F200" s="402"/>
      <c r="G200" s="402"/>
      <c r="H200" s="402"/>
      <c r="I200" s="495"/>
      <c r="J200" s="398"/>
      <c r="K200" s="63" t="s">
        <v>25</v>
      </c>
      <c r="L200" s="227">
        <f t="shared" ref="L200:W200" si="163">SUM(L201:L207)</f>
        <v>564991</v>
      </c>
      <c r="M200" s="227">
        <f t="shared" si="163"/>
        <v>564991</v>
      </c>
      <c r="N200" s="227">
        <f t="shared" si="163"/>
        <v>564991</v>
      </c>
      <c r="O200" s="348">
        <f t="shared" si="163"/>
        <v>564991</v>
      </c>
      <c r="P200" s="348">
        <f t="shared" si="163"/>
        <v>564991</v>
      </c>
      <c r="Q200" s="348">
        <f t="shared" si="163"/>
        <v>564991</v>
      </c>
      <c r="R200" s="348">
        <f t="shared" si="163"/>
        <v>564991</v>
      </c>
      <c r="S200" s="348">
        <f t="shared" si="163"/>
        <v>563707</v>
      </c>
      <c r="T200" s="348">
        <f t="shared" si="163"/>
        <v>564991</v>
      </c>
      <c r="U200" s="348">
        <f t="shared" si="163"/>
        <v>564991</v>
      </c>
      <c r="V200" s="348">
        <f t="shared" si="163"/>
        <v>565174</v>
      </c>
      <c r="W200" s="134">
        <f t="shared" si="163"/>
        <v>564991</v>
      </c>
      <c r="X200" s="136">
        <f>SUM(L200:W200)</f>
        <v>6778791</v>
      </c>
      <c r="Z200" s="54"/>
    </row>
    <row r="201" spans="1:26">
      <c r="A201" s="70">
        <f t="shared" ref="A201" si="164">+A200</f>
        <v>2024014</v>
      </c>
      <c r="B201" s="74"/>
      <c r="C201" s="404"/>
      <c r="D201" s="402"/>
      <c r="E201" s="402"/>
      <c r="F201" s="402"/>
      <c r="G201" s="402"/>
      <c r="H201" s="402"/>
      <c r="I201" s="495"/>
      <c r="J201" s="398"/>
      <c r="K201" s="64" t="s">
        <v>26</v>
      </c>
      <c r="L201" s="210">
        <v>470000</v>
      </c>
      <c r="M201" s="210">
        <v>470000</v>
      </c>
      <c r="N201" s="210">
        <v>470000</v>
      </c>
      <c r="O201" s="210">
        <v>470000</v>
      </c>
      <c r="P201" s="210">
        <v>470000</v>
      </c>
      <c r="Q201" s="210">
        <v>470000</v>
      </c>
      <c r="R201" s="210">
        <v>470000</v>
      </c>
      <c r="S201" s="210">
        <v>468729</v>
      </c>
      <c r="T201" s="210">
        <v>470000</v>
      </c>
      <c r="U201" s="210">
        <v>470000</v>
      </c>
      <c r="V201" s="210">
        <v>470000</v>
      </c>
      <c r="W201" s="83">
        <v>470000</v>
      </c>
      <c r="X201" s="135">
        <f t="shared" ref="X201:X207" si="165">SUM(L201:W201)</f>
        <v>5638729</v>
      </c>
      <c r="Y201" s="105"/>
      <c r="Z201" s="54"/>
    </row>
    <row r="202" spans="1:26">
      <c r="A202" s="70">
        <f t="shared" ref="A202" si="166">+A201</f>
        <v>2024014</v>
      </c>
      <c r="B202" s="74"/>
      <c r="C202" s="404"/>
      <c r="D202" s="402"/>
      <c r="E202" s="402"/>
      <c r="F202" s="402"/>
      <c r="G202" s="402"/>
      <c r="H202" s="402"/>
      <c r="I202" s="495"/>
      <c r="J202" s="398"/>
      <c r="K202" s="64" t="s">
        <v>33</v>
      </c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83"/>
      <c r="X202" s="135">
        <f t="shared" si="165"/>
        <v>0</v>
      </c>
      <c r="Y202" s="105"/>
      <c r="Z202" s="54"/>
    </row>
    <row r="203" spans="1:26">
      <c r="A203" s="70">
        <f t="shared" ref="A203" si="167">+A202</f>
        <v>2024014</v>
      </c>
      <c r="B203" s="74"/>
      <c r="C203" s="404"/>
      <c r="D203" s="402"/>
      <c r="E203" s="402"/>
      <c r="F203" s="402"/>
      <c r="G203" s="402"/>
      <c r="H203" s="402"/>
      <c r="I203" s="495"/>
      <c r="J203" s="398"/>
      <c r="K203" s="64" t="s">
        <v>27</v>
      </c>
      <c r="L203" s="210">
        <v>15890</v>
      </c>
      <c r="M203" s="210">
        <v>15890</v>
      </c>
      <c r="N203" s="210">
        <v>15890</v>
      </c>
      <c r="O203" s="210">
        <v>15890</v>
      </c>
      <c r="P203" s="210">
        <v>15890</v>
      </c>
      <c r="Q203" s="210">
        <v>15890</v>
      </c>
      <c r="R203" s="210">
        <v>15890</v>
      </c>
      <c r="S203" s="210">
        <v>15890</v>
      </c>
      <c r="T203" s="210">
        <v>15890</v>
      </c>
      <c r="U203" s="210">
        <v>15890</v>
      </c>
      <c r="V203" s="210">
        <v>15890</v>
      </c>
      <c r="W203" s="83">
        <v>15890</v>
      </c>
      <c r="X203" s="135">
        <f t="shared" si="165"/>
        <v>190680</v>
      </c>
      <c r="Y203" s="105"/>
      <c r="Z203" s="54"/>
    </row>
    <row r="204" spans="1:26">
      <c r="A204" s="70">
        <f t="shared" ref="A204" si="168">+A203</f>
        <v>2024014</v>
      </c>
      <c r="B204" s="74"/>
      <c r="C204" s="404"/>
      <c r="D204" s="402"/>
      <c r="E204" s="402"/>
      <c r="F204" s="402"/>
      <c r="G204" s="402"/>
      <c r="H204" s="402"/>
      <c r="I204" s="495"/>
      <c r="J204" s="398"/>
      <c r="K204" s="64" t="s">
        <v>28</v>
      </c>
      <c r="L204" s="210">
        <v>28250</v>
      </c>
      <c r="M204" s="210">
        <v>28250</v>
      </c>
      <c r="N204" s="210">
        <v>28250</v>
      </c>
      <c r="O204" s="210">
        <v>28250</v>
      </c>
      <c r="P204" s="210">
        <v>28250</v>
      </c>
      <c r="Q204" s="210">
        <v>28250</v>
      </c>
      <c r="R204" s="210">
        <v>28250</v>
      </c>
      <c r="S204" s="210">
        <v>28250</v>
      </c>
      <c r="T204" s="210">
        <v>28250</v>
      </c>
      <c r="U204" s="210">
        <v>28250</v>
      </c>
      <c r="V204" s="210">
        <v>28250</v>
      </c>
      <c r="W204" s="83">
        <v>28250</v>
      </c>
      <c r="X204" s="135">
        <f t="shared" si="165"/>
        <v>339000</v>
      </c>
      <c r="Y204" s="105"/>
      <c r="Z204" s="54"/>
    </row>
    <row r="205" spans="1:26">
      <c r="A205" s="70">
        <f t="shared" ref="A205" si="169">+A204</f>
        <v>2024014</v>
      </c>
      <c r="B205" s="74"/>
      <c r="C205" s="404"/>
      <c r="D205" s="402"/>
      <c r="E205" s="402"/>
      <c r="F205" s="402"/>
      <c r="G205" s="402"/>
      <c r="H205" s="402"/>
      <c r="I205" s="495"/>
      <c r="J205" s="398"/>
      <c r="K205" s="64" t="s">
        <v>29</v>
      </c>
      <c r="L205" s="210">
        <v>45750</v>
      </c>
      <c r="M205" s="210">
        <v>45750</v>
      </c>
      <c r="N205" s="210">
        <v>45750</v>
      </c>
      <c r="O205" s="210">
        <v>45750</v>
      </c>
      <c r="P205" s="210">
        <v>45750</v>
      </c>
      <c r="Q205" s="210">
        <v>45750</v>
      </c>
      <c r="R205" s="210">
        <v>45750</v>
      </c>
      <c r="S205" s="210">
        <v>45750</v>
      </c>
      <c r="T205" s="210">
        <v>45750</v>
      </c>
      <c r="U205" s="210">
        <v>45750</v>
      </c>
      <c r="V205" s="210">
        <v>45750</v>
      </c>
      <c r="W205" s="83">
        <v>45750</v>
      </c>
      <c r="X205" s="135">
        <f t="shared" si="165"/>
        <v>549000</v>
      </c>
      <c r="Y205" s="105"/>
      <c r="Z205" s="54"/>
    </row>
    <row r="206" spans="1:26">
      <c r="A206" s="70">
        <f t="shared" ref="A206" si="170">+A205</f>
        <v>2024014</v>
      </c>
      <c r="B206" s="74"/>
      <c r="C206" s="404"/>
      <c r="D206" s="402"/>
      <c r="E206" s="402"/>
      <c r="F206" s="402"/>
      <c r="G206" s="402"/>
      <c r="H206" s="402"/>
      <c r="I206" s="495"/>
      <c r="J206" s="398"/>
      <c r="K206" s="64" t="s">
        <v>30</v>
      </c>
      <c r="L206" s="210">
        <v>2429</v>
      </c>
      <c r="M206" s="210">
        <v>2429</v>
      </c>
      <c r="N206" s="210">
        <v>2429</v>
      </c>
      <c r="O206" s="210">
        <v>2429</v>
      </c>
      <c r="P206" s="210">
        <v>2429</v>
      </c>
      <c r="Q206" s="210">
        <v>2429</v>
      </c>
      <c r="R206" s="210">
        <v>2429</v>
      </c>
      <c r="S206" s="210">
        <v>2423</v>
      </c>
      <c r="T206" s="210">
        <v>2429</v>
      </c>
      <c r="U206" s="210">
        <v>2429</v>
      </c>
      <c r="V206" s="210">
        <v>2516</v>
      </c>
      <c r="W206" s="83">
        <v>2429</v>
      </c>
      <c r="X206" s="135">
        <f t="shared" si="165"/>
        <v>29229</v>
      </c>
      <c r="Y206" s="105"/>
      <c r="Z206" s="54"/>
    </row>
    <row r="207" spans="1:26">
      <c r="A207" s="70">
        <f t="shared" ref="A207" si="171">+A206</f>
        <v>2024014</v>
      </c>
      <c r="B207" s="74"/>
      <c r="C207" s="404"/>
      <c r="D207" s="402"/>
      <c r="E207" s="402"/>
      <c r="F207" s="402"/>
      <c r="G207" s="402"/>
      <c r="H207" s="402"/>
      <c r="I207" s="495"/>
      <c r="J207" s="398"/>
      <c r="K207" s="64" t="s">
        <v>31</v>
      </c>
      <c r="L207" s="210">
        <v>2672</v>
      </c>
      <c r="M207" s="210">
        <v>2672</v>
      </c>
      <c r="N207" s="210">
        <v>2672</v>
      </c>
      <c r="O207" s="210">
        <v>2672</v>
      </c>
      <c r="P207" s="210">
        <v>2672</v>
      </c>
      <c r="Q207" s="210">
        <v>2672</v>
      </c>
      <c r="R207" s="210">
        <v>2672</v>
      </c>
      <c r="S207" s="210">
        <v>2665</v>
      </c>
      <c r="T207" s="210">
        <v>2672</v>
      </c>
      <c r="U207" s="210">
        <v>2672</v>
      </c>
      <c r="V207" s="210">
        <v>2768</v>
      </c>
      <c r="W207" s="83">
        <v>2672</v>
      </c>
      <c r="X207" s="135">
        <f t="shared" si="165"/>
        <v>32153</v>
      </c>
      <c r="Y207" s="105"/>
      <c r="Z207" s="54"/>
    </row>
    <row r="208" spans="1:26">
      <c r="A208" s="70">
        <f t="shared" ref="A208" si="172">+A207</f>
        <v>2024014</v>
      </c>
      <c r="B208" s="74"/>
      <c r="C208" s="405"/>
      <c r="D208" s="403"/>
      <c r="E208" s="403"/>
      <c r="F208" s="403"/>
      <c r="G208" s="403"/>
      <c r="H208" s="403"/>
      <c r="I208" s="496"/>
      <c r="J208" s="399"/>
      <c r="K208" s="65" t="s">
        <v>32</v>
      </c>
      <c r="L208" s="194">
        <f t="shared" ref="L208:X208" si="173">L197-L200</f>
        <v>165009</v>
      </c>
      <c r="M208" s="267">
        <f t="shared" si="173"/>
        <v>165009</v>
      </c>
      <c r="N208" s="267">
        <f t="shared" si="173"/>
        <v>165009</v>
      </c>
      <c r="O208" s="344">
        <f t="shared" si="173"/>
        <v>165009</v>
      </c>
      <c r="P208" s="344">
        <f t="shared" si="173"/>
        <v>165009</v>
      </c>
      <c r="Q208" s="344">
        <f t="shared" si="173"/>
        <v>165009</v>
      </c>
      <c r="R208" s="344">
        <f t="shared" si="173"/>
        <v>165009</v>
      </c>
      <c r="S208" s="344">
        <f t="shared" si="173"/>
        <v>166293</v>
      </c>
      <c r="T208" s="344">
        <f t="shared" si="173"/>
        <v>165009</v>
      </c>
      <c r="U208" s="344">
        <f t="shared" si="173"/>
        <v>165009</v>
      </c>
      <c r="V208" s="344">
        <f t="shared" si="173"/>
        <v>164826</v>
      </c>
      <c r="W208" s="129">
        <f t="shared" si="173"/>
        <v>165009</v>
      </c>
      <c r="X208" s="50">
        <f t="shared" si="173"/>
        <v>1981209</v>
      </c>
      <c r="Z208" s="54"/>
    </row>
    <row r="209" spans="1:26" ht="12.75" customHeight="1">
      <c r="A209" s="101">
        <v>2024045</v>
      </c>
      <c r="B209" s="104"/>
      <c r="C209" s="433">
        <f t="shared" ref="C209" si="174">C197+1</f>
        <v>18</v>
      </c>
      <c r="D209" s="432" t="s">
        <v>37</v>
      </c>
      <c r="E209" s="432"/>
      <c r="F209" s="500"/>
      <c r="G209" s="432"/>
      <c r="H209" s="432"/>
      <c r="I209" s="499" t="s">
        <v>103</v>
      </c>
      <c r="J209" s="397"/>
      <c r="K209" s="61" t="s">
        <v>22</v>
      </c>
      <c r="L209" s="213">
        <f t="shared" ref="L209:U209" si="175">L210+L211</f>
        <v>430000</v>
      </c>
      <c r="M209" s="275">
        <f t="shared" si="175"/>
        <v>430000</v>
      </c>
      <c r="N209" s="275">
        <f t="shared" si="175"/>
        <v>430000</v>
      </c>
      <c r="O209" s="275">
        <f t="shared" si="175"/>
        <v>430000</v>
      </c>
      <c r="P209" s="275">
        <f t="shared" si="175"/>
        <v>430000</v>
      </c>
      <c r="Q209" s="353">
        <f t="shared" si="175"/>
        <v>443450</v>
      </c>
      <c r="R209" s="353">
        <f t="shared" si="175"/>
        <v>430000</v>
      </c>
      <c r="S209" s="353">
        <f t="shared" si="175"/>
        <v>430000</v>
      </c>
      <c r="T209" s="353">
        <f t="shared" si="175"/>
        <v>430000</v>
      </c>
      <c r="U209" s="353">
        <f t="shared" si="175"/>
        <v>430000</v>
      </c>
      <c r="V209" s="353">
        <f t="shared" ref="V209:W209" si="176">V210+V211</f>
        <v>430000</v>
      </c>
      <c r="W209" s="98">
        <f t="shared" si="176"/>
        <v>430000</v>
      </c>
      <c r="X209" s="132">
        <f>SUM(L209:W209)</f>
        <v>5173450</v>
      </c>
      <c r="Z209" s="54"/>
    </row>
    <row r="210" spans="1:26">
      <c r="A210" s="70">
        <f>+A209</f>
        <v>2024045</v>
      </c>
      <c r="B210" s="74"/>
      <c r="C210" s="404"/>
      <c r="D210" s="402"/>
      <c r="E210" s="402"/>
      <c r="F210" s="501"/>
      <c r="G210" s="402"/>
      <c r="H210" s="402"/>
      <c r="I210" s="495"/>
      <c r="J210" s="398"/>
      <c r="K210" s="62" t="s">
        <v>23</v>
      </c>
      <c r="L210" s="225">
        <v>430000</v>
      </c>
      <c r="M210" s="225">
        <v>430000</v>
      </c>
      <c r="N210" s="225">
        <v>430000</v>
      </c>
      <c r="O210" s="225">
        <v>430000</v>
      </c>
      <c r="P210" s="225">
        <v>430000</v>
      </c>
      <c r="Q210" s="225">
        <v>443450</v>
      </c>
      <c r="R210" s="225">
        <v>430000</v>
      </c>
      <c r="S210" s="225">
        <v>430000</v>
      </c>
      <c r="T210" s="225">
        <v>430000</v>
      </c>
      <c r="U210" s="225">
        <v>430000</v>
      </c>
      <c r="V210" s="225">
        <v>430000</v>
      </c>
      <c r="W210" s="106">
        <v>430000</v>
      </c>
      <c r="X210" s="135">
        <f>SUM(L210:W210)</f>
        <v>5173450</v>
      </c>
      <c r="Y210" s="105"/>
      <c r="Z210" s="54"/>
    </row>
    <row r="211" spans="1:26">
      <c r="A211" s="70">
        <f t="shared" ref="A211" si="177">+A210</f>
        <v>2024045</v>
      </c>
      <c r="B211" s="74"/>
      <c r="C211" s="404"/>
      <c r="D211" s="402"/>
      <c r="E211" s="402"/>
      <c r="F211" s="501"/>
      <c r="G211" s="402"/>
      <c r="H211" s="402"/>
      <c r="I211" s="495"/>
      <c r="J211" s="398"/>
      <c r="K211" s="62" t="s">
        <v>24</v>
      </c>
      <c r="L211" s="226"/>
      <c r="M211" s="210"/>
      <c r="N211" s="210"/>
      <c r="O211" s="347"/>
      <c r="P211" s="347"/>
      <c r="Q211" s="347"/>
      <c r="R211" s="347"/>
      <c r="S211" s="347"/>
      <c r="T211" s="347"/>
      <c r="U211" s="347"/>
      <c r="V211" s="347"/>
      <c r="W211" s="25"/>
      <c r="X211" s="135">
        <v>0</v>
      </c>
      <c r="Z211" s="54"/>
    </row>
    <row r="212" spans="1:26">
      <c r="A212" s="70">
        <f t="shared" ref="A212" si="178">+A211</f>
        <v>2024045</v>
      </c>
      <c r="B212" s="74"/>
      <c r="C212" s="404"/>
      <c r="D212" s="402"/>
      <c r="E212" s="402"/>
      <c r="F212" s="501"/>
      <c r="G212" s="402"/>
      <c r="H212" s="402"/>
      <c r="I212" s="495"/>
      <c r="J212" s="398"/>
      <c r="K212" s="63" t="s">
        <v>25</v>
      </c>
      <c r="L212" s="227">
        <f t="shared" ref="L212:U212" si="179">SUM(L213:L219)</f>
        <v>331958</v>
      </c>
      <c r="M212" s="227">
        <f t="shared" si="179"/>
        <v>333139</v>
      </c>
      <c r="N212" s="227">
        <f t="shared" si="179"/>
        <v>338833</v>
      </c>
      <c r="O212" s="348">
        <f t="shared" si="179"/>
        <v>322535</v>
      </c>
      <c r="P212" s="348">
        <f t="shared" si="179"/>
        <v>367594</v>
      </c>
      <c r="Q212" s="348">
        <f t="shared" si="179"/>
        <v>334234</v>
      </c>
      <c r="R212" s="348">
        <f t="shared" si="179"/>
        <v>343945</v>
      </c>
      <c r="S212" s="348">
        <f t="shared" si="179"/>
        <v>327456</v>
      </c>
      <c r="T212" s="348">
        <f t="shared" si="179"/>
        <v>343117</v>
      </c>
      <c r="U212" s="348">
        <f t="shared" si="179"/>
        <v>349314</v>
      </c>
      <c r="V212" s="348">
        <f t="shared" ref="V212:W212" si="180">SUM(V213:V219)</f>
        <v>326743</v>
      </c>
      <c r="W212" s="95">
        <f t="shared" si="180"/>
        <v>331274</v>
      </c>
      <c r="X212" s="136">
        <f>SUM(L212:W212)</f>
        <v>4050142</v>
      </c>
      <c r="Z212" s="54"/>
    </row>
    <row r="213" spans="1:26">
      <c r="A213" s="70">
        <f t="shared" ref="A213" si="181">+A212</f>
        <v>2024045</v>
      </c>
      <c r="B213" s="74"/>
      <c r="C213" s="404"/>
      <c r="D213" s="402"/>
      <c r="E213" s="402"/>
      <c r="F213" s="501"/>
      <c r="G213" s="402"/>
      <c r="H213" s="402"/>
      <c r="I213" s="495"/>
      <c r="J213" s="398"/>
      <c r="K213" s="64" t="s">
        <v>26</v>
      </c>
      <c r="L213" s="225">
        <v>280684</v>
      </c>
      <c r="M213" s="225">
        <v>273720</v>
      </c>
      <c r="N213" s="225">
        <v>279355</v>
      </c>
      <c r="O213" s="225">
        <v>258986</v>
      </c>
      <c r="P213" s="225">
        <v>301053</v>
      </c>
      <c r="Q213" s="225">
        <v>271827</v>
      </c>
      <c r="R213" s="225">
        <v>278912</v>
      </c>
      <c r="S213" s="225">
        <v>263857</v>
      </c>
      <c r="T213" s="225">
        <v>279355</v>
      </c>
      <c r="U213" s="225">
        <v>284226</v>
      </c>
      <c r="V213" s="225">
        <v>262971</v>
      </c>
      <c r="W213" s="106">
        <v>280000</v>
      </c>
      <c r="X213" s="135">
        <f t="shared" ref="X213:X219" si="182">SUM(L213:W213)</f>
        <v>3314946</v>
      </c>
      <c r="Y213" s="105"/>
      <c r="Z213" s="54"/>
    </row>
    <row r="214" spans="1:26">
      <c r="A214" s="70">
        <f t="shared" ref="A214" si="183">+A213</f>
        <v>2024045</v>
      </c>
      <c r="B214" s="74"/>
      <c r="C214" s="404"/>
      <c r="D214" s="402"/>
      <c r="E214" s="402"/>
      <c r="F214" s="501"/>
      <c r="G214" s="402"/>
      <c r="H214" s="402"/>
      <c r="I214" s="495"/>
      <c r="J214" s="398"/>
      <c r="K214" s="64" t="s">
        <v>33</v>
      </c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106"/>
      <c r="X214" s="135">
        <f t="shared" si="182"/>
        <v>0</v>
      </c>
      <c r="Y214" s="105"/>
      <c r="Z214" s="54"/>
    </row>
    <row r="215" spans="1:26">
      <c r="A215" s="70">
        <f t="shared" ref="A215" si="184">+A214</f>
        <v>2024045</v>
      </c>
      <c r="B215" s="74"/>
      <c r="C215" s="404"/>
      <c r="D215" s="402"/>
      <c r="E215" s="402"/>
      <c r="F215" s="501"/>
      <c r="G215" s="402"/>
      <c r="H215" s="402"/>
      <c r="I215" s="495"/>
      <c r="J215" s="398"/>
      <c r="K215" s="64" t="s">
        <v>27</v>
      </c>
      <c r="L215" s="225">
        <v>12060</v>
      </c>
      <c r="M215" s="225">
        <v>20192</v>
      </c>
      <c r="N215" s="225">
        <v>20192</v>
      </c>
      <c r="O215" s="225">
        <v>18930</v>
      </c>
      <c r="P215" s="225">
        <v>21454</v>
      </c>
      <c r="Q215" s="225">
        <v>17668</v>
      </c>
      <c r="R215" s="225">
        <v>20192</v>
      </c>
      <c r="S215" s="225">
        <v>18930</v>
      </c>
      <c r="T215" s="225">
        <v>18930</v>
      </c>
      <c r="U215" s="225">
        <v>20192</v>
      </c>
      <c r="V215" s="225">
        <v>18930</v>
      </c>
      <c r="W215" s="106">
        <v>12060</v>
      </c>
      <c r="X215" s="135">
        <f t="shared" si="182"/>
        <v>219730</v>
      </c>
      <c r="Y215" s="105"/>
      <c r="Z215" s="54"/>
    </row>
    <row r="216" spans="1:26">
      <c r="A216" s="70">
        <f t="shared" ref="A216" si="185">+A215</f>
        <v>2024045</v>
      </c>
      <c r="B216" s="74"/>
      <c r="C216" s="404"/>
      <c r="D216" s="402"/>
      <c r="E216" s="402"/>
      <c r="F216" s="501"/>
      <c r="G216" s="402"/>
      <c r="H216" s="402"/>
      <c r="I216" s="495"/>
      <c r="J216" s="398"/>
      <c r="K216" s="64" t="s">
        <v>28</v>
      </c>
      <c r="L216" s="225">
        <v>12350</v>
      </c>
      <c r="M216" s="225">
        <v>12350</v>
      </c>
      <c r="N216" s="225">
        <v>12350</v>
      </c>
      <c r="O216" s="225">
        <v>14250</v>
      </c>
      <c r="P216" s="225">
        <v>14250</v>
      </c>
      <c r="Q216" s="225">
        <v>14250</v>
      </c>
      <c r="R216" s="225">
        <v>14250</v>
      </c>
      <c r="S216" s="225">
        <v>14250</v>
      </c>
      <c r="T216" s="225">
        <v>14250</v>
      </c>
      <c r="U216" s="225">
        <v>14250</v>
      </c>
      <c r="V216" s="225">
        <v>14250</v>
      </c>
      <c r="W216" s="106">
        <v>12350</v>
      </c>
      <c r="X216" s="135">
        <f t="shared" si="182"/>
        <v>163400</v>
      </c>
      <c r="Y216" s="105"/>
      <c r="Z216" s="54"/>
    </row>
    <row r="217" spans="1:26">
      <c r="A217" s="70">
        <f t="shared" ref="A217" si="186">+A216</f>
        <v>2024045</v>
      </c>
      <c r="B217" s="74"/>
      <c r="C217" s="404"/>
      <c r="D217" s="402"/>
      <c r="E217" s="402"/>
      <c r="F217" s="501"/>
      <c r="G217" s="402"/>
      <c r="H217" s="402"/>
      <c r="I217" s="495"/>
      <c r="J217" s="398"/>
      <c r="K217" s="64" t="s">
        <v>29</v>
      </c>
      <c r="L217" s="225">
        <v>23790</v>
      </c>
      <c r="M217" s="225">
        <v>23790</v>
      </c>
      <c r="N217" s="225">
        <v>23790</v>
      </c>
      <c r="O217" s="225">
        <v>27450</v>
      </c>
      <c r="P217" s="225">
        <v>27450</v>
      </c>
      <c r="Q217" s="225">
        <v>27450</v>
      </c>
      <c r="R217" s="225">
        <v>27450</v>
      </c>
      <c r="S217" s="225">
        <v>27450</v>
      </c>
      <c r="T217" s="225">
        <v>27450</v>
      </c>
      <c r="U217" s="225">
        <v>27450</v>
      </c>
      <c r="V217" s="225">
        <v>27450</v>
      </c>
      <c r="W217" s="106">
        <v>23790</v>
      </c>
      <c r="X217" s="135">
        <f t="shared" si="182"/>
        <v>314760</v>
      </c>
      <c r="Y217" s="105"/>
      <c r="Z217" s="54"/>
    </row>
    <row r="218" spans="1:26">
      <c r="A218" s="70">
        <f t="shared" ref="A218" si="187">+A217</f>
        <v>2024045</v>
      </c>
      <c r="B218" s="74"/>
      <c r="C218" s="404"/>
      <c r="D218" s="402"/>
      <c r="E218" s="402"/>
      <c r="F218" s="501"/>
      <c r="G218" s="402"/>
      <c r="H218" s="402"/>
      <c r="I218" s="495"/>
      <c r="J218" s="398"/>
      <c r="K218" s="64" t="s">
        <v>30</v>
      </c>
      <c r="L218" s="225">
        <v>1464</v>
      </c>
      <c r="M218" s="225">
        <v>1470</v>
      </c>
      <c r="N218" s="225">
        <v>1498</v>
      </c>
      <c r="O218" s="225">
        <v>1390</v>
      </c>
      <c r="P218" s="225">
        <v>1613</v>
      </c>
      <c r="Q218" s="225">
        <v>1447</v>
      </c>
      <c r="R218" s="225">
        <v>1496</v>
      </c>
      <c r="S218" s="225">
        <v>1414</v>
      </c>
      <c r="T218" s="225">
        <v>1491</v>
      </c>
      <c r="U218" s="225">
        <v>1522</v>
      </c>
      <c r="V218" s="225">
        <v>1496</v>
      </c>
      <c r="W218" s="106">
        <v>1464</v>
      </c>
      <c r="X218" s="135">
        <f t="shared" si="182"/>
        <v>17765</v>
      </c>
      <c r="Y218" s="105"/>
      <c r="Z218" s="54"/>
    </row>
    <row r="219" spans="1:26">
      <c r="A219" s="70">
        <f t="shared" ref="A219" si="188">+A218</f>
        <v>2024045</v>
      </c>
      <c r="B219" s="74"/>
      <c r="C219" s="404"/>
      <c r="D219" s="402"/>
      <c r="E219" s="402"/>
      <c r="F219" s="501"/>
      <c r="G219" s="402"/>
      <c r="H219" s="402"/>
      <c r="I219" s="495"/>
      <c r="J219" s="398"/>
      <c r="K219" s="64" t="s">
        <v>31</v>
      </c>
      <c r="L219" s="225">
        <v>1610</v>
      </c>
      <c r="M219" s="225">
        <v>1617</v>
      </c>
      <c r="N219" s="225">
        <v>1648</v>
      </c>
      <c r="O219" s="225">
        <v>1529</v>
      </c>
      <c r="P219" s="225">
        <v>1774</v>
      </c>
      <c r="Q219" s="225">
        <v>1592</v>
      </c>
      <c r="R219" s="225">
        <v>1645</v>
      </c>
      <c r="S219" s="225">
        <v>1555</v>
      </c>
      <c r="T219" s="225">
        <v>1641</v>
      </c>
      <c r="U219" s="225">
        <v>1674</v>
      </c>
      <c r="V219" s="225">
        <v>1646</v>
      </c>
      <c r="W219" s="106">
        <v>1610</v>
      </c>
      <c r="X219" s="135">
        <f t="shared" si="182"/>
        <v>19541</v>
      </c>
      <c r="Y219" s="105"/>
      <c r="Z219" s="54"/>
    </row>
    <row r="220" spans="1:26">
      <c r="A220" s="70">
        <f t="shared" ref="A220" si="189">+A219</f>
        <v>2024045</v>
      </c>
      <c r="B220" s="74"/>
      <c r="C220" s="405"/>
      <c r="D220" s="403"/>
      <c r="E220" s="403"/>
      <c r="F220" s="502"/>
      <c r="G220" s="403"/>
      <c r="H220" s="403"/>
      <c r="I220" s="496"/>
      <c r="J220" s="399"/>
      <c r="K220" s="65" t="s">
        <v>32</v>
      </c>
      <c r="L220" s="194">
        <f t="shared" ref="L220:X220" si="190">L209-L212</f>
        <v>98042</v>
      </c>
      <c r="M220" s="267">
        <f t="shared" si="190"/>
        <v>96861</v>
      </c>
      <c r="N220" s="267">
        <f t="shared" si="190"/>
        <v>91167</v>
      </c>
      <c r="O220" s="344">
        <f t="shared" si="190"/>
        <v>107465</v>
      </c>
      <c r="P220" s="344">
        <f t="shared" si="190"/>
        <v>62406</v>
      </c>
      <c r="Q220" s="344">
        <f t="shared" si="190"/>
        <v>109216</v>
      </c>
      <c r="R220" s="344">
        <f t="shared" si="190"/>
        <v>86055</v>
      </c>
      <c r="S220" s="344">
        <f t="shared" si="190"/>
        <v>102544</v>
      </c>
      <c r="T220" s="344">
        <f t="shared" si="190"/>
        <v>86883</v>
      </c>
      <c r="U220" s="344">
        <f t="shared" si="190"/>
        <v>80686</v>
      </c>
      <c r="V220" s="344">
        <f t="shared" si="190"/>
        <v>103257</v>
      </c>
      <c r="W220" s="129">
        <f t="shared" si="190"/>
        <v>98726</v>
      </c>
      <c r="X220" s="50">
        <f t="shared" si="190"/>
        <v>1123308</v>
      </c>
      <c r="Z220" s="54"/>
    </row>
    <row r="221" spans="1:26" ht="12.75" customHeight="1">
      <c r="A221" s="101">
        <v>2019050</v>
      </c>
      <c r="B221" s="104"/>
      <c r="C221" s="433">
        <f t="shared" ref="C221" si="191">C209+1</f>
        <v>19</v>
      </c>
      <c r="D221" s="432" t="s">
        <v>37</v>
      </c>
      <c r="E221" s="432"/>
      <c r="F221" s="432"/>
      <c r="G221" s="432"/>
      <c r="H221" s="432"/>
      <c r="I221" s="499" t="s">
        <v>103</v>
      </c>
      <c r="J221" s="397"/>
      <c r="K221" s="61" t="s">
        <v>22</v>
      </c>
      <c r="L221" s="213">
        <f t="shared" ref="L221:U221" si="192">L222+L223</f>
        <v>670000</v>
      </c>
      <c r="M221" s="275">
        <f t="shared" si="192"/>
        <v>670000</v>
      </c>
      <c r="N221" s="275">
        <f t="shared" si="192"/>
        <v>670000</v>
      </c>
      <c r="O221" s="275">
        <f t="shared" si="192"/>
        <v>670000</v>
      </c>
      <c r="P221" s="275">
        <f t="shared" si="192"/>
        <v>670000</v>
      </c>
      <c r="Q221" s="353">
        <f t="shared" si="192"/>
        <v>670000</v>
      </c>
      <c r="R221" s="353">
        <f t="shared" si="192"/>
        <v>670000</v>
      </c>
      <c r="S221" s="353">
        <f t="shared" si="192"/>
        <v>670000</v>
      </c>
      <c r="T221" s="353">
        <f t="shared" si="192"/>
        <v>670000</v>
      </c>
      <c r="U221" s="353">
        <f t="shared" si="192"/>
        <v>670000</v>
      </c>
      <c r="V221" s="353">
        <f t="shared" ref="V221:W221" si="193">V222+V223</f>
        <v>670000</v>
      </c>
      <c r="W221" s="98">
        <f t="shared" si="193"/>
        <v>670000</v>
      </c>
      <c r="X221" s="132">
        <f>SUM(L221:W221)</f>
        <v>8040000</v>
      </c>
      <c r="Z221" s="54"/>
    </row>
    <row r="222" spans="1:26">
      <c r="A222" s="70">
        <f>+A221</f>
        <v>2019050</v>
      </c>
      <c r="B222" s="74"/>
      <c r="C222" s="404"/>
      <c r="D222" s="402"/>
      <c r="E222" s="402"/>
      <c r="F222" s="402"/>
      <c r="G222" s="402"/>
      <c r="H222" s="402"/>
      <c r="I222" s="495"/>
      <c r="J222" s="398"/>
      <c r="K222" s="62" t="s">
        <v>23</v>
      </c>
      <c r="L222" s="225">
        <v>670000</v>
      </c>
      <c r="M222" s="225">
        <v>670000</v>
      </c>
      <c r="N222" s="225">
        <v>670000</v>
      </c>
      <c r="O222" s="225">
        <v>670000</v>
      </c>
      <c r="P222" s="225">
        <v>670000</v>
      </c>
      <c r="Q222" s="225">
        <v>670000</v>
      </c>
      <c r="R222" s="225">
        <v>670000</v>
      </c>
      <c r="S222" s="225">
        <v>670000</v>
      </c>
      <c r="T222" s="225">
        <v>670000</v>
      </c>
      <c r="U222" s="225">
        <v>670000</v>
      </c>
      <c r="V222" s="225">
        <v>670000</v>
      </c>
      <c r="W222" s="106">
        <v>670000</v>
      </c>
      <c r="X222" s="135">
        <f>SUM(L222:W222)</f>
        <v>8040000</v>
      </c>
      <c r="Y222" s="105"/>
      <c r="Z222" s="54"/>
    </row>
    <row r="223" spans="1:26">
      <c r="A223" s="70">
        <f t="shared" ref="A223" si="194">+A222</f>
        <v>2019050</v>
      </c>
      <c r="B223" s="74"/>
      <c r="C223" s="404"/>
      <c r="D223" s="402"/>
      <c r="E223" s="402"/>
      <c r="F223" s="402"/>
      <c r="G223" s="402"/>
      <c r="H223" s="402"/>
      <c r="I223" s="495"/>
      <c r="J223" s="398"/>
      <c r="K223" s="62" t="s">
        <v>24</v>
      </c>
      <c r="L223" s="226"/>
      <c r="M223" s="210"/>
      <c r="N223" s="210"/>
      <c r="O223" s="347"/>
      <c r="P223" s="347"/>
      <c r="Q223" s="347"/>
      <c r="R223" s="347"/>
      <c r="S223" s="347"/>
      <c r="T223" s="347"/>
      <c r="U223" s="347"/>
      <c r="V223" s="347"/>
      <c r="W223" s="25"/>
      <c r="X223" s="135">
        <v>0</v>
      </c>
      <c r="Z223" s="54"/>
    </row>
    <row r="224" spans="1:26">
      <c r="A224" s="70">
        <f t="shared" ref="A224" si="195">+A223</f>
        <v>2019050</v>
      </c>
      <c r="B224" s="74"/>
      <c r="C224" s="404"/>
      <c r="D224" s="402"/>
      <c r="E224" s="402"/>
      <c r="F224" s="402"/>
      <c r="G224" s="402"/>
      <c r="H224" s="402"/>
      <c r="I224" s="495"/>
      <c r="J224" s="398"/>
      <c r="K224" s="63" t="s">
        <v>25</v>
      </c>
      <c r="L224" s="227">
        <f t="shared" ref="L224:U224" si="196">SUM(L225:L231)</f>
        <v>478311</v>
      </c>
      <c r="M224" s="227">
        <f t="shared" si="196"/>
        <v>480318</v>
      </c>
      <c r="N224" s="227">
        <f t="shared" si="196"/>
        <v>480716</v>
      </c>
      <c r="O224" s="348">
        <f t="shared" si="196"/>
        <v>481524</v>
      </c>
      <c r="P224" s="348">
        <f t="shared" si="196"/>
        <v>479503</v>
      </c>
      <c r="Q224" s="348">
        <f t="shared" si="196"/>
        <v>485392</v>
      </c>
      <c r="R224" s="348">
        <f t="shared" si="196"/>
        <v>481724</v>
      </c>
      <c r="S224" s="348">
        <f t="shared" si="196"/>
        <v>480078</v>
      </c>
      <c r="T224" s="348">
        <f t="shared" si="196"/>
        <v>491086</v>
      </c>
      <c r="U224" s="348">
        <f t="shared" si="196"/>
        <v>487087</v>
      </c>
      <c r="V224" s="348">
        <f t="shared" ref="V224:W224" si="197">SUM(V225:V231)</f>
        <v>482663</v>
      </c>
      <c r="W224" s="95">
        <f t="shared" si="197"/>
        <v>497061</v>
      </c>
      <c r="X224" s="136">
        <f>SUM(L224:W224)</f>
        <v>5805463</v>
      </c>
      <c r="Z224" s="54"/>
    </row>
    <row r="225" spans="1:26">
      <c r="A225" s="70">
        <f t="shared" ref="A225" si="198">+A224</f>
        <v>2019050</v>
      </c>
      <c r="B225" s="74"/>
      <c r="C225" s="404"/>
      <c r="D225" s="402"/>
      <c r="E225" s="402"/>
      <c r="F225" s="402"/>
      <c r="G225" s="402"/>
      <c r="H225" s="402"/>
      <c r="I225" s="495"/>
      <c r="J225" s="398"/>
      <c r="K225" s="64" t="s">
        <v>26</v>
      </c>
      <c r="L225" s="225">
        <v>401250</v>
      </c>
      <c r="M225" s="225">
        <v>419800</v>
      </c>
      <c r="N225" s="225">
        <v>423450</v>
      </c>
      <c r="O225" s="225">
        <v>424250</v>
      </c>
      <c r="P225" s="225">
        <v>422250</v>
      </c>
      <c r="Q225" s="225">
        <v>423950</v>
      </c>
      <c r="R225" s="225">
        <v>416250</v>
      </c>
      <c r="S225" s="225">
        <v>416250</v>
      </c>
      <c r="T225" s="225">
        <v>426000</v>
      </c>
      <c r="U225" s="225">
        <v>421850</v>
      </c>
      <c r="V225" s="225">
        <v>417700</v>
      </c>
      <c r="W225" s="106">
        <v>420000</v>
      </c>
      <c r="X225" s="135">
        <f t="shared" ref="X225:X231" si="199">SUM(L225:W225)</f>
        <v>5033000</v>
      </c>
      <c r="Y225" s="105"/>
      <c r="Z225" s="54"/>
    </row>
    <row r="226" spans="1:26">
      <c r="A226" s="70">
        <f t="shared" ref="A226" si="200">+A225</f>
        <v>2019050</v>
      </c>
      <c r="B226" s="74"/>
      <c r="C226" s="404"/>
      <c r="D226" s="402"/>
      <c r="E226" s="402"/>
      <c r="F226" s="402"/>
      <c r="G226" s="402"/>
      <c r="H226" s="402"/>
      <c r="I226" s="495"/>
      <c r="J226" s="398"/>
      <c r="K226" s="64" t="s">
        <v>33</v>
      </c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106"/>
      <c r="X226" s="135">
        <f t="shared" si="199"/>
        <v>0</v>
      </c>
      <c r="Y226" s="105"/>
      <c r="Z226" s="54"/>
    </row>
    <row r="227" spans="1:26">
      <c r="A227" s="70">
        <f t="shared" ref="A227" si="201">+A226</f>
        <v>2019050</v>
      </c>
      <c r="B227" s="74"/>
      <c r="C227" s="404"/>
      <c r="D227" s="402"/>
      <c r="E227" s="402"/>
      <c r="F227" s="402"/>
      <c r="G227" s="402"/>
      <c r="H227" s="402"/>
      <c r="I227" s="495"/>
      <c r="J227" s="398"/>
      <c r="K227" s="64" t="s">
        <v>27</v>
      </c>
      <c r="L227" s="225">
        <v>19820</v>
      </c>
      <c r="M227" s="225">
        <v>3256</v>
      </c>
      <c r="N227" s="203">
        <v>0</v>
      </c>
      <c r="O227" s="225">
        <v>0</v>
      </c>
      <c r="P227" s="225">
        <v>0</v>
      </c>
      <c r="Q227" s="225">
        <v>0</v>
      </c>
      <c r="R227" s="225">
        <v>4070</v>
      </c>
      <c r="S227" s="225">
        <v>2442</v>
      </c>
      <c r="T227" s="225">
        <v>3585</v>
      </c>
      <c r="U227" s="225">
        <v>3778</v>
      </c>
      <c r="V227" s="225">
        <v>3370</v>
      </c>
      <c r="W227" s="106">
        <v>19820</v>
      </c>
      <c r="X227" s="135">
        <f t="shared" si="199"/>
        <v>60141</v>
      </c>
      <c r="Y227" s="105"/>
      <c r="Z227" s="54"/>
    </row>
    <row r="228" spans="1:26">
      <c r="A228" s="70">
        <f t="shared" ref="A228" si="202">+A227</f>
        <v>2019050</v>
      </c>
      <c r="B228" s="74"/>
      <c r="C228" s="404"/>
      <c r="D228" s="402"/>
      <c r="E228" s="402"/>
      <c r="F228" s="402"/>
      <c r="G228" s="402"/>
      <c r="H228" s="402"/>
      <c r="I228" s="495"/>
      <c r="J228" s="398"/>
      <c r="K228" s="64" t="s">
        <v>28</v>
      </c>
      <c r="L228" s="225">
        <v>18050</v>
      </c>
      <c r="M228" s="225">
        <v>18050</v>
      </c>
      <c r="N228" s="225">
        <v>18050</v>
      </c>
      <c r="O228" s="225">
        <v>18050</v>
      </c>
      <c r="P228" s="225">
        <v>18050</v>
      </c>
      <c r="Q228" s="225">
        <v>19475</v>
      </c>
      <c r="R228" s="225">
        <v>19475</v>
      </c>
      <c r="S228" s="225">
        <v>19475</v>
      </c>
      <c r="T228" s="225">
        <v>19475</v>
      </c>
      <c r="U228" s="225">
        <v>19475</v>
      </c>
      <c r="V228" s="225">
        <v>19475</v>
      </c>
      <c r="W228" s="106">
        <v>18050</v>
      </c>
      <c r="X228" s="135">
        <f t="shared" si="199"/>
        <v>225150</v>
      </c>
      <c r="Y228" s="105"/>
      <c r="Z228" s="54"/>
    </row>
    <row r="229" spans="1:26">
      <c r="A229" s="70">
        <f t="shared" ref="A229" si="203">+A228</f>
        <v>2019050</v>
      </c>
      <c r="B229" s="74"/>
      <c r="C229" s="404"/>
      <c r="D229" s="402"/>
      <c r="E229" s="402"/>
      <c r="F229" s="402"/>
      <c r="G229" s="402"/>
      <c r="H229" s="402"/>
      <c r="I229" s="495"/>
      <c r="J229" s="398"/>
      <c r="K229" s="64" t="s">
        <v>29</v>
      </c>
      <c r="L229" s="225">
        <v>34770</v>
      </c>
      <c r="M229" s="225">
        <v>34770</v>
      </c>
      <c r="N229" s="225">
        <v>34770</v>
      </c>
      <c r="O229" s="225">
        <v>34770</v>
      </c>
      <c r="P229" s="225">
        <v>34770</v>
      </c>
      <c r="Q229" s="225">
        <v>37515</v>
      </c>
      <c r="R229" s="225">
        <v>37515</v>
      </c>
      <c r="S229" s="225">
        <v>37515</v>
      </c>
      <c r="T229" s="225">
        <v>37515</v>
      </c>
      <c r="U229" s="225">
        <v>37515</v>
      </c>
      <c r="V229" s="225">
        <v>37515</v>
      </c>
      <c r="W229" s="106">
        <v>34770</v>
      </c>
      <c r="X229" s="135">
        <f t="shared" si="199"/>
        <v>433710</v>
      </c>
      <c r="Y229" s="105"/>
      <c r="Z229" s="54"/>
    </row>
    <row r="230" spans="1:26">
      <c r="A230" s="70">
        <f t="shared" ref="A230" si="204">+A229</f>
        <v>2019050</v>
      </c>
      <c r="B230" s="74"/>
      <c r="C230" s="404"/>
      <c r="D230" s="402"/>
      <c r="E230" s="402"/>
      <c r="F230" s="402"/>
      <c r="G230" s="402"/>
      <c r="H230" s="402"/>
      <c r="I230" s="495"/>
      <c r="J230" s="398"/>
      <c r="K230" s="64" t="s">
        <v>30</v>
      </c>
      <c r="L230" s="225">
        <v>2105</v>
      </c>
      <c r="M230" s="225">
        <v>2115</v>
      </c>
      <c r="N230" s="225">
        <v>2117</v>
      </c>
      <c r="O230" s="225">
        <v>2121</v>
      </c>
      <c r="P230" s="225">
        <v>2111</v>
      </c>
      <c r="Q230" s="225">
        <v>2120</v>
      </c>
      <c r="R230" s="225">
        <v>2102</v>
      </c>
      <c r="S230" s="225">
        <v>2093</v>
      </c>
      <c r="T230" s="225">
        <v>2148</v>
      </c>
      <c r="U230" s="225">
        <v>2128</v>
      </c>
      <c r="V230" s="225">
        <v>2192</v>
      </c>
      <c r="W230" s="106">
        <v>2105</v>
      </c>
      <c r="X230" s="135">
        <f t="shared" si="199"/>
        <v>25457</v>
      </c>
      <c r="Y230" s="105"/>
      <c r="Z230" s="54"/>
    </row>
    <row r="231" spans="1:26">
      <c r="A231" s="70">
        <f t="shared" ref="A231" si="205">+A230</f>
        <v>2019050</v>
      </c>
      <c r="B231" s="74"/>
      <c r="C231" s="404"/>
      <c r="D231" s="402"/>
      <c r="E231" s="402"/>
      <c r="F231" s="402"/>
      <c r="G231" s="402"/>
      <c r="H231" s="402"/>
      <c r="I231" s="495"/>
      <c r="J231" s="398"/>
      <c r="K231" s="64" t="s">
        <v>31</v>
      </c>
      <c r="L231" s="225">
        <v>2316</v>
      </c>
      <c r="M231" s="225">
        <v>2327</v>
      </c>
      <c r="N231" s="225">
        <v>2329</v>
      </c>
      <c r="O231" s="225">
        <v>2333</v>
      </c>
      <c r="P231" s="225">
        <v>2322</v>
      </c>
      <c r="Q231" s="225">
        <v>2332</v>
      </c>
      <c r="R231" s="225">
        <v>2312</v>
      </c>
      <c r="S231" s="225">
        <v>2303</v>
      </c>
      <c r="T231" s="225">
        <v>2363</v>
      </c>
      <c r="U231" s="225">
        <v>2341</v>
      </c>
      <c r="V231" s="225">
        <v>2411</v>
      </c>
      <c r="W231" s="106">
        <v>2316</v>
      </c>
      <c r="X231" s="135">
        <f t="shared" si="199"/>
        <v>28005</v>
      </c>
      <c r="Y231" s="105"/>
      <c r="Z231" s="54"/>
    </row>
    <row r="232" spans="1:26">
      <c r="A232" s="70">
        <f t="shared" ref="A232" si="206">+A231</f>
        <v>2019050</v>
      </c>
      <c r="B232" s="74"/>
      <c r="C232" s="405"/>
      <c r="D232" s="403"/>
      <c r="E232" s="403"/>
      <c r="F232" s="403"/>
      <c r="G232" s="403"/>
      <c r="H232" s="403"/>
      <c r="I232" s="496"/>
      <c r="J232" s="399"/>
      <c r="K232" s="65" t="s">
        <v>32</v>
      </c>
      <c r="L232" s="194">
        <f t="shared" ref="L232:X232" si="207">L221-L224</f>
        <v>191689</v>
      </c>
      <c r="M232" s="267">
        <f t="shared" si="207"/>
        <v>189682</v>
      </c>
      <c r="N232" s="267">
        <f t="shared" si="207"/>
        <v>189284</v>
      </c>
      <c r="O232" s="344">
        <f t="shared" si="207"/>
        <v>188476</v>
      </c>
      <c r="P232" s="344">
        <f t="shared" si="207"/>
        <v>190497</v>
      </c>
      <c r="Q232" s="344">
        <f t="shared" si="207"/>
        <v>184608</v>
      </c>
      <c r="R232" s="344">
        <f t="shared" si="207"/>
        <v>188276</v>
      </c>
      <c r="S232" s="344">
        <f t="shared" si="207"/>
        <v>189922</v>
      </c>
      <c r="T232" s="344">
        <f t="shared" si="207"/>
        <v>178914</v>
      </c>
      <c r="U232" s="344">
        <f t="shared" si="207"/>
        <v>182913</v>
      </c>
      <c r="V232" s="344">
        <f t="shared" si="207"/>
        <v>187337</v>
      </c>
      <c r="W232" s="129">
        <f t="shared" si="207"/>
        <v>172939</v>
      </c>
      <c r="X232" s="50">
        <f t="shared" si="207"/>
        <v>2234537</v>
      </c>
      <c r="Z232" s="54"/>
    </row>
    <row r="233" spans="1:26" ht="12.75" customHeight="1">
      <c r="A233" s="185">
        <v>2024051</v>
      </c>
      <c r="B233" s="104"/>
      <c r="C233" s="433">
        <f t="shared" ref="C233" si="208">C221+1</f>
        <v>20</v>
      </c>
      <c r="D233" s="432" t="s">
        <v>37</v>
      </c>
      <c r="E233" s="432"/>
      <c r="F233" s="432"/>
      <c r="G233" s="432"/>
      <c r="H233" s="432"/>
      <c r="I233" s="499" t="s">
        <v>103</v>
      </c>
      <c r="J233" s="397"/>
      <c r="K233" s="61" t="s">
        <v>22</v>
      </c>
      <c r="L233" s="213">
        <f t="shared" ref="L233:W233" si="209">L234+L235</f>
        <v>430000</v>
      </c>
      <c r="M233" s="275">
        <f t="shared" si="209"/>
        <v>430000</v>
      </c>
      <c r="N233" s="275">
        <f t="shared" si="209"/>
        <v>430000</v>
      </c>
      <c r="O233" s="275">
        <f t="shared" si="209"/>
        <v>437397</v>
      </c>
      <c r="P233" s="275">
        <f t="shared" si="209"/>
        <v>430000</v>
      </c>
      <c r="Q233" s="353">
        <f t="shared" si="209"/>
        <v>430000</v>
      </c>
      <c r="R233" s="353">
        <f t="shared" si="209"/>
        <v>430000</v>
      </c>
      <c r="S233" s="353">
        <f t="shared" si="209"/>
        <v>430000</v>
      </c>
      <c r="T233" s="353">
        <f t="shared" si="209"/>
        <v>430000</v>
      </c>
      <c r="U233" s="353">
        <f t="shared" si="209"/>
        <v>430000</v>
      </c>
      <c r="V233" s="353">
        <f t="shared" si="209"/>
        <v>430000</v>
      </c>
      <c r="W233" s="131">
        <f t="shared" si="209"/>
        <v>430000</v>
      </c>
      <c r="X233" s="132">
        <f>SUM(L233:W233)</f>
        <v>5167397</v>
      </c>
      <c r="Z233" s="54"/>
    </row>
    <row r="234" spans="1:26">
      <c r="A234" s="70">
        <f>+A233</f>
        <v>2024051</v>
      </c>
      <c r="B234" s="74"/>
      <c r="C234" s="404"/>
      <c r="D234" s="402"/>
      <c r="E234" s="402"/>
      <c r="F234" s="402"/>
      <c r="G234" s="402"/>
      <c r="H234" s="402"/>
      <c r="I234" s="495"/>
      <c r="J234" s="398"/>
      <c r="K234" s="62" t="s">
        <v>23</v>
      </c>
      <c r="L234" s="225">
        <v>430000</v>
      </c>
      <c r="M234" s="225">
        <v>430000</v>
      </c>
      <c r="N234" s="225">
        <v>430000</v>
      </c>
      <c r="O234" s="225">
        <v>437397</v>
      </c>
      <c r="P234" s="225">
        <v>430000</v>
      </c>
      <c r="Q234" s="225">
        <v>430000</v>
      </c>
      <c r="R234" s="225">
        <v>430000</v>
      </c>
      <c r="S234" s="225">
        <v>430000</v>
      </c>
      <c r="T234" s="225">
        <v>430000</v>
      </c>
      <c r="U234" s="225">
        <v>430000</v>
      </c>
      <c r="V234" s="225">
        <v>430000</v>
      </c>
      <c r="W234" s="106">
        <v>430000</v>
      </c>
      <c r="X234" s="135">
        <f>SUM(L234:W234)</f>
        <v>5167397</v>
      </c>
      <c r="Y234" s="105"/>
      <c r="Z234" s="54"/>
    </row>
    <row r="235" spans="1:26">
      <c r="A235" s="70">
        <f t="shared" ref="A235" si="210">+A234</f>
        <v>2024051</v>
      </c>
      <c r="B235" s="74"/>
      <c r="C235" s="404"/>
      <c r="D235" s="402"/>
      <c r="E235" s="402"/>
      <c r="F235" s="402"/>
      <c r="G235" s="402"/>
      <c r="H235" s="402"/>
      <c r="I235" s="495"/>
      <c r="J235" s="398"/>
      <c r="K235" s="62" t="s">
        <v>24</v>
      </c>
      <c r="L235" s="226"/>
      <c r="M235" s="210"/>
      <c r="N235" s="210"/>
      <c r="O235" s="347"/>
      <c r="P235" s="347"/>
      <c r="Q235" s="347"/>
      <c r="R235" s="347"/>
      <c r="S235" s="347"/>
      <c r="T235" s="347"/>
      <c r="U235" s="347"/>
      <c r="V235" s="347"/>
      <c r="W235" s="25"/>
      <c r="X235" s="135">
        <v>0</v>
      </c>
      <c r="Z235" s="54"/>
    </row>
    <row r="236" spans="1:26">
      <c r="A236" s="70">
        <f t="shared" ref="A236" si="211">+A235</f>
        <v>2024051</v>
      </c>
      <c r="B236" s="74"/>
      <c r="C236" s="404"/>
      <c r="D236" s="402"/>
      <c r="E236" s="402"/>
      <c r="F236" s="402"/>
      <c r="G236" s="402"/>
      <c r="H236" s="402"/>
      <c r="I236" s="495"/>
      <c r="J236" s="398"/>
      <c r="K236" s="63" t="s">
        <v>25</v>
      </c>
      <c r="L236" s="227">
        <f t="shared" ref="L236:W236" si="212">SUM(L237:L243)</f>
        <v>309642</v>
      </c>
      <c r="M236" s="227">
        <f t="shared" si="212"/>
        <v>308167</v>
      </c>
      <c r="N236" s="227">
        <f t="shared" si="212"/>
        <v>320414</v>
      </c>
      <c r="O236" s="348">
        <f t="shared" si="212"/>
        <v>361133</v>
      </c>
      <c r="P236" s="348">
        <f t="shared" si="212"/>
        <v>339655</v>
      </c>
      <c r="Q236" s="348">
        <f t="shared" si="212"/>
        <v>343235</v>
      </c>
      <c r="R236" s="348">
        <f t="shared" si="212"/>
        <v>333581</v>
      </c>
      <c r="S236" s="348">
        <f t="shared" si="212"/>
        <v>330450</v>
      </c>
      <c r="T236" s="348">
        <f t="shared" si="212"/>
        <v>332687</v>
      </c>
      <c r="U236" s="348">
        <f t="shared" si="212"/>
        <v>346855</v>
      </c>
      <c r="V236" s="348">
        <f t="shared" si="212"/>
        <v>318739</v>
      </c>
      <c r="W236" s="95">
        <f t="shared" si="212"/>
        <v>309642</v>
      </c>
      <c r="X236" s="136">
        <f>SUM(L236:W236)</f>
        <v>3954200</v>
      </c>
      <c r="Z236" s="54"/>
    </row>
    <row r="237" spans="1:26">
      <c r="A237" s="70">
        <f t="shared" ref="A237" si="213">+A236</f>
        <v>2024051</v>
      </c>
      <c r="B237" s="74"/>
      <c r="C237" s="404"/>
      <c r="D237" s="402"/>
      <c r="E237" s="402"/>
      <c r="F237" s="402"/>
      <c r="G237" s="402"/>
      <c r="H237" s="402"/>
      <c r="I237" s="495"/>
      <c r="J237" s="398"/>
      <c r="K237" s="64" t="s">
        <v>26</v>
      </c>
      <c r="L237" s="225">
        <v>240000</v>
      </c>
      <c r="M237" s="225">
        <v>240000</v>
      </c>
      <c r="N237" s="225">
        <v>255000</v>
      </c>
      <c r="O237" s="225">
        <v>295296</v>
      </c>
      <c r="P237" s="225">
        <v>274041</v>
      </c>
      <c r="Q237" s="225">
        <v>277584</v>
      </c>
      <c r="R237" s="225">
        <v>262528</v>
      </c>
      <c r="S237" s="225">
        <v>259429</v>
      </c>
      <c r="T237" s="225">
        <v>261643</v>
      </c>
      <c r="U237" s="225">
        <v>278912</v>
      </c>
      <c r="V237" s="225">
        <v>255000</v>
      </c>
      <c r="W237" s="106">
        <v>240000</v>
      </c>
      <c r="X237" s="135">
        <f t="shared" ref="X237:X243" si="214">SUM(L237:W237)</f>
        <v>3139433</v>
      </c>
      <c r="Y237" s="105"/>
      <c r="Z237" s="54"/>
    </row>
    <row r="238" spans="1:26">
      <c r="A238" s="70">
        <f t="shared" ref="A238" si="215">+A237</f>
        <v>2024051</v>
      </c>
      <c r="B238" s="74"/>
      <c r="C238" s="404"/>
      <c r="D238" s="402"/>
      <c r="E238" s="402"/>
      <c r="F238" s="402"/>
      <c r="G238" s="402"/>
      <c r="H238" s="402"/>
      <c r="I238" s="495"/>
      <c r="J238" s="398"/>
      <c r="K238" s="64" t="s">
        <v>33</v>
      </c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106"/>
      <c r="X238" s="135">
        <f t="shared" si="214"/>
        <v>0</v>
      </c>
      <c r="Y238" s="105"/>
      <c r="Z238" s="54"/>
    </row>
    <row r="239" spans="1:26">
      <c r="A239" s="70">
        <f t="shared" ref="A239" si="216">+A238</f>
        <v>2024051</v>
      </c>
      <c r="B239" s="74"/>
      <c r="C239" s="404"/>
      <c r="D239" s="402"/>
      <c r="E239" s="402"/>
      <c r="F239" s="402"/>
      <c r="G239" s="402"/>
      <c r="H239" s="402"/>
      <c r="I239" s="495"/>
      <c r="J239" s="398"/>
      <c r="K239" s="64" t="s">
        <v>27</v>
      </c>
      <c r="L239" s="225">
        <v>30660</v>
      </c>
      <c r="M239" s="225">
        <v>29200</v>
      </c>
      <c r="N239" s="225">
        <v>26320</v>
      </c>
      <c r="O239" s="225">
        <v>26320</v>
      </c>
      <c r="P239" s="225">
        <v>26320</v>
      </c>
      <c r="Q239" s="225">
        <v>26320</v>
      </c>
      <c r="R239" s="225">
        <v>26320</v>
      </c>
      <c r="S239" s="225">
        <v>26320</v>
      </c>
      <c r="T239" s="225">
        <v>26320</v>
      </c>
      <c r="U239" s="225">
        <v>23072</v>
      </c>
      <c r="V239" s="225">
        <v>18980</v>
      </c>
      <c r="W239" s="106">
        <v>30660</v>
      </c>
      <c r="X239" s="135">
        <f t="shared" si="214"/>
        <v>316812</v>
      </c>
      <c r="Y239" s="105"/>
      <c r="Z239" s="54"/>
    </row>
    <row r="240" spans="1:26">
      <c r="A240" s="70">
        <f t="shared" ref="A240" si="217">+A239</f>
        <v>2024051</v>
      </c>
      <c r="B240" s="74"/>
      <c r="C240" s="404"/>
      <c r="D240" s="402"/>
      <c r="E240" s="402"/>
      <c r="F240" s="402"/>
      <c r="G240" s="402"/>
      <c r="H240" s="402"/>
      <c r="I240" s="495"/>
      <c r="J240" s="398"/>
      <c r="K240" s="64" t="s">
        <v>28</v>
      </c>
      <c r="L240" s="225">
        <v>12350</v>
      </c>
      <c r="M240" s="225">
        <v>12350</v>
      </c>
      <c r="N240" s="225">
        <v>12350</v>
      </c>
      <c r="O240" s="225">
        <v>12350</v>
      </c>
      <c r="P240" s="225">
        <v>12350</v>
      </c>
      <c r="Q240" s="225">
        <v>12350</v>
      </c>
      <c r="R240" s="225">
        <v>14250</v>
      </c>
      <c r="S240" s="225">
        <v>14250</v>
      </c>
      <c r="T240" s="225">
        <v>14250</v>
      </c>
      <c r="U240" s="225">
        <v>14250</v>
      </c>
      <c r="V240" s="225">
        <v>14250</v>
      </c>
      <c r="W240" s="106">
        <v>12350</v>
      </c>
      <c r="X240" s="135">
        <f t="shared" si="214"/>
        <v>157700</v>
      </c>
      <c r="Y240" s="105"/>
      <c r="Z240" s="54"/>
    </row>
    <row r="241" spans="1:26">
      <c r="A241" s="70">
        <f t="shared" ref="A241" si="218">+A240</f>
        <v>2024051</v>
      </c>
      <c r="B241" s="74"/>
      <c r="C241" s="404"/>
      <c r="D241" s="402"/>
      <c r="E241" s="402"/>
      <c r="F241" s="402"/>
      <c r="G241" s="402"/>
      <c r="H241" s="402"/>
      <c r="I241" s="495"/>
      <c r="J241" s="398"/>
      <c r="K241" s="64" t="s">
        <v>29</v>
      </c>
      <c r="L241" s="225">
        <v>23790</v>
      </c>
      <c r="M241" s="225">
        <v>23790</v>
      </c>
      <c r="N241" s="225">
        <v>23790</v>
      </c>
      <c r="O241" s="225">
        <v>23790</v>
      </c>
      <c r="P241" s="225">
        <v>23790</v>
      </c>
      <c r="Q241" s="225">
        <v>23790</v>
      </c>
      <c r="R241" s="225">
        <v>27450</v>
      </c>
      <c r="S241" s="225">
        <v>27450</v>
      </c>
      <c r="T241" s="225">
        <v>27450</v>
      </c>
      <c r="U241" s="225">
        <v>27450</v>
      </c>
      <c r="V241" s="225">
        <v>27450</v>
      </c>
      <c r="W241" s="106">
        <v>23790</v>
      </c>
      <c r="X241" s="135">
        <f t="shared" si="214"/>
        <v>303780</v>
      </c>
      <c r="Y241" s="105"/>
      <c r="Z241" s="54"/>
    </row>
    <row r="242" spans="1:26">
      <c r="A242" s="70">
        <f t="shared" ref="A242" si="219">+A241</f>
        <v>2024051</v>
      </c>
      <c r="B242" s="74"/>
      <c r="C242" s="404"/>
      <c r="D242" s="402"/>
      <c r="E242" s="402"/>
      <c r="F242" s="402"/>
      <c r="G242" s="402"/>
      <c r="H242" s="402"/>
      <c r="I242" s="495"/>
      <c r="J242" s="398"/>
      <c r="K242" s="64" t="s">
        <v>30</v>
      </c>
      <c r="L242" s="225">
        <v>1353</v>
      </c>
      <c r="M242" s="225">
        <v>1346</v>
      </c>
      <c r="N242" s="225">
        <v>1407</v>
      </c>
      <c r="O242" s="225">
        <v>1608</v>
      </c>
      <c r="P242" s="225">
        <v>1502</v>
      </c>
      <c r="Q242" s="225">
        <v>1520</v>
      </c>
      <c r="R242" s="225">
        <v>1444</v>
      </c>
      <c r="S242" s="225">
        <v>1429</v>
      </c>
      <c r="T242" s="225">
        <v>1440</v>
      </c>
      <c r="U242" s="225">
        <v>1510</v>
      </c>
      <c r="V242" s="225">
        <v>1457</v>
      </c>
      <c r="W242" s="106">
        <v>1353</v>
      </c>
      <c r="X242" s="135">
        <f t="shared" si="214"/>
        <v>17369</v>
      </c>
      <c r="Y242" s="105"/>
      <c r="Z242" s="54"/>
    </row>
    <row r="243" spans="1:26">
      <c r="A243" s="70">
        <f t="shared" ref="A243" si="220">+A242</f>
        <v>2024051</v>
      </c>
      <c r="B243" s="74"/>
      <c r="C243" s="404"/>
      <c r="D243" s="402"/>
      <c r="E243" s="402"/>
      <c r="F243" s="402"/>
      <c r="G243" s="402"/>
      <c r="H243" s="402"/>
      <c r="I243" s="495"/>
      <c r="J243" s="398"/>
      <c r="K243" s="64" t="s">
        <v>31</v>
      </c>
      <c r="L243" s="225">
        <v>1489</v>
      </c>
      <c r="M243" s="225">
        <v>1481</v>
      </c>
      <c r="N243" s="225">
        <v>1547</v>
      </c>
      <c r="O243" s="225">
        <v>1769</v>
      </c>
      <c r="P243" s="225">
        <v>1652</v>
      </c>
      <c r="Q243" s="225">
        <v>1671</v>
      </c>
      <c r="R243" s="225">
        <v>1589</v>
      </c>
      <c r="S243" s="225">
        <v>1572</v>
      </c>
      <c r="T243" s="225">
        <v>1584</v>
      </c>
      <c r="U243" s="225">
        <v>1661</v>
      </c>
      <c r="V243" s="225">
        <v>1602</v>
      </c>
      <c r="W243" s="106">
        <v>1489</v>
      </c>
      <c r="X243" s="135">
        <f t="shared" si="214"/>
        <v>19106</v>
      </c>
      <c r="Y243" s="105"/>
      <c r="Z243" s="54"/>
    </row>
    <row r="244" spans="1:26">
      <c r="A244" s="70">
        <f t="shared" ref="A244" si="221">+A243</f>
        <v>2024051</v>
      </c>
      <c r="B244" s="74"/>
      <c r="C244" s="405"/>
      <c r="D244" s="403"/>
      <c r="E244" s="403"/>
      <c r="F244" s="403"/>
      <c r="G244" s="403"/>
      <c r="H244" s="403"/>
      <c r="I244" s="496"/>
      <c r="J244" s="399"/>
      <c r="K244" s="65" t="s">
        <v>32</v>
      </c>
      <c r="L244" s="194">
        <f t="shared" ref="L244:X244" si="222">L233-L236</f>
        <v>120358</v>
      </c>
      <c r="M244" s="267">
        <f t="shared" si="222"/>
        <v>121833</v>
      </c>
      <c r="N244" s="267">
        <f t="shared" si="222"/>
        <v>109586</v>
      </c>
      <c r="O244" s="344">
        <f t="shared" si="222"/>
        <v>76264</v>
      </c>
      <c r="P244" s="344">
        <f t="shared" si="222"/>
        <v>90345</v>
      </c>
      <c r="Q244" s="344">
        <f t="shared" si="222"/>
        <v>86765</v>
      </c>
      <c r="R244" s="344">
        <f t="shared" si="222"/>
        <v>96419</v>
      </c>
      <c r="S244" s="344">
        <f t="shared" si="222"/>
        <v>99550</v>
      </c>
      <c r="T244" s="344">
        <f t="shared" si="222"/>
        <v>97313</v>
      </c>
      <c r="U244" s="344">
        <f t="shared" si="222"/>
        <v>83145</v>
      </c>
      <c r="V244" s="344">
        <f t="shared" si="222"/>
        <v>111261</v>
      </c>
      <c r="W244" s="129">
        <f t="shared" si="222"/>
        <v>120358</v>
      </c>
      <c r="X244" s="50">
        <f t="shared" si="222"/>
        <v>1213197</v>
      </c>
      <c r="Z244" s="54"/>
    </row>
    <row r="245" spans="1:26" ht="12.75" customHeight="1">
      <c r="A245" s="185">
        <v>2025019</v>
      </c>
      <c r="B245" s="104"/>
      <c r="C245" s="433">
        <f t="shared" ref="C245" si="223">C233+1</f>
        <v>21</v>
      </c>
      <c r="D245" s="432" t="s">
        <v>37</v>
      </c>
      <c r="E245" s="432"/>
      <c r="F245" s="432"/>
      <c r="G245" s="432"/>
      <c r="H245" s="432"/>
      <c r="I245" s="434" t="s">
        <v>103</v>
      </c>
      <c r="J245" s="397"/>
      <c r="K245" s="61" t="s">
        <v>22</v>
      </c>
      <c r="L245" s="213">
        <f t="shared" ref="L245:W245" si="224">L246+L247</f>
        <v>0</v>
      </c>
      <c r="M245" s="275">
        <f t="shared" si="224"/>
        <v>0</v>
      </c>
      <c r="N245" s="275">
        <f t="shared" si="224"/>
        <v>0</v>
      </c>
      <c r="O245" s="275">
        <f t="shared" si="224"/>
        <v>0</v>
      </c>
      <c r="P245" s="275">
        <f t="shared" si="224"/>
        <v>0</v>
      </c>
      <c r="Q245" s="353">
        <f t="shared" si="224"/>
        <v>0</v>
      </c>
      <c r="R245" s="353">
        <f t="shared" si="224"/>
        <v>0</v>
      </c>
      <c r="S245" s="353">
        <f t="shared" si="224"/>
        <v>0</v>
      </c>
      <c r="T245" s="353">
        <f t="shared" si="224"/>
        <v>0</v>
      </c>
      <c r="U245" s="353">
        <f t="shared" si="224"/>
        <v>230000</v>
      </c>
      <c r="V245" s="353">
        <f t="shared" si="224"/>
        <v>460000</v>
      </c>
      <c r="W245" s="131">
        <f t="shared" si="224"/>
        <v>460000</v>
      </c>
      <c r="X245" s="132">
        <f>SUM(L245:W245)</f>
        <v>1150000</v>
      </c>
      <c r="Z245" s="54"/>
    </row>
    <row r="246" spans="1:26">
      <c r="A246" s="70">
        <f>+A245</f>
        <v>2025019</v>
      </c>
      <c r="B246" s="74"/>
      <c r="C246" s="404"/>
      <c r="D246" s="402"/>
      <c r="E246" s="402"/>
      <c r="F246" s="402"/>
      <c r="G246" s="402"/>
      <c r="H246" s="402"/>
      <c r="I246" s="406"/>
      <c r="J246" s="398"/>
      <c r="K246" s="62" t="s">
        <v>23</v>
      </c>
      <c r="L246" s="225"/>
      <c r="M246" s="225"/>
      <c r="N246" s="225"/>
      <c r="O246" s="225"/>
      <c r="P246" s="225"/>
      <c r="Q246" s="225"/>
      <c r="R246" s="225"/>
      <c r="S246" s="225"/>
      <c r="T246" s="225"/>
      <c r="U246" s="225">
        <v>230000</v>
      </c>
      <c r="V246" s="225">
        <v>460000</v>
      </c>
      <c r="W246" s="106">
        <v>460000</v>
      </c>
      <c r="X246" s="135">
        <f>SUM(L246:W246)</f>
        <v>1150000</v>
      </c>
      <c r="Y246" s="105"/>
      <c r="Z246" s="54"/>
    </row>
    <row r="247" spans="1:26">
      <c r="A247" s="70">
        <f t="shared" ref="A247" si="225">+A246</f>
        <v>2025019</v>
      </c>
      <c r="B247" s="74"/>
      <c r="C247" s="404"/>
      <c r="D247" s="402"/>
      <c r="E247" s="402"/>
      <c r="F247" s="402"/>
      <c r="G247" s="402"/>
      <c r="H247" s="402"/>
      <c r="I247" s="406"/>
      <c r="J247" s="398"/>
      <c r="K247" s="62" t="s">
        <v>24</v>
      </c>
      <c r="L247" s="226"/>
      <c r="M247" s="210"/>
      <c r="N247" s="210"/>
      <c r="O247" s="347"/>
      <c r="P247" s="347"/>
      <c r="Q247" s="347"/>
      <c r="R247" s="347"/>
      <c r="S247" s="347"/>
      <c r="T247" s="347"/>
      <c r="U247" s="347"/>
      <c r="V247" s="347"/>
      <c r="W247" s="25"/>
      <c r="X247" s="135">
        <v>0</v>
      </c>
      <c r="Z247" s="54"/>
    </row>
    <row r="248" spans="1:26">
      <c r="A248" s="70">
        <f t="shared" ref="A248" si="226">+A247</f>
        <v>2025019</v>
      </c>
      <c r="B248" s="74"/>
      <c r="C248" s="404"/>
      <c r="D248" s="402"/>
      <c r="E248" s="402"/>
      <c r="F248" s="402"/>
      <c r="G248" s="402"/>
      <c r="H248" s="402"/>
      <c r="I248" s="406"/>
      <c r="J248" s="398"/>
      <c r="K248" s="63" t="s">
        <v>25</v>
      </c>
      <c r="L248" s="227">
        <f t="shared" ref="L248:W248" si="227">SUM(L249:L255)</f>
        <v>0</v>
      </c>
      <c r="M248" s="227">
        <f t="shared" si="227"/>
        <v>0</v>
      </c>
      <c r="N248" s="227">
        <f t="shared" si="227"/>
        <v>0</v>
      </c>
      <c r="O248" s="348">
        <f t="shared" si="227"/>
        <v>0</v>
      </c>
      <c r="P248" s="348">
        <f t="shared" si="227"/>
        <v>0</v>
      </c>
      <c r="Q248" s="348">
        <f t="shared" si="227"/>
        <v>0</v>
      </c>
      <c r="R248" s="348">
        <f t="shared" si="227"/>
        <v>0</v>
      </c>
      <c r="S248" s="348">
        <f t="shared" si="227"/>
        <v>0</v>
      </c>
      <c r="T248" s="348">
        <f t="shared" si="227"/>
        <v>0</v>
      </c>
      <c r="U248" s="348">
        <f t="shared" si="227"/>
        <v>152272.5</v>
      </c>
      <c r="V248" s="348">
        <f t="shared" si="227"/>
        <v>304727</v>
      </c>
      <c r="W248" s="95">
        <f t="shared" si="227"/>
        <v>314642</v>
      </c>
      <c r="X248" s="136">
        <f>SUM(L248:W248)</f>
        <v>771641.5</v>
      </c>
      <c r="Z248" s="54"/>
    </row>
    <row r="249" spans="1:26">
      <c r="A249" s="70">
        <f t="shared" ref="A249" si="228">+A248</f>
        <v>2025019</v>
      </c>
      <c r="B249" s="74"/>
      <c r="C249" s="404"/>
      <c r="D249" s="402"/>
      <c r="E249" s="402"/>
      <c r="F249" s="402"/>
      <c r="G249" s="402"/>
      <c r="H249" s="402"/>
      <c r="I249" s="406"/>
      <c r="J249" s="398"/>
      <c r="K249" s="64" t="s">
        <v>26</v>
      </c>
      <c r="L249" s="225"/>
      <c r="M249" s="225"/>
      <c r="N249" s="225"/>
      <c r="O249" s="225"/>
      <c r="P249" s="225"/>
      <c r="Q249" s="225"/>
      <c r="R249" s="225"/>
      <c r="S249" s="225"/>
      <c r="T249" s="225"/>
      <c r="U249" s="225">
        <f>245000/2</f>
        <v>122500</v>
      </c>
      <c r="V249" s="225">
        <v>245000</v>
      </c>
      <c r="W249" s="106">
        <v>245000</v>
      </c>
      <c r="X249" s="135">
        <f t="shared" ref="X249:X255" si="229">SUM(L249:W249)</f>
        <v>612500</v>
      </c>
      <c r="Y249" s="105"/>
      <c r="Z249" s="54"/>
    </row>
    <row r="250" spans="1:26">
      <c r="A250" s="70">
        <f t="shared" ref="A250" si="230">+A249</f>
        <v>2025019</v>
      </c>
      <c r="B250" s="74"/>
      <c r="C250" s="404"/>
      <c r="D250" s="402"/>
      <c r="E250" s="402"/>
      <c r="F250" s="402"/>
      <c r="G250" s="402"/>
      <c r="H250" s="402"/>
      <c r="I250" s="406"/>
      <c r="J250" s="398"/>
      <c r="K250" s="64" t="s">
        <v>33</v>
      </c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106"/>
      <c r="X250" s="135">
        <f t="shared" si="229"/>
        <v>0</v>
      </c>
      <c r="Y250" s="105"/>
      <c r="Z250" s="54"/>
    </row>
    <row r="251" spans="1:26">
      <c r="A251" s="70">
        <f t="shared" ref="A251" si="231">+A250</f>
        <v>2025019</v>
      </c>
      <c r="B251" s="74"/>
      <c r="C251" s="404"/>
      <c r="D251" s="402"/>
      <c r="E251" s="402"/>
      <c r="F251" s="402"/>
      <c r="G251" s="402"/>
      <c r="H251" s="402"/>
      <c r="I251" s="406"/>
      <c r="J251" s="398"/>
      <c r="K251" s="64" t="s">
        <v>27</v>
      </c>
      <c r="L251" s="225"/>
      <c r="M251" s="225"/>
      <c r="N251" s="225"/>
      <c r="O251" s="225"/>
      <c r="P251" s="225"/>
      <c r="Q251" s="225"/>
      <c r="R251" s="225"/>
      <c r="S251" s="225"/>
      <c r="T251" s="225"/>
      <c r="U251" s="225">
        <f>20616/2</f>
        <v>10308</v>
      </c>
      <c r="V251" s="225">
        <v>20616</v>
      </c>
      <c r="W251" s="106">
        <v>30660</v>
      </c>
      <c r="X251" s="135">
        <f t="shared" si="229"/>
        <v>61584</v>
      </c>
      <c r="Y251" s="105"/>
      <c r="Z251" s="54"/>
    </row>
    <row r="252" spans="1:26">
      <c r="A252" s="70">
        <f t="shared" ref="A252" si="232">+A251</f>
        <v>2025019</v>
      </c>
      <c r="B252" s="74"/>
      <c r="C252" s="404"/>
      <c r="D252" s="402"/>
      <c r="E252" s="402"/>
      <c r="F252" s="402"/>
      <c r="G252" s="402"/>
      <c r="H252" s="402"/>
      <c r="I252" s="406"/>
      <c r="J252" s="398"/>
      <c r="K252" s="64" t="s">
        <v>28</v>
      </c>
      <c r="L252" s="225"/>
      <c r="M252" s="225"/>
      <c r="N252" s="225"/>
      <c r="O252" s="225"/>
      <c r="P252" s="225"/>
      <c r="Q252" s="225"/>
      <c r="R252" s="225"/>
      <c r="S252" s="225"/>
      <c r="T252" s="225"/>
      <c r="U252" s="225">
        <f>12350/2</f>
        <v>6175</v>
      </c>
      <c r="V252" s="225">
        <v>12350</v>
      </c>
      <c r="W252" s="106">
        <v>12350</v>
      </c>
      <c r="X252" s="135">
        <f t="shared" si="229"/>
        <v>30875</v>
      </c>
      <c r="Y252" s="105"/>
      <c r="Z252" s="54"/>
    </row>
    <row r="253" spans="1:26">
      <c r="A253" s="70">
        <f t="shared" ref="A253" si="233">+A252</f>
        <v>2025019</v>
      </c>
      <c r="B253" s="74"/>
      <c r="C253" s="404"/>
      <c r="D253" s="402"/>
      <c r="E253" s="402"/>
      <c r="F253" s="402"/>
      <c r="G253" s="402"/>
      <c r="H253" s="402"/>
      <c r="I253" s="406"/>
      <c r="J253" s="398"/>
      <c r="K253" s="64" t="s">
        <v>29</v>
      </c>
      <c r="L253" s="225"/>
      <c r="M253" s="225"/>
      <c r="N253" s="225"/>
      <c r="O253" s="225"/>
      <c r="P253" s="225"/>
      <c r="Q253" s="225"/>
      <c r="R253" s="225"/>
      <c r="S253" s="225"/>
      <c r="T253" s="225"/>
      <c r="U253" s="225">
        <f>23790/2</f>
        <v>11895</v>
      </c>
      <c r="V253" s="225">
        <v>23790</v>
      </c>
      <c r="W253" s="106">
        <v>23790</v>
      </c>
      <c r="X253" s="135">
        <f t="shared" si="229"/>
        <v>59475</v>
      </c>
      <c r="Y253" s="105"/>
      <c r="Z253" s="54"/>
    </row>
    <row r="254" spans="1:26">
      <c r="A254" s="70">
        <f t="shared" ref="A254" si="234">+A253</f>
        <v>2025019</v>
      </c>
      <c r="B254" s="74"/>
      <c r="C254" s="404"/>
      <c r="D254" s="402"/>
      <c r="E254" s="402"/>
      <c r="F254" s="402"/>
      <c r="G254" s="402"/>
      <c r="H254" s="402"/>
      <c r="I254" s="406"/>
      <c r="J254" s="398"/>
      <c r="K254" s="64" t="s">
        <v>30</v>
      </c>
      <c r="L254" s="225"/>
      <c r="M254" s="225"/>
      <c r="N254" s="225"/>
      <c r="O254" s="225"/>
      <c r="P254" s="225"/>
      <c r="Q254" s="225"/>
      <c r="R254" s="225"/>
      <c r="S254" s="225"/>
      <c r="T254" s="225"/>
      <c r="U254" s="225">
        <f>1328/2</f>
        <v>664</v>
      </c>
      <c r="V254" s="225">
        <v>1415</v>
      </c>
      <c r="W254" s="106">
        <v>1353</v>
      </c>
      <c r="X254" s="135">
        <f t="shared" si="229"/>
        <v>3432</v>
      </c>
      <c r="Y254" s="105"/>
      <c r="Z254" s="54"/>
    </row>
    <row r="255" spans="1:26">
      <c r="A255" s="70">
        <f t="shared" ref="A255" si="235">+A254</f>
        <v>2025019</v>
      </c>
      <c r="B255" s="74"/>
      <c r="C255" s="404"/>
      <c r="D255" s="402"/>
      <c r="E255" s="402"/>
      <c r="F255" s="402"/>
      <c r="G255" s="402"/>
      <c r="H255" s="402"/>
      <c r="I255" s="406"/>
      <c r="J255" s="398"/>
      <c r="K255" s="64" t="s">
        <v>31</v>
      </c>
      <c r="L255" s="225"/>
      <c r="M255" s="225"/>
      <c r="N255" s="225"/>
      <c r="O255" s="225"/>
      <c r="P255" s="225"/>
      <c r="Q255" s="225"/>
      <c r="R255" s="225"/>
      <c r="S255" s="225"/>
      <c r="T255" s="225"/>
      <c r="U255" s="225">
        <f>1461/2</f>
        <v>730.5</v>
      </c>
      <c r="V255" s="225">
        <v>1556</v>
      </c>
      <c r="W255" s="106">
        <v>1489</v>
      </c>
      <c r="X255" s="135">
        <f t="shared" si="229"/>
        <v>3775.5</v>
      </c>
      <c r="Y255" s="105"/>
      <c r="Z255" s="54"/>
    </row>
    <row r="256" spans="1:26">
      <c r="A256" s="70">
        <f t="shared" ref="A256" si="236">+A255</f>
        <v>2025019</v>
      </c>
      <c r="B256" s="74"/>
      <c r="C256" s="405"/>
      <c r="D256" s="403"/>
      <c r="E256" s="403"/>
      <c r="F256" s="403"/>
      <c r="G256" s="403"/>
      <c r="H256" s="403"/>
      <c r="I256" s="407"/>
      <c r="J256" s="399"/>
      <c r="K256" s="65" t="s">
        <v>32</v>
      </c>
      <c r="L256" s="194">
        <f t="shared" ref="L256:X256" si="237">L245-L248</f>
        <v>0</v>
      </c>
      <c r="M256" s="267">
        <f t="shared" si="237"/>
        <v>0</v>
      </c>
      <c r="N256" s="267">
        <f t="shared" si="237"/>
        <v>0</v>
      </c>
      <c r="O256" s="344">
        <f t="shared" si="237"/>
        <v>0</v>
      </c>
      <c r="P256" s="344">
        <f t="shared" si="237"/>
        <v>0</v>
      </c>
      <c r="Q256" s="344">
        <f t="shared" si="237"/>
        <v>0</v>
      </c>
      <c r="R256" s="344">
        <f t="shared" si="237"/>
        <v>0</v>
      </c>
      <c r="S256" s="344">
        <f t="shared" si="237"/>
        <v>0</v>
      </c>
      <c r="T256" s="344">
        <f t="shared" si="237"/>
        <v>0</v>
      </c>
      <c r="U256" s="344">
        <f t="shared" si="237"/>
        <v>77727.5</v>
      </c>
      <c r="V256" s="344">
        <f t="shared" si="237"/>
        <v>155273</v>
      </c>
      <c r="W256" s="129">
        <f t="shared" si="237"/>
        <v>145358</v>
      </c>
      <c r="X256" s="50">
        <f t="shared" si="237"/>
        <v>378358.5</v>
      </c>
      <c r="Z256" s="54"/>
    </row>
    <row r="257" spans="1:26" ht="12.75" customHeight="1">
      <c r="A257" s="101">
        <v>2024050</v>
      </c>
      <c r="C257" s="433">
        <f t="shared" ref="C257" si="238">C245+1</f>
        <v>22</v>
      </c>
      <c r="D257" s="402" t="s">
        <v>34</v>
      </c>
      <c r="E257" s="402"/>
      <c r="F257" s="406"/>
      <c r="G257" s="402"/>
      <c r="H257" s="402"/>
      <c r="I257" s="493" t="s">
        <v>103</v>
      </c>
      <c r="J257" s="397" t="s">
        <v>56</v>
      </c>
      <c r="K257" s="66" t="s">
        <v>22</v>
      </c>
      <c r="L257" s="191">
        <f t="shared" ref="L257:O257" si="239">L258+L259</f>
        <v>430000</v>
      </c>
      <c r="M257" s="266">
        <f t="shared" si="239"/>
        <v>430000</v>
      </c>
      <c r="N257" s="266">
        <f t="shared" si="239"/>
        <v>430000</v>
      </c>
      <c r="O257" s="351">
        <f t="shared" si="239"/>
        <v>430000</v>
      </c>
      <c r="P257" s="351">
        <f>P258+P259</f>
        <v>430000</v>
      </c>
      <c r="Q257" s="351">
        <f t="shared" ref="Q257:W257" si="240">Q258+Q259</f>
        <v>430000</v>
      </c>
      <c r="R257" s="351">
        <f t="shared" si="240"/>
        <v>430000</v>
      </c>
      <c r="S257" s="351">
        <f t="shared" si="240"/>
        <v>430000</v>
      </c>
      <c r="T257" s="351">
        <f t="shared" si="240"/>
        <v>430000</v>
      </c>
      <c r="U257" s="351">
        <f t="shared" si="240"/>
        <v>430000</v>
      </c>
      <c r="V257" s="351">
        <f t="shared" si="240"/>
        <v>375527</v>
      </c>
      <c r="W257" s="137">
        <f t="shared" si="240"/>
        <v>430000</v>
      </c>
      <c r="X257" s="49">
        <f>SUM(L257:W257)</f>
        <v>5105527</v>
      </c>
      <c r="Z257" s="54"/>
    </row>
    <row r="258" spans="1:26">
      <c r="A258" s="70">
        <f>+A257</f>
        <v>2024050</v>
      </c>
      <c r="B258" s="74"/>
      <c r="C258" s="404"/>
      <c r="D258" s="402"/>
      <c r="E258" s="402"/>
      <c r="F258" s="406"/>
      <c r="G258" s="402"/>
      <c r="H258" s="402"/>
      <c r="I258" s="493"/>
      <c r="J258" s="398"/>
      <c r="K258" s="159" t="s">
        <v>23</v>
      </c>
      <c r="L258" s="225">
        <v>430000</v>
      </c>
      <c r="M258" s="225">
        <v>430000</v>
      </c>
      <c r="N258" s="225">
        <v>430000</v>
      </c>
      <c r="O258" s="225">
        <v>430000</v>
      </c>
      <c r="P258" s="225">
        <v>430000</v>
      </c>
      <c r="Q258" s="225">
        <v>430000</v>
      </c>
      <c r="R258" s="225">
        <v>430000</v>
      </c>
      <c r="S258" s="225">
        <v>430000</v>
      </c>
      <c r="T258" s="225">
        <v>430000</v>
      </c>
      <c r="U258" s="225">
        <v>430000</v>
      </c>
      <c r="V258" s="225">
        <v>375527</v>
      </c>
      <c r="W258" s="106">
        <v>430000</v>
      </c>
      <c r="X258" s="135">
        <f>SUM(L258:W258)</f>
        <v>5105527</v>
      </c>
      <c r="Y258" s="105"/>
      <c r="Z258" s="54"/>
    </row>
    <row r="259" spans="1:26">
      <c r="A259" s="70">
        <f t="shared" ref="A259" si="241">+A258</f>
        <v>2024050</v>
      </c>
      <c r="B259" s="74"/>
      <c r="C259" s="404"/>
      <c r="D259" s="402"/>
      <c r="E259" s="402"/>
      <c r="F259" s="406"/>
      <c r="G259" s="402"/>
      <c r="H259" s="402"/>
      <c r="I259" s="493"/>
      <c r="J259" s="398"/>
      <c r="K259" s="159" t="s">
        <v>24</v>
      </c>
      <c r="L259" s="226"/>
      <c r="M259" s="210"/>
      <c r="N259" s="210"/>
      <c r="O259" s="347"/>
      <c r="P259" s="347"/>
      <c r="Q259" s="347"/>
      <c r="R259" s="347"/>
      <c r="S259" s="347"/>
      <c r="T259" s="347"/>
      <c r="U259" s="347"/>
      <c r="V259" s="347"/>
      <c r="W259" s="25"/>
      <c r="X259" s="135">
        <v>0</v>
      </c>
      <c r="Z259" s="54"/>
    </row>
    <row r="260" spans="1:26">
      <c r="A260" s="70">
        <f t="shared" ref="A260" si="242">+A259</f>
        <v>2024050</v>
      </c>
      <c r="B260" s="74"/>
      <c r="C260" s="404"/>
      <c r="D260" s="402"/>
      <c r="E260" s="402"/>
      <c r="F260" s="406"/>
      <c r="G260" s="402"/>
      <c r="H260" s="402"/>
      <c r="I260" s="493"/>
      <c r="J260" s="398"/>
      <c r="K260" s="160" t="s">
        <v>25</v>
      </c>
      <c r="L260" s="227">
        <f t="shared" ref="L260:W260" si="243">SUM(L261:L267)</f>
        <v>334160</v>
      </c>
      <c r="M260" s="227">
        <f t="shared" si="243"/>
        <v>315664</v>
      </c>
      <c r="N260" s="227">
        <f t="shared" si="243"/>
        <v>337407</v>
      </c>
      <c r="O260" s="348">
        <f t="shared" si="243"/>
        <v>326175</v>
      </c>
      <c r="P260" s="348">
        <f t="shared" si="243"/>
        <v>343878</v>
      </c>
      <c r="Q260" s="348">
        <f t="shared" si="243"/>
        <v>343972</v>
      </c>
      <c r="R260" s="348">
        <f t="shared" si="243"/>
        <v>360081</v>
      </c>
      <c r="S260" s="348">
        <f t="shared" si="243"/>
        <v>322941</v>
      </c>
      <c r="T260" s="348">
        <f t="shared" si="243"/>
        <v>357844</v>
      </c>
      <c r="U260" s="348">
        <f t="shared" si="243"/>
        <v>346175</v>
      </c>
      <c r="V260" s="348">
        <f t="shared" si="243"/>
        <v>309426</v>
      </c>
      <c r="W260" s="95">
        <f t="shared" si="243"/>
        <v>319547</v>
      </c>
      <c r="X260" s="136">
        <f>SUM(L260:W260)</f>
        <v>4017270</v>
      </c>
      <c r="Z260" s="54"/>
    </row>
    <row r="261" spans="1:26">
      <c r="A261" s="70">
        <f t="shared" ref="A261" si="244">+A260</f>
        <v>2024050</v>
      </c>
      <c r="B261" s="74"/>
      <c r="C261" s="404"/>
      <c r="D261" s="402"/>
      <c r="E261" s="402"/>
      <c r="F261" s="406"/>
      <c r="G261" s="402"/>
      <c r="H261" s="402"/>
      <c r="I261" s="493"/>
      <c r="J261" s="398"/>
      <c r="K261" s="161" t="s">
        <v>26</v>
      </c>
      <c r="L261" s="225">
        <v>269613</v>
      </c>
      <c r="M261" s="225">
        <v>255000</v>
      </c>
      <c r="N261" s="225">
        <v>273156</v>
      </c>
      <c r="O261" s="225">
        <v>259871</v>
      </c>
      <c r="P261" s="225">
        <v>278470</v>
      </c>
      <c r="Q261" s="225">
        <v>275813</v>
      </c>
      <c r="R261" s="225">
        <v>291754</v>
      </c>
      <c r="S261" s="225">
        <v>255000</v>
      </c>
      <c r="T261" s="225">
        <v>289540</v>
      </c>
      <c r="U261" s="225">
        <v>276255</v>
      </c>
      <c r="V261" s="225">
        <v>245435</v>
      </c>
      <c r="W261" s="106">
        <v>255000</v>
      </c>
      <c r="X261" s="135">
        <f t="shared" ref="X261:X267" si="245">SUM(L261:W261)</f>
        <v>3224907</v>
      </c>
      <c r="Y261" s="105"/>
      <c r="Z261" s="54"/>
    </row>
    <row r="262" spans="1:26">
      <c r="A262" s="70">
        <f t="shared" ref="A262" si="246">+A261</f>
        <v>2024050</v>
      </c>
      <c r="B262" s="74"/>
      <c r="C262" s="404"/>
      <c r="D262" s="402"/>
      <c r="E262" s="402"/>
      <c r="F262" s="406"/>
      <c r="G262" s="402"/>
      <c r="H262" s="402"/>
      <c r="I262" s="493"/>
      <c r="J262" s="398"/>
      <c r="K262" s="161" t="s">
        <v>33</v>
      </c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106"/>
      <c r="X262" s="135">
        <f t="shared" si="245"/>
        <v>0</v>
      </c>
      <c r="Y262" s="105"/>
      <c r="Z262" s="54"/>
    </row>
    <row r="263" spans="1:26">
      <c r="A263" s="70">
        <f t="shared" ref="A263" si="247">+A262</f>
        <v>2024050</v>
      </c>
      <c r="B263" s="74"/>
      <c r="C263" s="404"/>
      <c r="D263" s="402"/>
      <c r="E263" s="402"/>
      <c r="F263" s="406"/>
      <c r="G263" s="402"/>
      <c r="H263" s="402"/>
      <c r="I263" s="493"/>
      <c r="J263" s="398"/>
      <c r="K263" s="161" t="s">
        <v>27</v>
      </c>
      <c r="L263" s="225">
        <v>25310</v>
      </c>
      <c r="M263" s="225">
        <v>21620</v>
      </c>
      <c r="N263" s="225">
        <v>24980</v>
      </c>
      <c r="O263" s="225">
        <v>27150</v>
      </c>
      <c r="P263" s="225">
        <v>26070</v>
      </c>
      <c r="Q263" s="225">
        <v>26070</v>
      </c>
      <c r="R263" s="225">
        <v>26070</v>
      </c>
      <c r="S263" s="225">
        <v>26070</v>
      </c>
      <c r="T263" s="225">
        <v>26070</v>
      </c>
      <c r="U263" s="225">
        <v>27808</v>
      </c>
      <c r="V263" s="225">
        <v>22080</v>
      </c>
      <c r="W263" s="106">
        <v>25310</v>
      </c>
      <c r="X263" s="135">
        <f t="shared" si="245"/>
        <v>304608</v>
      </c>
      <c r="Y263" s="105"/>
      <c r="Z263" s="54"/>
    </row>
    <row r="264" spans="1:26">
      <c r="A264" s="70">
        <f t="shared" ref="A264" si="248">+A263</f>
        <v>2024050</v>
      </c>
      <c r="B264" s="74"/>
      <c r="C264" s="404"/>
      <c r="D264" s="402"/>
      <c r="E264" s="402"/>
      <c r="F264" s="406"/>
      <c r="G264" s="402"/>
      <c r="H264" s="402"/>
      <c r="I264" s="493"/>
      <c r="J264" s="398"/>
      <c r="K264" s="161" t="s">
        <v>28</v>
      </c>
      <c r="L264" s="225">
        <v>12350</v>
      </c>
      <c r="M264" s="225">
        <v>12350</v>
      </c>
      <c r="N264" s="225">
        <v>12350</v>
      </c>
      <c r="O264" s="225">
        <v>12350</v>
      </c>
      <c r="P264" s="225">
        <v>12350</v>
      </c>
      <c r="Q264" s="225">
        <v>13300</v>
      </c>
      <c r="R264" s="225">
        <v>13300</v>
      </c>
      <c r="S264" s="225">
        <v>13300</v>
      </c>
      <c r="T264" s="225">
        <v>13300</v>
      </c>
      <c r="U264" s="225">
        <v>13300</v>
      </c>
      <c r="V264" s="225">
        <v>13300</v>
      </c>
      <c r="W264" s="106">
        <v>12350</v>
      </c>
      <c r="X264" s="135">
        <f t="shared" si="245"/>
        <v>153900</v>
      </c>
      <c r="Y264" s="105"/>
      <c r="Z264" s="54"/>
    </row>
    <row r="265" spans="1:26">
      <c r="A265" s="70">
        <f t="shared" ref="A265" si="249">+A264</f>
        <v>2024050</v>
      </c>
      <c r="B265" s="74"/>
      <c r="C265" s="404"/>
      <c r="D265" s="402"/>
      <c r="E265" s="402"/>
      <c r="F265" s="406"/>
      <c r="G265" s="402"/>
      <c r="H265" s="402"/>
      <c r="I265" s="493"/>
      <c r="J265" s="398"/>
      <c r="K265" s="161" t="s">
        <v>29</v>
      </c>
      <c r="L265" s="225">
        <v>23790</v>
      </c>
      <c r="M265" s="225">
        <v>23790</v>
      </c>
      <c r="N265" s="225">
        <v>23790</v>
      </c>
      <c r="O265" s="225">
        <v>23790</v>
      </c>
      <c r="P265" s="225">
        <v>23790</v>
      </c>
      <c r="Q265" s="225">
        <v>25620</v>
      </c>
      <c r="R265" s="225">
        <v>25620</v>
      </c>
      <c r="S265" s="225">
        <v>25620</v>
      </c>
      <c r="T265" s="225">
        <v>25620</v>
      </c>
      <c r="U265" s="225">
        <v>25620</v>
      </c>
      <c r="V265" s="225">
        <v>25620</v>
      </c>
      <c r="W265" s="106">
        <v>23790</v>
      </c>
      <c r="X265" s="135">
        <f t="shared" si="245"/>
        <v>296460</v>
      </c>
      <c r="Y265" s="105"/>
      <c r="Z265" s="54"/>
    </row>
    <row r="266" spans="1:26">
      <c r="A266" s="70">
        <f t="shared" ref="A266" si="250">+A265</f>
        <v>2024050</v>
      </c>
      <c r="B266" s="74"/>
      <c r="C266" s="404"/>
      <c r="D266" s="402"/>
      <c r="E266" s="402"/>
      <c r="F266" s="406"/>
      <c r="G266" s="402"/>
      <c r="H266" s="402"/>
      <c r="I266" s="493"/>
      <c r="J266" s="398"/>
      <c r="K266" s="161" t="s">
        <v>30</v>
      </c>
      <c r="L266" s="225">
        <v>1475</v>
      </c>
      <c r="M266" s="225">
        <v>1383</v>
      </c>
      <c r="N266" s="225">
        <v>1491</v>
      </c>
      <c r="O266" s="225">
        <v>1435</v>
      </c>
      <c r="P266" s="225">
        <v>1523</v>
      </c>
      <c r="Q266" s="225">
        <v>1509</v>
      </c>
      <c r="R266" s="225">
        <v>1589</v>
      </c>
      <c r="S266" s="225">
        <v>1405</v>
      </c>
      <c r="T266" s="225">
        <v>1578</v>
      </c>
      <c r="U266" s="225">
        <v>1520</v>
      </c>
      <c r="V266" s="225">
        <v>1424</v>
      </c>
      <c r="W266" s="106">
        <v>1475</v>
      </c>
      <c r="X266" s="135">
        <f t="shared" si="245"/>
        <v>17807</v>
      </c>
      <c r="Y266" s="105"/>
      <c r="Z266" s="54"/>
    </row>
    <row r="267" spans="1:26">
      <c r="A267" s="70">
        <f t="shared" ref="A267" si="251">+A266</f>
        <v>2024050</v>
      </c>
      <c r="B267" s="74"/>
      <c r="C267" s="404"/>
      <c r="D267" s="402"/>
      <c r="E267" s="402"/>
      <c r="F267" s="406"/>
      <c r="G267" s="402"/>
      <c r="H267" s="402"/>
      <c r="I267" s="493"/>
      <c r="J267" s="398"/>
      <c r="K267" s="161" t="s">
        <v>31</v>
      </c>
      <c r="L267" s="225">
        <v>1622</v>
      </c>
      <c r="M267" s="225">
        <v>1521</v>
      </c>
      <c r="N267" s="225">
        <v>1640</v>
      </c>
      <c r="O267" s="225">
        <v>1579</v>
      </c>
      <c r="P267" s="225">
        <v>1675</v>
      </c>
      <c r="Q267" s="225">
        <v>1660</v>
      </c>
      <c r="R267" s="225">
        <v>1748</v>
      </c>
      <c r="S267" s="225">
        <v>1546</v>
      </c>
      <c r="T267" s="225">
        <v>1736</v>
      </c>
      <c r="U267" s="225">
        <v>1672</v>
      </c>
      <c r="V267" s="225">
        <v>1567</v>
      </c>
      <c r="W267" s="106">
        <v>1622</v>
      </c>
      <c r="X267" s="135">
        <f t="shared" si="245"/>
        <v>19588</v>
      </c>
      <c r="Y267" s="105"/>
      <c r="Z267" s="54"/>
    </row>
    <row r="268" spans="1:26">
      <c r="A268" s="70">
        <f t="shared" ref="A268" si="252">+A267</f>
        <v>2024050</v>
      </c>
      <c r="B268" s="74"/>
      <c r="C268" s="405"/>
      <c r="D268" s="403"/>
      <c r="E268" s="403"/>
      <c r="F268" s="407"/>
      <c r="G268" s="403"/>
      <c r="H268" s="403"/>
      <c r="I268" s="494"/>
      <c r="J268" s="399"/>
      <c r="K268" s="65" t="s">
        <v>32</v>
      </c>
      <c r="L268" s="194">
        <f t="shared" ref="L268:M268" si="253">L257-L260</f>
        <v>95840</v>
      </c>
      <c r="M268" s="267">
        <f t="shared" si="253"/>
        <v>114336</v>
      </c>
      <c r="N268" s="267">
        <f>N257-N260</f>
        <v>92593</v>
      </c>
      <c r="O268" s="344">
        <f t="shared" ref="O268:W268" si="254">O257-O260</f>
        <v>103825</v>
      </c>
      <c r="P268" s="344">
        <f t="shared" si="254"/>
        <v>86122</v>
      </c>
      <c r="Q268" s="344">
        <f t="shared" si="254"/>
        <v>86028</v>
      </c>
      <c r="R268" s="344">
        <f t="shared" si="254"/>
        <v>69919</v>
      </c>
      <c r="S268" s="344">
        <f t="shared" si="254"/>
        <v>107059</v>
      </c>
      <c r="T268" s="344">
        <f t="shared" si="254"/>
        <v>72156</v>
      </c>
      <c r="U268" s="344">
        <f t="shared" si="254"/>
        <v>83825</v>
      </c>
      <c r="V268" s="344">
        <f t="shared" si="254"/>
        <v>66101</v>
      </c>
      <c r="W268" s="129">
        <f t="shared" si="254"/>
        <v>110453</v>
      </c>
      <c r="X268" s="50">
        <f>X257-X260</f>
        <v>1088257</v>
      </c>
      <c r="Z268" s="54"/>
    </row>
    <row r="269" spans="1:26" ht="12.75" customHeight="1">
      <c r="A269" s="101">
        <v>2025029</v>
      </c>
      <c r="C269" s="433">
        <f t="shared" ref="C269" si="255">C257+1</f>
        <v>23</v>
      </c>
      <c r="D269" s="402" t="s">
        <v>34</v>
      </c>
      <c r="E269" s="402"/>
      <c r="F269" s="406"/>
      <c r="G269" s="402"/>
      <c r="H269" s="402"/>
      <c r="I269" s="493" t="s">
        <v>103</v>
      </c>
      <c r="J269" s="397" t="s">
        <v>56</v>
      </c>
      <c r="K269" s="66" t="s">
        <v>22</v>
      </c>
      <c r="L269" s="191">
        <f t="shared" ref="L269:O269" si="256">L270+L271</f>
        <v>0</v>
      </c>
      <c r="M269" s="266">
        <f t="shared" si="256"/>
        <v>0</v>
      </c>
      <c r="N269" s="266">
        <f t="shared" si="256"/>
        <v>0</v>
      </c>
      <c r="O269" s="351">
        <f t="shared" si="256"/>
        <v>0</v>
      </c>
      <c r="P269" s="351">
        <f>P270+P271</f>
        <v>0</v>
      </c>
      <c r="Q269" s="351">
        <f t="shared" ref="Q269:W269" si="257">Q270+Q271</f>
        <v>0</v>
      </c>
      <c r="R269" s="351">
        <f t="shared" si="257"/>
        <v>0</v>
      </c>
      <c r="S269" s="351">
        <f t="shared" si="257"/>
        <v>0</v>
      </c>
      <c r="T269" s="351">
        <f t="shared" si="257"/>
        <v>0</v>
      </c>
      <c r="U269" s="351">
        <f t="shared" si="257"/>
        <v>0</v>
      </c>
      <c r="V269" s="351">
        <f t="shared" si="257"/>
        <v>0</v>
      </c>
      <c r="W269" s="137">
        <f t="shared" si="257"/>
        <v>460000</v>
      </c>
      <c r="X269" s="49">
        <f>SUM(L269:W269)</f>
        <v>460000</v>
      </c>
      <c r="Z269" s="54"/>
    </row>
    <row r="270" spans="1:26">
      <c r="A270" s="70">
        <f>+A269</f>
        <v>2025029</v>
      </c>
      <c r="B270" s="74"/>
      <c r="C270" s="404"/>
      <c r="D270" s="402"/>
      <c r="E270" s="402"/>
      <c r="F270" s="406"/>
      <c r="G270" s="402"/>
      <c r="H270" s="402"/>
      <c r="I270" s="493"/>
      <c r="J270" s="398"/>
      <c r="K270" s="159" t="s">
        <v>23</v>
      </c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106">
        <v>460000</v>
      </c>
      <c r="X270" s="135">
        <f>SUM(L270:W270)</f>
        <v>460000</v>
      </c>
      <c r="Y270" s="105"/>
      <c r="Z270" s="54"/>
    </row>
    <row r="271" spans="1:26">
      <c r="A271" s="70">
        <f t="shared" ref="A271" si="258">+A270</f>
        <v>2025029</v>
      </c>
      <c r="B271" s="74"/>
      <c r="C271" s="404"/>
      <c r="D271" s="402"/>
      <c r="E271" s="402"/>
      <c r="F271" s="406"/>
      <c r="G271" s="402"/>
      <c r="H271" s="402"/>
      <c r="I271" s="493"/>
      <c r="J271" s="398"/>
      <c r="K271" s="159" t="s">
        <v>24</v>
      </c>
      <c r="L271" s="226"/>
      <c r="M271" s="210"/>
      <c r="N271" s="210"/>
      <c r="O271" s="347"/>
      <c r="P271" s="347"/>
      <c r="Q271" s="347"/>
      <c r="R271" s="347"/>
      <c r="S271" s="347"/>
      <c r="T271" s="347"/>
      <c r="U271" s="347"/>
      <c r="V271" s="347"/>
      <c r="W271" s="25"/>
      <c r="X271" s="135">
        <v>0</v>
      </c>
      <c r="Z271" s="54"/>
    </row>
    <row r="272" spans="1:26">
      <c r="A272" s="70">
        <f t="shared" ref="A272" si="259">+A271</f>
        <v>2025029</v>
      </c>
      <c r="B272" s="74"/>
      <c r="C272" s="404"/>
      <c r="D272" s="402"/>
      <c r="E272" s="402"/>
      <c r="F272" s="406"/>
      <c r="G272" s="402"/>
      <c r="H272" s="402"/>
      <c r="I272" s="493"/>
      <c r="J272" s="398"/>
      <c r="K272" s="160" t="s">
        <v>25</v>
      </c>
      <c r="L272" s="227">
        <f t="shared" ref="L272:W272" si="260">SUM(L273:L279)</f>
        <v>0</v>
      </c>
      <c r="M272" s="227">
        <f t="shared" si="260"/>
        <v>0</v>
      </c>
      <c r="N272" s="227">
        <f t="shared" si="260"/>
        <v>0</v>
      </c>
      <c r="O272" s="348">
        <f t="shared" si="260"/>
        <v>0</v>
      </c>
      <c r="P272" s="348">
        <f t="shared" si="260"/>
        <v>0</v>
      </c>
      <c r="Q272" s="348">
        <f t="shared" si="260"/>
        <v>0</v>
      </c>
      <c r="R272" s="348">
        <f t="shared" si="260"/>
        <v>0</v>
      </c>
      <c r="S272" s="348">
        <f t="shared" si="260"/>
        <v>0</v>
      </c>
      <c r="T272" s="348">
        <f t="shared" si="260"/>
        <v>0</v>
      </c>
      <c r="U272" s="348">
        <f t="shared" si="260"/>
        <v>0</v>
      </c>
      <c r="V272" s="348">
        <f t="shared" si="260"/>
        <v>0</v>
      </c>
      <c r="W272" s="95">
        <f t="shared" si="260"/>
        <v>317551</v>
      </c>
      <c r="X272" s="136">
        <f>SUM(L272:W272)</f>
        <v>317551</v>
      </c>
      <c r="Z272" s="54"/>
    </row>
    <row r="273" spans="1:26">
      <c r="A273" s="70">
        <f t="shared" ref="A273" si="261">+A272</f>
        <v>2025029</v>
      </c>
      <c r="B273" s="74"/>
      <c r="C273" s="404"/>
      <c r="D273" s="402"/>
      <c r="E273" s="402"/>
      <c r="F273" s="406"/>
      <c r="G273" s="402"/>
      <c r="H273" s="402"/>
      <c r="I273" s="493"/>
      <c r="J273" s="398"/>
      <c r="K273" s="161" t="s">
        <v>26</v>
      </c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106">
        <v>245000</v>
      </c>
      <c r="X273" s="135">
        <f t="shared" ref="X273:X279" si="262">SUM(L273:W273)</f>
        <v>245000</v>
      </c>
      <c r="Y273" s="105"/>
      <c r="Z273" s="54"/>
    </row>
    <row r="274" spans="1:26">
      <c r="A274" s="70">
        <f t="shared" ref="A274" si="263">+A273</f>
        <v>2025029</v>
      </c>
      <c r="B274" s="74"/>
      <c r="C274" s="404"/>
      <c r="D274" s="402"/>
      <c r="E274" s="402"/>
      <c r="F274" s="406"/>
      <c r="G274" s="402"/>
      <c r="H274" s="402"/>
      <c r="I274" s="493"/>
      <c r="J274" s="398"/>
      <c r="K274" s="161" t="s">
        <v>33</v>
      </c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106"/>
      <c r="X274" s="135">
        <f t="shared" si="262"/>
        <v>0</v>
      </c>
      <c r="Y274" s="105"/>
      <c r="Z274" s="54"/>
    </row>
    <row r="275" spans="1:26">
      <c r="A275" s="70">
        <f t="shared" ref="A275" si="264">+A274</f>
        <v>2025029</v>
      </c>
      <c r="B275" s="74"/>
      <c r="C275" s="404"/>
      <c r="D275" s="402"/>
      <c r="E275" s="402"/>
      <c r="F275" s="406"/>
      <c r="G275" s="402"/>
      <c r="H275" s="402"/>
      <c r="I275" s="493"/>
      <c r="J275" s="398"/>
      <c r="K275" s="161" t="s">
        <v>27</v>
      </c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106">
        <v>30660</v>
      </c>
      <c r="X275" s="135">
        <f t="shared" si="262"/>
        <v>30660</v>
      </c>
      <c r="Y275" s="105"/>
      <c r="Z275" s="54"/>
    </row>
    <row r="276" spans="1:26">
      <c r="A276" s="70">
        <f t="shared" ref="A276" si="265">+A275</f>
        <v>2025029</v>
      </c>
      <c r="B276" s="74"/>
      <c r="C276" s="404"/>
      <c r="D276" s="402"/>
      <c r="E276" s="402"/>
      <c r="F276" s="406"/>
      <c r="G276" s="402"/>
      <c r="H276" s="402"/>
      <c r="I276" s="493"/>
      <c r="J276" s="398"/>
      <c r="K276" s="161" t="s">
        <v>28</v>
      </c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106">
        <v>13300</v>
      </c>
      <c r="X276" s="135">
        <f t="shared" si="262"/>
        <v>13300</v>
      </c>
      <c r="Y276" s="105"/>
      <c r="Z276" s="54"/>
    </row>
    <row r="277" spans="1:26">
      <c r="A277" s="70">
        <f t="shared" ref="A277" si="266">+A276</f>
        <v>2025029</v>
      </c>
      <c r="B277" s="74"/>
      <c r="C277" s="404"/>
      <c r="D277" s="402"/>
      <c r="E277" s="402"/>
      <c r="F277" s="406"/>
      <c r="G277" s="402"/>
      <c r="H277" s="402"/>
      <c r="I277" s="493"/>
      <c r="J277" s="398"/>
      <c r="K277" s="161" t="s">
        <v>29</v>
      </c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106">
        <v>25620</v>
      </c>
      <c r="X277" s="135">
        <f t="shared" si="262"/>
        <v>25620</v>
      </c>
      <c r="Y277" s="105"/>
      <c r="Z277" s="54"/>
    </row>
    <row r="278" spans="1:26">
      <c r="A278" s="70">
        <f t="shared" ref="A278" si="267">+A277</f>
        <v>2025029</v>
      </c>
      <c r="B278" s="74"/>
      <c r="C278" s="404"/>
      <c r="D278" s="402"/>
      <c r="E278" s="402"/>
      <c r="F278" s="406"/>
      <c r="G278" s="402"/>
      <c r="H278" s="402"/>
      <c r="I278" s="493"/>
      <c r="J278" s="398"/>
      <c r="K278" s="161" t="s">
        <v>30</v>
      </c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106">
        <v>1415</v>
      </c>
      <c r="X278" s="135">
        <f t="shared" si="262"/>
        <v>1415</v>
      </c>
      <c r="Y278" s="105"/>
      <c r="Z278" s="54"/>
    </row>
    <row r="279" spans="1:26">
      <c r="A279" s="70">
        <f t="shared" ref="A279" si="268">+A278</f>
        <v>2025029</v>
      </c>
      <c r="B279" s="74"/>
      <c r="C279" s="404"/>
      <c r="D279" s="402"/>
      <c r="E279" s="402"/>
      <c r="F279" s="406"/>
      <c r="G279" s="402"/>
      <c r="H279" s="402"/>
      <c r="I279" s="493"/>
      <c r="J279" s="398"/>
      <c r="K279" s="161" t="s">
        <v>31</v>
      </c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106">
        <v>1556</v>
      </c>
      <c r="X279" s="135">
        <f t="shared" si="262"/>
        <v>1556</v>
      </c>
      <c r="Y279" s="105"/>
      <c r="Z279" s="54"/>
    </row>
    <row r="280" spans="1:26">
      <c r="A280" s="70">
        <f t="shared" ref="A280" si="269">+A279</f>
        <v>2025029</v>
      </c>
      <c r="B280" s="74"/>
      <c r="C280" s="405"/>
      <c r="D280" s="403"/>
      <c r="E280" s="403"/>
      <c r="F280" s="407"/>
      <c r="G280" s="403"/>
      <c r="H280" s="403"/>
      <c r="I280" s="494"/>
      <c r="J280" s="399"/>
      <c r="K280" s="65" t="s">
        <v>32</v>
      </c>
      <c r="L280" s="194">
        <f t="shared" ref="L280:M280" si="270">L269-L272</f>
        <v>0</v>
      </c>
      <c r="M280" s="267">
        <f t="shared" si="270"/>
        <v>0</v>
      </c>
      <c r="N280" s="267">
        <f>N269-N272</f>
        <v>0</v>
      </c>
      <c r="O280" s="344">
        <f t="shared" ref="O280:W280" si="271">O269-O272</f>
        <v>0</v>
      </c>
      <c r="P280" s="344">
        <f t="shared" si="271"/>
        <v>0</v>
      </c>
      <c r="Q280" s="344">
        <f t="shared" si="271"/>
        <v>0</v>
      </c>
      <c r="R280" s="344">
        <f t="shared" si="271"/>
        <v>0</v>
      </c>
      <c r="S280" s="344">
        <f t="shared" si="271"/>
        <v>0</v>
      </c>
      <c r="T280" s="344">
        <f t="shared" si="271"/>
        <v>0</v>
      </c>
      <c r="U280" s="344">
        <f t="shared" si="271"/>
        <v>0</v>
      </c>
      <c r="V280" s="344">
        <f t="shared" si="271"/>
        <v>0</v>
      </c>
      <c r="W280" s="129">
        <f t="shared" si="271"/>
        <v>142449</v>
      </c>
      <c r="X280" s="50">
        <f>X269-X272</f>
        <v>142449</v>
      </c>
      <c r="Z280" s="54"/>
    </row>
    <row r="281" spans="1:26" ht="12.75" customHeight="1">
      <c r="A281" s="101">
        <v>2017014</v>
      </c>
      <c r="B281" s="104"/>
      <c r="C281" s="433">
        <f t="shared" ref="C281" si="272">C269+1</f>
        <v>24</v>
      </c>
      <c r="D281" s="432" t="s">
        <v>37</v>
      </c>
      <c r="E281" s="432"/>
      <c r="F281" s="432"/>
      <c r="G281" s="432"/>
      <c r="H281" s="432"/>
      <c r="I281" s="434" t="s">
        <v>96</v>
      </c>
      <c r="J281" s="397"/>
      <c r="K281" s="61" t="s">
        <v>22</v>
      </c>
      <c r="L281" s="213">
        <f t="shared" ref="L281:W281" si="273">L282+L283</f>
        <v>680000</v>
      </c>
      <c r="M281" s="275">
        <f t="shared" si="273"/>
        <v>680000</v>
      </c>
      <c r="N281" s="275">
        <f t="shared" si="273"/>
        <v>677575</v>
      </c>
      <c r="O281" s="275">
        <f t="shared" si="273"/>
        <v>680000</v>
      </c>
      <c r="P281" s="275">
        <f t="shared" si="273"/>
        <v>680000</v>
      </c>
      <c r="Q281" s="353">
        <f t="shared" si="273"/>
        <v>680000</v>
      </c>
      <c r="R281" s="353">
        <f t="shared" si="273"/>
        <v>680000</v>
      </c>
      <c r="S281" s="353">
        <f t="shared" si="273"/>
        <v>636350</v>
      </c>
      <c r="T281" s="353">
        <f t="shared" si="273"/>
        <v>680000</v>
      </c>
      <c r="U281" s="353">
        <f t="shared" si="273"/>
        <v>680000</v>
      </c>
      <c r="V281" s="353">
        <f t="shared" si="273"/>
        <v>658175</v>
      </c>
      <c r="W281" s="131">
        <f t="shared" si="273"/>
        <v>680000</v>
      </c>
      <c r="X281" s="132">
        <f>SUM(L281:W281)</f>
        <v>8092100</v>
      </c>
      <c r="Z281" s="54"/>
    </row>
    <row r="282" spans="1:26">
      <c r="A282" s="70">
        <f>+A281</f>
        <v>2017014</v>
      </c>
      <c r="B282" s="74"/>
      <c r="C282" s="404"/>
      <c r="D282" s="402"/>
      <c r="E282" s="402"/>
      <c r="F282" s="402"/>
      <c r="G282" s="402"/>
      <c r="H282" s="402"/>
      <c r="I282" s="406"/>
      <c r="J282" s="398"/>
      <c r="K282" s="62" t="s">
        <v>23</v>
      </c>
      <c r="L282" s="210">
        <v>680000</v>
      </c>
      <c r="M282" s="210">
        <v>680000</v>
      </c>
      <c r="N282" s="210">
        <v>677575</v>
      </c>
      <c r="O282" s="210">
        <v>680000</v>
      </c>
      <c r="P282" s="210">
        <v>680000</v>
      </c>
      <c r="Q282" s="210">
        <v>680000</v>
      </c>
      <c r="R282" s="210">
        <v>680000</v>
      </c>
      <c r="S282" s="210">
        <v>636350</v>
      </c>
      <c r="T282" s="210">
        <v>680000</v>
      </c>
      <c r="U282" s="210">
        <v>680000</v>
      </c>
      <c r="V282" s="210">
        <v>658175</v>
      </c>
      <c r="W282" s="83">
        <v>680000</v>
      </c>
      <c r="X282" s="135">
        <f>SUM(L282:W282)</f>
        <v>8092100</v>
      </c>
      <c r="Y282" s="105"/>
      <c r="Z282" s="54"/>
    </row>
    <row r="283" spans="1:26">
      <c r="A283" s="70">
        <f t="shared" ref="A283" si="274">+A282</f>
        <v>2017014</v>
      </c>
      <c r="B283" s="74"/>
      <c r="C283" s="404"/>
      <c r="D283" s="402"/>
      <c r="E283" s="402"/>
      <c r="F283" s="402"/>
      <c r="G283" s="402"/>
      <c r="H283" s="402"/>
      <c r="I283" s="406"/>
      <c r="J283" s="398"/>
      <c r="K283" s="62" t="s">
        <v>24</v>
      </c>
      <c r="L283" s="226"/>
      <c r="M283" s="210"/>
      <c r="N283" s="210"/>
      <c r="O283" s="347"/>
      <c r="P283" s="347"/>
      <c r="Q283" s="347"/>
      <c r="R283" s="347"/>
      <c r="S283" s="347"/>
      <c r="T283" s="347"/>
      <c r="U283" s="347"/>
      <c r="V283" s="347"/>
      <c r="W283" s="133"/>
      <c r="X283" s="135">
        <v>0</v>
      </c>
      <c r="Z283" s="54"/>
    </row>
    <row r="284" spans="1:26">
      <c r="A284" s="70">
        <f t="shared" ref="A284" si="275">+A283</f>
        <v>2017014</v>
      </c>
      <c r="B284" s="74"/>
      <c r="C284" s="404"/>
      <c r="D284" s="402"/>
      <c r="E284" s="402"/>
      <c r="F284" s="402"/>
      <c r="G284" s="402"/>
      <c r="H284" s="402"/>
      <c r="I284" s="406"/>
      <c r="J284" s="398"/>
      <c r="K284" s="63" t="s">
        <v>25</v>
      </c>
      <c r="L284" s="227">
        <f t="shared" ref="L284:W284" si="276">SUM(L285:L291)</f>
        <v>487137</v>
      </c>
      <c r="M284" s="227">
        <f t="shared" si="276"/>
        <v>496017</v>
      </c>
      <c r="N284" s="227">
        <f t="shared" si="276"/>
        <v>496017</v>
      </c>
      <c r="O284" s="348">
        <f t="shared" si="276"/>
        <v>496422</v>
      </c>
      <c r="P284" s="348">
        <f t="shared" si="276"/>
        <v>496826</v>
      </c>
      <c r="Q284" s="348">
        <f t="shared" si="276"/>
        <v>497634</v>
      </c>
      <c r="R284" s="348">
        <f t="shared" si="276"/>
        <v>497230</v>
      </c>
      <c r="S284" s="348">
        <f t="shared" si="276"/>
        <v>496826</v>
      </c>
      <c r="T284" s="348">
        <f t="shared" si="276"/>
        <v>497634</v>
      </c>
      <c r="U284" s="348">
        <f t="shared" si="276"/>
        <v>497634</v>
      </c>
      <c r="V284" s="348">
        <f t="shared" si="276"/>
        <v>497412</v>
      </c>
      <c r="W284" s="134">
        <f t="shared" si="276"/>
        <v>487137</v>
      </c>
      <c r="X284" s="136">
        <f>SUM(L284:W284)</f>
        <v>5943926</v>
      </c>
      <c r="Z284" s="54"/>
    </row>
    <row r="285" spans="1:26">
      <c r="A285" s="70">
        <f t="shared" ref="A285" si="277">+A284</f>
        <v>2017014</v>
      </c>
      <c r="B285" s="74"/>
      <c r="C285" s="404"/>
      <c r="D285" s="402"/>
      <c r="E285" s="402"/>
      <c r="F285" s="402"/>
      <c r="G285" s="402"/>
      <c r="H285" s="402"/>
      <c r="I285" s="406"/>
      <c r="J285" s="398"/>
      <c r="K285" s="64" t="s">
        <v>26</v>
      </c>
      <c r="L285" s="210">
        <v>410000</v>
      </c>
      <c r="M285" s="210">
        <v>410000</v>
      </c>
      <c r="N285" s="210">
        <v>410000</v>
      </c>
      <c r="O285" s="210">
        <v>410400</v>
      </c>
      <c r="P285" s="210">
        <v>410800</v>
      </c>
      <c r="Q285" s="210">
        <v>411600</v>
      </c>
      <c r="R285" s="210">
        <v>411200</v>
      </c>
      <c r="S285" s="210">
        <v>410800</v>
      </c>
      <c r="T285" s="210">
        <v>411600</v>
      </c>
      <c r="U285" s="210">
        <v>411600</v>
      </c>
      <c r="V285" s="210">
        <v>411200</v>
      </c>
      <c r="W285" s="83">
        <v>410000</v>
      </c>
      <c r="X285" s="135">
        <f t="shared" ref="X285:X291" si="278">SUM(L285:W285)</f>
        <v>4929200</v>
      </c>
      <c r="Y285" s="105"/>
      <c r="Z285" s="54"/>
    </row>
    <row r="286" spans="1:26">
      <c r="A286" s="70">
        <f t="shared" ref="A286" si="279">+A285</f>
        <v>2017014</v>
      </c>
      <c r="B286" s="74"/>
      <c r="C286" s="404"/>
      <c r="D286" s="402"/>
      <c r="E286" s="402"/>
      <c r="F286" s="402"/>
      <c r="G286" s="402"/>
      <c r="H286" s="402"/>
      <c r="I286" s="406"/>
      <c r="J286" s="398"/>
      <c r="K286" s="64" t="s">
        <v>33</v>
      </c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83"/>
      <c r="X286" s="135">
        <f t="shared" si="278"/>
        <v>0</v>
      </c>
      <c r="Y286" s="105"/>
      <c r="Z286" s="54"/>
    </row>
    <row r="287" spans="1:26">
      <c r="A287" s="70">
        <f t="shared" ref="A287" si="280">+A286</f>
        <v>2017014</v>
      </c>
      <c r="B287" s="74"/>
      <c r="C287" s="404"/>
      <c r="D287" s="402"/>
      <c r="E287" s="402"/>
      <c r="F287" s="402"/>
      <c r="G287" s="402"/>
      <c r="H287" s="402"/>
      <c r="I287" s="406"/>
      <c r="J287" s="398"/>
      <c r="K287" s="64" t="s">
        <v>27</v>
      </c>
      <c r="L287" s="210">
        <v>16420</v>
      </c>
      <c r="M287" s="210">
        <v>16420</v>
      </c>
      <c r="N287" s="210">
        <v>16420</v>
      </c>
      <c r="O287" s="210">
        <v>16420</v>
      </c>
      <c r="P287" s="210">
        <v>16420</v>
      </c>
      <c r="Q287" s="210">
        <v>16420</v>
      </c>
      <c r="R287" s="210">
        <v>16420</v>
      </c>
      <c r="S287" s="210">
        <v>16420</v>
      </c>
      <c r="T287" s="210">
        <v>16420</v>
      </c>
      <c r="U287" s="210">
        <v>16420</v>
      </c>
      <c r="V287" s="210">
        <v>16420</v>
      </c>
      <c r="W287" s="83">
        <v>16420</v>
      </c>
      <c r="X287" s="135">
        <f t="shared" si="278"/>
        <v>197040</v>
      </c>
      <c r="Y287" s="105"/>
      <c r="Z287" s="54"/>
    </row>
    <row r="288" spans="1:26">
      <c r="A288" s="70">
        <f t="shared" ref="A288" si="281">+A287</f>
        <v>2017014</v>
      </c>
      <c r="B288" s="74"/>
      <c r="C288" s="404"/>
      <c r="D288" s="402"/>
      <c r="E288" s="402"/>
      <c r="F288" s="402"/>
      <c r="G288" s="402"/>
      <c r="H288" s="402"/>
      <c r="I288" s="406"/>
      <c r="J288" s="398"/>
      <c r="K288" s="64" t="s">
        <v>28</v>
      </c>
      <c r="L288" s="210">
        <v>21470</v>
      </c>
      <c r="M288" s="210">
        <v>24860</v>
      </c>
      <c r="N288" s="210">
        <v>24860</v>
      </c>
      <c r="O288" s="210">
        <v>24860</v>
      </c>
      <c r="P288" s="210">
        <v>24860</v>
      </c>
      <c r="Q288" s="210">
        <v>24860</v>
      </c>
      <c r="R288" s="210">
        <v>24860</v>
      </c>
      <c r="S288" s="210">
        <v>24860</v>
      </c>
      <c r="T288" s="210">
        <v>24860</v>
      </c>
      <c r="U288" s="210">
        <v>24860</v>
      </c>
      <c r="V288" s="210">
        <v>24860</v>
      </c>
      <c r="W288" s="83">
        <v>21470</v>
      </c>
      <c r="X288" s="135">
        <f t="shared" si="278"/>
        <v>291540</v>
      </c>
      <c r="Y288" s="105"/>
      <c r="Z288" s="54"/>
    </row>
    <row r="289" spans="1:26">
      <c r="A289" s="70">
        <f t="shared" ref="A289" si="282">+A288</f>
        <v>2017014</v>
      </c>
      <c r="B289" s="74"/>
      <c r="C289" s="404"/>
      <c r="D289" s="402"/>
      <c r="E289" s="402"/>
      <c r="F289" s="402"/>
      <c r="G289" s="402"/>
      <c r="H289" s="402"/>
      <c r="I289" s="406"/>
      <c r="J289" s="398"/>
      <c r="K289" s="64" t="s">
        <v>29</v>
      </c>
      <c r="L289" s="210">
        <v>34770</v>
      </c>
      <c r="M289" s="210">
        <v>40260</v>
      </c>
      <c r="N289" s="210">
        <v>40260</v>
      </c>
      <c r="O289" s="210">
        <v>40260</v>
      </c>
      <c r="P289" s="210">
        <v>40260</v>
      </c>
      <c r="Q289" s="210">
        <v>40260</v>
      </c>
      <c r="R289" s="210">
        <v>40260</v>
      </c>
      <c r="S289" s="210">
        <v>40260</v>
      </c>
      <c r="T289" s="210">
        <v>40260</v>
      </c>
      <c r="U289" s="210">
        <v>40260</v>
      </c>
      <c r="V289" s="210">
        <v>40260</v>
      </c>
      <c r="W289" s="83">
        <v>34770</v>
      </c>
      <c r="X289" s="135">
        <f t="shared" si="278"/>
        <v>472140</v>
      </c>
      <c r="Y289" s="105"/>
      <c r="Z289" s="54"/>
    </row>
    <row r="290" spans="1:26">
      <c r="A290" s="70">
        <f t="shared" ref="A290" si="283">+A289</f>
        <v>2017014</v>
      </c>
      <c r="B290" s="74"/>
      <c r="C290" s="404"/>
      <c r="D290" s="402"/>
      <c r="E290" s="402"/>
      <c r="F290" s="402"/>
      <c r="G290" s="402"/>
      <c r="H290" s="402"/>
      <c r="I290" s="406"/>
      <c r="J290" s="398"/>
      <c r="K290" s="64" t="s">
        <v>30</v>
      </c>
      <c r="L290" s="210">
        <v>2132</v>
      </c>
      <c r="M290" s="210">
        <v>2132</v>
      </c>
      <c r="N290" s="210">
        <v>2132</v>
      </c>
      <c r="O290" s="210">
        <v>2134</v>
      </c>
      <c r="P290" s="210">
        <v>2136</v>
      </c>
      <c r="Q290" s="210">
        <v>2140</v>
      </c>
      <c r="R290" s="210">
        <v>2138</v>
      </c>
      <c r="S290" s="210">
        <v>2136</v>
      </c>
      <c r="T290" s="210">
        <v>2140</v>
      </c>
      <c r="U290" s="210">
        <v>2140</v>
      </c>
      <c r="V290" s="210">
        <v>2225</v>
      </c>
      <c r="W290" s="83">
        <v>2132</v>
      </c>
      <c r="X290" s="135">
        <f t="shared" si="278"/>
        <v>25717</v>
      </c>
      <c r="Y290" s="105"/>
      <c r="Z290" s="54"/>
    </row>
    <row r="291" spans="1:26">
      <c r="A291" s="70">
        <f t="shared" ref="A291" si="284">+A290</f>
        <v>2017014</v>
      </c>
      <c r="B291" s="74"/>
      <c r="C291" s="404"/>
      <c r="D291" s="402"/>
      <c r="E291" s="402"/>
      <c r="F291" s="402"/>
      <c r="G291" s="402"/>
      <c r="H291" s="402"/>
      <c r="I291" s="406"/>
      <c r="J291" s="398"/>
      <c r="K291" s="64" t="s">
        <v>31</v>
      </c>
      <c r="L291" s="210">
        <v>2345</v>
      </c>
      <c r="M291" s="210">
        <v>2345</v>
      </c>
      <c r="N291" s="210">
        <v>2345</v>
      </c>
      <c r="O291" s="210">
        <v>2348</v>
      </c>
      <c r="P291" s="210">
        <v>2350</v>
      </c>
      <c r="Q291" s="210">
        <v>2354</v>
      </c>
      <c r="R291" s="210">
        <v>2352</v>
      </c>
      <c r="S291" s="210">
        <v>2350</v>
      </c>
      <c r="T291" s="210">
        <v>2354</v>
      </c>
      <c r="U291" s="210">
        <v>2354</v>
      </c>
      <c r="V291" s="210">
        <v>2447</v>
      </c>
      <c r="W291" s="83">
        <v>2345</v>
      </c>
      <c r="X291" s="135">
        <f t="shared" si="278"/>
        <v>28289</v>
      </c>
      <c r="Y291" s="105"/>
      <c r="Z291" s="54"/>
    </row>
    <row r="292" spans="1:26">
      <c r="A292" s="70">
        <f t="shared" ref="A292" si="285">+A291</f>
        <v>2017014</v>
      </c>
      <c r="B292" s="74"/>
      <c r="C292" s="405"/>
      <c r="D292" s="402"/>
      <c r="E292" s="402"/>
      <c r="F292" s="402"/>
      <c r="G292" s="402"/>
      <c r="H292" s="402"/>
      <c r="I292" s="406"/>
      <c r="J292" s="398"/>
      <c r="K292" s="116" t="s">
        <v>32</v>
      </c>
      <c r="L292" s="206">
        <f t="shared" ref="L292:X292" si="286">L281-L284</f>
        <v>192863</v>
      </c>
      <c r="M292" s="271">
        <f t="shared" si="286"/>
        <v>183983</v>
      </c>
      <c r="N292" s="271">
        <f t="shared" si="286"/>
        <v>181558</v>
      </c>
      <c r="O292" s="356">
        <f t="shared" si="286"/>
        <v>183578</v>
      </c>
      <c r="P292" s="356">
        <f t="shared" si="286"/>
        <v>183174</v>
      </c>
      <c r="Q292" s="356">
        <f t="shared" si="286"/>
        <v>182366</v>
      </c>
      <c r="R292" s="356">
        <f t="shared" si="286"/>
        <v>182770</v>
      </c>
      <c r="S292" s="356">
        <f t="shared" si="286"/>
        <v>139524</v>
      </c>
      <c r="T292" s="356">
        <f t="shared" si="286"/>
        <v>182366</v>
      </c>
      <c r="U292" s="356">
        <f t="shared" si="286"/>
        <v>182366</v>
      </c>
      <c r="V292" s="356">
        <f t="shared" si="286"/>
        <v>160763</v>
      </c>
      <c r="W292" s="186">
        <f t="shared" si="286"/>
        <v>192863</v>
      </c>
      <c r="X292" s="187">
        <f t="shared" si="286"/>
        <v>2148174</v>
      </c>
      <c r="Z292" s="54"/>
    </row>
    <row r="293" spans="1:26" ht="12.75" customHeight="1">
      <c r="A293" s="101">
        <v>2024044</v>
      </c>
      <c r="B293" s="104"/>
      <c r="C293" s="433">
        <f t="shared" ref="C293" si="287">C281+1</f>
        <v>25</v>
      </c>
      <c r="D293" s="432" t="s">
        <v>37</v>
      </c>
      <c r="E293" s="432"/>
      <c r="F293" s="432"/>
      <c r="G293" s="432"/>
      <c r="H293" s="432" t="s">
        <v>98</v>
      </c>
      <c r="I293" s="434" t="s">
        <v>97</v>
      </c>
      <c r="J293" s="397"/>
      <c r="K293" s="61" t="s">
        <v>22</v>
      </c>
      <c r="L293" s="213">
        <f t="shared" ref="L293:W293" si="288">L294+L295</f>
        <v>510000</v>
      </c>
      <c r="M293" s="275">
        <f t="shared" si="288"/>
        <v>510000</v>
      </c>
      <c r="N293" s="275">
        <f t="shared" si="288"/>
        <v>510000</v>
      </c>
      <c r="O293" s="275">
        <f t="shared" si="288"/>
        <v>510000</v>
      </c>
      <c r="P293" s="275">
        <f t="shared" si="288"/>
        <v>510000</v>
      </c>
      <c r="Q293" s="353">
        <f t="shared" si="288"/>
        <v>510000</v>
      </c>
      <c r="R293" s="353">
        <f t="shared" si="288"/>
        <v>510000</v>
      </c>
      <c r="S293" s="353">
        <f t="shared" si="288"/>
        <v>496343</v>
      </c>
      <c r="T293" s="353">
        <f t="shared" si="288"/>
        <v>510000</v>
      </c>
      <c r="U293" s="353">
        <f t="shared" si="288"/>
        <v>510000</v>
      </c>
      <c r="V293" s="353">
        <f t="shared" si="288"/>
        <v>510000</v>
      </c>
      <c r="W293" s="131">
        <f t="shared" si="288"/>
        <v>510000</v>
      </c>
      <c r="X293" s="132">
        <f>SUM(L293:W293)</f>
        <v>6106343</v>
      </c>
      <c r="Z293" s="54"/>
    </row>
    <row r="294" spans="1:26">
      <c r="A294" s="70">
        <f>+A293</f>
        <v>2024044</v>
      </c>
      <c r="B294" s="74"/>
      <c r="C294" s="404"/>
      <c r="D294" s="402"/>
      <c r="E294" s="402"/>
      <c r="F294" s="402"/>
      <c r="G294" s="402"/>
      <c r="H294" s="402"/>
      <c r="I294" s="406"/>
      <c r="J294" s="398"/>
      <c r="K294" s="62" t="s">
        <v>23</v>
      </c>
      <c r="L294" s="210">
        <v>510000</v>
      </c>
      <c r="M294" s="210">
        <v>510000</v>
      </c>
      <c r="N294" s="210">
        <v>510000</v>
      </c>
      <c r="O294" s="210">
        <v>510000</v>
      </c>
      <c r="P294" s="210">
        <v>510000</v>
      </c>
      <c r="Q294" s="210">
        <v>510000</v>
      </c>
      <c r="R294" s="210">
        <v>510000</v>
      </c>
      <c r="S294" s="210">
        <v>496343</v>
      </c>
      <c r="T294" s="210">
        <v>510000</v>
      </c>
      <c r="U294" s="210">
        <v>510000</v>
      </c>
      <c r="V294" s="210">
        <v>510000</v>
      </c>
      <c r="W294" s="83">
        <v>510000</v>
      </c>
      <c r="X294" s="135">
        <f>SUM(L294:W294)</f>
        <v>6106343</v>
      </c>
      <c r="Y294" s="105"/>
      <c r="Z294" s="54"/>
    </row>
    <row r="295" spans="1:26">
      <c r="A295" s="70">
        <f t="shared" ref="A295" si="289">+A294</f>
        <v>2024044</v>
      </c>
      <c r="B295" s="74"/>
      <c r="C295" s="404"/>
      <c r="D295" s="402"/>
      <c r="E295" s="402"/>
      <c r="F295" s="402"/>
      <c r="G295" s="402"/>
      <c r="H295" s="402"/>
      <c r="I295" s="406"/>
      <c r="J295" s="398"/>
      <c r="K295" s="62" t="s">
        <v>24</v>
      </c>
      <c r="L295" s="226"/>
      <c r="M295" s="210"/>
      <c r="N295" s="210"/>
      <c r="O295" s="347"/>
      <c r="P295" s="347"/>
      <c r="Q295" s="347"/>
      <c r="R295" s="347"/>
      <c r="S295" s="347"/>
      <c r="T295" s="347"/>
      <c r="U295" s="347"/>
      <c r="V295" s="347"/>
      <c r="W295" s="133"/>
      <c r="X295" s="135">
        <v>0</v>
      </c>
      <c r="Z295" s="54"/>
    </row>
    <row r="296" spans="1:26">
      <c r="A296" s="70">
        <f t="shared" ref="A296" si="290">+A295</f>
        <v>2024044</v>
      </c>
      <c r="B296" s="74"/>
      <c r="C296" s="404"/>
      <c r="D296" s="402"/>
      <c r="E296" s="402"/>
      <c r="F296" s="402"/>
      <c r="G296" s="402"/>
      <c r="H296" s="402"/>
      <c r="I296" s="406"/>
      <c r="J296" s="398"/>
      <c r="K296" s="63" t="s">
        <v>25</v>
      </c>
      <c r="L296" s="227">
        <f t="shared" ref="L296:W296" si="291">SUM(L297:L303)</f>
        <v>295029</v>
      </c>
      <c r="M296" s="227">
        <f t="shared" si="291"/>
        <v>295029</v>
      </c>
      <c r="N296" s="227">
        <f t="shared" si="291"/>
        <v>295029</v>
      </c>
      <c r="O296" s="348">
        <f t="shared" si="291"/>
        <v>295029</v>
      </c>
      <c r="P296" s="348">
        <f t="shared" si="291"/>
        <v>295029</v>
      </c>
      <c r="Q296" s="348">
        <f t="shared" si="291"/>
        <v>297809</v>
      </c>
      <c r="R296" s="348">
        <f t="shared" si="291"/>
        <v>297809</v>
      </c>
      <c r="S296" s="348">
        <f t="shared" si="291"/>
        <v>297809</v>
      </c>
      <c r="T296" s="348">
        <f t="shared" si="291"/>
        <v>297809</v>
      </c>
      <c r="U296" s="348">
        <f t="shared" si="291"/>
        <v>297809</v>
      </c>
      <c r="V296" s="348">
        <f t="shared" si="291"/>
        <v>297992</v>
      </c>
      <c r="W296" s="134">
        <f t="shared" si="291"/>
        <v>295029</v>
      </c>
      <c r="X296" s="136">
        <f>SUM(L296:W296)</f>
        <v>3557211</v>
      </c>
      <c r="Z296" s="54"/>
    </row>
    <row r="297" spans="1:26">
      <c r="A297" s="70">
        <f t="shared" ref="A297" si="292">+A296</f>
        <v>2024044</v>
      </c>
      <c r="B297" s="74"/>
      <c r="C297" s="404"/>
      <c r="D297" s="402"/>
      <c r="E297" s="402"/>
      <c r="F297" s="402"/>
      <c r="G297" s="402"/>
      <c r="H297" s="402"/>
      <c r="I297" s="406"/>
      <c r="J297" s="398"/>
      <c r="K297" s="64" t="s">
        <v>26</v>
      </c>
      <c r="L297" s="210">
        <v>245000</v>
      </c>
      <c r="M297" s="210">
        <v>245000</v>
      </c>
      <c r="N297" s="210">
        <v>245000</v>
      </c>
      <c r="O297" s="210">
        <v>245000</v>
      </c>
      <c r="P297" s="210">
        <v>245000</v>
      </c>
      <c r="Q297" s="210">
        <v>245000</v>
      </c>
      <c r="R297" s="210">
        <v>245000</v>
      </c>
      <c r="S297" s="210">
        <v>245000</v>
      </c>
      <c r="T297" s="210">
        <v>245000</v>
      </c>
      <c r="U297" s="210">
        <v>245000</v>
      </c>
      <c r="V297" s="210">
        <v>245000</v>
      </c>
      <c r="W297" s="83">
        <v>245000</v>
      </c>
      <c r="X297" s="135">
        <f t="shared" ref="X297:X303" si="293">SUM(L297:W297)</f>
        <v>2940000</v>
      </c>
      <c r="Y297" s="105"/>
      <c r="Z297" s="54"/>
    </row>
    <row r="298" spans="1:26">
      <c r="A298" s="70">
        <f t="shared" ref="A298" si="294">+A297</f>
        <v>2024044</v>
      </c>
      <c r="B298" s="74"/>
      <c r="C298" s="404"/>
      <c r="D298" s="402"/>
      <c r="E298" s="402"/>
      <c r="F298" s="402"/>
      <c r="G298" s="402"/>
      <c r="H298" s="402"/>
      <c r="I298" s="406"/>
      <c r="J298" s="398"/>
      <c r="K298" s="64" t="s">
        <v>33</v>
      </c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83"/>
      <c r="X298" s="135">
        <f t="shared" si="293"/>
        <v>0</v>
      </c>
      <c r="Y298" s="105"/>
      <c r="Z298" s="54"/>
    </row>
    <row r="299" spans="1:26">
      <c r="A299" s="70">
        <f t="shared" ref="A299" si="295">+A298</f>
        <v>2024044</v>
      </c>
      <c r="B299" s="74"/>
      <c r="C299" s="404"/>
      <c r="D299" s="402"/>
      <c r="E299" s="402"/>
      <c r="F299" s="402"/>
      <c r="G299" s="402"/>
      <c r="H299" s="402"/>
      <c r="I299" s="406"/>
      <c r="J299" s="398"/>
      <c r="K299" s="64" t="s">
        <v>27</v>
      </c>
      <c r="L299" s="210">
        <v>13950</v>
      </c>
      <c r="M299" s="210">
        <v>13950</v>
      </c>
      <c r="N299" s="210">
        <v>13950</v>
      </c>
      <c r="O299" s="210">
        <v>13950</v>
      </c>
      <c r="P299" s="210">
        <v>13950</v>
      </c>
      <c r="Q299" s="210">
        <v>13950</v>
      </c>
      <c r="R299" s="210">
        <v>13950</v>
      </c>
      <c r="S299" s="210">
        <v>13950</v>
      </c>
      <c r="T299" s="210">
        <v>13950</v>
      </c>
      <c r="U299" s="210">
        <v>13950</v>
      </c>
      <c r="V299" s="210">
        <v>13950</v>
      </c>
      <c r="W299" s="83">
        <v>13950</v>
      </c>
      <c r="X299" s="135">
        <f t="shared" si="293"/>
        <v>167400</v>
      </c>
      <c r="Y299" s="105"/>
      <c r="Z299" s="54"/>
    </row>
    <row r="300" spans="1:26">
      <c r="A300" s="70">
        <f t="shared" ref="A300" si="296">+A299</f>
        <v>2024044</v>
      </c>
      <c r="B300" s="74"/>
      <c r="C300" s="404"/>
      <c r="D300" s="402"/>
      <c r="E300" s="402"/>
      <c r="F300" s="402"/>
      <c r="G300" s="402"/>
      <c r="H300" s="402"/>
      <c r="I300" s="406"/>
      <c r="J300" s="398"/>
      <c r="K300" s="64" t="s">
        <v>28</v>
      </c>
      <c r="L300" s="210">
        <v>11400</v>
      </c>
      <c r="M300" s="210">
        <v>11400</v>
      </c>
      <c r="N300" s="210">
        <v>11400</v>
      </c>
      <c r="O300" s="210">
        <v>11400</v>
      </c>
      <c r="P300" s="210">
        <v>11400</v>
      </c>
      <c r="Q300" s="210">
        <v>12350</v>
      </c>
      <c r="R300" s="210">
        <v>12350</v>
      </c>
      <c r="S300" s="210">
        <v>12350</v>
      </c>
      <c r="T300" s="210">
        <v>12350</v>
      </c>
      <c r="U300" s="210">
        <v>12350</v>
      </c>
      <c r="V300" s="210">
        <v>12350</v>
      </c>
      <c r="W300" s="83">
        <v>11400</v>
      </c>
      <c r="X300" s="135">
        <f t="shared" si="293"/>
        <v>142500</v>
      </c>
      <c r="Y300" s="105"/>
      <c r="Z300" s="54"/>
    </row>
    <row r="301" spans="1:26">
      <c r="A301" s="70">
        <f t="shared" ref="A301" si="297">+A300</f>
        <v>2024044</v>
      </c>
      <c r="B301" s="74"/>
      <c r="C301" s="404"/>
      <c r="D301" s="402"/>
      <c r="E301" s="402"/>
      <c r="F301" s="402"/>
      <c r="G301" s="402"/>
      <c r="H301" s="402"/>
      <c r="I301" s="406"/>
      <c r="J301" s="398"/>
      <c r="K301" s="64" t="s">
        <v>29</v>
      </c>
      <c r="L301" s="210">
        <v>21960</v>
      </c>
      <c r="M301" s="210">
        <v>21960</v>
      </c>
      <c r="N301" s="210">
        <v>21960</v>
      </c>
      <c r="O301" s="210">
        <v>21960</v>
      </c>
      <c r="P301" s="210">
        <v>21960</v>
      </c>
      <c r="Q301" s="210">
        <v>23790</v>
      </c>
      <c r="R301" s="210">
        <v>23790</v>
      </c>
      <c r="S301" s="210">
        <v>23790</v>
      </c>
      <c r="T301" s="210">
        <v>23790</v>
      </c>
      <c r="U301" s="210">
        <v>23790</v>
      </c>
      <c r="V301" s="210">
        <v>23790</v>
      </c>
      <c r="W301" s="83">
        <v>21960</v>
      </c>
      <c r="X301" s="135">
        <f t="shared" si="293"/>
        <v>274500</v>
      </c>
      <c r="Y301" s="105"/>
      <c r="Z301" s="54"/>
    </row>
    <row r="302" spans="1:26">
      <c r="A302" s="70">
        <f t="shared" ref="A302" si="298">+A301</f>
        <v>2024044</v>
      </c>
      <c r="B302" s="74"/>
      <c r="C302" s="404"/>
      <c r="D302" s="402"/>
      <c r="E302" s="402"/>
      <c r="F302" s="402"/>
      <c r="G302" s="402"/>
      <c r="H302" s="402"/>
      <c r="I302" s="406"/>
      <c r="J302" s="398"/>
      <c r="K302" s="64" t="s">
        <v>30</v>
      </c>
      <c r="L302" s="210">
        <v>1295</v>
      </c>
      <c r="M302" s="210">
        <v>1295</v>
      </c>
      <c r="N302" s="210">
        <v>1295</v>
      </c>
      <c r="O302" s="210">
        <v>1295</v>
      </c>
      <c r="P302" s="210">
        <v>1295</v>
      </c>
      <c r="Q302" s="210">
        <v>1295</v>
      </c>
      <c r="R302" s="210">
        <v>1295</v>
      </c>
      <c r="S302" s="210">
        <v>1295</v>
      </c>
      <c r="T302" s="210">
        <v>1295</v>
      </c>
      <c r="U302" s="210">
        <v>1295</v>
      </c>
      <c r="V302" s="210">
        <v>1382</v>
      </c>
      <c r="W302" s="83">
        <v>1295</v>
      </c>
      <c r="X302" s="135">
        <f t="shared" si="293"/>
        <v>15627</v>
      </c>
      <c r="Y302" s="105"/>
      <c r="Z302" s="54"/>
    </row>
    <row r="303" spans="1:26">
      <c r="A303" s="70">
        <f t="shared" ref="A303" si="299">+A302</f>
        <v>2024044</v>
      </c>
      <c r="B303" s="74"/>
      <c r="C303" s="404"/>
      <c r="D303" s="402"/>
      <c r="E303" s="402"/>
      <c r="F303" s="402"/>
      <c r="G303" s="402"/>
      <c r="H303" s="402"/>
      <c r="I303" s="406"/>
      <c r="J303" s="398"/>
      <c r="K303" s="64" t="s">
        <v>31</v>
      </c>
      <c r="L303" s="210">
        <v>1424</v>
      </c>
      <c r="M303" s="210">
        <v>1424</v>
      </c>
      <c r="N303" s="210">
        <v>1424</v>
      </c>
      <c r="O303" s="210">
        <v>1424</v>
      </c>
      <c r="P303" s="210">
        <v>1424</v>
      </c>
      <c r="Q303" s="210">
        <v>1424</v>
      </c>
      <c r="R303" s="210">
        <v>1424</v>
      </c>
      <c r="S303" s="210">
        <v>1424</v>
      </c>
      <c r="T303" s="210">
        <v>1424</v>
      </c>
      <c r="U303" s="210">
        <v>1424</v>
      </c>
      <c r="V303" s="210">
        <v>1520</v>
      </c>
      <c r="W303" s="83">
        <v>1424</v>
      </c>
      <c r="X303" s="135">
        <f t="shared" si="293"/>
        <v>17184</v>
      </c>
      <c r="Y303" s="105"/>
      <c r="Z303" s="54"/>
    </row>
    <row r="304" spans="1:26">
      <c r="A304" s="70">
        <f t="shared" ref="A304" si="300">+A303</f>
        <v>2024044</v>
      </c>
      <c r="B304" s="74"/>
      <c r="C304" s="405"/>
      <c r="D304" s="403"/>
      <c r="E304" s="403"/>
      <c r="F304" s="403"/>
      <c r="G304" s="403"/>
      <c r="H304" s="403"/>
      <c r="I304" s="407"/>
      <c r="J304" s="399"/>
      <c r="K304" s="65" t="s">
        <v>32</v>
      </c>
      <c r="L304" s="194">
        <f t="shared" ref="L304:X304" si="301">L293-L296</f>
        <v>214971</v>
      </c>
      <c r="M304" s="267">
        <f t="shared" si="301"/>
        <v>214971</v>
      </c>
      <c r="N304" s="267">
        <f t="shared" si="301"/>
        <v>214971</v>
      </c>
      <c r="O304" s="344">
        <f t="shared" si="301"/>
        <v>214971</v>
      </c>
      <c r="P304" s="344">
        <f t="shared" si="301"/>
        <v>214971</v>
      </c>
      <c r="Q304" s="344">
        <f t="shared" si="301"/>
        <v>212191</v>
      </c>
      <c r="R304" s="344">
        <f t="shared" si="301"/>
        <v>212191</v>
      </c>
      <c r="S304" s="344">
        <f t="shared" si="301"/>
        <v>198534</v>
      </c>
      <c r="T304" s="344">
        <f t="shared" si="301"/>
        <v>212191</v>
      </c>
      <c r="U304" s="344">
        <f t="shared" si="301"/>
        <v>212191</v>
      </c>
      <c r="V304" s="344">
        <f t="shared" si="301"/>
        <v>212008</v>
      </c>
      <c r="W304" s="129">
        <f t="shared" si="301"/>
        <v>214971</v>
      </c>
      <c r="X304" s="50">
        <f t="shared" si="301"/>
        <v>2549132</v>
      </c>
      <c r="Z304" s="54"/>
    </row>
    <row r="305" spans="1:26" ht="12.75" customHeight="1">
      <c r="A305" s="101" t="s">
        <v>108</v>
      </c>
      <c r="B305" s="104"/>
      <c r="C305" s="433">
        <f t="shared" ref="C305" si="302">C293+1</f>
        <v>26</v>
      </c>
      <c r="D305" s="432" t="s">
        <v>106</v>
      </c>
      <c r="E305" s="432"/>
      <c r="F305" s="432"/>
      <c r="G305" s="432"/>
      <c r="H305" s="432" t="s">
        <v>98</v>
      </c>
      <c r="I305" s="434" t="s">
        <v>97</v>
      </c>
      <c r="J305" s="397" t="s">
        <v>107</v>
      </c>
      <c r="K305" s="61" t="s">
        <v>22</v>
      </c>
      <c r="L305" s="213">
        <f t="shared" ref="L305:W305" si="303">L306+L307</f>
        <v>0</v>
      </c>
      <c r="M305" s="275">
        <f t="shared" si="303"/>
        <v>0</v>
      </c>
      <c r="N305" s="275">
        <f t="shared" si="303"/>
        <v>0</v>
      </c>
      <c r="O305" s="275">
        <f t="shared" si="303"/>
        <v>336819</v>
      </c>
      <c r="P305" s="275">
        <f t="shared" si="303"/>
        <v>539468</v>
      </c>
      <c r="Q305" s="353">
        <f t="shared" si="303"/>
        <v>570000</v>
      </c>
      <c r="R305" s="353">
        <f t="shared" si="303"/>
        <v>570000</v>
      </c>
      <c r="S305" s="353">
        <f t="shared" si="303"/>
        <v>549645</v>
      </c>
      <c r="T305" s="353">
        <f t="shared" si="303"/>
        <v>570000</v>
      </c>
      <c r="U305" s="353">
        <f t="shared" si="303"/>
        <v>570000</v>
      </c>
      <c r="V305" s="353">
        <f t="shared" si="303"/>
        <v>570000</v>
      </c>
      <c r="W305" s="131">
        <f t="shared" si="303"/>
        <v>570000</v>
      </c>
      <c r="X305" s="132">
        <f>SUM(L305:W305)</f>
        <v>4845932</v>
      </c>
      <c r="Z305" s="54"/>
    </row>
    <row r="306" spans="1:26">
      <c r="A306" s="70" t="str">
        <f>+A305</f>
        <v>-</v>
      </c>
      <c r="B306" s="74"/>
      <c r="C306" s="404"/>
      <c r="D306" s="402"/>
      <c r="E306" s="402"/>
      <c r="F306" s="402"/>
      <c r="G306" s="402"/>
      <c r="H306" s="402"/>
      <c r="I306" s="406"/>
      <c r="J306" s="398"/>
      <c r="K306" s="62" t="s">
        <v>23</v>
      </c>
      <c r="L306" s="210"/>
      <c r="M306" s="210"/>
      <c r="N306" s="210"/>
      <c r="O306" s="210">
        <v>336819</v>
      </c>
      <c r="P306" s="210">
        <v>539468</v>
      </c>
      <c r="Q306" s="210">
        <v>570000</v>
      </c>
      <c r="R306" s="210">
        <v>570000</v>
      </c>
      <c r="S306" s="210">
        <v>549645</v>
      </c>
      <c r="T306" s="210">
        <v>570000</v>
      </c>
      <c r="U306" s="210">
        <v>570000</v>
      </c>
      <c r="V306" s="210">
        <v>570000</v>
      </c>
      <c r="W306" s="83">
        <v>570000</v>
      </c>
      <c r="X306" s="135">
        <f>SUM(L306:W306)</f>
        <v>4845932</v>
      </c>
      <c r="Y306" s="105"/>
      <c r="Z306" s="54"/>
    </row>
    <row r="307" spans="1:26">
      <c r="A307" s="70" t="str">
        <f t="shared" ref="A307" si="304">+A306</f>
        <v>-</v>
      </c>
      <c r="B307" s="74"/>
      <c r="C307" s="404"/>
      <c r="D307" s="402"/>
      <c r="E307" s="402"/>
      <c r="F307" s="402"/>
      <c r="G307" s="402"/>
      <c r="H307" s="402"/>
      <c r="I307" s="406"/>
      <c r="J307" s="398"/>
      <c r="K307" s="62" t="s">
        <v>24</v>
      </c>
      <c r="L307" s="226"/>
      <c r="M307" s="210"/>
      <c r="N307" s="210"/>
      <c r="O307" s="347"/>
      <c r="P307" s="347"/>
      <c r="Q307" s="347"/>
      <c r="R307" s="347"/>
      <c r="S307" s="347"/>
      <c r="T307" s="347"/>
      <c r="U307" s="347"/>
      <c r="V307" s="347"/>
      <c r="W307" s="133"/>
      <c r="X307" s="135">
        <v>0</v>
      </c>
      <c r="Z307" s="54"/>
    </row>
    <row r="308" spans="1:26">
      <c r="A308" s="70" t="str">
        <f t="shared" ref="A308" si="305">+A307</f>
        <v>-</v>
      </c>
      <c r="B308" s="74"/>
      <c r="C308" s="404"/>
      <c r="D308" s="402"/>
      <c r="E308" s="402"/>
      <c r="F308" s="402"/>
      <c r="G308" s="402"/>
      <c r="H308" s="402"/>
      <c r="I308" s="406"/>
      <c r="J308" s="398"/>
      <c r="K308" s="63" t="s">
        <v>25</v>
      </c>
      <c r="L308" s="227">
        <f t="shared" ref="L308:W308" si="306">SUM(L309:L315)</f>
        <v>0</v>
      </c>
      <c r="M308" s="227">
        <f t="shared" si="306"/>
        <v>0</v>
      </c>
      <c r="N308" s="227">
        <f t="shared" si="306"/>
        <v>0</v>
      </c>
      <c r="O308" s="348">
        <f t="shared" si="306"/>
        <v>300900</v>
      </c>
      <c r="P308" s="348">
        <f t="shared" si="306"/>
        <v>482700</v>
      </c>
      <c r="Q308" s="348">
        <f t="shared" si="306"/>
        <v>510000</v>
      </c>
      <c r="R308" s="348">
        <f t="shared" si="306"/>
        <v>510000</v>
      </c>
      <c r="S308" s="348">
        <f t="shared" si="306"/>
        <v>491800</v>
      </c>
      <c r="T308" s="348">
        <f t="shared" si="306"/>
        <v>510000</v>
      </c>
      <c r="U308" s="348">
        <f t="shared" si="306"/>
        <v>510000</v>
      </c>
      <c r="V308" s="348">
        <f t="shared" si="306"/>
        <v>510000</v>
      </c>
      <c r="W308" s="134">
        <f t="shared" si="306"/>
        <v>510000</v>
      </c>
      <c r="X308" s="136">
        <f>SUM(L308:W308)</f>
        <v>4335400</v>
      </c>
      <c r="Z308" s="54"/>
    </row>
    <row r="309" spans="1:26">
      <c r="A309" s="70" t="str">
        <f t="shared" ref="A309" si="307">+A308</f>
        <v>-</v>
      </c>
      <c r="B309" s="74"/>
      <c r="C309" s="404"/>
      <c r="D309" s="402"/>
      <c r="E309" s="402"/>
      <c r="F309" s="402"/>
      <c r="G309" s="402"/>
      <c r="H309" s="402"/>
      <c r="I309" s="406"/>
      <c r="J309" s="398"/>
      <c r="K309" s="64" t="s">
        <v>26</v>
      </c>
      <c r="L309" s="210"/>
      <c r="M309" s="210"/>
      <c r="N309" s="210"/>
      <c r="O309" s="210">
        <v>300900</v>
      </c>
      <c r="P309" s="210">
        <v>482700</v>
      </c>
      <c r="Q309" s="210">
        <v>510000</v>
      </c>
      <c r="R309" s="210">
        <v>510000</v>
      </c>
      <c r="S309" s="210">
        <v>491800</v>
      </c>
      <c r="T309" s="210">
        <v>510000</v>
      </c>
      <c r="U309" s="210">
        <v>510000</v>
      </c>
      <c r="V309" s="210">
        <v>510000</v>
      </c>
      <c r="W309" s="83">
        <v>510000</v>
      </c>
      <c r="X309" s="135">
        <f t="shared" ref="X309:X315" si="308">SUM(L309:W309)</f>
        <v>4335400</v>
      </c>
      <c r="Y309" s="105"/>
      <c r="Z309" s="54"/>
    </row>
    <row r="310" spans="1:26">
      <c r="A310" s="70" t="str">
        <f t="shared" ref="A310" si="309">+A309</f>
        <v>-</v>
      </c>
      <c r="B310" s="74"/>
      <c r="C310" s="404"/>
      <c r="D310" s="402"/>
      <c r="E310" s="402"/>
      <c r="F310" s="402"/>
      <c r="G310" s="402"/>
      <c r="H310" s="402"/>
      <c r="I310" s="406"/>
      <c r="J310" s="398"/>
      <c r="K310" s="64" t="s">
        <v>33</v>
      </c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83"/>
      <c r="X310" s="135">
        <f t="shared" si="308"/>
        <v>0</v>
      </c>
      <c r="Y310" s="105"/>
      <c r="Z310" s="54"/>
    </row>
    <row r="311" spans="1:26">
      <c r="A311" s="70" t="str">
        <f t="shared" ref="A311" si="310">+A310</f>
        <v>-</v>
      </c>
      <c r="B311" s="74"/>
      <c r="C311" s="404"/>
      <c r="D311" s="402"/>
      <c r="E311" s="402"/>
      <c r="F311" s="402"/>
      <c r="G311" s="402"/>
      <c r="H311" s="402"/>
      <c r="I311" s="406"/>
      <c r="J311" s="398"/>
      <c r="K311" s="64" t="s">
        <v>27</v>
      </c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83"/>
      <c r="X311" s="135">
        <f t="shared" si="308"/>
        <v>0</v>
      </c>
      <c r="Y311" s="105"/>
      <c r="Z311" s="54"/>
    </row>
    <row r="312" spans="1:26">
      <c r="A312" s="70" t="str">
        <f t="shared" ref="A312" si="311">+A311</f>
        <v>-</v>
      </c>
      <c r="B312" s="74"/>
      <c r="C312" s="404"/>
      <c r="D312" s="402"/>
      <c r="E312" s="402"/>
      <c r="F312" s="402"/>
      <c r="G312" s="402"/>
      <c r="H312" s="402"/>
      <c r="I312" s="406"/>
      <c r="J312" s="398"/>
      <c r="K312" s="64" t="s">
        <v>28</v>
      </c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83"/>
      <c r="X312" s="135">
        <f t="shared" si="308"/>
        <v>0</v>
      </c>
      <c r="Y312" s="105"/>
      <c r="Z312" s="54"/>
    </row>
    <row r="313" spans="1:26">
      <c r="A313" s="70" t="str">
        <f t="shared" ref="A313" si="312">+A312</f>
        <v>-</v>
      </c>
      <c r="B313" s="74"/>
      <c r="C313" s="404"/>
      <c r="D313" s="402"/>
      <c r="E313" s="402"/>
      <c r="F313" s="402"/>
      <c r="G313" s="402"/>
      <c r="H313" s="402"/>
      <c r="I313" s="406"/>
      <c r="J313" s="398"/>
      <c r="K313" s="64" t="s">
        <v>29</v>
      </c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83"/>
      <c r="X313" s="135">
        <f t="shared" si="308"/>
        <v>0</v>
      </c>
      <c r="Y313" s="105"/>
      <c r="Z313" s="54"/>
    </row>
    <row r="314" spans="1:26">
      <c r="A314" s="70" t="str">
        <f t="shared" ref="A314" si="313">+A313</f>
        <v>-</v>
      </c>
      <c r="B314" s="74"/>
      <c r="C314" s="404"/>
      <c r="D314" s="402"/>
      <c r="E314" s="402"/>
      <c r="F314" s="402"/>
      <c r="G314" s="402"/>
      <c r="H314" s="402"/>
      <c r="I314" s="406"/>
      <c r="J314" s="398"/>
      <c r="K314" s="64" t="s">
        <v>30</v>
      </c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83"/>
      <c r="X314" s="135">
        <f t="shared" si="308"/>
        <v>0</v>
      </c>
      <c r="Y314" s="105"/>
      <c r="Z314" s="54"/>
    </row>
    <row r="315" spans="1:26">
      <c r="A315" s="70" t="str">
        <f t="shared" ref="A315" si="314">+A314</f>
        <v>-</v>
      </c>
      <c r="B315" s="74"/>
      <c r="C315" s="404"/>
      <c r="D315" s="402"/>
      <c r="E315" s="402"/>
      <c r="F315" s="402"/>
      <c r="G315" s="402"/>
      <c r="H315" s="402"/>
      <c r="I315" s="406"/>
      <c r="J315" s="398"/>
      <c r="K315" s="64" t="s">
        <v>31</v>
      </c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83"/>
      <c r="X315" s="135">
        <f t="shared" si="308"/>
        <v>0</v>
      </c>
      <c r="Y315" s="105"/>
      <c r="Z315" s="54"/>
    </row>
    <row r="316" spans="1:26">
      <c r="A316" s="70" t="str">
        <f t="shared" ref="A316" si="315">+A315</f>
        <v>-</v>
      </c>
      <c r="B316" s="74"/>
      <c r="C316" s="405"/>
      <c r="D316" s="403"/>
      <c r="E316" s="403"/>
      <c r="F316" s="403"/>
      <c r="G316" s="403"/>
      <c r="H316" s="403"/>
      <c r="I316" s="407"/>
      <c r="J316" s="399"/>
      <c r="K316" s="65" t="s">
        <v>32</v>
      </c>
      <c r="L316" s="194">
        <f t="shared" ref="L316:X316" si="316">L305-L308</f>
        <v>0</v>
      </c>
      <c r="M316" s="267">
        <f t="shared" si="316"/>
        <v>0</v>
      </c>
      <c r="N316" s="267">
        <f t="shared" si="316"/>
        <v>0</v>
      </c>
      <c r="O316" s="344">
        <f t="shared" si="316"/>
        <v>35919</v>
      </c>
      <c r="P316" s="344">
        <f t="shared" si="316"/>
        <v>56768</v>
      </c>
      <c r="Q316" s="344">
        <f t="shared" si="316"/>
        <v>60000</v>
      </c>
      <c r="R316" s="344">
        <f t="shared" si="316"/>
        <v>60000</v>
      </c>
      <c r="S316" s="344">
        <f t="shared" si="316"/>
        <v>57845</v>
      </c>
      <c r="T316" s="344">
        <f t="shared" si="316"/>
        <v>60000</v>
      </c>
      <c r="U316" s="344">
        <f t="shared" si="316"/>
        <v>60000</v>
      </c>
      <c r="V316" s="344">
        <f t="shared" si="316"/>
        <v>60000</v>
      </c>
      <c r="W316" s="129">
        <f t="shared" si="316"/>
        <v>60000</v>
      </c>
      <c r="X316" s="50">
        <f t="shared" si="316"/>
        <v>510532</v>
      </c>
      <c r="Z316" s="54"/>
    </row>
    <row r="317" spans="1:26" ht="12.75" customHeight="1">
      <c r="A317" s="101">
        <v>2019007</v>
      </c>
      <c r="B317" s="104"/>
      <c r="C317" s="433">
        <f t="shared" ref="C317" si="317">C305+1</f>
        <v>27</v>
      </c>
      <c r="D317" s="432" t="s">
        <v>37</v>
      </c>
      <c r="E317" s="432"/>
      <c r="F317" s="432"/>
      <c r="G317" s="432"/>
      <c r="H317" s="432"/>
      <c r="I317" s="434" t="s">
        <v>101</v>
      </c>
      <c r="J317" s="397"/>
      <c r="K317" s="61" t="s">
        <v>22</v>
      </c>
      <c r="L317" s="213">
        <f t="shared" ref="L317:W317" si="318">L318+L319</f>
        <v>441000</v>
      </c>
      <c r="M317" s="275">
        <f t="shared" si="318"/>
        <v>378000</v>
      </c>
      <c r="N317" s="275">
        <f t="shared" si="318"/>
        <v>407400</v>
      </c>
      <c r="O317" s="275">
        <f t="shared" si="318"/>
        <v>420000</v>
      </c>
      <c r="P317" s="275">
        <f t="shared" si="318"/>
        <v>357000</v>
      </c>
      <c r="Q317" s="353">
        <f t="shared" si="318"/>
        <v>384650</v>
      </c>
      <c r="R317" s="353">
        <f t="shared" si="318"/>
        <v>441000</v>
      </c>
      <c r="S317" s="353">
        <f t="shared" si="318"/>
        <v>357000</v>
      </c>
      <c r="T317" s="353">
        <f t="shared" si="318"/>
        <v>399000</v>
      </c>
      <c r="U317" s="353">
        <f t="shared" si="318"/>
        <v>352450</v>
      </c>
      <c r="V317" s="353">
        <f t="shared" si="318"/>
        <v>327600</v>
      </c>
      <c r="W317" s="131">
        <f t="shared" si="318"/>
        <v>441000</v>
      </c>
      <c r="X317" s="132">
        <f>SUM(L317:W317)</f>
        <v>4706100</v>
      </c>
      <c r="Z317" s="54"/>
    </row>
    <row r="318" spans="1:26">
      <c r="A318" s="70">
        <f>+A317</f>
        <v>2019007</v>
      </c>
      <c r="B318" s="74"/>
      <c r="C318" s="404"/>
      <c r="D318" s="402"/>
      <c r="E318" s="402"/>
      <c r="F318" s="402"/>
      <c r="G318" s="402"/>
      <c r="H318" s="402"/>
      <c r="I318" s="406"/>
      <c r="J318" s="398"/>
      <c r="K318" s="62" t="s">
        <v>23</v>
      </c>
      <c r="L318" s="210">
        <v>441000</v>
      </c>
      <c r="M318" s="210">
        <v>378000</v>
      </c>
      <c r="N318" s="210">
        <v>407400</v>
      </c>
      <c r="O318" s="210">
        <v>420000</v>
      </c>
      <c r="P318" s="210">
        <v>357000</v>
      </c>
      <c r="Q318" s="210">
        <v>384650</v>
      </c>
      <c r="R318" s="210">
        <v>441000</v>
      </c>
      <c r="S318" s="210">
        <v>357000</v>
      </c>
      <c r="T318" s="210">
        <v>399000</v>
      </c>
      <c r="U318" s="210">
        <v>352450</v>
      </c>
      <c r="V318" s="210">
        <v>327600</v>
      </c>
      <c r="W318" s="83">
        <v>441000</v>
      </c>
      <c r="X318" s="135">
        <f>SUM(L318:W318)</f>
        <v>4706100</v>
      </c>
      <c r="Y318" s="105"/>
      <c r="Z318" s="54"/>
    </row>
    <row r="319" spans="1:26">
      <c r="A319" s="70">
        <f t="shared" ref="A319" si="319">+A318</f>
        <v>2019007</v>
      </c>
      <c r="B319" s="74"/>
      <c r="C319" s="404"/>
      <c r="D319" s="402"/>
      <c r="E319" s="402"/>
      <c r="F319" s="402"/>
      <c r="G319" s="402"/>
      <c r="H319" s="402"/>
      <c r="I319" s="406"/>
      <c r="J319" s="398"/>
      <c r="K319" s="62" t="s">
        <v>24</v>
      </c>
      <c r="L319" s="226"/>
      <c r="M319" s="210"/>
      <c r="N319" s="210"/>
      <c r="O319" s="347"/>
      <c r="P319" s="347"/>
      <c r="Q319" s="347"/>
      <c r="R319" s="347"/>
      <c r="S319" s="347"/>
      <c r="T319" s="347"/>
      <c r="U319" s="347"/>
      <c r="V319" s="347"/>
      <c r="W319" s="133"/>
      <c r="X319" s="135">
        <v>0</v>
      </c>
      <c r="Z319" s="54"/>
    </row>
    <row r="320" spans="1:26">
      <c r="A320" s="70">
        <f t="shared" ref="A320" si="320">+A319</f>
        <v>2019007</v>
      </c>
      <c r="B320" s="74"/>
      <c r="C320" s="404"/>
      <c r="D320" s="402"/>
      <c r="E320" s="402"/>
      <c r="F320" s="402"/>
      <c r="G320" s="402"/>
      <c r="H320" s="402"/>
      <c r="I320" s="406"/>
      <c r="J320" s="398"/>
      <c r="K320" s="63" t="s">
        <v>25</v>
      </c>
      <c r="L320" s="227">
        <f t="shared" ref="L320:W320" si="321">SUM(L321:L327)</f>
        <v>385126</v>
      </c>
      <c r="M320" s="227">
        <f t="shared" si="321"/>
        <v>346510</v>
      </c>
      <c r="N320" s="227">
        <f t="shared" si="321"/>
        <v>360227</v>
      </c>
      <c r="O320" s="348">
        <f t="shared" si="321"/>
        <v>373944</v>
      </c>
      <c r="P320" s="348">
        <f t="shared" si="321"/>
        <v>346510</v>
      </c>
      <c r="Q320" s="348">
        <f t="shared" si="321"/>
        <v>346103</v>
      </c>
      <c r="R320" s="348">
        <f t="shared" si="321"/>
        <v>368384</v>
      </c>
      <c r="S320" s="348">
        <f t="shared" si="321"/>
        <v>328146</v>
      </c>
      <c r="T320" s="348">
        <f t="shared" si="321"/>
        <v>354667</v>
      </c>
      <c r="U320" s="348">
        <f t="shared" si="321"/>
        <v>333098</v>
      </c>
      <c r="V320" s="348">
        <f t="shared" si="321"/>
        <v>333818</v>
      </c>
      <c r="W320" s="134">
        <f t="shared" si="321"/>
        <v>360771</v>
      </c>
      <c r="X320" s="136">
        <f>SUM(L320:W320)</f>
        <v>4237304</v>
      </c>
      <c r="Z320" s="54"/>
    </row>
    <row r="321" spans="1:26">
      <c r="A321" s="70">
        <f t="shared" ref="A321" si="322">+A320</f>
        <v>2019007</v>
      </c>
      <c r="B321" s="74"/>
      <c r="C321" s="404"/>
      <c r="D321" s="402"/>
      <c r="E321" s="402"/>
      <c r="F321" s="402"/>
      <c r="G321" s="402"/>
      <c r="H321" s="402"/>
      <c r="I321" s="406"/>
      <c r="J321" s="398"/>
      <c r="K321" s="64" t="s">
        <v>26</v>
      </c>
      <c r="L321" s="225">
        <v>285075</v>
      </c>
      <c r="M321" s="225">
        <v>271500</v>
      </c>
      <c r="N321" s="225">
        <v>285075</v>
      </c>
      <c r="O321" s="225">
        <v>298650</v>
      </c>
      <c r="P321" s="225">
        <v>271500</v>
      </c>
      <c r="Q321" s="225">
        <v>276600</v>
      </c>
      <c r="R321" s="225">
        <v>298650</v>
      </c>
      <c r="S321" s="225">
        <v>258830</v>
      </c>
      <c r="T321" s="225">
        <v>285075</v>
      </c>
      <c r="U321" s="225">
        <v>263130</v>
      </c>
      <c r="V321" s="225">
        <v>264262</v>
      </c>
      <c r="W321" s="106">
        <v>285000</v>
      </c>
      <c r="X321" s="135">
        <f t="shared" ref="X321:X327" si="323">SUM(L321:W321)</f>
        <v>3343347</v>
      </c>
      <c r="Y321" s="105"/>
      <c r="Z321" s="54"/>
    </row>
    <row r="322" spans="1:26">
      <c r="A322" s="70">
        <f t="shared" ref="A322" si="324">+A321</f>
        <v>2019007</v>
      </c>
      <c r="B322" s="74"/>
      <c r="C322" s="404"/>
      <c r="D322" s="402"/>
      <c r="E322" s="402"/>
      <c r="F322" s="402"/>
      <c r="G322" s="402"/>
      <c r="H322" s="402"/>
      <c r="I322" s="406"/>
      <c r="J322" s="398"/>
      <c r="K322" s="64" t="s">
        <v>33</v>
      </c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106"/>
      <c r="X322" s="135">
        <f t="shared" si="323"/>
        <v>0</v>
      </c>
      <c r="Y322" s="105"/>
      <c r="Z322" s="54"/>
    </row>
    <row r="323" spans="1:26">
      <c r="A323" s="70">
        <f t="shared" ref="A323" si="325">+A322</f>
        <v>2019007</v>
      </c>
      <c r="B323" s="74"/>
      <c r="C323" s="404"/>
      <c r="D323" s="402"/>
      <c r="E323" s="402"/>
      <c r="F323" s="402"/>
      <c r="G323" s="402"/>
      <c r="H323" s="402"/>
      <c r="I323" s="406"/>
      <c r="J323" s="398"/>
      <c r="K323" s="64" t="s">
        <v>27</v>
      </c>
      <c r="L323" s="225">
        <v>49280</v>
      </c>
      <c r="M323" s="225">
        <v>24640</v>
      </c>
      <c r="N323" s="225">
        <v>24640</v>
      </c>
      <c r="O323" s="225">
        <v>24640</v>
      </c>
      <c r="P323" s="225">
        <v>24640</v>
      </c>
      <c r="Q323" s="225">
        <v>24640</v>
      </c>
      <c r="R323" s="225">
        <v>24640</v>
      </c>
      <c r="S323" s="225">
        <v>24640</v>
      </c>
      <c r="T323" s="225">
        <v>24640</v>
      </c>
      <c r="U323" s="225">
        <v>25240</v>
      </c>
      <c r="V323" s="225">
        <v>24640</v>
      </c>
      <c r="W323" s="106">
        <v>25000</v>
      </c>
      <c r="X323" s="135">
        <f t="shared" si="323"/>
        <v>321280</v>
      </c>
      <c r="Y323" s="105"/>
      <c r="Z323" s="54"/>
    </row>
    <row r="324" spans="1:26">
      <c r="A324" s="70">
        <f t="shared" ref="A324" si="326">+A323</f>
        <v>2019007</v>
      </c>
      <c r="B324" s="74"/>
      <c r="C324" s="404"/>
      <c r="D324" s="402"/>
      <c r="E324" s="402"/>
      <c r="F324" s="402"/>
      <c r="G324" s="402"/>
      <c r="H324" s="402"/>
      <c r="I324" s="406"/>
      <c r="J324" s="398"/>
      <c r="K324" s="64" t="s">
        <v>28</v>
      </c>
      <c r="L324" s="225">
        <v>16150</v>
      </c>
      <c r="M324" s="225">
        <v>16150</v>
      </c>
      <c r="N324" s="225">
        <v>16150</v>
      </c>
      <c r="O324" s="225">
        <v>16150</v>
      </c>
      <c r="P324" s="225">
        <v>16150</v>
      </c>
      <c r="Q324" s="225">
        <v>14250</v>
      </c>
      <c r="R324" s="225">
        <v>14250</v>
      </c>
      <c r="S324" s="225">
        <v>14250</v>
      </c>
      <c r="T324" s="225">
        <v>14250</v>
      </c>
      <c r="U324" s="225">
        <v>14250</v>
      </c>
      <c r="V324" s="225">
        <v>14250</v>
      </c>
      <c r="W324" s="106">
        <v>16150</v>
      </c>
      <c r="X324" s="135">
        <f t="shared" si="323"/>
        <v>182400</v>
      </c>
      <c r="Y324" s="105"/>
      <c r="Z324" s="54"/>
    </row>
    <row r="325" spans="1:26">
      <c r="A325" s="70">
        <f t="shared" ref="A325" si="327">+A324</f>
        <v>2019007</v>
      </c>
      <c r="B325" s="74"/>
      <c r="C325" s="404"/>
      <c r="D325" s="402"/>
      <c r="E325" s="402"/>
      <c r="F325" s="402"/>
      <c r="G325" s="402"/>
      <c r="H325" s="402"/>
      <c r="I325" s="406"/>
      <c r="J325" s="398"/>
      <c r="K325" s="64" t="s">
        <v>29</v>
      </c>
      <c r="L325" s="225">
        <v>31110</v>
      </c>
      <c r="M325" s="225">
        <v>31110</v>
      </c>
      <c r="N325" s="225">
        <v>31110</v>
      </c>
      <c r="O325" s="225">
        <v>31110</v>
      </c>
      <c r="P325" s="225">
        <v>31110</v>
      </c>
      <c r="Q325" s="225">
        <v>27450</v>
      </c>
      <c r="R325" s="225">
        <v>27450</v>
      </c>
      <c r="S325" s="225">
        <v>27450</v>
      </c>
      <c r="T325" s="225">
        <v>27450</v>
      </c>
      <c r="U325" s="225">
        <v>27450</v>
      </c>
      <c r="V325" s="225">
        <v>27450</v>
      </c>
      <c r="W325" s="106">
        <v>31110</v>
      </c>
      <c r="X325" s="135">
        <f t="shared" si="323"/>
        <v>351360</v>
      </c>
      <c r="Y325" s="105"/>
      <c r="Z325" s="54"/>
    </row>
    <row r="326" spans="1:26">
      <c r="A326" s="70">
        <f t="shared" ref="A326" si="328">+A325</f>
        <v>2019007</v>
      </c>
      <c r="B326" s="74"/>
      <c r="C326" s="404"/>
      <c r="D326" s="402"/>
      <c r="E326" s="402"/>
      <c r="F326" s="402"/>
      <c r="G326" s="402"/>
      <c r="H326" s="402"/>
      <c r="I326" s="406"/>
      <c r="J326" s="398"/>
      <c r="K326" s="64" t="s">
        <v>30</v>
      </c>
      <c r="L326" s="225">
        <v>1672</v>
      </c>
      <c r="M326" s="225">
        <v>1481</v>
      </c>
      <c r="N326" s="225">
        <v>1549</v>
      </c>
      <c r="O326" s="225">
        <v>1616</v>
      </c>
      <c r="P326" s="225">
        <v>1481</v>
      </c>
      <c r="Q326" s="225">
        <v>1506</v>
      </c>
      <c r="R326" s="225">
        <v>1616</v>
      </c>
      <c r="S326" s="225">
        <v>1417</v>
      </c>
      <c r="T326" s="225">
        <v>1549</v>
      </c>
      <c r="U326" s="225">
        <v>1442</v>
      </c>
      <c r="V326" s="225">
        <v>1531</v>
      </c>
      <c r="W326" s="106">
        <v>1672</v>
      </c>
      <c r="X326" s="135">
        <f t="shared" si="323"/>
        <v>18532</v>
      </c>
      <c r="Y326" s="105"/>
      <c r="Z326" s="54"/>
    </row>
    <row r="327" spans="1:26">
      <c r="A327" s="70">
        <f t="shared" ref="A327" si="329">+A326</f>
        <v>2019007</v>
      </c>
      <c r="B327" s="74"/>
      <c r="C327" s="404"/>
      <c r="D327" s="402"/>
      <c r="E327" s="402"/>
      <c r="F327" s="402"/>
      <c r="G327" s="402"/>
      <c r="H327" s="402"/>
      <c r="I327" s="406"/>
      <c r="J327" s="398"/>
      <c r="K327" s="64" t="s">
        <v>31</v>
      </c>
      <c r="L327" s="225">
        <v>1839</v>
      </c>
      <c r="M327" s="225">
        <v>1629</v>
      </c>
      <c r="N327" s="225">
        <v>1703</v>
      </c>
      <c r="O327" s="225">
        <v>1778</v>
      </c>
      <c r="P327" s="225">
        <v>1629</v>
      </c>
      <c r="Q327" s="225">
        <v>1657</v>
      </c>
      <c r="R327" s="225">
        <v>1778</v>
      </c>
      <c r="S327" s="225">
        <v>1559</v>
      </c>
      <c r="T327" s="225">
        <v>1703</v>
      </c>
      <c r="U327" s="225">
        <v>1586</v>
      </c>
      <c r="V327" s="225">
        <v>1685</v>
      </c>
      <c r="W327" s="106">
        <v>1839</v>
      </c>
      <c r="X327" s="135">
        <f t="shared" si="323"/>
        <v>20385</v>
      </c>
      <c r="Y327" s="105"/>
      <c r="Z327" s="54"/>
    </row>
    <row r="328" spans="1:26">
      <c r="A328" s="70">
        <f t="shared" ref="A328" si="330">+A327</f>
        <v>2019007</v>
      </c>
      <c r="B328" s="74"/>
      <c r="C328" s="405"/>
      <c r="D328" s="403"/>
      <c r="E328" s="403"/>
      <c r="F328" s="403"/>
      <c r="G328" s="403"/>
      <c r="H328" s="403"/>
      <c r="I328" s="407"/>
      <c r="J328" s="399"/>
      <c r="K328" s="65" t="s">
        <v>32</v>
      </c>
      <c r="L328" s="194">
        <f t="shared" ref="L328:X328" si="331">L317-L320</f>
        <v>55874</v>
      </c>
      <c r="M328" s="267">
        <f t="shared" si="331"/>
        <v>31490</v>
      </c>
      <c r="N328" s="267">
        <f t="shared" si="331"/>
        <v>47173</v>
      </c>
      <c r="O328" s="344">
        <f t="shared" si="331"/>
        <v>46056</v>
      </c>
      <c r="P328" s="344">
        <f t="shared" si="331"/>
        <v>10490</v>
      </c>
      <c r="Q328" s="344">
        <f t="shared" si="331"/>
        <v>38547</v>
      </c>
      <c r="R328" s="344">
        <f t="shared" si="331"/>
        <v>72616</v>
      </c>
      <c r="S328" s="344">
        <f t="shared" si="331"/>
        <v>28854</v>
      </c>
      <c r="T328" s="344">
        <f t="shared" si="331"/>
        <v>44333</v>
      </c>
      <c r="U328" s="344">
        <f t="shared" si="331"/>
        <v>19352</v>
      </c>
      <c r="V328" s="344">
        <f t="shared" si="331"/>
        <v>-6218</v>
      </c>
      <c r="W328" s="129">
        <f t="shared" si="331"/>
        <v>80229</v>
      </c>
      <c r="X328" s="50">
        <f t="shared" si="331"/>
        <v>468796</v>
      </c>
      <c r="Z328" s="54"/>
    </row>
    <row r="329" spans="1:26" ht="12.75" customHeight="1">
      <c r="A329" s="101">
        <v>2025005</v>
      </c>
      <c r="B329" s="104"/>
      <c r="C329" s="433">
        <f t="shared" ref="C329" si="332">C317+1</f>
        <v>28</v>
      </c>
      <c r="D329" s="432" t="s">
        <v>37</v>
      </c>
      <c r="E329" s="432" t="s">
        <v>104</v>
      </c>
      <c r="F329" s="432"/>
      <c r="G329" s="432"/>
      <c r="H329" s="432"/>
      <c r="I329" s="509" t="s">
        <v>103</v>
      </c>
      <c r="J329" s="397"/>
      <c r="K329" s="61" t="s">
        <v>22</v>
      </c>
      <c r="L329" s="314">
        <f t="shared" ref="L329:W329" si="333">L330+L331</f>
        <v>0</v>
      </c>
      <c r="M329" s="315">
        <f t="shared" si="333"/>
        <v>0</v>
      </c>
      <c r="N329" s="315">
        <f t="shared" si="333"/>
        <v>0</v>
      </c>
      <c r="O329" s="315">
        <f t="shared" si="333"/>
        <v>450000</v>
      </c>
      <c r="P329" s="315">
        <f t="shared" si="333"/>
        <v>149330</v>
      </c>
      <c r="Q329" s="380">
        <f t="shared" si="333"/>
        <v>0</v>
      </c>
      <c r="R329" s="380">
        <f t="shared" si="333"/>
        <v>0</v>
      </c>
      <c r="S329" s="380">
        <f t="shared" si="333"/>
        <v>0</v>
      </c>
      <c r="T329" s="380">
        <f t="shared" si="333"/>
        <v>0</v>
      </c>
      <c r="U329" s="380">
        <f t="shared" si="333"/>
        <v>0</v>
      </c>
      <c r="V329" s="353">
        <f t="shared" si="333"/>
        <v>0</v>
      </c>
      <c r="W329" s="245">
        <f t="shared" si="333"/>
        <v>0</v>
      </c>
      <c r="X329" s="246">
        <f>SUM(L329:W329)</f>
        <v>599330</v>
      </c>
      <c r="Z329" s="54"/>
    </row>
    <row r="330" spans="1:26">
      <c r="A330" s="70">
        <f>+A329</f>
        <v>2025005</v>
      </c>
      <c r="B330" s="74"/>
      <c r="C330" s="404"/>
      <c r="D330" s="402"/>
      <c r="E330" s="402"/>
      <c r="F330" s="402"/>
      <c r="G330" s="402"/>
      <c r="H330" s="402"/>
      <c r="I330" s="493"/>
      <c r="J330" s="398"/>
      <c r="K330" s="62" t="s">
        <v>23</v>
      </c>
      <c r="L330" s="249"/>
      <c r="M330" s="249"/>
      <c r="N330" s="249"/>
      <c r="O330" s="249">
        <v>450000</v>
      </c>
      <c r="P330" s="249">
        <v>149330</v>
      </c>
      <c r="Q330" s="249"/>
      <c r="R330" s="249"/>
      <c r="S330" s="249"/>
      <c r="T330" s="249"/>
      <c r="U330" s="249"/>
      <c r="V330" s="210"/>
      <c r="W330" s="249"/>
      <c r="X330" s="247">
        <f>SUM(L330:W330)</f>
        <v>599330</v>
      </c>
      <c r="Y330" s="105"/>
      <c r="Z330" s="54"/>
    </row>
    <row r="331" spans="1:26">
      <c r="A331" s="70">
        <f t="shared" ref="A331" si="334">+A330</f>
        <v>2025005</v>
      </c>
      <c r="B331" s="74"/>
      <c r="C331" s="404"/>
      <c r="D331" s="402"/>
      <c r="E331" s="402"/>
      <c r="F331" s="402"/>
      <c r="G331" s="402"/>
      <c r="H331" s="402"/>
      <c r="I331" s="493"/>
      <c r="J331" s="398"/>
      <c r="K331" s="62" t="s">
        <v>24</v>
      </c>
      <c r="L331" s="381"/>
      <c r="M331" s="249"/>
      <c r="N331" s="249"/>
      <c r="O331" s="382"/>
      <c r="P331" s="382"/>
      <c r="Q331" s="382"/>
      <c r="R331" s="382"/>
      <c r="S331" s="382"/>
      <c r="T331" s="382"/>
      <c r="U331" s="382"/>
      <c r="V331" s="347"/>
      <c r="W331" s="383"/>
      <c r="X331" s="247">
        <v>0</v>
      </c>
      <c r="Z331" s="54"/>
    </row>
    <row r="332" spans="1:26">
      <c r="A332" s="70">
        <f t="shared" ref="A332" si="335">+A331</f>
        <v>2025005</v>
      </c>
      <c r="B332" s="74"/>
      <c r="C332" s="404"/>
      <c r="D332" s="402"/>
      <c r="E332" s="402"/>
      <c r="F332" s="402"/>
      <c r="G332" s="402"/>
      <c r="H332" s="402"/>
      <c r="I332" s="493"/>
      <c r="J332" s="398"/>
      <c r="K332" s="63" t="s">
        <v>25</v>
      </c>
      <c r="L332" s="307">
        <f t="shared" ref="L332:W332" si="336">SUM(L333:L339)</f>
        <v>0</v>
      </c>
      <c r="M332" s="307">
        <f t="shared" si="336"/>
        <v>0</v>
      </c>
      <c r="N332" s="307">
        <f t="shared" si="336"/>
        <v>0</v>
      </c>
      <c r="O332" s="384">
        <f t="shared" si="336"/>
        <v>310470</v>
      </c>
      <c r="P332" s="384">
        <f t="shared" si="336"/>
        <v>110218</v>
      </c>
      <c r="Q332" s="384">
        <f t="shared" si="336"/>
        <v>0</v>
      </c>
      <c r="R332" s="384">
        <f t="shared" si="336"/>
        <v>0</v>
      </c>
      <c r="S332" s="384">
        <f t="shared" si="336"/>
        <v>0</v>
      </c>
      <c r="T332" s="384">
        <f t="shared" si="336"/>
        <v>0</v>
      </c>
      <c r="U332" s="384">
        <f t="shared" si="336"/>
        <v>0</v>
      </c>
      <c r="V332" s="348">
        <f t="shared" si="336"/>
        <v>0</v>
      </c>
      <c r="W332" s="385">
        <f t="shared" si="336"/>
        <v>0</v>
      </c>
      <c r="X332" s="248">
        <f>SUM(L332:W332)</f>
        <v>420688</v>
      </c>
      <c r="Z332" s="54"/>
    </row>
    <row r="333" spans="1:26">
      <c r="A333" s="70">
        <f t="shared" ref="A333" si="337">+A332</f>
        <v>2025005</v>
      </c>
      <c r="B333" s="74"/>
      <c r="C333" s="404"/>
      <c r="D333" s="402"/>
      <c r="E333" s="402"/>
      <c r="F333" s="402"/>
      <c r="G333" s="402"/>
      <c r="H333" s="402"/>
      <c r="I333" s="493"/>
      <c r="J333" s="398"/>
      <c r="K333" s="64" t="s">
        <v>26</v>
      </c>
      <c r="L333" s="386"/>
      <c r="M333" s="386"/>
      <c r="N333" s="386"/>
      <c r="O333" s="386">
        <v>240000</v>
      </c>
      <c r="P333" s="386">
        <v>104683</v>
      </c>
      <c r="Q333" s="386"/>
      <c r="R333" s="386"/>
      <c r="S333" s="386"/>
      <c r="T333" s="386"/>
      <c r="U333" s="386"/>
      <c r="V333" s="225"/>
      <c r="W333" s="386"/>
      <c r="X333" s="247">
        <f t="shared" ref="X333:X339" si="338">SUM(L333:W333)</f>
        <v>344683</v>
      </c>
      <c r="Y333" s="105"/>
      <c r="Z333" s="54"/>
    </row>
    <row r="334" spans="1:26">
      <c r="A334" s="70">
        <f t="shared" ref="A334" si="339">+A333</f>
        <v>2025005</v>
      </c>
      <c r="B334" s="74"/>
      <c r="C334" s="404"/>
      <c r="D334" s="402"/>
      <c r="E334" s="402"/>
      <c r="F334" s="402"/>
      <c r="G334" s="402"/>
      <c r="H334" s="402"/>
      <c r="I334" s="493"/>
      <c r="J334" s="398"/>
      <c r="K334" s="64" t="s">
        <v>33</v>
      </c>
      <c r="L334" s="386"/>
      <c r="M334" s="386"/>
      <c r="N334" s="386"/>
      <c r="O334" s="386"/>
      <c r="P334" s="386"/>
      <c r="Q334" s="386"/>
      <c r="R334" s="386"/>
      <c r="S334" s="386"/>
      <c r="T334" s="386"/>
      <c r="U334" s="386"/>
      <c r="V334" s="225"/>
      <c r="W334" s="386"/>
      <c r="X334" s="247">
        <f t="shared" si="338"/>
        <v>0</v>
      </c>
      <c r="Y334" s="105"/>
      <c r="Z334" s="54"/>
    </row>
    <row r="335" spans="1:26">
      <c r="A335" s="70">
        <f t="shared" ref="A335" si="340">+A334</f>
        <v>2025005</v>
      </c>
      <c r="B335" s="74"/>
      <c r="C335" s="404"/>
      <c r="D335" s="402"/>
      <c r="E335" s="402"/>
      <c r="F335" s="402"/>
      <c r="G335" s="402"/>
      <c r="H335" s="402"/>
      <c r="I335" s="493"/>
      <c r="J335" s="398"/>
      <c r="K335" s="64" t="s">
        <v>27</v>
      </c>
      <c r="L335" s="386"/>
      <c r="M335" s="386"/>
      <c r="N335" s="386"/>
      <c r="O335" s="386">
        <v>31480</v>
      </c>
      <c r="P335" s="386">
        <v>4390</v>
      </c>
      <c r="Q335" s="386"/>
      <c r="R335" s="386"/>
      <c r="S335" s="386"/>
      <c r="T335" s="386"/>
      <c r="U335" s="386"/>
      <c r="V335" s="225"/>
      <c r="W335" s="386"/>
      <c r="X335" s="247">
        <f t="shared" si="338"/>
        <v>35870</v>
      </c>
      <c r="Y335" s="105"/>
      <c r="Z335" s="54"/>
    </row>
    <row r="336" spans="1:26">
      <c r="A336" s="70">
        <f t="shared" ref="A336" si="341">+A335</f>
        <v>2025005</v>
      </c>
      <c r="B336" s="74"/>
      <c r="C336" s="404"/>
      <c r="D336" s="402"/>
      <c r="E336" s="402"/>
      <c r="F336" s="402"/>
      <c r="G336" s="402"/>
      <c r="H336" s="402"/>
      <c r="I336" s="493"/>
      <c r="J336" s="398"/>
      <c r="K336" s="64" t="s">
        <v>28</v>
      </c>
      <c r="L336" s="386"/>
      <c r="M336" s="386"/>
      <c r="N336" s="386"/>
      <c r="O336" s="386">
        <v>12350</v>
      </c>
      <c r="P336" s="386">
        <v>0</v>
      </c>
      <c r="Q336" s="386"/>
      <c r="R336" s="386"/>
      <c r="S336" s="386"/>
      <c r="T336" s="386"/>
      <c r="U336" s="386"/>
      <c r="V336" s="225"/>
      <c r="W336" s="386"/>
      <c r="X336" s="247">
        <f t="shared" si="338"/>
        <v>12350</v>
      </c>
      <c r="Y336" s="105"/>
      <c r="Z336" s="54"/>
    </row>
    <row r="337" spans="1:26">
      <c r="A337" s="70">
        <f t="shared" ref="A337" si="342">+A336</f>
        <v>2025005</v>
      </c>
      <c r="B337" s="74"/>
      <c r="C337" s="404"/>
      <c r="D337" s="402"/>
      <c r="E337" s="402"/>
      <c r="F337" s="402"/>
      <c r="G337" s="402"/>
      <c r="H337" s="402"/>
      <c r="I337" s="493"/>
      <c r="J337" s="398"/>
      <c r="K337" s="64" t="s">
        <v>29</v>
      </c>
      <c r="L337" s="386"/>
      <c r="M337" s="386"/>
      <c r="N337" s="386"/>
      <c r="O337" s="386">
        <v>23790</v>
      </c>
      <c r="P337" s="386">
        <v>0</v>
      </c>
      <c r="Q337" s="386"/>
      <c r="R337" s="386"/>
      <c r="S337" s="386"/>
      <c r="T337" s="386"/>
      <c r="U337" s="386"/>
      <c r="V337" s="225"/>
      <c r="W337" s="386"/>
      <c r="X337" s="247">
        <f t="shared" si="338"/>
        <v>23790</v>
      </c>
      <c r="Y337" s="105"/>
      <c r="Z337" s="54"/>
    </row>
    <row r="338" spans="1:26">
      <c r="A338" s="70">
        <f t="shared" ref="A338" si="343">+A337</f>
        <v>2025005</v>
      </c>
      <c r="B338" s="74"/>
      <c r="C338" s="404"/>
      <c r="D338" s="402"/>
      <c r="E338" s="402"/>
      <c r="F338" s="402"/>
      <c r="G338" s="402"/>
      <c r="H338" s="402"/>
      <c r="I338" s="493"/>
      <c r="J338" s="398"/>
      <c r="K338" s="64" t="s">
        <v>30</v>
      </c>
      <c r="L338" s="386"/>
      <c r="M338" s="386"/>
      <c r="N338" s="386"/>
      <c r="O338" s="386">
        <v>1357</v>
      </c>
      <c r="P338" s="386">
        <v>545</v>
      </c>
      <c r="Q338" s="386"/>
      <c r="R338" s="386"/>
      <c r="S338" s="386"/>
      <c r="T338" s="386"/>
      <c r="U338" s="386"/>
      <c r="V338" s="225"/>
      <c r="W338" s="386"/>
      <c r="X338" s="247">
        <f t="shared" si="338"/>
        <v>1902</v>
      </c>
      <c r="Y338" s="105"/>
      <c r="Z338" s="54"/>
    </row>
    <row r="339" spans="1:26">
      <c r="A339" s="70">
        <f t="shared" ref="A339" si="344">+A338</f>
        <v>2025005</v>
      </c>
      <c r="B339" s="74"/>
      <c r="C339" s="404"/>
      <c r="D339" s="402"/>
      <c r="E339" s="402"/>
      <c r="F339" s="402"/>
      <c r="G339" s="402"/>
      <c r="H339" s="402"/>
      <c r="I339" s="493"/>
      <c r="J339" s="398"/>
      <c r="K339" s="64" t="s">
        <v>31</v>
      </c>
      <c r="L339" s="386"/>
      <c r="M339" s="386"/>
      <c r="N339" s="386"/>
      <c r="O339" s="386">
        <v>1493</v>
      </c>
      <c r="P339" s="386">
        <v>600</v>
      </c>
      <c r="Q339" s="386"/>
      <c r="R339" s="386"/>
      <c r="S339" s="386"/>
      <c r="T339" s="386"/>
      <c r="U339" s="386"/>
      <c r="V339" s="225"/>
      <c r="W339" s="386"/>
      <c r="X339" s="247">
        <f t="shared" si="338"/>
        <v>2093</v>
      </c>
      <c r="Y339" s="105"/>
      <c r="Z339" s="54"/>
    </row>
    <row r="340" spans="1:26">
      <c r="A340" s="70">
        <f t="shared" ref="A340" si="345">+A339</f>
        <v>2025005</v>
      </c>
      <c r="B340" s="74"/>
      <c r="C340" s="405"/>
      <c r="D340" s="403"/>
      <c r="E340" s="403"/>
      <c r="F340" s="403"/>
      <c r="G340" s="403"/>
      <c r="H340" s="403"/>
      <c r="I340" s="494"/>
      <c r="J340" s="399"/>
      <c r="K340" s="65" t="s">
        <v>32</v>
      </c>
      <c r="L340" s="250">
        <f t="shared" ref="L340:X340" si="346">L329-L332</f>
        <v>0</v>
      </c>
      <c r="M340" s="251">
        <f t="shared" si="346"/>
        <v>0</v>
      </c>
      <c r="N340" s="251">
        <f t="shared" si="346"/>
        <v>0</v>
      </c>
      <c r="O340" s="252">
        <f t="shared" si="346"/>
        <v>139530</v>
      </c>
      <c r="P340" s="252">
        <f t="shared" si="346"/>
        <v>39112</v>
      </c>
      <c r="Q340" s="252">
        <f t="shared" si="346"/>
        <v>0</v>
      </c>
      <c r="R340" s="252">
        <f t="shared" si="346"/>
        <v>0</v>
      </c>
      <c r="S340" s="252">
        <f t="shared" si="346"/>
        <v>0</v>
      </c>
      <c r="T340" s="252">
        <f t="shared" si="346"/>
        <v>0</v>
      </c>
      <c r="U340" s="252">
        <f t="shared" si="346"/>
        <v>0</v>
      </c>
      <c r="V340" s="344">
        <f t="shared" si="346"/>
        <v>0</v>
      </c>
      <c r="W340" s="253">
        <f t="shared" si="346"/>
        <v>0</v>
      </c>
      <c r="X340" s="254">
        <f t="shared" si="346"/>
        <v>178642</v>
      </c>
      <c r="Z340" s="54"/>
    </row>
    <row r="341" spans="1:26" ht="12.75" customHeight="1">
      <c r="A341" s="101">
        <v>2025015</v>
      </c>
      <c r="B341" s="104"/>
      <c r="C341" s="433">
        <f t="shared" ref="C341" si="347">C329+1</f>
        <v>29</v>
      </c>
      <c r="D341" s="432" t="s">
        <v>37</v>
      </c>
      <c r="E341" s="432"/>
      <c r="F341" s="432"/>
      <c r="G341" s="432"/>
      <c r="H341" s="432"/>
      <c r="I341" s="432" t="s">
        <v>105</v>
      </c>
      <c r="J341" s="397"/>
      <c r="K341" s="61" t="s">
        <v>22</v>
      </c>
      <c r="L341" s="213">
        <f t="shared" ref="L341:W341" si="348">L342+L343</f>
        <v>0</v>
      </c>
      <c r="M341" s="275">
        <f t="shared" si="348"/>
        <v>0</v>
      </c>
      <c r="N341" s="275">
        <f t="shared" si="348"/>
        <v>0</v>
      </c>
      <c r="O341" s="275">
        <f t="shared" si="348"/>
        <v>0</v>
      </c>
      <c r="P341" s="275">
        <f t="shared" si="348"/>
        <v>0</v>
      </c>
      <c r="Q341" s="353">
        <f t="shared" si="348"/>
        <v>0</v>
      </c>
      <c r="R341" s="353">
        <f t="shared" si="348"/>
        <v>1276000</v>
      </c>
      <c r="S341" s="353">
        <f t="shared" si="348"/>
        <v>1122000</v>
      </c>
      <c r="T341" s="353">
        <f t="shared" si="348"/>
        <v>1100000</v>
      </c>
      <c r="U341" s="353">
        <f t="shared" si="348"/>
        <v>1028500</v>
      </c>
      <c r="V341" s="353">
        <f t="shared" si="348"/>
        <v>1012000</v>
      </c>
      <c r="W341" s="131">
        <f t="shared" si="348"/>
        <v>825000</v>
      </c>
      <c r="X341" s="132">
        <f>SUM(L341:W341)</f>
        <v>6363500</v>
      </c>
      <c r="Z341" s="54"/>
    </row>
    <row r="342" spans="1:26">
      <c r="A342" s="70">
        <f>+A341</f>
        <v>2025015</v>
      </c>
      <c r="B342" s="74"/>
      <c r="C342" s="404"/>
      <c r="D342" s="402"/>
      <c r="E342" s="402"/>
      <c r="F342" s="402"/>
      <c r="G342" s="402"/>
      <c r="H342" s="402"/>
      <c r="I342" s="402"/>
      <c r="J342" s="398"/>
      <c r="K342" s="62" t="s">
        <v>23</v>
      </c>
      <c r="L342" s="210"/>
      <c r="M342" s="210"/>
      <c r="N342" s="210"/>
      <c r="O342" s="210"/>
      <c r="P342" s="210"/>
      <c r="Q342" s="210"/>
      <c r="R342" s="210">
        <v>1276000</v>
      </c>
      <c r="S342" s="210">
        <v>1122000</v>
      </c>
      <c r="T342" s="210">
        <v>1100000</v>
      </c>
      <c r="U342" s="210">
        <v>1028500</v>
      </c>
      <c r="V342" s="210">
        <v>1012000</v>
      </c>
      <c r="W342" s="83">
        <f t="shared" ref="W342" si="349">5500*150</f>
        <v>825000</v>
      </c>
      <c r="X342" s="135">
        <f>SUM(L342:W342)</f>
        <v>6363500</v>
      </c>
      <c r="Y342" s="105"/>
      <c r="Z342" s="54"/>
    </row>
    <row r="343" spans="1:26">
      <c r="A343" s="70">
        <f t="shared" ref="A343" si="350">+A342</f>
        <v>2025015</v>
      </c>
      <c r="B343" s="74"/>
      <c r="C343" s="404"/>
      <c r="D343" s="402"/>
      <c r="E343" s="402"/>
      <c r="F343" s="402"/>
      <c r="G343" s="402"/>
      <c r="H343" s="402"/>
      <c r="I343" s="402"/>
      <c r="J343" s="398"/>
      <c r="K343" s="62" t="s">
        <v>24</v>
      </c>
      <c r="L343" s="226"/>
      <c r="M343" s="210"/>
      <c r="N343" s="210"/>
      <c r="O343" s="347"/>
      <c r="P343" s="347"/>
      <c r="Q343" s="347"/>
      <c r="R343" s="347"/>
      <c r="S343" s="347"/>
      <c r="T343" s="347"/>
      <c r="U343" s="347"/>
      <c r="V343" s="347"/>
      <c r="W343" s="133"/>
      <c r="X343" s="135">
        <v>0</v>
      </c>
      <c r="Z343" s="54"/>
    </row>
    <row r="344" spans="1:26">
      <c r="A344" s="70">
        <f t="shared" ref="A344" si="351">+A343</f>
        <v>2025015</v>
      </c>
      <c r="B344" s="74"/>
      <c r="C344" s="404"/>
      <c r="D344" s="402"/>
      <c r="E344" s="402"/>
      <c r="F344" s="402"/>
      <c r="G344" s="402"/>
      <c r="H344" s="402"/>
      <c r="I344" s="402"/>
      <c r="J344" s="398"/>
      <c r="K344" s="63" t="s">
        <v>25</v>
      </c>
      <c r="L344" s="227">
        <f t="shared" ref="L344:W344" si="352">SUM(L345:L351)</f>
        <v>0</v>
      </c>
      <c r="M344" s="227">
        <f t="shared" si="352"/>
        <v>0</v>
      </c>
      <c r="N344" s="227">
        <f t="shared" si="352"/>
        <v>0</v>
      </c>
      <c r="O344" s="348">
        <f t="shared" si="352"/>
        <v>0</v>
      </c>
      <c r="P344" s="348">
        <f t="shared" si="352"/>
        <v>0</v>
      </c>
      <c r="Q344" s="348">
        <f t="shared" si="352"/>
        <v>0</v>
      </c>
      <c r="R344" s="348">
        <f t="shared" si="352"/>
        <v>1108998</v>
      </c>
      <c r="S344" s="348">
        <f t="shared" si="352"/>
        <v>999468</v>
      </c>
      <c r="T344" s="348">
        <f t="shared" si="352"/>
        <v>983819</v>
      </c>
      <c r="U344" s="348">
        <f t="shared" si="352"/>
        <v>896916</v>
      </c>
      <c r="V344" s="348">
        <f t="shared" si="352"/>
        <v>926908</v>
      </c>
      <c r="W344" s="134">
        <f t="shared" si="352"/>
        <v>708490</v>
      </c>
      <c r="X344" s="136">
        <f>SUM(L344:W344)</f>
        <v>5624599</v>
      </c>
      <c r="Z344" s="54"/>
    </row>
    <row r="345" spans="1:26">
      <c r="A345" s="70">
        <f t="shared" ref="A345" si="353">+A344</f>
        <v>2025015</v>
      </c>
      <c r="B345" s="74"/>
      <c r="C345" s="404"/>
      <c r="D345" s="402"/>
      <c r="E345" s="402"/>
      <c r="F345" s="402"/>
      <c r="G345" s="402"/>
      <c r="H345" s="402"/>
      <c r="I345" s="402"/>
      <c r="J345" s="398"/>
      <c r="K345" s="64" t="s">
        <v>26</v>
      </c>
      <c r="L345" s="225"/>
      <c r="M345" s="225"/>
      <c r="N345" s="225"/>
      <c r="O345" s="225"/>
      <c r="P345" s="225"/>
      <c r="Q345" s="225"/>
      <c r="R345" s="225">
        <v>990750</v>
      </c>
      <c r="S345" s="225">
        <v>885038</v>
      </c>
      <c r="T345" s="225">
        <v>863250</v>
      </c>
      <c r="U345" s="225">
        <v>777250</v>
      </c>
      <c r="V345" s="225">
        <v>806750</v>
      </c>
      <c r="W345" s="106">
        <f t="shared" ref="W345" si="354">4000*150</f>
        <v>600000</v>
      </c>
      <c r="X345" s="135">
        <f t="shared" ref="X345:X351" si="355">SUM(L345:W345)</f>
        <v>4923038</v>
      </c>
      <c r="Y345" s="105"/>
      <c r="Z345" s="54"/>
    </row>
    <row r="346" spans="1:26">
      <c r="A346" s="70">
        <f t="shared" ref="A346" si="356">+A345</f>
        <v>2025015</v>
      </c>
      <c r="B346" s="74"/>
      <c r="C346" s="404"/>
      <c r="D346" s="402"/>
      <c r="E346" s="402"/>
      <c r="F346" s="402"/>
      <c r="G346" s="402"/>
      <c r="H346" s="402"/>
      <c r="I346" s="402"/>
      <c r="J346" s="398"/>
      <c r="K346" s="64" t="s">
        <v>33</v>
      </c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106"/>
      <c r="X346" s="135">
        <f t="shared" si="355"/>
        <v>0</v>
      </c>
      <c r="Y346" s="105"/>
      <c r="Z346" s="54"/>
    </row>
    <row r="347" spans="1:26">
      <c r="A347" s="70">
        <f t="shared" ref="A347" si="357">+A346</f>
        <v>2025015</v>
      </c>
      <c r="B347" s="74"/>
      <c r="C347" s="404"/>
      <c r="D347" s="402"/>
      <c r="E347" s="402"/>
      <c r="F347" s="402"/>
      <c r="G347" s="402"/>
      <c r="H347" s="402"/>
      <c r="I347" s="402"/>
      <c r="J347" s="398"/>
      <c r="K347" s="64" t="s">
        <v>27</v>
      </c>
      <c r="L347" s="225"/>
      <c r="M347" s="225"/>
      <c r="N347" s="225"/>
      <c r="O347" s="225"/>
      <c r="P347" s="225"/>
      <c r="Q347" s="225"/>
      <c r="R347" s="225">
        <v>21440</v>
      </c>
      <c r="S347" s="225">
        <v>18760</v>
      </c>
      <c r="T347" s="225">
        <v>19540</v>
      </c>
      <c r="U347" s="225">
        <v>19540</v>
      </c>
      <c r="V347" s="225">
        <v>19540</v>
      </c>
      <c r="W347" s="106">
        <v>20000</v>
      </c>
      <c r="X347" s="135">
        <f t="shared" si="355"/>
        <v>118820</v>
      </c>
      <c r="Y347" s="105"/>
      <c r="Z347" s="54"/>
    </row>
    <row r="348" spans="1:26">
      <c r="A348" s="70">
        <f t="shared" ref="A348" si="358">+A347</f>
        <v>2025015</v>
      </c>
      <c r="B348" s="74"/>
      <c r="C348" s="404"/>
      <c r="D348" s="402"/>
      <c r="E348" s="402"/>
      <c r="F348" s="402"/>
      <c r="G348" s="402"/>
      <c r="H348" s="402"/>
      <c r="I348" s="402"/>
      <c r="J348" s="398"/>
      <c r="K348" s="64" t="s">
        <v>28</v>
      </c>
      <c r="L348" s="225"/>
      <c r="M348" s="225"/>
      <c r="N348" s="225"/>
      <c r="O348" s="225"/>
      <c r="P348" s="225"/>
      <c r="Q348" s="225"/>
      <c r="R348" s="225">
        <v>29450</v>
      </c>
      <c r="S348" s="225">
        <v>29450</v>
      </c>
      <c r="T348" s="225">
        <v>35030</v>
      </c>
      <c r="U348" s="225">
        <v>35030</v>
      </c>
      <c r="V348" s="225">
        <v>35030</v>
      </c>
      <c r="W348" s="106">
        <v>30875</v>
      </c>
      <c r="X348" s="135">
        <f t="shared" si="355"/>
        <v>194865</v>
      </c>
      <c r="Y348" s="105"/>
      <c r="Z348" s="54"/>
    </row>
    <row r="349" spans="1:26">
      <c r="A349" s="70">
        <f t="shared" ref="A349" si="359">+A348</f>
        <v>2025015</v>
      </c>
      <c r="B349" s="74"/>
      <c r="C349" s="404"/>
      <c r="D349" s="402"/>
      <c r="E349" s="402"/>
      <c r="F349" s="402"/>
      <c r="G349" s="402"/>
      <c r="H349" s="402"/>
      <c r="I349" s="402"/>
      <c r="J349" s="398"/>
      <c r="K349" s="64" t="s">
        <v>29</v>
      </c>
      <c r="L349" s="225"/>
      <c r="M349" s="225"/>
      <c r="N349" s="225"/>
      <c r="O349" s="225"/>
      <c r="P349" s="225"/>
      <c r="Q349" s="225"/>
      <c r="R349" s="225">
        <v>56730</v>
      </c>
      <c r="S349" s="225">
        <v>56730</v>
      </c>
      <c r="T349" s="225">
        <v>56730</v>
      </c>
      <c r="U349" s="225">
        <v>56730</v>
      </c>
      <c r="V349" s="225">
        <v>56730</v>
      </c>
      <c r="W349" s="106">
        <v>51675</v>
      </c>
      <c r="X349" s="135">
        <f t="shared" si="355"/>
        <v>335325</v>
      </c>
      <c r="Y349" s="105"/>
      <c r="Z349" s="54"/>
    </row>
    <row r="350" spans="1:26">
      <c r="A350" s="70">
        <f t="shared" ref="A350" si="360">+A349</f>
        <v>2025015</v>
      </c>
      <c r="B350" s="74"/>
      <c r="C350" s="404"/>
      <c r="D350" s="402"/>
      <c r="E350" s="402"/>
      <c r="F350" s="402"/>
      <c r="G350" s="402"/>
      <c r="H350" s="402"/>
      <c r="I350" s="402"/>
      <c r="J350" s="398"/>
      <c r="K350" s="64" t="s">
        <v>30</v>
      </c>
      <c r="L350" s="225"/>
      <c r="M350" s="225"/>
      <c r="N350" s="225"/>
      <c r="O350" s="225"/>
      <c r="P350" s="225"/>
      <c r="Q350" s="225"/>
      <c r="R350" s="225">
        <v>5061</v>
      </c>
      <c r="S350" s="225">
        <v>4519</v>
      </c>
      <c r="T350" s="225">
        <v>4414</v>
      </c>
      <c r="U350" s="225">
        <v>3984</v>
      </c>
      <c r="V350" s="225">
        <v>4218</v>
      </c>
      <c r="W350" s="106">
        <v>1980</v>
      </c>
      <c r="X350" s="135">
        <f t="shared" si="355"/>
        <v>24176</v>
      </c>
      <c r="Y350" s="105"/>
      <c r="Z350" s="54"/>
    </row>
    <row r="351" spans="1:26">
      <c r="A351" s="70">
        <f t="shared" ref="A351" si="361">+A350</f>
        <v>2025015</v>
      </c>
      <c r="B351" s="74"/>
      <c r="C351" s="404"/>
      <c r="D351" s="402"/>
      <c r="E351" s="402"/>
      <c r="F351" s="402"/>
      <c r="G351" s="402"/>
      <c r="H351" s="402"/>
      <c r="I351" s="402"/>
      <c r="J351" s="398"/>
      <c r="K351" s="64" t="s">
        <v>31</v>
      </c>
      <c r="L351" s="225"/>
      <c r="M351" s="225"/>
      <c r="N351" s="225"/>
      <c r="O351" s="225"/>
      <c r="P351" s="225"/>
      <c r="Q351" s="225"/>
      <c r="R351" s="225">
        <v>5567</v>
      </c>
      <c r="S351" s="225">
        <v>4971</v>
      </c>
      <c r="T351" s="225">
        <v>4855</v>
      </c>
      <c r="U351" s="225">
        <v>4382</v>
      </c>
      <c r="V351" s="225">
        <v>4640</v>
      </c>
      <c r="W351" s="106">
        <v>3960</v>
      </c>
      <c r="X351" s="135">
        <f t="shared" si="355"/>
        <v>28375</v>
      </c>
      <c r="Y351" s="105"/>
      <c r="Z351" s="54"/>
    </row>
    <row r="352" spans="1:26">
      <c r="A352" s="70">
        <f t="shared" ref="A352" si="362">+A351</f>
        <v>2025015</v>
      </c>
      <c r="B352" s="74"/>
      <c r="C352" s="405"/>
      <c r="D352" s="403"/>
      <c r="E352" s="403"/>
      <c r="F352" s="403"/>
      <c r="G352" s="403"/>
      <c r="H352" s="403"/>
      <c r="I352" s="403"/>
      <c r="J352" s="399"/>
      <c r="K352" s="65" t="s">
        <v>32</v>
      </c>
      <c r="L352" s="194">
        <f t="shared" ref="L352:X352" si="363">L341-L344</f>
        <v>0</v>
      </c>
      <c r="M352" s="267">
        <f t="shared" si="363"/>
        <v>0</v>
      </c>
      <c r="N352" s="267">
        <f t="shared" si="363"/>
        <v>0</v>
      </c>
      <c r="O352" s="344">
        <f t="shared" si="363"/>
        <v>0</v>
      </c>
      <c r="P352" s="344">
        <f t="shared" si="363"/>
        <v>0</v>
      </c>
      <c r="Q352" s="344">
        <f t="shared" si="363"/>
        <v>0</v>
      </c>
      <c r="R352" s="344">
        <f t="shared" si="363"/>
        <v>167002</v>
      </c>
      <c r="S352" s="344">
        <f t="shared" si="363"/>
        <v>122532</v>
      </c>
      <c r="T352" s="344">
        <f t="shared" si="363"/>
        <v>116181</v>
      </c>
      <c r="U352" s="344">
        <f t="shared" si="363"/>
        <v>131584</v>
      </c>
      <c r="V352" s="344">
        <f t="shared" si="363"/>
        <v>85092</v>
      </c>
      <c r="W352" s="129">
        <f t="shared" si="363"/>
        <v>116510</v>
      </c>
      <c r="X352" s="50">
        <f t="shared" si="363"/>
        <v>738901</v>
      </c>
      <c r="Z352" s="54"/>
    </row>
    <row r="353" spans="1:26" ht="12.75" customHeight="1">
      <c r="A353" s="101">
        <v>2024032</v>
      </c>
      <c r="B353" s="104"/>
      <c r="C353" s="433">
        <f t="shared" ref="C353" si="364">C341+1</f>
        <v>30</v>
      </c>
      <c r="D353" s="432" t="s">
        <v>54</v>
      </c>
      <c r="E353" s="432"/>
      <c r="F353" s="432"/>
      <c r="G353" s="432"/>
      <c r="H353" s="432"/>
      <c r="I353" s="432" t="s">
        <v>109</v>
      </c>
      <c r="J353" s="397"/>
      <c r="K353" s="61" t="s">
        <v>22</v>
      </c>
      <c r="L353" s="213">
        <f t="shared" ref="L353:W353" si="365">L354+L355</f>
        <v>0</v>
      </c>
      <c r="M353" s="275">
        <f t="shared" si="365"/>
        <v>0</v>
      </c>
      <c r="N353" s="275">
        <f t="shared" si="365"/>
        <v>0</v>
      </c>
      <c r="O353" s="275">
        <f t="shared" si="365"/>
        <v>0</v>
      </c>
      <c r="P353" s="275">
        <f t="shared" si="365"/>
        <v>395300</v>
      </c>
      <c r="Q353" s="353">
        <f t="shared" si="365"/>
        <v>386925</v>
      </c>
      <c r="R353" s="353">
        <f t="shared" si="365"/>
        <v>848689</v>
      </c>
      <c r="S353" s="353">
        <f t="shared" si="365"/>
        <v>335000</v>
      </c>
      <c r="T353" s="353">
        <f t="shared" si="365"/>
        <v>668325</v>
      </c>
      <c r="U353" s="353">
        <f t="shared" si="365"/>
        <v>783900</v>
      </c>
      <c r="V353" s="353">
        <f t="shared" si="365"/>
        <v>897197</v>
      </c>
      <c r="W353" s="131">
        <f t="shared" si="365"/>
        <v>402000</v>
      </c>
      <c r="X353" s="132">
        <f>SUM(L353:W353)</f>
        <v>4717336</v>
      </c>
      <c r="Z353" s="54"/>
    </row>
    <row r="354" spans="1:26">
      <c r="A354" s="70">
        <f>+A353</f>
        <v>2024032</v>
      </c>
      <c r="B354" s="74"/>
      <c r="C354" s="404"/>
      <c r="D354" s="402"/>
      <c r="E354" s="402"/>
      <c r="F354" s="402"/>
      <c r="G354" s="402"/>
      <c r="H354" s="402"/>
      <c r="I354" s="402"/>
      <c r="J354" s="398"/>
      <c r="K354" s="62" t="s">
        <v>23</v>
      </c>
      <c r="L354" s="210"/>
      <c r="M354" s="210"/>
      <c r="N354" s="210"/>
      <c r="O354" s="210"/>
      <c r="P354" s="210">
        <v>395300</v>
      </c>
      <c r="Q354" s="210">
        <v>386925</v>
      </c>
      <c r="R354" s="210">
        <v>848689</v>
      </c>
      <c r="S354" s="210">
        <v>335000</v>
      </c>
      <c r="T354" s="210">
        <v>668325</v>
      </c>
      <c r="U354" s="210">
        <v>783900</v>
      </c>
      <c r="V354" s="210">
        <v>897197</v>
      </c>
      <c r="W354" s="83">
        <v>402000</v>
      </c>
      <c r="X354" s="135">
        <f>SUM(L354:W354)</f>
        <v>4717336</v>
      </c>
      <c r="Y354" s="105"/>
      <c r="Z354" s="54"/>
    </row>
    <row r="355" spans="1:26">
      <c r="A355" s="70">
        <f t="shared" ref="A355" si="366">+A354</f>
        <v>2024032</v>
      </c>
      <c r="B355" s="74"/>
      <c r="C355" s="404"/>
      <c r="D355" s="402"/>
      <c r="E355" s="402"/>
      <c r="F355" s="402"/>
      <c r="G355" s="402"/>
      <c r="H355" s="402"/>
      <c r="I355" s="402"/>
      <c r="J355" s="398"/>
      <c r="K355" s="62" t="s">
        <v>24</v>
      </c>
      <c r="L355" s="226"/>
      <c r="M355" s="210"/>
      <c r="N355" s="210"/>
      <c r="O355" s="347"/>
      <c r="P355" s="347"/>
      <c r="Q355" s="347"/>
      <c r="R355" s="347"/>
      <c r="S355" s="347"/>
      <c r="T355" s="347"/>
      <c r="U355" s="347"/>
      <c r="V355" s="347"/>
      <c r="W355" s="133"/>
      <c r="X355" s="135">
        <v>0</v>
      </c>
      <c r="Z355" s="54"/>
    </row>
    <row r="356" spans="1:26">
      <c r="A356" s="70">
        <f t="shared" ref="A356" si="367">+A355</f>
        <v>2024032</v>
      </c>
      <c r="B356" s="74"/>
      <c r="C356" s="404"/>
      <c r="D356" s="402"/>
      <c r="E356" s="402"/>
      <c r="F356" s="402"/>
      <c r="G356" s="402"/>
      <c r="H356" s="402"/>
      <c r="I356" s="402"/>
      <c r="J356" s="398"/>
      <c r="K356" s="63" t="s">
        <v>25</v>
      </c>
      <c r="L356" s="227">
        <f t="shared" ref="L356:W356" si="368">SUM(L357:L363)</f>
        <v>0</v>
      </c>
      <c r="M356" s="227">
        <f t="shared" si="368"/>
        <v>0</v>
      </c>
      <c r="N356" s="227">
        <f t="shared" si="368"/>
        <v>0</v>
      </c>
      <c r="O356" s="348">
        <f t="shared" si="368"/>
        <v>0</v>
      </c>
      <c r="P356" s="348">
        <f t="shared" si="368"/>
        <v>216649.0331995622</v>
      </c>
      <c r="Q356" s="348">
        <f t="shared" si="368"/>
        <v>203389.65999883358</v>
      </c>
      <c r="R356" s="348">
        <f t="shared" si="368"/>
        <v>427795.03697550792</v>
      </c>
      <c r="S356" s="348">
        <f t="shared" si="368"/>
        <v>209324.09012131713</v>
      </c>
      <c r="T356" s="348">
        <f t="shared" si="368"/>
        <v>340218.1463910538</v>
      </c>
      <c r="U356" s="348">
        <f t="shared" si="368"/>
        <v>405534.63812202262</v>
      </c>
      <c r="V356" s="348">
        <f t="shared" si="368"/>
        <v>456301.14500601683</v>
      </c>
      <c r="W356" s="134">
        <f t="shared" si="368"/>
        <v>241560</v>
      </c>
      <c r="X356" s="136">
        <f>SUM(L356:W356)</f>
        <v>2500771.7498143143</v>
      </c>
      <c r="Z356" s="54"/>
    </row>
    <row r="357" spans="1:26">
      <c r="A357" s="70">
        <f t="shared" ref="A357" si="369">+A356</f>
        <v>2024032</v>
      </c>
      <c r="B357" s="74"/>
      <c r="C357" s="404"/>
      <c r="D357" s="402"/>
      <c r="E357" s="402"/>
      <c r="F357" s="402"/>
      <c r="G357" s="402"/>
      <c r="H357" s="402"/>
      <c r="I357" s="402"/>
      <c r="J357" s="398"/>
      <c r="K357" s="64" t="s">
        <v>26</v>
      </c>
      <c r="L357" s="225"/>
      <c r="M357" s="225"/>
      <c r="N357" s="225"/>
      <c r="O357" s="225"/>
      <c r="P357" s="225">
        <f>500000/164.46*59</f>
        <v>179374.92399367626</v>
      </c>
      <c r="Q357" s="225">
        <f>500000/171.47*57.75</f>
        <v>168396.80410567444</v>
      </c>
      <c r="R357" s="225">
        <f>606499/210.68*126.67</f>
        <v>364653.6374121891</v>
      </c>
      <c r="S357" s="225">
        <f>500000/144.25*50</f>
        <v>173310.22530329289</v>
      </c>
      <c r="T357" s="225">
        <f>500000/177.06*99.75</f>
        <v>281684.17485598102</v>
      </c>
      <c r="U357" s="225">
        <f>500000/174.23*117</f>
        <v>335763.07180164149</v>
      </c>
      <c r="V357" s="225">
        <f>518685/182.82*133.91</f>
        <v>379920.73268788971</v>
      </c>
      <c r="W357" s="106">
        <f t="shared" ref="W357" si="370">500000/5*2</f>
        <v>200000</v>
      </c>
      <c r="X357" s="135">
        <f t="shared" ref="X357:X363" si="371">SUM(L357:W357)</f>
        <v>2083103.5701603447</v>
      </c>
      <c r="Y357" s="105"/>
      <c r="Z357" s="54"/>
    </row>
    <row r="358" spans="1:26">
      <c r="A358" s="70">
        <f t="shared" ref="A358" si="372">+A357</f>
        <v>2024032</v>
      </c>
      <c r="B358" s="74"/>
      <c r="C358" s="404"/>
      <c r="D358" s="402"/>
      <c r="E358" s="402"/>
      <c r="F358" s="402"/>
      <c r="G358" s="402"/>
      <c r="H358" s="402"/>
      <c r="I358" s="402"/>
      <c r="J358" s="398"/>
      <c r="K358" s="64" t="s">
        <v>33</v>
      </c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106"/>
      <c r="X358" s="135">
        <f t="shared" si="371"/>
        <v>0</v>
      </c>
      <c r="Y358" s="105"/>
      <c r="Z358" s="54"/>
    </row>
    <row r="359" spans="1:26">
      <c r="A359" s="70">
        <f t="shared" ref="A359" si="373">+A358</f>
        <v>2024032</v>
      </c>
      <c r="B359" s="74"/>
      <c r="C359" s="404"/>
      <c r="D359" s="402"/>
      <c r="E359" s="402"/>
      <c r="F359" s="402"/>
      <c r="G359" s="402"/>
      <c r="H359" s="402"/>
      <c r="I359" s="402"/>
      <c r="J359" s="398"/>
      <c r="K359" s="64" t="s">
        <v>27</v>
      </c>
      <c r="L359" s="225"/>
      <c r="M359" s="225"/>
      <c r="N359" s="225"/>
      <c r="O359" s="225"/>
      <c r="P359" s="225">
        <f>20000/164.46*59</f>
        <v>7174.9969597470499</v>
      </c>
      <c r="Q359" s="225">
        <f>20000/171.47*57.75</f>
        <v>6735.8721642269784</v>
      </c>
      <c r="R359" s="225">
        <f>20000/210.68*126.67</f>
        <v>12024.871843554205</v>
      </c>
      <c r="S359" s="225">
        <f>20000/144.25*50</f>
        <v>6932.4090121317158</v>
      </c>
      <c r="T359" s="225">
        <f>20000/177.06*99.75</f>
        <v>11267.366994239241</v>
      </c>
      <c r="U359" s="225">
        <f>20000/174.23*117</f>
        <v>13430.522872065661</v>
      </c>
      <c r="V359" s="225">
        <f>20000/182.82*133.91</f>
        <v>14649.381905699594</v>
      </c>
      <c r="W359" s="106">
        <f t="shared" ref="W359" si="374">20000/20*8</f>
        <v>8000</v>
      </c>
      <c r="X359" s="135">
        <f t="shared" si="371"/>
        <v>80215.421751664442</v>
      </c>
      <c r="Y359" s="105"/>
      <c r="Z359" s="54"/>
    </row>
    <row r="360" spans="1:26">
      <c r="A360" s="70">
        <f t="shared" ref="A360" si="375">+A359</f>
        <v>2024032</v>
      </c>
      <c r="B360" s="74"/>
      <c r="C360" s="404"/>
      <c r="D360" s="402"/>
      <c r="E360" s="402"/>
      <c r="F360" s="402"/>
      <c r="G360" s="402"/>
      <c r="H360" s="402"/>
      <c r="I360" s="402"/>
      <c r="J360" s="398"/>
      <c r="K360" s="64" t="s">
        <v>28</v>
      </c>
      <c r="L360" s="225"/>
      <c r="M360" s="225"/>
      <c r="N360" s="225"/>
      <c r="O360" s="225"/>
      <c r="P360" s="225">
        <f>29945/164.46*59</f>
        <v>10742.764197981271</v>
      </c>
      <c r="Q360" s="225">
        <f>29945/171.47*57.75</f>
        <v>10085.284597888844</v>
      </c>
      <c r="R360" s="225">
        <f>29945/210.68*126.67</f>
        <v>18004.239367761533</v>
      </c>
      <c r="S360" s="225">
        <f>29945/144.25*50</f>
        <v>10379.549393414212</v>
      </c>
      <c r="T360" s="225">
        <f>29945/177.06*99.75</f>
        <v>16870.065232124703</v>
      </c>
      <c r="U360" s="225">
        <f>29945/174.23*117</f>
        <v>20108.850370200311</v>
      </c>
      <c r="V360" s="225">
        <f>29945/182.82*133.91</f>
        <v>21933.787058308717</v>
      </c>
      <c r="W360" s="106">
        <f t="shared" ref="W360" si="376">29945/20*8</f>
        <v>11978</v>
      </c>
      <c r="X360" s="135">
        <f t="shared" si="371"/>
        <v>120102.54021767959</v>
      </c>
      <c r="Y360" s="105"/>
      <c r="Z360" s="54"/>
    </row>
    <row r="361" spans="1:26">
      <c r="A361" s="70">
        <f t="shared" ref="A361" si="377">+A360</f>
        <v>2024032</v>
      </c>
      <c r="B361" s="74"/>
      <c r="C361" s="404"/>
      <c r="D361" s="402"/>
      <c r="E361" s="402"/>
      <c r="F361" s="402"/>
      <c r="G361" s="402"/>
      <c r="H361" s="402"/>
      <c r="I361" s="402"/>
      <c r="J361" s="398"/>
      <c r="K361" s="64" t="s">
        <v>29</v>
      </c>
      <c r="L361" s="225"/>
      <c r="M361" s="225"/>
      <c r="N361" s="225"/>
      <c r="O361" s="225"/>
      <c r="P361" s="225">
        <f>48495/164.46*59</f>
        <v>17397.573878146661</v>
      </c>
      <c r="Q361" s="225">
        <f>48495/171.47*57.75</f>
        <v>16332.806030209365</v>
      </c>
      <c r="R361" s="225">
        <f>48495/210.68*126.67</f>
        <v>29157.308002658061</v>
      </c>
      <c r="S361" s="225">
        <f>48495/144.25*50</f>
        <v>16809.358752166379</v>
      </c>
      <c r="T361" s="225">
        <f>48495/177.06*99.75</f>
        <v>27320.548119281597</v>
      </c>
      <c r="U361" s="225">
        <f>48495/174.23*117</f>
        <v>32565.660334041215</v>
      </c>
      <c r="V361" s="225">
        <f>48495/182.82*133.91</f>
        <v>35521.088775845092</v>
      </c>
      <c r="W361" s="106">
        <f t="shared" ref="W361" si="378">48495/20*8</f>
        <v>19398</v>
      </c>
      <c r="X361" s="135">
        <f t="shared" si="371"/>
        <v>194502.34389234838</v>
      </c>
      <c r="Y361" s="105"/>
      <c r="Z361" s="54"/>
    </row>
    <row r="362" spans="1:26">
      <c r="A362" s="70">
        <f t="shared" ref="A362" si="379">+A361</f>
        <v>2024032</v>
      </c>
      <c r="B362" s="74"/>
      <c r="C362" s="404"/>
      <c r="D362" s="402"/>
      <c r="E362" s="402"/>
      <c r="F362" s="402"/>
      <c r="G362" s="402"/>
      <c r="H362" s="402"/>
      <c r="I362" s="402"/>
      <c r="J362" s="398"/>
      <c r="K362" s="64" t="s">
        <v>30</v>
      </c>
      <c r="L362" s="225"/>
      <c r="M362" s="225"/>
      <c r="N362" s="225"/>
      <c r="O362" s="225"/>
      <c r="P362" s="225">
        <f>2600/164.46*59</f>
        <v>932.74960476711658</v>
      </c>
      <c r="Q362" s="225">
        <f>2600/171.47*57.75</f>
        <v>875.66338134950729</v>
      </c>
      <c r="R362" s="225">
        <f>3132/210.68*126.67</f>
        <v>1883.0949307005885</v>
      </c>
      <c r="S362" s="225">
        <f>2600/144.25*50</f>
        <v>901.21317157712303</v>
      </c>
      <c r="T362" s="225">
        <f>2600/177.06*99.75</f>
        <v>1464.7577092511015</v>
      </c>
      <c r="U362" s="225">
        <f>2600/174.23*117</f>
        <v>1745.9679733685359</v>
      </c>
      <c r="V362" s="225">
        <f>2780/182.82*133.91</f>
        <v>2036.2640848922438</v>
      </c>
      <c r="W362" s="106">
        <f t="shared" ref="W362" si="380">2600/20*8</f>
        <v>1040</v>
      </c>
      <c r="X362" s="135">
        <f t="shared" si="371"/>
        <v>10879.710855906218</v>
      </c>
      <c r="Y362" s="105"/>
      <c r="Z362" s="54"/>
    </row>
    <row r="363" spans="1:26">
      <c r="A363" s="70">
        <f t="shared" ref="A363" si="381">+A362</f>
        <v>2024032</v>
      </c>
      <c r="B363" s="74"/>
      <c r="C363" s="404"/>
      <c r="D363" s="402"/>
      <c r="E363" s="402"/>
      <c r="F363" s="402"/>
      <c r="G363" s="402"/>
      <c r="H363" s="402"/>
      <c r="I363" s="402"/>
      <c r="J363" s="398"/>
      <c r="K363" s="64" t="s">
        <v>31</v>
      </c>
      <c r="L363" s="225"/>
      <c r="M363" s="225"/>
      <c r="N363" s="225"/>
      <c r="O363" s="225"/>
      <c r="P363" s="225">
        <f>2860/164.46*59</f>
        <v>1026.0245652438282</v>
      </c>
      <c r="Q363" s="225">
        <f>2860/171.47*57.75</f>
        <v>963.22971948445786</v>
      </c>
      <c r="R363" s="225">
        <f>3446/210.68*126.67</f>
        <v>2071.8854186443891</v>
      </c>
      <c r="S363" s="225">
        <f>2860/144.25*50</f>
        <v>991.3344887348353</v>
      </c>
      <c r="T363" s="225">
        <f>2860/177.06*99.75</f>
        <v>1611.2334801762113</v>
      </c>
      <c r="U363" s="225">
        <f>2860/174.23*117</f>
        <v>1920.5647707053893</v>
      </c>
      <c r="V363" s="225">
        <f>3058/182.82*133.91</f>
        <v>2239.8904933814683</v>
      </c>
      <c r="W363" s="106">
        <f t="shared" ref="W363" si="382">2860/20*8</f>
        <v>1144</v>
      </c>
      <c r="X363" s="135">
        <f t="shared" si="371"/>
        <v>11968.16293637058</v>
      </c>
      <c r="Y363" s="105"/>
      <c r="Z363" s="54"/>
    </row>
    <row r="364" spans="1:26">
      <c r="A364" s="70">
        <f t="shared" ref="A364" si="383">+A363</f>
        <v>2024032</v>
      </c>
      <c r="B364" s="74"/>
      <c r="C364" s="405"/>
      <c r="D364" s="403"/>
      <c r="E364" s="403"/>
      <c r="F364" s="403"/>
      <c r="G364" s="403"/>
      <c r="H364" s="403"/>
      <c r="I364" s="403"/>
      <c r="J364" s="399"/>
      <c r="K364" s="65" t="s">
        <v>32</v>
      </c>
      <c r="L364" s="194">
        <f t="shared" ref="L364:X364" si="384">L353-L356</f>
        <v>0</v>
      </c>
      <c r="M364" s="267">
        <f t="shared" si="384"/>
        <v>0</v>
      </c>
      <c r="N364" s="267">
        <f t="shared" si="384"/>
        <v>0</v>
      </c>
      <c r="O364" s="344">
        <f t="shared" si="384"/>
        <v>0</v>
      </c>
      <c r="P364" s="344">
        <f t="shared" si="384"/>
        <v>178650.9668004378</v>
      </c>
      <c r="Q364" s="344">
        <f t="shared" si="384"/>
        <v>183535.34000116642</v>
      </c>
      <c r="R364" s="344">
        <f t="shared" si="384"/>
        <v>420893.96302449208</v>
      </c>
      <c r="S364" s="344">
        <f t="shared" si="384"/>
        <v>125675.90987868287</v>
      </c>
      <c r="T364" s="344">
        <f t="shared" si="384"/>
        <v>328106.8536089462</v>
      </c>
      <c r="U364" s="344">
        <f t="shared" si="384"/>
        <v>378365.36187797738</v>
      </c>
      <c r="V364" s="344">
        <f t="shared" si="384"/>
        <v>440895.85499398317</v>
      </c>
      <c r="W364" s="129">
        <f t="shared" si="384"/>
        <v>160440</v>
      </c>
      <c r="X364" s="50">
        <f t="shared" si="384"/>
        <v>2216564.2501856857</v>
      </c>
      <c r="Z364" s="54"/>
    </row>
    <row r="365" spans="1:26" ht="12.75" customHeight="1">
      <c r="A365" s="101">
        <v>2021008</v>
      </c>
      <c r="B365" s="104"/>
      <c r="C365" s="433">
        <f t="shared" ref="C365" si="385">C353+1</f>
        <v>31</v>
      </c>
      <c r="D365" s="432" t="s">
        <v>54</v>
      </c>
      <c r="E365" s="432" t="s">
        <v>104</v>
      </c>
      <c r="F365" s="432"/>
      <c r="G365" s="432"/>
      <c r="H365" s="432"/>
      <c r="I365" s="432" t="s">
        <v>109</v>
      </c>
      <c r="J365" s="397"/>
      <c r="K365" s="61" t="s">
        <v>22</v>
      </c>
      <c r="L365" s="314">
        <f t="shared" ref="L365:W365" si="386">L366+L367</f>
        <v>0</v>
      </c>
      <c r="M365" s="315">
        <f t="shared" si="386"/>
        <v>0</v>
      </c>
      <c r="N365" s="315">
        <f t="shared" si="386"/>
        <v>0</v>
      </c>
      <c r="O365" s="315">
        <f t="shared" si="386"/>
        <v>0</v>
      </c>
      <c r="P365" s="315">
        <f t="shared" si="386"/>
        <v>0</v>
      </c>
      <c r="Q365" s="380">
        <f t="shared" si="386"/>
        <v>0</v>
      </c>
      <c r="R365" s="380">
        <f t="shared" si="386"/>
        <v>113900</v>
      </c>
      <c r="S365" s="353">
        <f t="shared" si="386"/>
        <v>0</v>
      </c>
      <c r="T365" s="353">
        <f t="shared" si="386"/>
        <v>201000</v>
      </c>
      <c r="U365" s="353">
        <f t="shared" si="386"/>
        <v>0</v>
      </c>
      <c r="V365" s="353">
        <f t="shared" si="386"/>
        <v>0</v>
      </c>
      <c r="W365" s="245">
        <f t="shared" si="386"/>
        <v>0</v>
      </c>
      <c r="X365" s="246">
        <f>SUM(L365:W365)</f>
        <v>314900</v>
      </c>
      <c r="Z365" s="54"/>
    </row>
    <row r="366" spans="1:26">
      <c r="A366" s="70">
        <f>+A365</f>
        <v>2021008</v>
      </c>
      <c r="B366" s="74"/>
      <c r="C366" s="404"/>
      <c r="D366" s="402"/>
      <c r="E366" s="402"/>
      <c r="F366" s="402"/>
      <c r="G366" s="402"/>
      <c r="H366" s="402"/>
      <c r="I366" s="402"/>
      <c r="J366" s="398"/>
      <c r="K366" s="62" t="s">
        <v>23</v>
      </c>
      <c r="L366" s="249"/>
      <c r="M366" s="249"/>
      <c r="N366" s="249"/>
      <c r="O366" s="249"/>
      <c r="P366" s="249"/>
      <c r="Q366" s="249"/>
      <c r="R366" s="249">
        <v>113900</v>
      </c>
      <c r="S366" s="210">
        <v>0</v>
      </c>
      <c r="T366" s="210">
        <v>201000</v>
      </c>
      <c r="U366" s="210">
        <v>0</v>
      </c>
      <c r="V366" s="210"/>
      <c r="W366" s="249"/>
      <c r="X366" s="247">
        <f>SUM(L366:W366)</f>
        <v>314900</v>
      </c>
      <c r="Y366" s="105"/>
      <c r="Z366" s="54"/>
    </row>
    <row r="367" spans="1:26">
      <c r="A367" s="70">
        <f t="shared" ref="A367" si="387">+A366</f>
        <v>2021008</v>
      </c>
      <c r="B367" s="74"/>
      <c r="C367" s="404"/>
      <c r="D367" s="402"/>
      <c r="E367" s="402"/>
      <c r="F367" s="402"/>
      <c r="G367" s="402"/>
      <c r="H367" s="402"/>
      <c r="I367" s="402"/>
      <c r="J367" s="398"/>
      <c r="K367" s="62" t="s">
        <v>24</v>
      </c>
      <c r="L367" s="381"/>
      <c r="M367" s="249"/>
      <c r="N367" s="249"/>
      <c r="O367" s="382"/>
      <c r="P367" s="382"/>
      <c r="Q367" s="382"/>
      <c r="R367" s="382"/>
      <c r="S367" s="347"/>
      <c r="T367" s="347"/>
      <c r="U367" s="347"/>
      <c r="V367" s="347"/>
      <c r="W367" s="383"/>
      <c r="X367" s="247">
        <v>0</v>
      </c>
      <c r="Z367" s="54"/>
    </row>
    <row r="368" spans="1:26">
      <c r="A368" s="70">
        <f t="shared" ref="A368" si="388">+A367</f>
        <v>2021008</v>
      </c>
      <c r="B368" s="74"/>
      <c r="C368" s="404"/>
      <c r="D368" s="402"/>
      <c r="E368" s="402"/>
      <c r="F368" s="402"/>
      <c r="G368" s="402"/>
      <c r="H368" s="402"/>
      <c r="I368" s="402"/>
      <c r="J368" s="398"/>
      <c r="K368" s="63" t="s">
        <v>25</v>
      </c>
      <c r="L368" s="307">
        <f t="shared" ref="L368:W368" si="389">SUM(L369:L375)</f>
        <v>0</v>
      </c>
      <c r="M368" s="307">
        <f t="shared" si="389"/>
        <v>0</v>
      </c>
      <c r="N368" s="307">
        <f t="shared" si="389"/>
        <v>0</v>
      </c>
      <c r="O368" s="384">
        <f t="shared" si="389"/>
        <v>0</v>
      </c>
      <c r="P368" s="384">
        <f t="shared" si="389"/>
        <v>0</v>
      </c>
      <c r="Q368" s="384">
        <f t="shared" si="389"/>
        <v>0</v>
      </c>
      <c r="R368" s="384">
        <f t="shared" si="389"/>
        <v>53828.712063843421</v>
      </c>
      <c r="S368" s="348">
        <f t="shared" si="389"/>
        <v>0</v>
      </c>
      <c r="T368" s="348">
        <f t="shared" si="389"/>
        <v>52749.972864430703</v>
      </c>
      <c r="U368" s="348">
        <f t="shared" si="389"/>
        <v>0</v>
      </c>
      <c r="V368" s="348">
        <f t="shared" si="389"/>
        <v>0</v>
      </c>
      <c r="W368" s="385">
        <f t="shared" si="389"/>
        <v>0</v>
      </c>
      <c r="X368" s="248">
        <f>SUM(L368:W368)</f>
        <v>106578.68492827413</v>
      </c>
      <c r="Z368" s="54"/>
    </row>
    <row r="369" spans="1:26">
      <c r="A369" s="70">
        <f t="shared" ref="A369" si="390">+A368</f>
        <v>2021008</v>
      </c>
      <c r="B369" s="74"/>
      <c r="C369" s="404"/>
      <c r="D369" s="402"/>
      <c r="E369" s="402"/>
      <c r="F369" s="402"/>
      <c r="G369" s="402"/>
      <c r="H369" s="402"/>
      <c r="I369" s="402"/>
      <c r="J369" s="398"/>
      <c r="K369" s="64" t="s">
        <v>26</v>
      </c>
      <c r="L369" s="386"/>
      <c r="M369" s="386"/>
      <c r="N369" s="386"/>
      <c r="O369" s="386"/>
      <c r="P369" s="386"/>
      <c r="Q369" s="386"/>
      <c r="R369" s="386">
        <f>452200/171.67*17</f>
        <v>44780.101357255204</v>
      </c>
      <c r="S369" s="225">
        <v>0</v>
      </c>
      <c r="T369" s="225">
        <f>480804/184.26*17.5</f>
        <v>45664.115923152072</v>
      </c>
      <c r="U369" s="225">
        <v>0</v>
      </c>
      <c r="V369" s="225"/>
      <c r="W369" s="386"/>
      <c r="X369" s="247">
        <f t="shared" ref="X369:X375" si="391">SUM(L369:W369)</f>
        <v>90444.217280407276</v>
      </c>
      <c r="Y369" s="105"/>
      <c r="Z369" s="54"/>
    </row>
    <row r="370" spans="1:26">
      <c r="A370" s="70">
        <f t="shared" ref="A370" si="392">+A369</f>
        <v>2021008</v>
      </c>
      <c r="B370" s="74"/>
      <c r="C370" s="404"/>
      <c r="D370" s="402"/>
      <c r="E370" s="402"/>
      <c r="F370" s="402"/>
      <c r="G370" s="402"/>
      <c r="H370" s="402"/>
      <c r="I370" s="402"/>
      <c r="J370" s="398"/>
      <c r="K370" s="64" t="s">
        <v>33</v>
      </c>
      <c r="L370" s="386"/>
      <c r="M370" s="386"/>
      <c r="N370" s="386"/>
      <c r="O370" s="386"/>
      <c r="P370" s="386"/>
      <c r="Q370" s="386"/>
      <c r="R370" s="386"/>
      <c r="S370" s="225"/>
      <c r="T370" s="225"/>
      <c r="U370" s="225"/>
      <c r="V370" s="225"/>
      <c r="W370" s="386"/>
      <c r="X370" s="247">
        <f t="shared" si="391"/>
        <v>0</v>
      </c>
      <c r="Y370" s="105"/>
      <c r="Z370" s="54"/>
    </row>
    <row r="371" spans="1:26">
      <c r="A371" s="70">
        <f t="shared" ref="A371" si="393">+A370</f>
        <v>2021008</v>
      </c>
      <c r="B371" s="74"/>
      <c r="C371" s="404"/>
      <c r="D371" s="402"/>
      <c r="E371" s="402"/>
      <c r="F371" s="402"/>
      <c r="G371" s="402"/>
      <c r="H371" s="402"/>
      <c r="I371" s="402"/>
      <c r="J371" s="398"/>
      <c r="K371" s="64" t="s">
        <v>27</v>
      </c>
      <c r="L371" s="386"/>
      <c r="M371" s="386"/>
      <c r="N371" s="386"/>
      <c r="O371" s="386"/>
      <c r="P371" s="386"/>
      <c r="Q371" s="386"/>
      <c r="R371" s="386">
        <f>16890/171.67*17</f>
        <v>1672.569464670589</v>
      </c>
      <c r="S371" s="225"/>
      <c r="T371" s="225">
        <v>0</v>
      </c>
      <c r="U371" s="225"/>
      <c r="V371" s="225"/>
      <c r="W371" s="386"/>
      <c r="X371" s="247">
        <f t="shared" si="391"/>
        <v>1672.569464670589</v>
      </c>
      <c r="Y371" s="105"/>
      <c r="Z371" s="54"/>
    </row>
    <row r="372" spans="1:26">
      <c r="A372" s="70">
        <f t="shared" ref="A372" si="394">+A371</f>
        <v>2021008</v>
      </c>
      <c r="B372" s="74"/>
      <c r="C372" s="404"/>
      <c r="D372" s="402"/>
      <c r="E372" s="402"/>
      <c r="F372" s="402"/>
      <c r="G372" s="402"/>
      <c r="H372" s="402"/>
      <c r="I372" s="402"/>
      <c r="J372" s="398"/>
      <c r="K372" s="64" t="s">
        <v>28</v>
      </c>
      <c r="L372" s="386"/>
      <c r="M372" s="386"/>
      <c r="N372" s="386"/>
      <c r="O372" s="386"/>
      <c r="P372" s="386"/>
      <c r="Q372" s="386"/>
      <c r="R372" s="386">
        <f>26555/171.67*17</f>
        <v>2629.6673850993188</v>
      </c>
      <c r="S372" s="225"/>
      <c r="T372" s="225">
        <f>26555/184.26*17.5</f>
        <v>2522.0476500596983</v>
      </c>
      <c r="U372" s="225"/>
      <c r="V372" s="225"/>
      <c r="W372" s="386"/>
      <c r="X372" s="247">
        <f t="shared" si="391"/>
        <v>5151.7150351590171</v>
      </c>
      <c r="Y372" s="105"/>
      <c r="Z372" s="54"/>
    </row>
    <row r="373" spans="1:26">
      <c r="A373" s="70">
        <f t="shared" ref="A373" si="395">+A372</f>
        <v>2021008</v>
      </c>
      <c r="B373" s="74"/>
      <c r="C373" s="404"/>
      <c r="D373" s="402"/>
      <c r="E373" s="402"/>
      <c r="F373" s="402"/>
      <c r="G373" s="402"/>
      <c r="H373" s="402"/>
      <c r="I373" s="402"/>
      <c r="J373" s="398"/>
      <c r="K373" s="64" t="s">
        <v>29</v>
      </c>
      <c r="L373" s="386"/>
      <c r="M373" s="386"/>
      <c r="N373" s="386"/>
      <c r="O373" s="386"/>
      <c r="P373" s="386"/>
      <c r="Q373" s="386"/>
      <c r="R373" s="386">
        <f>43005/171.67*17</f>
        <v>4258.664880293587</v>
      </c>
      <c r="S373" s="225"/>
      <c r="T373" s="225">
        <f>43005/184.26*17.5</f>
        <v>4084.3780527515469</v>
      </c>
      <c r="U373" s="225"/>
      <c r="V373" s="225"/>
      <c r="W373" s="386"/>
      <c r="X373" s="247">
        <f t="shared" si="391"/>
        <v>8343.0429330451334</v>
      </c>
      <c r="Y373" s="105"/>
      <c r="Z373" s="54"/>
    </row>
    <row r="374" spans="1:26">
      <c r="A374" s="70">
        <f t="shared" ref="A374" si="396">+A373</f>
        <v>2021008</v>
      </c>
      <c r="B374" s="74"/>
      <c r="C374" s="404"/>
      <c r="D374" s="402"/>
      <c r="E374" s="402"/>
      <c r="F374" s="402"/>
      <c r="G374" s="402"/>
      <c r="H374" s="402"/>
      <c r="I374" s="402"/>
      <c r="J374" s="398"/>
      <c r="K374" s="64" t="s">
        <v>30</v>
      </c>
      <c r="L374" s="386"/>
      <c r="M374" s="386"/>
      <c r="N374" s="386"/>
      <c r="O374" s="386"/>
      <c r="P374" s="386"/>
      <c r="Q374" s="386"/>
      <c r="R374" s="386">
        <f>2345/171.67*17</f>
        <v>232.21879186811907</v>
      </c>
      <c r="S374" s="225"/>
      <c r="T374" s="225">
        <f>2404/184.26*17.5</f>
        <v>228.31868012590905</v>
      </c>
      <c r="U374" s="225"/>
      <c r="V374" s="225"/>
      <c r="W374" s="386"/>
      <c r="X374" s="247">
        <f t="shared" si="391"/>
        <v>460.53747199402812</v>
      </c>
      <c r="Y374" s="105"/>
      <c r="Z374" s="54"/>
    </row>
    <row r="375" spans="1:26">
      <c r="A375" s="70">
        <f t="shared" ref="A375" si="397">+A374</f>
        <v>2021008</v>
      </c>
      <c r="B375" s="74"/>
      <c r="C375" s="404"/>
      <c r="D375" s="402"/>
      <c r="E375" s="402"/>
      <c r="F375" s="402"/>
      <c r="G375" s="402"/>
      <c r="H375" s="402"/>
      <c r="I375" s="402"/>
      <c r="J375" s="398"/>
      <c r="K375" s="64" t="s">
        <v>31</v>
      </c>
      <c r="L375" s="386"/>
      <c r="M375" s="386"/>
      <c r="N375" s="386"/>
      <c r="O375" s="386"/>
      <c r="P375" s="386"/>
      <c r="Q375" s="386"/>
      <c r="R375" s="386">
        <f>2580/171.67*17</f>
        <v>255.49018465660865</v>
      </c>
      <c r="S375" s="225"/>
      <c r="T375" s="225">
        <f>2644/184.26*17.5</f>
        <v>251.112558341474</v>
      </c>
      <c r="U375" s="225"/>
      <c r="V375" s="225"/>
      <c r="W375" s="386"/>
      <c r="X375" s="247">
        <f t="shared" si="391"/>
        <v>506.60274299808265</v>
      </c>
      <c r="Y375" s="105"/>
      <c r="Z375" s="54"/>
    </row>
    <row r="376" spans="1:26">
      <c r="A376" s="70">
        <f t="shared" ref="A376" si="398">+A375</f>
        <v>2021008</v>
      </c>
      <c r="B376" s="74"/>
      <c r="C376" s="405"/>
      <c r="D376" s="403"/>
      <c r="E376" s="403"/>
      <c r="F376" s="403"/>
      <c r="G376" s="403"/>
      <c r="H376" s="403"/>
      <c r="I376" s="403"/>
      <c r="J376" s="399"/>
      <c r="K376" s="65" t="s">
        <v>32</v>
      </c>
      <c r="L376" s="250">
        <f t="shared" ref="L376:X376" si="399">L365-L368</f>
        <v>0</v>
      </c>
      <c r="M376" s="251">
        <f t="shared" si="399"/>
        <v>0</v>
      </c>
      <c r="N376" s="251">
        <f t="shared" si="399"/>
        <v>0</v>
      </c>
      <c r="O376" s="252">
        <f t="shared" si="399"/>
        <v>0</v>
      </c>
      <c r="P376" s="252">
        <f t="shared" si="399"/>
        <v>0</v>
      </c>
      <c r="Q376" s="252">
        <f t="shared" si="399"/>
        <v>0</v>
      </c>
      <c r="R376" s="252">
        <f t="shared" si="399"/>
        <v>60071.287936156579</v>
      </c>
      <c r="S376" s="344">
        <f t="shared" si="399"/>
        <v>0</v>
      </c>
      <c r="T376" s="344">
        <f t="shared" si="399"/>
        <v>148250.02713556931</v>
      </c>
      <c r="U376" s="344">
        <f t="shared" si="399"/>
        <v>0</v>
      </c>
      <c r="V376" s="344">
        <f t="shared" si="399"/>
        <v>0</v>
      </c>
      <c r="W376" s="253">
        <f t="shared" si="399"/>
        <v>0</v>
      </c>
      <c r="X376" s="254">
        <f t="shared" si="399"/>
        <v>208321.31507172587</v>
      </c>
      <c r="Z376" s="54"/>
    </row>
    <row r="377" spans="1:26" ht="12.75" customHeight="1">
      <c r="A377" s="101">
        <v>2021022</v>
      </c>
      <c r="B377" s="104"/>
      <c r="C377" s="433">
        <f t="shared" ref="C377" si="400">C365+1</f>
        <v>32</v>
      </c>
      <c r="D377" s="432" t="s">
        <v>54</v>
      </c>
      <c r="E377" s="432"/>
      <c r="F377" s="432"/>
      <c r="G377" s="432"/>
      <c r="H377" s="432"/>
      <c r="I377" s="432" t="s">
        <v>110</v>
      </c>
      <c r="J377" s="397"/>
      <c r="K377" s="61" t="s">
        <v>22</v>
      </c>
      <c r="L377" s="213">
        <f t="shared" ref="L377:W377" si="401">L378+L379</f>
        <v>0</v>
      </c>
      <c r="M377" s="275">
        <f t="shared" si="401"/>
        <v>0</v>
      </c>
      <c r="N377" s="275">
        <f t="shared" si="401"/>
        <v>0</v>
      </c>
      <c r="O377" s="275">
        <f t="shared" si="401"/>
        <v>0</v>
      </c>
      <c r="P377" s="275">
        <f t="shared" si="401"/>
        <v>381937</v>
      </c>
      <c r="Q377" s="353">
        <f t="shared" si="401"/>
        <v>395062</v>
      </c>
      <c r="R377" s="353">
        <f t="shared" si="401"/>
        <v>396375</v>
      </c>
      <c r="S377" s="353">
        <f t="shared" si="401"/>
        <v>202125</v>
      </c>
      <c r="T377" s="353">
        <f t="shared" si="401"/>
        <v>112875</v>
      </c>
      <c r="U377" s="353">
        <f t="shared" si="401"/>
        <v>15400</v>
      </c>
      <c r="V377" s="353">
        <f t="shared" si="401"/>
        <v>0</v>
      </c>
      <c r="W377" s="131">
        <f t="shared" si="401"/>
        <v>0</v>
      </c>
      <c r="X377" s="132">
        <f>SUM(L377:W377)</f>
        <v>1503774</v>
      </c>
      <c r="Z377" s="54"/>
    </row>
    <row r="378" spans="1:26">
      <c r="A378" s="70">
        <f>+A377</f>
        <v>2021022</v>
      </c>
      <c r="B378" s="74"/>
      <c r="C378" s="404"/>
      <c r="D378" s="402"/>
      <c r="E378" s="402"/>
      <c r="F378" s="402"/>
      <c r="G378" s="402"/>
      <c r="H378" s="402"/>
      <c r="I378" s="402"/>
      <c r="J378" s="398"/>
      <c r="K378" s="62" t="s">
        <v>23</v>
      </c>
      <c r="L378" s="210"/>
      <c r="M378" s="210"/>
      <c r="N378" s="210"/>
      <c r="O378" s="210"/>
      <c r="P378" s="210">
        <v>381937</v>
      </c>
      <c r="Q378" s="210">
        <v>395062</v>
      </c>
      <c r="R378" s="210">
        <v>396375</v>
      </c>
      <c r="S378" s="210">
        <v>202125</v>
      </c>
      <c r="T378" s="210">
        <v>112875</v>
      </c>
      <c r="U378" s="210">
        <v>15400</v>
      </c>
      <c r="V378" s="210">
        <v>0</v>
      </c>
      <c r="W378" s="83">
        <v>0</v>
      </c>
      <c r="X378" s="135">
        <f>SUM(L378:W378)</f>
        <v>1503774</v>
      </c>
      <c r="Y378" s="105"/>
      <c r="Z378" s="54"/>
    </row>
    <row r="379" spans="1:26">
      <c r="A379" s="70">
        <f t="shared" ref="A379" si="402">+A378</f>
        <v>2021022</v>
      </c>
      <c r="B379" s="74"/>
      <c r="C379" s="404"/>
      <c r="D379" s="402"/>
      <c r="E379" s="402"/>
      <c r="F379" s="402"/>
      <c r="G379" s="402"/>
      <c r="H379" s="402"/>
      <c r="I379" s="402"/>
      <c r="J379" s="398"/>
      <c r="K379" s="62" t="s">
        <v>24</v>
      </c>
      <c r="L379" s="226"/>
      <c r="M379" s="210"/>
      <c r="N379" s="210"/>
      <c r="O379" s="347"/>
      <c r="P379" s="347"/>
      <c r="Q379" s="347"/>
      <c r="R379" s="347"/>
      <c r="S379" s="347"/>
      <c r="T379" s="347"/>
      <c r="U379" s="347"/>
      <c r="V379" s="347"/>
      <c r="W379" s="133"/>
      <c r="X379" s="135">
        <v>0</v>
      </c>
      <c r="Z379" s="54"/>
    </row>
    <row r="380" spans="1:26">
      <c r="A380" s="70">
        <f t="shared" ref="A380" si="403">+A379</f>
        <v>2021022</v>
      </c>
      <c r="B380" s="74"/>
      <c r="C380" s="404"/>
      <c r="D380" s="402"/>
      <c r="E380" s="402"/>
      <c r="F380" s="402"/>
      <c r="G380" s="402"/>
      <c r="H380" s="402"/>
      <c r="I380" s="402"/>
      <c r="J380" s="398"/>
      <c r="K380" s="63" t="s">
        <v>25</v>
      </c>
      <c r="L380" s="227">
        <f t="shared" ref="L380:W380" si="404">SUM(L381:L387)</f>
        <v>0</v>
      </c>
      <c r="M380" s="227">
        <f t="shared" si="404"/>
        <v>0</v>
      </c>
      <c r="N380" s="227">
        <f t="shared" si="404"/>
        <v>0</v>
      </c>
      <c r="O380" s="348">
        <f t="shared" si="404"/>
        <v>0</v>
      </c>
      <c r="P380" s="348">
        <f t="shared" si="404"/>
        <v>369744</v>
      </c>
      <c r="Q380" s="348">
        <f t="shared" si="404"/>
        <v>386011</v>
      </c>
      <c r="R380" s="348">
        <f t="shared" si="404"/>
        <v>350860</v>
      </c>
      <c r="S380" s="348">
        <f t="shared" si="404"/>
        <v>366989</v>
      </c>
      <c r="T380" s="348">
        <f t="shared" si="404"/>
        <v>373358</v>
      </c>
      <c r="U380" s="348">
        <f t="shared" si="404"/>
        <v>368998</v>
      </c>
      <c r="V380" s="348">
        <f t="shared" si="404"/>
        <v>387262</v>
      </c>
      <c r="W380" s="134">
        <f t="shared" si="404"/>
        <v>375710</v>
      </c>
      <c r="X380" s="136">
        <f>SUM(L380:W380)</f>
        <v>2978932</v>
      </c>
      <c r="Z380" s="54"/>
    </row>
    <row r="381" spans="1:26">
      <c r="A381" s="70">
        <f t="shared" ref="A381" si="405">+A380</f>
        <v>2021022</v>
      </c>
      <c r="B381" s="74"/>
      <c r="C381" s="404"/>
      <c r="D381" s="402"/>
      <c r="E381" s="402"/>
      <c r="F381" s="402"/>
      <c r="G381" s="402"/>
      <c r="H381" s="402"/>
      <c r="I381" s="402"/>
      <c r="J381" s="398"/>
      <c r="K381" s="64" t="s">
        <v>26</v>
      </c>
      <c r="L381" s="225"/>
      <c r="M381" s="225"/>
      <c r="N381" s="225"/>
      <c r="O381" s="225"/>
      <c r="P381" s="225">
        <v>305000</v>
      </c>
      <c r="Q381" s="225">
        <v>335132</v>
      </c>
      <c r="R381" s="225">
        <v>274868</v>
      </c>
      <c r="S381" s="225">
        <v>298713</v>
      </c>
      <c r="T381" s="225">
        <v>310000</v>
      </c>
      <c r="U381" s="225">
        <v>305000</v>
      </c>
      <c r="V381" s="225">
        <v>310000</v>
      </c>
      <c r="W381" s="106">
        <v>305000</v>
      </c>
      <c r="X381" s="135">
        <f t="shared" ref="X381:X387" si="406">SUM(L381:W381)</f>
        <v>2443713</v>
      </c>
      <c r="Y381" s="105"/>
      <c r="Z381" s="54"/>
    </row>
    <row r="382" spans="1:26">
      <c r="A382" s="70">
        <f t="shared" ref="A382" si="407">+A381</f>
        <v>2021022</v>
      </c>
      <c r="B382" s="74"/>
      <c r="C382" s="404"/>
      <c r="D382" s="402"/>
      <c r="E382" s="402"/>
      <c r="F382" s="402"/>
      <c r="G382" s="402"/>
      <c r="H382" s="402"/>
      <c r="I382" s="402"/>
      <c r="J382" s="398"/>
      <c r="K382" s="64" t="s">
        <v>33</v>
      </c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106"/>
      <c r="X382" s="135">
        <f t="shared" si="406"/>
        <v>0</v>
      </c>
      <c r="Y382" s="105"/>
      <c r="Z382" s="54"/>
    </row>
    <row r="383" spans="1:26">
      <c r="A383" s="70">
        <f t="shared" ref="A383" si="408">+A382</f>
        <v>2021022</v>
      </c>
      <c r="B383" s="74"/>
      <c r="C383" s="404"/>
      <c r="D383" s="402"/>
      <c r="E383" s="402"/>
      <c r="F383" s="402"/>
      <c r="G383" s="402"/>
      <c r="H383" s="402"/>
      <c r="I383" s="402"/>
      <c r="J383" s="398"/>
      <c r="K383" s="64" t="s">
        <v>27</v>
      </c>
      <c r="L383" s="225"/>
      <c r="M383" s="225"/>
      <c r="N383" s="225"/>
      <c r="O383" s="225"/>
      <c r="P383" s="225">
        <v>14034</v>
      </c>
      <c r="Q383" s="225">
        <v>0</v>
      </c>
      <c r="R383" s="225">
        <v>25478</v>
      </c>
      <c r="S383" s="225">
        <v>17594</v>
      </c>
      <c r="T383" s="225">
        <v>12611</v>
      </c>
      <c r="U383" s="225">
        <v>13296</v>
      </c>
      <c r="V383" s="395">
        <v>26189</v>
      </c>
      <c r="W383" s="364">
        <v>20000</v>
      </c>
      <c r="X383" s="135">
        <f t="shared" si="406"/>
        <v>129202</v>
      </c>
      <c r="Y383" s="105"/>
      <c r="Z383" s="54"/>
    </row>
    <row r="384" spans="1:26">
      <c r="A384" s="70">
        <f t="shared" ref="A384" si="409">+A383</f>
        <v>2021022</v>
      </c>
      <c r="B384" s="74"/>
      <c r="C384" s="404"/>
      <c r="D384" s="402"/>
      <c r="E384" s="402"/>
      <c r="F384" s="402"/>
      <c r="G384" s="402"/>
      <c r="H384" s="402"/>
      <c r="I384" s="402"/>
      <c r="J384" s="398"/>
      <c r="K384" s="64" t="s">
        <v>28</v>
      </c>
      <c r="L384" s="225"/>
      <c r="M384" s="225"/>
      <c r="N384" s="225"/>
      <c r="O384" s="225"/>
      <c r="P384" s="225">
        <v>18080</v>
      </c>
      <c r="Q384" s="225">
        <v>18080</v>
      </c>
      <c r="R384" s="225">
        <v>18080</v>
      </c>
      <c r="S384" s="225">
        <v>18080</v>
      </c>
      <c r="T384" s="225">
        <v>18080</v>
      </c>
      <c r="U384" s="225">
        <v>18080</v>
      </c>
      <c r="V384" s="396">
        <v>18080</v>
      </c>
      <c r="W384" s="365">
        <v>18080</v>
      </c>
      <c r="X384" s="135">
        <f t="shared" si="406"/>
        <v>144640</v>
      </c>
      <c r="Y384" s="105"/>
      <c r="Z384" s="54"/>
    </row>
    <row r="385" spans="1:26">
      <c r="A385" s="70">
        <f t="shared" ref="A385" si="410">+A384</f>
        <v>2021022</v>
      </c>
      <c r="B385" s="74"/>
      <c r="C385" s="404"/>
      <c r="D385" s="402"/>
      <c r="E385" s="402"/>
      <c r="F385" s="402"/>
      <c r="G385" s="402"/>
      <c r="H385" s="402"/>
      <c r="I385" s="402"/>
      <c r="J385" s="398"/>
      <c r="K385" s="64" t="s">
        <v>29</v>
      </c>
      <c r="L385" s="225"/>
      <c r="M385" s="225"/>
      <c r="N385" s="225"/>
      <c r="O385" s="225"/>
      <c r="P385" s="225">
        <v>29280</v>
      </c>
      <c r="Q385" s="225">
        <v>29280</v>
      </c>
      <c r="R385" s="225">
        <v>29280</v>
      </c>
      <c r="S385" s="225">
        <v>29280</v>
      </c>
      <c r="T385" s="225">
        <v>29280</v>
      </c>
      <c r="U385" s="225">
        <v>29280</v>
      </c>
      <c r="V385" s="396">
        <v>29280</v>
      </c>
      <c r="W385" s="365">
        <v>29280</v>
      </c>
      <c r="X385" s="135">
        <f t="shared" si="406"/>
        <v>234240</v>
      </c>
      <c r="Y385" s="105"/>
      <c r="Z385" s="54"/>
    </row>
    <row r="386" spans="1:26">
      <c r="A386" s="70">
        <f t="shared" ref="A386" si="411">+A385</f>
        <v>2021022</v>
      </c>
      <c r="B386" s="74"/>
      <c r="C386" s="404"/>
      <c r="D386" s="402"/>
      <c r="E386" s="402"/>
      <c r="F386" s="402"/>
      <c r="G386" s="402"/>
      <c r="H386" s="402"/>
      <c r="I386" s="402"/>
      <c r="J386" s="398"/>
      <c r="K386" s="64" t="s">
        <v>30</v>
      </c>
      <c r="L386" s="225"/>
      <c r="M386" s="225"/>
      <c r="N386" s="225"/>
      <c r="O386" s="225"/>
      <c r="P386" s="225">
        <v>1595</v>
      </c>
      <c r="Q386" s="225">
        <v>1676</v>
      </c>
      <c r="R386" s="225">
        <v>1502</v>
      </c>
      <c r="S386" s="225">
        <v>1582</v>
      </c>
      <c r="T386" s="225">
        <v>1613</v>
      </c>
      <c r="U386" s="225">
        <v>1591</v>
      </c>
      <c r="V386" s="396">
        <v>1768</v>
      </c>
      <c r="W386" s="365">
        <v>1595</v>
      </c>
      <c r="X386" s="135">
        <f t="shared" si="406"/>
        <v>12922</v>
      </c>
      <c r="Y386" s="105"/>
      <c r="Z386" s="54"/>
    </row>
    <row r="387" spans="1:26">
      <c r="A387" s="70">
        <f t="shared" ref="A387" si="412">+A386</f>
        <v>2021022</v>
      </c>
      <c r="B387" s="74"/>
      <c r="C387" s="404"/>
      <c r="D387" s="402"/>
      <c r="E387" s="402"/>
      <c r="F387" s="402"/>
      <c r="G387" s="402"/>
      <c r="H387" s="402"/>
      <c r="I387" s="402"/>
      <c r="J387" s="398"/>
      <c r="K387" s="64" t="s">
        <v>31</v>
      </c>
      <c r="L387" s="225"/>
      <c r="M387" s="225"/>
      <c r="N387" s="225"/>
      <c r="O387" s="225"/>
      <c r="P387" s="225">
        <v>1755</v>
      </c>
      <c r="Q387" s="225">
        <v>1843</v>
      </c>
      <c r="R387" s="225">
        <v>1652</v>
      </c>
      <c r="S387" s="225">
        <v>1740</v>
      </c>
      <c r="T387" s="225">
        <v>1774</v>
      </c>
      <c r="U387" s="225">
        <v>1751</v>
      </c>
      <c r="V387" s="225">
        <v>1945</v>
      </c>
      <c r="W387" s="106">
        <v>1755</v>
      </c>
      <c r="X387" s="135">
        <f t="shared" si="406"/>
        <v>14215</v>
      </c>
      <c r="Y387" s="105"/>
      <c r="Z387" s="54"/>
    </row>
    <row r="388" spans="1:26">
      <c r="A388" s="70">
        <f t="shared" ref="A388" si="413">+A387</f>
        <v>2021022</v>
      </c>
      <c r="B388" s="74"/>
      <c r="C388" s="405"/>
      <c r="D388" s="403"/>
      <c r="E388" s="403"/>
      <c r="F388" s="403"/>
      <c r="G388" s="403"/>
      <c r="H388" s="403"/>
      <c r="I388" s="403"/>
      <c r="J388" s="399"/>
      <c r="K388" s="65" t="s">
        <v>32</v>
      </c>
      <c r="L388" s="194">
        <f t="shared" ref="L388:X388" si="414">L377-L380</f>
        <v>0</v>
      </c>
      <c r="M388" s="267">
        <f t="shared" si="414"/>
        <v>0</v>
      </c>
      <c r="N388" s="267">
        <f t="shared" si="414"/>
        <v>0</v>
      </c>
      <c r="O388" s="344">
        <f t="shared" si="414"/>
        <v>0</v>
      </c>
      <c r="P388" s="344">
        <f t="shared" si="414"/>
        <v>12193</v>
      </c>
      <c r="Q388" s="344">
        <f t="shared" si="414"/>
        <v>9051</v>
      </c>
      <c r="R388" s="344">
        <f t="shared" si="414"/>
        <v>45515</v>
      </c>
      <c r="S388" s="344">
        <f t="shared" si="414"/>
        <v>-164864</v>
      </c>
      <c r="T388" s="344">
        <f t="shared" si="414"/>
        <v>-260483</v>
      </c>
      <c r="U388" s="344">
        <f t="shared" si="414"/>
        <v>-353598</v>
      </c>
      <c r="V388" s="344">
        <f t="shared" si="414"/>
        <v>-387262</v>
      </c>
      <c r="W388" s="129">
        <f t="shared" si="414"/>
        <v>-375710</v>
      </c>
      <c r="X388" s="50">
        <f t="shared" si="414"/>
        <v>-1475158</v>
      </c>
      <c r="Z388" s="54"/>
    </row>
    <row r="389" spans="1:26" ht="12.75" customHeight="1">
      <c r="A389" s="101" t="s">
        <v>108</v>
      </c>
      <c r="B389" s="104"/>
      <c r="C389" s="433">
        <f t="shared" ref="C389" si="415">C377+1</f>
        <v>33</v>
      </c>
      <c r="D389" s="432" t="s">
        <v>54</v>
      </c>
      <c r="E389" s="432"/>
      <c r="F389" s="432"/>
      <c r="G389" s="432"/>
      <c r="H389" s="432"/>
      <c r="I389" s="432" t="s">
        <v>58</v>
      </c>
      <c r="J389" s="397" t="s">
        <v>112</v>
      </c>
      <c r="K389" s="61" t="s">
        <v>22</v>
      </c>
      <c r="L389" s="213">
        <f t="shared" ref="L389:W389" si="416">L390+L391</f>
        <v>0</v>
      </c>
      <c r="M389" s="275">
        <f t="shared" si="416"/>
        <v>0</v>
      </c>
      <c r="N389" s="275">
        <f t="shared" si="416"/>
        <v>0</v>
      </c>
      <c r="O389" s="275">
        <f t="shared" si="416"/>
        <v>0</v>
      </c>
      <c r="P389" s="275">
        <f t="shared" si="416"/>
        <v>0</v>
      </c>
      <c r="Q389" s="353">
        <f t="shared" si="416"/>
        <v>0</v>
      </c>
      <c r="R389" s="353">
        <f t="shared" si="416"/>
        <v>112000</v>
      </c>
      <c r="S389" s="353">
        <f t="shared" si="416"/>
        <v>800000</v>
      </c>
      <c r="T389" s="353">
        <f t="shared" si="416"/>
        <v>800000</v>
      </c>
      <c r="U389" s="353">
        <f t="shared" si="416"/>
        <v>800000</v>
      </c>
      <c r="V389" s="353">
        <f t="shared" si="416"/>
        <v>800000</v>
      </c>
      <c r="W389" s="131">
        <f t="shared" si="416"/>
        <v>800000</v>
      </c>
      <c r="X389" s="132">
        <f>SUM(L389:W389)</f>
        <v>4112000</v>
      </c>
      <c r="Z389" s="54"/>
    </row>
    <row r="390" spans="1:26">
      <c r="A390" s="70" t="str">
        <f>+A389</f>
        <v>-</v>
      </c>
      <c r="B390" s="74"/>
      <c r="C390" s="404"/>
      <c r="D390" s="402"/>
      <c r="E390" s="402"/>
      <c r="F390" s="402"/>
      <c r="G390" s="402"/>
      <c r="H390" s="402"/>
      <c r="I390" s="402"/>
      <c r="J390" s="398"/>
      <c r="K390" s="62" t="s">
        <v>23</v>
      </c>
      <c r="L390" s="210"/>
      <c r="M390" s="210"/>
      <c r="N390" s="210"/>
      <c r="O390" s="210"/>
      <c r="P390" s="210"/>
      <c r="Q390" s="210"/>
      <c r="R390" s="210">
        <v>112000</v>
      </c>
      <c r="S390" s="210">
        <v>800000</v>
      </c>
      <c r="T390" s="210">
        <v>800000</v>
      </c>
      <c r="U390" s="210">
        <v>800000</v>
      </c>
      <c r="V390" s="210">
        <v>800000</v>
      </c>
      <c r="W390" s="83">
        <v>800000</v>
      </c>
      <c r="X390" s="135">
        <f>SUM(L390:W390)</f>
        <v>4112000</v>
      </c>
      <c r="Y390" s="105"/>
      <c r="Z390" s="54"/>
    </row>
    <row r="391" spans="1:26">
      <c r="A391" s="70" t="str">
        <f t="shared" ref="A391" si="417">+A390</f>
        <v>-</v>
      </c>
      <c r="B391" s="74"/>
      <c r="C391" s="404"/>
      <c r="D391" s="402"/>
      <c r="E391" s="402"/>
      <c r="F391" s="402"/>
      <c r="G391" s="402"/>
      <c r="H391" s="402"/>
      <c r="I391" s="402"/>
      <c r="J391" s="398"/>
      <c r="K391" s="62" t="s">
        <v>24</v>
      </c>
      <c r="L391" s="226"/>
      <c r="M391" s="210"/>
      <c r="N391" s="210"/>
      <c r="O391" s="347"/>
      <c r="P391" s="347"/>
      <c r="Q391" s="347"/>
      <c r="R391" s="347"/>
      <c r="S391" s="347"/>
      <c r="T391" s="225"/>
      <c r="U391" s="225"/>
      <c r="V391" s="225"/>
      <c r="W391" s="106"/>
      <c r="X391" s="135">
        <v>0</v>
      </c>
      <c r="Z391" s="54"/>
    </row>
    <row r="392" spans="1:26">
      <c r="A392" s="70" t="str">
        <f t="shared" ref="A392" si="418">+A391</f>
        <v>-</v>
      </c>
      <c r="B392" s="74"/>
      <c r="C392" s="404"/>
      <c r="D392" s="402"/>
      <c r="E392" s="402"/>
      <c r="F392" s="402"/>
      <c r="G392" s="402"/>
      <c r="H392" s="402"/>
      <c r="I392" s="402"/>
      <c r="J392" s="398"/>
      <c r="K392" s="63" t="s">
        <v>25</v>
      </c>
      <c r="L392" s="227">
        <f t="shared" ref="L392:W392" si="419">SUM(L393:L399)</f>
        <v>0</v>
      </c>
      <c r="M392" s="227">
        <f t="shared" si="419"/>
        <v>0</v>
      </c>
      <c r="N392" s="227">
        <f t="shared" si="419"/>
        <v>0</v>
      </c>
      <c r="O392" s="348">
        <f t="shared" si="419"/>
        <v>0</v>
      </c>
      <c r="P392" s="348">
        <f t="shared" si="419"/>
        <v>0</v>
      </c>
      <c r="Q392" s="348">
        <f t="shared" si="419"/>
        <v>0</v>
      </c>
      <c r="R392" s="348">
        <f t="shared" si="419"/>
        <v>108000</v>
      </c>
      <c r="S392" s="348">
        <f t="shared" si="419"/>
        <v>720000</v>
      </c>
      <c r="T392" s="348">
        <f t="shared" si="419"/>
        <v>740000</v>
      </c>
      <c r="U392" s="348">
        <f t="shared" si="419"/>
        <v>720000</v>
      </c>
      <c r="V392" s="348">
        <f t="shared" si="419"/>
        <v>720000</v>
      </c>
      <c r="W392" s="134">
        <f t="shared" si="419"/>
        <v>720000</v>
      </c>
      <c r="X392" s="136">
        <f>SUM(L392:W392)</f>
        <v>3728000</v>
      </c>
      <c r="Z392" s="54"/>
    </row>
    <row r="393" spans="1:26">
      <c r="A393" s="70" t="str">
        <f t="shared" ref="A393" si="420">+A392</f>
        <v>-</v>
      </c>
      <c r="B393" s="74"/>
      <c r="C393" s="404"/>
      <c r="D393" s="402"/>
      <c r="E393" s="402"/>
      <c r="F393" s="402"/>
      <c r="G393" s="402"/>
      <c r="H393" s="402"/>
      <c r="I393" s="402"/>
      <c r="J393" s="398"/>
      <c r="K393" s="64" t="s">
        <v>26</v>
      </c>
      <c r="L393" s="225"/>
      <c r="M393" s="225"/>
      <c r="N393" s="225"/>
      <c r="O393" s="225"/>
      <c r="P393" s="225"/>
      <c r="Q393" s="225"/>
      <c r="R393" s="225">
        <v>108000</v>
      </c>
      <c r="S393" s="225">
        <v>720000</v>
      </c>
      <c r="T393" s="225">
        <v>740000</v>
      </c>
      <c r="U393" s="225">
        <v>720000</v>
      </c>
      <c r="V393" s="225">
        <v>720000</v>
      </c>
      <c r="W393" s="106">
        <v>720000</v>
      </c>
      <c r="X393" s="135">
        <f t="shared" ref="X393:X399" si="421">SUM(L393:W393)</f>
        <v>3728000</v>
      </c>
      <c r="Y393" s="105"/>
      <c r="Z393" s="54"/>
    </row>
    <row r="394" spans="1:26">
      <c r="A394" s="70" t="str">
        <f t="shared" ref="A394" si="422">+A393</f>
        <v>-</v>
      </c>
      <c r="B394" s="74"/>
      <c r="C394" s="404"/>
      <c r="D394" s="402"/>
      <c r="E394" s="402"/>
      <c r="F394" s="402"/>
      <c r="G394" s="402"/>
      <c r="H394" s="402"/>
      <c r="I394" s="402"/>
      <c r="J394" s="398"/>
      <c r="K394" s="64" t="s">
        <v>33</v>
      </c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106"/>
      <c r="X394" s="135">
        <f t="shared" si="421"/>
        <v>0</v>
      </c>
      <c r="Y394" s="105"/>
      <c r="Z394" s="54"/>
    </row>
    <row r="395" spans="1:26">
      <c r="A395" s="70" t="str">
        <f t="shared" ref="A395" si="423">+A394</f>
        <v>-</v>
      </c>
      <c r="B395" s="74"/>
      <c r="C395" s="404"/>
      <c r="D395" s="402"/>
      <c r="E395" s="402"/>
      <c r="F395" s="402"/>
      <c r="G395" s="402"/>
      <c r="H395" s="402"/>
      <c r="I395" s="402"/>
      <c r="J395" s="398"/>
      <c r="K395" s="64" t="s">
        <v>27</v>
      </c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106"/>
      <c r="X395" s="135">
        <f t="shared" si="421"/>
        <v>0</v>
      </c>
      <c r="Y395" s="105"/>
      <c r="Z395" s="54"/>
    </row>
    <row r="396" spans="1:26">
      <c r="A396" s="70" t="str">
        <f t="shared" ref="A396" si="424">+A395</f>
        <v>-</v>
      </c>
      <c r="B396" s="74"/>
      <c r="C396" s="404"/>
      <c r="D396" s="402"/>
      <c r="E396" s="402"/>
      <c r="F396" s="402"/>
      <c r="G396" s="402"/>
      <c r="H396" s="402"/>
      <c r="I396" s="402"/>
      <c r="J396" s="398"/>
      <c r="K396" s="64" t="s">
        <v>28</v>
      </c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106"/>
      <c r="X396" s="135">
        <f t="shared" si="421"/>
        <v>0</v>
      </c>
      <c r="Y396" s="105"/>
      <c r="Z396" s="54"/>
    </row>
    <row r="397" spans="1:26">
      <c r="A397" s="70" t="str">
        <f t="shared" ref="A397" si="425">+A396</f>
        <v>-</v>
      </c>
      <c r="B397" s="74"/>
      <c r="C397" s="404"/>
      <c r="D397" s="402"/>
      <c r="E397" s="402"/>
      <c r="F397" s="402"/>
      <c r="G397" s="402"/>
      <c r="H397" s="402"/>
      <c r="I397" s="402"/>
      <c r="J397" s="398"/>
      <c r="K397" s="64" t="s">
        <v>29</v>
      </c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106"/>
      <c r="X397" s="135">
        <f t="shared" si="421"/>
        <v>0</v>
      </c>
      <c r="Y397" s="105"/>
      <c r="Z397" s="54"/>
    </row>
    <row r="398" spans="1:26">
      <c r="A398" s="70" t="str">
        <f t="shared" ref="A398" si="426">+A397</f>
        <v>-</v>
      </c>
      <c r="B398" s="74"/>
      <c r="C398" s="404"/>
      <c r="D398" s="402"/>
      <c r="E398" s="402"/>
      <c r="F398" s="402"/>
      <c r="G398" s="402"/>
      <c r="H398" s="402"/>
      <c r="I398" s="402"/>
      <c r="J398" s="398"/>
      <c r="K398" s="64" t="s">
        <v>30</v>
      </c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106"/>
      <c r="X398" s="135">
        <f t="shared" si="421"/>
        <v>0</v>
      </c>
      <c r="Y398" s="105"/>
      <c r="Z398" s="54"/>
    </row>
    <row r="399" spans="1:26">
      <c r="A399" s="70" t="str">
        <f t="shared" ref="A399" si="427">+A398</f>
        <v>-</v>
      </c>
      <c r="B399" s="74"/>
      <c r="C399" s="404"/>
      <c r="D399" s="402"/>
      <c r="E399" s="402"/>
      <c r="F399" s="402"/>
      <c r="G399" s="402"/>
      <c r="H399" s="402"/>
      <c r="I399" s="402"/>
      <c r="J399" s="398"/>
      <c r="K399" s="64" t="s">
        <v>31</v>
      </c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106"/>
      <c r="X399" s="135">
        <f t="shared" si="421"/>
        <v>0</v>
      </c>
      <c r="Y399" s="105"/>
      <c r="Z399" s="54"/>
    </row>
    <row r="400" spans="1:26">
      <c r="A400" s="70" t="str">
        <f t="shared" ref="A400" si="428">+A399</f>
        <v>-</v>
      </c>
      <c r="B400" s="74"/>
      <c r="C400" s="405"/>
      <c r="D400" s="403"/>
      <c r="E400" s="403"/>
      <c r="F400" s="403"/>
      <c r="G400" s="403"/>
      <c r="H400" s="403"/>
      <c r="I400" s="403"/>
      <c r="J400" s="399"/>
      <c r="K400" s="65" t="s">
        <v>32</v>
      </c>
      <c r="L400" s="194">
        <f t="shared" ref="L400:X400" si="429">L389-L392</f>
        <v>0</v>
      </c>
      <c r="M400" s="267">
        <f t="shared" si="429"/>
        <v>0</v>
      </c>
      <c r="N400" s="267">
        <f t="shared" si="429"/>
        <v>0</v>
      </c>
      <c r="O400" s="344">
        <f t="shared" si="429"/>
        <v>0</v>
      </c>
      <c r="P400" s="344">
        <f t="shared" si="429"/>
        <v>0</v>
      </c>
      <c r="Q400" s="344">
        <f t="shared" si="429"/>
        <v>0</v>
      </c>
      <c r="R400" s="344">
        <f t="shared" si="429"/>
        <v>4000</v>
      </c>
      <c r="S400" s="344">
        <f t="shared" si="429"/>
        <v>80000</v>
      </c>
      <c r="T400" s="344">
        <f t="shared" si="429"/>
        <v>60000</v>
      </c>
      <c r="U400" s="344">
        <f t="shared" si="429"/>
        <v>80000</v>
      </c>
      <c r="V400" s="344">
        <f t="shared" si="429"/>
        <v>80000</v>
      </c>
      <c r="W400" s="129">
        <f t="shared" si="429"/>
        <v>80000</v>
      </c>
      <c r="X400" s="50">
        <f t="shared" si="429"/>
        <v>384000</v>
      </c>
      <c r="Z400" s="54"/>
    </row>
    <row r="401" spans="1:26" ht="12.75" customHeight="1">
      <c r="A401" s="101" t="s">
        <v>108</v>
      </c>
      <c r="B401" s="104"/>
      <c r="C401" s="433">
        <f t="shared" ref="C401" si="430">C389+1</f>
        <v>34</v>
      </c>
      <c r="D401" s="432" t="s">
        <v>54</v>
      </c>
      <c r="E401" s="432"/>
      <c r="F401" s="434"/>
      <c r="G401" s="432"/>
      <c r="H401" s="432" t="s">
        <v>114</v>
      </c>
      <c r="I401" s="432" t="s">
        <v>66</v>
      </c>
      <c r="J401" s="397" t="s">
        <v>113</v>
      </c>
      <c r="K401" s="61" t="s">
        <v>22</v>
      </c>
      <c r="L401" s="213">
        <f t="shared" ref="L401:W401" si="431">L402+L403</f>
        <v>0</v>
      </c>
      <c r="M401" s="275">
        <f t="shared" si="431"/>
        <v>0</v>
      </c>
      <c r="N401" s="275">
        <f t="shared" si="431"/>
        <v>0</v>
      </c>
      <c r="O401" s="275">
        <f t="shared" si="431"/>
        <v>0</v>
      </c>
      <c r="P401" s="275">
        <f t="shared" si="431"/>
        <v>0</v>
      </c>
      <c r="Q401" s="353">
        <f t="shared" si="431"/>
        <v>0</v>
      </c>
      <c r="R401" s="353">
        <f t="shared" si="431"/>
        <v>0</v>
      </c>
      <c r="S401" s="353">
        <f t="shared" si="431"/>
        <v>152000</v>
      </c>
      <c r="T401" s="353">
        <f t="shared" si="431"/>
        <v>0</v>
      </c>
      <c r="U401" s="353">
        <f t="shared" si="431"/>
        <v>115000</v>
      </c>
      <c r="V401" s="353">
        <f t="shared" si="431"/>
        <v>0</v>
      </c>
      <c r="W401" s="131">
        <f t="shared" si="431"/>
        <v>0</v>
      </c>
      <c r="X401" s="132">
        <f>SUM(L401:W401)</f>
        <v>267000</v>
      </c>
      <c r="Z401" s="54"/>
    </row>
    <row r="402" spans="1:26">
      <c r="A402" s="70" t="str">
        <f>+A401</f>
        <v>-</v>
      </c>
      <c r="B402" s="74">
        <f>+B401</f>
        <v>0</v>
      </c>
      <c r="C402" s="404"/>
      <c r="D402" s="402"/>
      <c r="E402" s="402"/>
      <c r="F402" s="406"/>
      <c r="G402" s="402"/>
      <c r="H402" s="402"/>
      <c r="I402" s="402"/>
      <c r="J402" s="398"/>
      <c r="K402" s="62" t="s">
        <v>23</v>
      </c>
      <c r="L402" s="210"/>
      <c r="M402" s="210"/>
      <c r="N402" s="210"/>
      <c r="O402" s="210"/>
      <c r="P402" s="210"/>
      <c r="Q402" s="210"/>
      <c r="R402" s="210"/>
      <c r="S402" s="210">
        <v>152000</v>
      </c>
      <c r="T402" s="210"/>
      <c r="U402" s="210">
        <v>115000</v>
      </c>
      <c r="V402" s="210"/>
      <c r="W402" s="83"/>
      <c r="X402" s="135">
        <f>SUM(L402:W402)</f>
        <v>267000</v>
      </c>
      <c r="Y402" s="105"/>
      <c r="Z402" s="54"/>
    </row>
    <row r="403" spans="1:26">
      <c r="A403" s="70" t="str">
        <f t="shared" ref="A403:B403" si="432">+A402</f>
        <v>-</v>
      </c>
      <c r="B403" s="74">
        <f t="shared" si="432"/>
        <v>0</v>
      </c>
      <c r="C403" s="404"/>
      <c r="D403" s="402"/>
      <c r="E403" s="402"/>
      <c r="F403" s="406"/>
      <c r="G403" s="402"/>
      <c r="H403" s="402"/>
      <c r="I403" s="402"/>
      <c r="J403" s="398"/>
      <c r="K403" s="62" t="s">
        <v>24</v>
      </c>
      <c r="L403" s="226"/>
      <c r="M403" s="210"/>
      <c r="N403" s="210"/>
      <c r="O403" s="347"/>
      <c r="P403" s="347"/>
      <c r="Q403" s="347"/>
      <c r="R403" s="347"/>
      <c r="S403" s="347"/>
      <c r="T403" s="225"/>
      <c r="U403" s="225"/>
      <c r="V403" s="225"/>
      <c r="W403" s="106"/>
      <c r="X403" s="135">
        <v>0</v>
      </c>
      <c r="Z403" s="54"/>
    </row>
    <row r="404" spans="1:26">
      <c r="A404" s="70" t="str">
        <f t="shared" ref="A404:B404" si="433">+A403</f>
        <v>-</v>
      </c>
      <c r="B404" s="74">
        <f t="shared" si="433"/>
        <v>0</v>
      </c>
      <c r="C404" s="404"/>
      <c r="D404" s="402"/>
      <c r="E404" s="402"/>
      <c r="F404" s="406"/>
      <c r="G404" s="402"/>
      <c r="H404" s="402"/>
      <c r="I404" s="402"/>
      <c r="J404" s="398"/>
      <c r="K404" s="63" t="s">
        <v>25</v>
      </c>
      <c r="L404" s="227">
        <f t="shared" ref="L404:W404" si="434">SUM(L405:L411)</f>
        <v>0</v>
      </c>
      <c r="M404" s="227">
        <f t="shared" si="434"/>
        <v>0</v>
      </c>
      <c r="N404" s="227">
        <f t="shared" si="434"/>
        <v>0</v>
      </c>
      <c r="O404" s="348">
        <f t="shared" si="434"/>
        <v>0</v>
      </c>
      <c r="P404" s="348">
        <f t="shared" si="434"/>
        <v>0</v>
      </c>
      <c r="Q404" s="348">
        <f t="shared" si="434"/>
        <v>0</v>
      </c>
      <c r="R404" s="348">
        <f t="shared" si="434"/>
        <v>0</v>
      </c>
      <c r="S404" s="348">
        <f t="shared" si="434"/>
        <v>82000</v>
      </c>
      <c r="T404" s="348">
        <f t="shared" si="434"/>
        <v>0</v>
      </c>
      <c r="U404" s="348">
        <f t="shared" si="434"/>
        <v>50000</v>
      </c>
      <c r="V404" s="348">
        <f t="shared" si="434"/>
        <v>0</v>
      </c>
      <c r="W404" s="134">
        <f t="shared" si="434"/>
        <v>0</v>
      </c>
      <c r="X404" s="136">
        <f>SUM(L404:W404)</f>
        <v>132000</v>
      </c>
      <c r="Z404" s="54"/>
    </row>
    <row r="405" spans="1:26">
      <c r="A405" s="70" t="str">
        <f t="shared" ref="A405:B405" si="435">+A404</f>
        <v>-</v>
      </c>
      <c r="B405" s="74">
        <f t="shared" si="435"/>
        <v>0</v>
      </c>
      <c r="C405" s="404"/>
      <c r="D405" s="402"/>
      <c r="E405" s="402"/>
      <c r="F405" s="406"/>
      <c r="G405" s="402"/>
      <c r="H405" s="402"/>
      <c r="I405" s="402"/>
      <c r="J405" s="398"/>
      <c r="K405" s="64" t="s">
        <v>115</v>
      </c>
      <c r="L405" s="225"/>
      <c r="M405" s="225"/>
      <c r="N405" s="225"/>
      <c r="O405" s="225"/>
      <c r="P405" s="225"/>
      <c r="Q405" s="225"/>
      <c r="R405" s="225"/>
      <c r="S405" s="225">
        <v>70000</v>
      </c>
      <c r="T405" s="225"/>
      <c r="U405" s="225">
        <v>50000</v>
      </c>
      <c r="V405" s="225"/>
      <c r="W405" s="106"/>
      <c r="X405" s="135">
        <f t="shared" ref="X405:X411" si="436">SUM(L405:W405)</f>
        <v>120000</v>
      </c>
      <c r="Y405" s="105"/>
      <c r="Z405" s="54"/>
    </row>
    <row r="406" spans="1:26">
      <c r="A406" s="70" t="str">
        <f t="shared" ref="A406:B406" si="437">+A405</f>
        <v>-</v>
      </c>
      <c r="B406" s="74">
        <f t="shared" si="437"/>
        <v>0</v>
      </c>
      <c r="C406" s="404"/>
      <c r="D406" s="402"/>
      <c r="E406" s="402"/>
      <c r="F406" s="406"/>
      <c r="G406" s="402"/>
      <c r="H406" s="402"/>
      <c r="I406" s="402"/>
      <c r="J406" s="398"/>
      <c r="K406" s="64" t="s">
        <v>116</v>
      </c>
      <c r="L406" s="225"/>
      <c r="M406" s="225"/>
      <c r="N406" s="225"/>
      <c r="O406" s="225"/>
      <c r="P406" s="225"/>
      <c r="Q406" s="225"/>
      <c r="R406" s="225"/>
      <c r="S406" s="225">
        <v>12000</v>
      </c>
      <c r="T406" s="225"/>
      <c r="U406" s="225"/>
      <c r="V406" s="225"/>
      <c r="W406" s="106"/>
      <c r="X406" s="135">
        <f t="shared" si="436"/>
        <v>12000</v>
      </c>
      <c r="Y406" s="105"/>
      <c r="Z406" s="54"/>
    </row>
    <row r="407" spans="1:26">
      <c r="A407" s="70" t="str">
        <f t="shared" ref="A407:B407" si="438">+A406</f>
        <v>-</v>
      </c>
      <c r="B407" s="74">
        <f t="shared" si="438"/>
        <v>0</v>
      </c>
      <c r="C407" s="404"/>
      <c r="D407" s="402"/>
      <c r="E407" s="402"/>
      <c r="F407" s="406"/>
      <c r="G407" s="402"/>
      <c r="H407" s="402"/>
      <c r="I407" s="402"/>
      <c r="J407" s="398"/>
      <c r="K407" s="64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106"/>
      <c r="X407" s="135">
        <f t="shared" si="436"/>
        <v>0</v>
      </c>
      <c r="Y407" s="105"/>
      <c r="Z407" s="54"/>
    </row>
    <row r="408" spans="1:26">
      <c r="A408" s="70" t="str">
        <f t="shared" ref="A408:B408" si="439">+A407</f>
        <v>-</v>
      </c>
      <c r="B408" s="74">
        <f t="shared" si="439"/>
        <v>0</v>
      </c>
      <c r="C408" s="404"/>
      <c r="D408" s="402"/>
      <c r="E408" s="402"/>
      <c r="F408" s="406"/>
      <c r="G408" s="402"/>
      <c r="H408" s="402"/>
      <c r="I408" s="402"/>
      <c r="J408" s="398"/>
      <c r="K408" s="64"/>
      <c r="L408" s="386"/>
      <c r="M408" s="386"/>
      <c r="N408" s="386"/>
      <c r="O408" s="386"/>
      <c r="P408" s="386"/>
      <c r="Q408" s="386"/>
      <c r="R408" s="386"/>
      <c r="S408" s="386"/>
      <c r="T408" s="386"/>
      <c r="U408" s="225"/>
      <c r="V408" s="225"/>
      <c r="W408" s="106"/>
      <c r="X408" s="135">
        <f t="shared" si="436"/>
        <v>0</v>
      </c>
      <c r="Y408" s="105"/>
      <c r="Z408" s="54"/>
    </row>
    <row r="409" spans="1:26">
      <c r="A409" s="70" t="str">
        <f t="shared" ref="A409:B409" si="440">+A408</f>
        <v>-</v>
      </c>
      <c r="B409" s="74">
        <f t="shared" si="440"/>
        <v>0</v>
      </c>
      <c r="C409" s="404"/>
      <c r="D409" s="402"/>
      <c r="E409" s="402"/>
      <c r="F409" s="406"/>
      <c r="G409" s="402"/>
      <c r="H409" s="402"/>
      <c r="I409" s="402"/>
      <c r="J409" s="398"/>
      <c r="K409" s="64"/>
      <c r="L409" s="386"/>
      <c r="M409" s="386"/>
      <c r="N409" s="386"/>
      <c r="O409" s="386"/>
      <c r="P409" s="386"/>
      <c r="Q409" s="386"/>
      <c r="R409" s="386"/>
      <c r="S409" s="386"/>
      <c r="T409" s="386"/>
      <c r="U409" s="225"/>
      <c r="V409" s="225"/>
      <c r="W409" s="106"/>
      <c r="X409" s="135">
        <f t="shared" si="436"/>
        <v>0</v>
      </c>
      <c r="Y409" s="105"/>
      <c r="Z409" s="54"/>
    </row>
    <row r="410" spans="1:26">
      <c r="A410" s="70" t="str">
        <f t="shared" ref="A410:B410" si="441">+A409</f>
        <v>-</v>
      </c>
      <c r="B410" s="74">
        <f t="shared" si="441"/>
        <v>0</v>
      </c>
      <c r="C410" s="404"/>
      <c r="D410" s="402"/>
      <c r="E410" s="402"/>
      <c r="F410" s="406"/>
      <c r="G410" s="402"/>
      <c r="H410" s="402"/>
      <c r="I410" s="402"/>
      <c r="J410" s="398"/>
      <c r="K410" s="64"/>
      <c r="L410" s="386"/>
      <c r="M410" s="386"/>
      <c r="N410" s="386"/>
      <c r="O410" s="386"/>
      <c r="P410" s="386"/>
      <c r="Q410" s="386"/>
      <c r="R410" s="386"/>
      <c r="S410" s="386"/>
      <c r="T410" s="386"/>
      <c r="U410" s="225"/>
      <c r="V410" s="225"/>
      <c r="W410" s="106"/>
      <c r="X410" s="135">
        <f t="shared" si="436"/>
        <v>0</v>
      </c>
      <c r="Y410" s="105"/>
      <c r="Z410" s="54"/>
    </row>
    <row r="411" spans="1:26">
      <c r="A411" s="70" t="str">
        <f t="shared" ref="A411:B411" si="442">+A410</f>
        <v>-</v>
      </c>
      <c r="B411" s="74">
        <f t="shared" si="442"/>
        <v>0</v>
      </c>
      <c r="C411" s="404"/>
      <c r="D411" s="402"/>
      <c r="E411" s="402"/>
      <c r="F411" s="406"/>
      <c r="G411" s="402"/>
      <c r="H411" s="402"/>
      <c r="I411" s="402"/>
      <c r="J411" s="398"/>
      <c r="K411" s="64"/>
      <c r="L411" s="386"/>
      <c r="M411" s="386"/>
      <c r="N411" s="386"/>
      <c r="O411" s="386"/>
      <c r="P411" s="386"/>
      <c r="Q411" s="386"/>
      <c r="R411" s="386"/>
      <c r="S411" s="386"/>
      <c r="T411" s="386"/>
      <c r="U411" s="225"/>
      <c r="V411" s="225"/>
      <c r="W411" s="106"/>
      <c r="X411" s="135">
        <f t="shared" si="436"/>
        <v>0</v>
      </c>
      <c r="Y411" s="105"/>
      <c r="Z411" s="54"/>
    </row>
    <row r="412" spans="1:26">
      <c r="A412" s="70" t="str">
        <f t="shared" ref="A412:B412" si="443">+A411</f>
        <v>-</v>
      </c>
      <c r="B412" s="74">
        <f t="shared" si="443"/>
        <v>0</v>
      </c>
      <c r="C412" s="405"/>
      <c r="D412" s="403"/>
      <c r="E412" s="403"/>
      <c r="F412" s="407"/>
      <c r="G412" s="403"/>
      <c r="H412" s="403"/>
      <c r="I412" s="403"/>
      <c r="J412" s="399"/>
      <c r="K412" s="65" t="s">
        <v>32</v>
      </c>
      <c r="L412" s="250">
        <f t="shared" ref="L412:X412" si="444">L401-L404</f>
        <v>0</v>
      </c>
      <c r="M412" s="251">
        <f t="shared" si="444"/>
        <v>0</v>
      </c>
      <c r="N412" s="251">
        <f t="shared" si="444"/>
        <v>0</v>
      </c>
      <c r="O412" s="252">
        <f t="shared" si="444"/>
        <v>0</v>
      </c>
      <c r="P412" s="252">
        <f t="shared" si="444"/>
        <v>0</v>
      </c>
      <c r="Q412" s="252">
        <f t="shared" si="444"/>
        <v>0</v>
      </c>
      <c r="R412" s="252">
        <f t="shared" si="444"/>
        <v>0</v>
      </c>
      <c r="S412" s="252">
        <f>S401-S404</f>
        <v>70000</v>
      </c>
      <c r="T412" s="252">
        <f t="shared" si="444"/>
        <v>0</v>
      </c>
      <c r="U412" s="344">
        <f t="shared" si="444"/>
        <v>65000</v>
      </c>
      <c r="V412" s="344">
        <f t="shared" si="444"/>
        <v>0</v>
      </c>
      <c r="W412" s="129">
        <f t="shared" si="444"/>
        <v>0</v>
      </c>
      <c r="X412" s="50">
        <f t="shared" si="444"/>
        <v>135000</v>
      </c>
      <c r="Z412" s="54"/>
    </row>
    <row r="413" spans="1:26" ht="12.75" customHeight="1">
      <c r="A413" s="101">
        <v>2025025</v>
      </c>
      <c r="B413" s="104" t="s">
        <v>122</v>
      </c>
      <c r="C413" s="433">
        <f>C389+1</f>
        <v>34</v>
      </c>
      <c r="D413" s="432" t="s">
        <v>54</v>
      </c>
      <c r="E413" s="432"/>
      <c r="F413" s="434"/>
      <c r="G413" s="432"/>
      <c r="H413" s="432" t="s">
        <v>120</v>
      </c>
      <c r="I413" s="432" t="s">
        <v>121</v>
      </c>
      <c r="J413" s="397"/>
      <c r="K413" s="61" t="s">
        <v>22</v>
      </c>
      <c r="L413" s="213">
        <f t="shared" ref="L413:W413" si="445">L414+L415</f>
        <v>0</v>
      </c>
      <c r="M413" s="275">
        <f t="shared" si="445"/>
        <v>0</v>
      </c>
      <c r="N413" s="275">
        <f t="shared" si="445"/>
        <v>0</v>
      </c>
      <c r="O413" s="275">
        <f t="shared" si="445"/>
        <v>0</v>
      </c>
      <c r="P413" s="275">
        <f t="shared" si="445"/>
        <v>0</v>
      </c>
      <c r="Q413" s="353">
        <f t="shared" si="445"/>
        <v>0</v>
      </c>
      <c r="R413" s="353">
        <f t="shared" si="445"/>
        <v>0</v>
      </c>
      <c r="S413" s="353">
        <f t="shared" si="445"/>
        <v>0</v>
      </c>
      <c r="T413" s="353">
        <f t="shared" si="445"/>
        <v>0</v>
      </c>
      <c r="U413" s="353">
        <f t="shared" si="445"/>
        <v>0</v>
      </c>
      <c r="V413" s="353">
        <f t="shared" si="445"/>
        <v>372655</v>
      </c>
      <c r="W413" s="131">
        <f t="shared" si="445"/>
        <v>0</v>
      </c>
      <c r="X413" s="132">
        <f>SUM(L413:W413)</f>
        <v>372655</v>
      </c>
      <c r="Z413" s="54"/>
    </row>
    <row r="414" spans="1:26">
      <c r="A414" s="70">
        <f>+A413</f>
        <v>2025025</v>
      </c>
      <c r="B414" s="74" t="str">
        <f>+B413</f>
        <v>渡会一利</v>
      </c>
      <c r="C414" s="404"/>
      <c r="D414" s="402"/>
      <c r="E414" s="402"/>
      <c r="F414" s="406"/>
      <c r="G414" s="402"/>
      <c r="H414" s="402"/>
      <c r="I414" s="402"/>
      <c r="J414" s="398"/>
      <c r="K414" s="62" t="s">
        <v>23</v>
      </c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>
        <v>372655</v>
      </c>
      <c r="W414" s="83"/>
      <c r="X414" s="135">
        <f>SUM(L414:W414)</f>
        <v>372655</v>
      </c>
      <c r="Y414" s="105"/>
      <c r="Z414" s="54"/>
    </row>
    <row r="415" spans="1:26">
      <c r="A415" s="70">
        <f t="shared" ref="A415:B415" si="446">+A414</f>
        <v>2025025</v>
      </c>
      <c r="B415" s="74" t="str">
        <f t="shared" si="446"/>
        <v>渡会一利</v>
      </c>
      <c r="C415" s="404"/>
      <c r="D415" s="402"/>
      <c r="E415" s="402"/>
      <c r="F415" s="406"/>
      <c r="G415" s="402"/>
      <c r="H415" s="402"/>
      <c r="I415" s="402"/>
      <c r="J415" s="398"/>
      <c r="K415" s="62" t="s">
        <v>24</v>
      </c>
      <c r="L415" s="226"/>
      <c r="M415" s="210"/>
      <c r="N415" s="210"/>
      <c r="O415" s="347"/>
      <c r="P415" s="347"/>
      <c r="Q415" s="347"/>
      <c r="R415" s="347"/>
      <c r="S415" s="347"/>
      <c r="T415" s="225"/>
      <c r="U415" s="225"/>
      <c r="V415" s="225"/>
      <c r="W415" s="106"/>
      <c r="X415" s="135">
        <v>0</v>
      </c>
      <c r="Z415" s="54"/>
    </row>
    <row r="416" spans="1:26">
      <c r="A416" s="70">
        <f t="shared" ref="A416:B416" si="447">+A415</f>
        <v>2025025</v>
      </c>
      <c r="B416" s="74" t="str">
        <f t="shared" si="447"/>
        <v>渡会一利</v>
      </c>
      <c r="C416" s="404"/>
      <c r="D416" s="402"/>
      <c r="E416" s="402"/>
      <c r="F416" s="406"/>
      <c r="G416" s="402"/>
      <c r="H416" s="402"/>
      <c r="I416" s="402"/>
      <c r="J416" s="398"/>
      <c r="K416" s="63" t="s">
        <v>25</v>
      </c>
      <c r="L416" s="227">
        <f t="shared" ref="L416:V416" si="448">SUM(L417:L423)</f>
        <v>0</v>
      </c>
      <c r="M416" s="227">
        <f t="shared" si="448"/>
        <v>0</v>
      </c>
      <c r="N416" s="227">
        <f t="shared" si="448"/>
        <v>0</v>
      </c>
      <c r="O416" s="348">
        <f t="shared" si="448"/>
        <v>0</v>
      </c>
      <c r="P416" s="348">
        <f t="shared" si="448"/>
        <v>0</v>
      </c>
      <c r="Q416" s="348">
        <f t="shared" si="448"/>
        <v>0</v>
      </c>
      <c r="R416" s="348">
        <f t="shared" si="448"/>
        <v>0</v>
      </c>
      <c r="S416" s="348">
        <f t="shared" si="448"/>
        <v>0</v>
      </c>
      <c r="T416" s="348">
        <f t="shared" si="448"/>
        <v>0</v>
      </c>
      <c r="U416" s="348">
        <f t="shared" si="448"/>
        <v>0</v>
      </c>
      <c r="V416" s="348">
        <f t="shared" si="448"/>
        <v>235409</v>
      </c>
      <c r="W416" s="134">
        <f>SUM(W417:W423)</f>
        <v>448785</v>
      </c>
      <c r="X416" s="136">
        <f>SUM(L416:W416)</f>
        <v>684194</v>
      </c>
      <c r="Z416" s="54"/>
    </row>
    <row r="417" spans="1:27">
      <c r="A417" s="70">
        <f t="shared" ref="A417:B417" si="449">+A416</f>
        <v>2025025</v>
      </c>
      <c r="B417" s="74" t="str">
        <f t="shared" si="449"/>
        <v>渡会一利</v>
      </c>
      <c r="C417" s="404"/>
      <c r="D417" s="402"/>
      <c r="E417" s="402"/>
      <c r="F417" s="406"/>
      <c r="G417" s="402"/>
      <c r="H417" s="402"/>
      <c r="I417" s="402"/>
      <c r="J417" s="398"/>
      <c r="K417" s="64" t="s">
        <v>26</v>
      </c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>
        <f>400000/2</f>
        <v>200000</v>
      </c>
      <c r="W417" s="106">
        <v>400000</v>
      </c>
      <c r="X417" s="135">
        <f t="shared" ref="X417:X423" si="450">SUM(L417:W417)</f>
        <v>600000</v>
      </c>
      <c r="Y417" s="105"/>
      <c r="Z417" s="54"/>
    </row>
    <row r="418" spans="1:27">
      <c r="A418" s="70">
        <f t="shared" ref="A418:B418" si="451">+A417</f>
        <v>2025025</v>
      </c>
      <c r="B418" s="74" t="str">
        <f t="shared" si="451"/>
        <v>渡会一利</v>
      </c>
      <c r="C418" s="404"/>
      <c r="D418" s="402"/>
      <c r="E418" s="402"/>
      <c r="F418" s="406"/>
      <c r="G418" s="402"/>
      <c r="H418" s="402"/>
      <c r="I418" s="402"/>
      <c r="J418" s="398"/>
      <c r="K418" s="64" t="s">
        <v>33</v>
      </c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106"/>
      <c r="X418" s="135">
        <f t="shared" si="450"/>
        <v>0</v>
      </c>
      <c r="Y418" s="105"/>
      <c r="Z418" s="54"/>
    </row>
    <row r="419" spans="1:27">
      <c r="A419" s="70">
        <f t="shared" ref="A419:B419" si="452">+A418</f>
        <v>2025025</v>
      </c>
      <c r="B419" s="74" t="str">
        <f t="shared" si="452"/>
        <v>渡会一利</v>
      </c>
      <c r="C419" s="404"/>
      <c r="D419" s="402"/>
      <c r="E419" s="402"/>
      <c r="F419" s="406"/>
      <c r="G419" s="402"/>
      <c r="H419" s="402"/>
      <c r="I419" s="402"/>
      <c r="J419" s="398"/>
      <c r="K419" s="64" t="s">
        <v>27</v>
      </c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>
        <f>5696/2</f>
        <v>2848</v>
      </c>
      <c r="W419" s="106">
        <v>7490</v>
      </c>
      <c r="X419" s="135">
        <f t="shared" si="450"/>
        <v>10338</v>
      </c>
      <c r="Y419" s="105"/>
      <c r="Z419" s="54"/>
    </row>
    <row r="420" spans="1:27">
      <c r="A420" s="70">
        <f t="shared" ref="A420:B420" si="453">+A419</f>
        <v>2025025</v>
      </c>
      <c r="B420" s="74" t="str">
        <f t="shared" si="453"/>
        <v>渡会一利</v>
      </c>
      <c r="C420" s="404"/>
      <c r="D420" s="402"/>
      <c r="E420" s="402"/>
      <c r="F420" s="406"/>
      <c r="G420" s="402"/>
      <c r="H420" s="402"/>
      <c r="I420" s="402"/>
      <c r="J420" s="398"/>
      <c r="K420" s="64" t="s">
        <v>28</v>
      </c>
      <c r="L420" s="386"/>
      <c r="M420" s="386"/>
      <c r="N420" s="386"/>
      <c r="O420" s="386"/>
      <c r="P420" s="386"/>
      <c r="Q420" s="386"/>
      <c r="R420" s="386"/>
      <c r="S420" s="386"/>
      <c r="T420" s="386"/>
      <c r="U420" s="225"/>
      <c r="V420" s="225">
        <f>23165/2</f>
        <v>11582.5</v>
      </c>
      <c r="W420" s="106"/>
      <c r="X420" s="135">
        <f t="shared" si="450"/>
        <v>11582.5</v>
      </c>
      <c r="Y420" s="105"/>
      <c r="Z420" s="54"/>
    </row>
    <row r="421" spans="1:27">
      <c r="A421" s="70">
        <f t="shared" ref="A421:B421" si="454">+A420</f>
        <v>2025025</v>
      </c>
      <c r="B421" s="74" t="str">
        <f t="shared" si="454"/>
        <v>渡会一利</v>
      </c>
      <c r="C421" s="404"/>
      <c r="D421" s="402"/>
      <c r="E421" s="402"/>
      <c r="F421" s="406"/>
      <c r="G421" s="402"/>
      <c r="H421" s="402"/>
      <c r="I421" s="402"/>
      <c r="J421" s="398"/>
      <c r="K421" s="64" t="s">
        <v>29</v>
      </c>
      <c r="L421" s="386"/>
      <c r="M421" s="386"/>
      <c r="N421" s="386"/>
      <c r="O421" s="386"/>
      <c r="P421" s="386"/>
      <c r="Q421" s="386"/>
      <c r="R421" s="386"/>
      <c r="S421" s="386"/>
      <c r="T421" s="386"/>
      <c r="U421" s="225"/>
      <c r="V421" s="225">
        <f>37515/2</f>
        <v>18757.5</v>
      </c>
      <c r="W421" s="106">
        <v>37515</v>
      </c>
      <c r="X421" s="135">
        <f t="shared" si="450"/>
        <v>56272.5</v>
      </c>
      <c r="Y421" s="105"/>
      <c r="Z421" s="54"/>
    </row>
    <row r="422" spans="1:27">
      <c r="A422" s="70">
        <f t="shared" ref="A422:B422" si="455">+A421</f>
        <v>2025025</v>
      </c>
      <c r="B422" s="74" t="str">
        <f t="shared" si="455"/>
        <v>渡会一利</v>
      </c>
      <c r="C422" s="404"/>
      <c r="D422" s="402"/>
      <c r="E422" s="402"/>
      <c r="F422" s="406"/>
      <c r="G422" s="402"/>
      <c r="H422" s="402"/>
      <c r="I422" s="402"/>
      <c r="J422" s="398"/>
      <c r="K422" s="64" t="s">
        <v>30</v>
      </c>
      <c r="L422" s="386"/>
      <c r="M422" s="386"/>
      <c r="N422" s="386"/>
      <c r="O422" s="386"/>
      <c r="P422" s="386"/>
      <c r="Q422" s="386"/>
      <c r="R422" s="386"/>
      <c r="S422" s="386"/>
      <c r="T422" s="386"/>
      <c r="U422" s="225"/>
      <c r="V422" s="225">
        <f>2115/2</f>
        <v>1057.5</v>
      </c>
      <c r="W422" s="106">
        <v>1260</v>
      </c>
      <c r="X422" s="135">
        <f t="shared" si="450"/>
        <v>2317.5</v>
      </c>
      <c r="Y422" s="105"/>
      <c r="Z422" s="54"/>
    </row>
    <row r="423" spans="1:27">
      <c r="A423" s="70">
        <f t="shared" ref="A423:B423" si="456">+A422</f>
        <v>2025025</v>
      </c>
      <c r="B423" s="74" t="str">
        <f t="shared" si="456"/>
        <v>渡会一利</v>
      </c>
      <c r="C423" s="404"/>
      <c r="D423" s="402"/>
      <c r="E423" s="402"/>
      <c r="F423" s="406"/>
      <c r="G423" s="402"/>
      <c r="H423" s="402"/>
      <c r="I423" s="402"/>
      <c r="J423" s="398"/>
      <c r="K423" s="64" t="s">
        <v>31</v>
      </c>
      <c r="L423" s="386"/>
      <c r="M423" s="386"/>
      <c r="N423" s="386"/>
      <c r="O423" s="386"/>
      <c r="P423" s="386"/>
      <c r="Q423" s="386"/>
      <c r="R423" s="386"/>
      <c r="S423" s="386"/>
      <c r="T423" s="386"/>
      <c r="U423" s="225"/>
      <c r="V423" s="225">
        <f>2327/2</f>
        <v>1163.5</v>
      </c>
      <c r="W423" s="106">
        <v>2520</v>
      </c>
      <c r="X423" s="135">
        <f t="shared" si="450"/>
        <v>3683.5</v>
      </c>
      <c r="Y423" s="105"/>
      <c r="Z423" s="54"/>
    </row>
    <row r="424" spans="1:27" ht="12.5" thickBot="1">
      <c r="A424" s="70">
        <f t="shared" ref="A424:B424" si="457">+A423</f>
        <v>2025025</v>
      </c>
      <c r="B424" s="74" t="str">
        <f t="shared" si="457"/>
        <v>渡会一利</v>
      </c>
      <c r="C424" s="438"/>
      <c r="D424" s="436"/>
      <c r="E424" s="436"/>
      <c r="F424" s="439"/>
      <c r="G424" s="436"/>
      <c r="H424" s="436"/>
      <c r="I424" s="436"/>
      <c r="J424" s="437"/>
      <c r="K424" s="67" t="s">
        <v>32</v>
      </c>
      <c r="L424" s="240">
        <f t="shared" ref="L424:R424" si="458">L413-L416</f>
        <v>0</v>
      </c>
      <c r="M424" s="292">
        <f t="shared" si="458"/>
        <v>0</v>
      </c>
      <c r="N424" s="292">
        <f t="shared" si="458"/>
        <v>0</v>
      </c>
      <c r="O424" s="293">
        <f t="shared" si="458"/>
        <v>0</v>
      </c>
      <c r="P424" s="293">
        <f t="shared" si="458"/>
        <v>0</v>
      </c>
      <c r="Q424" s="293">
        <f t="shared" si="458"/>
        <v>0</v>
      </c>
      <c r="R424" s="293">
        <f t="shared" si="458"/>
        <v>0</v>
      </c>
      <c r="S424" s="293">
        <f>S413-S416</f>
        <v>0</v>
      </c>
      <c r="T424" s="293">
        <f t="shared" ref="T424:W424" si="459">T413-T416</f>
        <v>0</v>
      </c>
      <c r="U424" s="345">
        <f t="shared" si="459"/>
        <v>0</v>
      </c>
      <c r="V424" s="345">
        <f t="shared" si="459"/>
        <v>137246</v>
      </c>
      <c r="W424" s="125">
        <f t="shared" si="459"/>
        <v>-448785</v>
      </c>
      <c r="X424" s="126">
        <f>X413-X416</f>
        <v>-311539</v>
      </c>
      <c r="Z424" s="54"/>
    </row>
    <row r="425" spans="1:27" s="1" customFormat="1" ht="12.65" customHeight="1" thickTop="1">
      <c r="A425" s="101">
        <v>2026006</v>
      </c>
      <c r="B425" s="104" t="s">
        <v>123</v>
      </c>
      <c r="C425" s="433">
        <f>C401+1</f>
        <v>35</v>
      </c>
      <c r="D425" s="432" t="s">
        <v>54</v>
      </c>
      <c r="E425" s="432"/>
      <c r="F425" s="434"/>
      <c r="G425" s="432"/>
      <c r="H425" s="432" t="s">
        <v>120</v>
      </c>
      <c r="I425" s="432" t="s">
        <v>121</v>
      </c>
      <c r="J425" s="397"/>
      <c r="K425" s="61" t="s">
        <v>22</v>
      </c>
      <c r="L425" s="213">
        <f t="shared" ref="L425:W425" si="460">L426+L427</f>
        <v>0</v>
      </c>
      <c r="M425" s="275">
        <f t="shared" si="460"/>
        <v>0</v>
      </c>
      <c r="N425" s="275">
        <f t="shared" si="460"/>
        <v>0</v>
      </c>
      <c r="O425" s="275">
        <f t="shared" si="460"/>
        <v>0</v>
      </c>
      <c r="P425" s="275">
        <f t="shared" si="460"/>
        <v>0</v>
      </c>
      <c r="Q425" s="353">
        <f t="shared" si="460"/>
        <v>0</v>
      </c>
      <c r="R425" s="353">
        <f t="shared" si="460"/>
        <v>0</v>
      </c>
      <c r="S425" s="353">
        <f t="shared" si="460"/>
        <v>0</v>
      </c>
      <c r="T425" s="353">
        <f t="shared" si="460"/>
        <v>0</v>
      </c>
      <c r="U425" s="353">
        <f t="shared" si="460"/>
        <v>0</v>
      </c>
      <c r="V425" s="353">
        <f t="shared" si="460"/>
        <v>0</v>
      </c>
      <c r="W425" s="131">
        <f t="shared" si="460"/>
        <v>375000</v>
      </c>
      <c r="X425" s="132">
        <f>SUM(L425:W425)</f>
        <v>375000</v>
      </c>
      <c r="Z425" s="54"/>
      <c r="AA425" s="2"/>
    </row>
    <row r="426" spans="1:27" s="1" customFormat="1" ht="12" customHeight="1">
      <c r="A426" s="70">
        <f>+A425</f>
        <v>2026006</v>
      </c>
      <c r="B426" s="74" t="str">
        <f>+B425</f>
        <v>大村賢治</v>
      </c>
      <c r="C426" s="404"/>
      <c r="D426" s="402"/>
      <c r="E426" s="402"/>
      <c r="F426" s="406"/>
      <c r="G426" s="402"/>
      <c r="H426" s="402"/>
      <c r="I426" s="402"/>
      <c r="J426" s="398"/>
      <c r="K426" s="62" t="s">
        <v>23</v>
      </c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83">
        <v>375000</v>
      </c>
      <c r="X426" s="135">
        <f>SUM(L426:W426)</f>
        <v>375000</v>
      </c>
      <c r="Z426" s="54"/>
      <c r="AA426" s="2"/>
    </row>
    <row r="427" spans="1:27" s="1" customFormat="1" ht="12" customHeight="1">
      <c r="A427" s="70">
        <f t="shared" ref="A427:B427" si="461">+A426</f>
        <v>2026006</v>
      </c>
      <c r="B427" s="74" t="str">
        <f t="shared" si="461"/>
        <v>大村賢治</v>
      </c>
      <c r="C427" s="404"/>
      <c r="D427" s="402"/>
      <c r="E427" s="402"/>
      <c r="F427" s="406"/>
      <c r="G427" s="402"/>
      <c r="H427" s="402"/>
      <c r="I427" s="402"/>
      <c r="J427" s="398"/>
      <c r="K427" s="62" t="s">
        <v>24</v>
      </c>
      <c r="L427" s="226"/>
      <c r="M427" s="210"/>
      <c r="N427" s="210"/>
      <c r="O427" s="347"/>
      <c r="P427" s="347"/>
      <c r="Q427" s="347"/>
      <c r="R427" s="347"/>
      <c r="S427" s="347"/>
      <c r="T427" s="225"/>
      <c r="U427" s="225"/>
      <c r="V427" s="225"/>
      <c r="W427" s="106"/>
      <c r="X427" s="135">
        <v>0</v>
      </c>
      <c r="Z427" s="54"/>
      <c r="AA427" s="2"/>
    </row>
    <row r="428" spans="1:27" s="9" customFormat="1" ht="14.75" customHeight="1">
      <c r="A428" s="70">
        <f t="shared" ref="A428:B428" si="462">+A427</f>
        <v>2026006</v>
      </c>
      <c r="B428" s="74" t="str">
        <f t="shared" si="462"/>
        <v>大村賢治</v>
      </c>
      <c r="C428" s="404"/>
      <c r="D428" s="402"/>
      <c r="E428" s="402"/>
      <c r="F428" s="406"/>
      <c r="G428" s="402"/>
      <c r="H428" s="402"/>
      <c r="I428" s="402"/>
      <c r="J428" s="398"/>
      <c r="K428" s="63" t="s">
        <v>25</v>
      </c>
      <c r="L428" s="227">
        <f t="shared" ref="L428:W428" si="463">SUM(L429:L435)</f>
        <v>0</v>
      </c>
      <c r="M428" s="227">
        <f t="shared" si="463"/>
        <v>0</v>
      </c>
      <c r="N428" s="227">
        <f t="shared" si="463"/>
        <v>0</v>
      </c>
      <c r="O428" s="348">
        <f t="shared" si="463"/>
        <v>0</v>
      </c>
      <c r="P428" s="348">
        <f t="shared" si="463"/>
        <v>0</v>
      </c>
      <c r="Q428" s="348">
        <f t="shared" si="463"/>
        <v>0</v>
      </c>
      <c r="R428" s="348">
        <f t="shared" si="463"/>
        <v>0</v>
      </c>
      <c r="S428" s="348">
        <f t="shared" si="463"/>
        <v>0</v>
      </c>
      <c r="T428" s="348">
        <f t="shared" si="463"/>
        <v>0</v>
      </c>
      <c r="U428" s="348">
        <f t="shared" si="463"/>
        <v>0</v>
      </c>
      <c r="V428" s="348">
        <f t="shared" si="463"/>
        <v>0</v>
      </c>
      <c r="W428" s="134">
        <f t="shared" si="463"/>
        <v>198240</v>
      </c>
      <c r="X428" s="136">
        <f>SUM(L428:W428)</f>
        <v>198240</v>
      </c>
      <c r="Z428" s="54"/>
      <c r="AA428" s="2"/>
    </row>
    <row r="429" spans="1:27" s="9" customFormat="1" ht="14.75" customHeight="1">
      <c r="A429" s="70">
        <f t="shared" ref="A429:B429" si="464">+A428</f>
        <v>2026006</v>
      </c>
      <c r="B429" s="74" t="str">
        <f t="shared" si="464"/>
        <v>大村賢治</v>
      </c>
      <c r="C429" s="404"/>
      <c r="D429" s="402"/>
      <c r="E429" s="402"/>
      <c r="F429" s="406"/>
      <c r="G429" s="402"/>
      <c r="H429" s="402"/>
      <c r="I429" s="402"/>
      <c r="J429" s="398"/>
      <c r="K429" s="64" t="s">
        <v>26</v>
      </c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106">
        <v>170000</v>
      </c>
      <c r="X429" s="135">
        <f t="shared" ref="X429:X435" si="465">SUM(L429:W429)</f>
        <v>170000</v>
      </c>
      <c r="Z429" s="54"/>
      <c r="AA429" s="2"/>
    </row>
    <row r="430" spans="1:27">
      <c r="A430" s="70">
        <f t="shared" ref="A430:B430" si="466">+A429</f>
        <v>2026006</v>
      </c>
      <c r="B430" s="74" t="str">
        <f t="shared" si="466"/>
        <v>大村賢治</v>
      </c>
      <c r="C430" s="404"/>
      <c r="D430" s="402"/>
      <c r="E430" s="402"/>
      <c r="F430" s="406"/>
      <c r="G430" s="402"/>
      <c r="H430" s="402"/>
      <c r="I430" s="402"/>
      <c r="J430" s="398"/>
      <c r="K430" s="64" t="s">
        <v>33</v>
      </c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106"/>
      <c r="X430" s="135">
        <f t="shared" si="465"/>
        <v>0</v>
      </c>
    </row>
    <row r="431" spans="1:27">
      <c r="A431" s="70">
        <f t="shared" ref="A431:B431" si="467">+A430</f>
        <v>2026006</v>
      </c>
      <c r="B431" s="74" t="str">
        <f t="shared" si="467"/>
        <v>大村賢治</v>
      </c>
      <c r="C431" s="404"/>
      <c r="D431" s="402"/>
      <c r="E431" s="402"/>
      <c r="F431" s="406"/>
      <c r="G431" s="402"/>
      <c r="H431" s="402"/>
      <c r="I431" s="402"/>
      <c r="J431" s="398"/>
      <c r="K431" s="64" t="s">
        <v>27</v>
      </c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106">
        <v>28240</v>
      </c>
      <c r="X431" s="135">
        <f t="shared" si="465"/>
        <v>28240</v>
      </c>
    </row>
    <row r="432" spans="1:27">
      <c r="A432" s="70">
        <f t="shared" ref="A432:B432" si="468">+A431</f>
        <v>2026006</v>
      </c>
      <c r="B432" s="74" t="str">
        <f t="shared" si="468"/>
        <v>大村賢治</v>
      </c>
      <c r="C432" s="404"/>
      <c r="D432" s="402"/>
      <c r="E432" s="402"/>
      <c r="F432" s="406"/>
      <c r="G432" s="402"/>
      <c r="H432" s="402"/>
      <c r="I432" s="402"/>
      <c r="J432" s="398"/>
      <c r="K432" s="64" t="s">
        <v>28</v>
      </c>
      <c r="L432" s="386"/>
      <c r="M432" s="386"/>
      <c r="N432" s="386"/>
      <c r="O432" s="386"/>
      <c r="P432" s="386"/>
      <c r="Q432" s="386"/>
      <c r="R432" s="386"/>
      <c r="S432" s="386"/>
      <c r="T432" s="386"/>
      <c r="U432" s="225"/>
      <c r="V432" s="225"/>
      <c r="W432" s="106"/>
      <c r="X432" s="135">
        <f t="shared" si="465"/>
        <v>0</v>
      </c>
    </row>
    <row r="433" spans="1:24">
      <c r="A433" s="70">
        <f t="shared" ref="A433:B433" si="469">+A432</f>
        <v>2026006</v>
      </c>
      <c r="B433" s="74" t="str">
        <f t="shared" si="469"/>
        <v>大村賢治</v>
      </c>
      <c r="C433" s="404"/>
      <c r="D433" s="402"/>
      <c r="E433" s="402"/>
      <c r="F433" s="406"/>
      <c r="G433" s="402"/>
      <c r="H433" s="402"/>
      <c r="I433" s="402"/>
      <c r="J433" s="398"/>
      <c r="K433" s="64" t="s">
        <v>29</v>
      </c>
      <c r="L433" s="386"/>
      <c r="M433" s="386"/>
      <c r="N433" s="386"/>
      <c r="O433" s="386"/>
      <c r="P433" s="386"/>
      <c r="Q433" s="386"/>
      <c r="R433" s="386"/>
      <c r="S433" s="386"/>
      <c r="T433" s="386"/>
      <c r="U433" s="225"/>
      <c r="V433" s="225"/>
      <c r="W433" s="106"/>
      <c r="X433" s="135">
        <f t="shared" si="465"/>
        <v>0</v>
      </c>
    </row>
    <row r="434" spans="1:24">
      <c r="A434" s="70">
        <f t="shared" ref="A434:B434" si="470">+A433</f>
        <v>2026006</v>
      </c>
      <c r="B434" s="74" t="str">
        <f t="shared" si="470"/>
        <v>大村賢治</v>
      </c>
      <c r="C434" s="404"/>
      <c r="D434" s="402"/>
      <c r="E434" s="402"/>
      <c r="F434" s="406"/>
      <c r="G434" s="402"/>
      <c r="H434" s="402"/>
      <c r="I434" s="402"/>
      <c r="J434" s="398"/>
      <c r="K434" s="64" t="s">
        <v>30</v>
      </c>
      <c r="L434" s="386"/>
      <c r="M434" s="386"/>
      <c r="N434" s="386"/>
      <c r="O434" s="386"/>
      <c r="P434" s="386"/>
      <c r="Q434" s="386"/>
      <c r="R434" s="386"/>
      <c r="S434" s="386"/>
      <c r="T434" s="386"/>
      <c r="U434" s="225"/>
      <c r="V434" s="225"/>
      <c r="W434" s="106"/>
      <c r="X434" s="135">
        <f t="shared" si="465"/>
        <v>0</v>
      </c>
    </row>
    <row r="435" spans="1:24">
      <c r="A435" s="70">
        <f t="shared" ref="A435:B435" si="471">+A434</f>
        <v>2026006</v>
      </c>
      <c r="B435" s="74" t="str">
        <f t="shared" si="471"/>
        <v>大村賢治</v>
      </c>
      <c r="C435" s="404"/>
      <c r="D435" s="402"/>
      <c r="E435" s="402"/>
      <c r="F435" s="406"/>
      <c r="G435" s="402"/>
      <c r="H435" s="402"/>
      <c r="I435" s="402"/>
      <c r="J435" s="398"/>
      <c r="K435" s="64" t="s">
        <v>31</v>
      </c>
      <c r="L435" s="386"/>
      <c r="M435" s="386"/>
      <c r="N435" s="386"/>
      <c r="O435" s="386"/>
      <c r="P435" s="386"/>
      <c r="Q435" s="386"/>
      <c r="R435" s="386"/>
      <c r="S435" s="386"/>
      <c r="T435" s="386"/>
      <c r="U435" s="225"/>
      <c r="V435" s="225"/>
      <c r="W435" s="106"/>
      <c r="X435" s="135">
        <f t="shared" si="465"/>
        <v>0</v>
      </c>
    </row>
    <row r="436" spans="1:24" ht="12.5" thickBot="1">
      <c r="A436" s="70">
        <f t="shared" ref="A436:B436" si="472">+A435</f>
        <v>2026006</v>
      </c>
      <c r="B436" s="74" t="str">
        <f t="shared" si="472"/>
        <v>大村賢治</v>
      </c>
      <c r="C436" s="438"/>
      <c r="D436" s="436"/>
      <c r="E436" s="436"/>
      <c r="F436" s="439"/>
      <c r="G436" s="436"/>
      <c r="H436" s="436"/>
      <c r="I436" s="436"/>
      <c r="J436" s="437"/>
      <c r="K436" s="67" t="s">
        <v>32</v>
      </c>
      <c r="L436" s="240">
        <f t="shared" ref="L436:R436" si="473">L425-L428</f>
        <v>0</v>
      </c>
      <c r="M436" s="292">
        <f t="shared" si="473"/>
        <v>0</v>
      </c>
      <c r="N436" s="292">
        <f t="shared" si="473"/>
        <v>0</v>
      </c>
      <c r="O436" s="293">
        <f t="shared" si="473"/>
        <v>0</v>
      </c>
      <c r="P436" s="293">
        <f t="shared" si="473"/>
        <v>0</v>
      </c>
      <c r="Q436" s="293">
        <f t="shared" si="473"/>
        <v>0</v>
      </c>
      <c r="R436" s="293">
        <f t="shared" si="473"/>
        <v>0</v>
      </c>
      <c r="S436" s="293">
        <f>S425-S428</f>
        <v>0</v>
      </c>
      <c r="T436" s="293">
        <f t="shared" ref="T436:W436" si="474">T425-T428</f>
        <v>0</v>
      </c>
      <c r="U436" s="345">
        <f t="shared" si="474"/>
        <v>0</v>
      </c>
      <c r="V436" s="345">
        <f t="shared" si="474"/>
        <v>0</v>
      </c>
      <c r="W436" s="125">
        <f t="shared" si="474"/>
        <v>176760</v>
      </c>
      <c r="X436" s="126">
        <f>X425-X428</f>
        <v>176760</v>
      </c>
    </row>
    <row r="437" spans="1:24" ht="12.5" thickTop="1">
      <c r="A437" s="68"/>
      <c r="B437" s="72"/>
      <c r="C437" s="463" t="str">
        <f>C2</f>
        <v>Other</v>
      </c>
      <c r="D437" s="464"/>
      <c r="E437" s="464"/>
      <c r="F437" s="464"/>
      <c r="G437" s="464"/>
      <c r="H437" s="464"/>
      <c r="I437" s="464"/>
      <c r="J437" s="465"/>
      <c r="K437" s="112" t="s">
        <v>19</v>
      </c>
      <c r="L437" s="255">
        <f t="shared" ref="L437:W437" si="475">L5+L17+L29+L41+L53+L65+L77+L89+L101+L113+L125+L137+L149+L161+L173+L185+L197+L209+L221+L233+L257+L281+L293+L305+L317+L329+L341+L353+L365+L377+L389+L401+L245+L269+L425</f>
        <v>15296635</v>
      </c>
      <c r="M437" s="255">
        <f t="shared" si="475"/>
        <v>15169568</v>
      </c>
      <c r="N437" s="255">
        <f t="shared" si="475"/>
        <v>15036952</v>
      </c>
      <c r="O437" s="255">
        <f t="shared" si="475"/>
        <v>14494274</v>
      </c>
      <c r="P437" s="255">
        <f t="shared" si="475"/>
        <v>15036071</v>
      </c>
      <c r="Q437" s="255">
        <f t="shared" si="475"/>
        <v>14992235</v>
      </c>
      <c r="R437" s="255">
        <f t="shared" si="475"/>
        <v>16934444</v>
      </c>
      <c r="S437" s="255">
        <f t="shared" si="475"/>
        <v>16483052</v>
      </c>
      <c r="T437" s="255">
        <f t="shared" si="475"/>
        <v>16576200</v>
      </c>
      <c r="U437" s="255">
        <f t="shared" si="475"/>
        <v>16494038</v>
      </c>
      <c r="V437" s="198">
        <f t="shared" si="475"/>
        <v>16589573</v>
      </c>
      <c r="W437" s="103">
        <f t="shared" si="475"/>
        <v>17058000</v>
      </c>
      <c r="X437" s="127">
        <f>SUM(L437:W437)</f>
        <v>190161042</v>
      </c>
    </row>
    <row r="438" spans="1:24">
      <c r="A438" s="68"/>
      <c r="B438" s="72"/>
      <c r="C438" s="463"/>
      <c r="D438" s="464"/>
      <c r="E438" s="464"/>
      <c r="F438" s="464"/>
      <c r="G438" s="464"/>
      <c r="H438" s="464"/>
      <c r="I438" s="464"/>
      <c r="J438" s="465"/>
      <c r="K438" s="113" t="s">
        <v>20</v>
      </c>
      <c r="L438" s="256">
        <f t="shared" ref="L438:V438" si="476">L8+L20+L32+L44+L56+L68+L80+L92+L104+L116+L128+L140+L152+L164+L176+L188+L200+L212+L224+L236+L260+L284+L296+L308+L320+L332+L344+L356+L368+L380+L392+L404+L248+L272+L428</f>
        <v>11533697</v>
      </c>
      <c r="M438" s="256">
        <f t="shared" si="476"/>
        <v>11415957</v>
      </c>
      <c r="N438" s="256">
        <f t="shared" si="476"/>
        <v>11483797</v>
      </c>
      <c r="O438" s="256">
        <f t="shared" si="476"/>
        <v>11210893</v>
      </c>
      <c r="P438" s="256">
        <f t="shared" si="476"/>
        <v>11651075.033199562</v>
      </c>
      <c r="Q438" s="256">
        <f t="shared" si="476"/>
        <v>11575752.659998834</v>
      </c>
      <c r="R438" s="256">
        <f t="shared" si="476"/>
        <v>13177584.749039352</v>
      </c>
      <c r="S438" s="256">
        <f t="shared" si="476"/>
        <v>13185712.090121318</v>
      </c>
      <c r="T438" s="256">
        <f t="shared" si="476"/>
        <v>13238879.119255485</v>
      </c>
      <c r="U438" s="256">
        <f t="shared" si="476"/>
        <v>13333239.138122022</v>
      </c>
      <c r="V438" s="199">
        <f t="shared" si="476"/>
        <v>13350084.145006016</v>
      </c>
      <c r="W438" s="60">
        <f>W8+W20+W32+W44+W56+W68+W80+W92+W104+W116+W128+W140+W152+W164+W176+W188+W200+W212+W224+W236+W260+W284+W296+W308+W320+W332+W344+W356+W368+W380+W392+W404+W248+W272+W416+W428</f>
        <v>13892901.111111112</v>
      </c>
      <c r="X438" s="51">
        <f>SUM(L438:W438)</f>
        <v>149049572.04585367</v>
      </c>
    </row>
    <row r="439" spans="1:24">
      <c r="A439" s="68"/>
      <c r="B439" s="72"/>
      <c r="C439" s="466"/>
      <c r="D439" s="467"/>
      <c r="E439" s="467"/>
      <c r="F439" s="467"/>
      <c r="G439" s="467"/>
      <c r="H439" s="467"/>
      <c r="I439" s="467"/>
      <c r="J439" s="468"/>
      <c r="K439" s="117" t="s">
        <v>21</v>
      </c>
      <c r="L439" s="261">
        <f>L437-L438</f>
        <v>3762938</v>
      </c>
      <c r="M439" s="320">
        <f t="shared" ref="M439:O439" si="477">M437-M438</f>
        <v>3753611</v>
      </c>
      <c r="N439" s="320">
        <f t="shared" si="477"/>
        <v>3553155</v>
      </c>
      <c r="O439" s="320">
        <f t="shared" si="477"/>
        <v>3283381</v>
      </c>
      <c r="P439" s="320">
        <f t="shared" ref="P439" si="478">P437-P438</f>
        <v>3384995.9668004382</v>
      </c>
      <c r="Q439" s="320">
        <f t="shared" ref="Q439:R439" si="479">Q437-Q438</f>
        <v>3416482.3400011659</v>
      </c>
      <c r="R439" s="320">
        <f t="shared" si="479"/>
        <v>3756859.2509606481</v>
      </c>
      <c r="S439" s="320">
        <f t="shared" ref="S439" si="480">S437-S438</f>
        <v>3297339.9098786823</v>
      </c>
      <c r="T439" s="320">
        <f t="shared" ref="T439:U439" si="481">T437-T438</f>
        <v>3337320.880744515</v>
      </c>
      <c r="U439" s="262">
        <f t="shared" si="481"/>
        <v>3160798.8618779778</v>
      </c>
      <c r="V439" s="262">
        <f t="shared" ref="V439" si="482">V437-V438</f>
        <v>3239488.8549939841</v>
      </c>
      <c r="W439" s="146">
        <f t="shared" ref="W439" si="483">W437-W438</f>
        <v>3165098.8888888881</v>
      </c>
      <c r="X439" s="52">
        <f>SUM(L439:W439)</f>
        <v>41111469.954146296</v>
      </c>
    </row>
    <row r="440" spans="1:24">
      <c r="A440" s="68"/>
      <c r="B440" s="72"/>
      <c r="C440" s="148"/>
      <c r="D440" s="32"/>
      <c r="E440" s="32"/>
      <c r="G440" s="32"/>
      <c r="H440" s="32"/>
      <c r="I440" s="32"/>
      <c r="J440" s="32"/>
      <c r="K440" s="111" t="s">
        <v>40</v>
      </c>
      <c r="L440" s="503">
        <f>SUM(L437:N437)</f>
        <v>45503155</v>
      </c>
      <c r="M440" s="504"/>
      <c r="N440" s="504"/>
      <c r="O440" s="504">
        <f>SUM(O437:Q437)</f>
        <v>44522580</v>
      </c>
      <c r="P440" s="504"/>
      <c r="Q440" s="504"/>
      <c r="R440" s="504">
        <f>SUM(R437:T437)</f>
        <v>49993696</v>
      </c>
      <c r="S440" s="504"/>
      <c r="T440" s="504"/>
      <c r="U440" s="429">
        <f>SUM(U437:W437)</f>
        <v>50141611</v>
      </c>
      <c r="V440" s="429"/>
      <c r="W440" s="472"/>
      <c r="X440" s="55">
        <f>SUM(L440:W440)</f>
        <v>190161042</v>
      </c>
    </row>
    <row r="441" spans="1:24">
      <c r="A441" s="68"/>
      <c r="B441" s="72"/>
      <c r="C441" s="149"/>
      <c r="D441" s="150"/>
      <c r="E441" s="150"/>
      <c r="F441" s="151"/>
      <c r="G441" s="150"/>
      <c r="H441" s="150"/>
      <c r="I441" s="150"/>
      <c r="J441" s="150"/>
      <c r="K441" s="110" t="s">
        <v>41</v>
      </c>
      <c r="L441" s="506">
        <f>SUM(L439:N439)</f>
        <v>11069704</v>
      </c>
      <c r="M441" s="505"/>
      <c r="N441" s="505"/>
      <c r="O441" s="505">
        <f>SUM(O439:Q439)</f>
        <v>10084859.306801604</v>
      </c>
      <c r="P441" s="505"/>
      <c r="Q441" s="505"/>
      <c r="R441" s="505">
        <f>SUM(R439:T439)</f>
        <v>10391520.041583845</v>
      </c>
      <c r="S441" s="505"/>
      <c r="T441" s="505"/>
      <c r="U441" s="410">
        <f>SUM(U439:W439)</f>
        <v>9565386.60576085</v>
      </c>
      <c r="V441" s="410"/>
      <c r="W441" s="458"/>
      <c r="X441" s="56">
        <f>SUM(L441:W441)</f>
        <v>41111469.954146296</v>
      </c>
    </row>
    <row r="449" spans="17:17">
      <c r="Q449" s="2"/>
    </row>
  </sheetData>
  <mergeCells count="298">
    <mergeCell ref="J425:J436"/>
    <mergeCell ref="C389:C400"/>
    <mergeCell ref="D389:D400"/>
    <mergeCell ref="E389:E400"/>
    <mergeCell ref="F389:F400"/>
    <mergeCell ref="G389:G400"/>
    <mergeCell ref="H389:H400"/>
    <mergeCell ref="I389:I400"/>
    <mergeCell ref="J389:J400"/>
    <mergeCell ref="C401:C412"/>
    <mergeCell ref="D401:D412"/>
    <mergeCell ref="E401:E412"/>
    <mergeCell ref="F401:F412"/>
    <mergeCell ref="G401:G412"/>
    <mergeCell ref="H401:H412"/>
    <mergeCell ref="I401:I412"/>
    <mergeCell ref="J401:J412"/>
    <mergeCell ref="C425:C436"/>
    <mergeCell ref="D425:D436"/>
    <mergeCell ref="E425:E436"/>
    <mergeCell ref="F425:F436"/>
    <mergeCell ref="G425:G436"/>
    <mergeCell ref="H425:H436"/>
    <mergeCell ref="I425:I436"/>
    <mergeCell ref="E329:E340"/>
    <mergeCell ref="F329:F340"/>
    <mergeCell ref="G329:G340"/>
    <mergeCell ref="H329:H340"/>
    <mergeCell ref="I329:I340"/>
    <mergeCell ref="H353:H364"/>
    <mergeCell ref="J317:J328"/>
    <mergeCell ref="C281:C292"/>
    <mergeCell ref="D281:D292"/>
    <mergeCell ref="E281:E292"/>
    <mergeCell ref="F281:F292"/>
    <mergeCell ref="G281:G292"/>
    <mergeCell ref="H281:H292"/>
    <mergeCell ref="I281:I292"/>
    <mergeCell ref="J305:J316"/>
    <mergeCell ref="C305:C316"/>
    <mergeCell ref="D305:D316"/>
    <mergeCell ref="E305:E316"/>
    <mergeCell ref="C317:C328"/>
    <mergeCell ref="D317:D328"/>
    <mergeCell ref="E317:E328"/>
    <mergeCell ref="F317:F328"/>
    <mergeCell ref="G317:G328"/>
    <mergeCell ref="H317:H328"/>
    <mergeCell ref="F305:F316"/>
    <mergeCell ref="G305:G316"/>
    <mergeCell ref="H305:H316"/>
    <mergeCell ref="I317:I328"/>
    <mergeCell ref="F245:F256"/>
    <mergeCell ref="G245:G256"/>
    <mergeCell ref="H245:H256"/>
    <mergeCell ref="C257:C268"/>
    <mergeCell ref="J245:J256"/>
    <mergeCell ref="J257:J268"/>
    <mergeCell ref="I305:I316"/>
    <mergeCell ref="J281:J292"/>
    <mergeCell ref="H257:H268"/>
    <mergeCell ref="C245:C256"/>
    <mergeCell ref="D245:D256"/>
    <mergeCell ref="E245:E256"/>
    <mergeCell ref="I245:I256"/>
    <mergeCell ref="I257:I268"/>
    <mergeCell ref="D257:D268"/>
    <mergeCell ref="E257:E268"/>
    <mergeCell ref="F257:F268"/>
    <mergeCell ref="C269:C280"/>
    <mergeCell ref="D269:D280"/>
    <mergeCell ref="G257:G268"/>
    <mergeCell ref="C41:C52"/>
    <mergeCell ref="D41:D52"/>
    <mergeCell ref="E89:E100"/>
    <mergeCell ref="E65:E76"/>
    <mergeCell ref="C77:C88"/>
    <mergeCell ref="D77:D88"/>
    <mergeCell ref="D65:D76"/>
    <mergeCell ref="C53:C64"/>
    <mergeCell ref="C65:C76"/>
    <mergeCell ref="C125:C136"/>
    <mergeCell ref="E125:E136"/>
    <mergeCell ref="D149:D160"/>
    <mergeCell ref="C89:C100"/>
    <mergeCell ref="D89:D100"/>
    <mergeCell ref="E197:E208"/>
    <mergeCell ref="F197:F208"/>
    <mergeCell ref="I65:I76"/>
    <mergeCell ref="I137:I148"/>
    <mergeCell ref="F137:F148"/>
    <mergeCell ref="G137:G148"/>
    <mergeCell ref="I161:I172"/>
    <mergeCell ref="E161:E172"/>
    <mergeCell ref="F161:F172"/>
    <mergeCell ref="I173:I184"/>
    <mergeCell ref="H161:H172"/>
    <mergeCell ref="E149:E160"/>
    <mergeCell ref="C149:C160"/>
    <mergeCell ref="H137:H148"/>
    <mergeCell ref="F125:F136"/>
    <mergeCell ref="H125:H136"/>
    <mergeCell ref="D137:D148"/>
    <mergeCell ref="C101:C112"/>
    <mergeCell ref="F173:F184"/>
    <mergeCell ref="C29:C40"/>
    <mergeCell ref="G29:G40"/>
    <mergeCell ref="D29:D40"/>
    <mergeCell ref="I17:I28"/>
    <mergeCell ref="I53:I64"/>
    <mergeCell ref="F29:F40"/>
    <mergeCell ref="C233:C244"/>
    <mergeCell ref="D233:D244"/>
    <mergeCell ref="E233:E244"/>
    <mergeCell ref="F233:F244"/>
    <mergeCell ref="G233:G244"/>
    <mergeCell ref="H233:H244"/>
    <mergeCell ref="D125:D136"/>
    <mergeCell ref="D53:D64"/>
    <mergeCell ref="E53:E64"/>
    <mergeCell ref="C137:C148"/>
    <mergeCell ref="H65:H76"/>
    <mergeCell ref="H149:H160"/>
    <mergeCell ref="C113:C124"/>
    <mergeCell ref="D113:D124"/>
    <mergeCell ref="E113:E124"/>
    <mergeCell ref="E137:E148"/>
    <mergeCell ref="D101:D112"/>
    <mergeCell ref="E101:E112"/>
    <mergeCell ref="H5:H16"/>
    <mergeCell ref="I5:I16"/>
    <mergeCell ref="H53:H64"/>
    <mergeCell ref="H41:H52"/>
    <mergeCell ref="I41:I52"/>
    <mergeCell ref="J41:J52"/>
    <mergeCell ref="H29:H40"/>
    <mergeCell ref="I29:I40"/>
    <mergeCell ref="E17:E28"/>
    <mergeCell ref="E29:E40"/>
    <mergeCell ref="G17:G28"/>
    <mergeCell ref="J29:J40"/>
    <mergeCell ref="G41:G52"/>
    <mergeCell ref="F53:F64"/>
    <mergeCell ref="G53:G64"/>
    <mergeCell ref="C2:J4"/>
    <mergeCell ref="I89:I100"/>
    <mergeCell ref="H17:H28"/>
    <mergeCell ref="C5:C16"/>
    <mergeCell ref="D5:D16"/>
    <mergeCell ref="E5:E16"/>
    <mergeCell ref="F5:F16"/>
    <mergeCell ref="G5:G16"/>
    <mergeCell ref="J89:J100"/>
    <mergeCell ref="F17:F28"/>
    <mergeCell ref="I77:I88"/>
    <mergeCell ref="J77:J88"/>
    <mergeCell ref="H77:H88"/>
    <mergeCell ref="E41:E52"/>
    <mergeCell ref="F41:F52"/>
    <mergeCell ref="E77:E88"/>
    <mergeCell ref="F77:F88"/>
    <mergeCell ref="G77:G88"/>
    <mergeCell ref="C17:C28"/>
    <mergeCell ref="D17:D28"/>
    <mergeCell ref="J65:J76"/>
    <mergeCell ref="J5:J16"/>
    <mergeCell ref="J53:J64"/>
    <mergeCell ref="J17:J28"/>
    <mergeCell ref="U441:W441"/>
    <mergeCell ref="C437:J439"/>
    <mergeCell ref="L440:N440"/>
    <mergeCell ref="O440:Q440"/>
    <mergeCell ref="R440:T440"/>
    <mergeCell ref="U440:W440"/>
    <mergeCell ref="O441:Q441"/>
    <mergeCell ref="R441:T441"/>
    <mergeCell ref="L441:N441"/>
    <mergeCell ref="J233:J244"/>
    <mergeCell ref="J221:J232"/>
    <mergeCell ref="C221:C232"/>
    <mergeCell ref="D221:D232"/>
    <mergeCell ref="E221:E232"/>
    <mergeCell ref="F221:F232"/>
    <mergeCell ref="G221:G232"/>
    <mergeCell ref="I233:I244"/>
    <mergeCell ref="G197:G208"/>
    <mergeCell ref="H197:H208"/>
    <mergeCell ref="I197:I208"/>
    <mergeCell ref="D197:D208"/>
    <mergeCell ref="H221:H232"/>
    <mergeCell ref="C197:C208"/>
    <mergeCell ref="F209:F220"/>
    <mergeCell ref="G209:G220"/>
    <mergeCell ref="H209:H220"/>
    <mergeCell ref="E209:E220"/>
    <mergeCell ref="I221:I232"/>
    <mergeCell ref="I209:I220"/>
    <mergeCell ref="J209:J220"/>
    <mergeCell ref="J197:J208"/>
    <mergeCell ref="C209:C220"/>
    <mergeCell ref="D209:D220"/>
    <mergeCell ref="G173:G184"/>
    <mergeCell ref="H173:H184"/>
    <mergeCell ref="I149:I160"/>
    <mergeCell ref="J113:J124"/>
    <mergeCell ref="I113:I124"/>
    <mergeCell ref="F65:F76"/>
    <mergeCell ref="G65:G76"/>
    <mergeCell ref="J125:J136"/>
    <mergeCell ref="J101:J112"/>
    <mergeCell ref="I101:I112"/>
    <mergeCell ref="H101:H112"/>
    <mergeCell ref="H113:H124"/>
    <mergeCell ref="G89:G100"/>
    <mergeCell ref="H89:H100"/>
    <mergeCell ref="F89:F100"/>
    <mergeCell ref="F101:F112"/>
    <mergeCell ref="G125:G136"/>
    <mergeCell ref="I125:I136"/>
    <mergeCell ref="G113:G124"/>
    <mergeCell ref="G101:G112"/>
    <mergeCell ref="F113:F124"/>
    <mergeCell ref="C329:C340"/>
    <mergeCell ref="D329:D340"/>
    <mergeCell ref="H365:H376"/>
    <mergeCell ref="J329:J340"/>
    <mergeCell ref="J137:J148"/>
    <mergeCell ref="J149:J160"/>
    <mergeCell ref="F149:F160"/>
    <mergeCell ref="G149:G160"/>
    <mergeCell ref="C161:C172"/>
    <mergeCell ref="D161:D172"/>
    <mergeCell ref="J161:J172"/>
    <mergeCell ref="G161:G172"/>
    <mergeCell ref="J185:J196"/>
    <mergeCell ref="J173:J184"/>
    <mergeCell ref="H185:H196"/>
    <mergeCell ref="C185:C196"/>
    <mergeCell ref="I185:I196"/>
    <mergeCell ref="D185:D196"/>
    <mergeCell ref="E185:E196"/>
    <mergeCell ref="F185:F196"/>
    <mergeCell ref="G185:G196"/>
    <mergeCell ref="C173:C184"/>
    <mergeCell ref="D173:D184"/>
    <mergeCell ref="E173:E184"/>
    <mergeCell ref="E269:E280"/>
    <mergeCell ref="C293:C304"/>
    <mergeCell ref="D293:D304"/>
    <mergeCell ref="E293:E304"/>
    <mergeCell ref="F293:F304"/>
    <mergeCell ref="G293:G304"/>
    <mergeCell ref="H293:H304"/>
    <mergeCell ref="I293:I304"/>
    <mergeCell ref="J293:J304"/>
    <mergeCell ref="F269:F280"/>
    <mergeCell ref="G269:G280"/>
    <mergeCell ref="H269:H280"/>
    <mergeCell ref="I269:I280"/>
    <mergeCell ref="J269:J280"/>
    <mergeCell ref="C341:C352"/>
    <mergeCell ref="D341:D352"/>
    <mergeCell ref="E341:E352"/>
    <mergeCell ref="F341:F352"/>
    <mergeCell ref="G341:G352"/>
    <mergeCell ref="H341:H352"/>
    <mergeCell ref="I341:I352"/>
    <mergeCell ref="J341:J352"/>
    <mergeCell ref="F377:F388"/>
    <mergeCell ref="G377:G388"/>
    <mergeCell ref="H377:H388"/>
    <mergeCell ref="I377:I388"/>
    <mergeCell ref="J377:J388"/>
    <mergeCell ref="C353:C364"/>
    <mergeCell ref="D353:D364"/>
    <mergeCell ref="E353:E364"/>
    <mergeCell ref="F353:F364"/>
    <mergeCell ref="G353:G364"/>
    <mergeCell ref="I353:I364"/>
    <mergeCell ref="J353:J364"/>
    <mergeCell ref="C365:C376"/>
    <mergeCell ref="D365:D376"/>
    <mergeCell ref="E365:E376"/>
    <mergeCell ref="F365:F376"/>
    <mergeCell ref="C413:C424"/>
    <mergeCell ref="D413:D424"/>
    <mergeCell ref="E413:E424"/>
    <mergeCell ref="F413:F424"/>
    <mergeCell ref="G413:G424"/>
    <mergeCell ref="H413:H424"/>
    <mergeCell ref="I413:I424"/>
    <mergeCell ref="J413:J424"/>
    <mergeCell ref="I365:I376"/>
    <mergeCell ref="J365:J376"/>
    <mergeCell ref="C377:C388"/>
    <mergeCell ref="D377:D388"/>
    <mergeCell ref="E377:E388"/>
    <mergeCell ref="G365:G376"/>
  </mergeCells>
  <phoneticPr fontId="12"/>
  <printOptions horizontalCentered="1"/>
  <pageMargins left="0.70866141732283472" right="0.70866141732283472" top="0.74803149606299213" bottom="0.74803149606299213" header="0.31496062992125984" footer="0.31496062992125984"/>
  <pageSetup paperSize="8" scale="76" fitToHeight="0" orientation="landscape" r:id="rId1"/>
  <rowBreaks count="4" manualBreakCount="4">
    <brk id="76" min="2" max="23" man="1"/>
    <brk id="148" min="2" max="23" man="1"/>
    <brk id="220" min="2" max="23" man="1"/>
    <brk id="316" min="2" max="23" man="1"/>
  </rowBreaks>
  <ignoredErrors>
    <ignoredError sqref="X125:X136 X16 X53:X64 Q359:Q363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14</vt:i4>
      </vt:variant>
    </vt:vector>
  </HeadingPairs>
  <TitlesOfParts>
    <vt:vector size="24" baseType="lpstr">
      <vt:lpstr>まとめ</vt:lpstr>
      <vt:lpstr>まとめ (2)</vt:lpstr>
      <vt:lpstr>グラフ</vt:lpstr>
      <vt:lpstr>EXA</vt:lpstr>
      <vt:lpstr>Ericson</vt:lpstr>
      <vt:lpstr>NI+C</vt:lpstr>
      <vt:lpstr>S&amp;I</vt:lpstr>
      <vt:lpstr>ジャステック</vt:lpstr>
      <vt:lpstr>NDICS</vt:lpstr>
      <vt:lpstr>Other</vt:lpstr>
      <vt:lpstr>Ericson!Print_Area</vt:lpstr>
      <vt:lpstr>EXA!Print_Area</vt:lpstr>
      <vt:lpstr>NDICS!Print_Area</vt:lpstr>
      <vt:lpstr>'NI+C'!Print_Area</vt:lpstr>
      <vt:lpstr>Other!Print_Area</vt:lpstr>
      <vt:lpstr>'S&amp;I'!Print_Area</vt:lpstr>
      <vt:lpstr>ジャステック!Print_Area</vt:lpstr>
      <vt:lpstr>Ericson!Print_Titles</vt:lpstr>
      <vt:lpstr>EXA!Print_Titles</vt:lpstr>
      <vt:lpstr>NDICS!Print_Titles</vt:lpstr>
      <vt:lpstr>'NI+C'!Print_Titles</vt:lpstr>
      <vt:lpstr>Other!Print_Titles</vt:lpstr>
      <vt:lpstr>'S&amp;I'!Print_Titles</vt:lpstr>
      <vt:lpstr>ジャステック!Print_Titles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2026-04-16T05:34:22Z</dcterms:modified>
</cp:coreProperties>
</file>