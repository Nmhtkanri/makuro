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 codeName="ThisWorkbook" defaultThemeVersion="124226"/>
  <xr:revisionPtr revIDLastSave="0" documentId="13_ncr:1_{732D5B86-7850-480F-B461-33C9F920410A}" xr6:coauthVersionLast="47" xr6:coauthVersionMax="47" xr10:uidLastSave="{00000000-0000-0000-0000-000000000000}"/>
  <bookViews>
    <workbookView xWindow="-110" yWindow="-110" windowWidth="25820" windowHeight="13900" tabRatio="884" activeTab="2" xr2:uid="{00000000-000D-0000-FFFF-FFFF00000000}"/>
  </bookViews>
  <sheets>
    <sheet name="まとめ" sheetId="39" r:id="rId1"/>
    <sheet name="UAL常駐" sheetId="40" r:id="rId2"/>
    <sheet name="その他受託" sheetId="35" r:id="rId3"/>
    <sheet name="その他常駐" sheetId="41" r:id="rId4"/>
  </sheets>
  <definedNames>
    <definedName name="_xlnm.Print_Area" localSheetId="1">UAL常駐!$C$1:$X$252</definedName>
    <definedName name="_xlnm.Print_Area" localSheetId="2">その他受託!$C$1:$X$58</definedName>
    <definedName name="_xlnm.Print_Area" localSheetId="3">その他常駐!$C$1:$X$57</definedName>
    <definedName name="_xlnm.Print_Area" localSheetId="0">まとめ!$B$6:$AC$30</definedName>
    <definedName name="_xlnm.Print_Titles" localSheetId="1">UAL常駐!$1:$1</definedName>
    <definedName name="_xlnm.Print_Titles" localSheetId="2">その他受託!$1:$1</definedName>
    <definedName name="_xlnm.Print_Titles" localSheetId="3">その他常駐!$1:$1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X44" i="35" l="1"/>
  <c r="U9" i="35"/>
  <c r="U55" i="35" s="1"/>
  <c r="V9" i="35"/>
  <c r="W9" i="35"/>
  <c r="U5" i="35"/>
  <c r="V5" i="35"/>
  <c r="W5" i="35"/>
  <c r="T5" i="35"/>
  <c r="T54" i="35" s="1"/>
  <c r="S54" i="35"/>
  <c r="R55" i="35"/>
  <c r="L54" i="35"/>
  <c r="W46" i="35"/>
  <c r="V46" i="35"/>
  <c r="X46" i="35" s="1"/>
  <c r="O53" i="35"/>
  <c r="M53" i="35"/>
  <c r="X52" i="35"/>
  <c r="X51" i="35"/>
  <c r="X50" i="35"/>
  <c r="X49" i="35"/>
  <c r="X48" i="35"/>
  <c r="X47" i="35"/>
  <c r="W45" i="35"/>
  <c r="U45" i="35"/>
  <c r="T45" i="35"/>
  <c r="S45" i="35"/>
  <c r="R45" i="35"/>
  <c r="Q45" i="35"/>
  <c r="P45" i="35"/>
  <c r="O45" i="35"/>
  <c r="N45" i="35"/>
  <c r="M45" i="35"/>
  <c r="L45" i="35"/>
  <c r="B45" i="35"/>
  <c r="B46" i="35" s="1"/>
  <c r="B47" i="35" s="1"/>
  <c r="B48" i="35" s="1"/>
  <c r="B49" i="35" s="1"/>
  <c r="B50" i="35" s="1"/>
  <c r="B51" i="35" s="1"/>
  <c r="B52" i="35" s="1"/>
  <c r="B53" i="35" s="1"/>
  <c r="B44" i="35"/>
  <c r="U42" i="35"/>
  <c r="B43" i="35"/>
  <c r="A43" i="35"/>
  <c r="A44" i="35" s="1"/>
  <c r="A45" i="35" s="1"/>
  <c r="A46" i="35" s="1"/>
  <c r="A47" i="35" s="1"/>
  <c r="A48" i="35" s="1"/>
  <c r="A49" i="35" s="1"/>
  <c r="A50" i="35" s="1"/>
  <c r="A51" i="35" s="1"/>
  <c r="A52" i="35" s="1"/>
  <c r="A53" i="35" s="1"/>
  <c r="W42" i="35"/>
  <c r="W53" i="35" s="1"/>
  <c r="V42" i="35"/>
  <c r="T42" i="35"/>
  <c r="T53" i="35" s="1"/>
  <c r="S42" i="35"/>
  <c r="S53" i="35" s="1"/>
  <c r="R42" i="35"/>
  <c r="R53" i="35" s="1"/>
  <c r="Q42" i="35"/>
  <c r="Q53" i="35" s="1"/>
  <c r="P42" i="35"/>
  <c r="P53" i="35" s="1"/>
  <c r="O42" i="35"/>
  <c r="N42" i="35"/>
  <c r="N53" i="35" s="1"/>
  <c r="M42" i="35"/>
  <c r="L42" i="35"/>
  <c r="L53" i="35" s="1"/>
  <c r="T233" i="40"/>
  <c r="W234" i="40"/>
  <c r="S234" i="40"/>
  <c r="R234" i="40"/>
  <c r="Q234" i="40"/>
  <c r="P234" i="40"/>
  <c r="O234" i="40"/>
  <c r="N234" i="40"/>
  <c r="M234" i="40"/>
  <c r="W233" i="40"/>
  <c r="S233" i="40"/>
  <c r="R233" i="40"/>
  <c r="Q233" i="40"/>
  <c r="P233" i="40"/>
  <c r="O233" i="40"/>
  <c r="N233" i="40"/>
  <c r="M233" i="40"/>
  <c r="L234" i="40"/>
  <c r="L233" i="40"/>
  <c r="X219" i="40"/>
  <c r="X218" i="40"/>
  <c r="X217" i="40"/>
  <c r="X216" i="40"/>
  <c r="X215" i="40"/>
  <c r="X214" i="40"/>
  <c r="X213" i="40"/>
  <c r="W212" i="40"/>
  <c r="V212" i="40"/>
  <c r="U212" i="40"/>
  <c r="T212" i="40"/>
  <c r="S212" i="40"/>
  <c r="R212" i="40"/>
  <c r="Q212" i="40"/>
  <c r="P212" i="40"/>
  <c r="O212" i="40"/>
  <c r="N212" i="40"/>
  <c r="M212" i="40"/>
  <c r="L212" i="40"/>
  <c r="X210" i="40"/>
  <c r="A210" i="40"/>
  <c r="A211" i="40" s="1"/>
  <c r="A212" i="40" s="1"/>
  <c r="A213" i="40" s="1"/>
  <c r="A214" i="40" s="1"/>
  <c r="A215" i="40" s="1"/>
  <c r="A216" i="40" s="1"/>
  <c r="A217" i="40" s="1"/>
  <c r="A218" i="40" s="1"/>
  <c r="A219" i="40" s="1"/>
  <c r="A220" i="40" s="1"/>
  <c r="W209" i="40"/>
  <c r="W220" i="40" s="1"/>
  <c r="V209" i="40"/>
  <c r="V220" i="40" s="1"/>
  <c r="U209" i="40"/>
  <c r="T209" i="40"/>
  <c r="S209" i="40"/>
  <c r="S220" i="40" s="1"/>
  <c r="R209" i="40"/>
  <c r="Q209" i="40"/>
  <c r="Q220" i="40" s="1"/>
  <c r="P209" i="40"/>
  <c r="P220" i="40" s="1"/>
  <c r="O209" i="40"/>
  <c r="O220" i="40" s="1"/>
  <c r="N209" i="40"/>
  <c r="N220" i="40" s="1"/>
  <c r="M209" i="40"/>
  <c r="M220" i="40" s="1"/>
  <c r="L209" i="40"/>
  <c r="L220" i="40" s="1"/>
  <c r="X111" i="40"/>
  <c r="X110" i="40"/>
  <c r="X109" i="40"/>
  <c r="X108" i="40"/>
  <c r="X107" i="40"/>
  <c r="X106" i="40"/>
  <c r="X105" i="40"/>
  <c r="W104" i="40"/>
  <c r="V104" i="40"/>
  <c r="U104" i="40"/>
  <c r="O104" i="40"/>
  <c r="N104" i="40"/>
  <c r="M104" i="40"/>
  <c r="L104" i="40"/>
  <c r="X102" i="40"/>
  <c r="A102" i="40"/>
  <c r="A103" i="40" s="1"/>
  <c r="A104" i="40" s="1"/>
  <c r="A105" i="40" s="1"/>
  <c r="A106" i="40" s="1"/>
  <c r="A107" i="40" s="1"/>
  <c r="A108" i="40" s="1"/>
  <c r="A109" i="40" s="1"/>
  <c r="A110" i="40" s="1"/>
  <c r="A111" i="40" s="1"/>
  <c r="A112" i="40" s="1"/>
  <c r="W101" i="40"/>
  <c r="V101" i="40"/>
  <c r="U101" i="40"/>
  <c r="T101" i="40"/>
  <c r="T112" i="40" s="1"/>
  <c r="S101" i="40"/>
  <c r="S112" i="40" s="1"/>
  <c r="R101" i="40"/>
  <c r="R112" i="40" s="1"/>
  <c r="Q101" i="40"/>
  <c r="Q112" i="40" s="1"/>
  <c r="P101" i="40"/>
  <c r="P112" i="40" s="1"/>
  <c r="O101" i="40"/>
  <c r="N101" i="40"/>
  <c r="M101" i="40"/>
  <c r="L101" i="40"/>
  <c r="T9" i="35"/>
  <c r="T55" i="35" s="1"/>
  <c r="S9" i="35"/>
  <c r="S55" i="35" s="1"/>
  <c r="S5" i="35"/>
  <c r="M5" i="35"/>
  <c r="M54" i="35" s="1"/>
  <c r="N5" i="35"/>
  <c r="N54" i="35" s="1"/>
  <c r="O5" i="35"/>
  <c r="O54" i="35" s="1"/>
  <c r="P5" i="35"/>
  <c r="P54" i="35" s="1"/>
  <c r="Q5" i="35"/>
  <c r="Q54" i="35" s="1"/>
  <c r="L5" i="35"/>
  <c r="R9" i="35"/>
  <c r="W6" i="35"/>
  <c r="X7" i="35" s="1"/>
  <c r="R6" i="35"/>
  <c r="R5" i="35" s="1"/>
  <c r="R54" i="35" s="1"/>
  <c r="X93" i="40"/>
  <c r="X90" i="40"/>
  <c r="U220" i="40" l="1"/>
  <c r="V45" i="35"/>
  <c r="V53" i="35" s="1"/>
  <c r="U53" i="35"/>
  <c r="X43" i="35"/>
  <c r="X42" i="35"/>
  <c r="T220" i="40"/>
  <c r="O112" i="40"/>
  <c r="X212" i="40"/>
  <c r="R220" i="40"/>
  <c r="L112" i="40"/>
  <c r="M112" i="40"/>
  <c r="X209" i="40"/>
  <c r="N112" i="40"/>
  <c r="W112" i="40"/>
  <c r="V112" i="40"/>
  <c r="X104" i="40"/>
  <c r="U112" i="40"/>
  <c r="X101" i="40"/>
  <c r="X8" i="35"/>
  <c r="X99" i="40"/>
  <c r="X98" i="40"/>
  <c r="X97" i="40"/>
  <c r="X96" i="40"/>
  <c r="X95" i="40"/>
  <c r="X94" i="40"/>
  <c r="W92" i="40"/>
  <c r="V92" i="40"/>
  <c r="U92" i="40"/>
  <c r="T92" i="40"/>
  <c r="S92" i="40"/>
  <c r="R92" i="40"/>
  <c r="Q92" i="40"/>
  <c r="P92" i="40"/>
  <c r="O92" i="40"/>
  <c r="N92" i="40"/>
  <c r="M92" i="40"/>
  <c r="L92" i="40"/>
  <c r="A90" i="40"/>
  <c r="A91" i="40" s="1"/>
  <c r="A92" i="40" s="1"/>
  <c r="A93" i="40" s="1"/>
  <c r="A94" i="40" s="1"/>
  <c r="A95" i="40" s="1"/>
  <c r="A96" i="40" s="1"/>
  <c r="A97" i="40" s="1"/>
  <c r="A98" i="40" s="1"/>
  <c r="A99" i="40" s="1"/>
  <c r="A100" i="40" s="1"/>
  <c r="W89" i="40"/>
  <c r="V89" i="40"/>
  <c r="U89" i="40"/>
  <c r="T89" i="40"/>
  <c r="S89" i="40"/>
  <c r="R89" i="40"/>
  <c r="Q89" i="40"/>
  <c r="P89" i="40"/>
  <c r="O89" i="40"/>
  <c r="N89" i="40"/>
  <c r="M89" i="40"/>
  <c r="L89" i="40"/>
  <c r="X5" i="35" l="1"/>
  <c r="X45" i="35"/>
  <c r="X53" i="35" s="1"/>
  <c r="W100" i="40"/>
  <c r="X220" i="40"/>
  <c r="X112" i="40"/>
  <c r="M100" i="40"/>
  <c r="U100" i="40"/>
  <c r="N100" i="40"/>
  <c r="V100" i="40"/>
  <c r="S100" i="40"/>
  <c r="R100" i="40"/>
  <c r="T100" i="40"/>
  <c r="Q100" i="40"/>
  <c r="P100" i="40"/>
  <c r="X92" i="40"/>
  <c r="O100" i="40"/>
  <c r="X89" i="40"/>
  <c r="L100" i="40"/>
  <c r="O244" i="40"/>
  <c r="O252" i="40" s="1"/>
  <c r="P244" i="40"/>
  <c r="P252" i="40" s="1"/>
  <c r="Q10" i="35"/>
  <c r="X100" i="40" l="1"/>
  <c r="P10" i="35"/>
  <c r="N244" i="40"/>
  <c r="N252" i="40" s="1"/>
  <c r="X231" i="40" l="1"/>
  <c r="X230" i="40"/>
  <c r="S224" i="40"/>
  <c r="X229" i="40"/>
  <c r="U224" i="40"/>
  <c r="Q224" i="40"/>
  <c r="X228" i="40"/>
  <c r="X227" i="40"/>
  <c r="X226" i="40"/>
  <c r="X225" i="40"/>
  <c r="V224" i="40"/>
  <c r="T224" i="40"/>
  <c r="R224" i="40"/>
  <c r="P224" i="40"/>
  <c r="N224" i="40"/>
  <c r="L224" i="40"/>
  <c r="W224" i="40"/>
  <c r="O224" i="40"/>
  <c r="M224" i="40"/>
  <c r="X222" i="40"/>
  <c r="B227" i="40"/>
  <c r="B228" i="40" s="1"/>
  <c r="B229" i="40" s="1"/>
  <c r="B230" i="40" s="1"/>
  <c r="B231" i="40" s="1"/>
  <c r="B232" i="40" s="1"/>
  <c r="A222" i="40"/>
  <c r="A223" i="40" s="1"/>
  <c r="A224" i="40" s="1"/>
  <c r="A225" i="40" s="1"/>
  <c r="A226" i="40" s="1"/>
  <c r="A227" i="40" s="1"/>
  <c r="A228" i="40" s="1"/>
  <c r="A229" i="40" s="1"/>
  <c r="A230" i="40" s="1"/>
  <c r="A231" i="40" s="1"/>
  <c r="A232" i="40" s="1"/>
  <c r="W221" i="40"/>
  <c r="V221" i="40"/>
  <c r="U221" i="40"/>
  <c r="T221" i="40"/>
  <c r="S221" i="40"/>
  <c r="S232" i="40" s="1"/>
  <c r="R221" i="40"/>
  <c r="Q221" i="40"/>
  <c r="P221" i="40"/>
  <c r="O221" i="40"/>
  <c r="N221" i="40"/>
  <c r="M221" i="40"/>
  <c r="L221" i="40"/>
  <c r="M201" i="40"/>
  <c r="L201" i="40"/>
  <c r="X242" i="40"/>
  <c r="W241" i="40"/>
  <c r="AA11" i="39" s="1"/>
  <c r="V241" i="40"/>
  <c r="Y11" i="39" s="1"/>
  <c r="U241" i="40"/>
  <c r="W11" i="39" s="1"/>
  <c r="T241" i="40"/>
  <c r="U11" i="39" s="1"/>
  <c r="S241" i="40"/>
  <c r="S11" i="39" s="1"/>
  <c r="R241" i="40"/>
  <c r="Q11" i="39" s="1"/>
  <c r="Q241" i="40"/>
  <c r="O11" i="39" s="1"/>
  <c r="P241" i="40"/>
  <c r="M11" i="39" s="1"/>
  <c r="O241" i="40"/>
  <c r="K11" i="39" s="1"/>
  <c r="N241" i="40"/>
  <c r="I11" i="39" s="1"/>
  <c r="M241" i="40"/>
  <c r="G11" i="39" s="1"/>
  <c r="L241" i="40"/>
  <c r="E11" i="39" s="1"/>
  <c r="M244" i="40"/>
  <c r="M252" i="40" s="1"/>
  <c r="G12" i="39" s="1"/>
  <c r="L244" i="40"/>
  <c r="L252" i="40" s="1"/>
  <c r="E12" i="39" s="1"/>
  <c r="W232" i="40" l="1"/>
  <c r="U232" i="40"/>
  <c r="O232" i="40"/>
  <c r="P232" i="40"/>
  <c r="X221" i="40"/>
  <c r="R232" i="40"/>
  <c r="V232" i="40"/>
  <c r="M232" i="40"/>
  <c r="N232" i="40"/>
  <c r="Q232" i="40"/>
  <c r="X224" i="40"/>
  <c r="T232" i="40"/>
  <c r="L232" i="40"/>
  <c r="X241" i="40"/>
  <c r="X232" i="40" l="1"/>
  <c r="X251" i="40" l="1"/>
  <c r="W244" i="40"/>
  <c r="W252" i="40" s="1"/>
  <c r="AA12" i="39" s="1"/>
  <c r="K12" i="39"/>
  <c r="X250" i="40"/>
  <c r="X249" i="40"/>
  <c r="X248" i="40"/>
  <c r="X247" i="40"/>
  <c r="X246" i="40"/>
  <c r="V244" i="40"/>
  <c r="V252" i="40" s="1"/>
  <c r="Y12" i="39" s="1"/>
  <c r="U244" i="40"/>
  <c r="U252" i="40" s="1"/>
  <c r="W12" i="39" s="1"/>
  <c r="T244" i="40"/>
  <c r="T252" i="40" s="1"/>
  <c r="U12" i="39" s="1"/>
  <c r="R244" i="40"/>
  <c r="R252" i="40" s="1"/>
  <c r="Q12" i="39" s="1"/>
  <c r="Q244" i="40"/>
  <c r="M12" i="39"/>
  <c r="I12" i="39"/>
  <c r="X245" i="40"/>
  <c r="S244" i="40"/>
  <c r="S252" i="40" s="1"/>
  <c r="S12" i="39" s="1"/>
  <c r="Q252" i="40" l="1"/>
  <c r="O12" i="39" s="1"/>
  <c r="X252" i="40"/>
  <c r="W207" i="40"/>
  <c r="W206" i="40"/>
  <c r="W205" i="40"/>
  <c r="W204" i="40"/>
  <c r="W203" i="40"/>
  <c r="W201" i="40"/>
  <c r="L207" i="40"/>
  <c r="L206" i="40"/>
  <c r="L205" i="40"/>
  <c r="L204" i="40"/>
  <c r="L203" i="40"/>
  <c r="X202" i="40"/>
  <c r="X198" i="40"/>
  <c r="A198" i="40"/>
  <c r="A199" i="40" s="1"/>
  <c r="A200" i="40" s="1"/>
  <c r="A201" i="40" s="1"/>
  <c r="A202" i="40" s="1"/>
  <c r="A203" i="40" s="1"/>
  <c r="A204" i="40" s="1"/>
  <c r="A205" i="40" s="1"/>
  <c r="A206" i="40" s="1"/>
  <c r="A207" i="40" s="1"/>
  <c r="A208" i="40" s="1"/>
  <c r="W197" i="40"/>
  <c r="V197" i="40"/>
  <c r="U197" i="40"/>
  <c r="T197" i="40"/>
  <c r="S197" i="40"/>
  <c r="R197" i="40"/>
  <c r="Q197" i="40"/>
  <c r="P197" i="40"/>
  <c r="O197" i="40"/>
  <c r="N197" i="40"/>
  <c r="M197" i="40"/>
  <c r="L197" i="40"/>
  <c r="W200" i="40" l="1"/>
  <c r="O200" i="40"/>
  <c r="X244" i="40"/>
  <c r="T200" i="40"/>
  <c r="X205" i="40"/>
  <c r="P200" i="40"/>
  <c r="P208" i="40" s="1"/>
  <c r="M200" i="40"/>
  <c r="U200" i="40"/>
  <c r="R200" i="40"/>
  <c r="X201" i="40"/>
  <c r="X204" i="40"/>
  <c r="Q200" i="40"/>
  <c r="Q208" i="40" s="1"/>
  <c r="N200" i="40"/>
  <c r="N208" i="40" s="1"/>
  <c r="V200" i="40"/>
  <c r="S200" i="40"/>
  <c r="X206" i="40"/>
  <c r="X203" i="40"/>
  <c r="X207" i="40"/>
  <c r="L200" i="40"/>
  <c r="X197" i="40"/>
  <c r="X87" i="40"/>
  <c r="X86" i="40"/>
  <c r="X85" i="40"/>
  <c r="X84" i="40"/>
  <c r="X83" i="40"/>
  <c r="X82" i="40"/>
  <c r="X81" i="40"/>
  <c r="W80" i="40"/>
  <c r="V80" i="40"/>
  <c r="U80" i="40"/>
  <c r="T80" i="40"/>
  <c r="S80" i="40"/>
  <c r="R80" i="40"/>
  <c r="Q80" i="40"/>
  <c r="P80" i="40"/>
  <c r="O80" i="40"/>
  <c r="N80" i="40"/>
  <c r="M80" i="40"/>
  <c r="L80" i="40"/>
  <c r="X78" i="40"/>
  <c r="A78" i="40"/>
  <c r="A79" i="40" s="1"/>
  <c r="A80" i="40" s="1"/>
  <c r="A81" i="40" s="1"/>
  <c r="A82" i="40" s="1"/>
  <c r="A83" i="40" s="1"/>
  <c r="A84" i="40" s="1"/>
  <c r="A85" i="40" s="1"/>
  <c r="A86" i="40" s="1"/>
  <c r="A87" i="40" s="1"/>
  <c r="A88" i="40" s="1"/>
  <c r="W77" i="40"/>
  <c r="V77" i="40"/>
  <c r="U77" i="40"/>
  <c r="T77" i="40"/>
  <c r="S77" i="40"/>
  <c r="R77" i="40"/>
  <c r="Q77" i="40"/>
  <c r="P77" i="40"/>
  <c r="O77" i="40"/>
  <c r="N77" i="40"/>
  <c r="M77" i="40"/>
  <c r="L77" i="40"/>
  <c r="X195" i="40"/>
  <c r="X194" i="40"/>
  <c r="X193" i="40"/>
  <c r="X192" i="40"/>
  <c r="X191" i="40"/>
  <c r="X190" i="40"/>
  <c r="X189" i="40"/>
  <c r="W188" i="40"/>
  <c r="V188" i="40"/>
  <c r="U188" i="40"/>
  <c r="T188" i="40"/>
  <c r="S188" i="40"/>
  <c r="R188" i="40"/>
  <c r="Q188" i="40"/>
  <c r="P188" i="40"/>
  <c r="O188" i="40"/>
  <c r="N188" i="40"/>
  <c r="M188" i="40"/>
  <c r="L188" i="40"/>
  <c r="X186" i="40"/>
  <c r="A186" i="40"/>
  <c r="A187" i="40" s="1"/>
  <c r="A188" i="40" s="1"/>
  <c r="A189" i="40" s="1"/>
  <c r="A190" i="40" s="1"/>
  <c r="A191" i="40" s="1"/>
  <c r="A192" i="40" s="1"/>
  <c r="A193" i="40" s="1"/>
  <c r="A194" i="40" s="1"/>
  <c r="A195" i="40" s="1"/>
  <c r="A196" i="40" s="1"/>
  <c r="W185" i="40"/>
  <c r="V185" i="40"/>
  <c r="U185" i="40"/>
  <c r="T185" i="40"/>
  <c r="S185" i="40"/>
  <c r="R185" i="40"/>
  <c r="Q185" i="40"/>
  <c r="P185" i="40"/>
  <c r="O185" i="40"/>
  <c r="N185" i="40"/>
  <c r="M185" i="40"/>
  <c r="L185" i="40"/>
  <c r="X183" i="40"/>
  <c r="X182" i="40"/>
  <c r="X181" i="40"/>
  <c r="X180" i="40"/>
  <c r="X179" i="40"/>
  <c r="X178" i="40"/>
  <c r="X177" i="40"/>
  <c r="W176" i="40"/>
  <c r="V176" i="40"/>
  <c r="U176" i="40"/>
  <c r="T176" i="40"/>
  <c r="S176" i="40"/>
  <c r="R176" i="40"/>
  <c r="Q176" i="40"/>
  <c r="P176" i="40"/>
  <c r="O176" i="40"/>
  <c r="N176" i="40"/>
  <c r="M176" i="40"/>
  <c r="L176" i="40"/>
  <c r="X174" i="40"/>
  <c r="A174" i="40"/>
  <c r="A175" i="40" s="1"/>
  <c r="A176" i="40" s="1"/>
  <c r="A177" i="40" s="1"/>
  <c r="A178" i="40" s="1"/>
  <c r="A179" i="40" s="1"/>
  <c r="A180" i="40" s="1"/>
  <c r="A181" i="40" s="1"/>
  <c r="A182" i="40" s="1"/>
  <c r="A183" i="40" s="1"/>
  <c r="A184" i="40" s="1"/>
  <c r="W173" i="40"/>
  <c r="V173" i="40"/>
  <c r="U173" i="40"/>
  <c r="T173" i="40"/>
  <c r="S173" i="40"/>
  <c r="R173" i="40"/>
  <c r="Q173" i="40"/>
  <c r="P173" i="40"/>
  <c r="O173" i="40"/>
  <c r="N173" i="40"/>
  <c r="M173" i="40"/>
  <c r="L173" i="40"/>
  <c r="W164" i="40"/>
  <c r="V164" i="40"/>
  <c r="U164" i="40"/>
  <c r="T164" i="40"/>
  <c r="S164" i="40"/>
  <c r="R164" i="40"/>
  <c r="Q164" i="40"/>
  <c r="P164" i="40"/>
  <c r="O164" i="40"/>
  <c r="N164" i="40"/>
  <c r="M164" i="40"/>
  <c r="L164" i="40"/>
  <c r="X171" i="40"/>
  <c r="X170" i="40"/>
  <c r="X169" i="40"/>
  <c r="X168" i="40"/>
  <c r="X167" i="40"/>
  <c r="X166" i="40"/>
  <c r="X165" i="40"/>
  <c r="X162" i="40"/>
  <c r="A162" i="40"/>
  <c r="A163" i="40" s="1"/>
  <c r="A164" i="40" s="1"/>
  <c r="A165" i="40" s="1"/>
  <c r="A166" i="40" s="1"/>
  <c r="A167" i="40" s="1"/>
  <c r="A168" i="40" s="1"/>
  <c r="A169" i="40" s="1"/>
  <c r="A170" i="40" s="1"/>
  <c r="A171" i="40" s="1"/>
  <c r="A172" i="40" s="1"/>
  <c r="W161" i="40"/>
  <c r="V161" i="40"/>
  <c r="U161" i="40"/>
  <c r="T161" i="40"/>
  <c r="S161" i="40"/>
  <c r="R161" i="40"/>
  <c r="Q161" i="40"/>
  <c r="P161" i="40"/>
  <c r="O161" i="40"/>
  <c r="N161" i="40"/>
  <c r="M161" i="40"/>
  <c r="L161" i="40"/>
  <c r="X155" i="40"/>
  <c r="X153" i="40"/>
  <c r="N149" i="40"/>
  <c r="O149" i="40"/>
  <c r="P149" i="40"/>
  <c r="Q149" i="40"/>
  <c r="R149" i="40"/>
  <c r="S149" i="40"/>
  <c r="T149" i="40"/>
  <c r="U149" i="40"/>
  <c r="V149" i="40"/>
  <c r="W149" i="40"/>
  <c r="M149" i="40"/>
  <c r="L149" i="40"/>
  <c r="X141" i="40"/>
  <c r="N137" i="40"/>
  <c r="O137" i="40"/>
  <c r="P137" i="40"/>
  <c r="Q137" i="40"/>
  <c r="R137" i="40"/>
  <c r="M137" i="40"/>
  <c r="L137" i="40"/>
  <c r="N125" i="40"/>
  <c r="O125" i="40"/>
  <c r="P125" i="40"/>
  <c r="Q125" i="40"/>
  <c r="R125" i="40"/>
  <c r="M125" i="40"/>
  <c r="L125" i="40"/>
  <c r="N113" i="40"/>
  <c r="O113" i="40"/>
  <c r="P113" i="40"/>
  <c r="Q113" i="40"/>
  <c r="R113" i="40"/>
  <c r="S113" i="40"/>
  <c r="T113" i="40"/>
  <c r="U113" i="40"/>
  <c r="V113" i="40"/>
  <c r="W113" i="40"/>
  <c r="M113" i="40"/>
  <c r="L113" i="40"/>
  <c r="N65" i="40"/>
  <c r="O65" i="40"/>
  <c r="P65" i="40"/>
  <c r="Q65" i="40"/>
  <c r="R65" i="40"/>
  <c r="S65" i="40"/>
  <c r="T65" i="40"/>
  <c r="M65" i="40"/>
  <c r="L65" i="40"/>
  <c r="L53" i="40"/>
  <c r="M53" i="40"/>
  <c r="N53" i="40"/>
  <c r="L56" i="40"/>
  <c r="M56" i="40"/>
  <c r="N56" i="40"/>
  <c r="L41" i="40"/>
  <c r="M41" i="40"/>
  <c r="N41" i="40"/>
  <c r="L44" i="40"/>
  <c r="M44" i="40"/>
  <c r="N44" i="40"/>
  <c r="L29" i="40"/>
  <c r="Q17" i="40"/>
  <c r="T17" i="40"/>
  <c r="S17" i="40"/>
  <c r="R17" i="40"/>
  <c r="P17" i="40"/>
  <c r="O17" i="40"/>
  <c r="N17" i="40"/>
  <c r="M17" i="40"/>
  <c r="L17" i="40"/>
  <c r="N5" i="40"/>
  <c r="M5" i="40"/>
  <c r="L5" i="40"/>
  <c r="C17" i="40"/>
  <c r="C29" i="40" s="1"/>
  <c r="C41" i="40" s="1"/>
  <c r="C53" i="40" s="1"/>
  <c r="C65" i="40" s="1"/>
  <c r="C77" i="40" s="1"/>
  <c r="C89" i="40" s="1"/>
  <c r="X159" i="40"/>
  <c r="X158" i="40"/>
  <c r="X157" i="40"/>
  <c r="X156" i="40"/>
  <c r="W152" i="40"/>
  <c r="V152" i="40"/>
  <c r="U152" i="40"/>
  <c r="T152" i="40"/>
  <c r="S152" i="40"/>
  <c r="R152" i="40"/>
  <c r="Q152" i="40"/>
  <c r="P152" i="40"/>
  <c r="O152" i="40"/>
  <c r="N152" i="40"/>
  <c r="M152" i="40"/>
  <c r="X150" i="40"/>
  <c r="A150" i="40"/>
  <c r="A151" i="40" s="1"/>
  <c r="A152" i="40" s="1"/>
  <c r="A153" i="40" s="1"/>
  <c r="A154" i="40" s="1"/>
  <c r="A155" i="40" s="1"/>
  <c r="A156" i="40" s="1"/>
  <c r="A157" i="40" s="1"/>
  <c r="A158" i="40" s="1"/>
  <c r="A159" i="40" s="1"/>
  <c r="A160" i="40" s="1"/>
  <c r="X147" i="40"/>
  <c r="X146" i="40"/>
  <c r="X145" i="40"/>
  <c r="X144" i="40"/>
  <c r="X143" i="40"/>
  <c r="X142" i="40"/>
  <c r="W140" i="40"/>
  <c r="V140" i="40"/>
  <c r="U140" i="40"/>
  <c r="T140" i="40"/>
  <c r="S140" i="40"/>
  <c r="R140" i="40"/>
  <c r="Q140" i="40"/>
  <c r="P140" i="40"/>
  <c r="O140" i="40"/>
  <c r="N140" i="40"/>
  <c r="M140" i="40"/>
  <c r="X138" i="40"/>
  <c r="A138" i="40"/>
  <c r="A139" i="40" s="1"/>
  <c r="A140" i="40" s="1"/>
  <c r="A141" i="40" s="1"/>
  <c r="A142" i="40" s="1"/>
  <c r="A143" i="40" s="1"/>
  <c r="A144" i="40" s="1"/>
  <c r="A145" i="40" s="1"/>
  <c r="A146" i="40" s="1"/>
  <c r="A147" i="40" s="1"/>
  <c r="A148" i="40" s="1"/>
  <c r="W137" i="40"/>
  <c r="V137" i="40"/>
  <c r="U137" i="40"/>
  <c r="T137" i="40"/>
  <c r="S137" i="40"/>
  <c r="X135" i="40"/>
  <c r="X134" i="40"/>
  <c r="X133" i="40"/>
  <c r="X132" i="40"/>
  <c r="X131" i="40"/>
  <c r="X130" i="40"/>
  <c r="X129" i="40"/>
  <c r="W128" i="40"/>
  <c r="V128" i="40"/>
  <c r="U128" i="40"/>
  <c r="T128" i="40"/>
  <c r="S128" i="40"/>
  <c r="R128" i="40"/>
  <c r="Q128" i="40"/>
  <c r="P128" i="40"/>
  <c r="O128" i="40"/>
  <c r="N128" i="40"/>
  <c r="M128" i="40"/>
  <c r="L128" i="40"/>
  <c r="X126" i="40"/>
  <c r="A126" i="40"/>
  <c r="A127" i="40" s="1"/>
  <c r="A128" i="40" s="1"/>
  <c r="A129" i="40" s="1"/>
  <c r="A130" i="40" s="1"/>
  <c r="A131" i="40" s="1"/>
  <c r="A132" i="40" s="1"/>
  <c r="A133" i="40" s="1"/>
  <c r="A134" i="40" s="1"/>
  <c r="A135" i="40" s="1"/>
  <c r="A136" i="40" s="1"/>
  <c r="W125" i="40"/>
  <c r="V125" i="40"/>
  <c r="U125" i="40"/>
  <c r="T125" i="40"/>
  <c r="S125" i="40"/>
  <c r="B42" i="41"/>
  <c r="B43" i="41" s="1"/>
  <c r="B44" i="41" s="1"/>
  <c r="B45" i="41" s="1"/>
  <c r="B46" i="41" s="1"/>
  <c r="B47" i="41" s="1"/>
  <c r="B48" i="41" s="1"/>
  <c r="B49" i="41" s="1"/>
  <c r="B50" i="41" s="1"/>
  <c r="B51" i="41" s="1"/>
  <c r="B52" i="41" s="1"/>
  <c r="A42" i="41"/>
  <c r="A43" i="41" s="1"/>
  <c r="A44" i="41" s="1"/>
  <c r="A45" i="41" s="1"/>
  <c r="A46" i="41" s="1"/>
  <c r="A47" i="41" s="1"/>
  <c r="A48" i="41" s="1"/>
  <c r="A49" i="41" s="1"/>
  <c r="A50" i="41" s="1"/>
  <c r="A51" i="41" s="1"/>
  <c r="A52" i="41" s="1"/>
  <c r="B30" i="41"/>
  <c r="B31" i="41" s="1"/>
  <c r="B32" i="41" s="1"/>
  <c r="B33" i="41" s="1"/>
  <c r="B34" i="41" s="1"/>
  <c r="B35" i="41" s="1"/>
  <c r="B36" i="41" s="1"/>
  <c r="B37" i="41" s="1"/>
  <c r="B38" i="41" s="1"/>
  <c r="B39" i="41" s="1"/>
  <c r="B40" i="41" s="1"/>
  <c r="A30" i="41"/>
  <c r="A31" i="41" s="1"/>
  <c r="A32" i="41" s="1"/>
  <c r="A33" i="41" s="1"/>
  <c r="A34" i="41" s="1"/>
  <c r="A35" i="41" s="1"/>
  <c r="A36" i="41" s="1"/>
  <c r="A37" i="41" s="1"/>
  <c r="A38" i="41" s="1"/>
  <c r="A39" i="41" s="1"/>
  <c r="A40" i="41" s="1"/>
  <c r="B18" i="41"/>
  <c r="B19" i="41" s="1"/>
  <c r="B20" i="41" s="1"/>
  <c r="B21" i="41" s="1"/>
  <c r="B22" i="41" s="1"/>
  <c r="B23" i="41" s="1"/>
  <c r="B24" i="41" s="1"/>
  <c r="B25" i="41" s="1"/>
  <c r="B26" i="41" s="1"/>
  <c r="B27" i="41" s="1"/>
  <c r="B28" i="41" s="1"/>
  <c r="A18" i="41"/>
  <c r="A19" i="41" s="1"/>
  <c r="A20" i="41" s="1"/>
  <c r="A21" i="41" s="1"/>
  <c r="A22" i="41" s="1"/>
  <c r="A23" i="41" s="1"/>
  <c r="A24" i="41" s="1"/>
  <c r="A25" i="41" s="1"/>
  <c r="A26" i="41" s="1"/>
  <c r="A27" i="41" s="1"/>
  <c r="A28" i="41" s="1"/>
  <c r="B6" i="41"/>
  <c r="B7" i="41" s="1"/>
  <c r="B8" i="41" s="1"/>
  <c r="B9" i="41" s="1"/>
  <c r="B10" i="41" s="1"/>
  <c r="B11" i="41" s="1"/>
  <c r="B12" i="41" s="1"/>
  <c r="B13" i="41" s="1"/>
  <c r="B14" i="41" s="1"/>
  <c r="B15" i="41" s="1"/>
  <c r="B16" i="41" s="1"/>
  <c r="A6" i="41"/>
  <c r="A7" i="41" s="1"/>
  <c r="A8" i="41" s="1"/>
  <c r="A9" i="41" s="1"/>
  <c r="A10" i="41" s="1"/>
  <c r="A11" i="41" s="1"/>
  <c r="A12" i="41" s="1"/>
  <c r="A13" i="41" s="1"/>
  <c r="A14" i="41" s="1"/>
  <c r="A15" i="41" s="1"/>
  <c r="A16" i="41" s="1"/>
  <c r="B31" i="35"/>
  <c r="B32" i="35" s="1"/>
  <c r="B33" i="35" s="1"/>
  <c r="B34" i="35" s="1"/>
  <c r="B35" i="35" s="1"/>
  <c r="B36" i="35" s="1"/>
  <c r="B37" i="35" s="1"/>
  <c r="B38" i="35" s="1"/>
  <c r="B39" i="35" s="1"/>
  <c r="B40" i="35" s="1"/>
  <c r="B41" i="35" s="1"/>
  <c r="A31" i="35"/>
  <c r="A32" i="35" s="1"/>
  <c r="A33" i="35" s="1"/>
  <c r="A34" i="35" s="1"/>
  <c r="A35" i="35" s="1"/>
  <c r="A36" i="35" s="1"/>
  <c r="A37" i="35" s="1"/>
  <c r="A38" i="35" s="1"/>
  <c r="A39" i="35" s="1"/>
  <c r="A40" i="35" s="1"/>
  <c r="A41" i="35" s="1"/>
  <c r="B19" i="35"/>
  <c r="B20" i="35" s="1"/>
  <c r="B21" i="35" s="1"/>
  <c r="B22" i="35" s="1"/>
  <c r="B23" i="35" s="1"/>
  <c r="B24" i="35" s="1"/>
  <c r="B25" i="35" s="1"/>
  <c r="B26" i="35" s="1"/>
  <c r="B27" i="35" s="1"/>
  <c r="B28" i="35" s="1"/>
  <c r="B29" i="35" s="1"/>
  <c r="A19" i="35"/>
  <c r="A20" i="35" s="1"/>
  <c r="A21" i="35" s="1"/>
  <c r="A22" i="35" s="1"/>
  <c r="A23" i="35" s="1"/>
  <c r="A24" i="35" s="1"/>
  <c r="A25" i="35" s="1"/>
  <c r="A26" i="35" s="1"/>
  <c r="A27" i="35" s="1"/>
  <c r="A28" i="35" s="1"/>
  <c r="A29" i="35" s="1"/>
  <c r="B6" i="35"/>
  <c r="B7" i="35" s="1"/>
  <c r="B9" i="35" s="1"/>
  <c r="B10" i="35" s="1"/>
  <c r="B11" i="35" s="1"/>
  <c r="B12" i="35" s="1"/>
  <c r="B13" i="35" s="1"/>
  <c r="B14" i="35" s="1"/>
  <c r="B15" i="35" s="1"/>
  <c r="B16" i="35" s="1"/>
  <c r="B17" i="35" s="1"/>
  <c r="A6" i="35"/>
  <c r="A7" i="35" s="1"/>
  <c r="A9" i="35" s="1"/>
  <c r="A10" i="35" s="1"/>
  <c r="A11" i="35" s="1"/>
  <c r="A12" i="35" s="1"/>
  <c r="A13" i="35" s="1"/>
  <c r="A14" i="35" s="1"/>
  <c r="A15" i="35" s="1"/>
  <c r="A16" i="35" s="1"/>
  <c r="A17" i="35" s="1"/>
  <c r="A114" i="40"/>
  <c r="A115" i="40" s="1"/>
  <c r="A116" i="40" s="1"/>
  <c r="A117" i="40" s="1"/>
  <c r="A118" i="40" s="1"/>
  <c r="A119" i="40" s="1"/>
  <c r="A120" i="40" s="1"/>
  <c r="A121" i="40" s="1"/>
  <c r="A122" i="40" s="1"/>
  <c r="A123" i="40" s="1"/>
  <c r="A124" i="40" s="1"/>
  <c r="A66" i="40"/>
  <c r="A67" i="40" s="1"/>
  <c r="A68" i="40" s="1"/>
  <c r="A69" i="40" s="1"/>
  <c r="A70" i="40" s="1"/>
  <c r="A71" i="40" s="1"/>
  <c r="A72" i="40" s="1"/>
  <c r="A73" i="40" s="1"/>
  <c r="A74" i="40" s="1"/>
  <c r="A75" i="40" s="1"/>
  <c r="A76" i="40" s="1"/>
  <c r="A54" i="40"/>
  <c r="A55" i="40" s="1"/>
  <c r="A56" i="40" s="1"/>
  <c r="A57" i="40" s="1"/>
  <c r="A58" i="40" s="1"/>
  <c r="A59" i="40" s="1"/>
  <c r="A60" i="40" s="1"/>
  <c r="A61" i="40" s="1"/>
  <c r="A62" i="40" s="1"/>
  <c r="A63" i="40" s="1"/>
  <c r="A64" i="40" s="1"/>
  <c r="A42" i="40"/>
  <c r="A43" i="40" s="1"/>
  <c r="A44" i="40" s="1"/>
  <c r="A45" i="40" s="1"/>
  <c r="A46" i="40" s="1"/>
  <c r="A47" i="40" s="1"/>
  <c r="A48" i="40" s="1"/>
  <c r="A49" i="40" s="1"/>
  <c r="A50" i="40" s="1"/>
  <c r="A51" i="40" s="1"/>
  <c r="A52" i="40" s="1"/>
  <c r="A30" i="40"/>
  <c r="A31" i="40" s="1"/>
  <c r="A32" i="40" s="1"/>
  <c r="A33" i="40" s="1"/>
  <c r="A34" i="40" s="1"/>
  <c r="A35" i="40" s="1"/>
  <c r="A36" i="40" s="1"/>
  <c r="A37" i="40" s="1"/>
  <c r="A38" i="40" s="1"/>
  <c r="A39" i="40" s="1"/>
  <c r="A40" i="40" s="1"/>
  <c r="A18" i="40"/>
  <c r="A19" i="40" s="1"/>
  <c r="A20" i="40" s="1"/>
  <c r="A21" i="40" s="1"/>
  <c r="A22" i="40" s="1"/>
  <c r="A23" i="40" s="1"/>
  <c r="A24" i="40" s="1"/>
  <c r="A25" i="40" s="1"/>
  <c r="A26" i="40" s="1"/>
  <c r="A27" i="40" s="1"/>
  <c r="A28" i="40" s="1"/>
  <c r="L2" i="40" l="1"/>
  <c r="C113" i="40"/>
  <c r="C125" i="40" s="1"/>
  <c r="C137" i="40" s="1"/>
  <c r="C149" i="40" s="1"/>
  <c r="C161" i="40" s="1"/>
  <c r="C173" i="40" s="1"/>
  <c r="C185" i="40" s="1"/>
  <c r="C101" i="40"/>
  <c r="T208" i="40"/>
  <c r="U208" i="40"/>
  <c r="S208" i="40"/>
  <c r="M208" i="40"/>
  <c r="V208" i="40"/>
  <c r="L208" i="40"/>
  <c r="O208" i="40"/>
  <c r="R208" i="40"/>
  <c r="W208" i="40"/>
  <c r="M88" i="40"/>
  <c r="S88" i="40"/>
  <c r="T88" i="40"/>
  <c r="N88" i="40"/>
  <c r="V88" i="40"/>
  <c r="W88" i="40"/>
  <c r="Q88" i="40"/>
  <c r="X200" i="40"/>
  <c r="X208" i="40" s="1"/>
  <c r="U88" i="40"/>
  <c r="T184" i="40"/>
  <c r="P160" i="40"/>
  <c r="R88" i="40"/>
  <c r="X80" i="40"/>
  <c r="O88" i="40"/>
  <c r="P88" i="40"/>
  <c r="L88" i="40"/>
  <c r="S196" i="40"/>
  <c r="N184" i="40"/>
  <c r="Q172" i="40"/>
  <c r="O184" i="40"/>
  <c r="M196" i="40"/>
  <c r="U196" i="40"/>
  <c r="U184" i="40"/>
  <c r="X77" i="40"/>
  <c r="N148" i="40"/>
  <c r="L172" i="40"/>
  <c r="T172" i="40"/>
  <c r="P196" i="40"/>
  <c r="N196" i="40"/>
  <c r="V196" i="40"/>
  <c r="O196" i="40"/>
  <c r="W196" i="40"/>
  <c r="Q196" i="40"/>
  <c r="R196" i="40"/>
  <c r="X188" i="40"/>
  <c r="T196" i="40"/>
  <c r="X185" i="40"/>
  <c r="M172" i="40"/>
  <c r="U172" i="40"/>
  <c r="L196" i="40"/>
  <c r="X173" i="40"/>
  <c r="S184" i="40"/>
  <c r="V184" i="40"/>
  <c r="W184" i="40"/>
  <c r="R184" i="40"/>
  <c r="P184" i="40"/>
  <c r="X176" i="40"/>
  <c r="Q184" i="40"/>
  <c r="M184" i="40"/>
  <c r="N160" i="40"/>
  <c r="U160" i="40"/>
  <c r="L184" i="40"/>
  <c r="X164" i="40"/>
  <c r="O172" i="40"/>
  <c r="W172" i="40"/>
  <c r="P172" i="40"/>
  <c r="N172" i="40"/>
  <c r="S172" i="40"/>
  <c r="R172" i="40"/>
  <c r="V172" i="40"/>
  <c r="X161" i="40"/>
  <c r="L152" i="40"/>
  <c r="X152" i="40" s="1"/>
  <c r="X154" i="40"/>
  <c r="L140" i="40"/>
  <c r="L148" i="40" s="1"/>
  <c r="R136" i="40"/>
  <c r="V160" i="40"/>
  <c r="O160" i="40"/>
  <c r="Q160" i="40"/>
  <c r="N136" i="40"/>
  <c r="P148" i="40"/>
  <c r="R160" i="40"/>
  <c r="Q148" i="40"/>
  <c r="S160" i="40"/>
  <c r="P136" i="40"/>
  <c r="R148" i="40"/>
  <c r="S136" i="40"/>
  <c r="V148" i="40"/>
  <c r="W160" i="40"/>
  <c r="M160" i="40"/>
  <c r="T160" i="40"/>
  <c r="X149" i="40"/>
  <c r="Q136" i="40"/>
  <c r="O148" i="40"/>
  <c r="W148" i="40"/>
  <c r="M148" i="40"/>
  <c r="U148" i="40"/>
  <c r="T148" i="40"/>
  <c r="S148" i="40"/>
  <c r="X137" i="40"/>
  <c r="W136" i="40"/>
  <c r="V136" i="40"/>
  <c r="L136" i="40"/>
  <c r="T136" i="40"/>
  <c r="M136" i="40"/>
  <c r="U136" i="40"/>
  <c r="X128" i="40"/>
  <c r="O136" i="40"/>
  <c r="X125" i="40"/>
  <c r="U53" i="40"/>
  <c r="V53" i="40"/>
  <c r="W54" i="40"/>
  <c r="W53" i="40" s="1"/>
  <c r="U41" i="40"/>
  <c r="V41" i="40"/>
  <c r="W41" i="40"/>
  <c r="W29" i="40"/>
  <c r="V29" i="40"/>
  <c r="U29" i="40"/>
  <c r="W18" i="40"/>
  <c r="W17" i="40" s="1"/>
  <c r="V17" i="40"/>
  <c r="U17" i="40"/>
  <c r="X123" i="40"/>
  <c r="X122" i="40"/>
  <c r="X121" i="40"/>
  <c r="X120" i="40"/>
  <c r="X119" i="40"/>
  <c r="X118" i="40"/>
  <c r="X117" i="40"/>
  <c r="W116" i="40"/>
  <c r="V116" i="40"/>
  <c r="U116" i="40"/>
  <c r="T116" i="40"/>
  <c r="S116" i="40"/>
  <c r="R116" i="40"/>
  <c r="Q116" i="40"/>
  <c r="P116" i="40"/>
  <c r="O116" i="40"/>
  <c r="N116" i="40"/>
  <c r="M116" i="40"/>
  <c r="L116" i="40"/>
  <c r="Q53" i="40"/>
  <c r="P53" i="40"/>
  <c r="O53" i="40"/>
  <c r="AA27" i="39"/>
  <c r="Y27" i="39"/>
  <c r="W27" i="39"/>
  <c r="U27" i="39"/>
  <c r="S27" i="39"/>
  <c r="Q27" i="39"/>
  <c r="O27" i="39"/>
  <c r="M27" i="39"/>
  <c r="AA26" i="39"/>
  <c r="Y26" i="39"/>
  <c r="Y28" i="39" s="1"/>
  <c r="W26" i="39"/>
  <c r="U26" i="39"/>
  <c r="S26" i="39"/>
  <c r="Q26" i="39"/>
  <c r="O26" i="39"/>
  <c r="M26" i="39"/>
  <c r="S28" i="39"/>
  <c r="T54" i="41"/>
  <c r="T3" i="41" s="1"/>
  <c r="P54" i="41"/>
  <c r="P3" i="41" s="1"/>
  <c r="C53" i="41"/>
  <c r="X51" i="41"/>
  <c r="X50" i="41"/>
  <c r="X49" i="41"/>
  <c r="X48" i="41"/>
  <c r="X47" i="41"/>
  <c r="X46" i="41"/>
  <c r="X45" i="41"/>
  <c r="W44" i="41"/>
  <c r="W52" i="41" s="1"/>
  <c r="V44" i="41"/>
  <c r="U44" i="41"/>
  <c r="T44" i="41"/>
  <c r="T52" i="41" s="1"/>
  <c r="S44" i="41"/>
  <c r="S52" i="41" s="1"/>
  <c r="R44" i="41"/>
  <c r="Q44" i="41"/>
  <c r="P44" i="41"/>
  <c r="P52" i="41" s="1"/>
  <c r="O44" i="41"/>
  <c r="N44" i="41"/>
  <c r="M44" i="41"/>
  <c r="L44" i="41"/>
  <c r="X42" i="41"/>
  <c r="W41" i="41"/>
  <c r="V41" i="41"/>
  <c r="V52" i="41" s="1"/>
  <c r="U41" i="41"/>
  <c r="U52" i="41" s="1"/>
  <c r="T41" i="41"/>
  <c r="S41" i="41"/>
  <c r="R41" i="41"/>
  <c r="R52" i="41" s="1"/>
  <c r="Q41" i="41"/>
  <c r="Q52" i="41" s="1"/>
  <c r="P41" i="41"/>
  <c r="O41" i="41"/>
  <c r="N41" i="41"/>
  <c r="N52" i="41" s="1"/>
  <c r="M41" i="41"/>
  <c r="L41" i="41"/>
  <c r="W40" i="41"/>
  <c r="S40" i="41"/>
  <c r="X39" i="41"/>
  <c r="X38" i="41"/>
  <c r="X37" i="41"/>
  <c r="X36" i="41"/>
  <c r="X35" i="41"/>
  <c r="X34" i="41"/>
  <c r="X33" i="41"/>
  <c r="W32" i="41"/>
  <c r="V32" i="41"/>
  <c r="U32" i="41"/>
  <c r="T32" i="41"/>
  <c r="T40" i="41" s="1"/>
  <c r="S32" i="41"/>
  <c r="R32" i="41"/>
  <c r="Q32" i="41"/>
  <c r="P32" i="41"/>
  <c r="P40" i="41" s="1"/>
  <c r="O32" i="41"/>
  <c r="N32" i="41"/>
  <c r="M32" i="41"/>
  <c r="L32" i="41"/>
  <c r="L40" i="41" s="1"/>
  <c r="X30" i="41"/>
  <c r="W29" i="41"/>
  <c r="V29" i="41"/>
  <c r="V40" i="41" s="1"/>
  <c r="U29" i="41"/>
  <c r="T29" i="41"/>
  <c r="S29" i="41"/>
  <c r="R29" i="41"/>
  <c r="R40" i="41" s="1"/>
  <c r="Q29" i="41"/>
  <c r="P29" i="41"/>
  <c r="O29" i="41"/>
  <c r="N29" i="41"/>
  <c r="N40" i="41" s="1"/>
  <c r="M29" i="41"/>
  <c r="L29" i="41"/>
  <c r="X27" i="41"/>
  <c r="X26" i="41"/>
  <c r="X25" i="41"/>
  <c r="X24" i="41"/>
  <c r="X23" i="41"/>
  <c r="X22" i="41"/>
  <c r="X21" i="41"/>
  <c r="W20" i="41"/>
  <c r="V20" i="41"/>
  <c r="U20" i="41"/>
  <c r="T20" i="41"/>
  <c r="S20" i="41"/>
  <c r="S28" i="41" s="1"/>
  <c r="R20" i="41"/>
  <c r="Q20" i="41"/>
  <c r="P20" i="41"/>
  <c r="O20" i="41"/>
  <c r="O28" i="41" s="1"/>
  <c r="N20" i="41"/>
  <c r="M20" i="41"/>
  <c r="L20" i="41"/>
  <c r="X18" i="41"/>
  <c r="W17" i="41"/>
  <c r="W28" i="41" s="1"/>
  <c r="V17" i="41"/>
  <c r="V28" i="41" s="1"/>
  <c r="U17" i="41"/>
  <c r="U28" i="41" s="1"/>
  <c r="T17" i="41"/>
  <c r="T28" i="41" s="1"/>
  <c r="S17" i="41"/>
  <c r="R17" i="41"/>
  <c r="R28" i="41" s="1"/>
  <c r="Q17" i="41"/>
  <c r="Q28" i="41" s="1"/>
  <c r="P17" i="41"/>
  <c r="P28" i="41" s="1"/>
  <c r="O17" i="41"/>
  <c r="N17" i="41"/>
  <c r="N28" i="41" s="1"/>
  <c r="M17" i="41"/>
  <c r="M28" i="41" s="1"/>
  <c r="L17" i="41"/>
  <c r="C17" i="41"/>
  <c r="C29" i="41" s="1"/>
  <c r="C41" i="41" s="1"/>
  <c r="Q16" i="41"/>
  <c r="X15" i="41"/>
  <c r="X14" i="41"/>
  <c r="X13" i="41"/>
  <c r="X12" i="41"/>
  <c r="X11" i="41"/>
  <c r="X10" i="41"/>
  <c r="X9" i="41"/>
  <c r="W8" i="41"/>
  <c r="V8" i="41"/>
  <c r="V54" i="41" s="1"/>
  <c r="V3" i="41" s="1"/>
  <c r="U8" i="41"/>
  <c r="U54" i="41" s="1"/>
  <c r="U3" i="41" s="1"/>
  <c r="T8" i="41"/>
  <c r="S8" i="41"/>
  <c r="R8" i="41"/>
  <c r="R16" i="41" s="1"/>
  <c r="Q8" i="41"/>
  <c r="Q54" i="41" s="1"/>
  <c r="P8" i="41"/>
  <c r="O8" i="41"/>
  <c r="N8" i="41"/>
  <c r="N54" i="41" s="1"/>
  <c r="N3" i="41" s="1"/>
  <c r="I27" i="39" s="1"/>
  <c r="M8" i="41"/>
  <c r="M54" i="41" s="1"/>
  <c r="L8" i="41"/>
  <c r="X6" i="41"/>
  <c r="W5" i="41"/>
  <c r="V5" i="41"/>
  <c r="U5" i="41"/>
  <c r="T5" i="41"/>
  <c r="T53" i="41" s="1"/>
  <c r="S5" i="41"/>
  <c r="R5" i="41"/>
  <c r="Q5" i="41"/>
  <c r="P5" i="41"/>
  <c r="P53" i="41" s="1"/>
  <c r="O5" i="41"/>
  <c r="N5" i="41"/>
  <c r="M5" i="41"/>
  <c r="L5" i="41"/>
  <c r="Q3" i="41"/>
  <c r="M3" i="41"/>
  <c r="G27" i="39" s="1"/>
  <c r="X75" i="40"/>
  <c r="X74" i="40"/>
  <c r="X73" i="40"/>
  <c r="X72" i="40"/>
  <c r="X71" i="40"/>
  <c r="X70" i="40"/>
  <c r="X69" i="40"/>
  <c r="W68" i="40"/>
  <c r="V68" i="40"/>
  <c r="U68" i="40"/>
  <c r="T68" i="40"/>
  <c r="S68" i="40"/>
  <c r="R68" i="40"/>
  <c r="Q68" i="40"/>
  <c r="P68" i="40"/>
  <c r="O68" i="40"/>
  <c r="N68" i="40"/>
  <c r="M68" i="40"/>
  <c r="L68" i="40"/>
  <c r="X66" i="40"/>
  <c r="W65" i="40"/>
  <c r="V65" i="40"/>
  <c r="X63" i="40"/>
  <c r="X62" i="40"/>
  <c r="X61" i="40"/>
  <c r="X60" i="40"/>
  <c r="X59" i="40"/>
  <c r="X58" i="40"/>
  <c r="X57" i="40"/>
  <c r="W56" i="40"/>
  <c r="V56" i="40"/>
  <c r="U56" i="40"/>
  <c r="T56" i="40"/>
  <c r="S56" i="40"/>
  <c r="R56" i="40"/>
  <c r="Q56" i="40"/>
  <c r="P56" i="40"/>
  <c r="O56" i="40"/>
  <c r="T53" i="40"/>
  <c r="S53" i="40"/>
  <c r="R53" i="40"/>
  <c r="X51" i="40"/>
  <c r="X50" i="40"/>
  <c r="X49" i="40"/>
  <c r="X48" i="40"/>
  <c r="X47" i="40"/>
  <c r="X46" i="40"/>
  <c r="X45" i="40"/>
  <c r="W44" i="40"/>
  <c r="V44" i="40"/>
  <c r="U44" i="40"/>
  <c r="T44" i="40"/>
  <c r="T234" i="40" s="1"/>
  <c r="S44" i="40"/>
  <c r="R44" i="40"/>
  <c r="Q44" i="40"/>
  <c r="P44" i="40"/>
  <c r="O44" i="40"/>
  <c r="T41" i="40"/>
  <c r="S41" i="40"/>
  <c r="R41" i="40"/>
  <c r="Q41" i="40"/>
  <c r="P41" i="40"/>
  <c r="X39" i="40"/>
  <c r="X38" i="40"/>
  <c r="X37" i="40"/>
  <c r="X36" i="40"/>
  <c r="X35" i="40"/>
  <c r="X34" i="40"/>
  <c r="X33" i="40"/>
  <c r="W32" i="40"/>
  <c r="V32" i="40"/>
  <c r="U32" i="40"/>
  <c r="T32" i="40"/>
  <c r="S32" i="40"/>
  <c r="R32" i="40"/>
  <c r="Q32" i="40"/>
  <c r="P32" i="40"/>
  <c r="O32" i="40"/>
  <c r="N32" i="40"/>
  <c r="M32" i="40"/>
  <c r="L32" i="40"/>
  <c r="T29" i="40"/>
  <c r="S29" i="40"/>
  <c r="R29" i="40"/>
  <c r="Q29" i="40"/>
  <c r="P29" i="40"/>
  <c r="O29" i="40"/>
  <c r="N29" i="40"/>
  <c r="M29" i="40"/>
  <c r="X27" i="40"/>
  <c r="X26" i="40"/>
  <c r="X25" i="40"/>
  <c r="X24" i="40"/>
  <c r="X23" i="40"/>
  <c r="X22" i="40"/>
  <c r="X21" i="40"/>
  <c r="W20" i="40"/>
  <c r="V20" i="40"/>
  <c r="V234" i="40" s="1"/>
  <c r="U20" i="40"/>
  <c r="U234" i="40" s="1"/>
  <c r="T20" i="40"/>
  <c r="S20" i="40"/>
  <c r="R20" i="40"/>
  <c r="Q20" i="40"/>
  <c r="P20" i="40"/>
  <c r="O20" i="40"/>
  <c r="N20" i="40"/>
  <c r="M20" i="40"/>
  <c r="L20" i="40"/>
  <c r="X15" i="40"/>
  <c r="X14" i="40"/>
  <c r="X13" i="40"/>
  <c r="X12" i="40"/>
  <c r="X11" i="40"/>
  <c r="W8" i="40"/>
  <c r="V8" i="40"/>
  <c r="U8" i="40"/>
  <c r="T8" i="40"/>
  <c r="S8" i="40"/>
  <c r="R8" i="40"/>
  <c r="Q8" i="40"/>
  <c r="P8" i="40"/>
  <c r="O8" i="40"/>
  <c r="N8" i="40"/>
  <c r="X9" i="40"/>
  <c r="M8" i="40"/>
  <c r="L8" i="40"/>
  <c r="X6" i="40"/>
  <c r="A6" i="40"/>
  <c r="A7" i="40" s="1"/>
  <c r="A8" i="40" s="1"/>
  <c r="A9" i="40" s="1"/>
  <c r="A10" i="40" s="1"/>
  <c r="A11" i="40" s="1"/>
  <c r="A12" i="40" s="1"/>
  <c r="A13" i="40" s="1"/>
  <c r="A14" i="40" s="1"/>
  <c r="A15" i="40" s="1"/>
  <c r="A16" i="40" s="1"/>
  <c r="W5" i="40"/>
  <c r="V5" i="40"/>
  <c r="U5" i="40"/>
  <c r="T5" i="40"/>
  <c r="S5" i="40"/>
  <c r="R5" i="40"/>
  <c r="Q5" i="40"/>
  <c r="P5" i="40"/>
  <c r="O5" i="40"/>
  <c r="V233" i="40" l="1"/>
  <c r="T3" i="40"/>
  <c r="V2" i="40"/>
  <c r="N3" i="40"/>
  <c r="I15" i="39" s="1"/>
  <c r="V3" i="40"/>
  <c r="S2" i="40"/>
  <c r="W2" i="40"/>
  <c r="P2" i="40"/>
  <c r="P3" i="40"/>
  <c r="O3" i="40"/>
  <c r="K15" i="39" s="1"/>
  <c r="K9" i="39" s="1"/>
  <c r="W3" i="40"/>
  <c r="Q2" i="40"/>
  <c r="Q3" i="40"/>
  <c r="C197" i="40"/>
  <c r="C221" i="40" s="1"/>
  <c r="C209" i="40"/>
  <c r="T2" i="40"/>
  <c r="U3" i="40"/>
  <c r="S3" i="40"/>
  <c r="L235" i="40"/>
  <c r="O40" i="41"/>
  <c r="O52" i="41"/>
  <c r="R2" i="40"/>
  <c r="R3" i="40"/>
  <c r="X8" i="41"/>
  <c r="X140" i="40"/>
  <c r="X148" i="40" s="1"/>
  <c r="M3" i="40"/>
  <c r="N2" i="40"/>
  <c r="M2" i="40"/>
  <c r="M52" i="41"/>
  <c r="L54" i="41"/>
  <c r="L3" i="41" s="1"/>
  <c r="E27" i="39" s="1"/>
  <c r="L53" i="41"/>
  <c r="L52" i="41"/>
  <c r="L28" i="41"/>
  <c r="X88" i="40"/>
  <c r="X172" i="40"/>
  <c r="X184" i="40"/>
  <c r="X196" i="40"/>
  <c r="L160" i="40"/>
  <c r="X160" i="40"/>
  <c r="R28" i="40"/>
  <c r="R40" i="40"/>
  <c r="M64" i="40"/>
  <c r="Q40" i="40"/>
  <c r="L52" i="40"/>
  <c r="T52" i="40"/>
  <c r="V76" i="40"/>
  <c r="X136" i="40"/>
  <c r="P124" i="40"/>
  <c r="S28" i="40"/>
  <c r="S40" i="40"/>
  <c r="S64" i="40"/>
  <c r="Q124" i="40"/>
  <c r="N28" i="40"/>
  <c r="S52" i="40"/>
  <c r="P40" i="40"/>
  <c r="T28" i="40"/>
  <c r="T40" i="40"/>
  <c r="N64" i="40"/>
  <c r="P64" i="40"/>
  <c r="R124" i="40"/>
  <c r="N76" i="40"/>
  <c r="W76" i="40"/>
  <c r="S124" i="40"/>
  <c r="U64" i="40"/>
  <c r="O76" i="40"/>
  <c r="Q52" i="40"/>
  <c r="V64" i="40"/>
  <c r="Q28" i="40"/>
  <c r="O40" i="40"/>
  <c r="P52" i="40"/>
  <c r="R64" i="40"/>
  <c r="Q16" i="40"/>
  <c r="M52" i="40"/>
  <c r="P76" i="40"/>
  <c r="T124" i="40"/>
  <c r="U40" i="40"/>
  <c r="N52" i="40"/>
  <c r="Q76" i="40"/>
  <c r="M124" i="40"/>
  <c r="U124" i="40"/>
  <c r="W40" i="40"/>
  <c r="R76" i="40"/>
  <c r="W64" i="40"/>
  <c r="S76" i="40"/>
  <c r="O124" i="40"/>
  <c r="V124" i="40"/>
  <c r="M40" i="40"/>
  <c r="L40" i="40"/>
  <c r="M28" i="40"/>
  <c r="G14" i="39"/>
  <c r="U52" i="40"/>
  <c r="V52" i="40"/>
  <c r="U28" i="40"/>
  <c r="W124" i="40"/>
  <c r="N124" i="40"/>
  <c r="X116" i="40"/>
  <c r="X113" i="40"/>
  <c r="X30" i="40"/>
  <c r="L64" i="40"/>
  <c r="R52" i="40"/>
  <c r="X114" i="40"/>
  <c r="N40" i="40"/>
  <c r="V40" i="40"/>
  <c r="X44" i="40"/>
  <c r="L124" i="40"/>
  <c r="P28" i="40"/>
  <c r="X20" i="40"/>
  <c r="V28" i="40"/>
  <c r="T64" i="40"/>
  <c r="M76" i="40"/>
  <c r="X32" i="40"/>
  <c r="X10" i="40"/>
  <c r="W52" i="40"/>
  <c r="L76" i="40"/>
  <c r="T76" i="40"/>
  <c r="X56" i="40"/>
  <c r="Q64" i="40"/>
  <c r="X53" i="40"/>
  <c r="O64" i="40"/>
  <c r="X54" i="40"/>
  <c r="O28" i="39"/>
  <c r="Q28" i="39"/>
  <c r="W28" i="39"/>
  <c r="U28" i="39"/>
  <c r="M28" i="39"/>
  <c r="AA28" i="39"/>
  <c r="M40" i="41"/>
  <c r="M53" i="41"/>
  <c r="U40" i="41"/>
  <c r="U53" i="41"/>
  <c r="U16" i="41"/>
  <c r="X20" i="41"/>
  <c r="O53" i="41"/>
  <c r="O16" i="41"/>
  <c r="S53" i="41"/>
  <c r="S16" i="41"/>
  <c r="W53" i="41"/>
  <c r="W16" i="41"/>
  <c r="X41" i="41"/>
  <c r="Q40" i="41"/>
  <c r="Q53" i="41"/>
  <c r="L55" i="41"/>
  <c r="L2" i="41"/>
  <c r="E26" i="39" s="1"/>
  <c r="E28" i="39" s="1"/>
  <c r="P2" i="41"/>
  <c r="P4" i="41" s="1"/>
  <c r="P55" i="41"/>
  <c r="T55" i="41"/>
  <c r="T2" i="41"/>
  <c r="T4" i="41" s="1"/>
  <c r="O54" i="41"/>
  <c r="O3" i="41" s="1"/>
  <c r="K27" i="39" s="1"/>
  <c r="AC27" i="39" s="1"/>
  <c r="S54" i="41"/>
  <c r="S3" i="41" s="1"/>
  <c r="W54" i="41"/>
  <c r="W3" i="41" s="1"/>
  <c r="M16" i="41"/>
  <c r="X29" i="41"/>
  <c r="X5" i="41"/>
  <c r="N16" i="41"/>
  <c r="V16" i="41"/>
  <c r="X17" i="41"/>
  <c r="X28" i="41" s="1"/>
  <c r="X32" i="41"/>
  <c r="X44" i="41"/>
  <c r="R53" i="41"/>
  <c r="V53" i="41"/>
  <c r="R54" i="41"/>
  <c r="R3" i="41" s="1"/>
  <c r="N53" i="41"/>
  <c r="L16" i="41"/>
  <c r="P16" i="41"/>
  <c r="T16" i="41"/>
  <c r="O28" i="40"/>
  <c r="W28" i="40"/>
  <c r="L16" i="40"/>
  <c r="P16" i="40"/>
  <c r="T16" i="40"/>
  <c r="X5" i="40"/>
  <c r="X8" i="40"/>
  <c r="X18" i="40"/>
  <c r="O41" i="40"/>
  <c r="X42" i="40"/>
  <c r="R16" i="40"/>
  <c r="V16" i="40"/>
  <c r="N16" i="40"/>
  <c r="U16" i="40"/>
  <c r="X29" i="40"/>
  <c r="M16" i="40"/>
  <c r="L28" i="40"/>
  <c r="X17" i="40"/>
  <c r="O16" i="40"/>
  <c r="S16" i="40"/>
  <c r="W16" i="40"/>
  <c r="U65" i="40"/>
  <c r="U233" i="40" s="1"/>
  <c r="X68" i="40"/>
  <c r="O236" i="40" l="1"/>
  <c r="L3" i="40"/>
  <c r="L4" i="40" s="1"/>
  <c r="X3" i="41"/>
  <c r="X16" i="41"/>
  <c r="U2" i="40"/>
  <c r="G8" i="39"/>
  <c r="L236" i="40"/>
  <c r="U236" i="40"/>
  <c r="R236" i="40"/>
  <c r="O2" i="40"/>
  <c r="O14" i="39"/>
  <c r="X64" i="40"/>
  <c r="X28" i="40"/>
  <c r="U76" i="40"/>
  <c r="X124" i="40"/>
  <c r="AA14" i="39"/>
  <c r="X40" i="40"/>
  <c r="X16" i="40"/>
  <c r="L4" i="41"/>
  <c r="W2" i="41"/>
  <c r="W4" i="41" s="1"/>
  <c r="W55" i="41"/>
  <c r="O56" i="41"/>
  <c r="O2" i="41"/>
  <c r="O55" i="41"/>
  <c r="U2" i="41"/>
  <c r="U4" i="41" s="1"/>
  <c r="U55" i="41"/>
  <c r="U56" i="41"/>
  <c r="V55" i="41"/>
  <c r="V2" i="41"/>
  <c r="V4" i="41" s="1"/>
  <c r="X54" i="41"/>
  <c r="X52" i="41"/>
  <c r="S2" i="41"/>
  <c r="S4" i="41" s="1"/>
  <c r="S55" i="41"/>
  <c r="M2" i="41"/>
  <c r="M55" i="41"/>
  <c r="N55" i="41"/>
  <c r="N2" i="41"/>
  <c r="Q2" i="41"/>
  <c r="Q4" i="41" s="1"/>
  <c r="Q55" i="41"/>
  <c r="L56" i="41"/>
  <c r="R55" i="41"/>
  <c r="R57" i="41" s="1"/>
  <c r="R56" i="41"/>
  <c r="R2" i="41"/>
  <c r="R4" i="41" s="1"/>
  <c r="X40" i="41"/>
  <c r="X53" i="41"/>
  <c r="E14" i="39"/>
  <c r="X65" i="40"/>
  <c r="X76" i="40" s="1"/>
  <c r="M235" i="40"/>
  <c r="O52" i="40"/>
  <c r="X41" i="40"/>
  <c r="X52" i="40" s="1"/>
  <c r="E15" i="39" l="1"/>
  <c r="E16" i="39" s="1"/>
  <c r="O4" i="41"/>
  <c r="K26" i="39"/>
  <c r="K28" i="39" s="1"/>
  <c r="N4" i="41"/>
  <c r="I26" i="39"/>
  <c r="I28" i="39" s="1"/>
  <c r="L57" i="41"/>
  <c r="X236" i="40"/>
  <c r="X233" i="40"/>
  <c r="O15" i="39"/>
  <c r="O16" i="39" s="1"/>
  <c r="Q235" i="40"/>
  <c r="U15" i="39"/>
  <c r="T235" i="40"/>
  <c r="N235" i="40"/>
  <c r="Y15" i="39"/>
  <c r="V235" i="40"/>
  <c r="S15" i="39"/>
  <c r="S235" i="40"/>
  <c r="M15" i="39"/>
  <c r="P235" i="40"/>
  <c r="W15" i="39"/>
  <c r="U235" i="40"/>
  <c r="Q15" i="39"/>
  <c r="R235" i="40"/>
  <c r="X234" i="40"/>
  <c r="AA15" i="39"/>
  <c r="AA16" i="39" s="1"/>
  <c r="W235" i="40"/>
  <c r="O235" i="40"/>
  <c r="M4" i="41"/>
  <c r="G26" i="39"/>
  <c r="X3" i="40"/>
  <c r="Q4" i="40"/>
  <c r="W4" i="40"/>
  <c r="Y14" i="39"/>
  <c r="N4" i="40"/>
  <c r="I14" i="39"/>
  <c r="M4" i="40"/>
  <c r="G15" i="39"/>
  <c r="R4" i="40"/>
  <c r="Q14" i="39"/>
  <c r="T4" i="40"/>
  <c r="U14" i="39"/>
  <c r="S4" i="40"/>
  <c r="S14" i="39"/>
  <c r="P4" i="40"/>
  <c r="M14" i="39"/>
  <c r="X55" i="41"/>
  <c r="O57" i="41"/>
  <c r="X57" i="41" s="1"/>
  <c r="X4" i="41"/>
  <c r="X56" i="41"/>
  <c r="U57" i="41"/>
  <c r="X2" i="41"/>
  <c r="O237" i="40" l="1"/>
  <c r="G9" i="39"/>
  <c r="G16" i="39"/>
  <c r="L237" i="40"/>
  <c r="S16" i="39"/>
  <c r="Y16" i="39"/>
  <c r="R237" i="40"/>
  <c r="I16" i="39"/>
  <c r="U16" i="39"/>
  <c r="U237" i="40"/>
  <c r="M16" i="39"/>
  <c r="Q16" i="39"/>
  <c r="X235" i="40"/>
  <c r="G28" i="39"/>
  <c r="AC28" i="39" s="1"/>
  <c r="AC26" i="39"/>
  <c r="V4" i="40"/>
  <c r="X2" i="40"/>
  <c r="AC15" i="39"/>
  <c r="U4" i="40"/>
  <c r="W14" i="39"/>
  <c r="W16" i="39" s="1"/>
  <c r="O4" i="40"/>
  <c r="K14" i="39"/>
  <c r="X237" i="40" l="1"/>
  <c r="X4" i="40"/>
  <c r="K16" i="39"/>
  <c r="AC14" i="39"/>
  <c r="Y9" i="39" l="1"/>
  <c r="W9" i="39"/>
  <c r="S9" i="39"/>
  <c r="AA9" i="39"/>
  <c r="O9" i="39"/>
  <c r="Q9" i="39"/>
  <c r="U9" i="39"/>
  <c r="M9" i="39"/>
  <c r="I9" i="39"/>
  <c r="Q9" i="35"/>
  <c r="Q55" i="35" s="1"/>
  <c r="P9" i="35"/>
  <c r="P55" i="35" s="1"/>
  <c r="C54" i="35"/>
  <c r="X40" i="35"/>
  <c r="X39" i="35"/>
  <c r="X38" i="35"/>
  <c r="X37" i="35"/>
  <c r="X36" i="35"/>
  <c r="X35" i="35"/>
  <c r="X34" i="35"/>
  <c r="W33" i="35"/>
  <c r="V33" i="35"/>
  <c r="U33" i="35"/>
  <c r="T33" i="35"/>
  <c r="S33" i="35"/>
  <c r="R33" i="35"/>
  <c r="Q33" i="35"/>
  <c r="P33" i="35"/>
  <c r="O33" i="35"/>
  <c r="N33" i="35"/>
  <c r="M33" i="35"/>
  <c r="L33" i="35"/>
  <c r="X31" i="35"/>
  <c r="W30" i="35"/>
  <c r="V30" i="35"/>
  <c r="U30" i="35"/>
  <c r="T30" i="35"/>
  <c r="S30" i="35"/>
  <c r="R30" i="35"/>
  <c r="Q30" i="35"/>
  <c r="P30" i="35"/>
  <c r="O30" i="35"/>
  <c r="N30" i="35"/>
  <c r="M30" i="35"/>
  <c r="L30" i="35"/>
  <c r="X28" i="35"/>
  <c r="X27" i="35"/>
  <c r="X26" i="35"/>
  <c r="X25" i="35"/>
  <c r="X24" i="35"/>
  <c r="X23" i="35"/>
  <c r="X22" i="35"/>
  <c r="W21" i="35"/>
  <c r="V21" i="35"/>
  <c r="U21" i="35"/>
  <c r="T21" i="35"/>
  <c r="S21" i="35"/>
  <c r="R21" i="35"/>
  <c r="Q21" i="35"/>
  <c r="P21" i="35"/>
  <c r="O21" i="35"/>
  <c r="N21" i="35"/>
  <c r="M21" i="35"/>
  <c r="L21" i="35"/>
  <c r="X19" i="35"/>
  <c r="W18" i="35"/>
  <c r="W54" i="35" s="1"/>
  <c r="V18" i="35"/>
  <c r="V54" i="35" s="1"/>
  <c r="U18" i="35"/>
  <c r="T18" i="35"/>
  <c r="S18" i="35"/>
  <c r="R18" i="35"/>
  <c r="Q18" i="35"/>
  <c r="P18" i="35"/>
  <c r="O18" i="35"/>
  <c r="N18" i="35"/>
  <c r="M18" i="35"/>
  <c r="L18" i="35"/>
  <c r="C18" i="35"/>
  <c r="C30" i="35" s="1"/>
  <c r="C42" i="35" s="1"/>
  <c r="X16" i="35"/>
  <c r="X14" i="35"/>
  <c r="X13" i="35"/>
  <c r="X12" i="35"/>
  <c r="X11" i="35"/>
  <c r="X10" i="35"/>
  <c r="W55" i="35"/>
  <c r="V55" i="35"/>
  <c r="O9" i="35"/>
  <c r="O55" i="35" s="1"/>
  <c r="N9" i="35"/>
  <c r="N55" i="35" s="1"/>
  <c r="M9" i="35"/>
  <c r="M55" i="35" s="1"/>
  <c r="L9" i="35"/>
  <c r="L55" i="35" s="1"/>
  <c r="X6" i="35"/>
  <c r="U54" i="35" l="1"/>
  <c r="M3" i="35"/>
  <c r="G24" i="39" s="1"/>
  <c r="G21" i="39" s="1"/>
  <c r="G3" i="39" s="1"/>
  <c r="W2" i="35"/>
  <c r="AA23" i="39" s="1"/>
  <c r="S2" i="35"/>
  <c r="S23" i="39" s="1"/>
  <c r="W3" i="35"/>
  <c r="AA24" i="39" s="1"/>
  <c r="AA21" i="39" s="1"/>
  <c r="AA3" i="39" s="1"/>
  <c r="L2" i="35"/>
  <c r="E23" i="39" s="1"/>
  <c r="E20" i="39" s="1"/>
  <c r="Q2" i="35"/>
  <c r="O23" i="39" s="1"/>
  <c r="V3" i="35"/>
  <c r="Y24" i="39" s="1"/>
  <c r="Y21" i="39" s="1"/>
  <c r="Y3" i="39" s="1"/>
  <c r="S3" i="35"/>
  <c r="S24" i="39" s="1"/>
  <c r="S21" i="39" s="1"/>
  <c r="S3" i="39" s="1"/>
  <c r="R3" i="35"/>
  <c r="Q24" i="39" s="1"/>
  <c r="Q21" i="39" s="1"/>
  <c r="Q3" i="39" s="1"/>
  <c r="T2" i="35"/>
  <c r="U23" i="39" s="1"/>
  <c r="P3" i="35"/>
  <c r="M24" i="39" s="1"/>
  <c r="T41" i="35"/>
  <c r="T3" i="35"/>
  <c r="U24" i="39" s="1"/>
  <c r="U21" i="39" s="1"/>
  <c r="U3" i="39" s="1"/>
  <c r="M41" i="35"/>
  <c r="U41" i="35"/>
  <c r="U3" i="35"/>
  <c r="W24" i="39" s="1"/>
  <c r="W21" i="39" s="1"/>
  <c r="W3" i="39" s="1"/>
  <c r="R41" i="35"/>
  <c r="Q41" i="35"/>
  <c r="L41" i="35"/>
  <c r="N41" i="35"/>
  <c r="V41" i="35"/>
  <c r="S41" i="35"/>
  <c r="O41" i="35"/>
  <c r="W41" i="35"/>
  <c r="X33" i="35"/>
  <c r="W17" i="35"/>
  <c r="N3" i="35"/>
  <c r="I24" i="39" s="1"/>
  <c r="N17" i="35"/>
  <c r="P29" i="35"/>
  <c r="V17" i="35"/>
  <c r="R29" i="35"/>
  <c r="E8" i="39"/>
  <c r="T29" i="35"/>
  <c r="U29" i="35"/>
  <c r="N29" i="35"/>
  <c r="V29" i="35"/>
  <c r="L29" i="35"/>
  <c r="Q3" i="35"/>
  <c r="O24" i="39" s="1"/>
  <c r="O21" i="39" s="1"/>
  <c r="O3" i="39" s="1"/>
  <c r="M29" i="35"/>
  <c r="O3" i="35"/>
  <c r="K24" i="39" s="1"/>
  <c r="O29" i="35"/>
  <c r="X21" i="35"/>
  <c r="Q29" i="35"/>
  <c r="X15" i="35"/>
  <c r="U17" i="35"/>
  <c r="S17" i="35"/>
  <c r="R17" i="35"/>
  <c r="P17" i="35"/>
  <c r="O17" i="35"/>
  <c r="S29" i="35"/>
  <c r="X30" i="35"/>
  <c r="X9" i="35"/>
  <c r="X17" i="35" s="1"/>
  <c r="L17" i="35"/>
  <c r="T17" i="35"/>
  <c r="X18" i="35"/>
  <c r="Q17" i="35"/>
  <c r="P41" i="35"/>
  <c r="M17" i="35"/>
  <c r="W29" i="35"/>
  <c r="K21" i="39" l="1"/>
  <c r="K3" i="39" s="1"/>
  <c r="I21" i="39"/>
  <c r="X41" i="35"/>
  <c r="AA25" i="39"/>
  <c r="AA20" i="39"/>
  <c r="AA22" i="39" s="1"/>
  <c r="S25" i="39"/>
  <c r="S20" i="39"/>
  <c r="S22" i="39" s="1"/>
  <c r="U25" i="39"/>
  <c r="U20" i="39"/>
  <c r="U22" i="39" s="1"/>
  <c r="O20" i="39"/>
  <c r="O22" i="39" s="1"/>
  <c r="O25" i="39"/>
  <c r="M21" i="39"/>
  <c r="G10" i="39"/>
  <c r="G13" i="39"/>
  <c r="W56" i="35"/>
  <c r="W4" i="35"/>
  <c r="L56" i="35"/>
  <c r="L3" i="35"/>
  <c r="E24" i="39" s="1"/>
  <c r="E21" i="39" s="1"/>
  <c r="Q4" i="35"/>
  <c r="T56" i="35"/>
  <c r="X29" i="35"/>
  <c r="T4" i="35"/>
  <c r="S4" i="35"/>
  <c r="Q56" i="35"/>
  <c r="S56" i="35"/>
  <c r="X55" i="35"/>
  <c r="R56" i="35"/>
  <c r="R2" i="35"/>
  <c r="Q23" i="39" s="1"/>
  <c r="R57" i="35"/>
  <c r="N2" i="35"/>
  <c r="I23" i="39" s="1"/>
  <c r="I20" i="39" s="1"/>
  <c r="N56" i="35"/>
  <c r="P56" i="35"/>
  <c r="P2" i="35"/>
  <c r="M23" i="39" s="1"/>
  <c r="X54" i="35"/>
  <c r="U2" i="35"/>
  <c r="W23" i="39" s="1"/>
  <c r="U56" i="35"/>
  <c r="U57" i="35"/>
  <c r="V2" i="35"/>
  <c r="Y23" i="39" s="1"/>
  <c r="V56" i="35"/>
  <c r="L57" i="35"/>
  <c r="O57" i="35"/>
  <c r="O2" i="35"/>
  <c r="K23" i="39" s="1"/>
  <c r="K20" i="39" s="1"/>
  <c r="O56" i="35"/>
  <c r="M2" i="35"/>
  <c r="G23" i="39" s="1"/>
  <c r="M56" i="35"/>
  <c r="K25" i="39" l="1"/>
  <c r="I25" i="39"/>
  <c r="I22" i="39"/>
  <c r="I3" i="39"/>
  <c r="K22" i="39"/>
  <c r="G20" i="39"/>
  <c r="G25" i="39"/>
  <c r="E25" i="39"/>
  <c r="AC24" i="39"/>
  <c r="E22" i="39"/>
  <c r="E2" i="39"/>
  <c r="W20" i="39"/>
  <c r="W22" i="39" s="1"/>
  <c r="W25" i="39"/>
  <c r="Y25" i="39"/>
  <c r="Y20" i="39"/>
  <c r="Y22" i="39" s="1"/>
  <c r="Q20" i="39"/>
  <c r="Q22" i="39" s="1"/>
  <c r="Q25" i="39"/>
  <c r="AC21" i="39"/>
  <c r="M3" i="39"/>
  <c r="M25" i="39"/>
  <c r="M20" i="39"/>
  <c r="AC23" i="39"/>
  <c r="E13" i="39"/>
  <c r="E9" i="39"/>
  <c r="E3" i="39" s="1"/>
  <c r="AC12" i="39"/>
  <c r="AC16" i="39"/>
  <c r="R4" i="35"/>
  <c r="P4" i="35"/>
  <c r="N4" i="35"/>
  <c r="M4" i="35"/>
  <c r="U4" i="35"/>
  <c r="V4" i="35"/>
  <c r="X3" i="35"/>
  <c r="L4" i="35"/>
  <c r="O4" i="35"/>
  <c r="L58" i="35"/>
  <c r="R58" i="35"/>
  <c r="X57" i="35"/>
  <c r="X2" i="35"/>
  <c r="O58" i="35"/>
  <c r="X56" i="35"/>
  <c r="U58" i="35"/>
  <c r="G22" i="39" l="1"/>
  <c r="G2" i="39"/>
  <c r="E4" i="39"/>
  <c r="AC25" i="39"/>
  <c r="M22" i="39"/>
  <c r="AC20" i="39"/>
  <c r="AC9" i="39"/>
  <c r="E10" i="39"/>
  <c r="X4" i="35"/>
  <c r="X58" i="35"/>
  <c r="AC22" i="39" l="1"/>
  <c r="G4" i="39"/>
  <c r="AC3" i="39"/>
  <c r="Q13" i="39"/>
  <c r="Q8" i="39"/>
  <c r="U13" i="39"/>
  <c r="U8" i="39"/>
  <c r="W13" i="39"/>
  <c r="W8" i="39"/>
  <c r="O13" i="39"/>
  <c r="O8" i="39"/>
  <c r="AA13" i="39"/>
  <c r="AA8" i="39"/>
  <c r="K13" i="39"/>
  <c r="K8" i="39"/>
  <c r="M13" i="39"/>
  <c r="M8" i="39"/>
  <c r="Y13" i="39"/>
  <c r="Y8" i="39"/>
  <c r="S13" i="39"/>
  <c r="S8" i="39"/>
  <c r="I8" i="39"/>
  <c r="I2" i="39" s="1"/>
  <c r="AC11" i="39"/>
  <c r="I13" i="39"/>
  <c r="S10" i="39" l="1"/>
  <c r="S2" i="39"/>
  <c r="S4" i="39" s="1"/>
  <c r="M10" i="39"/>
  <c r="M2" i="39"/>
  <c r="M4" i="39" s="1"/>
  <c r="AA10" i="39"/>
  <c r="AA2" i="39"/>
  <c r="AA4" i="39" s="1"/>
  <c r="W10" i="39"/>
  <c r="W2" i="39"/>
  <c r="W4" i="39" s="1"/>
  <c r="Q10" i="39"/>
  <c r="Q2" i="39"/>
  <c r="Q4" i="39" s="1"/>
  <c r="Y10" i="39"/>
  <c r="Y2" i="39"/>
  <c r="Y4" i="39" s="1"/>
  <c r="K10" i="39"/>
  <c r="K2" i="39"/>
  <c r="K4" i="39" s="1"/>
  <c r="O10" i="39"/>
  <c r="O2" i="39"/>
  <c r="O4" i="39" s="1"/>
  <c r="U10" i="39"/>
  <c r="U2" i="39"/>
  <c r="U4" i="39" s="1"/>
  <c r="AC13" i="39"/>
  <c r="I10" i="39"/>
  <c r="AC8" i="39"/>
  <c r="AC10" i="39" l="1"/>
  <c r="I4" i="39"/>
  <c r="AC4" i="39" s="1"/>
  <c r="AC2" i="3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L201" authorId="0" shapeId="0" xr:uid="{811BABDA-BE6A-4F2C-A8BB-59D6C2734F73}">
      <text>
        <r>
          <rPr>
            <sz val="9"/>
            <color indexed="81"/>
            <rFont val="游ゴシック"/>
            <family val="3"/>
            <charset val="128"/>
          </rPr>
          <t>勤務が月・火・水・木の4日間のため0.8で算出</t>
        </r>
      </text>
    </comment>
  </commentList>
</comments>
</file>

<file path=xl/sharedStrings.xml><?xml version="1.0" encoding="utf-8"?>
<sst xmlns="http://schemas.openxmlformats.org/spreadsheetml/2006/main" count="503" uniqueCount="74">
  <si>
    <t>No</t>
    <phoneticPr fontId="6"/>
  </si>
  <si>
    <t>派遣/請負</t>
    <rPh sb="0" eb="2">
      <t>ハケン</t>
    </rPh>
    <rPh sb="3" eb="5">
      <t>ウケオイ</t>
    </rPh>
    <phoneticPr fontId="6"/>
  </si>
  <si>
    <t>担当</t>
    <rPh sb="0" eb="2">
      <t>タントウ</t>
    </rPh>
    <phoneticPr fontId="6"/>
  </si>
  <si>
    <t>氏名</t>
    <rPh sb="0" eb="2">
      <t>シメイ</t>
    </rPh>
    <phoneticPr fontId="6"/>
  </si>
  <si>
    <t>作業名</t>
    <rPh sb="0" eb="2">
      <t>サギョウ</t>
    </rPh>
    <rPh sb="2" eb="3">
      <t>メイ</t>
    </rPh>
    <phoneticPr fontId="6"/>
  </si>
  <si>
    <t>契約先</t>
    <rPh sb="0" eb="2">
      <t>ケイヤク</t>
    </rPh>
    <rPh sb="2" eb="3">
      <t>サキ</t>
    </rPh>
    <phoneticPr fontId="6"/>
  </si>
  <si>
    <t>外注会社</t>
    <rPh sb="0" eb="2">
      <t>ガイチュウ</t>
    </rPh>
    <rPh sb="2" eb="4">
      <t>ガイシャ</t>
    </rPh>
    <phoneticPr fontId="6"/>
  </si>
  <si>
    <t>売上単価
(支払単価）
【≒粗利】</t>
    <rPh sb="0" eb="2">
      <t>ウリアゲ</t>
    </rPh>
    <rPh sb="2" eb="4">
      <t>タンカ</t>
    </rPh>
    <rPh sb="6" eb="8">
      <t>シハラ</t>
    </rPh>
    <rPh sb="8" eb="10">
      <t>タンカ</t>
    </rPh>
    <phoneticPr fontId="6"/>
  </si>
  <si>
    <t>4月</t>
    <rPh sb="1" eb="2">
      <t>ガツ</t>
    </rPh>
    <phoneticPr fontId="6"/>
  </si>
  <si>
    <t>5月</t>
    <rPh sb="1" eb="2">
      <t>ガツ</t>
    </rPh>
    <phoneticPr fontId="6"/>
  </si>
  <si>
    <t>6月</t>
    <rPh sb="1" eb="2">
      <t>ガツ</t>
    </rPh>
    <phoneticPr fontId="6"/>
  </si>
  <si>
    <t>7月</t>
    <rPh sb="1" eb="2">
      <t>ガツ</t>
    </rPh>
    <phoneticPr fontId="6"/>
  </si>
  <si>
    <t>8月</t>
    <rPh sb="1" eb="2">
      <t>ガツ</t>
    </rPh>
    <phoneticPr fontId="6"/>
  </si>
  <si>
    <t>9月</t>
    <rPh sb="1" eb="2">
      <t>ガツ</t>
    </rPh>
    <phoneticPr fontId="6"/>
  </si>
  <si>
    <t>10月</t>
    <rPh sb="2" eb="3">
      <t>ガツ</t>
    </rPh>
    <phoneticPr fontId="6"/>
  </si>
  <si>
    <t>11月</t>
    <rPh sb="2" eb="3">
      <t>ガツ</t>
    </rPh>
    <phoneticPr fontId="6"/>
  </si>
  <si>
    <t>12月</t>
    <rPh sb="2" eb="3">
      <t>ガツ</t>
    </rPh>
    <phoneticPr fontId="6"/>
  </si>
  <si>
    <t>1月</t>
    <rPh sb="1" eb="2">
      <t>ガツ</t>
    </rPh>
    <phoneticPr fontId="6"/>
  </si>
  <si>
    <t>2月</t>
    <rPh sb="1" eb="2">
      <t>ガツ</t>
    </rPh>
    <phoneticPr fontId="6"/>
  </si>
  <si>
    <t>3月</t>
    <rPh sb="1" eb="2">
      <t>ガツ</t>
    </rPh>
    <phoneticPr fontId="6"/>
  </si>
  <si>
    <t>合計</t>
    <rPh sb="0" eb="2">
      <t>ゴウケイ</t>
    </rPh>
    <phoneticPr fontId="6"/>
  </si>
  <si>
    <t>売上</t>
    <rPh sb="0" eb="2">
      <t>ウリアゲ</t>
    </rPh>
    <phoneticPr fontId="4"/>
  </si>
  <si>
    <t>仕入</t>
    <rPh sb="0" eb="2">
      <t>シイレ</t>
    </rPh>
    <phoneticPr fontId="4"/>
  </si>
  <si>
    <t>粗利</t>
    <rPh sb="0" eb="2">
      <t>アラリ</t>
    </rPh>
    <phoneticPr fontId="4"/>
  </si>
  <si>
    <t>総経費</t>
    <rPh sb="0" eb="1">
      <t>ソウ</t>
    </rPh>
    <rPh sb="1" eb="3">
      <t>ケイヒ</t>
    </rPh>
    <phoneticPr fontId="6"/>
  </si>
  <si>
    <t>賃金</t>
    <rPh sb="0" eb="2">
      <t>チンギン</t>
    </rPh>
    <phoneticPr fontId="6"/>
  </si>
  <si>
    <t>健康保険</t>
    <rPh sb="0" eb="2">
      <t>ケンコウ</t>
    </rPh>
    <rPh sb="2" eb="4">
      <t>ホケン</t>
    </rPh>
    <phoneticPr fontId="6"/>
  </si>
  <si>
    <t>厚生年金</t>
    <rPh sb="0" eb="2">
      <t>コウセイ</t>
    </rPh>
    <rPh sb="2" eb="4">
      <t>ネンキン</t>
    </rPh>
    <phoneticPr fontId="6"/>
  </si>
  <si>
    <t>労災保険</t>
    <rPh sb="0" eb="2">
      <t>ロウサイ</t>
    </rPh>
    <rPh sb="2" eb="4">
      <t>ホケン</t>
    </rPh>
    <phoneticPr fontId="6"/>
  </si>
  <si>
    <t>雇用保険</t>
    <rPh sb="0" eb="2">
      <t>コヨウ</t>
    </rPh>
    <rPh sb="2" eb="4">
      <t>ホケン</t>
    </rPh>
    <phoneticPr fontId="6"/>
  </si>
  <si>
    <t>交通費その他</t>
    <rPh sb="0" eb="3">
      <t>コウツウヒ</t>
    </rPh>
    <rPh sb="5" eb="6">
      <t>タ</t>
    </rPh>
    <phoneticPr fontId="6"/>
  </si>
  <si>
    <t>社員番号</t>
    <rPh sb="0" eb="2">
      <t>シャイン</t>
    </rPh>
    <rPh sb="2" eb="4">
      <t>バンゴウ</t>
    </rPh>
    <phoneticPr fontId="4"/>
  </si>
  <si>
    <t>氏名</t>
    <rPh sb="0" eb="2">
      <t>シメイ</t>
    </rPh>
    <phoneticPr fontId="4"/>
  </si>
  <si>
    <t>通勤定期代</t>
    <rPh sb="0" eb="2">
      <t>ツウキン</t>
    </rPh>
    <rPh sb="2" eb="5">
      <t>テイキダイ</t>
    </rPh>
    <phoneticPr fontId="6"/>
  </si>
  <si>
    <t>交通費</t>
    <rPh sb="0" eb="3">
      <t>コウツウヒ</t>
    </rPh>
    <phoneticPr fontId="6"/>
  </si>
  <si>
    <t>派遣先部署</t>
    <rPh sb="0" eb="2">
      <t>ハケン</t>
    </rPh>
    <rPh sb="2" eb="3">
      <t>サキ</t>
    </rPh>
    <rPh sb="3" eb="5">
      <t>ブショ</t>
    </rPh>
    <phoneticPr fontId="4"/>
  </si>
  <si>
    <t>社員</t>
    <rPh sb="0" eb="2">
      <t>シャイン</t>
    </rPh>
    <phoneticPr fontId="4"/>
  </si>
  <si>
    <t>総受注金額</t>
    <rPh sb="0" eb="1">
      <t>ソウ</t>
    </rPh>
    <rPh sb="1" eb="3">
      <t>ジュチュウ</t>
    </rPh>
    <rPh sb="3" eb="5">
      <t>キンガク</t>
    </rPh>
    <phoneticPr fontId="6"/>
  </si>
  <si>
    <t>派遣金額</t>
    <rPh sb="0" eb="2">
      <t>ハケン</t>
    </rPh>
    <rPh sb="2" eb="4">
      <t>キンガク</t>
    </rPh>
    <phoneticPr fontId="6"/>
  </si>
  <si>
    <t>粗利</t>
    <rPh sb="0" eb="1">
      <t>アラ</t>
    </rPh>
    <rPh sb="1" eb="2">
      <t>リ</t>
    </rPh>
    <phoneticPr fontId="6"/>
  </si>
  <si>
    <t>Q売上</t>
    <rPh sb="1" eb="3">
      <t>ウリアゲ</t>
    </rPh>
    <phoneticPr fontId="4"/>
  </si>
  <si>
    <t>Q粗利</t>
    <rPh sb="1" eb="3">
      <t>アラリ</t>
    </rPh>
    <phoneticPr fontId="4"/>
  </si>
  <si>
    <t>その他常駐</t>
    <rPh sb="2" eb="3">
      <t>タ</t>
    </rPh>
    <rPh sb="3" eb="5">
      <t>ジョウチュウ</t>
    </rPh>
    <phoneticPr fontId="4"/>
  </si>
  <si>
    <t>4月</t>
    <rPh sb="1" eb="2">
      <t>ツキ</t>
    </rPh>
    <phoneticPr fontId="4"/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</si>
  <si>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</si>
  <si>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</si>
  <si>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</si>
  <si>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</si>
  <si>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</si>
  <si>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</si>
  <si>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</si>
  <si>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</si>
  <si>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</si>
  <si>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</si>
  <si>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3月</t>
  </si>
  <si>
    <t>売上合計</t>
    <rPh sb="0" eb="2">
      <t>ウリアゲ</t>
    </rPh>
    <rPh sb="2" eb="4">
      <t>ゴウケイ</t>
    </rPh>
    <phoneticPr fontId="4"/>
  </si>
  <si>
    <t>原価</t>
    <rPh sb="0" eb="2">
      <t>ゲンカ</t>
    </rPh>
    <phoneticPr fontId="4"/>
  </si>
  <si>
    <t>通期合計</t>
    <rPh sb="0" eb="4">
      <t>ツウキゴウケイ</t>
    </rPh>
    <phoneticPr fontId="4"/>
  </si>
  <si>
    <t>SI合計</t>
    <rPh sb="2" eb="4">
      <t>ゴウケイ</t>
    </rPh>
    <phoneticPr fontId="4"/>
  </si>
  <si>
    <t>UAL</t>
    <phoneticPr fontId="4"/>
  </si>
  <si>
    <t>受託</t>
    <rPh sb="0" eb="2">
      <t>ジュタク</t>
    </rPh>
    <phoneticPr fontId="4"/>
  </si>
  <si>
    <t>常駐</t>
    <rPh sb="0" eb="2">
      <t>ジョウチュウ</t>
    </rPh>
    <phoneticPr fontId="4"/>
  </si>
  <si>
    <t>その他受託</t>
    <rPh sb="2" eb="3">
      <t>タ</t>
    </rPh>
    <rPh sb="3" eb="5">
      <t>ジュタク</t>
    </rPh>
    <phoneticPr fontId="4"/>
  </si>
  <si>
    <t>その他</t>
    <rPh sb="2" eb="3">
      <t>タ</t>
    </rPh>
    <phoneticPr fontId="4"/>
  </si>
  <si>
    <t>委任</t>
    <rPh sb="0" eb="2">
      <t>イニン</t>
    </rPh>
    <phoneticPr fontId="4"/>
  </si>
  <si>
    <t>委任金額</t>
    <rPh sb="0" eb="2">
      <t>イニン</t>
    </rPh>
    <rPh sb="2" eb="4">
      <t>キンガク</t>
    </rPh>
    <phoneticPr fontId="6"/>
  </si>
  <si>
    <t>派遣</t>
    <rPh sb="0" eb="2">
      <t>ハケン</t>
    </rPh>
    <phoneticPr fontId="4"/>
  </si>
  <si>
    <t>人件費合計</t>
    <rPh sb="0" eb="3">
      <t>ジンケンヒ</t>
    </rPh>
    <rPh sb="3" eb="5">
      <t>ゴウケイ</t>
    </rPh>
    <phoneticPr fontId="4"/>
  </si>
  <si>
    <t>監督者</t>
    <rPh sb="0" eb="2">
      <t>カントク</t>
    </rPh>
    <rPh sb="2" eb="3">
      <t>シャ</t>
    </rPh>
    <phoneticPr fontId="4"/>
  </si>
  <si>
    <t>社員</t>
    <phoneticPr fontId="4"/>
  </si>
  <si>
    <t>転出</t>
    <rPh sb="0" eb="2">
      <t>テンシュツ</t>
    </rPh>
    <phoneticPr fontId="4"/>
  </si>
  <si>
    <t>\0</t>
  </si>
  <si>
    <t>休職中</t>
    <rPh sb="0" eb="3">
      <t>キュウショクチュウ</t>
    </rPh>
    <phoneticPr fontId="4"/>
  </si>
  <si>
    <t>外注費</t>
    <rPh sb="0" eb="2">
      <t>ガイチュウ</t>
    </rPh>
    <rPh sb="2" eb="3">
      <t>ヒ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</si>
</sst>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&quot;¥&quot;#,##0_);[Red]\(&quot;¥&quot;#,##0\)"/>
  </numFmts>
  <fonts count="25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0"/>
      <color theme="1"/>
      <name val="ＭＳ Ｐゴシック"/>
      <family val="3"/>
      <charset val="128"/>
    </font>
    <font>
      <b/>
      <sz val="12"/>
      <color theme="1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sz val="10"/>
      <color rgb="FF0000FF"/>
      <name val="ＭＳ Ｐゴシック"/>
      <family val="3"/>
      <charset val="128"/>
    </font>
    <font>
      <b/>
      <sz val="10"/>
      <color rgb="FF0000FF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sz val="10"/>
      <color indexed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8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rgb="FF0000FF"/>
      <name val="ＭＳ Ｐゴシック"/>
      <family val="3"/>
      <charset val="128"/>
      <scheme val="minor"/>
    </font>
    <font>
      <b/>
      <sz val="10"/>
      <color indexed="8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9"/>
      <color indexed="81"/>
      <name val="游ゴシック"/>
      <family val="3"/>
      <charset val="128"/>
    </font>
    <font>
      <b/>
      <sz val="12"/>
      <name val="ＭＳ Ｐゴシック"/>
      <family val="3"/>
      <charset val="128"/>
    </font>
  </fonts>
  <fills count="1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88">
    <border>
      <left/>
      <right/>
      <top/>
      <bottom/>
      <diagonal/>
    </border>
    <border>
      <left style="dotted">
        <color indexed="63"/>
      </left>
      <right style="dotted">
        <color indexed="63"/>
      </right>
      <top/>
      <bottom/>
      <diagonal/>
    </border>
    <border>
      <left/>
      <right style="dotted">
        <color indexed="63"/>
      </right>
      <top/>
      <bottom/>
      <diagonal/>
    </border>
    <border>
      <left style="dotted">
        <color indexed="63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double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 tint="-0.24994659260841701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 tint="-0.24994659260841701"/>
      </right>
      <top/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indexed="8"/>
      </left>
      <right style="thin">
        <color indexed="64"/>
      </right>
      <top/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8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double">
        <color indexed="63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34998626667073579"/>
      </top>
      <bottom style="double">
        <color indexed="6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 style="double">
        <color indexed="63"/>
      </bottom>
      <diagonal/>
    </border>
    <border>
      <left style="thin">
        <color theme="0" tint="-0.24994659260841701"/>
      </left>
      <right style="thin">
        <color indexed="8"/>
      </right>
      <top style="thin">
        <color theme="0" tint="-0.34998626667073579"/>
      </top>
      <bottom style="double">
        <color indexed="63"/>
      </bottom>
      <diagonal/>
    </border>
    <border>
      <left style="thin">
        <color indexed="8"/>
      </left>
      <right style="thin">
        <color indexed="64"/>
      </right>
      <top style="thin">
        <color theme="0" tint="-0.34998626667073579"/>
      </top>
      <bottom style="double">
        <color indexed="63"/>
      </bottom>
      <diagonal/>
    </border>
    <border>
      <left style="thin">
        <color theme="0" tint="-0.24994659260841701"/>
      </left>
      <right style="thin">
        <color theme="0" tint="-0.24994659260841701"/>
      </right>
      <top style="double">
        <color indexed="63"/>
      </top>
      <bottom/>
      <diagonal/>
    </border>
    <border>
      <left style="dashed">
        <color indexed="64"/>
      </left>
      <right style="thin">
        <color indexed="64"/>
      </right>
      <top style="double">
        <color indexed="63"/>
      </top>
      <bottom style="thin">
        <color indexed="22"/>
      </bottom>
      <diagonal/>
    </border>
    <border>
      <left style="thin">
        <color theme="0" tint="-0.24994659260841701"/>
      </left>
      <right style="thin">
        <color theme="0" tint="-0.24994659260841701"/>
      </right>
      <top style="double">
        <color indexed="63"/>
      </top>
      <bottom style="thin">
        <color indexed="22"/>
      </bottom>
      <diagonal/>
    </border>
    <border>
      <left style="thin">
        <color indexed="8"/>
      </left>
      <right style="thin">
        <color indexed="64"/>
      </right>
      <top style="double">
        <color indexed="63"/>
      </top>
      <bottom style="thin">
        <color indexed="22"/>
      </bottom>
      <diagonal/>
    </border>
    <border>
      <left style="dashed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22"/>
      </top>
      <bottom style="thin">
        <color indexed="22"/>
      </bottom>
      <diagonal/>
    </border>
    <border>
      <left style="thin">
        <color theme="0" tint="-0.24994659260841701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dashed">
        <color indexed="64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theme="0" tint="-0.24994659260841701"/>
      </left>
      <right/>
      <top style="thin">
        <color indexed="22"/>
      </top>
      <bottom style="thin">
        <color indexed="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22"/>
      </bottom>
      <diagonal/>
    </border>
    <border>
      <left style="dashed">
        <color indexed="64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22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theme="0" tint="-0.24994659260841701"/>
      </right>
      <top/>
      <bottom style="thin">
        <color indexed="22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22"/>
      </bottom>
      <diagonal/>
    </border>
    <border>
      <left style="thin">
        <color theme="0" tint="-0.24994659260841701"/>
      </left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22"/>
      </bottom>
      <diagonal/>
    </border>
    <border>
      <left style="thin">
        <color indexed="64"/>
      </left>
      <right style="thin">
        <color theme="0" tint="-0.24994659260841701"/>
      </right>
      <top/>
      <bottom style="double">
        <color indexed="64"/>
      </bottom>
      <diagonal/>
    </border>
    <border>
      <left style="thin">
        <color theme="0" tint="-0.24994659260841701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3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24994659260841701"/>
      </right>
      <top style="double">
        <color indexed="63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double">
        <color indexed="63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 tint="-0.24994659260841701"/>
      </right>
      <top style="double">
        <color indexed="63"/>
      </top>
      <bottom style="thin">
        <color indexed="2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22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22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indexed="22"/>
      </bottom>
      <diagonal/>
    </border>
    <border>
      <left/>
      <right style="thin">
        <color indexed="64"/>
      </right>
      <top/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double">
        <color indexed="63"/>
      </bottom>
      <diagonal/>
    </border>
    <border>
      <left/>
      <right style="thin">
        <color indexed="64"/>
      </right>
      <top style="double">
        <color indexed="63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/>
      <bottom style="thin">
        <color indexed="22"/>
      </bottom>
      <diagonal/>
    </border>
    <border>
      <left/>
      <right style="thin">
        <color indexed="64"/>
      </right>
      <top style="double">
        <color indexed="63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/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34998626667073579"/>
      </top>
      <bottom style="double">
        <color indexed="63"/>
      </bottom>
      <diagonal/>
    </border>
    <border>
      <left style="thin">
        <color theme="0" tint="-0.24994659260841701"/>
      </left>
      <right style="thin">
        <color indexed="64"/>
      </right>
      <top style="double">
        <color indexed="63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22"/>
      </bottom>
      <diagonal/>
    </border>
    <border>
      <left style="thin">
        <color theme="0" tint="-0.24994659260841701"/>
      </left>
      <right style="thin">
        <color indexed="64"/>
      </right>
      <top/>
      <bottom style="thin">
        <color indexed="22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double">
        <color indexed="63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double">
        <color indexed="64"/>
      </bottom>
      <diagonal/>
    </border>
    <border>
      <left style="thin">
        <color theme="0" tint="-0.24994659260841701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indexed="22"/>
      </bottom>
      <diagonal/>
    </border>
    <border>
      <left style="thin">
        <color theme="0" tint="-0.24994659260841701"/>
      </left>
      <right/>
      <top style="thin">
        <color indexed="64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dashed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22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22"/>
      </top>
      <bottom/>
      <diagonal/>
    </border>
    <border>
      <left style="thin">
        <color theme="0" tint="-0.24994659260841701"/>
      </left>
      <right/>
      <top style="thin">
        <color indexed="22"/>
      </top>
      <bottom/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 style="thin">
        <color theme="0" tint="-0.24994659260841701"/>
      </left>
      <right/>
      <top/>
      <bottom style="double">
        <color indexed="64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34998626667073579"/>
      </top>
      <bottom style="thin">
        <color indexed="64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theme="0" tint="-0.14999847407452621"/>
      </left>
      <right/>
      <top style="thin">
        <color theme="0" tint="-0.34998626667073579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theme="0" tint="-0.24994659260841701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dashed">
        <color indexed="64"/>
      </left>
      <right style="thin">
        <color indexed="64"/>
      </right>
      <top style="thin">
        <color indexed="22"/>
      </top>
      <bottom style="double">
        <color indexed="64"/>
      </bottom>
      <diagonal/>
    </border>
    <border>
      <left style="thin">
        <color theme="0" tint="-0.24994659260841701"/>
      </left>
      <right style="thin">
        <color indexed="22"/>
      </right>
      <top/>
      <bottom style="double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22"/>
      </top>
      <bottom style="double">
        <color indexed="64"/>
      </bottom>
      <diagonal/>
    </border>
    <border>
      <left style="thin">
        <color theme="0" tint="-0.24994659260841701"/>
      </left>
      <right/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22"/>
      </top>
      <bottom style="double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double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34998626667073579"/>
      </top>
      <bottom style="double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 style="double">
        <color indexed="64"/>
      </bottom>
      <diagonal/>
    </border>
    <border>
      <left style="thin">
        <color theme="0" tint="-0.24994659260841701"/>
      </left>
      <right/>
      <top style="thin">
        <color theme="0" tint="-0.34998626667073579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double">
        <color indexed="64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double">
        <color indexed="64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indexed="8"/>
      </right>
      <top style="double">
        <color indexed="64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indexed="8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70">
    <xf numFmtId="0" fontId="0" fillId="0" borderId="0"/>
    <xf numFmtId="0" fontId="10" fillId="0" borderId="0"/>
    <xf numFmtId="0" fontId="11" fillId="0" borderId="0"/>
    <xf numFmtId="38" fontId="11" fillId="0" borderId="0" applyFont="0" applyFill="0" applyBorder="0" applyAlignment="0" applyProtection="0"/>
    <xf numFmtId="0" fontId="11" fillId="0" borderId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512">
    <xf numFmtId="0" fontId="0" fillId="0" borderId="0" xfId="0"/>
    <xf numFmtId="0" fontId="5" fillId="0" borderId="0" xfId="0" applyFont="1" applyAlignment="1">
      <alignment horizontal="center" vertical="center"/>
    </xf>
    <xf numFmtId="0" fontId="5" fillId="0" borderId="0" xfId="0" applyFont="1"/>
    <xf numFmtId="0" fontId="5" fillId="0" borderId="1" xfId="0" applyFont="1" applyBorder="1"/>
    <xf numFmtId="0" fontId="5" fillId="0" borderId="3" xfId="0" applyFont="1" applyBorder="1"/>
    <xf numFmtId="0" fontId="9" fillId="0" borderId="0" xfId="0" applyFont="1"/>
    <xf numFmtId="0" fontId="5" fillId="2" borderId="5" xfId="0" applyFont="1" applyFill="1" applyBorder="1" applyAlignment="1">
      <alignment horizontal="center" vertical="center" wrapText="1"/>
    </xf>
    <xf numFmtId="0" fontId="9" fillId="0" borderId="0" xfId="4" applyFont="1" applyAlignment="1">
      <alignment vertical="center"/>
    </xf>
    <xf numFmtId="0" fontId="9" fillId="0" borderId="1" xfId="0" applyFont="1" applyBorder="1"/>
    <xf numFmtId="176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4" borderId="7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shrinkToFit="1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 vertical="center"/>
    </xf>
    <xf numFmtId="0" fontId="9" fillId="0" borderId="0" xfId="4" applyFont="1" applyAlignment="1">
      <alignment horizontal="right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6" fillId="2" borderId="11" xfId="0" applyFont="1" applyFill="1" applyBorder="1" applyAlignment="1">
      <alignment horizontal="center" vertical="center" shrinkToFit="1"/>
    </xf>
    <xf numFmtId="0" fontId="5" fillId="2" borderId="29" xfId="0" applyFont="1" applyFill="1" applyBorder="1" applyAlignment="1">
      <alignment horizontal="center" vertical="center" shrinkToFit="1"/>
    </xf>
    <xf numFmtId="0" fontId="7" fillId="2" borderId="30" xfId="0" applyFont="1" applyFill="1" applyBorder="1" applyAlignment="1">
      <alignment horizontal="center" vertical="center" shrinkToFit="1"/>
    </xf>
    <xf numFmtId="0" fontId="7" fillId="0" borderId="6" xfId="0" applyFont="1" applyBorder="1" applyAlignment="1">
      <alignment horizontal="center" vertical="center" wrapText="1"/>
    </xf>
    <xf numFmtId="176" fontId="13" fillId="0" borderId="35" xfId="0" applyNumberFormat="1" applyFont="1" applyBorder="1" applyAlignment="1">
      <alignment horizontal="right" vertical="center" shrinkToFit="1"/>
    </xf>
    <xf numFmtId="176" fontId="14" fillId="0" borderId="36" xfId="0" applyNumberFormat="1" applyFont="1" applyBorder="1" applyAlignment="1">
      <alignment horizontal="right" vertical="center" shrinkToFit="1"/>
    </xf>
    <xf numFmtId="0" fontId="7" fillId="0" borderId="37" xfId="0" applyFont="1" applyBorder="1" applyAlignment="1">
      <alignment horizontal="center" vertical="center" wrapText="1"/>
    </xf>
    <xf numFmtId="176" fontId="13" fillId="0" borderId="40" xfId="0" applyNumberFormat="1" applyFont="1" applyBorder="1" applyAlignment="1">
      <alignment horizontal="right" vertical="center" shrinkToFit="1"/>
    </xf>
    <xf numFmtId="176" fontId="14" fillId="0" borderId="41" xfId="0" applyNumberFormat="1" applyFont="1" applyBorder="1" applyAlignment="1">
      <alignment horizontal="right" vertical="center" shrinkToFit="1"/>
    </xf>
    <xf numFmtId="0" fontId="7" fillId="4" borderId="42" xfId="0" applyFont="1" applyFill="1" applyBorder="1" applyAlignment="1">
      <alignment horizontal="center" vertical="center" wrapText="1"/>
    </xf>
    <xf numFmtId="176" fontId="14" fillId="4" borderId="45" xfId="0" applyNumberFormat="1" applyFont="1" applyFill="1" applyBorder="1" applyAlignment="1">
      <alignment horizontal="right" vertical="center" shrinkToFit="1"/>
    </xf>
    <xf numFmtId="176" fontId="14" fillId="4" borderId="46" xfId="0" applyNumberFormat="1" applyFont="1" applyFill="1" applyBorder="1" applyAlignment="1">
      <alignment horizontal="right" vertical="center" shrinkToFit="1"/>
    </xf>
    <xf numFmtId="0" fontId="5" fillId="9" borderId="48" xfId="0" applyFont="1" applyFill="1" applyBorder="1" applyAlignment="1">
      <alignment horizontal="left" vertical="center"/>
    </xf>
    <xf numFmtId="176" fontId="13" fillId="10" borderId="49" xfId="0" applyNumberFormat="1" applyFont="1" applyFill="1" applyBorder="1" applyAlignment="1">
      <alignment horizontal="right" vertical="center"/>
    </xf>
    <xf numFmtId="176" fontId="13" fillId="9" borderId="50" xfId="0" applyNumberFormat="1" applyFont="1" applyFill="1" applyBorder="1" applyAlignment="1">
      <alignment horizontal="right" vertical="center"/>
    </xf>
    <xf numFmtId="176" fontId="5" fillId="0" borderId="0" xfId="0" applyNumberFormat="1" applyFont="1" applyAlignment="1">
      <alignment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left" vertical="center"/>
    </xf>
    <xf numFmtId="0" fontId="5" fillId="5" borderId="51" xfId="0" applyFont="1" applyFill="1" applyBorder="1" applyAlignment="1">
      <alignment horizontal="right" vertical="center"/>
    </xf>
    <xf numFmtId="176" fontId="13" fillId="5" borderId="52" xfId="0" applyNumberFormat="1" applyFont="1" applyFill="1" applyBorder="1" applyAlignment="1">
      <alignment horizontal="right" vertical="center"/>
    </xf>
    <xf numFmtId="176" fontId="13" fillId="5" borderId="54" xfId="0" applyNumberFormat="1" applyFont="1" applyFill="1" applyBorder="1" applyAlignment="1">
      <alignment horizontal="right" vertical="center"/>
    </xf>
    <xf numFmtId="176" fontId="5" fillId="0" borderId="0" xfId="0" applyNumberFormat="1" applyFont="1"/>
    <xf numFmtId="176" fontId="13" fillId="0" borderId="52" xfId="0" applyNumberFormat="1" applyFont="1" applyBorder="1" applyAlignment="1">
      <alignment horizontal="right" vertical="center"/>
    </xf>
    <xf numFmtId="176" fontId="13" fillId="0" borderId="53" xfId="0" applyNumberFormat="1" applyFont="1" applyBorder="1" applyAlignment="1">
      <alignment horizontal="right" vertical="center"/>
    </xf>
    <xf numFmtId="0" fontId="5" fillId="6" borderId="55" xfId="0" applyFont="1" applyFill="1" applyBorder="1" applyAlignment="1">
      <alignment horizontal="left" vertical="center"/>
    </xf>
    <xf numFmtId="176" fontId="13" fillId="11" borderId="52" xfId="0" applyNumberFormat="1" applyFont="1" applyFill="1" applyBorder="1" applyAlignment="1">
      <alignment horizontal="right" vertical="center"/>
    </xf>
    <xf numFmtId="176" fontId="13" fillId="11" borderId="53" xfId="0" applyNumberFormat="1" applyFont="1" applyFill="1" applyBorder="1" applyAlignment="1">
      <alignment horizontal="right" vertical="center"/>
    </xf>
    <xf numFmtId="176" fontId="13" fillId="11" borderId="54" xfId="0" applyNumberFormat="1" applyFont="1" applyFill="1" applyBorder="1" applyAlignment="1">
      <alignment horizontal="right" vertical="center"/>
    </xf>
    <xf numFmtId="0" fontId="5" fillId="5" borderId="55" xfId="0" applyFont="1" applyFill="1" applyBorder="1" applyAlignment="1">
      <alignment horizontal="right" vertical="center" wrapText="1"/>
    </xf>
    <xf numFmtId="176" fontId="13" fillId="5" borderId="8" xfId="0" applyNumberFormat="1" applyFont="1" applyFill="1" applyBorder="1" applyAlignment="1">
      <alignment horizontal="right" vertical="center"/>
    </xf>
    <xf numFmtId="0" fontId="7" fillId="12" borderId="58" xfId="0" applyFont="1" applyFill="1" applyBorder="1" applyAlignment="1">
      <alignment vertical="center" wrapText="1"/>
    </xf>
    <xf numFmtId="176" fontId="14" fillId="4" borderId="59" xfId="0" applyNumberFormat="1" applyFont="1" applyFill="1" applyBorder="1" applyAlignment="1">
      <alignment horizontal="right" vertical="center"/>
    </xf>
    <xf numFmtId="176" fontId="14" fillId="12" borderId="60" xfId="0" applyNumberFormat="1" applyFont="1" applyFill="1" applyBorder="1" applyAlignment="1">
      <alignment horizontal="right" vertical="center"/>
    </xf>
    <xf numFmtId="0" fontId="5" fillId="9" borderId="51" xfId="0" applyFont="1" applyFill="1" applyBorder="1" applyAlignment="1">
      <alignment horizontal="left" vertical="center"/>
    </xf>
    <xf numFmtId="176" fontId="13" fillId="9" borderId="62" xfId="0" applyNumberFormat="1" applyFont="1" applyFill="1" applyBorder="1" applyAlignment="1">
      <alignment horizontal="right" vertical="center"/>
    </xf>
    <xf numFmtId="176" fontId="13" fillId="10" borderId="65" xfId="0" applyNumberFormat="1" applyFont="1" applyFill="1" applyBorder="1" applyAlignment="1">
      <alignment horizontal="right" vertical="center"/>
    </xf>
    <xf numFmtId="176" fontId="13" fillId="7" borderId="39" xfId="0" applyNumberFormat="1" applyFont="1" applyFill="1" applyBorder="1" applyAlignment="1">
      <alignment horizontal="right" vertical="center" shrinkToFit="1"/>
    </xf>
    <xf numFmtId="176" fontId="14" fillId="7" borderId="41" xfId="0" applyNumberFormat="1" applyFont="1" applyFill="1" applyBorder="1" applyAlignment="1">
      <alignment horizontal="right" vertical="center" shrinkToFit="1"/>
    </xf>
    <xf numFmtId="0" fontId="7" fillId="4" borderId="73" xfId="0" applyFont="1" applyFill="1" applyBorder="1" applyAlignment="1">
      <alignment horizontal="center" vertical="center" wrapText="1"/>
    </xf>
    <xf numFmtId="176" fontId="14" fillId="4" borderId="76" xfId="0" applyNumberFormat="1" applyFont="1" applyFill="1" applyBorder="1" applyAlignment="1">
      <alignment horizontal="right" vertical="center" shrinkToFit="1"/>
    </xf>
    <xf numFmtId="176" fontId="14" fillId="4" borderId="77" xfId="0" applyNumberFormat="1" applyFont="1" applyFill="1" applyBorder="1" applyAlignment="1">
      <alignment horizontal="right" vertical="center" shrinkToFit="1"/>
    </xf>
    <xf numFmtId="176" fontId="14" fillId="13" borderId="9" xfId="0" applyNumberFormat="1" applyFont="1" applyFill="1" applyBorder="1" applyAlignment="1">
      <alignment horizontal="right" vertical="center"/>
    </xf>
    <xf numFmtId="176" fontId="14" fillId="13" borderId="7" xfId="0" applyNumberFormat="1" applyFont="1" applyFill="1" applyBorder="1" applyAlignment="1">
      <alignment horizontal="right" vertical="center"/>
    </xf>
    <xf numFmtId="0" fontId="0" fillId="0" borderId="81" xfId="0" applyBorder="1"/>
    <xf numFmtId="0" fontId="0" fillId="0" borderId="83" xfId="0" applyBorder="1"/>
    <xf numFmtId="176" fontId="13" fillId="5" borderId="8" xfId="1" applyNumberFormat="1" applyFont="1" applyFill="1" applyBorder="1" applyAlignment="1">
      <alignment horizontal="right" vertical="center"/>
    </xf>
    <xf numFmtId="0" fontId="9" fillId="5" borderId="55" xfId="0" applyFont="1" applyFill="1" applyBorder="1" applyAlignment="1">
      <alignment horizontal="right" vertical="center" wrapText="1"/>
    </xf>
    <xf numFmtId="0" fontId="9" fillId="5" borderId="91" xfId="0" applyFont="1" applyFill="1" applyBorder="1" applyAlignment="1">
      <alignment horizontal="right" vertical="center" wrapText="1"/>
    </xf>
    <xf numFmtId="0" fontId="7" fillId="12" borderId="7" xfId="0" applyFont="1" applyFill="1" applyBorder="1" applyAlignment="1">
      <alignment vertical="center" wrapText="1"/>
    </xf>
    <xf numFmtId="0" fontId="9" fillId="9" borderId="51" xfId="0" applyFont="1" applyFill="1" applyBorder="1" applyAlignment="1">
      <alignment horizontal="left" vertical="center"/>
    </xf>
    <xf numFmtId="0" fontId="9" fillId="5" borderId="51" xfId="0" applyFont="1" applyFill="1" applyBorder="1" applyAlignment="1">
      <alignment horizontal="right" vertical="center"/>
    </xf>
    <xf numFmtId="0" fontId="9" fillId="6" borderId="55" xfId="0" applyFont="1" applyFill="1" applyBorder="1" applyAlignment="1">
      <alignment horizontal="left" vertical="center"/>
    </xf>
    <xf numFmtId="0" fontId="17" fillId="12" borderId="58" xfId="0" applyFont="1" applyFill="1" applyBorder="1" applyAlignment="1">
      <alignment vertical="center" wrapText="1"/>
    </xf>
    <xf numFmtId="0" fontId="17" fillId="12" borderId="92" xfId="0" applyFont="1" applyFill="1" applyBorder="1" applyAlignment="1">
      <alignment vertical="center" wrapText="1"/>
    </xf>
    <xf numFmtId="176" fontId="14" fillId="4" borderId="94" xfId="0" applyNumberFormat="1" applyFont="1" applyFill="1" applyBorder="1" applyAlignment="1">
      <alignment horizontal="right" vertical="center"/>
    </xf>
    <xf numFmtId="0" fontId="9" fillId="0" borderId="2" xfId="0" applyFont="1" applyBorder="1"/>
    <xf numFmtId="176" fontId="13" fillId="5" borderId="57" xfId="0" applyNumberFormat="1" applyFont="1" applyFill="1" applyBorder="1" applyAlignment="1">
      <alignment horizontal="right" vertical="center"/>
    </xf>
    <xf numFmtId="176" fontId="13" fillId="5" borderId="56" xfId="0" applyNumberFormat="1" applyFont="1" applyFill="1" applyBorder="1" applyAlignment="1">
      <alignment horizontal="right" vertical="center"/>
    </xf>
    <xf numFmtId="0" fontId="0" fillId="0" borderId="95" xfId="0" applyBorder="1"/>
    <xf numFmtId="0" fontId="0" fillId="0" borderId="97" xfId="0" applyBorder="1"/>
    <xf numFmtId="0" fontId="0" fillId="0" borderId="88" xfId="0" applyBorder="1"/>
    <xf numFmtId="0" fontId="18" fillId="15" borderId="78" xfId="0" applyFont="1" applyFill="1" applyBorder="1"/>
    <xf numFmtId="0" fontId="0" fillId="15" borderId="102" xfId="0" applyFill="1" applyBorder="1"/>
    <xf numFmtId="0" fontId="0" fillId="15" borderId="83" xfId="0" applyFill="1" applyBorder="1"/>
    <xf numFmtId="0" fontId="19" fillId="15" borderId="86" xfId="0" applyFont="1" applyFill="1" applyBorder="1"/>
    <xf numFmtId="0" fontId="19" fillId="14" borderId="78" xfId="0" applyFont="1" applyFill="1" applyBorder="1" applyAlignment="1">
      <alignment vertical="center"/>
    </xf>
    <xf numFmtId="0" fontId="0" fillId="14" borderId="102" xfId="0" applyFill="1" applyBorder="1"/>
    <xf numFmtId="0" fontId="0" fillId="14" borderId="83" xfId="0" applyFill="1" applyBorder="1"/>
    <xf numFmtId="0" fontId="5" fillId="9" borderId="115" xfId="0" applyFont="1" applyFill="1" applyBorder="1" applyAlignment="1">
      <alignment horizontal="left" vertical="center"/>
    </xf>
    <xf numFmtId="176" fontId="13" fillId="5" borderId="129" xfId="0" applyNumberFormat="1" applyFont="1" applyFill="1" applyBorder="1" applyAlignment="1">
      <alignment horizontal="right" vertical="center"/>
    </xf>
    <xf numFmtId="0" fontId="7" fillId="12" borderId="137" xfId="0" applyFont="1" applyFill="1" applyBorder="1" applyAlignment="1">
      <alignment vertical="center" wrapText="1"/>
    </xf>
    <xf numFmtId="0" fontId="5" fillId="2" borderId="138" xfId="0" applyFont="1" applyFill="1" applyBorder="1" applyAlignment="1">
      <alignment horizontal="center" vertical="center" shrinkToFit="1"/>
    </xf>
    <xf numFmtId="176" fontId="13" fillId="0" borderId="56" xfId="0" applyNumberFormat="1" applyFont="1" applyBorder="1" applyAlignment="1">
      <alignment horizontal="right" vertical="center"/>
    </xf>
    <xf numFmtId="176" fontId="13" fillId="11" borderId="56" xfId="0" applyNumberFormat="1" applyFont="1" applyFill="1" applyBorder="1" applyAlignment="1">
      <alignment horizontal="right" vertical="center"/>
    </xf>
    <xf numFmtId="176" fontId="14" fillId="4" borderId="27" xfId="0" applyNumberFormat="1" applyFont="1" applyFill="1" applyBorder="1" applyAlignment="1">
      <alignment horizontal="right" vertical="center"/>
    </xf>
    <xf numFmtId="176" fontId="13" fillId="10" borderId="141" xfId="0" applyNumberFormat="1" applyFont="1" applyFill="1" applyBorder="1" applyAlignment="1">
      <alignment horizontal="right" vertical="center"/>
    </xf>
    <xf numFmtId="0" fontId="17" fillId="2" borderId="114" xfId="0" applyFont="1" applyFill="1" applyBorder="1" applyAlignment="1">
      <alignment horizontal="center" vertical="center" shrinkToFit="1"/>
    </xf>
    <xf numFmtId="176" fontId="14" fillId="0" borderId="37" xfId="0" applyNumberFormat="1" applyFont="1" applyBorder="1" applyAlignment="1">
      <alignment horizontal="right" vertical="center" shrinkToFit="1"/>
    </xf>
    <xf numFmtId="176" fontId="13" fillId="11" borderId="129" xfId="0" applyNumberFormat="1" applyFont="1" applyFill="1" applyBorder="1" applyAlignment="1">
      <alignment horizontal="right" vertical="center"/>
    </xf>
    <xf numFmtId="176" fontId="13" fillId="5" borderId="91" xfId="0" applyNumberFormat="1" applyFont="1" applyFill="1" applyBorder="1" applyAlignment="1">
      <alignment horizontal="right" vertical="center"/>
    </xf>
    <xf numFmtId="176" fontId="14" fillId="12" borderId="7" xfId="0" applyNumberFormat="1" applyFont="1" applyFill="1" applyBorder="1" applyAlignment="1">
      <alignment horizontal="right" vertical="center"/>
    </xf>
    <xf numFmtId="176" fontId="13" fillId="9" borderId="142" xfId="0" applyNumberFormat="1" applyFont="1" applyFill="1" applyBorder="1" applyAlignment="1">
      <alignment horizontal="right" vertical="center"/>
    </xf>
    <xf numFmtId="176" fontId="14" fillId="7" borderId="6" xfId="0" applyNumberFormat="1" applyFont="1" applyFill="1" applyBorder="1" applyAlignment="1">
      <alignment horizontal="right" vertical="center" shrinkToFit="1"/>
    </xf>
    <xf numFmtId="176" fontId="14" fillId="7" borderId="37" xfId="0" applyNumberFormat="1" applyFont="1" applyFill="1" applyBorder="1" applyAlignment="1">
      <alignment horizontal="right" vertical="center" shrinkToFit="1"/>
    </xf>
    <xf numFmtId="176" fontId="14" fillId="4" borderId="73" xfId="0" applyNumberFormat="1" applyFont="1" applyFill="1" applyBorder="1" applyAlignment="1">
      <alignment horizontal="right" vertical="center" shrinkToFit="1"/>
    </xf>
    <xf numFmtId="0" fontId="5" fillId="5" borderId="145" xfId="0" applyFont="1" applyFill="1" applyBorder="1" applyAlignment="1">
      <alignment horizontal="right" vertical="center" wrapText="1"/>
    </xf>
    <xf numFmtId="0" fontId="9" fillId="5" borderId="145" xfId="0" applyFont="1" applyFill="1" applyBorder="1" applyAlignment="1">
      <alignment horizontal="right" vertical="center" wrapText="1"/>
    </xf>
    <xf numFmtId="0" fontId="9" fillId="5" borderId="146" xfId="0" applyFont="1" applyFill="1" applyBorder="1" applyAlignment="1">
      <alignment horizontal="right" vertical="center" wrapText="1"/>
    </xf>
    <xf numFmtId="176" fontId="13" fillId="11" borderId="149" xfId="0" applyNumberFormat="1" applyFont="1" applyFill="1" applyBorder="1" applyAlignment="1">
      <alignment horizontal="right" vertical="center"/>
    </xf>
    <xf numFmtId="176" fontId="14" fillId="4" borderId="150" xfId="0" applyNumberFormat="1" applyFont="1" applyFill="1" applyBorder="1" applyAlignment="1">
      <alignment horizontal="right" vertical="center"/>
    </xf>
    <xf numFmtId="176" fontId="13" fillId="5" borderId="144" xfId="1" applyNumberFormat="1" applyFont="1" applyFill="1" applyBorder="1" applyAlignment="1">
      <alignment horizontal="right" vertical="center"/>
    </xf>
    <xf numFmtId="176" fontId="14" fillId="4" borderId="151" xfId="0" applyNumberFormat="1" applyFont="1" applyFill="1" applyBorder="1" applyAlignment="1">
      <alignment horizontal="right" vertical="center"/>
    </xf>
    <xf numFmtId="176" fontId="13" fillId="5" borderId="152" xfId="1" applyNumberFormat="1" applyFont="1" applyFill="1" applyBorder="1" applyAlignment="1">
      <alignment horizontal="right" vertical="center"/>
    </xf>
    <xf numFmtId="176" fontId="13" fillId="5" borderId="152" xfId="0" applyNumberFormat="1" applyFont="1" applyFill="1" applyBorder="1" applyAlignment="1">
      <alignment horizontal="right" vertical="center"/>
    </xf>
    <xf numFmtId="176" fontId="5" fillId="0" borderId="90" xfId="0" applyNumberFormat="1" applyFont="1" applyBorder="1"/>
    <xf numFmtId="38" fontId="20" fillId="15" borderId="110" xfId="9" applyFont="1" applyFill="1" applyBorder="1" applyAlignment="1"/>
    <xf numFmtId="38" fontId="20" fillId="15" borderId="102" xfId="9" applyFont="1" applyFill="1" applyBorder="1" applyAlignment="1"/>
    <xf numFmtId="38" fontId="20" fillId="15" borderId="103" xfId="9" applyFont="1" applyFill="1" applyBorder="1" applyAlignment="1"/>
    <xf numFmtId="38" fontId="20" fillId="0" borderId="4" xfId="9" applyFont="1" applyBorder="1" applyAlignment="1"/>
    <xf numFmtId="38" fontId="20" fillId="0" borderId="95" xfId="9" applyFont="1" applyBorder="1" applyAlignment="1"/>
    <xf numFmtId="38" fontId="20" fillId="0" borderId="96" xfId="9" applyFont="1" applyBorder="1" applyAlignment="1"/>
    <xf numFmtId="38" fontId="20" fillId="0" borderId="84" xfId="9" applyFont="1" applyBorder="1" applyAlignment="1"/>
    <xf numFmtId="38" fontId="20" fillId="0" borderId="85" xfId="9" applyFont="1" applyBorder="1" applyAlignment="1"/>
    <xf numFmtId="38" fontId="20" fillId="0" borderId="83" xfId="9" applyFont="1" applyBorder="1" applyAlignment="1"/>
    <xf numFmtId="38" fontId="20" fillId="0" borderId="88" xfId="9" applyFont="1" applyBorder="1" applyAlignment="1"/>
    <xf numFmtId="0" fontId="20" fillId="14" borderId="79" xfId="0" applyFont="1" applyFill="1" applyBorder="1"/>
    <xf numFmtId="0" fontId="20" fillId="14" borderId="80" xfId="0" applyFont="1" applyFill="1" applyBorder="1"/>
    <xf numFmtId="38" fontId="20" fillId="14" borderId="103" xfId="9" applyFont="1" applyFill="1" applyBorder="1" applyAlignment="1"/>
    <xf numFmtId="38" fontId="20" fillId="14" borderId="110" xfId="9" applyFont="1" applyFill="1" applyBorder="1" applyAlignment="1"/>
    <xf numFmtId="38" fontId="20" fillId="14" borderId="102" xfId="9" applyFont="1" applyFill="1" applyBorder="1" applyAlignment="1"/>
    <xf numFmtId="38" fontId="20" fillId="0" borderId="98" xfId="9" applyFont="1" applyBorder="1" applyAlignment="1"/>
    <xf numFmtId="38" fontId="20" fillId="0" borderId="99" xfId="9" applyFont="1" applyBorder="1" applyAlignment="1"/>
    <xf numFmtId="38" fontId="20" fillId="0" borderId="97" xfId="9" applyFont="1" applyBorder="1" applyAlignment="1"/>
    <xf numFmtId="38" fontId="20" fillId="14" borderId="85" xfId="9" applyFont="1" applyFill="1" applyBorder="1" applyAlignment="1"/>
    <xf numFmtId="38" fontId="20" fillId="14" borderId="84" xfId="9" applyFont="1" applyFill="1" applyBorder="1" applyAlignment="1"/>
    <xf numFmtId="38" fontId="20" fillId="14" borderId="83" xfId="9" applyFont="1" applyFill="1" applyBorder="1" applyAlignment="1"/>
    <xf numFmtId="38" fontId="20" fillId="0" borderId="82" xfId="9" applyFont="1" applyBorder="1" applyAlignment="1"/>
    <xf numFmtId="38" fontId="20" fillId="0" borderId="0" xfId="9" applyFont="1" applyBorder="1" applyAlignment="1"/>
    <xf numFmtId="38" fontId="20" fillId="0" borderId="81" xfId="9" applyFont="1" applyBorder="1" applyAlignment="1"/>
    <xf numFmtId="38" fontId="20" fillId="15" borderId="85" xfId="9" applyFont="1" applyFill="1" applyBorder="1" applyAlignment="1"/>
    <xf numFmtId="38" fontId="20" fillId="15" borderId="84" xfId="9" applyFont="1" applyFill="1" applyBorder="1" applyAlignment="1"/>
    <xf numFmtId="38" fontId="20" fillId="15" borderId="83" xfId="9" applyFont="1" applyFill="1" applyBorder="1" applyAlignment="1"/>
    <xf numFmtId="38" fontId="20" fillId="0" borderId="0" xfId="9" applyFont="1" applyAlignment="1"/>
    <xf numFmtId="38" fontId="20" fillId="15" borderId="88" xfId="9" applyFont="1" applyFill="1" applyBorder="1" applyAlignment="1"/>
    <xf numFmtId="38" fontId="20" fillId="15" borderId="87" xfId="9" applyFont="1" applyFill="1" applyBorder="1" applyAlignment="1"/>
    <xf numFmtId="38" fontId="20" fillId="0" borderId="82" xfId="9" applyFont="1" applyFill="1" applyBorder="1" applyAlignment="1"/>
    <xf numFmtId="38" fontId="20" fillId="0" borderId="0" xfId="9" applyFont="1" applyFill="1" applyBorder="1" applyAlignment="1"/>
    <xf numFmtId="38" fontId="20" fillId="0" borderId="81" xfId="9" applyFont="1" applyFill="1" applyBorder="1" applyAlignment="1"/>
    <xf numFmtId="38" fontId="20" fillId="0" borderId="98" xfId="9" applyFont="1" applyFill="1" applyBorder="1" applyAlignment="1"/>
    <xf numFmtId="38" fontId="20" fillId="0" borderId="99" xfId="9" applyFont="1" applyFill="1" applyBorder="1" applyAlignment="1"/>
    <xf numFmtId="38" fontId="20" fillId="0" borderId="97" xfId="9" applyFont="1" applyFill="1" applyBorder="1" applyAlignment="1"/>
    <xf numFmtId="176" fontId="13" fillId="5" borderId="158" xfId="0" applyNumberFormat="1" applyFont="1" applyFill="1" applyBorder="1" applyAlignment="1">
      <alignment horizontal="right" vertical="center"/>
    </xf>
    <xf numFmtId="176" fontId="14" fillId="4" borderId="153" xfId="0" applyNumberFormat="1" applyFont="1" applyFill="1" applyBorder="1" applyAlignment="1">
      <alignment horizontal="right" vertical="center" shrinkToFit="1"/>
    </xf>
    <xf numFmtId="176" fontId="14" fillId="12" borderId="137" xfId="0" applyNumberFormat="1" applyFont="1" applyFill="1" applyBorder="1" applyAlignment="1">
      <alignment horizontal="right" vertical="center"/>
    </xf>
    <xf numFmtId="176" fontId="16" fillId="10" borderId="49" xfId="0" applyNumberFormat="1" applyFont="1" applyFill="1" applyBorder="1" applyAlignment="1">
      <alignment horizontal="right" vertical="center"/>
    </xf>
    <xf numFmtId="176" fontId="16" fillId="5" borderId="52" xfId="0" applyNumberFormat="1" applyFont="1" applyFill="1" applyBorder="1" applyAlignment="1">
      <alignment horizontal="right" vertical="center"/>
    </xf>
    <xf numFmtId="176" fontId="16" fillId="10" borderId="116" xfId="0" applyNumberFormat="1" applyFont="1" applyFill="1" applyBorder="1" applyAlignment="1">
      <alignment horizontal="right" vertical="center"/>
    </xf>
    <xf numFmtId="176" fontId="16" fillId="0" borderId="52" xfId="0" applyNumberFormat="1" applyFont="1" applyBorder="1" applyAlignment="1">
      <alignment horizontal="right" vertical="center"/>
    </xf>
    <xf numFmtId="176" fontId="16" fillId="11" borderId="52" xfId="0" applyNumberFormat="1" applyFont="1" applyFill="1" applyBorder="1" applyAlignment="1">
      <alignment horizontal="right" vertical="center"/>
    </xf>
    <xf numFmtId="176" fontId="16" fillId="5" borderId="57" xfId="0" applyNumberFormat="1" applyFont="1" applyFill="1" applyBorder="1" applyAlignment="1">
      <alignment horizontal="right" vertical="center"/>
    </xf>
    <xf numFmtId="176" fontId="16" fillId="7" borderId="39" xfId="0" applyNumberFormat="1" applyFont="1" applyFill="1" applyBorder="1" applyAlignment="1">
      <alignment horizontal="right" vertical="center" shrinkToFit="1"/>
    </xf>
    <xf numFmtId="176" fontId="16" fillId="5" borderId="8" xfId="0" applyNumberFormat="1" applyFont="1" applyFill="1" applyBorder="1" applyAlignment="1">
      <alignment horizontal="right" vertical="center"/>
    </xf>
    <xf numFmtId="176" fontId="21" fillId="5" borderId="8" xfId="0" applyNumberFormat="1" applyFont="1" applyFill="1" applyBorder="1" applyAlignment="1">
      <alignment horizontal="right" vertical="center"/>
    </xf>
    <xf numFmtId="176" fontId="21" fillId="4" borderId="93" xfId="0" applyNumberFormat="1" applyFont="1" applyFill="1" applyBorder="1" applyAlignment="1">
      <alignment horizontal="right" vertical="center"/>
    </xf>
    <xf numFmtId="176" fontId="16" fillId="10" borderId="64" xfId="0" applyNumberFormat="1" applyFont="1" applyFill="1" applyBorder="1" applyAlignment="1">
      <alignment horizontal="right" vertical="center"/>
    </xf>
    <xf numFmtId="176" fontId="21" fillId="4" borderId="21" xfId="0" applyNumberFormat="1" applyFont="1" applyFill="1" applyBorder="1" applyAlignment="1">
      <alignment horizontal="right" vertical="center"/>
    </xf>
    <xf numFmtId="0" fontId="22" fillId="15" borderId="102" xfId="0" applyFont="1" applyFill="1" applyBorder="1"/>
    <xf numFmtId="38" fontId="22" fillId="15" borderId="110" xfId="9" applyFont="1" applyFill="1" applyBorder="1" applyAlignment="1"/>
    <xf numFmtId="0" fontId="22" fillId="0" borderId="95" xfId="0" applyFont="1" applyBorder="1"/>
    <xf numFmtId="38" fontId="22" fillId="0" borderId="4" xfId="9" applyFont="1" applyBorder="1" applyAlignment="1"/>
    <xf numFmtId="0" fontId="22" fillId="0" borderId="83" xfId="0" applyFont="1" applyBorder="1"/>
    <xf numFmtId="38" fontId="22" fillId="0" borderId="84" xfId="9" applyFont="1" applyBorder="1" applyAlignment="1"/>
    <xf numFmtId="0" fontId="22" fillId="0" borderId="88" xfId="0" applyFont="1" applyBorder="1"/>
    <xf numFmtId="38" fontId="22" fillId="0" borderId="88" xfId="9" applyFont="1" applyBorder="1" applyAlignment="1"/>
    <xf numFmtId="0" fontId="22" fillId="14" borderId="79" xfId="0" applyFont="1" applyFill="1" applyBorder="1"/>
    <xf numFmtId="0" fontId="22" fillId="14" borderId="102" xfId="0" applyFont="1" applyFill="1" applyBorder="1"/>
    <xf numFmtId="38" fontId="22" fillId="14" borderId="103" xfId="9" applyFont="1" applyFill="1" applyBorder="1" applyAlignment="1"/>
    <xf numFmtId="0" fontId="22" fillId="0" borderId="97" xfId="0" applyFont="1" applyBorder="1"/>
    <xf numFmtId="38" fontId="22" fillId="0" borderId="98" xfId="9" applyFont="1" applyBorder="1" applyAlignment="1"/>
    <xf numFmtId="0" fontId="22" fillId="14" borderId="83" xfId="0" applyFont="1" applyFill="1" applyBorder="1"/>
    <xf numFmtId="38" fontId="22" fillId="14" borderId="85" xfId="9" applyFont="1" applyFill="1" applyBorder="1" applyAlignment="1"/>
    <xf numFmtId="0" fontId="22" fillId="0" borderId="81" xfId="0" applyFont="1" applyBorder="1"/>
    <xf numFmtId="38" fontId="22" fillId="0" borderId="82" xfId="9" applyFont="1" applyFill="1" applyBorder="1" applyAlignment="1"/>
    <xf numFmtId="0" fontId="22" fillId="15" borderId="83" xfId="0" applyFont="1" applyFill="1" applyBorder="1"/>
    <xf numFmtId="38" fontId="22" fillId="15" borderId="85" xfId="9" applyFont="1" applyFill="1" applyBorder="1" applyAlignment="1"/>
    <xf numFmtId="38" fontId="22" fillId="0" borderId="98" xfId="9" applyFont="1" applyFill="1" applyBorder="1" applyAlignment="1"/>
    <xf numFmtId="0" fontId="22" fillId="0" borderId="0" xfId="0" applyFont="1"/>
    <xf numFmtId="38" fontId="22" fillId="0" borderId="0" xfId="9" applyFont="1" applyBorder="1" applyAlignment="1"/>
    <xf numFmtId="38" fontId="22" fillId="0" borderId="0" xfId="9" applyFont="1" applyAlignment="1"/>
    <xf numFmtId="0" fontId="22" fillId="15" borderId="88" xfId="0" applyFont="1" applyFill="1" applyBorder="1"/>
    <xf numFmtId="38" fontId="22" fillId="15" borderId="88" xfId="9" applyFont="1" applyFill="1" applyBorder="1" applyAlignment="1"/>
    <xf numFmtId="38" fontId="22" fillId="0" borderId="82" xfId="9" applyFont="1" applyBorder="1" applyAlignment="1"/>
    <xf numFmtId="0" fontId="9" fillId="2" borderId="5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shrinkToFit="1"/>
    </xf>
    <xf numFmtId="0" fontId="17" fillId="0" borderId="6" xfId="0" applyFont="1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 wrapText="1"/>
    </xf>
    <xf numFmtId="176" fontId="9" fillId="0" borderId="38" xfId="0" applyNumberFormat="1" applyFont="1" applyBorder="1" applyAlignment="1">
      <alignment horizontal="right" vertical="center" shrinkToFit="1"/>
    </xf>
    <xf numFmtId="176" fontId="9" fillId="0" borderId="39" xfId="0" applyNumberFormat="1" applyFont="1" applyBorder="1" applyAlignment="1">
      <alignment horizontal="right" vertical="center" shrinkToFit="1"/>
    </xf>
    <xf numFmtId="0" fontId="17" fillId="4" borderId="42" xfId="0" applyFont="1" applyFill="1" applyBorder="1" applyAlignment="1">
      <alignment horizontal="center" vertical="center" wrapText="1"/>
    </xf>
    <xf numFmtId="176" fontId="17" fillId="4" borderId="43" xfId="0" applyNumberFormat="1" applyFont="1" applyFill="1" applyBorder="1" applyAlignment="1">
      <alignment horizontal="right" vertical="center" shrinkToFit="1"/>
    </xf>
    <xf numFmtId="176" fontId="17" fillId="4" borderId="44" xfId="0" applyNumberFormat="1" applyFont="1" applyFill="1" applyBorder="1" applyAlignment="1">
      <alignment horizontal="right" vertical="center" shrinkToFit="1"/>
    </xf>
    <xf numFmtId="0" fontId="9" fillId="9" borderId="48" xfId="0" applyFont="1" applyFill="1" applyBorder="1" applyAlignment="1">
      <alignment horizontal="left" vertical="center"/>
    </xf>
    <xf numFmtId="176" fontId="9" fillId="10" borderId="89" xfId="0" applyNumberFormat="1" applyFont="1" applyFill="1" applyBorder="1" applyAlignment="1">
      <alignment horizontal="right" vertical="center"/>
    </xf>
    <xf numFmtId="176" fontId="9" fillId="10" borderId="49" xfId="0" applyNumberFormat="1" applyFont="1" applyFill="1" applyBorder="1" applyAlignment="1">
      <alignment horizontal="right" vertical="center"/>
    </xf>
    <xf numFmtId="176" fontId="9" fillId="5" borderId="66" xfId="0" applyNumberFormat="1" applyFont="1" applyFill="1" applyBorder="1" applyAlignment="1">
      <alignment horizontal="right" vertical="center"/>
    </xf>
    <xf numFmtId="176" fontId="9" fillId="5" borderId="52" xfId="0" applyNumberFormat="1" applyFont="1" applyFill="1" applyBorder="1" applyAlignment="1">
      <alignment horizontal="right" vertical="center"/>
    </xf>
    <xf numFmtId="176" fontId="9" fillId="0" borderId="66" xfId="0" applyNumberFormat="1" applyFont="1" applyBorder="1" applyAlignment="1">
      <alignment horizontal="right" vertical="center"/>
    </xf>
    <xf numFmtId="176" fontId="9" fillId="0" borderId="52" xfId="0" applyNumberFormat="1" applyFont="1" applyBorder="1" applyAlignment="1">
      <alignment horizontal="right" vertical="center"/>
    </xf>
    <xf numFmtId="176" fontId="9" fillId="11" borderId="66" xfId="0" applyNumberFormat="1" applyFont="1" applyFill="1" applyBorder="1" applyAlignment="1">
      <alignment horizontal="right" vertical="center"/>
    </xf>
    <xf numFmtId="176" fontId="9" fillId="11" borderId="52" xfId="0" applyNumberFormat="1" applyFont="1" applyFill="1" applyBorder="1" applyAlignment="1">
      <alignment horizontal="right" vertical="center"/>
    </xf>
    <xf numFmtId="176" fontId="9" fillId="5" borderId="67" xfId="0" applyNumberFormat="1" applyFont="1" applyFill="1" applyBorder="1" applyAlignment="1">
      <alignment horizontal="right" vertical="center"/>
    </xf>
    <xf numFmtId="176" fontId="9" fillId="5" borderId="57" xfId="0" applyNumberFormat="1" applyFont="1" applyFill="1" applyBorder="1" applyAlignment="1">
      <alignment horizontal="right" vertical="center"/>
    </xf>
    <xf numFmtId="176" fontId="9" fillId="10" borderId="116" xfId="0" applyNumberFormat="1" applyFont="1" applyFill="1" applyBorder="1" applyAlignment="1">
      <alignment horizontal="right" vertical="center"/>
    </xf>
    <xf numFmtId="176" fontId="9" fillId="7" borderId="38" xfId="0" applyNumberFormat="1" applyFont="1" applyFill="1" applyBorder="1" applyAlignment="1">
      <alignment horizontal="right" vertical="center" shrinkToFit="1"/>
    </xf>
    <xf numFmtId="176" fontId="9" fillId="7" borderId="39" xfId="0" applyNumberFormat="1" applyFont="1" applyFill="1" applyBorder="1" applyAlignment="1">
      <alignment horizontal="right" vertical="center" shrinkToFit="1"/>
    </xf>
    <xf numFmtId="0" fontId="17" fillId="4" borderId="73" xfId="0" applyFont="1" applyFill="1" applyBorder="1" applyAlignment="1">
      <alignment horizontal="center" vertical="center" wrapText="1"/>
    </xf>
    <xf numFmtId="176" fontId="17" fillId="4" borderId="74" xfId="0" applyNumberFormat="1" applyFont="1" applyFill="1" applyBorder="1" applyAlignment="1">
      <alignment horizontal="right" vertical="center" shrinkToFit="1"/>
    </xf>
    <xf numFmtId="176" fontId="17" fillId="4" borderId="75" xfId="0" applyNumberFormat="1" applyFont="1" applyFill="1" applyBorder="1" applyAlignment="1">
      <alignment horizontal="right" vertical="center" shrinkToFit="1"/>
    </xf>
    <xf numFmtId="0" fontId="9" fillId="0" borderId="9" xfId="0" applyFont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shrinkToFit="1"/>
    </xf>
    <xf numFmtId="0" fontId="17" fillId="2" borderId="5" xfId="0" applyFont="1" applyFill="1" applyBorder="1" applyAlignment="1">
      <alignment horizontal="center" vertical="center" shrinkToFit="1"/>
    </xf>
    <xf numFmtId="176" fontId="9" fillId="0" borderId="33" xfId="0" applyNumberFormat="1" applyFont="1" applyBorder="1" applyAlignment="1">
      <alignment horizontal="right" vertical="center" shrinkToFit="1"/>
    </xf>
    <xf numFmtId="176" fontId="9" fillId="0" borderId="34" xfId="0" applyNumberFormat="1" applyFont="1" applyBorder="1" applyAlignment="1">
      <alignment horizontal="right" vertical="center" shrinkToFit="1"/>
    </xf>
    <xf numFmtId="176" fontId="9" fillId="0" borderId="125" xfId="0" applyNumberFormat="1" applyFont="1" applyBorder="1" applyAlignment="1">
      <alignment horizontal="right" vertical="center" shrinkToFit="1"/>
    </xf>
    <xf numFmtId="176" fontId="17" fillId="0" borderId="117" xfId="0" applyNumberFormat="1" applyFont="1" applyBorder="1" applyAlignment="1">
      <alignment horizontal="right" vertical="center" shrinkToFit="1"/>
    </xf>
    <xf numFmtId="176" fontId="9" fillId="0" borderId="126" xfId="0" applyNumberFormat="1" applyFont="1" applyBorder="1" applyAlignment="1">
      <alignment horizontal="right" vertical="center" shrinkToFit="1"/>
    </xf>
    <xf numFmtId="176" fontId="17" fillId="0" borderId="118" xfId="0" applyNumberFormat="1" applyFont="1" applyBorder="1" applyAlignment="1">
      <alignment horizontal="right" vertical="center" shrinkToFit="1"/>
    </xf>
    <xf numFmtId="176" fontId="17" fillId="4" borderId="127" xfId="0" applyNumberFormat="1" applyFont="1" applyFill="1" applyBorder="1" applyAlignment="1">
      <alignment horizontal="right" vertical="center" shrinkToFit="1"/>
    </xf>
    <xf numFmtId="176" fontId="17" fillId="4" borderId="119" xfId="0" applyNumberFormat="1" applyFont="1" applyFill="1" applyBorder="1" applyAlignment="1">
      <alignment horizontal="right" vertical="center" shrinkToFit="1"/>
    </xf>
    <xf numFmtId="176" fontId="9" fillId="10" borderId="128" xfId="0" applyNumberFormat="1" applyFont="1" applyFill="1" applyBorder="1" applyAlignment="1">
      <alignment horizontal="right" vertical="center"/>
    </xf>
    <xf numFmtId="176" fontId="9" fillId="9" borderId="120" xfId="0" applyNumberFormat="1" applyFont="1" applyFill="1" applyBorder="1" applyAlignment="1">
      <alignment horizontal="right" vertical="center"/>
    </xf>
    <xf numFmtId="176" fontId="9" fillId="5" borderId="130" xfId="0" applyNumberFormat="1" applyFont="1" applyFill="1" applyBorder="1" applyAlignment="1">
      <alignment horizontal="right" vertical="center"/>
    </xf>
    <xf numFmtId="176" fontId="9" fillId="5" borderId="121" xfId="0" applyNumberFormat="1" applyFont="1" applyFill="1" applyBorder="1" applyAlignment="1">
      <alignment horizontal="right" vertical="center"/>
    </xf>
    <xf numFmtId="176" fontId="9" fillId="0" borderId="130" xfId="0" applyNumberFormat="1" applyFont="1" applyBorder="1" applyAlignment="1">
      <alignment horizontal="right" vertical="center"/>
    </xf>
    <xf numFmtId="176" fontId="9" fillId="11" borderId="130" xfId="0" applyNumberFormat="1" applyFont="1" applyFill="1" applyBorder="1" applyAlignment="1">
      <alignment horizontal="right" vertical="center"/>
    </xf>
    <xf numFmtId="176" fontId="9" fillId="11" borderId="121" xfId="0" applyNumberFormat="1" applyFont="1" applyFill="1" applyBorder="1" applyAlignment="1">
      <alignment horizontal="right" vertical="center"/>
    </xf>
    <xf numFmtId="176" fontId="9" fillId="5" borderId="16" xfId="0" applyNumberFormat="1" applyFont="1" applyFill="1" applyBorder="1" applyAlignment="1">
      <alignment horizontal="right" vertical="center"/>
    </xf>
    <xf numFmtId="176" fontId="9" fillId="5" borderId="8" xfId="0" applyNumberFormat="1" applyFont="1" applyFill="1" applyBorder="1" applyAlignment="1">
      <alignment horizontal="right" vertical="center"/>
    </xf>
    <xf numFmtId="176" fontId="9" fillId="5" borderId="131" xfId="0" applyNumberFormat="1" applyFont="1" applyFill="1" applyBorder="1" applyAlignment="1">
      <alignment horizontal="right" vertical="center"/>
    </xf>
    <xf numFmtId="176" fontId="17" fillId="5" borderId="16" xfId="0" applyNumberFormat="1" applyFont="1" applyFill="1" applyBorder="1" applyAlignment="1">
      <alignment horizontal="right" vertical="center"/>
    </xf>
    <xf numFmtId="176" fontId="17" fillId="5" borderId="8" xfId="0" applyNumberFormat="1" applyFont="1" applyFill="1" applyBorder="1" applyAlignment="1">
      <alignment horizontal="right" vertical="center"/>
    </xf>
    <xf numFmtId="176" fontId="17" fillId="5" borderId="131" xfId="0" applyNumberFormat="1" applyFont="1" applyFill="1" applyBorder="1" applyAlignment="1">
      <alignment horizontal="right" vertical="center"/>
    </xf>
    <xf numFmtId="176" fontId="9" fillId="5" borderId="132" xfId="0" applyNumberFormat="1" applyFont="1" applyFill="1" applyBorder="1" applyAlignment="1">
      <alignment horizontal="right" vertical="center"/>
    </xf>
    <xf numFmtId="176" fontId="17" fillId="4" borderId="113" xfId="0" applyNumberFormat="1" applyFont="1" applyFill="1" applyBorder="1" applyAlignment="1">
      <alignment horizontal="right" vertical="center"/>
    </xf>
    <xf numFmtId="176" fontId="17" fillId="4" borderId="93" xfId="0" applyNumberFormat="1" applyFont="1" applyFill="1" applyBorder="1" applyAlignment="1">
      <alignment horizontal="right" vertical="center"/>
    </xf>
    <xf numFmtId="176" fontId="17" fillId="4" borderId="134" xfId="0" applyNumberFormat="1" applyFont="1" applyFill="1" applyBorder="1" applyAlignment="1">
      <alignment horizontal="right" vertical="center"/>
    </xf>
    <xf numFmtId="176" fontId="17" fillId="12" borderId="143" xfId="0" applyNumberFormat="1" applyFont="1" applyFill="1" applyBorder="1" applyAlignment="1">
      <alignment horizontal="right" vertical="center"/>
    </xf>
    <xf numFmtId="176" fontId="9" fillId="10" borderId="63" xfId="0" applyNumberFormat="1" applyFont="1" applyFill="1" applyBorder="1" applyAlignment="1">
      <alignment horizontal="right" vertical="center"/>
    </xf>
    <xf numFmtId="176" fontId="9" fillId="10" borderId="64" xfId="0" applyNumberFormat="1" applyFont="1" applyFill="1" applyBorder="1" applyAlignment="1">
      <alignment horizontal="right" vertical="center"/>
    </xf>
    <xf numFmtId="176" fontId="9" fillId="10" borderId="133" xfId="0" applyNumberFormat="1" applyFont="1" applyFill="1" applyBorder="1" applyAlignment="1">
      <alignment horizontal="right" vertical="center"/>
    </xf>
    <xf numFmtId="176" fontId="9" fillId="9" borderId="122" xfId="0" applyNumberFormat="1" applyFont="1" applyFill="1" applyBorder="1" applyAlignment="1">
      <alignment horizontal="right" vertical="center"/>
    </xf>
    <xf numFmtId="176" fontId="17" fillId="4" borderId="20" xfId="0" applyNumberFormat="1" applyFont="1" applyFill="1" applyBorder="1" applyAlignment="1">
      <alignment horizontal="right" vertical="center"/>
    </xf>
    <xf numFmtId="176" fontId="17" fillId="4" borderId="21" xfId="0" applyNumberFormat="1" applyFont="1" applyFill="1" applyBorder="1" applyAlignment="1">
      <alignment horizontal="right" vertical="center"/>
    </xf>
    <xf numFmtId="176" fontId="17" fillId="4" borderId="22" xfId="0" applyNumberFormat="1" applyFont="1" applyFill="1" applyBorder="1" applyAlignment="1">
      <alignment horizontal="right" vertical="center"/>
    </xf>
    <xf numFmtId="176" fontId="9" fillId="9" borderId="63" xfId="0" applyNumberFormat="1" applyFont="1" applyFill="1" applyBorder="1" applyAlignment="1">
      <alignment horizontal="right" vertical="center"/>
    </xf>
    <xf numFmtId="176" fontId="9" fillId="6" borderId="66" xfId="0" applyNumberFormat="1" applyFont="1" applyFill="1" applyBorder="1" applyAlignment="1">
      <alignment horizontal="right" vertical="center"/>
    </xf>
    <xf numFmtId="176" fontId="17" fillId="12" borderId="20" xfId="0" applyNumberFormat="1" applyFont="1" applyFill="1" applyBorder="1" applyAlignment="1">
      <alignment horizontal="right" vertical="center"/>
    </xf>
    <xf numFmtId="0" fontId="17" fillId="0" borderId="70" xfId="0" applyFont="1" applyBorder="1" applyAlignment="1">
      <alignment horizontal="center" vertical="center" wrapText="1"/>
    </xf>
    <xf numFmtId="176" fontId="9" fillId="7" borderId="71" xfId="0" applyNumberFormat="1" applyFont="1" applyFill="1" applyBorder="1" applyAlignment="1">
      <alignment horizontal="right" vertical="center" shrinkToFit="1"/>
    </xf>
    <xf numFmtId="176" fontId="9" fillId="7" borderId="72" xfId="0" applyNumberFormat="1" applyFont="1" applyFill="1" applyBorder="1" applyAlignment="1">
      <alignment horizontal="right" vertical="center" shrinkToFit="1"/>
    </xf>
    <xf numFmtId="176" fontId="9" fillId="7" borderId="136" xfId="0" applyNumberFormat="1" applyFont="1" applyFill="1" applyBorder="1" applyAlignment="1">
      <alignment horizontal="right" vertical="center" shrinkToFit="1"/>
    </xf>
    <xf numFmtId="176" fontId="17" fillId="7" borderId="123" xfId="0" applyNumberFormat="1" applyFont="1" applyFill="1" applyBorder="1" applyAlignment="1">
      <alignment horizontal="right" vertical="center" shrinkToFit="1"/>
    </xf>
    <xf numFmtId="176" fontId="9" fillId="7" borderId="126" xfId="0" applyNumberFormat="1" applyFont="1" applyFill="1" applyBorder="1" applyAlignment="1">
      <alignment horizontal="right" vertical="center" shrinkToFit="1"/>
    </xf>
    <xf numFmtId="176" fontId="17" fillId="7" borderId="118" xfId="0" applyNumberFormat="1" applyFont="1" applyFill="1" applyBorder="1" applyAlignment="1">
      <alignment horizontal="right" vertical="center" shrinkToFit="1"/>
    </xf>
    <xf numFmtId="176" fontId="17" fillId="4" borderId="135" xfId="0" applyNumberFormat="1" applyFont="1" applyFill="1" applyBorder="1" applyAlignment="1">
      <alignment horizontal="right" vertical="center" shrinkToFit="1"/>
    </xf>
    <xf numFmtId="176" fontId="17" fillId="4" borderId="124" xfId="0" applyNumberFormat="1" applyFont="1" applyFill="1" applyBorder="1" applyAlignment="1">
      <alignment horizontal="right" vertical="center" shrinkToFit="1"/>
    </xf>
    <xf numFmtId="176" fontId="17" fillId="13" borderId="112" xfId="0" applyNumberFormat="1" applyFont="1" applyFill="1" applyBorder="1" applyAlignment="1">
      <alignment horizontal="right" vertical="center"/>
    </xf>
    <xf numFmtId="176" fontId="17" fillId="13" borderId="111" xfId="0" applyNumberFormat="1" applyFont="1" applyFill="1" applyBorder="1" applyAlignment="1">
      <alignment horizontal="right" vertical="center"/>
    </xf>
    <xf numFmtId="176" fontId="14" fillId="7" borderId="36" xfId="0" applyNumberFormat="1" applyFont="1" applyFill="1" applyBorder="1" applyAlignment="1">
      <alignment horizontal="right" vertical="center" shrinkToFit="1"/>
    </xf>
    <xf numFmtId="176" fontId="17" fillId="4" borderId="25" xfId="0" applyNumberFormat="1" applyFont="1" applyFill="1" applyBorder="1" applyAlignment="1">
      <alignment horizontal="right" vertical="center"/>
    </xf>
    <xf numFmtId="176" fontId="16" fillId="0" borderId="34" xfId="0" applyNumberFormat="1" applyFont="1" applyBorder="1" applyAlignment="1">
      <alignment horizontal="right" vertical="center" shrinkToFit="1"/>
    </xf>
    <xf numFmtId="176" fontId="16" fillId="0" borderId="39" xfId="0" applyNumberFormat="1" applyFont="1" applyBorder="1" applyAlignment="1">
      <alignment horizontal="right" vertical="center" shrinkToFit="1"/>
    </xf>
    <xf numFmtId="176" fontId="21" fillId="4" borderId="44" xfId="0" applyNumberFormat="1" applyFont="1" applyFill="1" applyBorder="1" applyAlignment="1">
      <alignment horizontal="right" vertical="center" shrinkToFit="1"/>
    </xf>
    <xf numFmtId="176" fontId="21" fillId="4" borderId="25" xfId="0" applyNumberFormat="1" applyFont="1" applyFill="1" applyBorder="1" applyAlignment="1">
      <alignment horizontal="right" vertical="center"/>
    </xf>
    <xf numFmtId="176" fontId="16" fillId="6" borderId="52" xfId="0" applyNumberFormat="1" applyFont="1" applyFill="1" applyBorder="1" applyAlignment="1">
      <alignment horizontal="right" vertical="center"/>
    </xf>
    <xf numFmtId="176" fontId="21" fillId="4" borderId="75" xfId="0" applyNumberFormat="1" applyFont="1" applyFill="1" applyBorder="1" applyAlignment="1">
      <alignment horizontal="right" vertical="center" shrinkToFit="1"/>
    </xf>
    <xf numFmtId="176" fontId="16" fillId="9" borderId="64" xfId="0" applyNumberFormat="1" applyFont="1" applyFill="1" applyBorder="1" applyAlignment="1">
      <alignment horizontal="right" vertical="center"/>
    </xf>
    <xf numFmtId="176" fontId="21" fillId="12" borderId="21" xfId="0" applyNumberFormat="1" applyFont="1" applyFill="1" applyBorder="1" applyAlignment="1">
      <alignment horizontal="right" vertical="center"/>
    </xf>
    <xf numFmtId="176" fontId="16" fillId="7" borderId="72" xfId="0" applyNumberFormat="1" applyFont="1" applyFill="1" applyBorder="1" applyAlignment="1">
      <alignment horizontal="right" vertical="center" shrinkToFit="1"/>
    </xf>
    <xf numFmtId="176" fontId="13" fillId="10" borderId="164" xfId="0" applyNumberFormat="1" applyFont="1" applyFill="1" applyBorder="1" applyAlignment="1">
      <alignment horizontal="right" vertical="center"/>
    </xf>
    <xf numFmtId="176" fontId="13" fillId="9" borderId="165" xfId="0" applyNumberFormat="1" applyFont="1" applyFill="1" applyBorder="1" applyAlignment="1">
      <alignment horizontal="right" vertical="center"/>
    </xf>
    <xf numFmtId="176" fontId="9" fillId="11" borderId="147" xfId="0" applyNumberFormat="1" applyFont="1" applyFill="1" applyBorder="1" applyAlignment="1">
      <alignment horizontal="right" vertical="center"/>
    </xf>
    <xf numFmtId="176" fontId="9" fillId="11" borderId="148" xfId="0" applyNumberFormat="1" applyFont="1" applyFill="1" applyBorder="1" applyAlignment="1">
      <alignment horizontal="right" vertical="center"/>
    </xf>
    <xf numFmtId="176" fontId="9" fillId="5" borderId="144" xfId="1" applyNumberFormat="1" applyFont="1" applyFill="1" applyBorder="1" applyAlignment="1">
      <alignment horizontal="right" vertical="center"/>
    </xf>
    <xf numFmtId="176" fontId="9" fillId="5" borderId="144" xfId="0" applyNumberFormat="1" applyFont="1" applyFill="1" applyBorder="1" applyAlignment="1">
      <alignment horizontal="right" vertical="center"/>
    </xf>
    <xf numFmtId="176" fontId="9" fillId="10" borderId="141" xfId="0" applyNumberFormat="1" applyFont="1" applyFill="1" applyBorder="1" applyAlignment="1">
      <alignment horizontal="right" vertical="center"/>
    </xf>
    <xf numFmtId="176" fontId="9" fillId="5" borderId="56" xfId="0" applyNumberFormat="1" applyFont="1" applyFill="1" applyBorder="1" applyAlignment="1">
      <alignment horizontal="right" vertical="center"/>
    </xf>
    <xf numFmtId="176" fontId="9" fillId="5" borderId="8" xfId="1" applyNumberFormat="1" applyFont="1" applyFill="1" applyBorder="1" applyAlignment="1">
      <alignment horizontal="right" vertical="center"/>
    </xf>
    <xf numFmtId="176" fontId="17" fillId="4" borderId="17" xfId="0" applyNumberFormat="1" applyFont="1" applyFill="1" applyBorder="1" applyAlignment="1">
      <alignment horizontal="right" vertical="center"/>
    </xf>
    <xf numFmtId="176" fontId="17" fillId="4" borderId="18" xfId="0" applyNumberFormat="1" applyFont="1" applyFill="1" applyBorder="1" applyAlignment="1">
      <alignment horizontal="right" vertical="center"/>
    </xf>
    <xf numFmtId="176" fontId="9" fillId="5" borderId="158" xfId="0" applyNumberFormat="1" applyFont="1" applyFill="1" applyBorder="1" applyAlignment="1">
      <alignment horizontal="right" vertical="center"/>
    </xf>
    <xf numFmtId="176" fontId="17" fillId="4" borderId="68" xfId="0" applyNumberFormat="1" applyFont="1" applyFill="1" applyBorder="1" applyAlignment="1">
      <alignment horizontal="right" vertical="center"/>
    </xf>
    <xf numFmtId="176" fontId="9" fillId="7" borderId="34" xfId="0" applyNumberFormat="1" applyFont="1" applyFill="1" applyBorder="1" applyAlignment="1">
      <alignment horizontal="right" vertical="center" shrinkToFit="1"/>
    </xf>
    <xf numFmtId="176" fontId="17" fillId="4" borderId="154" xfId="0" applyNumberFormat="1" applyFont="1" applyFill="1" applyBorder="1" applyAlignment="1">
      <alignment horizontal="right" vertical="center" shrinkToFit="1"/>
    </xf>
    <xf numFmtId="176" fontId="17" fillId="4" borderId="155" xfId="0" applyNumberFormat="1" applyFont="1" applyFill="1" applyBorder="1" applyAlignment="1">
      <alignment horizontal="right" vertical="center" shrinkToFit="1"/>
    </xf>
    <xf numFmtId="176" fontId="13" fillId="10" borderId="160" xfId="0" applyNumberFormat="1" applyFont="1" applyFill="1" applyBorder="1" applyAlignment="1">
      <alignment horizontal="right" vertical="center"/>
    </xf>
    <xf numFmtId="176" fontId="13" fillId="9" borderId="159" xfId="0" applyNumberFormat="1" applyFont="1" applyFill="1" applyBorder="1" applyAlignment="1">
      <alignment horizontal="right" vertical="center"/>
    </xf>
    <xf numFmtId="0" fontId="7" fillId="12" borderId="161" xfId="0" applyFont="1" applyFill="1" applyBorder="1" applyAlignment="1">
      <alignment vertical="center" wrapText="1"/>
    </xf>
    <xf numFmtId="176" fontId="14" fillId="4" borderId="162" xfId="0" applyNumberFormat="1" applyFont="1" applyFill="1" applyBorder="1" applyAlignment="1">
      <alignment horizontal="right" vertical="center"/>
    </xf>
    <xf numFmtId="176" fontId="14" fillId="12" borderId="163" xfId="0" applyNumberFormat="1" applyFont="1" applyFill="1" applyBorder="1" applyAlignment="1">
      <alignment horizontal="right" vertical="center"/>
    </xf>
    <xf numFmtId="0" fontId="5" fillId="0" borderId="166" xfId="0" applyFont="1" applyBorder="1" applyAlignment="1">
      <alignment vertical="center"/>
    </xf>
    <xf numFmtId="0" fontId="5" fillId="0" borderId="166" xfId="0" applyFont="1" applyBorder="1" applyAlignment="1">
      <alignment horizontal="center" vertical="center"/>
    </xf>
    <xf numFmtId="0" fontId="5" fillId="0" borderId="167" xfId="0" applyFont="1" applyBorder="1" applyAlignment="1">
      <alignment vertical="center"/>
    </xf>
    <xf numFmtId="0" fontId="9" fillId="5" borderId="168" xfId="0" applyFont="1" applyFill="1" applyBorder="1" applyAlignment="1">
      <alignment horizontal="right" vertical="center" wrapText="1"/>
    </xf>
    <xf numFmtId="176" fontId="9" fillId="5" borderId="169" xfId="0" applyNumberFormat="1" applyFont="1" applyFill="1" applyBorder="1" applyAlignment="1">
      <alignment horizontal="right" vertical="center"/>
    </xf>
    <xf numFmtId="176" fontId="9" fillId="0" borderId="172" xfId="0" applyNumberFormat="1" applyFont="1" applyBorder="1" applyAlignment="1">
      <alignment horizontal="right" vertical="center" shrinkToFit="1"/>
    </xf>
    <xf numFmtId="176" fontId="9" fillId="0" borderId="173" xfId="0" applyNumberFormat="1" applyFont="1" applyBorder="1" applyAlignment="1">
      <alignment horizontal="right" vertical="center" shrinkToFit="1"/>
    </xf>
    <xf numFmtId="0" fontId="7" fillId="0" borderId="171" xfId="0" applyFont="1" applyBorder="1" applyAlignment="1">
      <alignment horizontal="center" vertical="center" wrapText="1"/>
    </xf>
    <xf numFmtId="176" fontId="14" fillId="0" borderId="171" xfId="0" applyNumberFormat="1" applyFont="1" applyBorder="1" applyAlignment="1">
      <alignment horizontal="right" vertical="center" shrinkToFit="1"/>
    </xf>
    <xf numFmtId="0" fontId="7" fillId="4" borderId="175" xfId="0" applyFont="1" applyFill="1" applyBorder="1" applyAlignment="1">
      <alignment horizontal="center" vertical="center" wrapText="1"/>
    </xf>
    <xf numFmtId="176" fontId="17" fillId="4" borderId="176" xfId="0" applyNumberFormat="1" applyFont="1" applyFill="1" applyBorder="1" applyAlignment="1">
      <alignment horizontal="right" vertical="center" shrinkToFit="1"/>
    </xf>
    <xf numFmtId="176" fontId="17" fillId="4" borderId="177" xfId="0" applyNumberFormat="1" applyFont="1" applyFill="1" applyBorder="1" applyAlignment="1">
      <alignment horizontal="right" vertical="center" shrinkToFit="1"/>
    </xf>
    <xf numFmtId="176" fontId="14" fillId="4" borderId="178" xfId="0" applyNumberFormat="1" applyFont="1" applyFill="1" applyBorder="1" applyAlignment="1">
      <alignment horizontal="right" vertical="center" shrinkToFit="1"/>
    </xf>
    <xf numFmtId="176" fontId="14" fillId="4" borderId="175" xfId="0" applyNumberFormat="1" applyFont="1" applyFill="1" applyBorder="1" applyAlignment="1">
      <alignment horizontal="right" vertical="center" shrinkToFit="1"/>
    </xf>
    <xf numFmtId="176" fontId="13" fillId="0" borderId="174" xfId="0" applyNumberFormat="1" applyFont="1" applyBorder="1" applyAlignment="1">
      <alignment horizontal="right" vertical="center" shrinkToFit="1"/>
    </xf>
    <xf numFmtId="176" fontId="13" fillId="0" borderId="126" xfId="0" applyNumberFormat="1" applyFont="1" applyBorder="1" applyAlignment="1">
      <alignment horizontal="right" vertical="center" shrinkToFit="1"/>
    </xf>
    <xf numFmtId="0" fontId="22" fillId="15" borderId="79" xfId="0" applyFont="1" applyFill="1" applyBorder="1"/>
    <xf numFmtId="0" fontId="22" fillId="15" borderId="110" xfId="0" applyFont="1" applyFill="1" applyBorder="1"/>
    <xf numFmtId="38" fontId="22" fillId="15" borderId="100" xfId="9" applyFont="1" applyFill="1" applyBorder="1" applyAlignment="1"/>
    <xf numFmtId="0" fontId="22" fillId="0" borderId="4" xfId="0" applyFont="1" applyBorder="1"/>
    <xf numFmtId="38" fontId="22" fillId="0" borderId="28" xfId="9" applyFont="1" applyBorder="1" applyAlignment="1"/>
    <xf numFmtId="0" fontId="22" fillId="0" borderId="84" xfId="0" applyFont="1" applyBorder="1"/>
    <xf numFmtId="38" fontId="22" fillId="0" borderId="105" xfId="9" applyFont="1" applyBorder="1" applyAlignment="1"/>
    <xf numFmtId="38" fontId="22" fillId="0" borderId="107" xfId="9" applyFont="1" applyBorder="1" applyAlignment="1"/>
    <xf numFmtId="0" fontId="22" fillId="14" borderId="103" xfId="0" applyFont="1" applyFill="1" applyBorder="1"/>
    <xf numFmtId="38" fontId="22" fillId="14" borderId="110" xfId="9" applyFont="1" applyFill="1" applyBorder="1" applyAlignment="1"/>
    <xf numFmtId="0" fontId="22" fillId="0" borderId="98" xfId="0" applyFont="1" applyBorder="1"/>
    <xf numFmtId="38" fontId="22" fillId="0" borderId="99" xfId="9" applyFont="1" applyBorder="1" applyAlignment="1"/>
    <xf numFmtId="0" fontId="22" fillId="14" borderId="85" xfId="0" applyFont="1" applyFill="1" applyBorder="1"/>
    <xf numFmtId="38" fontId="22" fillId="14" borderId="84" xfId="9" applyFont="1" applyFill="1" applyBorder="1" applyAlignment="1"/>
    <xf numFmtId="0" fontId="22" fillId="0" borderId="82" xfId="0" applyFont="1" applyBorder="1"/>
    <xf numFmtId="38" fontId="22" fillId="0" borderId="0" xfId="9" applyFont="1" applyFill="1" applyBorder="1" applyAlignment="1"/>
    <xf numFmtId="0" fontId="22" fillId="15" borderId="85" xfId="0" applyFont="1" applyFill="1" applyBorder="1"/>
    <xf numFmtId="38" fontId="22" fillId="15" borderId="84" xfId="9" applyFont="1" applyFill="1" applyBorder="1" applyAlignment="1"/>
    <xf numFmtId="38" fontId="22" fillId="0" borderId="99" xfId="9" applyFont="1" applyFill="1" applyBorder="1" applyAlignment="1"/>
    <xf numFmtId="38" fontId="22" fillId="15" borderId="101" xfId="9" applyFont="1" applyFill="1" applyBorder="1" applyAlignment="1"/>
    <xf numFmtId="38" fontId="22" fillId="0" borderId="5" xfId="9" applyFont="1" applyBorder="1" applyAlignment="1"/>
    <xf numFmtId="38" fontId="22" fillId="14" borderId="102" xfId="9" applyFont="1" applyFill="1" applyBorder="1" applyAlignment="1"/>
    <xf numFmtId="38" fontId="22" fillId="0" borderId="97" xfId="9" applyFont="1" applyBorder="1" applyAlignment="1"/>
    <xf numFmtId="38" fontId="22" fillId="14" borderId="83" xfId="9" applyFont="1" applyFill="1" applyBorder="1" applyAlignment="1"/>
    <xf numFmtId="38" fontId="22" fillId="0" borderId="81" xfId="9" applyFont="1" applyFill="1" applyBorder="1" applyAlignment="1"/>
    <xf numFmtId="38" fontId="22" fillId="15" borderId="83" xfId="9" applyFont="1" applyFill="1" applyBorder="1" applyAlignment="1"/>
    <xf numFmtId="38" fontId="22" fillId="0" borderId="97" xfId="9" applyFont="1" applyFill="1" applyBorder="1" applyAlignment="1"/>
    <xf numFmtId="38" fontId="22" fillId="0" borderId="81" xfId="9" applyFont="1" applyBorder="1" applyAlignment="1"/>
    <xf numFmtId="0" fontId="9" fillId="9" borderId="115" xfId="0" applyFont="1" applyFill="1" applyBorder="1" applyAlignment="1">
      <alignment horizontal="left" vertical="center"/>
    </xf>
    <xf numFmtId="176" fontId="9" fillId="9" borderId="142" xfId="0" applyNumberFormat="1" applyFont="1" applyFill="1" applyBorder="1" applyAlignment="1">
      <alignment horizontal="right" vertical="center"/>
    </xf>
    <xf numFmtId="176" fontId="9" fillId="5" borderId="129" xfId="0" applyNumberFormat="1" applyFont="1" applyFill="1" applyBorder="1" applyAlignment="1">
      <alignment horizontal="right" vertical="center"/>
    </xf>
    <xf numFmtId="176" fontId="9" fillId="0" borderId="56" xfId="0" applyNumberFormat="1" applyFont="1" applyBorder="1" applyAlignment="1">
      <alignment horizontal="right" vertical="center"/>
    </xf>
    <xf numFmtId="176" fontId="9" fillId="11" borderId="149" xfId="0" applyNumberFormat="1" applyFont="1" applyFill="1" applyBorder="1" applyAlignment="1">
      <alignment horizontal="right" vertical="center"/>
    </xf>
    <xf numFmtId="176" fontId="9" fillId="11" borderId="129" xfId="0" applyNumberFormat="1" applyFont="1" applyFill="1" applyBorder="1" applyAlignment="1">
      <alignment horizontal="right" vertical="center"/>
    </xf>
    <xf numFmtId="176" fontId="9" fillId="5" borderId="152" xfId="1" applyNumberFormat="1" applyFont="1" applyFill="1" applyBorder="1" applyAlignment="1">
      <alignment horizontal="right" vertical="center"/>
    </xf>
    <xf numFmtId="176" fontId="9" fillId="5" borderId="152" xfId="0" applyNumberFormat="1" applyFont="1" applyFill="1" applyBorder="1" applyAlignment="1">
      <alignment horizontal="right" vertical="center"/>
    </xf>
    <xf numFmtId="176" fontId="9" fillId="5" borderId="91" xfId="0" applyNumberFormat="1" applyFont="1" applyFill="1" applyBorder="1" applyAlignment="1">
      <alignment horizontal="right" vertical="center"/>
    </xf>
    <xf numFmtId="0" fontId="17" fillId="12" borderId="7" xfId="0" applyFont="1" applyFill="1" applyBorder="1" applyAlignment="1">
      <alignment vertical="center" wrapText="1"/>
    </xf>
    <xf numFmtId="176" fontId="17" fillId="4" borderId="150" xfId="0" applyNumberFormat="1" applyFont="1" applyFill="1" applyBorder="1" applyAlignment="1">
      <alignment horizontal="right" vertical="center"/>
    </xf>
    <xf numFmtId="176" fontId="17" fillId="12" borderId="7" xfId="0" applyNumberFormat="1" applyFont="1" applyFill="1" applyBorder="1" applyAlignment="1">
      <alignment horizontal="right" vertical="center"/>
    </xf>
    <xf numFmtId="176" fontId="17" fillId="7" borderId="183" xfId="0" applyNumberFormat="1" applyFont="1" applyFill="1" applyBorder="1" applyAlignment="1">
      <alignment horizontal="right" vertical="center" shrinkToFit="1"/>
    </xf>
    <xf numFmtId="0" fontId="5" fillId="0" borderId="0" xfId="0" applyFont="1" applyAlignment="1">
      <alignment horizontal="center"/>
    </xf>
    <xf numFmtId="176" fontId="9" fillId="5" borderId="170" xfId="0" applyNumberFormat="1" applyFont="1" applyFill="1" applyBorder="1" applyAlignment="1">
      <alignment horizontal="right" vertical="center"/>
    </xf>
    <xf numFmtId="176" fontId="17" fillId="4" borderId="156" xfId="0" applyNumberFormat="1" applyFont="1" applyFill="1" applyBorder="1" applyAlignment="1">
      <alignment horizontal="right" vertical="center" shrinkToFit="1"/>
    </xf>
    <xf numFmtId="176" fontId="17" fillId="4" borderId="157" xfId="0" applyNumberFormat="1" applyFont="1" applyFill="1" applyBorder="1" applyAlignment="1">
      <alignment horizontal="right" vertical="center" shrinkToFit="1"/>
    </xf>
    <xf numFmtId="176" fontId="9" fillId="0" borderId="53" xfId="0" applyNumberFormat="1" applyFont="1" applyBorder="1" applyAlignment="1">
      <alignment horizontal="right" vertical="center"/>
    </xf>
    <xf numFmtId="176" fontId="9" fillId="11" borderId="53" xfId="0" applyNumberFormat="1" applyFont="1" applyFill="1" applyBorder="1" applyAlignment="1">
      <alignment horizontal="right" vertical="center"/>
    </xf>
    <xf numFmtId="176" fontId="17" fillId="4" borderId="94" xfId="0" applyNumberFormat="1" applyFont="1" applyFill="1" applyBorder="1" applyAlignment="1">
      <alignment horizontal="right" vertical="center"/>
    </xf>
    <xf numFmtId="176" fontId="9" fillId="10" borderId="65" xfId="0" applyNumberFormat="1" applyFont="1" applyFill="1" applyBorder="1" applyAlignment="1">
      <alignment horizontal="right" vertical="center"/>
    </xf>
    <xf numFmtId="176" fontId="17" fillId="4" borderId="59" xfId="0" applyNumberFormat="1" applyFont="1" applyFill="1" applyBorder="1" applyAlignment="1">
      <alignment horizontal="right" vertical="center"/>
    </xf>
    <xf numFmtId="176" fontId="9" fillId="10" borderId="160" xfId="0" applyNumberFormat="1" applyFont="1" applyFill="1" applyBorder="1" applyAlignment="1">
      <alignment horizontal="right" vertical="center"/>
    </xf>
    <xf numFmtId="176" fontId="17" fillId="4" borderId="162" xfId="0" applyNumberFormat="1" applyFont="1" applyFill="1" applyBorder="1" applyAlignment="1">
      <alignment horizontal="right" vertical="center"/>
    </xf>
    <xf numFmtId="176" fontId="17" fillId="7" borderId="179" xfId="0" applyNumberFormat="1" applyFont="1" applyFill="1" applyBorder="1" applyAlignment="1">
      <alignment horizontal="right" vertical="center" shrinkToFit="1"/>
    </xf>
    <xf numFmtId="176" fontId="16" fillId="0" borderId="173" xfId="0" applyNumberFormat="1" applyFont="1" applyBorder="1" applyAlignment="1">
      <alignment horizontal="right" vertical="center" shrinkToFit="1"/>
    </xf>
    <xf numFmtId="176" fontId="21" fillId="4" borderId="177" xfId="0" applyNumberFormat="1" applyFont="1" applyFill="1" applyBorder="1" applyAlignment="1">
      <alignment horizontal="right" vertical="center" shrinkToFit="1"/>
    </xf>
    <xf numFmtId="176" fontId="16" fillId="11" borderId="148" xfId="0" applyNumberFormat="1" applyFont="1" applyFill="1" applyBorder="1" applyAlignment="1">
      <alignment horizontal="right" vertical="center"/>
    </xf>
    <xf numFmtId="176" fontId="16" fillId="5" borderId="144" xfId="1" applyNumberFormat="1" applyFont="1" applyFill="1" applyBorder="1" applyAlignment="1">
      <alignment horizontal="right" vertical="center"/>
    </xf>
    <xf numFmtId="176" fontId="16" fillId="5" borderId="144" xfId="0" applyNumberFormat="1" applyFont="1" applyFill="1" applyBorder="1" applyAlignment="1">
      <alignment horizontal="right" vertical="center"/>
    </xf>
    <xf numFmtId="176" fontId="16" fillId="10" borderId="141" xfId="0" applyNumberFormat="1" applyFont="1" applyFill="1" applyBorder="1" applyAlignment="1">
      <alignment horizontal="right" vertical="center"/>
    </xf>
    <xf numFmtId="176" fontId="16" fillId="5" borderId="56" xfId="0" applyNumberFormat="1" applyFont="1" applyFill="1" applyBorder="1" applyAlignment="1">
      <alignment horizontal="right" vertical="center"/>
    </xf>
    <xf numFmtId="176" fontId="16" fillId="5" borderId="8" xfId="1" applyNumberFormat="1" applyFont="1" applyFill="1" applyBorder="1" applyAlignment="1">
      <alignment horizontal="right" vertical="center"/>
    </xf>
    <xf numFmtId="176" fontId="21" fillId="4" borderId="18" xfId="0" applyNumberFormat="1" applyFont="1" applyFill="1" applyBorder="1" applyAlignment="1">
      <alignment horizontal="right" vertical="center"/>
    </xf>
    <xf numFmtId="176" fontId="16" fillId="5" borderId="158" xfId="0" applyNumberFormat="1" applyFont="1" applyFill="1" applyBorder="1" applyAlignment="1">
      <alignment horizontal="right" vertical="center"/>
    </xf>
    <xf numFmtId="176" fontId="21" fillId="4" borderId="157" xfId="0" applyNumberFormat="1" applyFont="1" applyFill="1" applyBorder="1" applyAlignment="1">
      <alignment horizontal="right" vertical="center" shrinkToFit="1"/>
    </xf>
    <xf numFmtId="176" fontId="16" fillId="5" borderId="169" xfId="0" applyNumberFormat="1" applyFont="1" applyFill="1" applyBorder="1" applyAlignment="1">
      <alignment horizontal="right" vertical="center"/>
    </xf>
    <xf numFmtId="176" fontId="21" fillId="7" borderId="183" xfId="0" applyNumberFormat="1" applyFont="1" applyFill="1" applyBorder="1" applyAlignment="1">
      <alignment horizontal="right" vertical="center" shrinkToFit="1"/>
    </xf>
    <xf numFmtId="176" fontId="9" fillId="10" borderId="164" xfId="0" applyNumberFormat="1" applyFont="1" applyFill="1" applyBorder="1" applyAlignment="1">
      <alignment horizontal="right" vertical="center"/>
    </xf>
    <xf numFmtId="176" fontId="9" fillId="9" borderId="165" xfId="0" applyNumberFormat="1" applyFont="1" applyFill="1" applyBorder="1" applyAlignment="1">
      <alignment horizontal="right" vertical="center"/>
    </xf>
    <xf numFmtId="176" fontId="9" fillId="7" borderId="184" xfId="0" applyNumberFormat="1" applyFont="1" applyFill="1" applyBorder="1" applyAlignment="1">
      <alignment horizontal="right" vertical="center" shrinkToFit="1"/>
    </xf>
    <xf numFmtId="176" fontId="13" fillId="7" borderId="186" xfId="0" applyNumberFormat="1" applyFont="1" applyFill="1" applyBorder="1" applyAlignment="1">
      <alignment horizontal="right" vertical="center" shrinkToFit="1"/>
    </xf>
    <xf numFmtId="176" fontId="13" fillId="7" borderId="187" xfId="0" applyNumberFormat="1" applyFont="1" applyFill="1" applyBorder="1" applyAlignment="1">
      <alignment horizontal="right" vertical="center" shrinkToFit="1"/>
    </xf>
    <xf numFmtId="0" fontId="5" fillId="0" borderId="109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166" xfId="0" applyFont="1" applyBorder="1" applyAlignment="1">
      <alignment horizontal="center" vertical="center" wrapText="1"/>
    </xf>
    <xf numFmtId="176" fontId="17" fillId="0" borderId="166" xfId="0" applyNumberFormat="1" applyFont="1" applyBorder="1" applyAlignment="1">
      <alignment horizontal="center" vertical="center"/>
    </xf>
    <xf numFmtId="176" fontId="21" fillId="0" borderId="166" xfId="0" applyNumberFormat="1" applyFont="1" applyBorder="1" applyAlignment="1">
      <alignment horizontal="center" vertical="center"/>
    </xf>
    <xf numFmtId="176" fontId="14" fillId="0" borderId="166" xfId="0" applyNumberFormat="1" applyFont="1" applyBorder="1" applyAlignment="1">
      <alignment horizontal="center" vertical="center"/>
    </xf>
    <xf numFmtId="176" fontId="14" fillId="0" borderId="166" xfId="0" applyNumberFormat="1" applyFont="1" applyBorder="1" applyAlignment="1">
      <alignment horizontal="right" vertical="center"/>
    </xf>
    <xf numFmtId="176" fontId="17" fillId="0" borderId="0" xfId="0" applyNumberFormat="1" applyFont="1" applyAlignment="1">
      <alignment horizontal="center" vertical="center"/>
    </xf>
    <xf numFmtId="176" fontId="21" fillId="0" borderId="0" xfId="0" applyNumberFormat="1" applyFont="1" applyAlignment="1">
      <alignment horizontal="center" vertical="center"/>
    </xf>
    <xf numFmtId="176" fontId="14" fillId="0" borderId="0" xfId="0" applyNumberFormat="1" applyFont="1" applyAlignment="1">
      <alignment horizontal="center" vertical="center"/>
    </xf>
    <xf numFmtId="176" fontId="14" fillId="0" borderId="0" xfId="0" applyNumberFormat="1" applyFont="1" applyAlignment="1">
      <alignment horizontal="right" vertical="center"/>
    </xf>
    <xf numFmtId="0" fontId="5" fillId="0" borderId="4" xfId="0" applyFont="1" applyBorder="1" applyAlignment="1">
      <alignment horizontal="center" vertical="center" wrapText="1"/>
    </xf>
    <xf numFmtId="176" fontId="17" fillId="0" borderId="4" xfId="0" applyNumberFormat="1" applyFont="1" applyBorder="1" applyAlignment="1">
      <alignment horizontal="center" vertical="center"/>
    </xf>
    <xf numFmtId="176" fontId="21" fillId="0" borderId="4" xfId="0" applyNumberFormat="1" applyFont="1" applyBorder="1" applyAlignment="1">
      <alignment horizontal="center" vertical="center"/>
    </xf>
    <xf numFmtId="176" fontId="14" fillId="0" borderId="4" xfId="0" applyNumberFormat="1" applyFont="1" applyBorder="1" applyAlignment="1">
      <alignment horizontal="center" vertical="center"/>
    </xf>
    <xf numFmtId="176" fontId="14" fillId="0" borderId="4" xfId="0" applyNumberFormat="1" applyFont="1" applyBorder="1" applyAlignment="1">
      <alignment horizontal="right" vertical="center"/>
    </xf>
    <xf numFmtId="176" fontId="9" fillId="11" borderId="56" xfId="0" applyNumberFormat="1" applyFont="1" applyFill="1" applyBorder="1" applyAlignment="1">
      <alignment horizontal="right" vertical="center"/>
    </xf>
    <xf numFmtId="176" fontId="9" fillId="5" borderId="139" xfId="1" applyNumberFormat="1" applyFont="1" applyFill="1" applyBorder="1" applyAlignment="1">
      <alignment horizontal="right" vertical="center"/>
    </xf>
    <xf numFmtId="176" fontId="9" fillId="5" borderId="140" xfId="0" applyNumberFormat="1" applyFont="1" applyFill="1" applyBorder="1" applyAlignment="1">
      <alignment horizontal="right" vertical="center"/>
    </xf>
    <xf numFmtId="176" fontId="17" fillId="4" borderId="27" xfId="0" applyNumberFormat="1" applyFont="1" applyFill="1" applyBorder="1" applyAlignment="1">
      <alignment horizontal="right" vertical="center"/>
    </xf>
    <xf numFmtId="176" fontId="13" fillId="7" borderId="34" xfId="0" applyNumberFormat="1" applyFont="1" applyFill="1" applyBorder="1" applyAlignment="1">
      <alignment horizontal="right" vertical="center" shrinkToFit="1"/>
    </xf>
    <xf numFmtId="176" fontId="9" fillId="7" borderId="185" xfId="0" applyNumberFormat="1" applyFont="1" applyFill="1" applyBorder="1" applyAlignment="1">
      <alignment horizontal="right" vertical="center" shrinkToFit="1"/>
    </xf>
    <xf numFmtId="176" fontId="16" fillId="7" borderId="34" xfId="0" applyNumberFormat="1" applyFont="1" applyFill="1" applyBorder="1" applyAlignment="1">
      <alignment horizontal="right" vertical="center" shrinkToFit="1"/>
    </xf>
    <xf numFmtId="0" fontId="13" fillId="0" borderId="1" xfId="0" applyFont="1" applyBorder="1"/>
    <xf numFmtId="0" fontId="22" fillId="15" borderId="104" xfId="0" applyFont="1" applyFill="1" applyBorder="1" applyAlignment="1">
      <alignment horizontal="center"/>
    </xf>
    <xf numFmtId="0" fontId="22" fillId="15" borderId="106" xfId="0" applyFont="1" applyFill="1" applyBorder="1" applyAlignment="1">
      <alignment horizontal="center"/>
    </xf>
    <xf numFmtId="0" fontId="22" fillId="15" borderId="78" xfId="0" applyFont="1" applyFill="1" applyBorder="1" applyAlignment="1">
      <alignment horizontal="center"/>
    </xf>
    <xf numFmtId="0" fontId="22" fillId="15" borderId="79" xfId="0" applyFont="1" applyFill="1" applyBorder="1" applyAlignment="1">
      <alignment horizontal="center"/>
    </xf>
    <xf numFmtId="0" fontId="22" fillId="15" borderId="80" xfId="0" applyFont="1" applyFill="1" applyBorder="1"/>
    <xf numFmtId="0" fontId="22" fillId="15" borderId="80" xfId="0" applyFont="1" applyFill="1" applyBorder="1" applyAlignment="1">
      <alignment horizontal="center"/>
    </xf>
    <xf numFmtId="0" fontId="5" fillId="0" borderId="26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6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176" fontId="21" fillId="13" borderId="14" xfId="0" applyNumberFormat="1" applyFont="1" applyFill="1" applyBorder="1" applyAlignment="1">
      <alignment horizontal="center" vertical="center"/>
    </xf>
    <xf numFmtId="176" fontId="17" fillId="13" borderId="14" xfId="0" applyNumberFormat="1" applyFont="1" applyFill="1" applyBorder="1" applyAlignment="1">
      <alignment horizontal="center" vertical="center"/>
    </xf>
    <xf numFmtId="176" fontId="21" fillId="13" borderId="15" xfId="0" applyNumberFormat="1" applyFont="1" applyFill="1" applyBorder="1" applyAlignment="1">
      <alignment horizontal="center" vertical="center"/>
    </xf>
    <xf numFmtId="176" fontId="17" fillId="13" borderId="17" xfId="0" applyNumberFormat="1" applyFont="1" applyFill="1" applyBorder="1" applyAlignment="1">
      <alignment horizontal="center" vertical="center"/>
    </xf>
    <xf numFmtId="176" fontId="17" fillId="13" borderId="18" xfId="0" applyNumberFormat="1" applyFont="1" applyFill="1" applyBorder="1" applyAlignment="1">
      <alignment horizontal="center" vertical="center"/>
    </xf>
    <xf numFmtId="176" fontId="21" fillId="13" borderId="18" xfId="0" applyNumberFormat="1" applyFont="1" applyFill="1" applyBorder="1" applyAlignment="1">
      <alignment horizontal="center" vertical="center"/>
    </xf>
    <xf numFmtId="176" fontId="21" fillId="13" borderId="19" xfId="0" applyNumberFormat="1" applyFont="1" applyFill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68" xfId="0" applyFont="1" applyBorder="1" applyAlignment="1">
      <alignment horizontal="center" vertical="center"/>
    </xf>
    <xf numFmtId="0" fontId="9" fillId="0" borderId="61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9" fillId="0" borderId="69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center" vertical="center" wrapText="1"/>
    </xf>
    <xf numFmtId="176" fontId="17" fillId="13" borderId="13" xfId="0" applyNumberFormat="1" applyFont="1" applyFill="1" applyBorder="1" applyAlignment="1">
      <alignment horizontal="center" vertical="center"/>
    </xf>
    <xf numFmtId="0" fontId="5" fillId="0" borderId="68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left" vertical="center" wrapText="1"/>
    </xf>
    <xf numFmtId="0" fontId="5" fillId="0" borderId="69" xfId="0" applyFont="1" applyBorder="1" applyAlignment="1">
      <alignment horizontal="center" vertical="center" wrapText="1"/>
    </xf>
    <xf numFmtId="0" fontId="9" fillId="8" borderId="23" xfId="0" applyFont="1" applyFill="1" applyBorder="1" applyAlignment="1">
      <alignment horizontal="center" vertical="center" wrapText="1"/>
    </xf>
    <xf numFmtId="0" fontId="9" fillId="8" borderId="24" xfId="0" applyFont="1" applyFill="1" applyBorder="1" applyAlignment="1">
      <alignment horizontal="center" vertical="center" wrapText="1"/>
    </xf>
    <xf numFmtId="0" fontId="9" fillId="8" borderId="21" xfId="0" applyFont="1" applyFill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61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9" fillId="16" borderId="23" xfId="0" applyFont="1" applyFill="1" applyBorder="1" applyAlignment="1">
      <alignment horizontal="center" vertical="center" wrapText="1"/>
    </xf>
    <xf numFmtId="0" fontId="9" fillId="16" borderId="24" xfId="0" applyFont="1" applyFill="1" applyBorder="1" applyAlignment="1">
      <alignment horizontal="center" vertical="center" wrapText="1"/>
    </xf>
    <xf numFmtId="0" fontId="9" fillId="16" borderId="21" xfId="0" applyFont="1" applyFill="1" applyBorder="1" applyAlignment="1">
      <alignment horizontal="center" vertical="center" wrapText="1"/>
    </xf>
    <xf numFmtId="0" fontId="24" fillId="7" borderId="180" xfId="0" applyFont="1" applyFill="1" applyBorder="1" applyAlignment="1">
      <alignment horizontal="center" vertical="center"/>
    </xf>
    <xf numFmtId="0" fontId="24" fillId="7" borderId="181" xfId="0" applyFont="1" applyFill="1" applyBorder="1" applyAlignment="1">
      <alignment horizontal="center" vertical="center"/>
    </xf>
    <xf numFmtId="0" fontId="24" fillId="7" borderId="182" xfId="0" applyFont="1" applyFill="1" applyBorder="1" applyAlignment="1">
      <alignment horizontal="center" vertical="center"/>
    </xf>
    <xf numFmtId="0" fontId="8" fillId="7" borderId="90" xfId="0" applyFont="1" applyFill="1" applyBorder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8" fillId="7" borderId="109" xfId="0" applyFont="1" applyFill="1" applyBorder="1" applyAlignment="1">
      <alignment horizontal="center" vertical="center"/>
    </xf>
    <xf numFmtId="0" fontId="8" fillId="7" borderId="28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8" fillId="7" borderId="108" xfId="0" applyFont="1" applyFill="1" applyBorder="1" applyAlignment="1">
      <alignment horizontal="center" vertical="center"/>
    </xf>
    <xf numFmtId="176" fontId="14" fillId="13" borderId="14" xfId="0" applyNumberFormat="1" applyFont="1" applyFill="1" applyBorder="1" applyAlignment="1">
      <alignment horizontal="center" vertical="center"/>
    </xf>
    <xf numFmtId="0" fontId="14" fillId="13" borderId="14" xfId="0" applyFont="1" applyFill="1" applyBorder="1" applyAlignment="1">
      <alignment horizontal="center" vertical="center"/>
    </xf>
    <xf numFmtId="0" fontId="14" fillId="13" borderId="15" xfId="0" applyFont="1" applyFill="1" applyBorder="1" applyAlignment="1">
      <alignment horizontal="center" vertical="center"/>
    </xf>
    <xf numFmtId="0" fontId="17" fillId="13" borderId="18" xfId="0" applyFont="1" applyFill="1" applyBorder="1" applyAlignment="1">
      <alignment horizontal="center" vertical="center"/>
    </xf>
    <xf numFmtId="176" fontId="14" fillId="13" borderId="18" xfId="0" applyNumberFormat="1" applyFont="1" applyFill="1" applyBorder="1" applyAlignment="1">
      <alignment horizontal="center" vertical="center"/>
    </xf>
    <xf numFmtId="0" fontId="14" fillId="13" borderId="18" xfId="0" applyFont="1" applyFill="1" applyBorder="1" applyAlignment="1">
      <alignment horizontal="center" vertical="center"/>
    </xf>
    <xf numFmtId="0" fontId="14" fillId="13" borderId="19" xfId="0" applyFont="1" applyFill="1" applyBorder="1" applyAlignment="1">
      <alignment horizontal="center" vertical="center"/>
    </xf>
    <xf numFmtId="0" fontId="17" fillId="13" borderId="14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8" fillId="7" borderId="24" xfId="0" applyFont="1" applyFill="1" applyBorder="1" applyAlignment="1">
      <alignment horizontal="center" vertical="center"/>
    </xf>
    <xf numFmtId="0" fontId="8" fillId="7" borderId="32" xfId="0" applyFont="1" applyFill="1" applyBorder="1" applyAlignment="1">
      <alignment horizontal="center" vertical="center"/>
    </xf>
    <xf numFmtId="0" fontId="8" fillId="7" borderId="20" xfId="0" applyFont="1" applyFill="1" applyBorder="1" applyAlignment="1">
      <alignment horizontal="center" vertical="center"/>
    </xf>
    <xf numFmtId="0" fontId="8" fillId="7" borderId="21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7" borderId="47" xfId="0" applyFont="1" applyFill="1" applyBorder="1" applyAlignment="1">
      <alignment horizontal="center" vertical="center"/>
    </xf>
    <xf numFmtId="176" fontId="21" fillId="13" borderId="13" xfId="0" applyNumberFormat="1" applyFont="1" applyFill="1" applyBorder="1" applyAlignment="1">
      <alignment horizontal="center" vertical="center"/>
    </xf>
    <xf numFmtId="0" fontId="21" fillId="13" borderId="14" xfId="0" applyFont="1" applyFill="1" applyBorder="1" applyAlignment="1">
      <alignment horizontal="center" vertical="center"/>
    </xf>
    <xf numFmtId="0" fontId="17" fillId="13" borderId="15" xfId="0" applyFont="1" applyFill="1" applyBorder="1" applyAlignment="1">
      <alignment horizontal="center" vertical="center"/>
    </xf>
    <xf numFmtId="176" fontId="21" fillId="13" borderId="17" xfId="0" applyNumberFormat="1" applyFont="1" applyFill="1" applyBorder="1" applyAlignment="1">
      <alignment horizontal="center" vertical="center"/>
    </xf>
    <xf numFmtId="0" fontId="21" fillId="13" borderId="18" xfId="0" applyFont="1" applyFill="1" applyBorder="1" applyAlignment="1">
      <alignment horizontal="center" vertical="center"/>
    </xf>
    <xf numFmtId="0" fontId="17" fillId="13" borderId="19" xfId="0" applyFont="1" applyFill="1" applyBorder="1" applyAlignment="1">
      <alignment horizontal="center" vertical="center"/>
    </xf>
  </cellXfs>
  <cellStyles count="170">
    <cellStyle name="パーセント 2" xfId="31" xr:uid="{23A73749-E3D4-443C-A344-1E3098BCF2B3}"/>
    <cellStyle name="桁区切り" xfId="9" builtinId="6"/>
    <cellStyle name="桁区切り 2" xfId="3" xr:uid="{00000000-0005-0000-0000-000000000000}"/>
    <cellStyle name="桁区切り 2 2" xfId="5" xr:uid="{25C288BD-7CD8-4087-AC06-C1964DC3C9AD}"/>
    <cellStyle name="桁区切り 3" xfId="6" xr:uid="{64C35E44-27F0-423A-897F-F1924D549181}"/>
    <cellStyle name="桁区切り 4" xfId="8" xr:uid="{D4AE1477-4864-4921-A2FA-526FA64AD6E5}"/>
    <cellStyle name="桁区切り 4 10" xfId="53" xr:uid="{DCD1D6A8-472A-4F56-BEF4-CEF87A187284}"/>
    <cellStyle name="桁区切り 4 2" xfId="13" xr:uid="{153F9FF0-24A0-492A-B836-E2B6961187B6}"/>
    <cellStyle name="桁区切り 4 2 2" xfId="17" xr:uid="{2CA97A09-9AD9-431A-87CE-2AFC94C04B11}"/>
    <cellStyle name="桁区切り 4 2 2 2" xfId="27" xr:uid="{77F1F8EF-19F7-4F3C-A67E-01D5C6CC6748}"/>
    <cellStyle name="桁区切り 4 2 2 2 2" xfId="49" xr:uid="{807EC7C7-82EB-41DB-B8D1-23DBDA08773D}"/>
    <cellStyle name="桁区切り 4 2 2 2 2 2" xfId="127" xr:uid="{798AA37A-2FAE-4725-8C72-AEB30D617CFD}"/>
    <cellStyle name="桁区切り 4 2 2 2 2 3" xfId="167" xr:uid="{26119A05-6DEE-43D2-A18F-5331E9F8527C}"/>
    <cellStyle name="桁区切り 4 2 2 2 2 4" xfId="89" xr:uid="{1F774589-F093-41DF-BC03-50275C3E1E49}"/>
    <cellStyle name="桁区切り 4 2 2 2 3" xfId="105" xr:uid="{97E312DA-241F-44D2-8486-B60FBC20784B}"/>
    <cellStyle name="桁区切り 4 2 2 2 4" xfId="147" xr:uid="{6C39FC38-4639-4AE5-ACB7-9ABF8D71FDD2}"/>
    <cellStyle name="桁区切り 4 2 2 2 5" xfId="67" xr:uid="{D0AAB9E2-DB12-4F87-9073-FAB5AF08D287}"/>
    <cellStyle name="桁区切り 4 2 2 3" xfId="39" xr:uid="{D0E044AC-D147-4879-A3E2-8BA29CB84001}"/>
    <cellStyle name="桁区切り 4 2 2 3 2" xfId="117" xr:uid="{E2EB4114-3816-40ED-8D33-B4680EF95D63}"/>
    <cellStyle name="桁区切り 4 2 2 3 3" xfId="157" xr:uid="{F8248810-60B8-473F-ADD5-35C93527BD2F}"/>
    <cellStyle name="桁区切り 4 2 2 3 4" xfId="79" xr:uid="{F988D5B9-674E-4D71-89BF-0546F08B8914}"/>
    <cellStyle name="桁区切り 4 2 2 4" xfId="97" xr:uid="{D6E29069-8BD9-4297-95D5-35D37B051292}"/>
    <cellStyle name="桁区切り 4 2 2 5" xfId="137" xr:uid="{CDCCD192-5409-419A-92C1-E4DAA45CDC1F}"/>
    <cellStyle name="桁区切り 4 2 2 6" xfId="59" xr:uid="{1CDCACA3-70E7-4AFF-86FA-F64C4625E789}"/>
    <cellStyle name="桁区切り 4 2 3" xfId="23" xr:uid="{B9F11FBB-D799-4B7B-9A08-43A0EB801F52}"/>
    <cellStyle name="桁区切り 4 2 3 2" xfId="45" xr:uid="{C19A74AD-BED8-4C0B-A97D-6326B863642F}"/>
    <cellStyle name="桁区切り 4 2 3 2 2" xfId="123" xr:uid="{A835706A-E087-4379-B6CF-9A90220FF1B5}"/>
    <cellStyle name="桁区切り 4 2 3 2 3" xfId="163" xr:uid="{E5BC04BA-0CF2-4FFA-B37A-F945380C95FA}"/>
    <cellStyle name="桁区切り 4 2 3 2 4" xfId="85" xr:uid="{B82A80CB-F81F-43E9-8680-0A6A00E72319}"/>
    <cellStyle name="桁区切り 4 2 3 3" xfId="101" xr:uid="{F803AE87-30E2-4DEE-8B8A-905B72ECE0AF}"/>
    <cellStyle name="桁区切り 4 2 3 4" xfId="143" xr:uid="{B49BD1E1-3DF3-493E-8CB3-4B51DEDAD9EE}"/>
    <cellStyle name="桁区切り 4 2 3 5" xfId="63" xr:uid="{4605525E-3AD4-489A-A7B1-80E6292C4C50}"/>
    <cellStyle name="桁区切り 4 2 4" xfId="35" xr:uid="{4957EC44-B8F7-4C7B-BE85-8532DE894A91}"/>
    <cellStyle name="桁区切り 4 2 4 2" xfId="109" xr:uid="{525FAED3-ADBC-4137-881E-4AD24E60F8DB}"/>
    <cellStyle name="桁区切り 4 2 4 3" xfId="153" xr:uid="{7BCC9FA0-21C6-4179-843C-F4EB957F5C51}"/>
    <cellStyle name="桁区切り 4 2 4 4" xfId="71" xr:uid="{0F9F7698-F44C-4956-BFC4-20A5B5AF1E21}"/>
    <cellStyle name="桁区切り 4 2 5" xfId="75" xr:uid="{CF2CED4B-2512-4FD7-ADBF-CB83517A7C17}"/>
    <cellStyle name="桁区切り 4 2 5 2" xfId="113" xr:uid="{8B3551AE-F795-4793-A751-C6379CD469F2}"/>
    <cellStyle name="桁区切り 4 2 6" xfId="93" xr:uid="{CC5DB525-4180-44A6-A83E-32F17E41790D}"/>
    <cellStyle name="桁区切り 4 2 7" xfId="133" xr:uid="{796C45E7-9599-4D2A-8853-455F4E771EDE}"/>
    <cellStyle name="桁区切り 4 2 8" xfId="55" xr:uid="{35CF5945-8505-406A-AA94-04AE70672F05}"/>
    <cellStyle name="桁区切り 4 3" xfId="15" xr:uid="{082BDC57-1BCE-4928-B9D2-FB73421E37F1}"/>
    <cellStyle name="桁区切り 4 3 2" xfId="25" xr:uid="{B30364EC-7E3D-446E-B388-9C86EFCB61F9}"/>
    <cellStyle name="桁区切り 4 3 2 2" xfId="47" xr:uid="{F9A87391-7EC7-41F0-BD03-8BA4697102E1}"/>
    <cellStyle name="桁区切り 4 3 2 2 2" xfId="125" xr:uid="{F23DB7C2-48FF-4F74-9547-A8949BFB4253}"/>
    <cellStyle name="桁区切り 4 3 2 2 3" xfId="165" xr:uid="{EFCF8031-2DE3-4969-A9A6-53D13B77BF6A}"/>
    <cellStyle name="桁区切り 4 3 2 2 4" xfId="87" xr:uid="{C77EC2EC-B5C9-4DB0-8273-CB93BE4765BC}"/>
    <cellStyle name="桁区切り 4 3 2 3" xfId="103" xr:uid="{C4A4E459-3D05-4258-B2E4-AEA3092ED317}"/>
    <cellStyle name="桁区切り 4 3 2 4" xfId="145" xr:uid="{52996467-8158-4AE3-9F0C-B79754F50C42}"/>
    <cellStyle name="桁区切り 4 3 2 5" xfId="65" xr:uid="{7CC7321D-5809-4465-A598-198B544FD7DD}"/>
    <cellStyle name="桁区切り 4 3 3" xfId="37" xr:uid="{C8DC8277-AB3E-4667-87D6-E83DB373C662}"/>
    <cellStyle name="桁区切り 4 3 3 2" xfId="115" xr:uid="{1A152A49-2869-4752-974D-D99086DE7C87}"/>
    <cellStyle name="桁区切り 4 3 3 3" xfId="155" xr:uid="{C37B02A2-E6D1-4255-B384-98D56B202D45}"/>
    <cellStyle name="桁区切り 4 3 3 4" xfId="77" xr:uid="{3FF6083B-B49A-4F72-849E-DBCAD1FECD45}"/>
    <cellStyle name="桁区切り 4 3 4" xfId="95" xr:uid="{9E43E0CF-36B9-4DDF-A1CC-4A2F63EFDCB3}"/>
    <cellStyle name="桁区切り 4 3 5" xfId="135" xr:uid="{0FDC0E0B-625B-40BF-922C-272F60BCC827}"/>
    <cellStyle name="桁区切り 4 3 6" xfId="57" xr:uid="{03B25F7E-B43F-4BBB-B53C-46B3953EA1AA}"/>
    <cellStyle name="桁区切り 4 4" xfId="19" xr:uid="{C5A513A7-8BBC-4D12-9025-69BCF12FFB78}"/>
    <cellStyle name="桁区切り 4 4 2" xfId="41" xr:uid="{EBCB66E9-6302-4987-97D3-B84FE99DE30D}"/>
    <cellStyle name="桁区切り 4 4 2 2" xfId="119" xr:uid="{ED4FA94A-9584-4285-88EC-2F28883D60D6}"/>
    <cellStyle name="桁区切り 4 4 2 3" xfId="159" xr:uid="{F4EC352D-F1AD-45B8-95AF-C7A06208086F}"/>
    <cellStyle name="桁区切り 4 4 2 4" xfId="81" xr:uid="{E39C0109-248A-4FAB-832F-E6979F8FC3C0}"/>
    <cellStyle name="桁区切り 4 4 3" xfId="99" xr:uid="{76A28A5D-ADE6-4602-96A1-9E6E3AB429B8}"/>
    <cellStyle name="桁区切り 4 4 4" xfId="139" xr:uid="{C08CA9A5-85B9-4233-B31D-DF17B4665368}"/>
    <cellStyle name="桁区切り 4 4 5" xfId="61" xr:uid="{3D019676-6CFB-4CAA-9F8B-BB2C35DB1B0F}"/>
    <cellStyle name="桁区切り 4 5" xfId="21" xr:uid="{28D45C8F-D676-4532-94F3-862C0E25937A}"/>
    <cellStyle name="桁区切り 4 5 2" xfId="43" xr:uid="{F0AFB49D-B1FF-44EC-958E-13D0BB23CB5E}"/>
    <cellStyle name="桁区切り 4 5 2 2" xfId="121" xr:uid="{BE1084D9-96A1-4D11-A170-D62EF5A15556}"/>
    <cellStyle name="桁区切り 4 5 2 3" xfId="161" xr:uid="{1454C26D-FC9C-4C83-B23E-A1D833C07314}"/>
    <cellStyle name="桁区切り 4 5 2 4" xfId="83" xr:uid="{4BBA49EC-7163-4A74-8EDE-2C7A9981C4BE}"/>
    <cellStyle name="桁区切り 4 5 3" xfId="107" xr:uid="{FABA5496-E998-476E-8262-78E262F018E4}"/>
    <cellStyle name="桁区切り 4 5 4" xfId="141" xr:uid="{6E467AE3-4FB5-4213-8187-003B2428E50E}"/>
    <cellStyle name="桁区切り 4 5 5" xfId="69" xr:uid="{C47EC9C7-02CD-4193-AD24-D0606925FDA2}"/>
    <cellStyle name="桁区切り 4 6" xfId="29" xr:uid="{562E7603-9F7B-47A1-BDEF-07DE21470264}"/>
    <cellStyle name="桁区切り 4 6 2" xfId="51" xr:uid="{66997C57-361D-42D8-8CB8-71D245479B97}"/>
    <cellStyle name="桁区切り 4 6 2 2" xfId="169" xr:uid="{A7D60E91-6260-46E8-A91F-2CC9D5ACC4FD}"/>
    <cellStyle name="桁区切り 4 6 2 3" xfId="111" xr:uid="{39173ADB-803A-4E01-A837-91380892233F}"/>
    <cellStyle name="桁区切り 4 6 3" xfId="149" xr:uid="{0403A46B-3B72-4D41-8FD1-D31F23838830}"/>
    <cellStyle name="桁区切り 4 6 4" xfId="73" xr:uid="{0AF7A96E-F237-42AF-9A41-60631B2009F3}"/>
    <cellStyle name="桁区切り 4 7" xfId="33" xr:uid="{967ACABC-0C7B-4C77-8CD8-2F3A0A5FA8D1}"/>
    <cellStyle name="桁区切り 4 7 2" xfId="151" xr:uid="{063B50CC-8041-43B2-A314-6B1D79665562}"/>
    <cellStyle name="桁区切り 4 7 3" xfId="91" xr:uid="{669BFEE2-959A-444F-8847-3DC00D928F80}"/>
    <cellStyle name="桁区切り 4 8" xfId="11" xr:uid="{8CF1D9EE-C07E-419B-9AF4-06F581005626}"/>
    <cellStyle name="桁区切り 4 8 2" xfId="129" xr:uid="{3A6A8ED5-096A-4A58-A4BF-C4B5E0A52EC8}"/>
    <cellStyle name="桁区切り 4 9" xfId="131" xr:uid="{1BBD799A-91DF-4FE7-8E26-399D56550DBB}"/>
    <cellStyle name="桁区切り 5" xfId="30" xr:uid="{4B40E197-BF2A-4163-8B90-068F3F08D300}"/>
    <cellStyle name="標準" xfId="0" builtinId="0"/>
    <cellStyle name="標準 2" xfId="1" xr:uid="{00000000-0005-0000-0000-000002000000}"/>
    <cellStyle name="標準 2 2" xfId="4" xr:uid="{00000000-0005-0000-0000-000003000000}"/>
    <cellStyle name="標準 3" xfId="2" xr:uid="{00000000-0005-0000-0000-000004000000}"/>
    <cellStyle name="標準 4" xfId="7" xr:uid="{8B6142D3-3931-4F33-AE53-A98CC2E064EC}"/>
    <cellStyle name="標準 4 10" xfId="52" xr:uid="{748ED989-B188-4BC9-A31A-9FEE6F8ED100}"/>
    <cellStyle name="標準 4 2" xfId="12" xr:uid="{889372B5-C789-4302-98E2-C8BA9EAD3049}"/>
    <cellStyle name="標準 4 2 2" xfId="16" xr:uid="{6ED99BE8-77AD-4EFD-AF4C-474EBFE1D575}"/>
    <cellStyle name="標準 4 2 2 2" xfId="26" xr:uid="{E6263596-0A2E-4229-BC0A-BCA148BF789E}"/>
    <cellStyle name="標準 4 2 2 2 2" xfId="48" xr:uid="{B48A6007-5C57-4D50-B192-23655928C4D9}"/>
    <cellStyle name="標準 4 2 2 2 2 2" xfId="126" xr:uid="{39BC8997-43FF-42D4-A1A1-55636874C1F0}"/>
    <cellStyle name="標準 4 2 2 2 2 3" xfId="166" xr:uid="{B1670611-B1AF-4D55-8C3D-2CB48BF06CE7}"/>
    <cellStyle name="標準 4 2 2 2 2 4" xfId="88" xr:uid="{6EEE97F2-5CB6-459F-9617-592A207A1E5E}"/>
    <cellStyle name="標準 4 2 2 2 3" xfId="104" xr:uid="{5322B558-BC38-4E30-B2AB-38650ACCB260}"/>
    <cellStyle name="標準 4 2 2 2 4" xfId="146" xr:uid="{2AA3694D-4615-45E2-8A4A-DF7DBE3F7441}"/>
    <cellStyle name="標準 4 2 2 2 5" xfId="66" xr:uid="{7FB46F17-45F6-4BDA-9D56-A82C1C5AA1B5}"/>
    <cellStyle name="標準 4 2 2 3" xfId="38" xr:uid="{4E6CB615-B481-479E-92B9-D8B3B98BF3FB}"/>
    <cellStyle name="標準 4 2 2 3 2" xfId="116" xr:uid="{22D9AB6F-99B5-450D-A38A-AFC994B971B1}"/>
    <cellStyle name="標準 4 2 2 3 3" xfId="156" xr:uid="{20D9200C-A19A-426F-A185-7318C12ED270}"/>
    <cellStyle name="標準 4 2 2 3 4" xfId="78" xr:uid="{1AF89F89-D6CE-4D37-AC70-CDB6CB5E021A}"/>
    <cellStyle name="標準 4 2 2 4" xfId="96" xr:uid="{A96BF13A-C303-4CE5-B8F0-2BC91D408695}"/>
    <cellStyle name="標準 4 2 2 5" xfId="136" xr:uid="{534B0A33-374D-4844-AF95-819D1133EA6E}"/>
    <cellStyle name="標準 4 2 2 6" xfId="58" xr:uid="{06ACB225-5C8C-401A-B4B7-0BEC5ED94466}"/>
    <cellStyle name="標準 4 2 3" xfId="22" xr:uid="{4CA07ED4-4E7D-4D84-BBA7-42560C102B5A}"/>
    <cellStyle name="標準 4 2 3 2" xfId="44" xr:uid="{270E12F4-B46B-4E0E-AD03-3A48DEF17881}"/>
    <cellStyle name="標準 4 2 3 2 2" xfId="122" xr:uid="{A0A75C5E-3828-4852-8B18-362518D4D94A}"/>
    <cellStyle name="標準 4 2 3 2 3" xfId="162" xr:uid="{98BC4F1A-8C38-452E-AA39-5107FC3BDA56}"/>
    <cellStyle name="標準 4 2 3 2 4" xfId="84" xr:uid="{96EBBAF4-70CE-42DB-9B35-4B0A5D1DC058}"/>
    <cellStyle name="標準 4 2 3 3" xfId="100" xr:uid="{D68C97D7-830E-42C6-A60A-6B38FD314996}"/>
    <cellStyle name="標準 4 2 3 4" xfId="142" xr:uid="{777CD637-968C-4CA7-BF31-B4C2427E74D2}"/>
    <cellStyle name="標準 4 2 3 5" xfId="62" xr:uid="{C4AE4E1A-6E63-4C15-AAD0-1BB9ED40FD4F}"/>
    <cellStyle name="標準 4 2 4" xfId="34" xr:uid="{7FFC331E-7128-43FC-AA79-FC3FC5753299}"/>
    <cellStyle name="標準 4 2 4 2" xfId="108" xr:uid="{62464AAD-F615-4C06-A97C-1C8E197605AD}"/>
    <cellStyle name="標準 4 2 4 3" xfId="152" xr:uid="{C14FAF08-DFC4-476F-83B1-9497C1E5D679}"/>
    <cellStyle name="標準 4 2 4 4" xfId="70" xr:uid="{42551854-A4E7-4B80-82DE-4F1302E3A180}"/>
    <cellStyle name="標準 4 2 5" xfId="74" xr:uid="{306AABC7-EEF0-4E7A-8D9F-F8F75BDC2483}"/>
    <cellStyle name="標準 4 2 5 2" xfId="112" xr:uid="{58EE4AA1-BFB2-4505-B0EF-316F910C953A}"/>
    <cellStyle name="標準 4 2 6" xfId="92" xr:uid="{CFE1AC30-819E-448E-B40D-92BFEC1D2935}"/>
    <cellStyle name="標準 4 2 7" xfId="132" xr:uid="{7E668455-4D4C-458C-BCD9-C7EDD71086CC}"/>
    <cellStyle name="標準 4 2 8" xfId="54" xr:uid="{067E0F6A-EA6C-489B-8841-7BC74356B6A7}"/>
    <cellStyle name="標準 4 3" xfId="14" xr:uid="{F23FD44A-E84D-422C-9FC7-A6CC56EF25D6}"/>
    <cellStyle name="標準 4 3 2" xfId="24" xr:uid="{2F1409AD-64BC-4C8A-ADEC-6254472FE2D8}"/>
    <cellStyle name="標準 4 3 2 2" xfId="46" xr:uid="{C557543F-E594-4A41-808D-FBB2EA395913}"/>
    <cellStyle name="標準 4 3 2 2 2" xfId="124" xr:uid="{B96E4D72-9EFB-481E-8314-091B8B83A628}"/>
    <cellStyle name="標準 4 3 2 2 3" xfId="164" xr:uid="{65261192-8D73-406C-872B-76D03EE964C0}"/>
    <cellStyle name="標準 4 3 2 2 4" xfId="86" xr:uid="{70075ADA-34C4-4FD3-9098-15287A001697}"/>
    <cellStyle name="標準 4 3 2 3" xfId="102" xr:uid="{2E01D465-FCC9-469D-9B6F-D17CF9EE320A}"/>
    <cellStyle name="標準 4 3 2 4" xfId="144" xr:uid="{B4B757B4-185A-4335-9AA8-AE3642BCFDD7}"/>
    <cellStyle name="標準 4 3 2 5" xfId="64" xr:uid="{3312FE7F-B2AA-497F-ACB7-4FC3DC0C4B8D}"/>
    <cellStyle name="標準 4 3 3" xfId="36" xr:uid="{72C50510-4AD8-4940-8108-71CFCAE62232}"/>
    <cellStyle name="標準 4 3 3 2" xfId="114" xr:uid="{B99098D0-491E-4C2D-8D0F-1E8F3AF16AB2}"/>
    <cellStyle name="標準 4 3 3 3" xfId="154" xr:uid="{FCB390AB-9579-4F00-8C25-BB9CB715978A}"/>
    <cellStyle name="標準 4 3 3 4" xfId="76" xr:uid="{1E515B51-2F76-4493-A41C-4AA0B4E7EB2D}"/>
    <cellStyle name="標準 4 3 4" xfId="94" xr:uid="{4F000B40-8D2F-4A9A-B32D-FE33A25B9773}"/>
    <cellStyle name="標準 4 3 5" xfId="134" xr:uid="{F9D02A64-4F97-438E-8610-D476CE214123}"/>
    <cellStyle name="標準 4 3 6" xfId="56" xr:uid="{35B8ADF7-261E-49F7-9791-C7EA206ABA64}"/>
    <cellStyle name="標準 4 4" xfId="18" xr:uid="{B2ACA95C-E741-4228-A35D-9B368F88EB47}"/>
    <cellStyle name="標準 4 4 2" xfId="40" xr:uid="{DC3A534D-3BAF-4942-8058-4C59AFCD8E2D}"/>
    <cellStyle name="標準 4 4 2 2" xfId="118" xr:uid="{9E2DC3C6-60A7-49DE-8420-B6819E568518}"/>
    <cellStyle name="標準 4 4 2 3" xfId="158" xr:uid="{C8020479-1DDC-480A-A304-89C9FD0CF910}"/>
    <cellStyle name="標準 4 4 2 4" xfId="80" xr:uid="{AC7E176A-8DDA-4190-8509-B4E4F13DA919}"/>
    <cellStyle name="標準 4 4 3" xfId="98" xr:uid="{0D50D002-D00E-4420-95EE-EA9097F175D4}"/>
    <cellStyle name="標準 4 4 4" xfId="138" xr:uid="{16462566-E9C2-4FF7-99DA-7617B9D63D43}"/>
    <cellStyle name="標準 4 4 5" xfId="60" xr:uid="{7CB50814-781A-4579-9140-27A45A90F067}"/>
    <cellStyle name="標準 4 5" xfId="20" xr:uid="{33153DA0-5EF9-4A47-9D3B-4030F5ED2D95}"/>
    <cellStyle name="標準 4 5 2" xfId="42" xr:uid="{7FC57178-2FA0-436E-A710-D582BB55FB6B}"/>
    <cellStyle name="標準 4 5 2 2" xfId="120" xr:uid="{B98B7496-B70C-49C6-8ECE-69BF98720B95}"/>
    <cellStyle name="標準 4 5 2 3" xfId="160" xr:uid="{E82CCAAE-B722-4376-9CA7-DF46E3F61E38}"/>
    <cellStyle name="標準 4 5 2 4" xfId="82" xr:uid="{1A766387-B850-4672-8AD6-63FEDBE30803}"/>
    <cellStyle name="標準 4 5 3" xfId="106" xr:uid="{A58721A9-8AB6-4FB1-BF62-8372A957D1EB}"/>
    <cellStyle name="標準 4 5 4" xfId="140" xr:uid="{EC409432-2125-462C-90AB-B8E80F48A26D}"/>
    <cellStyle name="標準 4 5 5" xfId="68" xr:uid="{160AB709-92D5-4006-BB66-28AD0B9E7BD2}"/>
    <cellStyle name="標準 4 6" xfId="28" xr:uid="{AFC8C607-25F1-491E-830F-A8DED01039E4}"/>
    <cellStyle name="標準 4 6 2" xfId="50" xr:uid="{9C8BD608-C0DC-46E3-98E4-0D060D3C9712}"/>
    <cellStyle name="標準 4 6 2 2" xfId="168" xr:uid="{D1933DF0-159F-4A2C-88D3-BC5504559E55}"/>
    <cellStyle name="標準 4 6 2 3" xfId="110" xr:uid="{E1A843C8-7AD3-4892-BFB3-933E26356DAA}"/>
    <cellStyle name="標準 4 6 3" xfId="148" xr:uid="{6F31EE4A-BF1E-4DCF-A109-E1B20C004584}"/>
    <cellStyle name="標準 4 6 4" xfId="72" xr:uid="{3709740D-5F54-48D2-88F5-FB3C2B46907F}"/>
    <cellStyle name="標準 4 7" xfId="32" xr:uid="{7733C718-0328-42FA-A368-E2BECCCD934A}"/>
    <cellStyle name="標準 4 7 2" xfId="150" xr:uid="{DFF74A02-EE04-42FC-8C3F-217C08DC4671}"/>
    <cellStyle name="標準 4 7 3" xfId="90" xr:uid="{3F42EDA1-D50E-4AD3-B707-379419EB5327}"/>
    <cellStyle name="標準 4 8" xfId="10" xr:uid="{8CF239C5-BD84-435C-A686-35832588C8F9}"/>
    <cellStyle name="標準 4 8 2" xfId="128" xr:uid="{9B06FD26-AEF8-43B5-B2C1-F1A79084E115}"/>
    <cellStyle name="標準 4 9" xfId="130" xr:uid="{2C17768F-B8CB-43FF-8DED-5D49E055F37E}"/>
  </cellStyles>
  <dxfs count="0"/>
  <tableStyles count="1" defaultTableStyle="TableStyleMedium2" defaultPivotStyle="PivotStyleMedium9">
    <tableStyle name="Invisible" pivot="0" table="0" count="0" xr9:uid="{3564E917-3827-44E8-850C-C556299B99A6}"/>
  </tableStyles>
  <colors>
    <mruColors>
      <color rgb="FF0000FF"/>
      <color rgb="FFFDE9D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743D4-B690-474D-84A3-C6546F6E2014}">
  <sheetPr codeName="Sheet1">
    <pageSetUpPr fitToPage="1"/>
  </sheetPr>
  <dimension ref="B1:AC29"/>
  <sheetViews>
    <sheetView zoomScale="70" zoomScaleNormal="70" workbookViewId="0"/>
  </sheetViews>
  <sheetFormatPr defaultRowHeight="13" x14ac:dyDescent="0.2"/>
  <cols>
    <col min="2" max="2" width="15.6328125" bestFit="1" customWidth="1"/>
    <col min="3" max="3" width="9.08984375" style="191" bestFit="1" customWidth="1"/>
    <col min="4" max="4" width="8.90625" style="191"/>
    <col min="5" max="5" width="11.6328125" style="191" bestFit="1" customWidth="1"/>
    <col min="6" max="6" width="8.90625" style="191"/>
    <col min="7" max="7" width="11.6328125" style="191" bestFit="1" customWidth="1"/>
    <col min="8" max="8" width="8.90625" style="191"/>
    <col min="9" max="9" width="11.6328125" style="191" bestFit="1" customWidth="1"/>
    <col min="10" max="10" width="8.90625" style="191"/>
    <col min="11" max="11" width="11.6328125" style="191" bestFit="1" customWidth="1"/>
    <col min="12" max="12" width="8.90625" style="191"/>
    <col min="13" max="13" width="11.6328125" style="191" bestFit="1" customWidth="1"/>
    <col min="14" max="14" width="8.90625" style="191"/>
    <col min="15" max="15" width="11.6328125" style="191" bestFit="1" customWidth="1"/>
    <col min="16" max="16" width="8.90625" style="191"/>
    <col min="17" max="17" width="11.6328125" style="191" bestFit="1" customWidth="1"/>
    <col min="18" max="18" width="8.90625" style="191"/>
    <col min="19" max="19" width="11.6328125" style="191" bestFit="1" customWidth="1"/>
    <col min="20" max="20" width="8.90625" style="191"/>
    <col min="21" max="21" width="11.6328125" style="191" bestFit="1" customWidth="1"/>
    <col min="22" max="22" width="8.90625" style="191"/>
    <col min="23" max="23" width="11.6328125" style="191" bestFit="1" customWidth="1"/>
    <col min="24" max="24" width="8.90625" style="191"/>
    <col min="25" max="25" width="11.6328125" style="191" bestFit="1" customWidth="1"/>
    <col min="26" max="26" width="8.90625" style="191"/>
    <col min="27" max="27" width="11.6328125" style="191" bestFit="1" customWidth="1"/>
    <col min="28" max="28" width="8" style="191" customWidth="1"/>
    <col min="29" max="29" width="13" style="191" bestFit="1" customWidth="1"/>
  </cols>
  <sheetData>
    <row r="1" spans="2:29" ht="21.5" thickBot="1" x14ac:dyDescent="0.35">
      <c r="B1" s="86" t="s">
        <v>58</v>
      </c>
      <c r="C1" s="322"/>
      <c r="D1" s="420" t="s">
        <v>43</v>
      </c>
      <c r="E1" s="421"/>
      <c r="F1" s="418" t="s">
        <v>44</v>
      </c>
      <c r="G1" s="419"/>
      <c r="H1" s="418" t="s">
        <v>45</v>
      </c>
      <c r="I1" s="419"/>
      <c r="J1" s="421" t="s">
        <v>46</v>
      </c>
      <c r="K1" s="419"/>
      <c r="L1" s="418" t="s">
        <v>47</v>
      </c>
      <c r="M1" s="419"/>
      <c r="N1" s="418" t="s">
        <v>48</v>
      </c>
      <c r="O1" s="419"/>
      <c r="P1" s="418" t="s">
        <v>49</v>
      </c>
      <c r="Q1" s="419"/>
      <c r="R1" s="418" t="s">
        <v>50</v>
      </c>
      <c r="S1" s="419"/>
      <c r="T1" s="418" t="s">
        <v>51</v>
      </c>
      <c r="U1" s="419"/>
      <c r="V1" s="418" t="s">
        <v>52</v>
      </c>
      <c r="W1" s="419"/>
      <c r="X1" s="418" t="s">
        <v>53</v>
      </c>
      <c r="Y1" s="419"/>
      <c r="Z1" s="421" t="s">
        <v>54</v>
      </c>
      <c r="AA1" s="423"/>
      <c r="AB1" s="420" t="s">
        <v>57</v>
      </c>
      <c r="AC1" s="422"/>
    </row>
    <row r="2" spans="2:29" ht="21.75" customHeight="1" x14ac:dyDescent="0.2">
      <c r="B2" s="87" t="s">
        <v>55</v>
      </c>
      <c r="C2" s="323"/>
      <c r="D2" s="171"/>
      <c r="E2" s="172">
        <f>E8+E20</f>
        <v>10973295</v>
      </c>
      <c r="F2" s="324"/>
      <c r="G2" s="172">
        <f>G8+G20</f>
        <v>9119640</v>
      </c>
      <c r="H2" s="324"/>
      <c r="I2" s="341">
        <f>I8+I20</f>
        <v>11622975</v>
      </c>
      <c r="J2" s="172"/>
      <c r="K2" s="172">
        <f>K8+K20</f>
        <v>7466430</v>
      </c>
      <c r="L2" s="324"/>
      <c r="M2" s="172">
        <f>M8+M20</f>
        <v>16917130</v>
      </c>
      <c r="N2" s="324"/>
      <c r="O2" s="172">
        <f>O8+O20</f>
        <v>10738835</v>
      </c>
      <c r="P2" s="324"/>
      <c r="Q2" s="172">
        <f>Q8+Q20</f>
        <v>7142475</v>
      </c>
      <c r="R2" s="324"/>
      <c r="S2" s="172">
        <f>S8+S20</f>
        <v>5387205</v>
      </c>
      <c r="T2" s="324"/>
      <c r="U2" s="172">
        <f>U8+U20</f>
        <v>13927540</v>
      </c>
      <c r="V2" s="324"/>
      <c r="W2" s="172">
        <f>W8+W20</f>
        <v>33544559</v>
      </c>
      <c r="X2" s="324"/>
      <c r="Y2" s="341">
        <f>Y8+Y20</f>
        <v>8506185</v>
      </c>
      <c r="Z2" s="120"/>
      <c r="AA2" s="120">
        <f>AA8+AA20</f>
        <v>21956000</v>
      </c>
      <c r="AB2" s="121"/>
      <c r="AC2" s="122">
        <f t="shared" ref="AC2:AC4" si="0">SUM(E2:AA2)</f>
        <v>157302269</v>
      </c>
    </row>
    <row r="3" spans="2:29" ht="18.75" customHeight="1" x14ac:dyDescent="0.2">
      <c r="B3" s="83" t="s">
        <v>56</v>
      </c>
      <c r="C3" s="325"/>
      <c r="D3" s="173"/>
      <c r="E3" s="174">
        <f>E9+E21</f>
        <v>9525494</v>
      </c>
      <c r="F3" s="326"/>
      <c r="G3" s="174">
        <f>G9+G21</f>
        <v>7393220</v>
      </c>
      <c r="H3" s="326"/>
      <c r="I3" s="342">
        <f>I9+I21</f>
        <v>9652770</v>
      </c>
      <c r="J3" s="174"/>
      <c r="K3" s="174">
        <f>K9+K21</f>
        <v>5820529</v>
      </c>
      <c r="L3" s="326"/>
      <c r="M3" s="174">
        <f>M9+M21</f>
        <v>14576520</v>
      </c>
      <c r="N3" s="326"/>
      <c r="O3" s="174">
        <f>O9+O21</f>
        <v>8814514</v>
      </c>
      <c r="P3" s="326"/>
      <c r="Q3" s="174">
        <f>Q9+Q21</f>
        <v>5196086</v>
      </c>
      <c r="R3" s="326"/>
      <c r="S3" s="174">
        <f>S9+S21</f>
        <v>4008642</v>
      </c>
      <c r="T3" s="326"/>
      <c r="U3" s="174">
        <f>U9+U21</f>
        <v>11911923</v>
      </c>
      <c r="V3" s="326"/>
      <c r="W3" s="174">
        <f>W9+W21</f>
        <v>30491125</v>
      </c>
      <c r="X3" s="326"/>
      <c r="Y3" s="342">
        <f>Y9+Y21</f>
        <v>6749650</v>
      </c>
      <c r="Z3" s="123"/>
      <c r="AA3" s="123">
        <f>AA9+AA21</f>
        <v>19289137</v>
      </c>
      <c r="AB3" s="124"/>
      <c r="AC3" s="125">
        <f t="shared" si="0"/>
        <v>133429610</v>
      </c>
    </row>
    <row r="4" spans="2:29" ht="18.75" customHeight="1" thickBot="1" x14ac:dyDescent="0.25">
      <c r="B4" s="69" t="s">
        <v>23</v>
      </c>
      <c r="C4" s="327"/>
      <c r="D4" s="175"/>
      <c r="E4" s="176">
        <f>E2-E3</f>
        <v>1447801</v>
      </c>
      <c r="F4" s="328"/>
      <c r="G4" s="329">
        <f>G2-G3</f>
        <v>1726420</v>
      </c>
      <c r="H4" s="328"/>
      <c r="I4" s="329">
        <f>I2-I3</f>
        <v>1970205</v>
      </c>
      <c r="J4" s="176"/>
      <c r="K4" s="329">
        <f>K2-K3</f>
        <v>1645901</v>
      </c>
      <c r="L4" s="328"/>
      <c r="M4" s="329">
        <f>M2-M3</f>
        <v>2340610</v>
      </c>
      <c r="N4" s="328"/>
      <c r="O4" s="329">
        <f>O2-O3</f>
        <v>1924321</v>
      </c>
      <c r="P4" s="328"/>
      <c r="Q4" s="329">
        <f>Q2-Q3</f>
        <v>1946389</v>
      </c>
      <c r="R4" s="328"/>
      <c r="S4" s="329">
        <f>S2-S3</f>
        <v>1378563</v>
      </c>
      <c r="T4" s="328"/>
      <c r="U4" s="329">
        <f>U2-U3</f>
        <v>2015617</v>
      </c>
      <c r="V4" s="328"/>
      <c r="W4" s="329">
        <f>W2-W3</f>
        <v>3053434</v>
      </c>
      <c r="X4" s="328"/>
      <c r="Y4" s="329">
        <f>Y2-Y3</f>
        <v>1756535</v>
      </c>
      <c r="Z4" s="126"/>
      <c r="AA4" s="127">
        <f>AA2-AA3</f>
        <v>2666863</v>
      </c>
      <c r="AB4" s="128"/>
      <c r="AC4" s="127">
        <f t="shared" si="0"/>
        <v>23872659</v>
      </c>
    </row>
    <row r="5" spans="2:29" ht="18.75" customHeight="1" thickBot="1" x14ac:dyDescent="0.25">
      <c r="B5" s="85"/>
      <c r="C5" s="177"/>
      <c r="D5" s="177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  <c r="V5" s="178"/>
      <c r="W5" s="178"/>
      <c r="X5" s="178"/>
      <c r="Y5" s="178"/>
      <c r="Z5" s="129"/>
      <c r="AA5" s="129"/>
      <c r="AB5" s="129"/>
      <c r="AC5" s="129"/>
    </row>
    <row r="6" spans="2:29" ht="13.5" thickBot="1" x14ac:dyDescent="0.25">
      <c r="B6" s="85"/>
      <c r="C6" s="177"/>
      <c r="D6" s="177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 s="178"/>
      <c r="V6" s="178"/>
      <c r="W6" s="178"/>
      <c r="X6" s="178"/>
      <c r="Y6" s="178"/>
      <c r="Z6" s="129"/>
      <c r="AA6" s="129"/>
      <c r="AB6" s="129"/>
      <c r="AC6" s="129"/>
    </row>
    <row r="7" spans="2:29" ht="21.75" customHeight="1" thickBot="1" x14ac:dyDescent="0.25">
      <c r="B7" s="90" t="s">
        <v>59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79"/>
      <c r="T7" s="179"/>
      <c r="U7" s="179"/>
      <c r="V7" s="179"/>
      <c r="W7" s="179"/>
      <c r="X7" s="179"/>
      <c r="Y7" s="179"/>
      <c r="Z7" s="130"/>
      <c r="AA7" s="130"/>
      <c r="AB7" s="130"/>
      <c r="AC7" s="131"/>
    </row>
    <row r="8" spans="2:29" x14ac:dyDescent="0.2">
      <c r="B8" s="91" t="s">
        <v>55</v>
      </c>
      <c r="C8" s="330"/>
      <c r="D8" s="180"/>
      <c r="E8" s="181">
        <f>E11+E14</f>
        <v>6629295</v>
      </c>
      <c r="F8" s="331"/>
      <c r="G8" s="331">
        <f>G11+G14</f>
        <v>7361140</v>
      </c>
      <c r="H8" s="343"/>
      <c r="I8" s="181">
        <f>I11+I14</f>
        <v>7632975</v>
      </c>
      <c r="J8" s="331"/>
      <c r="K8" s="331">
        <f>K11+K14</f>
        <v>7466430</v>
      </c>
      <c r="L8" s="343"/>
      <c r="M8" s="181">
        <f>M11+M14</f>
        <v>7304380</v>
      </c>
      <c r="N8" s="331"/>
      <c r="O8" s="331">
        <f>O11+O14</f>
        <v>7065585</v>
      </c>
      <c r="P8" s="343"/>
      <c r="Q8" s="181">
        <f>Q11+Q14</f>
        <v>6276225</v>
      </c>
      <c r="R8" s="331"/>
      <c r="S8" s="331">
        <f>S11+S14</f>
        <v>5387205</v>
      </c>
      <c r="T8" s="343"/>
      <c r="U8" s="181">
        <f>U11+U14</f>
        <v>5674540</v>
      </c>
      <c r="V8" s="331"/>
      <c r="W8" s="331">
        <f>W11+W14</f>
        <v>6119195</v>
      </c>
      <c r="X8" s="343"/>
      <c r="Y8" s="181">
        <f>Y11+Y14</f>
        <v>5902185</v>
      </c>
      <c r="Z8" s="133"/>
      <c r="AA8" s="133">
        <f>AA11+AA14</f>
        <v>6198000</v>
      </c>
      <c r="AB8" s="134"/>
      <c r="AC8" s="132">
        <f t="shared" ref="AC8:AC13" si="1">SUM(E8:AA8)</f>
        <v>79017155</v>
      </c>
    </row>
    <row r="9" spans="2:29" x14ac:dyDescent="0.2">
      <c r="B9" s="84" t="s">
        <v>56</v>
      </c>
      <c r="C9" s="332"/>
      <c r="D9" s="182"/>
      <c r="E9" s="183">
        <f>E12+E15</f>
        <v>5525494</v>
      </c>
      <c r="F9" s="333"/>
      <c r="G9" s="333">
        <f>G12+G15</f>
        <v>5743220</v>
      </c>
      <c r="H9" s="344"/>
      <c r="I9" s="183">
        <f>I12+I15</f>
        <v>5852770</v>
      </c>
      <c r="J9" s="333"/>
      <c r="K9" s="333">
        <f>K12+K15</f>
        <v>5820529</v>
      </c>
      <c r="L9" s="344"/>
      <c r="M9" s="183">
        <f>M12+M15</f>
        <v>5421520</v>
      </c>
      <c r="N9" s="333"/>
      <c r="O9" s="333">
        <f>O12+O15</f>
        <v>5369514</v>
      </c>
      <c r="P9" s="344"/>
      <c r="Q9" s="183">
        <f>Q12+Q15</f>
        <v>4371086</v>
      </c>
      <c r="R9" s="333"/>
      <c r="S9" s="333">
        <f>S12+S15</f>
        <v>4008642</v>
      </c>
      <c r="T9" s="344"/>
      <c r="U9" s="183">
        <f>U12+U15</f>
        <v>4051923</v>
      </c>
      <c r="V9" s="333"/>
      <c r="W9" s="333">
        <f>W12+W15</f>
        <v>4511464</v>
      </c>
      <c r="X9" s="344"/>
      <c r="Y9" s="183">
        <f>Y12+Y15</f>
        <v>4499650</v>
      </c>
      <c r="Z9" s="136"/>
      <c r="AA9" s="136">
        <f>AA12+AA15</f>
        <v>4389137</v>
      </c>
      <c r="AB9" s="137"/>
      <c r="AC9" s="135">
        <f t="shared" ref="AC9:AC10" si="2">SUM(E9:AA9)</f>
        <v>59564949</v>
      </c>
    </row>
    <row r="10" spans="2:29" ht="13.5" thickBot="1" x14ac:dyDescent="0.25">
      <c r="B10" s="92" t="s">
        <v>23</v>
      </c>
      <c r="C10" s="334"/>
      <c r="D10" s="184"/>
      <c r="E10" s="185">
        <f>E8-E9</f>
        <v>1103801</v>
      </c>
      <c r="F10" s="335"/>
      <c r="G10" s="185">
        <f>G8-G9</f>
        <v>1617920</v>
      </c>
      <c r="H10" s="345"/>
      <c r="I10" s="185">
        <f>I8-I9</f>
        <v>1780205</v>
      </c>
      <c r="J10" s="335"/>
      <c r="K10" s="185">
        <f>K8-K9</f>
        <v>1645901</v>
      </c>
      <c r="L10" s="345"/>
      <c r="M10" s="185">
        <f>M8-M9</f>
        <v>1882860</v>
      </c>
      <c r="N10" s="335"/>
      <c r="O10" s="185">
        <f>O8-O9</f>
        <v>1696071</v>
      </c>
      <c r="P10" s="345"/>
      <c r="Q10" s="185">
        <f>Q8-Q9</f>
        <v>1905139</v>
      </c>
      <c r="R10" s="335"/>
      <c r="S10" s="185">
        <f>S8-S9</f>
        <v>1378563</v>
      </c>
      <c r="T10" s="345"/>
      <c r="U10" s="185">
        <f>U8-U9</f>
        <v>1622617</v>
      </c>
      <c r="V10" s="335"/>
      <c r="W10" s="185">
        <f>W8-W9</f>
        <v>1607731</v>
      </c>
      <c r="X10" s="345"/>
      <c r="Y10" s="185">
        <f>Y8-Y9</f>
        <v>1402535</v>
      </c>
      <c r="Z10" s="139"/>
      <c r="AA10" s="138">
        <f>AA8-AA9</f>
        <v>1808863</v>
      </c>
      <c r="AB10" s="140"/>
      <c r="AC10" s="138">
        <f t="shared" si="2"/>
        <v>19452206</v>
      </c>
    </row>
    <row r="11" spans="2:29" x14ac:dyDescent="0.2">
      <c r="B11" s="68" t="s">
        <v>60</v>
      </c>
      <c r="C11" s="336"/>
      <c r="D11" s="186"/>
      <c r="E11" s="187">
        <f>UAL常駐!L241</f>
        <v>0</v>
      </c>
      <c r="F11" s="337"/>
      <c r="G11" s="337">
        <f>UAL常駐!M241</f>
        <v>0</v>
      </c>
      <c r="H11" s="346"/>
      <c r="I11" s="187">
        <f>UAL常駐!N241</f>
        <v>0</v>
      </c>
      <c r="J11" s="337"/>
      <c r="K11" s="337">
        <f>UAL常駐!O241</f>
        <v>0</v>
      </c>
      <c r="L11" s="346"/>
      <c r="M11" s="187">
        <f>UAL常駐!P241</f>
        <v>0</v>
      </c>
      <c r="N11" s="337"/>
      <c r="O11" s="337">
        <f>UAL常駐!Q241</f>
        <v>0</v>
      </c>
      <c r="P11" s="346"/>
      <c r="Q11" s="187">
        <f>UAL常駐!R241</f>
        <v>0</v>
      </c>
      <c r="R11" s="337"/>
      <c r="S11" s="337">
        <f>UAL常駐!S241</f>
        <v>0</v>
      </c>
      <c r="T11" s="346"/>
      <c r="U11" s="187">
        <f>UAL常駐!T241</f>
        <v>0</v>
      </c>
      <c r="V11" s="337"/>
      <c r="W11" s="337">
        <f>UAL常駐!U241</f>
        <v>0</v>
      </c>
      <c r="X11" s="346"/>
      <c r="Y11" s="187">
        <f>UAL常駐!V241</f>
        <v>0</v>
      </c>
      <c r="Z11" s="151"/>
      <c r="AA11" s="151">
        <f>UAL常駐!W241</f>
        <v>0</v>
      </c>
      <c r="AB11" s="152"/>
      <c r="AC11" s="150">
        <f t="shared" si="1"/>
        <v>0</v>
      </c>
    </row>
    <row r="12" spans="2:29" x14ac:dyDescent="0.2">
      <c r="B12" s="84" t="s">
        <v>56</v>
      </c>
      <c r="C12" s="332"/>
      <c r="D12" s="182"/>
      <c r="E12" s="183">
        <f>UAL常駐!L252</f>
        <v>676199</v>
      </c>
      <c r="F12" s="333"/>
      <c r="G12" s="333">
        <f>UAL常駐!M252</f>
        <v>678473</v>
      </c>
      <c r="H12" s="344"/>
      <c r="I12" s="183">
        <f>UAL常駐!N252</f>
        <v>684536</v>
      </c>
      <c r="J12" s="333"/>
      <c r="K12" s="333">
        <f>UAL常駐!O252</f>
        <v>673926</v>
      </c>
      <c r="L12" s="344"/>
      <c r="M12" s="183">
        <f>UAL常駐!P252</f>
        <v>0</v>
      </c>
      <c r="N12" s="333"/>
      <c r="O12" s="333">
        <f>UAL常駐!Q252</f>
        <v>0</v>
      </c>
      <c r="P12" s="344"/>
      <c r="Q12" s="183">
        <f>UAL常駐!R252</f>
        <v>0</v>
      </c>
      <c r="R12" s="333"/>
      <c r="S12" s="333">
        <f>UAL常駐!S252</f>
        <v>0</v>
      </c>
      <c r="T12" s="344"/>
      <c r="U12" s="183">
        <f>UAL常駐!T252</f>
        <v>0</v>
      </c>
      <c r="V12" s="333"/>
      <c r="W12" s="333">
        <f>UAL常駐!U252</f>
        <v>0</v>
      </c>
      <c r="X12" s="344"/>
      <c r="Y12" s="183">
        <f>UAL常駐!V252</f>
        <v>0</v>
      </c>
      <c r="Z12" s="136"/>
      <c r="AA12" s="136">
        <f>UAL常駐!W252</f>
        <v>0</v>
      </c>
      <c r="AB12" s="137"/>
      <c r="AC12" s="135">
        <f t="shared" si="1"/>
        <v>2713134</v>
      </c>
    </row>
    <row r="13" spans="2:29" ht="13.5" thickBot="1" x14ac:dyDescent="0.25">
      <c r="B13" s="88" t="s">
        <v>23</v>
      </c>
      <c r="C13" s="338"/>
      <c r="D13" s="188"/>
      <c r="E13" s="189">
        <f>E11-E12</f>
        <v>-676199</v>
      </c>
      <c r="F13" s="339"/>
      <c r="G13" s="339">
        <f>G11-G12</f>
        <v>-678473</v>
      </c>
      <c r="H13" s="347"/>
      <c r="I13" s="189">
        <f>I11-I12</f>
        <v>-684536</v>
      </c>
      <c r="J13" s="339"/>
      <c r="K13" s="339">
        <f>K11-K12</f>
        <v>-673926</v>
      </c>
      <c r="L13" s="347"/>
      <c r="M13" s="189">
        <f>M11-M12</f>
        <v>0</v>
      </c>
      <c r="N13" s="339"/>
      <c r="O13" s="339">
        <f>O11-O12</f>
        <v>0</v>
      </c>
      <c r="P13" s="347"/>
      <c r="Q13" s="189">
        <f>Q11-Q12</f>
        <v>0</v>
      </c>
      <c r="R13" s="339"/>
      <c r="S13" s="339">
        <f>S11-S12</f>
        <v>0</v>
      </c>
      <c r="T13" s="347"/>
      <c r="U13" s="189">
        <f>U11-U12</f>
        <v>0</v>
      </c>
      <c r="V13" s="339"/>
      <c r="W13" s="339">
        <f>W11-W12</f>
        <v>0</v>
      </c>
      <c r="X13" s="347"/>
      <c r="Y13" s="189">
        <f>Y11-Y12</f>
        <v>0</v>
      </c>
      <c r="Z13" s="145"/>
      <c r="AA13" s="145">
        <f>AA11-AA12</f>
        <v>0</v>
      </c>
      <c r="AB13" s="146"/>
      <c r="AC13" s="144">
        <f t="shared" si="1"/>
        <v>-2713134</v>
      </c>
    </row>
    <row r="14" spans="2:29" x14ac:dyDescent="0.2">
      <c r="B14" s="68" t="s">
        <v>61</v>
      </c>
      <c r="C14" s="336"/>
      <c r="D14" s="186"/>
      <c r="E14" s="187">
        <f>UAL常駐!L2</f>
        <v>6629295</v>
      </c>
      <c r="F14" s="337"/>
      <c r="G14" s="337">
        <f>UAL常駐!M2</f>
        <v>7361140</v>
      </c>
      <c r="H14" s="346"/>
      <c r="I14" s="187">
        <f>UAL常駐!N2</f>
        <v>7632975</v>
      </c>
      <c r="J14" s="337"/>
      <c r="K14" s="337">
        <f>UAL常駐!O2</f>
        <v>7466430</v>
      </c>
      <c r="L14" s="346"/>
      <c r="M14" s="187">
        <f>UAL常駐!P2</f>
        <v>7304380</v>
      </c>
      <c r="N14" s="337"/>
      <c r="O14" s="337">
        <f>UAL常駐!Q2</f>
        <v>7065585</v>
      </c>
      <c r="P14" s="346"/>
      <c r="Q14" s="187">
        <f>UAL常駐!R2</f>
        <v>6276225</v>
      </c>
      <c r="R14" s="337"/>
      <c r="S14" s="337">
        <f>UAL常駐!S2</f>
        <v>5387205</v>
      </c>
      <c r="T14" s="346"/>
      <c r="U14" s="187">
        <f>UAL常駐!T2</f>
        <v>5674540</v>
      </c>
      <c r="V14" s="337"/>
      <c r="W14" s="337">
        <f>UAL常駐!U2</f>
        <v>6119195</v>
      </c>
      <c r="X14" s="346"/>
      <c r="Y14" s="187">
        <f>UAL常駐!V2</f>
        <v>5902185</v>
      </c>
      <c r="Z14" s="151"/>
      <c r="AA14" s="151">
        <f>UAL常駐!W2</f>
        <v>6198000</v>
      </c>
      <c r="AB14" s="152"/>
      <c r="AC14" s="150">
        <f t="shared" ref="AC14:AC16" si="3">SUM(E14:AA14)</f>
        <v>79017155</v>
      </c>
    </row>
    <row r="15" spans="2:29" x14ac:dyDescent="0.2">
      <c r="B15" s="84" t="s">
        <v>56</v>
      </c>
      <c r="C15" s="332"/>
      <c r="D15" s="182"/>
      <c r="E15" s="190">
        <f>UAL常駐!L3</f>
        <v>4849295</v>
      </c>
      <c r="F15" s="340"/>
      <c r="G15" s="340">
        <f>UAL常駐!M3</f>
        <v>5064747</v>
      </c>
      <c r="H15" s="348"/>
      <c r="I15" s="190">
        <f>UAL常駐!N3</f>
        <v>5168234</v>
      </c>
      <c r="J15" s="340"/>
      <c r="K15" s="340">
        <f>UAL常駐!O3</f>
        <v>5146603</v>
      </c>
      <c r="L15" s="348"/>
      <c r="M15" s="190">
        <f>UAL常駐!P3</f>
        <v>5421520</v>
      </c>
      <c r="N15" s="340"/>
      <c r="O15" s="340">
        <f>UAL常駐!Q3</f>
        <v>5369514</v>
      </c>
      <c r="P15" s="348"/>
      <c r="Q15" s="190">
        <f>UAL常駐!R3</f>
        <v>4371086</v>
      </c>
      <c r="R15" s="340"/>
      <c r="S15" s="340">
        <f>UAL常駐!S3</f>
        <v>4008642</v>
      </c>
      <c r="T15" s="348"/>
      <c r="U15" s="190">
        <f>UAL常駐!T3</f>
        <v>4051923</v>
      </c>
      <c r="V15" s="340"/>
      <c r="W15" s="340">
        <f>UAL常駐!U3</f>
        <v>4511464</v>
      </c>
      <c r="X15" s="348"/>
      <c r="Y15" s="190">
        <f>UAL常駐!V3</f>
        <v>4499650</v>
      </c>
      <c r="Z15" s="154"/>
      <c r="AA15" s="154">
        <f>UAL常駐!W3</f>
        <v>4389137</v>
      </c>
      <c r="AB15" s="155"/>
      <c r="AC15" s="153">
        <f t="shared" si="3"/>
        <v>56851815</v>
      </c>
    </row>
    <row r="16" spans="2:29" ht="13.5" thickBot="1" x14ac:dyDescent="0.25">
      <c r="B16" s="88" t="s">
        <v>23</v>
      </c>
      <c r="C16" s="338"/>
      <c r="D16" s="188"/>
      <c r="E16" s="189">
        <f>E14-E15</f>
        <v>1780000</v>
      </c>
      <c r="F16" s="339"/>
      <c r="G16" s="339">
        <f>G14-G15</f>
        <v>2296393</v>
      </c>
      <c r="H16" s="347"/>
      <c r="I16" s="189">
        <f>I14-I15</f>
        <v>2464741</v>
      </c>
      <c r="J16" s="339"/>
      <c r="K16" s="339">
        <f>K14-K15</f>
        <v>2319827</v>
      </c>
      <c r="L16" s="347"/>
      <c r="M16" s="189">
        <f>M14-M15</f>
        <v>1882860</v>
      </c>
      <c r="N16" s="339"/>
      <c r="O16" s="339">
        <f>O14-O15</f>
        <v>1696071</v>
      </c>
      <c r="P16" s="347"/>
      <c r="Q16" s="189">
        <f>Q14-Q15</f>
        <v>1905139</v>
      </c>
      <c r="R16" s="339"/>
      <c r="S16" s="339">
        <f>S14-S15</f>
        <v>1378563</v>
      </c>
      <c r="T16" s="347"/>
      <c r="U16" s="189">
        <f>U14-U15</f>
        <v>1622617</v>
      </c>
      <c r="V16" s="339"/>
      <c r="W16" s="339">
        <f>W14-W15</f>
        <v>1607731</v>
      </c>
      <c r="X16" s="347"/>
      <c r="Y16" s="189">
        <f>Y14-Y15</f>
        <v>1402535</v>
      </c>
      <c r="Z16" s="145"/>
      <c r="AA16" s="145">
        <f>AA14-AA15</f>
        <v>1808863</v>
      </c>
      <c r="AB16" s="146"/>
      <c r="AC16" s="144">
        <f t="shared" si="3"/>
        <v>22165340</v>
      </c>
    </row>
    <row r="17" spans="2:29" x14ac:dyDescent="0.2">
      <c r="E17" s="192"/>
      <c r="F17" s="192"/>
      <c r="G17" s="192"/>
      <c r="H17" s="192"/>
      <c r="I17" s="192"/>
      <c r="J17" s="192"/>
      <c r="K17" s="192"/>
      <c r="L17" s="192"/>
      <c r="M17" s="192"/>
      <c r="N17" s="192"/>
      <c r="O17" s="192"/>
      <c r="P17" s="192"/>
      <c r="Q17" s="192"/>
      <c r="R17" s="192"/>
      <c r="S17" s="192"/>
      <c r="T17" s="192"/>
      <c r="U17" s="192"/>
      <c r="V17" s="192"/>
      <c r="W17" s="192"/>
      <c r="X17" s="192"/>
      <c r="Y17" s="192"/>
      <c r="Z17" s="142"/>
      <c r="AA17" s="142"/>
      <c r="AB17" s="142"/>
      <c r="AC17" s="142"/>
    </row>
    <row r="18" spans="2:29" ht="13.5" thickBot="1" x14ac:dyDescent="0.25">
      <c r="E18" s="193"/>
      <c r="F18" s="193"/>
      <c r="G18" s="193"/>
      <c r="H18" s="193"/>
      <c r="I18" s="193"/>
      <c r="J18" s="193"/>
      <c r="K18" s="193"/>
      <c r="L18" s="193"/>
      <c r="M18" s="193"/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  <c r="Z18" s="147"/>
      <c r="AA18" s="147"/>
      <c r="AB18" s="147"/>
      <c r="AC18" s="147"/>
    </row>
    <row r="19" spans="2:29" ht="20.25" customHeight="1" thickBot="1" x14ac:dyDescent="0.25">
      <c r="B19" s="89" t="s">
        <v>63</v>
      </c>
      <c r="C19" s="194"/>
      <c r="D19" s="194"/>
      <c r="E19" s="195"/>
      <c r="F19" s="195"/>
      <c r="G19" s="195"/>
      <c r="H19" s="195"/>
      <c r="I19" s="195"/>
      <c r="J19" s="195"/>
      <c r="K19" s="195"/>
      <c r="L19" s="195"/>
      <c r="M19" s="195"/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48"/>
      <c r="AA19" s="148"/>
      <c r="AB19" s="148"/>
      <c r="AC19" s="149"/>
    </row>
    <row r="20" spans="2:29" x14ac:dyDescent="0.2">
      <c r="B20" s="91" t="s">
        <v>55</v>
      </c>
      <c r="C20" s="330"/>
      <c r="D20" s="180"/>
      <c r="E20" s="181">
        <f>E23+E26</f>
        <v>4344000</v>
      </c>
      <c r="F20" s="331"/>
      <c r="G20" s="331">
        <f>G23+G26</f>
        <v>1758500</v>
      </c>
      <c r="H20" s="343"/>
      <c r="I20" s="181">
        <f>I23+I26</f>
        <v>3990000</v>
      </c>
      <c r="J20" s="331"/>
      <c r="K20" s="331">
        <f>K23+K26</f>
        <v>0</v>
      </c>
      <c r="L20" s="343"/>
      <c r="M20" s="181">
        <f>M23+M26</f>
        <v>9612750</v>
      </c>
      <c r="N20" s="331"/>
      <c r="O20" s="331">
        <f>O23+O26</f>
        <v>3673250</v>
      </c>
      <c r="P20" s="343"/>
      <c r="Q20" s="181">
        <f>Q23+Q26</f>
        <v>866250</v>
      </c>
      <c r="R20" s="331"/>
      <c r="S20" s="331">
        <f>S23+S26</f>
        <v>0</v>
      </c>
      <c r="T20" s="343"/>
      <c r="U20" s="181">
        <f>U23+U26</f>
        <v>8253000</v>
      </c>
      <c r="V20" s="331"/>
      <c r="W20" s="331">
        <f>W23+W26</f>
        <v>27425364</v>
      </c>
      <c r="X20" s="343"/>
      <c r="Y20" s="181">
        <f>Y23+Y26</f>
        <v>2604000</v>
      </c>
      <c r="Z20" s="133"/>
      <c r="AA20" s="133">
        <f>AA23+AA26</f>
        <v>15758000</v>
      </c>
      <c r="AB20" s="134"/>
      <c r="AC20" s="132">
        <f t="shared" ref="AC20:AC28" si="4">SUM(E20:AA20)</f>
        <v>78285114</v>
      </c>
    </row>
    <row r="21" spans="2:29" x14ac:dyDescent="0.2">
      <c r="B21" s="84" t="s">
        <v>56</v>
      </c>
      <c r="C21" s="332"/>
      <c r="D21" s="182"/>
      <c r="E21" s="190">
        <f>E24+E27</f>
        <v>4000000</v>
      </c>
      <c r="F21" s="340"/>
      <c r="G21" s="340">
        <f>G24+G27</f>
        <v>1650000</v>
      </c>
      <c r="H21" s="348"/>
      <c r="I21" s="190">
        <f>I24+I27</f>
        <v>3800000</v>
      </c>
      <c r="J21" s="340"/>
      <c r="K21" s="340">
        <f>K24+K27</f>
        <v>0</v>
      </c>
      <c r="L21" s="348"/>
      <c r="M21" s="190">
        <f>M24+M27</f>
        <v>9155000</v>
      </c>
      <c r="N21" s="340"/>
      <c r="O21" s="340">
        <f>O24+O27</f>
        <v>3445000</v>
      </c>
      <c r="P21" s="348"/>
      <c r="Q21" s="190">
        <f>Q24+Q27</f>
        <v>825000</v>
      </c>
      <c r="R21" s="340"/>
      <c r="S21" s="340">
        <f>S24+S27</f>
        <v>0</v>
      </c>
      <c r="T21" s="348"/>
      <c r="U21" s="190">
        <f>U24+U27</f>
        <v>7860000</v>
      </c>
      <c r="V21" s="340"/>
      <c r="W21" s="340">
        <f>W24+W27</f>
        <v>25979661</v>
      </c>
      <c r="X21" s="348"/>
      <c r="Y21" s="190">
        <f>Y24+Y27</f>
        <v>2250000</v>
      </c>
      <c r="Z21" s="154"/>
      <c r="AA21" s="154">
        <f>AA24+AA27</f>
        <v>14900000</v>
      </c>
      <c r="AB21" s="155"/>
      <c r="AC21" s="153">
        <f t="shared" si="4"/>
        <v>73864661</v>
      </c>
    </row>
    <row r="22" spans="2:29" ht="13.5" thickBot="1" x14ac:dyDescent="0.25">
      <c r="B22" s="92" t="s">
        <v>23</v>
      </c>
      <c r="C22" s="334"/>
      <c r="D22" s="184"/>
      <c r="E22" s="185">
        <f>E20-E21</f>
        <v>344000</v>
      </c>
      <c r="F22" s="335"/>
      <c r="G22" s="185">
        <f>G20-G21</f>
        <v>108500</v>
      </c>
      <c r="H22" s="345"/>
      <c r="I22" s="185">
        <f>I20-I21</f>
        <v>190000</v>
      </c>
      <c r="J22" s="335"/>
      <c r="K22" s="185">
        <f>K20-K21</f>
        <v>0</v>
      </c>
      <c r="L22" s="345"/>
      <c r="M22" s="185">
        <f>M20-M21</f>
        <v>457750</v>
      </c>
      <c r="N22" s="335"/>
      <c r="O22" s="185">
        <f>O20-O21</f>
        <v>228250</v>
      </c>
      <c r="P22" s="345"/>
      <c r="Q22" s="185">
        <f>Q20-Q21</f>
        <v>41250</v>
      </c>
      <c r="R22" s="335"/>
      <c r="S22" s="185">
        <f>S20-S21</f>
        <v>0</v>
      </c>
      <c r="T22" s="345"/>
      <c r="U22" s="185">
        <f>U20-U21</f>
        <v>393000</v>
      </c>
      <c r="V22" s="335"/>
      <c r="W22" s="185">
        <f>W20-W21</f>
        <v>1445703</v>
      </c>
      <c r="X22" s="345"/>
      <c r="Y22" s="185">
        <f>Y20-Y21</f>
        <v>354000</v>
      </c>
      <c r="Z22" s="139"/>
      <c r="AA22" s="138">
        <f>AA20-AA21</f>
        <v>858000</v>
      </c>
      <c r="AB22" s="140"/>
      <c r="AC22" s="138">
        <f t="shared" si="4"/>
        <v>4420453</v>
      </c>
    </row>
    <row r="23" spans="2:29" x14ac:dyDescent="0.2">
      <c r="B23" s="68" t="s">
        <v>60</v>
      </c>
      <c r="C23" s="336"/>
      <c r="D23" s="186"/>
      <c r="E23" s="196">
        <f>その他受託!L2</f>
        <v>4344000</v>
      </c>
      <c r="F23" s="192"/>
      <c r="G23" s="196">
        <f>その他受託!M2</f>
        <v>1758500</v>
      </c>
      <c r="H23" s="349"/>
      <c r="I23" s="196">
        <f>その他受託!N2</f>
        <v>3990000</v>
      </c>
      <c r="J23" s="192"/>
      <c r="K23" s="192">
        <f>その他受託!O2</f>
        <v>0</v>
      </c>
      <c r="L23" s="349"/>
      <c r="M23" s="196">
        <f>その他受託!P2</f>
        <v>9612750</v>
      </c>
      <c r="N23" s="192"/>
      <c r="O23" s="192">
        <f>その他受託!Q2</f>
        <v>3673250</v>
      </c>
      <c r="P23" s="349"/>
      <c r="Q23" s="196">
        <f>その他受託!R2</f>
        <v>866250</v>
      </c>
      <c r="R23" s="192"/>
      <c r="S23" s="192">
        <f>その他受託!S2</f>
        <v>0</v>
      </c>
      <c r="T23" s="349"/>
      <c r="U23" s="196">
        <f>その他受託!T2</f>
        <v>8253000</v>
      </c>
      <c r="V23" s="192"/>
      <c r="W23" s="192">
        <f>その他受託!U2</f>
        <v>27425364</v>
      </c>
      <c r="X23" s="349"/>
      <c r="Y23" s="196">
        <f>その他受託!V2</f>
        <v>2604000</v>
      </c>
      <c r="Z23" s="142"/>
      <c r="AA23" s="142">
        <f>その他受託!W2</f>
        <v>15758000</v>
      </c>
      <c r="AB23" s="143"/>
      <c r="AC23" s="141">
        <f t="shared" si="4"/>
        <v>78285114</v>
      </c>
    </row>
    <row r="24" spans="2:29" x14ac:dyDescent="0.2">
      <c r="B24" s="84" t="s">
        <v>56</v>
      </c>
      <c r="C24" s="332"/>
      <c r="D24" s="182"/>
      <c r="E24" s="183">
        <f>その他受託!L3</f>
        <v>4000000</v>
      </c>
      <c r="F24" s="333"/>
      <c r="G24" s="183">
        <f>その他受託!M3</f>
        <v>1650000</v>
      </c>
      <c r="H24" s="344"/>
      <c r="I24" s="183">
        <f>その他受託!N3</f>
        <v>3800000</v>
      </c>
      <c r="J24" s="333"/>
      <c r="K24" s="333">
        <f>その他受託!O3</f>
        <v>0</v>
      </c>
      <c r="L24" s="344"/>
      <c r="M24" s="183">
        <f>その他受託!P3</f>
        <v>9155000</v>
      </c>
      <c r="N24" s="333"/>
      <c r="O24" s="333">
        <f>その他受託!Q3</f>
        <v>3445000</v>
      </c>
      <c r="P24" s="344"/>
      <c r="Q24" s="183">
        <f>その他受託!R3</f>
        <v>825000</v>
      </c>
      <c r="R24" s="333"/>
      <c r="S24" s="333">
        <f>その他受託!S3</f>
        <v>0</v>
      </c>
      <c r="T24" s="344"/>
      <c r="U24" s="183">
        <f>その他受託!T3</f>
        <v>7860000</v>
      </c>
      <c r="V24" s="333"/>
      <c r="W24" s="333">
        <f>その他受託!U3</f>
        <v>25979661</v>
      </c>
      <c r="X24" s="344"/>
      <c r="Y24" s="183">
        <f>その他受託!V3</f>
        <v>2250000</v>
      </c>
      <c r="Z24" s="136"/>
      <c r="AA24" s="136">
        <f>その他受託!W3</f>
        <v>14900000</v>
      </c>
      <c r="AB24" s="137"/>
      <c r="AC24" s="135">
        <f t="shared" si="4"/>
        <v>73864661</v>
      </c>
    </row>
    <row r="25" spans="2:29" ht="13.5" thickBot="1" x14ac:dyDescent="0.25">
      <c r="B25" s="88" t="s">
        <v>23</v>
      </c>
      <c r="C25" s="338"/>
      <c r="D25" s="188"/>
      <c r="E25" s="189">
        <f>E23-E24</f>
        <v>344000</v>
      </c>
      <c r="F25" s="339"/>
      <c r="G25" s="339">
        <f>G23-G24</f>
        <v>108500</v>
      </c>
      <c r="H25" s="347"/>
      <c r="I25" s="189">
        <f>I23-I24</f>
        <v>190000</v>
      </c>
      <c r="J25" s="339"/>
      <c r="K25" s="339">
        <f>K23-K24</f>
        <v>0</v>
      </c>
      <c r="L25" s="347"/>
      <c r="M25" s="189">
        <f>M23-M24</f>
        <v>457750</v>
      </c>
      <c r="N25" s="339"/>
      <c r="O25" s="339">
        <f>O23-O24</f>
        <v>228250</v>
      </c>
      <c r="P25" s="347"/>
      <c r="Q25" s="189">
        <f>Q23-Q24</f>
        <v>41250</v>
      </c>
      <c r="R25" s="339"/>
      <c r="S25" s="339">
        <f>S23-S24</f>
        <v>0</v>
      </c>
      <c r="T25" s="347"/>
      <c r="U25" s="189">
        <f>U23-U24</f>
        <v>393000</v>
      </c>
      <c r="V25" s="339"/>
      <c r="W25" s="339">
        <f>W23-W24</f>
        <v>1445703</v>
      </c>
      <c r="X25" s="347"/>
      <c r="Y25" s="189">
        <f>Y23-Y24</f>
        <v>354000</v>
      </c>
      <c r="Z25" s="145"/>
      <c r="AA25" s="145">
        <f>AA23-AA24</f>
        <v>858000</v>
      </c>
      <c r="AB25" s="146"/>
      <c r="AC25" s="144">
        <f t="shared" si="4"/>
        <v>4420453</v>
      </c>
    </row>
    <row r="26" spans="2:29" x14ac:dyDescent="0.2">
      <c r="B26" s="68" t="s">
        <v>61</v>
      </c>
      <c r="C26" s="336"/>
      <c r="D26" s="186"/>
      <c r="E26" s="196">
        <f>その他常駐!L2</f>
        <v>0</v>
      </c>
      <c r="F26" s="192"/>
      <c r="G26" s="192">
        <f>その他常駐!M2</f>
        <v>0</v>
      </c>
      <c r="H26" s="349"/>
      <c r="I26" s="196">
        <f>その他常駐!N2</f>
        <v>0</v>
      </c>
      <c r="J26" s="192"/>
      <c r="K26" s="192">
        <f>その他常駐!O2</f>
        <v>0</v>
      </c>
      <c r="L26" s="349"/>
      <c r="M26" s="196">
        <f>その他常駐!P2</f>
        <v>0</v>
      </c>
      <c r="N26" s="192"/>
      <c r="O26" s="192">
        <f>その他常駐!Q2</f>
        <v>0</v>
      </c>
      <c r="P26" s="349"/>
      <c r="Q26" s="196">
        <f>その他常駐!R2</f>
        <v>0</v>
      </c>
      <c r="R26" s="192"/>
      <c r="S26" s="192">
        <f>その他常駐!S2</f>
        <v>0</v>
      </c>
      <c r="T26" s="349"/>
      <c r="U26" s="196">
        <f>その他常駐!T2</f>
        <v>0</v>
      </c>
      <c r="V26" s="192"/>
      <c r="W26" s="192">
        <f>その他常駐!U2</f>
        <v>0</v>
      </c>
      <c r="X26" s="349"/>
      <c r="Y26" s="196">
        <f>その他常駐!V2</f>
        <v>0</v>
      </c>
      <c r="Z26" s="142"/>
      <c r="AA26" s="142">
        <f>その他常駐!W2</f>
        <v>0</v>
      </c>
      <c r="AB26" s="143"/>
      <c r="AC26" s="141">
        <f t="shared" si="4"/>
        <v>0</v>
      </c>
    </row>
    <row r="27" spans="2:29" x14ac:dyDescent="0.2">
      <c r="B27" s="84" t="s">
        <v>56</v>
      </c>
      <c r="C27" s="332"/>
      <c r="D27" s="182"/>
      <c r="E27" s="183">
        <f>その他常駐!L3</f>
        <v>0</v>
      </c>
      <c r="F27" s="333"/>
      <c r="G27" s="333">
        <f>その他常駐!M3</f>
        <v>0</v>
      </c>
      <c r="H27" s="344"/>
      <c r="I27" s="183">
        <f>その他常駐!N3</f>
        <v>0</v>
      </c>
      <c r="J27" s="333"/>
      <c r="K27" s="333">
        <f>その他常駐!O3</f>
        <v>0</v>
      </c>
      <c r="L27" s="344"/>
      <c r="M27" s="183">
        <f>その他常駐!P3</f>
        <v>0</v>
      </c>
      <c r="N27" s="333"/>
      <c r="O27" s="333">
        <f>その他常駐!Q3</f>
        <v>0</v>
      </c>
      <c r="P27" s="344"/>
      <c r="Q27" s="183">
        <f>その他常駐!R3</f>
        <v>0</v>
      </c>
      <c r="R27" s="333"/>
      <c r="S27" s="333">
        <f>その他常駐!S3</f>
        <v>0</v>
      </c>
      <c r="T27" s="344"/>
      <c r="U27" s="183">
        <f>その他常駐!T3</f>
        <v>0</v>
      </c>
      <c r="V27" s="333"/>
      <c r="W27" s="333">
        <f>その他常駐!U3</f>
        <v>0</v>
      </c>
      <c r="X27" s="344"/>
      <c r="Y27" s="183">
        <f>その他常駐!V3</f>
        <v>0</v>
      </c>
      <c r="Z27" s="136"/>
      <c r="AA27" s="136">
        <f>その他常駐!W3</f>
        <v>0</v>
      </c>
      <c r="AB27" s="137"/>
      <c r="AC27" s="135">
        <f t="shared" si="4"/>
        <v>0</v>
      </c>
    </row>
    <row r="28" spans="2:29" ht="13.5" thickBot="1" x14ac:dyDescent="0.25">
      <c r="B28" s="88" t="s">
        <v>23</v>
      </c>
      <c r="C28" s="338"/>
      <c r="D28" s="188"/>
      <c r="E28" s="189">
        <f>E26-E27</f>
        <v>0</v>
      </c>
      <c r="F28" s="339"/>
      <c r="G28" s="339">
        <f>G26-G27</f>
        <v>0</v>
      </c>
      <c r="H28" s="347"/>
      <c r="I28" s="189">
        <f>I26-I27</f>
        <v>0</v>
      </c>
      <c r="J28" s="339"/>
      <c r="K28" s="339">
        <f>K26-K27</f>
        <v>0</v>
      </c>
      <c r="L28" s="347"/>
      <c r="M28" s="189">
        <f>M26-M27</f>
        <v>0</v>
      </c>
      <c r="N28" s="339"/>
      <c r="O28" s="339">
        <f>O26-O27</f>
        <v>0</v>
      </c>
      <c r="P28" s="347"/>
      <c r="Q28" s="189">
        <f>Q26-Q27</f>
        <v>0</v>
      </c>
      <c r="R28" s="339"/>
      <c r="S28" s="339">
        <f>S26-S27</f>
        <v>0</v>
      </c>
      <c r="T28" s="347"/>
      <c r="U28" s="189">
        <f>U26-U27</f>
        <v>0</v>
      </c>
      <c r="V28" s="339"/>
      <c r="W28" s="339">
        <f>W26-W27</f>
        <v>0</v>
      </c>
      <c r="X28" s="347"/>
      <c r="Y28" s="189">
        <f>Y26-Y27</f>
        <v>0</v>
      </c>
      <c r="Z28" s="145"/>
      <c r="AA28" s="145">
        <f>AA26-AA27</f>
        <v>0</v>
      </c>
      <c r="AB28" s="146"/>
      <c r="AC28" s="144">
        <f t="shared" si="4"/>
        <v>0</v>
      </c>
    </row>
    <row r="29" spans="2:29" x14ac:dyDescent="0.2">
      <c r="E29" s="192"/>
      <c r="F29" s="192"/>
      <c r="G29" s="192"/>
      <c r="H29" s="192"/>
      <c r="I29" s="192"/>
      <c r="J29" s="192"/>
      <c r="K29" s="192"/>
      <c r="L29" s="192"/>
      <c r="M29" s="192"/>
      <c r="N29" s="192"/>
      <c r="O29" s="192"/>
      <c r="P29" s="192"/>
      <c r="Q29" s="192"/>
      <c r="R29" s="192"/>
      <c r="S29" s="192"/>
      <c r="T29" s="192"/>
      <c r="U29" s="192"/>
      <c r="V29" s="192"/>
      <c r="W29" s="192"/>
      <c r="X29" s="192"/>
      <c r="Y29" s="192"/>
      <c r="Z29" s="192"/>
      <c r="AA29" s="192"/>
      <c r="AB29" s="192"/>
      <c r="AC29" s="192"/>
    </row>
  </sheetData>
  <mergeCells count="13">
    <mergeCell ref="AB1:AC1"/>
    <mergeCell ref="P1:Q1"/>
    <mergeCell ref="R1:S1"/>
    <mergeCell ref="T1:U1"/>
    <mergeCell ref="V1:W1"/>
    <mergeCell ref="X1:Y1"/>
    <mergeCell ref="Z1:AA1"/>
    <mergeCell ref="N1:O1"/>
    <mergeCell ref="D1:E1"/>
    <mergeCell ref="F1:G1"/>
    <mergeCell ref="H1:I1"/>
    <mergeCell ref="J1:K1"/>
    <mergeCell ref="L1:M1"/>
  </mergeCells>
  <phoneticPr fontId="4"/>
  <pageMargins left="0.7" right="0.7" top="0.75" bottom="0.75" header="0.3" footer="0.3"/>
  <pageSetup paperSize="8" scale="6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EA2DE-D9D5-4918-A071-05052E6D2B82}">
  <sheetPr codeName="Sheet2"/>
  <dimension ref="A1:Z493"/>
  <sheetViews>
    <sheetView showGridLines="0" zoomScale="80" zoomScaleNormal="80" zoomScaleSheetLayoutView="70" workbookViewId="0">
      <pane xSplit="11" ySplit="4" topLeftCell="L5" activePane="bottomRight" state="frozen"/>
      <selection sqref="A1:B1048576"/>
      <selection pane="topRight" sqref="A1:B1048576"/>
      <selection pane="bottomLeft" sqref="A1:B1048576"/>
      <selection pane="bottomRight" activeCell="B226" sqref="B4:B226"/>
    </sheetView>
  </sheetViews>
  <sheetFormatPr defaultRowHeight="12" x14ac:dyDescent="0.2"/>
  <cols>
    <col min="1" max="1" width="9.08984375" style="14" bestFit="1" customWidth="1"/>
    <col min="2" max="2" width="11.36328125" style="16" bestFit="1" customWidth="1"/>
    <col min="3" max="3" width="6.08984375" style="2" bestFit="1" customWidth="1"/>
    <col min="4" max="4" width="9.08984375" style="2" customWidth="1"/>
    <col min="5" max="5" width="5.08984375" style="2" customWidth="1"/>
    <col min="6" max="6" width="10.6328125" style="1" customWidth="1"/>
    <col min="7" max="7" width="9.6328125" style="2" customWidth="1"/>
    <col min="8" max="8" width="11.90625" style="363" customWidth="1"/>
    <col min="9" max="9" width="11.90625" style="2" customWidth="1"/>
    <col min="10" max="10" width="8.36328125" style="2" customWidth="1"/>
    <col min="11" max="11" width="13.36328125" style="2" bestFit="1" customWidth="1"/>
    <col min="12" max="15" width="13.36328125" style="5" customWidth="1"/>
    <col min="16" max="16" width="13.36328125" style="80" customWidth="1"/>
    <col min="17" max="22" width="13.36328125" style="8" customWidth="1"/>
    <col min="23" max="23" width="13.90625" style="3" customWidth="1"/>
    <col min="24" max="24" width="16.453125" style="4" customWidth="1"/>
    <col min="25" max="25" width="9.6328125" style="2" bestFit="1" customWidth="1"/>
    <col min="26" max="26" width="11" style="10" bestFit="1" customWidth="1"/>
    <col min="27" max="259" width="8.90625" style="2"/>
    <col min="260" max="260" width="9.90625" style="2" customWidth="1"/>
    <col min="261" max="262" width="5.08984375" style="2" customWidth="1"/>
    <col min="263" max="263" width="9.6328125" style="2" customWidth="1"/>
    <col min="264" max="265" width="11.90625" style="2" customWidth="1"/>
    <col min="266" max="266" width="15.36328125" style="2" customWidth="1"/>
    <col min="267" max="267" width="10.90625" style="2" customWidth="1"/>
    <col min="268" max="278" width="13.36328125" style="2" customWidth="1"/>
    <col min="279" max="279" width="13.90625" style="2" customWidth="1"/>
    <col min="280" max="280" width="16.453125" style="2" customWidth="1"/>
    <col min="281" max="515" width="8.90625" style="2"/>
    <col min="516" max="516" width="9.90625" style="2" customWidth="1"/>
    <col min="517" max="518" width="5.08984375" style="2" customWidth="1"/>
    <col min="519" max="519" width="9.6328125" style="2" customWidth="1"/>
    <col min="520" max="521" width="11.90625" style="2" customWidth="1"/>
    <col min="522" max="522" width="15.36328125" style="2" customWidth="1"/>
    <col min="523" max="523" width="10.90625" style="2" customWidth="1"/>
    <col min="524" max="534" width="13.36328125" style="2" customWidth="1"/>
    <col min="535" max="535" width="13.90625" style="2" customWidth="1"/>
    <col min="536" max="536" width="16.453125" style="2" customWidth="1"/>
    <col min="537" max="771" width="8.90625" style="2"/>
    <col min="772" max="772" width="9.90625" style="2" customWidth="1"/>
    <col min="773" max="774" width="5.08984375" style="2" customWidth="1"/>
    <col min="775" max="775" width="9.6328125" style="2" customWidth="1"/>
    <col min="776" max="777" width="11.90625" style="2" customWidth="1"/>
    <col min="778" max="778" width="15.36328125" style="2" customWidth="1"/>
    <col min="779" max="779" width="10.90625" style="2" customWidth="1"/>
    <col min="780" max="790" width="13.36328125" style="2" customWidth="1"/>
    <col min="791" max="791" width="13.90625" style="2" customWidth="1"/>
    <col min="792" max="792" width="16.453125" style="2" customWidth="1"/>
    <col min="793" max="1027" width="8.90625" style="2"/>
    <col min="1028" max="1028" width="9.90625" style="2" customWidth="1"/>
    <col min="1029" max="1030" width="5.08984375" style="2" customWidth="1"/>
    <col min="1031" max="1031" width="9.6328125" style="2" customWidth="1"/>
    <col min="1032" max="1033" width="11.90625" style="2" customWidth="1"/>
    <col min="1034" max="1034" width="15.36328125" style="2" customWidth="1"/>
    <col min="1035" max="1035" width="10.90625" style="2" customWidth="1"/>
    <col min="1036" max="1046" width="13.36328125" style="2" customWidth="1"/>
    <col min="1047" max="1047" width="13.90625" style="2" customWidth="1"/>
    <col min="1048" max="1048" width="16.453125" style="2" customWidth="1"/>
    <col min="1049" max="1283" width="8.90625" style="2"/>
    <col min="1284" max="1284" width="9.90625" style="2" customWidth="1"/>
    <col min="1285" max="1286" width="5.08984375" style="2" customWidth="1"/>
    <col min="1287" max="1287" width="9.6328125" style="2" customWidth="1"/>
    <col min="1288" max="1289" width="11.90625" style="2" customWidth="1"/>
    <col min="1290" max="1290" width="15.36328125" style="2" customWidth="1"/>
    <col min="1291" max="1291" width="10.90625" style="2" customWidth="1"/>
    <col min="1292" max="1302" width="13.36328125" style="2" customWidth="1"/>
    <col min="1303" max="1303" width="13.90625" style="2" customWidth="1"/>
    <col min="1304" max="1304" width="16.453125" style="2" customWidth="1"/>
    <col min="1305" max="1539" width="8.90625" style="2"/>
    <col min="1540" max="1540" width="9.90625" style="2" customWidth="1"/>
    <col min="1541" max="1542" width="5.08984375" style="2" customWidth="1"/>
    <col min="1543" max="1543" width="9.6328125" style="2" customWidth="1"/>
    <col min="1544" max="1545" width="11.90625" style="2" customWidth="1"/>
    <col min="1546" max="1546" width="15.36328125" style="2" customWidth="1"/>
    <col min="1547" max="1547" width="10.90625" style="2" customWidth="1"/>
    <col min="1548" max="1558" width="13.36328125" style="2" customWidth="1"/>
    <col min="1559" max="1559" width="13.90625" style="2" customWidth="1"/>
    <col min="1560" max="1560" width="16.453125" style="2" customWidth="1"/>
    <col min="1561" max="1795" width="8.90625" style="2"/>
    <col min="1796" max="1796" width="9.90625" style="2" customWidth="1"/>
    <col min="1797" max="1798" width="5.08984375" style="2" customWidth="1"/>
    <col min="1799" max="1799" width="9.6328125" style="2" customWidth="1"/>
    <col min="1800" max="1801" width="11.90625" style="2" customWidth="1"/>
    <col min="1802" max="1802" width="15.36328125" style="2" customWidth="1"/>
    <col min="1803" max="1803" width="10.90625" style="2" customWidth="1"/>
    <col min="1804" max="1814" width="13.36328125" style="2" customWidth="1"/>
    <col min="1815" max="1815" width="13.90625" style="2" customWidth="1"/>
    <col min="1816" max="1816" width="16.453125" style="2" customWidth="1"/>
    <col min="1817" max="2051" width="8.90625" style="2"/>
    <col min="2052" max="2052" width="9.90625" style="2" customWidth="1"/>
    <col min="2053" max="2054" width="5.08984375" style="2" customWidth="1"/>
    <col min="2055" max="2055" width="9.6328125" style="2" customWidth="1"/>
    <col min="2056" max="2057" width="11.90625" style="2" customWidth="1"/>
    <col min="2058" max="2058" width="15.36328125" style="2" customWidth="1"/>
    <col min="2059" max="2059" width="10.90625" style="2" customWidth="1"/>
    <col min="2060" max="2070" width="13.36328125" style="2" customWidth="1"/>
    <col min="2071" max="2071" width="13.90625" style="2" customWidth="1"/>
    <col min="2072" max="2072" width="16.453125" style="2" customWidth="1"/>
    <col min="2073" max="2307" width="8.90625" style="2"/>
    <col min="2308" max="2308" width="9.90625" style="2" customWidth="1"/>
    <col min="2309" max="2310" width="5.08984375" style="2" customWidth="1"/>
    <col min="2311" max="2311" width="9.6328125" style="2" customWidth="1"/>
    <col min="2312" max="2313" width="11.90625" style="2" customWidth="1"/>
    <col min="2314" max="2314" width="15.36328125" style="2" customWidth="1"/>
    <col min="2315" max="2315" width="10.90625" style="2" customWidth="1"/>
    <col min="2316" max="2326" width="13.36328125" style="2" customWidth="1"/>
    <col min="2327" max="2327" width="13.90625" style="2" customWidth="1"/>
    <col min="2328" max="2328" width="16.453125" style="2" customWidth="1"/>
    <col min="2329" max="2563" width="8.90625" style="2"/>
    <col min="2564" max="2564" width="9.90625" style="2" customWidth="1"/>
    <col min="2565" max="2566" width="5.08984375" style="2" customWidth="1"/>
    <col min="2567" max="2567" width="9.6328125" style="2" customWidth="1"/>
    <col min="2568" max="2569" width="11.90625" style="2" customWidth="1"/>
    <col min="2570" max="2570" width="15.36328125" style="2" customWidth="1"/>
    <col min="2571" max="2571" width="10.90625" style="2" customWidth="1"/>
    <col min="2572" max="2582" width="13.36328125" style="2" customWidth="1"/>
    <col min="2583" max="2583" width="13.90625" style="2" customWidth="1"/>
    <col min="2584" max="2584" width="16.453125" style="2" customWidth="1"/>
    <col min="2585" max="2819" width="8.90625" style="2"/>
    <col min="2820" max="2820" width="9.90625" style="2" customWidth="1"/>
    <col min="2821" max="2822" width="5.08984375" style="2" customWidth="1"/>
    <col min="2823" max="2823" width="9.6328125" style="2" customWidth="1"/>
    <col min="2824" max="2825" width="11.90625" style="2" customWidth="1"/>
    <col min="2826" max="2826" width="15.36328125" style="2" customWidth="1"/>
    <col min="2827" max="2827" width="10.90625" style="2" customWidth="1"/>
    <col min="2828" max="2838" width="13.36328125" style="2" customWidth="1"/>
    <col min="2839" max="2839" width="13.90625" style="2" customWidth="1"/>
    <col min="2840" max="2840" width="16.453125" style="2" customWidth="1"/>
    <col min="2841" max="3075" width="8.90625" style="2"/>
    <col min="3076" max="3076" width="9.90625" style="2" customWidth="1"/>
    <col min="3077" max="3078" width="5.08984375" style="2" customWidth="1"/>
    <col min="3079" max="3079" width="9.6328125" style="2" customWidth="1"/>
    <col min="3080" max="3081" width="11.90625" style="2" customWidth="1"/>
    <col min="3082" max="3082" width="15.36328125" style="2" customWidth="1"/>
    <col min="3083" max="3083" width="10.90625" style="2" customWidth="1"/>
    <col min="3084" max="3094" width="13.36328125" style="2" customWidth="1"/>
    <col min="3095" max="3095" width="13.90625" style="2" customWidth="1"/>
    <col min="3096" max="3096" width="16.453125" style="2" customWidth="1"/>
    <col min="3097" max="3331" width="8.90625" style="2"/>
    <col min="3332" max="3332" width="9.90625" style="2" customWidth="1"/>
    <col min="3333" max="3334" width="5.08984375" style="2" customWidth="1"/>
    <col min="3335" max="3335" width="9.6328125" style="2" customWidth="1"/>
    <col min="3336" max="3337" width="11.90625" style="2" customWidth="1"/>
    <col min="3338" max="3338" width="15.36328125" style="2" customWidth="1"/>
    <col min="3339" max="3339" width="10.90625" style="2" customWidth="1"/>
    <col min="3340" max="3350" width="13.36328125" style="2" customWidth="1"/>
    <col min="3351" max="3351" width="13.90625" style="2" customWidth="1"/>
    <col min="3352" max="3352" width="16.453125" style="2" customWidth="1"/>
    <col min="3353" max="3587" width="8.90625" style="2"/>
    <col min="3588" max="3588" width="9.90625" style="2" customWidth="1"/>
    <col min="3589" max="3590" width="5.08984375" style="2" customWidth="1"/>
    <col min="3591" max="3591" width="9.6328125" style="2" customWidth="1"/>
    <col min="3592" max="3593" width="11.90625" style="2" customWidth="1"/>
    <col min="3594" max="3594" width="15.36328125" style="2" customWidth="1"/>
    <col min="3595" max="3595" width="10.90625" style="2" customWidth="1"/>
    <col min="3596" max="3606" width="13.36328125" style="2" customWidth="1"/>
    <col min="3607" max="3607" width="13.90625" style="2" customWidth="1"/>
    <col min="3608" max="3608" width="16.453125" style="2" customWidth="1"/>
    <col min="3609" max="3843" width="8.90625" style="2"/>
    <col min="3844" max="3844" width="9.90625" style="2" customWidth="1"/>
    <col min="3845" max="3846" width="5.08984375" style="2" customWidth="1"/>
    <col min="3847" max="3847" width="9.6328125" style="2" customWidth="1"/>
    <col min="3848" max="3849" width="11.90625" style="2" customWidth="1"/>
    <col min="3850" max="3850" width="15.36328125" style="2" customWidth="1"/>
    <col min="3851" max="3851" width="10.90625" style="2" customWidth="1"/>
    <col min="3852" max="3862" width="13.36328125" style="2" customWidth="1"/>
    <col min="3863" max="3863" width="13.90625" style="2" customWidth="1"/>
    <col min="3864" max="3864" width="16.453125" style="2" customWidth="1"/>
    <col min="3865" max="4099" width="8.90625" style="2"/>
    <col min="4100" max="4100" width="9.90625" style="2" customWidth="1"/>
    <col min="4101" max="4102" width="5.08984375" style="2" customWidth="1"/>
    <col min="4103" max="4103" width="9.6328125" style="2" customWidth="1"/>
    <col min="4104" max="4105" width="11.90625" style="2" customWidth="1"/>
    <col min="4106" max="4106" width="15.36328125" style="2" customWidth="1"/>
    <col min="4107" max="4107" width="10.90625" style="2" customWidth="1"/>
    <col min="4108" max="4118" width="13.36328125" style="2" customWidth="1"/>
    <col min="4119" max="4119" width="13.90625" style="2" customWidth="1"/>
    <col min="4120" max="4120" width="16.453125" style="2" customWidth="1"/>
    <col min="4121" max="4355" width="8.90625" style="2"/>
    <col min="4356" max="4356" width="9.90625" style="2" customWidth="1"/>
    <col min="4357" max="4358" width="5.08984375" style="2" customWidth="1"/>
    <col min="4359" max="4359" width="9.6328125" style="2" customWidth="1"/>
    <col min="4360" max="4361" width="11.90625" style="2" customWidth="1"/>
    <col min="4362" max="4362" width="15.36328125" style="2" customWidth="1"/>
    <col min="4363" max="4363" width="10.90625" style="2" customWidth="1"/>
    <col min="4364" max="4374" width="13.36328125" style="2" customWidth="1"/>
    <col min="4375" max="4375" width="13.90625" style="2" customWidth="1"/>
    <col min="4376" max="4376" width="16.453125" style="2" customWidth="1"/>
    <col min="4377" max="4611" width="8.90625" style="2"/>
    <col min="4612" max="4612" width="9.90625" style="2" customWidth="1"/>
    <col min="4613" max="4614" width="5.08984375" style="2" customWidth="1"/>
    <col min="4615" max="4615" width="9.6328125" style="2" customWidth="1"/>
    <col min="4616" max="4617" width="11.90625" style="2" customWidth="1"/>
    <col min="4618" max="4618" width="15.36328125" style="2" customWidth="1"/>
    <col min="4619" max="4619" width="10.90625" style="2" customWidth="1"/>
    <col min="4620" max="4630" width="13.36328125" style="2" customWidth="1"/>
    <col min="4631" max="4631" width="13.90625" style="2" customWidth="1"/>
    <col min="4632" max="4632" width="16.453125" style="2" customWidth="1"/>
    <col min="4633" max="4867" width="8.90625" style="2"/>
    <col min="4868" max="4868" width="9.90625" style="2" customWidth="1"/>
    <col min="4869" max="4870" width="5.08984375" style="2" customWidth="1"/>
    <col min="4871" max="4871" width="9.6328125" style="2" customWidth="1"/>
    <col min="4872" max="4873" width="11.90625" style="2" customWidth="1"/>
    <col min="4874" max="4874" width="15.36328125" style="2" customWidth="1"/>
    <col min="4875" max="4875" width="10.90625" style="2" customWidth="1"/>
    <col min="4876" max="4886" width="13.36328125" style="2" customWidth="1"/>
    <col min="4887" max="4887" width="13.90625" style="2" customWidth="1"/>
    <col min="4888" max="4888" width="16.453125" style="2" customWidth="1"/>
    <col min="4889" max="5123" width="8.90625" style="2"/>
    <col min="5124" max="5124" width="9.90625" style="2" customWidth="1"/>
    <col min="5125" max="5126" width="5.08984375" style="2" customWidth="1"/>
    <col min="5127" max="5127" width="9.6328125" style="2" customWidth="1"/>
    <col min="5128" max="5129" width="11.90625" style="2" customWidth="1"/>
    <col min="5130" max="5130" width="15.36328125" style="2" customWidth="1"/>
    <col min="5131" max="5131" width="10.90625" style="2" customWidth="1"/>
    <col min="5132" max="5142" width="13.36328125" style="2" customWidth="1"/>
    <col min="5143" max="5143" width="13.90625" style="2" customWidth="1"/>
    <col min="5144" max="5144" width="16.453125" style="2" customWidth="1"/>
    <col min="5145" max="5379" width="8.90625" style="2"/>
    <col min="5380" max="5380" width="9.90625" style="2" customWidth="1"/>
    <col min="5381" max="5382" width="5.08984375" style="2" customWidth="1"/>
    <col min="5383" max="5383" width="9.6328125" style="2" customWidth="1"/>
    <col min="5384" max="5385" width="11.90625" style="2" customWidth="1"/>
    <col min="5386" max="5386" width="15.36328125" style="2" customWidth="1"/>
    <col min="5387" max="5387" width="10.90625" style="2" customWidth="1"/>
    <col min="5388" max="5398" width="13.36328125" style="2" customWidth="1"/>
    <col min="5399" max="5399" width="13.90625" style="2" customWidth="1"/>
    <col min="5400" max="5400" width="16.453125" style="2" customWidth="1"/>
    <col min="5401" max="5635" width="8.90625" style="2"/>
    <col min="5636" max="5636" width="9.90625" style="2" customWidth="1"/>
    <col min="5637" max="5638" width="5.08984375" style="2" customWidth="1"/>
    <col min="5639" max="5639" width="9.6328125" style="2" customWidth="1"/>
    <col min="5640" max="5641" width="11.90625" style="2" customWidth="1"/>
    <col min="5642" max="5642" width="15.36328125" style="2" customWidth="1"/>
    <col min="5643" max="5643" width="10.90625" style="2" customWidth="1"/>
    <col min="5644" max="5654" width="13.36328125" style="2" customWidth="1"/>
    <col min="5655" max="5655" width="13.90625" style="2" customWidth="1"/>
    <col min="5656" max="5656" width="16.453125" style="2" customWidth="1"/>
    <col min="5657" max="5891" width="8.90625" style="2"/>
    <col min="5892" max="5892" width="9.90625" style="2" customWidth="1"/>
    <col min="5893" max="5894" width="5.08984375" style="2" customWidth="1"/>
    <col min="5895" max="5895" width="9.6328125" style="2" customWidth="1"/>
    <col min="5896" max="5897" width="11.90625" style="2" customWidth="1"/>
    <col min="5898" max="5898" width="15.36328125" style="2" customWidth="1"/>
    <col min="5899" max="5899" width="10.90625" style="2" customWidth="1"/>
    <col min="5900" max="5910" width="13.36328125" style="2" customWidth="1"/>
    <col min="5911" max="5911" width="13.90625" style="2" customWidth="1"/>
    <col min="5912" max="5912" width="16.453125" style="2" customWidth="1"/>
    <col min="5913" max="6147" width="8.90625" style="2"/>
    <col min="6148" max="6148" width="9.90625" style="2" customWidth="1"/>
    <col min="6149" max="6150" width="5.08984375" style="2" customWidth="1"/>
    <col min="6151" max="6151" width="9.6328125" style="2" customWidth="1"/>
    <col min="6152" max="6153" width="11.90625" style="2" customWidth="1"/>
    <col min="6154" max="6154" width="15.36328125" style="2" customWidth="1"/>
    <col min="6155" max="6155" width="10.90625" style="2" customWidth="1"/>
    <col min="6156" max="6166" width="13.36328125" style="2" customWidth="1"/>
    <col min="6167" max="6167" width="13.90625" style="2" customWidth="1"/>
    <col min="6168" max="6168" width="16.453125" style="2" customWidth="1"/>
    <col min="6169" max="6403" width="8.90625" style="2"/>
    <col min="6404" max="6404" width="9.90625" style="2" customWidth="1"/>
    <col min="6405" max="6406" width="5.08984375" style="2" customWidth="1"/>
    <col min="6407" max="6407" width="9.6328125" style="2" customWidth="1"/>
    <col min="6408" max="6409" width="11.90625" style="2" customWidth="1"/>
    <col min="6410" max="6410" width="15.36328125" style="2" customWidth="1"/>
    <col min="6411" max="6411" width="10.90625" style="2" customWidth="1"/>
    <col min="6412" max="6422" width="13.36328125" style="2" customWidth="1"/>
    <col min="6423" max="6423" width="13.90625" style="2" customWidth="1"/>
    <col min="6424" max="6424" width="16.453125" style="2" customWidth="1"/>
    <col min="6425" max="6659" width="8.90625" style="2"/>
    <col min="6660" max="6660" width="9.90625" style="2" customWidth="1"/>
    <col min="6661" max="6662" width="5.08984375" style="2" customWidth="1"/>
    <col min="6663" max="6663" width="9.6328125" style="2" customWidth="1"/>
    <col min="6664" max="6665" width="11.90625" style="2" customWidth="1"/>
    <col min="6666" max="6666" width="15.36328125" style="2" customWidth="1"/>
    <col min="6667" max="6667" width="10.90625" style="2" customWidth="1"/>
    <col min="6668" max="6678" width="13.36328125" style="2" customWidth="1"/>
    <col min="6679" max="6679" width="13.90625" style="2" customWidth="1"/>
    <col min="6680" max="6680" width="16.453125" style="2" customWidth="1"/>
    <col min="6681" max="6915" width="8.90625" style="2"/>
    <col min="6916" max="6916" width="9.90625" style="2" customWidth="1"/>
    <col min="6917" max="6918" width="5.08984375" style="2" customWidth="1"/>
    <col min="6919" max="6919" width="9.6328125" style="2" customWidth="1"/>
    <col min="6920" max="6921" width="11.90625" style="2" customWidth="1"/>
    <col min="6922" max="6922" width="15.36328125" style="2" customWidth="1"/>
    <col min="6923" max="6923" width="10.90625" style="2" customWidth="1"/>
    <col min="6924" max="6934" width="13.36328125" style="2" customWidth="1"/>
    <col min="6935" max="6935" width="13.90625" style="2" customWidth="1"/>
    <col min="6936" max="6936" width="16.453125" style="2" customWidth="1"/>
    <col min="6937" max="7171" width="8.90625" style="2"/>
    <col min="7172" max="7172" width="9.90625" style="2" customWidth="1"/>
    <col min="7173" max="7174" width="5.08984375" style="2" customWidth="1"/>
    <col min="7175" max="7175" width="9.6328125" style="2" customWidth="1"/>
    <col min="7176" max="7177" width="11.90625" style="2" customWidth="1"/>
    <col min="7178" max="7178" width="15.36328125" style="2" customWidth="1"/>
    <col min="7179" max="7179" width="10.90625" style="2" customWidth="1"/>
    <col min="7180" max="7190" width="13.36328125" style="2" customWidth="1"/>
    <col min="7191" max="7191" width="13.90625" style="2" customWidth="1"/>
    <col min="7192" max="7192" width="16.453125" style="2" customWidth="1"/>
    <col min="7193" max="7427" width="8.90625" style="2"/>
    <col min="7428" max="7428" width="9.90625" style="2" customWidth="1"/>
    <col min="7429" max="7430" width="5.08984375" style="2" customWidth="1"/>
    <col min="7431" max="7431" width="9.6328125" style="2" customWidth="1"/>
    <col min="7432" max="7433" width="11.90625" style="2" customWidth="1"/>
    <col min="7434" max="7434" width="15.36328125" style="2" customWidth="1"/>
    <col min="7435" max="7435" width="10.90625" style="2" customWidth="1"/>
    <col min="7436" max="7446" width="13.36328125" style="2" customWidth="1"/>
    <col min="7447" max="7447" width="13.90625" style="2" customWidth="1"/>
    <col min="7448" max="7448" width="16.453125" style="2" customWidth="1"/>
    <col min="7449" max="7683" width="8.90625" style="2"/>
    <col min="7684" max="7684" width="9.90625" style="2" customWidth="1"/>
    <col min="7685" max="7686" width="5.08984375" style="2" customWidth="1"/>
    <col min="7687" max="7687" width="9.6328125" style="2" customWidth="1"/>
    <col min="7688" max="7689" width="11.90625" style="2" customWidth="1"/>
    <col min="7690" max="7690" width="15.36328125" style="2" customWidth="1"/>
    <col min="7691" max="7691" width="10.90625" style="2" customWidth="1"/>
    <col min="7692" max="7702" width="13.36328125" style="2" customWidth="1"/>
    <col min="7703" max="7703" width="13.90625" style="2" customWidth="1"/>
    <col min="7704" max="7704" width="16.453125" style="2" customWidth="1"/>
    <col min="7705" max="7939" width="8.90625" style="2"/>
    <col min="7940" max="7940" width="9.90625" style="2" customWidth="1"/>
    <col min="7941" max="7942" width="5.08984375" style="2" customWidth="1"/>
    <col min="7943" max="7943" width="9.6328125" style="2" customWidth="1"/>
    <col min="7944" max="7945" width="11.90625" style="2" customWidth="1"/>
    <col min="7946" max="7946" width="15.36328125" style="2" customWidth="1"/>
    <col min="7947" max="7947" width="10.90625" style="2" customWidth="1"/>
    <col min="7948" max="7958" width="13.36328125" style="2" customWidth="1"/>
    <col min="7959" max="7959" width="13.90625" style="2" customWidth="1"/>
    <col min="7960" max="7960" width="16.453125" style="2" customWidth="1"/>
    <col min="7961" max="8195" width="8.90625" style="2"/>
    <col min="8196" max="8196" width="9.90625" style="2" customWidth="1"/>
    <col min="8197" max="8198" width="5.08984375" style="2" customWidth="1"/>
    <col min="8199" max="8199" width="9.6328125" style="2" customWidth="1"/>
    <col min="8200" max="8201" width="11.90625" style="2" customWidth="1"/>
    <col min="8202" max="8202" width="15.36328125" style="2" customWidth="1"/>
    <col min="8203" max="8203" width="10.90625" style="2" customWidth="1"/>
    <col min="8204" max="8214" width="13.36328125" style="2" customWidth="1"/>
    <col min="8215" max="8215" width="13.90625" style="2" customWidth="1"/>
    <col min="8216" max="8216" width="16.453125" style="2" customWidth="1"/>
    <col min="8217" max="8451" width="8.90625" style="2"/>
    <col min="8452" max="8452" width="9.90625" style="2" customWidth="1"/>
    <col min="8453" max="8454" width="5.08984375" style="2" customWidth="1"/>
    <col min="8455" max="8455" width="9.6328125" style="2" customWidth="1"/>
    <col min="8456" max="8457" width="11.90625" style="2" customWidth="1"/>
    <col min="8458" max="8458" width="15.36328125" style="2" customWidth="1"/>
    <col min="8459" max="8459" width="10.90625" style="2" customWidth="1"/>
    <col min="8460" max="8470" width="13.36328125" style="2" customWidth="1"/>
    <col min="8471" max="8471" width="13.90625" style="2" customWidth="1"/>
    <col min="8472" max="8472" width="16.453125" style="2" customWidth="1"/>
    <col min="8473" max="8707" width="8.90625" style="2"/>
    <col min="8708" max="8708" width="9.90625" style="2" customWidth="1"/>
    <col min="8709" max="8710" width="5.08984375" style="2" customWidth="1"/>
    <col min="8711" max="8711" width="9.6328125" style="2" customWidth="1"/>
    <col min="8712" max="8713" width="11.90625" style="2" customWidth="1"/>
    <col min="8714" max="8714" width="15.36328125" style="2" customWidth="1"/>
    <col min="8715" max="8715" width="10.90625" style="2" customWidth="1"/>
    <col min="8716" max="8726" width="13.36328125" style="2" customWidth="1"/>
    <col min="8727" max="8727" width="13.90625" style="2" customWidth="1"/>
    <col min="8728" max="8728" width="16.453125" style="2" customWidth="1"/>
    <col min="8729" max="8963" width="8.90625" style="2"/>
    <col min="8964" max="8964" width="9.90625" style="2" customWidth="1"/>
    <col min="8965" max="8966" width="5.08984375" style="2" customWidth="1"/>
    <col min="8967" max="8967" width="9.6328125" style="2" customWidth="1"/>
    <col min="8968" max="8969" width="11.90625" style="2" customWidth="1"/>
    <col min="8970" max="8970" width="15.36328125" style="2" customWidth="1"/>
    <col min="8971" max="8971" width="10.90625" style="2" customWidth="1"/>
    <col min="8972" max="8982" width="13.36328125" style="2" customWidth="1"/>
    <col min="8983" max="8983" width="13.90625" style="2" customWidth="1"/>
    <col min="8984" max="8984" width="16.453125" style="2" customWidth="1"/>
    <col min="8985" max="9219" width="8.90625" style="2"/>
    <col min="9220" max="9220" width="9.90625" style="2" customWidth="1"/>
    <col min="9221" max="9222" width="5.08984375" style="2" customWidth="1"/>
    <col min="9223" max="9223" width="9.6328125" style="2" customWidth="1"/>
    <col min="9224" max="9225" width="11.90625" style="2" customWidth="1"/>
    <col min="9226" max="9226" width="15.36328125" style="2" customWidth="1"/>
    <col min="9227" max="9227" width="10.90625" style="2" customWidth="1"/>
    <col min="9228" max="9238" width="13.36328125" style="2" customWidth="1"/>
    <col min="9239" max="9239" width="13.90625" style="2" customWidth="1"/>
    <col min="9240" max="9240" width="16.453125" style="2" customWidth="1"/>
    <col min="9241" max="9475" width="8.90625" style="2"/>
    <col min="9476" max="9476" width="9.90625" style="2" customWidth="1"/>
    <col min="9477" max="9478" width="5.08984375" style="2" customWidth="1"/>
    <col min="9479" max="9479" width="9.6328125" style="2" customWidth="1"/>
    <col min="9480" max="9481" width="11.90625" style="2" customWidth="1"/>
    <col min="9482" max="9482" width="15.36328125" style="2" customWidth="1"/>
    <col min="9483" max="9483" width="10.90625" style="2" customWidth="1"/>
    <col min="9484" max="9494" width="13.36328125" style="2" customWidth="1"/>
    <col min="9495" max="9495" width="13.90625" style="2" customWidth="1"/>
    <col min="9496" max="9496" width="16.453125" style="2" customWidth="1"/>
    <col min="9497" max="9731" width="8.90625" style="2"/>
    <col min="9732" max="9732" width="9.90625" style="2" customWidth="1"/>
    <col min="9733" max="9734" width="5.08984375" style="2" customWidth="1"/>
    <col min="9735" max="9735" width="9.6328125" style="2" customWidth="1"/>
    <col min="9736" max="9737" width="11.90625" style="2" customWidth="1"/>
    <col min="9738" max="9738" width="15.36328125" style="2" customWidth="1"/>
    <col min="9739" max="9739" width="10.90625" style="2" customWidth="1"/>
    <col min="9740" max="9750" width="13.36328125" style="2" customWidth="1"/>
    <col min="9751" max="9751" width="13.90625" style="2" customWidth="1"/>
    <col min="9752" max="9752" width="16.453125" style="2" customWidth="1"/>
    <col min="9753" max="9987" width="8.90625" style="2"/>
    <col min="9988" max="9988" width="9.90625" style="2" customWidth="1"/>
    <col min="9989" max="9990" width="5.08984375" style="2" customWidth="1"/>
    <col min="9991" max="9991" width="9.6328125" style="2" customWidth="1"/>
    <col min="9992" max="9993" width="11.90625" style="2" customWidth="1"/>
    <col min="9994" max="9994" width="15.36328125" style="2" customWidth="1"/>
    <col min="9995" max="9995" width="10.90625" style="2" customWidth="1"/>
    <col min="9996" max="10006" width="13.36328125" style="2" customWidth="1"/>
    <col min="10007" max="10007" width="13.90625" style="2" customWidth="1"/>
    <col min="10008" max="10008" width="16.453125" style="2" customWidth="1"/>
    <col min="10009" max="10243" width="8.90625" style="2"/>
    <col min="10244" max="10244" width="9.90625" style="2" customWidth="1"/>
    <col min="10245" max="10246" width="5.08984375" style="2" customWidth="1"/>
    <col min="10247" max="10247" width="9.6328125" style="2" customWidth="1"/>
    <col min="10248" max="10249" width="11.90625" style="2" customWidth="1"/>
    <col min="10250" max="10250" width="15.36328125" style="2" customWidth="1"/>
    <col min="10251" max="10251" width="10.90625" style="2" customWidth="1"/>
    <col min="10252" max="10262" width="13.36328125" style="2" customWidth="1"/>
    <col min="10263" max="10263" width="13.90625" style="2" customWidth="1"/>
    <col min="10264" max="10264" width="16.453125" style="2" customWidth="1"/>
    <col min="10265" max="10499" width="8.90625" style="2"/>
    <col min="10500" max="10500" width="9.90625" style="2" customWidth="1"/>
    <col min="10501" max="10502" width="5.08984375" style="2" customWidth="1"/>
    <col min="10503" max="10503" width="9.6328125" style="2" customWidth="1"/>
    <col min="10504" max="10505" width="11.90625" style="2" customWidth="1"/>
    <col min="10506" max="10506" width="15.36328125" style="2" customWidth="1"/>
    <col min="10507" max="10507" width="10.90625" style="2" customWidth="1"/>
    <col min="10508" max="10518" width="13.36328125" style="2" customWidth="1"/>
    <col min="10519" max="10519" width="13.90625" style="2" customWidth="1"/>
    <col min="10520" max="10520" width="16.453125" style="2" customWidth="1"/>
    <col min="10521" max="10755" width="8.90625" style="2"/>
    <col min="10756" max="10756" width="9.90625" style="2" customWidth="1"/>
    <col min="10757" max="10758" width="5.08984375" style="2" customWidth="1"/>
    <col min="10759" max="10759" width="9.6328125" style="2" customWidth="1"/>
    <col min="10760" max="10761" width="11.90625" style="2" customWidth="1"/>
    <col min="10762" max="10762" width="15.36328125" style="2" customWidth="1"/>
    <col min="10763" max="10763" width="10.90625" style="2" customWidth="1"/>
    <col min="10764" max="10774" width="13.36328125" style="2" customWidth="1"/>
    <col min="10775" max="10775" width="13.90625" style="2" customWidth="1"/>
    <col min="10776" max="10776" width="16.453125" style="2" customWidth="1"/>
    <col min="10777" max="11011" width="8.90625" style="2"/>
    <col min="11012" max="11012" width="9.90625" style="2" customWidth="1"/>
    <col min="11013" max="11014" width="5.08984375" style="2" customWidth="1"/>
    <col min="11015" max="11015" width="9.6328125" style="2" customWidth="1"/>
    <col min="11016" max="11017" width="11.90625" style="2" customWidth="1"/>
    <col min="11018" max="11018" width="15.36328125" style="2" customWidth="1"/>
    <col min="11019" max="11019" width="10.90625" style="2" customWidth="1"/>
    <col min="11020" max="11030" width="13.36328125" style="2" customWidth="1"/>
    <col min="11031" max="11031" width="13.90625" style="2" customWidth="1"/>
    <col min="11032" max="11032" width="16.453125" style="2" customWidth="1"/>
    <col min="11033" max="11267" width="8.90625" style="2"/>
    <col min="11268" max="11268" width="9.90625" style="2" customWidth="1"/>
    <col min="11269" max="11270" width="5.08984375" style="2" customWidth="1"/>
    <col min="11271" max="11271" width="9.6328125" style="2" customWidth="1"/>
    <col min="11272" max="11273" width="11.90625" style="2" customWidth="1"/>
    <col min="11274" max="11274" width="15.36328125" style="2" customWidth="1"/>
    <col min="11275" max="11275" width="10.90625" style="2" customWidth="1"/>
    <col min="11276" max="11286" width="13.36328125" style="2" customWidth="1"/>
    <col min="11287" max="11287" width="13.90625" style="2" customWidth="1"/>
    <col min="11288" max="11288" width="16.453125" style="2" customWidth="1"/>
    <col min="11289" max="11523" width="8.90625" style="2"/>
    <col min="11524" max="11524" width="9.90625" style="2" customWidth="1"/>
    <col min="11525" max="11526" width="5.08984375" style="2" customWidth="1"/>
    <col min="11527" max="11527" width="9.6328125" style="2" customWidth="1"/>
    <col min="11528" max="11529" width="11.90625" style="2" customWidth="1"/>
    <col min="11530" max="11530" width="15.36328125" style="2" customWidth="1"/>
    <col min="11531" max="11531" width="10.90625" style="2" customWidth="1"/>
    <col min="11532" max="11542" width="13.36328125" style="2" customWidth="1"/>
    <col min="11543" max="11543" width="13.90625" style="2" customWidth="1"/>
    <col min="11544" max="11544" width="16.453125" style="2" customWidth="1"/>
    <col min="11545" max="11779" width="8.90625" style="2"/>
    <col min="11780" max="11780" width="9.90625" style="2" customWidth="1"/>
    <col min="11781" max="11782" width="5.08984375" style="2" customWidth="1"/>
    <col min="11783" max="11783" width="9.6328125" style="2" customWidth="1"/>
    <col min="11784" max="11785" width="11.90625" style="2" customWidth="1"/>
    <col min="11786" max="11786" width="15.36328125" style="2" customWidth="1"/>
    <col min="11787" max="11787" width="10.90625" style="2" customWidth="1"/>
    <col min="11788" max="11798" width="13.36328125" style="2" customWidth="1"/>
    <col min="11799" max="11799" width="13.90625" style="2" customWidth="1"/>
    <col min="11800" max="11800" width="16.453125" style="2" customWidth="1"/>
    <col min="11801" max="12035" width="8.90625" style="2"/>
    <col min="12036" max="12036" width="9.90625" style="2" customWidth="1"/>
    <col min="12037" max="12038" width="5.08984375" style="2" customWidth="1"/>
    <col min="12039" max="12039" width="9.6328125" style="2" customWidth="1"/>
    <col min="12040" max="12041" width="11.90625" style="2" customWidth="1"/>
    <col min="12042" max="12042" width="15.36328125" style="2" customWidth="1"/>
    <col min="12043" max="12043" width="10.90625" style="2" customWidth="1"/>
    <col min="12044" max="12054" width="13.36328125" style="2" customWidth="1"/>
    <col min="12055" max="12055" width="13.90625" style="2" customWidth="1"/>
    <col min="12056" max="12056" width="16.453125" style="2" customWidth="1"/>
    <col min="12057" max="12291" width="8.90625" style="2"/>
    <col min="12292" max="12292" width="9.90625" style="2" customWidth="1"/>
    <col min="12293" max="12294" width="5.08984375" style="2" customWidth="1"/>
    <col min="12295" max="12295" width="9.6328125" style="2" customWidth="1"/>
    <col min="12296" max="12297" width="11.90625" style="2" customWidth="1"/>
    <col min="12298" max="12298" width="15.36328125" style="2" customWidth="1"/>
    <col min="12299" max="12299" width="10.90625" style="2" customWidth="1"/>
    <col min="12300" max="12310" width="13.36328125" style="2" customWidth="1"/>
    <col min="12311" max="12311" width="13.90625" style="2" customWidth="1"/>
    <col min="12312" max="12312" width="16.453125" style="2" customWidth="1"/>
    <col min="12313" max="12547" width="8.90625" style="2"/>
    <col min="12548" max="12548" width="9.90625" style="2" customWidth="1"/>
    <col min="12549" max="12550" width="5.08984375" style="2" customWidth="1"/>
    <col min="12551" max="12551" width="9.6328125" style="2" customWidth="1"/>
    <col min="12552" max="12553" width="11.90625" style="2" customWidth="1"/>
    <col min="12554" max="12554" width="15.36328125" style="2" customWidth="1"/>
    <col min="12555" max="12555" width="10.90625" style="2" customWidth="1"/>
    <col min="12556" max="12566" width="13.36328125" style="2" customWidth="1"/>
    <col min="12567" max="12567" width="13.90625" style="2" customWidth="1"/>
    <col min="12568" max="12568" width="16.453125" style="2" customWidth="1"/>
    <col min="12569" max="12803" width="8.90625" style="2"/>
    <col min="12804" max="12804" width="9.90625" style="2" customWidth="1"/>
    <col min="12805" max="12806" width="5.08984375" style="2" customWidth="1"/>
    <col min="12807" max="12807" width="9.6328125" style="2" customWidth="1"/>
    <col min="12808" max="12809" width="11.90625" style="2" customWidth="1"/>
    <col min="12810" max="12810" width="15.36328125" style="2" customWidth="1"/>
    <col min="12811" max="12811" width="10.90625" style="2" customWidth="1"/>
    <col min="12812" max="12822" width="13.36328125" style="2" customWidth="1"/>
    <col min="12823" max="12823" width="13.90625" style="2" customWidth="1"/>
    <col min="12824" max="12824" width="16.453125" style="2" customWidth="1"/>
    <col min="12825" max="13059" width="8.90625" style="2"/>
    <col min="13060" max="13060" width="9.90625" style="2" customWidth="1"/>
    <col min="13061" max="13062" width="5.08984375" style="2" customWidth="1"/>
    <col min="13063" max="13063" width="9.6328125" style="2" customWidth="1"/>
    <col min="13064" max="13065" width="11.90625" style="2" customWidth="1"/>
    <col min="13066" max="13066" width="15.36328125" style="2" customWidth="1"/>
    <col min="13067" max="13067" width="10.90625" style="2" customWidth="1"/>
    <col min="13068" max="13078" width="13.36328125" style="2" customWidth="1"/>
    <col min="13079" max="13079" width="13.90625" style="2" customWidth="1"/>
    <col min="13080" max="13080" width="16.453125" style="2" customWidth="1"/>
    <col min="13081" max="13315" width="8.90625" style="2"/>
    <col min="13316" max="13316" width="9.90625" style="2" customWidth="1"/>
    <col min="13317" max="13318" width="5.08984375" style="2" customWidth="1"/>
    <col min="13319" max="13319" width="9.6328125" style="2" customWidth="1"/>
    <col min="13320" max="13321" width="11.90625" style="2" customWidth="1"/>
    <col min="13322" max="13322" width="15.36328125" style="2" customWidth="1"/>
    <col min="13323" max="13323" width="10.90625" style="2" customWidth="1"/>
    <col min="13324" max="13334" width="13.36328125" style="2" customWidth="1"/>
    <col min="13335" max="13335" width="13.90625" style="2" customWidth="1"/>
    <col min="13336" max="13336" width="16.453125" style="2" customWidth="1"/>
    <col min="13337" max="13571" width="8.90625" style="2"/>
    <col min="13572" max="13572" width="9.90625" style="2" customWidth="1"/>
    <col min="13573" max="13574" width="5.08984375" style="2" customWidth="1"/>
    <col min="13575" max="13575" width="9.6328125" style="2" customWidth="1"/>
    <col min="13576" max="13577" width="11.90625" style="2" customWidth="1"/>
    <col min="13578" max="13578" width="15.36328125" style="2" customWidth="1"/>
    <col min="13579" max="13579" width="10.90625" style="2" customWidth="1"/>
    <col min="13580" max="13590" width="13.36328125" style="2" customWidth="1"/>
    <col min="13591" max="13591" width="13.90625" style="2" customWidth="1"/>
    <col min="13592" max="13592" width="16.453125" style="2" customWidth="1"/>
    <col min="13593" max="13827" width="8.90625" style="2"/>
    <col min="13828" max="13828" width="9.90625" style="2" customWidth="1"/>
    <col min="13829" max="13830" width="5.08984375" style="2" customWidth="1"/>
    <col min="13831" max="13831" width="9.6328125" style="2" customWidth="1"/>
    <col min="13832" max="13833" width="11.90625" style="2" customWidth="1"/>
    <col min="13834" max="13834" width="15.36328125" style="2" customWidth="1"/>
    <col min="13835" max="13835" width="10.90625" style="2" customWidth="1"/>
    <col min="13836" max="13846" width="13.36328125" style="2" customWidth="1"/>
    <col min="13847" max="13847" width="13.90625" style="2" customWidth="1"/>
    <col min="13848" max="13848" width="16.453125" style="2" customWidth="1"/>
    <col min="13849" max="14083" width="8.90625" style="2"/>
    <col min="14084" max="14084" width="9.90625" style="2" customWidth="1"/>
    <col min="14085" max="14086" width="5.08984375" style="2" customWidth="1"/>
    <col min="14087" max="14087" width="9.6328125" style="2" customWidth="1"/>
    <col min="14088" max="14089" width="11.90625" style="2" customWidth="1"/>
    <col min="14090" max="14090" width="15.36328125" style="2" customWidth="1"/>
    <col min="14091" max="14091" width="10.90625" style="2" customWidth="1"/>
    <col min="14092" max="14102" width="13.36328125" style="2" customWidth="1"/>
    <col min="14103" max="14103" width="13.90625" style="2" customWidth="1"/>
    <col min="14104" max="14104" width="16.453125" style="2" customWidth="1"/>
    <col min="14105" max="14339" width="8.90625" style="2"/>
    <col min="14340" max="14340" width="9.90625" style="2" customWidth="1"/>
    <col min="14341" max="14342" width="5.08984375" style="2" customWidth="1"/>
    <col min="14343" max="14343" width="9.6328125" style="2" customWidth="1"/>
    <col min="14344" max="14345" width="11.90625" style="2" customWidth="1"/>
    <col min="14346" max="14346" width="15.36328125" style="2" customWidth="1"/>
    <col min="14347" max="14347" width="10.90625" style="2" customWidth="1"/>
    <col min="14348" max="14358" width="13.36328125" style="2" customWidth="1"/>
    <col min="14359" max="14359" width="13.90625" style="2" customWidth="1"/>
    <col min="14360" max="14360" width="16.453125" style="2" customWidth="1"/>
    <col min="14361" max="14595" width="8.90625" style="2"/>
    <col min="14596" max="14596" width="9.90625" style="2" customWidth="1"/>
    <col min="14597" max="14598" width="5.08984375" style="2" customWidth="1"/>
    <col min="14599" max="14599" width="9.6328125" style="2" customWidth="1"/>
    <col min="14600" max="14601" width="11.90625" style="2" customWidth="1"/>
    <col min="14602" max="14602" width="15.36328125" style="2" customWidth="1"/>
    <col min="14603" max="14603" width="10.90625" style="2" customWidth="1"/>
    <col min="14604" max="14614" width="13.36328125" style="2" customWidth="1"/>
    <col min="14615" max="14615" width="13.90625" style="2" customWidth="1"/>
    <col min="14616" max="14616" width="16.453125" style="2" customWidth="1"/>
    <col min="14617" max="14851" width="8.90625" style="2"/>
    <col min="14852" max="14852" width="9.90625" style="2" customWidth="1"/>
    <col min="14853" max="14854" width="5.08984375" style="2" customWidth="1"/>
    <col min="14855" max="14855" width="9.6328125" style="2" customWidth="1"/>
    <col min="14856" max="14857" width="11.90625" style="2" customWidth="1"/>
    <col min="14858" max="14858" width="15.36328125" style="2" customWidth="1"/>
    <col min="14859" max="14859" width="10.90625" style="2" customWidth="1"/>
    <col min="14860" max="14870" width="13.36328125" style="2" customWidth="1"/>
    <col min="14871" max="14871" width="13.90625" style="2" customWidth="1"/>
    <col min="14872" max="14872" width="16.453125" style="2" customWidth="1"/>
    <col min="14873" max="15107" width="8.90625" style="2"/>
    <col min="15108" max="15108" width="9.90625" style="2" customWidth="1"/>
    <col min="15109" max="15110" width="5.08984375" style="2" customWidth="1"/>
    <col min="15111" max="15111" width="9.6328125" style="2" customWidth="1"/>
    <col min="15112" max="15113" width="11.90625" style="2" customWidth="1"/>
    <col min="15114" max="15114" width="15.36328125" style="2" customWidth="1"/>
    <col min="15115" max="15115" width="10.90625" style="2" customWidth="1"/>
    <col min="15116" max="15126" width="13.36328125" style="2" customWidth="1"/>
    <col min="15127" max="15127" width="13.90625" style="2" customWidth="1"/>
    <col min="15128" max="15128" width="16.453125" style="2" customWidth="1"/>
    <col min="15129" max="15363" width="8.90625" style="2"/>
    <col min="15364" max="15364" width="9.90625" style="2" customWidth="1"/>
    <col min="15365" max="15366" width="5.08984375" style="2" customWidth="1"/>
    <col min="15367" max="15367" width="9.6328125" style="2" customWidth="1"/>
    <col min="15368" max="15369" width="11.90625" style="2" customWidth="1"/>
    <col min="15370" max="15370" width="15.36328125" style="2" customWidth="1"/>
    <col min="15371" max="15371" width="10.90625" style="2" customWidth="1"/>
    <col min="15372" max="15382" width="13.36328125" style="2" customWidth="1"/>
    <col min="15383" max="15383" width="13.90625" style="2" customWidth="1"/>
    <col min="15384" max="15384" width="16.453125" style="2" customWidth="1"/>
    <col min="15385" max="15619" width="8.90625" style="2"/>
    <col min="15620" max="15620" width="9.90625" style="2" customWidth="1"/>
    <col min="15621" max="15622" width="5.08984375" style="2" customWidth="1"/>
    <col min="15623" max="15623" width="9.6328125" style="2" customWidth="1"/>
    <col min="15624" max="15625" width="11.90625" style="2" customWidth="1"/>
    <col min="15626" max="15626" width="15.36328125" style="2" customWidth="1"/>
    <col min="15627" max="15627" width="10.90625" style="2" customWidth="1"/>
    <col min="15628" max="15638" width="13.36328125" style="2" customWidth="1"/>
    <col min="15639" max="15639" width="13.90625" style="2" customWidth="1"/>
    <col min="15640" max="15640" width="16.453125" style="2" customWidth="1"/>
    <col min="15641" max="15875" width="8.90625" style="2"/>
    <col min="15876" max="15876" width="9.90625" style="2" customWidth="1"/>
    <col min="15877" max="15878" width="5.08984375" style="2" customWidth="1"/>
    <col min="15879" max="15879" width="9.6328125" style="2" customWidth="1"/>
    <col min="15880" max="15881" width="11.90625" style="2" customWidth="1"/>
    <col min="15882" max="15882" width="15.36328125" style="2" customWidth="1"/>
    <col min="15883" max="15883" width="10.90625" style="2" customWidth="1"/>
    <col min="15884" max="15894" width="13.36328125" style="2" customWidth="1"/>
    <col min="15895" max="15895" width="13.90625" style="2" customWidth="1"/>
    <col min="15896" max="15896" width="16.453125" style="2" customWidth="1"/>
    <col min="15897" max="16131" width="8.90625" style="2"/>
    <col min="16132" max="16132" width="9.90625" style="2" customWidth="1"/>
    <col min="16133" max="16134" width="5.08984375" style="2" customWidth="1"/>
    <col min="16135" max="16135" width="9.6328125" style="2" customWidth="1"/>
    <col min="16136" max="16137" width="11.90625" style="2" customWidth="1"/>
    <col min="16138" max="16138" width="15.36328125" style="2" customWidth="1"/>
    <col min="16139" max="16139" width="10.90625" style="2" customWidth="1"/>
    <col min="16140" max="16150" width="13.36328125" style="2" customWidth="1"/>
    <col min="16151" max="16151" width="13.90625" style="2" customWidth="1"/>
    <col min="16152" max="16152" width="16.453125" style="2" customWidth="1"/>
    <col min="16153" max="16384" width="8.90625" style="2"/>
  </cols>
  <sheetData>
    <row r="1" spans="1:26" s="1" customFormat="1" ht="36" x14ac:dyDescent="0.2">
      <c r="B1" s="1" t="s">
        <v>32</v>
      </c>
      <c r="C1" s="19" t="s">
        <v>0</v>
      </c>
      <c r="D1" s="20" t="s">
        <v>1</v>
      </c>
      <c r="E1" s="20" t="s">
        <v>2</v>
      </c>
      <c r="F1" s="21" t="s">
        <v>3</v>
      </c>
      <c r="G1" s="21" t="s">
        <v>35</v>
      </c>
      <c r="H1" s="21" t="s">
        <v>4</v>
      </c>
      <c r="I1" s="22" t="s">
        <v>5</v>
      </c>
      <c r="J1" s="23" t="s">
        <v>6</v>
      </c>
      <c r="K1" s="6" t="s">
        <v>7</v>
      </c>
      <c r="L1" s="198" t="s">
        <v>8</v>
      </c>
      <c r="M1" s="13" t="s">
        <v>9</v>
      </c>
      <c r="N1" s="13" t="s">
        <v>10</v>
      </c>
      <c r="O1" s="13" t="s">
        <v>11</v>
      </c>
      <c r="P1" s="13" t="s">
        <v>12</v>
      </c>
      <c r="Q1" s="25" t="s">
        <v>13</v>
      </c>
      <c r="R1" s="13" t="s">
        <v>14</v>
      </c>
      <c r="S1" s="13" t="s">
        <v>15</v>
      </c>
      <c r="T1" s="13" t="s">
        <v>16</v>
      </c>
      <c r="U1" s="25" t="s">
        <v>17</v>
      </c>
      <c r="V1" s="25" t="s">
        <v>18</v>
      </c>
      <c r="W1" s="96" t="s">
        <v>19</v>
      </c>
      <c r="X1" s="101" t="s">
        <v>20</v>
      </c>
    </row>
    <row r="2" spans="1:26" s="1" customFormat="1" x14ac:dyDescent="0.2">
      <c r="A2" s="17"/>
      <c r="B2" s="15"/>
      <c r="C2" s="467"/>
      <c r="D2" s="468"/>
      <c r="E2" s="468"/>
      <c r="F2" s="468"/>
      <c r="G2" s="468"/>
      <c r="H2" s="468"/>
      <c r="I2" s="468"/>
      <c r="J2" s="469"/>
      <c r="K2" s="313" t="s">
        <v>21</v>
      </c>
      <c r="L2" s="311">
        <f>L233</f>
        <v>6629295</v>
      </c>
      <c r="M2" s="312">
        <f>M233</f>
        <v>7361140</v>
      </c>
      <c r="N2" s="312">
        <f t="shared" ref="N2:W2" si="0">N233</f>
        <v>7632975</v>
      </c>
      <c r="O2" s="312">
        <f t="shared" si="0"/>
        <v>7466430</v>
      </c>
      <c r="P2" s="312">
        <f t="shared" si="0"/>
        <v>7304380</v>
      </c>
      <c r="Q2" s="375">
        <f t="shared" si="0"/>
        <v>7065585</v>
      </c>
      <c r="R2" s="312">
        <f t="shared" si="0"/>
        <v>6276225</v>
      </c>
      <c r="S2" s="312">
        <f t="shared" si="0"/>
        <v>5387205</v>
      </c>
      <c r="T2" s="312">
        <f t="shared" si="0"/>
        <v>5674540</v>
      </c>
      <c r="U2" s="375">
        <f t="shared" si="0"/>
        <v>6119195</v>
      </c>
      <c r="V2" s="375">
        <f t="shared" si="0"/>
        <v>5902185</v>
      </c>
      <c r="W2" s="320">
        <f t="shared" si="0"/>
        <v>6198000</v>
      </c>
      <c r="X2" s="314">
        <f>SUM(L2:W2)</f>
        <v>79017155</v>
      </c>
      <c r="Z2" s="9"/>
    </row>
    <row r="3" spans="1:26" s="1" customFormat="1" x14ac:dyDescent="0.2">
      <c r="A3" s="17"/>
      <c r="B3" s="15"/>
      <c r="C3" s="470"/>
      <c r="D3" s="471"/>
      <c r="E3" s="471"/>
      <c r="F3" s="471"/>
      <c r="G3" s="471"/>
      <c r="H3" s="471"/>
      <c r="I3" s="471"/>
      <c r="J3" s="472"/>
      <c r="K3" s="31" t="s">
        <v>22</v>
      </c>
      <c r="L3" s="201">
        <f>L234</f>
        <v>4849295</v>
      </c>
      <c r="M3" s="202">
        <f t="shared" ref="M3:W3" si="1">M234</f>
        <v>5064747</v>
      </c>
      <c r="N3" s="202">
        <f t="shared" si="1"/>
        <v>5168234</v>
      </c>
      <c r="O3" s="202">
        <f t="shared" si="1"/>
        <v>5146603</v>
      </c>
      <c r="P3" s="202">
        <f t="shared" si="1"/>
        <v>5421520</v>
      </c>
      <c r="Q3" s="277">
        <f t="shared" si="1"/>
        <v>5369514</v>
      </c>
      <c r="R3" s="202">
        <f t="shared" si="1"/>
        <v>4371086</v>
      </c>
      <c r="S3" s="202">
        <f t="shared" si="1"/>
        <v>4008642</v>
      </c>
      <c r="T3" s="202">
        <f t="shared" si="1"/>
        <v>4051923</v>
      </c>
      <c r="U3" s="277">
        <f t="shared" si="1"/>
        <v>4511464</v>
      </c>
      <c r="V3" s="277">
        <f t="shared" si="1"/>
        <v>4499650</v>
      </c>
      <c r="W3" s="321">
        <f t="shared" si="1"/>
        <v>4389137</v>
      </c>
      <c r="X3" s="102">
        <f>SUM(L3:W3)</f>
        <v>56851815</v>
      </c>
      <c r="Z3" s="9"/>
    </row>
    <row r="4" spans="1:26" s="1" customFormat="1" ht="12.5" thickBot="1" x14ac:dyDescent="0.25">
      <c r="A4" s="17"/>
      <c r="B4" s="15"/>
      <c r="C4" s="473"/>
      <c r="D4" s="474"/>
      <c r="E4" s="474"/>
      <c r="F4" s="474"/>
      <c r="G4" s="474"/>
      <c r="H4" s="474"/>
      <c r="I4" s="474"/>
      <c r="J4" s="475"/>
      <c r="K4" s="315" t="s">
        <v>23</v>
      </c>
      <c r="L4" s="316">
        <f>L2-L3</f>
        <v>1780000</v>
      </c>
      <c r="M4" s="317">
        <f t="shared" ref="M4:W4" si="2">M2-M3</f>
        <v>2296393</v>
      </c>
      <c r="N4" s="317">
        <f t="shared" si="2"/>
        <v>2464741</v>
      </c>
      <c r="O4" s="317">
        <f t="shared" si="2"/>
        <v>2319827</v>
      </c>
      <c r="P4" s="317">
        <f t="shared" si="2"/>
        <v>1882860</v>
      </c>
      <c r="Q4" s="376">
        <f t="shared" si="2"/>
        <v>1696071</v>
      </c>
      <c r="R4" s="317">
        <f t="shared" si="2"/>
        <v>1905139</v>
      </c>
      <c r="S4" s="317">
        <f t="shared" si="2"/>
        <v>1378563</v>
      </c>
      <c r="T4" s="317">
        <f t="shared" si="2"/>
        <v>1622617</v>
      </c>
      <c r="U4" s="376">
        <f t="shared" si="2"/>
        <v>1607731</v>
      </c>
      <c r="V4" s="376">
        <f t="shared" si="2"/>
        <v>1402535</v>
      </c>
      <c r="W4" s="318">
        <f t="shared" si="2"/>
        <v>1808863</v>
      </c>
      <c r="X4" s="319">
        <f>SUM(L4:W4)</f>
        <v>22165340</v>
      </c>
      <c r="Z4" s="9"/>
    </row>
    <row r="5" spans="1:26" ht="12.75" customHeight="1" thickTop="1" x14ac:dyDescent="0.2">
      <c r="A5" s="7">
        <v>2015009</v>
      </c>
      <c r="B5" s="2"/>
      <c r="C5" s="447">
        <v>1</v>
      </c>
      <c r="D5" s="431" t="s">
        <v>66</v>
      </c>
      <c r="E5" s="431" t="s">
        <v>70</v>
      </c>
      <c r="F5" s="464"/>
      <c r="G5" s="431"/>
      <c r="H5" s="431"/>
      <c r="I5" s="453"/>
      <c r="J5" s="450" t="s">
        <v>36</v>
      </c>
      <c r="K5" s="74" t="s">
        <v>37</v>
      </c>
      <c r="L5" s="254">
        <f t="shared" ref="L5:N5" si="3">L6+L7</f>
        <v>880000</v>
      </c>
      <c r="M5" s="254">
        <f t="shared" si="3"/>
        <v>880000</v>
      </c>
      <c r="N5" s="254">
        <f t="shared" si="3"/>
        <v>880000</v>
      </c>
      <c r="O5" s="254">
        <f t="shared" ref="O5:W5" si="4">O6+O7</f>
        <v>771600</v>
      </c>
      <c r="P5" s="254">
        <f t="shared" si="4"/>
        <v>586030</v>
      </c>
      <c r="Q5" s="254">
        <f t="shared" si="4"/>
        <v>441430</v>
      </c>
      <c r="R5" s="254">
        <f t="shared" si="4"/>
        <v>0</v>
      </c>
      <c r="S5" s="254">
        <f t="shared" si="4"/>
        <v>0</v>
      </c>
      <c r="T5" s="254">
        <f t="shared" si="4"/>
        <v>0</v>
      </c>
      <c r="U5" s="169">
        <f t="shared" si="4"/>
        <v>0</v>
      </c>
      <c r="V5" s="169">
        <f t="shared" si="4"/>
        <v>0</v>
      </c>
      <c r="W5" s="388">
        <f t="shared" si="4"/>
        <v>0</v>
      </c>
      <c r="X5" s="389">
        <f>SUM(L5:W5)</f>
        <v>4439060</v>
      </c>
      <c r="Z5" s="40"/>
    </row>
    <row r="6" spans="1:26" x14ac:dyDescent="0.2">
      <c r="A6" s="41">
        <f t="shared" ref="A6:B16" si="5">+A5</f>
        <v>2015009</v>
      </c>
      <c r="B6" s="42"/>
      <c r="C6" s="447"/>
      <c r="D6" s="431"/>
      <c r="E6" s="431"/>
      <c r="F6" s="464"/>
      <c r="G6" s="431"/>
      <c r="H6" s="431"/>
      <c r="I6" s="453"/>
      <c r="J6" s="450"/>
      <c r="K6" s="75" t="s">
        <v>38</v>
      </c>
      <c r="L6" s="210">
        <v>880000</v>
      </c>
      <c r="M6" s="210">
        <v>880000</v>
      </c>
      <c r="N6" s="210">
        <v>880000</v>
      </c>
      <c r="O6" s="210">
        <v>771600</v>
      </c>
      <c r="P6" s="210">
        <v>586030</v>
      </c>
      <c r="Q6" s="210">
        <v>441430</v>
      </c>
      <c r="R6" s="210"/>
      <c r="S6" s="210"/>
      <c r="T6" s="210"/>
      <c r="U6" s="160"/>
      <c r="V6" s="160"/>
      <c r="W6" s="210"/>
      <c r="X6" s="352">
        <f>SUM(L6:W6)</f>
        <v>4439060</v>
      </c>
      <c r="Y6" s="46"/>
      <c r="Z6" s="40"/>
    </row>
    <row r="7" spans="1:26" x14ac:dyDescent="0.2">
      <c r="A7" s="41">
        <f t="shared" si="5"/>
        <v>2015009</v>
      </c>
      <c r="B7" s="42"/>
      <c r="C7" s="447"/>
      <c r="D7" s="431"/>
      <c r="E7" s="431"/>
      <c r="F7" s="464"/>
      <c r="G7" s="431"/>
      <c r="H7" s="431"/>
      <c r="I7" s="453"/>
      <c r="J7" s="450"/>
      <c r="K7" s="75" t="s">
        <v>34</v>
      </c>
      <c r="L7" s="211"/>
      <c r="M7" s="212"/>
      <c r="N7" s="212"/>
      <c r="O7" s="212"/>
      <c r="P7" s="212"/>
      <c r="Q7" s="212"/>
      <c r="R7" s="212"/>
      <c r="S7" s="212"/>
      <c r="T7" s="212"/>
      <c r="U7" s="162"/>
      <c r="V7" s="162"/>
      <c r="W7" s="353"/>
      <c r="X7" s="352">
        <v>0</v>
      </c>
      <c r="Y7" s="46"/>
      <c r="Z7" s="40"/>
    </row>
    <row r="8" spans="1:26" x14ac:dyDescent="0.2">
      <c r="A8" s="41">
        <f t="shared" si="5"/>
        <v>2015009</v>
      </c>
      <c r="B8" s="42"/>
      <c r="C8" s="447"/>
      <c r="D8" s="431"/>
      <c r="E8" s="431"/>
      <c r="F8" s="464"/>
      <c r="G8" s="431"/>
      <c r="H8" s="431"/>
      <c r="I8" s="453"/>
      <c r="J8" s="450"/>
      <c r="K8" s="76" t="s">
        <v>24</v>
      </c>
      <c r="L8" s="287">
        <f t="shared" ref="L8:W8" si="6">SUM(L9:L15)</f>
        <v>464749</v>
      </c>
      <c r="M8" s="288">
        <f t="shared" si="6"/>
        <v>465962</v>
      </c>
      <c r="N8" s="288">
        <f t="shared" si="6"/>
        <v>469202</v>
      </c>
      <c r="O8" s="288">
        <f t="shared" si="6"/>
        <v>475265</v>
      </c>
      <c r="P8" s="288">
        <f t="shared" si="6"/>
        <v>480240</v>
      </c>
      <c r="Q8" s="288">
        <f t="shared" si="6"/>
        <v>478623</v>
      </c>
      <c r="R8" s="288">
        <f t="shared" si="6"/>
        <v>0</v>
      </c>
      <c r="S8" s="288">
        <f t="shared" si="6"/>
        <v>0</v>
      </c>
      <c r="T8" s="288">
        <f t="shared" si="6"/>
        <v>0</v>
      </c>
      <c r="U8" s="377">
        <f t="shared" si="6"/>
        <v>0</v>
      </c>
      <c r="V8" s="377">
        <f t="shared" si="6"/>
        <v>0</v>
      </c>
      <c r="W8" s="354">
        <f t="shared" si="6"/>
        <v>0</v>
      </c>
      <c r="X8" s="355">
        <f>SUM(L8:W8)</f>
        <v>2834041</v>
      </c>
      <c r="Y8" s="46"/>
      <c r="Z8" s="40"/>
    </row>
    <row r="9" spans="1:26" x14ac:dyDescent="0.2">
      <c r="A9" s="41">
        <f t="shared" si="5"/>
        <v>2015009</v>
      </c>
      <c r="B9" s="42"/>
      <c r="C9" s="447"/>
      <c r="D9" s="431"/>
      <c r="E9" s="431"/>
      <c r="F9" s="464"/>
      <c r="G9" s="431"/>
      <c r="H9" s="431"/>
      <c r="I9" s="453"/>
      <c r="J9" s="450"/>
      <c r="K9" s="111" t="s">
        <v>25</v>
      </c>
      <c r="L9" s="289">
        <v>410400</v>
      </c>
      <c r="M9" s="289">
        <v>411600</v>
      </c>
      <c r="N9" s="289">
        <v>411600</v>
      </c>
      <c r="O9" s="289">
        <v>417600</v>
      </c>
      <c r="P9" s="289">
        <v>415200</v>
      </c>
      <c r="Q9" s="289">
        <v>413600</v>
      </c>
      <c r="R9" s="289"/>
      <c r="S9" s="289"/>
      <c r="T9" s="289"/>
      <c r="U9" s="378"/>
      <c r="V9" s="378"/>
      <c r="W9" s="289"/>
      <c r="X9" s="352">
        <f t="shared" ref="X9:X15" si="7">SUM(L9:W9)</f>
        <v>2480000</v>
      </c>
      <c r="Y9" s="46"/>
      <c r="Z9" s="40"/>
    </row>
    <row r="10" spans="1:26" x14ac:dyDescent="0.2">
      <c r="A10" s="41">
        <f t="shared" si="5"/>
        <v>2015009</v>
      </c>
      <c r="B10" s="42"/>
      <c r="C10" s="447"/>
      <c r="D10" s="431"/>
      <c r="E10" s="431"/>
      <c r="F10" s="464"/>
      <c r="G10" s="431"/>
      <c r="H10" s="431"/>
      <c r="I10" s="453"/>
      <c r="J10" s="450"/>
      <c r="K10" s="111" t="s">
        <v>30</v>
      </c>
      <c r="L10" s="289"/>
      <c r="M10" s="289"/>
      <c r="N10" s="289"/>
      <c r="O10" s="289"/>
      <c r="P10" s="289"/>
      <c r="Q10" s="289"/>
      <c r="R10" s="289"/>
      <c r="S10" s="289"/>
      <c r="T10" s="289"/>
      <c r="U10" s="378"/>
      <c r="V10" s="378"/>
      <c r="W10" s="356"/>
      <c r="X10" s="352">
        <f t="shared" si="7"/>
        <v>0</v>
      </c>
      <c r="Y10" s="46"/>
      <c r="Z10" s="40"/>
    </row>
    <row r="11" spans="1:26" x14ac:dyDescent="0.2">
      <c r="A11" s="41">
        <f t="shared" si="5"/>
        <v>2015009</v>
      </c>
      <c r="B11" s="42"/>
      <c r="C11" s="447"/>
      <c r="D11" s="431"/>
      <c r="E11" s="431"/>
      <c r="F11" s="464"/>
      <c r="G11" s="431"/>
      <c r="H11" s="431"/>
      <c r="I11" s="453"/>
      <c r="J11" s="450"/>
      <c r="K11" s="111" t="s">
        <v>33</v>
      </c>
      <c r="L11" s="289">
        <v>0</v>
      </c>
      <c r="M11" s="289">
        <v>0</v>
      </c>
      <c r="N11" s="289">
        <v>0</v>
      </c>
      <c r="O11" s="289" t="s">
        <v>71</v>
      </c>
      <c r="P11" s="289" t="s">
        <v>71</v>
      </c>
      <c r="Q11" s="289">
        <v>0</v>
      </c>
      <c r="R11" s="289"/>
      <c r="S11" s="289"/>
      <c r="T11" s="289"/>
      <c r="U11" s="378"/>
      <c r="V11" s="378"/>
      <c r="W11" s="356"/>
      <c r="X11" s="352">
        <f t="shared" si="7"/>
        <v>0</v>
      </c>
      <c r="Y11" s="46"/>
      <c r="Z11" s="40"/>
    </row>
    <row r="12" spans="1:26" x14ac:dyDescent="0.2">
      <c r="A12" s="41">
        <f t="shared" si="5"/>
        <v>2015009</v>
      </c>
      <c r="B12" s="42"/>
      <c r="C12" s="447"/>
      <c r="D12" s="431"/>
      <c r="E12" s="431"/>
      <c r="F12" s="464"/>
      <c r="G12" s="431"/>
      <c r="H12" s="431"/>
      <c r="I12" s="453"/>
      <c r="J12" s="450"/>
      <c r="K12" s="111" t="s">
        <v>26</v>
      </c>
      <c r="L12" s="290">
        <v>17100</v>
      </c>
      <c r="M12" s="290">
        <v>17100</v>
      </c>
      <c r="N12" s="290">
        <v>20340</v>
      </c>
      <c r="O12" s="290">
        <v>20340</v>
      </c>
      <c r="P12" s="290">
        <v>23165</v>
      </c>
      <c r="Q12" s="290">
        <v>23165</v>
      </c>
      <c r="R12" s="290"/>
      <c r="S12" s="290"/>
      <c r="T12" s="290"/>
      <c r="U12" s="379"/>
      <c r="V12" s="379"/>
      <c r="W12" s="357"/>
      <c r="X12" s="352">
        <f t="shared" si="7"/>
        <v>121210</v>
      </c>
      <c r="Y12" s="46"/>
      <c r="Z12" s="40"/>
    </row>
    <row r="13" spans="1:26" x14ac:dyDescent="0.2">
      <c r="A13" s="41">
        <f t="shared" si="5"/>
        <v>2015009</v>
      </c>
      <c r="B13" s="42"/>
      <c r="C13" s="447"/>
      <c r="D13" s="431"/>
      <c r="E13" s="431"/>
      <c r="F13" s="464"/>
      <c r="G13" s="431"/>
      <c r="H13" s="431"/>
      <c r="I13" s="453"/>
      <c r="J13" s="450"/>
      <c r="K13" s="111" t="s">
        <v>27</v>
      </c>
      <c r="L13" s="290">
        <v>32940</v>
      </c>
      <c r="M13" s="290">
        <v>32940</v>
      </c>
      <c r="N13" s="290">
        <v>32940</v>
      </c>
      <c r="O13" s="290">
        <v>32940</v>
      </c>
      <c r="P13" s="290">
        <v>37515</v>
      </c>
      <c r="Q13" s="290">
        <v>37515</v>
      </c>
      <c r="R13" s="290"/>
      <c r="S13" s="290"/>
      <c r="T13" s="290"/>
      <c r="U13" s="379"/>
      <c r="V13" s="379"/>
      <c r="W13" s="357"/>
      <c r="X13" s="352">
        <f t="shared" si="7"/>
        <v>206790</v>
      </c>
      <c r="Y13" s="46"/>
      <c r="Z13" s="40"/>
    </row>
    <row r="14" spans="1:26" x14ac:dyDescent="0.2">
      <c r="A14" s="41">
        <f t="shared" si="5"/>
        <v>2015009</v>
      </c>
      <c r="B14" s="42"/>
      <c r="C14" s="447"/>
      <c r="D14" s="431"/>
      <c r="E14" s="431"/>
      <c r="F14" s="464"/>
      <c r="G14" s="431"/>
      <c r="H14" s="431"/>
      <c r="I14" s="453"/>
      <c r="J14" s="450"/>
      <c r="K14" s="111" t="s">
        <v>28</v>
      </c>
      <c r="L14" s="290">
        <v>2052</v>
      </c>
      <c r="M14" s="290">
        <v>2058</v>
      </c>
      <c r="N14" s="290">
        <v>2058</v>
      </c>
      <c r="O14" s="290">
        <v>2088</v>
      </c>
      <c r="P14" s="290">
        <v>2076</v>
      </c>
      <c r="Q14" s="290">
        <v>2068</v>
      </c>
      <c r="R14" s="290"/>
      <c r="S14" s="290"/>
      <c r="T14" s="290"/>
      <c r="U14" s="379"/>
      <c r="V14" s="379"/>
      <c r="W14" s="357"/>
      <c r="X14" s="352">
        <f t="shared" si="7"/>
        <v>12400</v>
      </c>
      <c r="Y14" s="46"/>
      <c r="Z14" s="40"/>
    </row>
    <row r="15" spans="1:26" x14ac:dyDescent="0.2">
      <c r="A15" s="41">
        <f t="shared" si="5"/>
        <v>2015009</v>
      </c>
      <c r="B15" s="42"/>
      <c r="C15" s="447"/>
      <c r="D15" s="431"/>
      <c r="E15" s="431"/>
      <c r="F15" s="464"/>
      <c r="G15" s="431"/>
      <c r="H15" s="431"/>
      <c r="I15" s="453"/>
      <c r="J15" s="450"/>
      <c r="K15" s="112" t="s">
        <v>29</v>
      </c>
      <c r="L15" s="290">
        <v>2257</v>
      </c>
      <c r="M15" s="290">
        <v>2264</v>
      </c>
      <c r="N15" s="290">
        <v>2264</v>
      </c>
      <c r="O15" s="290">
        <v>2297</v>
      </c>
      <c r="P15" s="290">
        <v>2284</v>
      </c>
      <c r="Q15" s="290">
        <v>2275</v>
      </c>
      <c r="R15" s="290"/>
      <c r="S15" s="290"/>
      <c r="T15" s="290"/>
      <c r="U15" s="379"/>
      <c r="V15" s="379"/>
      <c r="W15" s="357"/>
      <c r="X15" s="358">
        <f t="shared" si="7"/>
        <v>13641</v>
      </c>
      <c r="Y15" s="46"/>
      <c r="Z15" s="40"/>
    </row>
    <row r="16" spans="1:26" x14ac:dyDescent="0.2">
      <c r="A16" s="41">
        <f t="shared" si="5"/>
        <v>2015009</v>
      </c>
      <c r="B16" s="42"/>
      <c r="C16" s="466"/>
      <c r="D16" s="432"/>
      <c r="E16" s="432"/>
      <c r="F16" s="465"/>
      <c r="G16" s="432"/>
      <c r="H16" s="432"/>
      <c r="I16" s="456"/>
      <c r="J16" s="457"/>
      <c r="K16" s="359" t="s">
        <v>39</v>
      </c>
      <c r="L16" s="257">
        <f t="shared" ref="L16:X16" si="8">L5-L8</f>
        <v>415251</v>
      </c>
      <c r="M16" s="258">
        <f t="shared" si="8"/>
        <v>414038</v>
      </c>
      <c r="N16" s="258">
        <f t="shared" si="8"/>
        <v>410798</v>
      </c>
      <c r="O16" s="258">
        <f t="shared" si="8"/>
        <v>296335</v>
      </c>
      <c r="P16" s="258">
        <f t="shared" si="8"/>
        <v>105790</v>
      </c>
      <c r="Q16" s="258">
        <f t="shared" si="8"/>
        <v>-37193</v>
      </c>
      <c r="R16" s="258">
        <f t="shared" si="8"/>
        <v>0</v>
      </c>
      <c r="S16" s="258">
        <f t="shared" si="8"/>
        <v>0</v>
      </c>
      <c r="T16" s="258">
        <f t="shared" si="8"/>
        <v>0</v>
      </c>
      <c r="U16" s="170">
        <f t="shared" si="8"/>
        <v>0</v>
      </c>
      <c r="V16" s="170">
        <f t="shared" si="8"/>
        <v>0</v>
      </c>
      <c r="W16" s="360">
        <f t="shared" si="8"/>
        <v>0</v>
      </c>
      <c r="X16" s="361">
        <f t="shared" si="8"/>
        <v>1605019</v>
      </c>
      <c r="Y16" s="46"/>
      <c r="Z16" s="40"/>
    </row>
    <row r="17" spans="1:26" ht="12.75" customHeight="1" x14ac:dyDescent="0.2">
      <c r="A17" s="7">
        <v>2022035</v>
      </c>
      <c r="B17" s="2"/>
      <c r="C17" s="424">
        <f>C5+1</f>
        <v>2</v>
      </c>
      <c r="D17" s="427" t="s">
        <v>66</v>
      </c>
      <c r="E17" s="427"/>
      <c r="F17" s="463"/>
      <c r="G17" s="427"/>
      <c r="H17" s="430"/>
      <c r="I17" s="433"/>
      <c r="J17" s="436" t="s">
        <v>36</v>
      </c>
      <c r="K17" s="93" t="s">
        <v>37</v>
      </c>
      <c r="L17" s="291">
        <f t="shared" ref="L17:T17" si="9">L18+L19</f>
        <v>450000</v>
      </c>
      <c r="M17" s="291">
        <f t="shared" si="9"/>
        <v>450000</v>
      </c>
      <c r="N17" s="291">
        <f t="shared" si="9"/>
        <v>450000</v>
      </c>
      <c r="O17" s="291">
        <f t="shared" si="9"/>
        <v>495000</v>
      </c>
      <c r="P17" s="291">
        <f t="shared" si="9"/>
        <v>450000</v>
      </c>
      <c r="Q17" s="380">
        <f t="shared" si="9"/>
        <v>450000</v>
      </c>
      <c r="R17" s="291">
        <f t="shared" si="9"/>
        <v>450000</v>
      </c>
      <c r="S17" s="291">
        <f t="shared" si="9"/>
        <v>405000</v>
      </c>
      <c r="T17" s="291">
        <f t="shared" si="9"/>
        <v>439500</v>
      </c>
      <c r="U17" s="161">
        <f t="shared" ref="U17:V17" si="10">U18+U19</f>
        <v>427500</v>
      </c>
      <c r="V17" s="161">
        <f t="shared" si="10"/>
        <v>382500</v>
      </c>
      <c r="W17" s="100">
        <f>W18+W19</f>
        <v>432000</v>
      </c>
      <c r="X17" s="106">
        <f>SUM(L17:W17)</f>
        <v>5281500</v>
      </c>
      <c r="Z17" s="40"/>
    </row>
    <row r="18" spans="1:26" x14ac:dyDescent="0.2">
      <c r="A18" s="41">
        <f t="shared" ref="A18:B18" si="11">+A17</f>
        <v>2022035</v>
      </c>
      <c r="B18" s="42"/>
      <c r="C18" s="425"/>
      <c r="D18" s="428"/>
      <c r="E18" s="428"/>
      <c r="F18" s="464"/>
      <c r="G18" s="428"/>
      <c r="H18" s="431"/>
      <c r="I18" s="434"/>
      <c r="J18" s="437"/>
      <c r="K18" s="43" t="s">
        <v>38</v>
      </c>
      <c r="L18" s="292">
        <v>450000</v>
      </c>
      <c r="M18" s="292">
        <v>450000</v>
      </c>
      <c r="N18" s="292">
        <v>450000</v>
      </c>
      <c r="O18" s="292">
        <v>495000</v>
      </c>
      <c r="P18" s="292">
        <v>450000</v>
      </c>
      <c r="Q18" s="381">
        <v>450000</v>
      </c>
      <c r="R18" s="292">
        <v>450000</v>
      </c>
      <c r="S18" s="292">
        <v>405000</v>
      </c>
      <c r="T18" s="292">
        <v>439500</v>
      </c>
      <c r="U18" s="160">
        <v>427500</v>
      </c>
      <c r="V18" s="160">
        <v>382500</v>
      </c>
      <c r="W18" s="82">
        <f t="shared" ref="W18" si="12">2880*150</f>
        <v>432000</v>
      </c>
      <c r="X18" s="94">
        <f>SUM(L18:W18)</f>
        <v>5281500</v>
      </c>
      <c r="Y18" s="46"/>
      <c r="Z18" s="40"/>
    </row>
    <row r="19" spans="1:26" x14ac:dyDescent="0.2">
      <c r="A19" s="41">
        <f t="shared" ref="A19:B19" si="13">+A18</f>
        <v>2022035</v>
      </c>
      <c r="B19" s="42"/>
      <c r="C19" s="425"/>
      <c r="D19" s="428"/>
      <c r="E19" s="428"/>
      <c r="F19" s="464"/>
      <c r="G19" s="428"/>
      <c r="H19" s="431"/>
      <c r="I19" s="434"/>
      <c r="J19" s="437"/>
      <c r="K19" s="43" t="s">
        <v>34</v>
      </c>
      <c r="L19" s="211"/>
      <c r="M19" s="212"/>
      <c r="N19" s="212"/>
      <c r="O19" s="212"/>
      <c r="P19" s="212"/>
      <c r="Q19" s="162"/>
      <c r="R19" s="212"/>
      <c r="S19" s="212"/>
      <c r="T19" s="212"/>
      <c r="U19" s="162"/>
      <c r="V19" s="162"/>
      <c r="W19" s="97"/>
      <c r="X19" s="94">
        <v>0</v>
      </c>
      <c r="Y19" s="46"/>
      <c r="Z19" s="40"/>
    </row>
    <row r="20" spans="1:26" x14ac:dyDescent="0.2">
      <c r="A20" s="41">
        <f t="shared" ref="A20:B20" si="14">+A19</f>
        <v>2022035</v>
      </c>
      <c r="B20" s="42"/>
      <c r="C20" s="425"/>
      <c r="D20" s="428"/>
      <c r="E20" s="428"/>
      <c r="F20" s="464"/>
      <c r="G20" s="428"/>
      <c r="H20" s="431"/>
      <c r="I20" s="434"/>
      <c r="J20" s="437"/>
      <c r="K20" s="49" t="s">
        <v>24</v>
      </c>
      <c r="L20" s="287">
        <f t="shared" ref="L20:V20" si="15">SUM(L21:L27)</f>
        <v>283344</v>
      </c>
      <c r="M20" s="288">
        <f t="shared" si="15"/>
        <v>293058</v>
      </c>
      <c r="N20" s="288">
        <f t="shared" si="15"/>
        <v>296595</v>
      </c>
      <c r="O20" s="288">
        <f t="shared" si="15"/>
        <v>296090</v>
      </c>
      <c r="P20" s="288">
        <f t="shared" si="15"/>
        <v>298616</v>
      </c>
      <c r="Q20" s="377">
        <f t="shared" si="15"/>
        <v>297605</v>
      </c>
      <c r="R20" s="288">
        <f>SUM(R21:R27)</f>
        <v>289269</v>
      </c>
      <c r="S20" s="288">
        <f t="shared" si="15"/>
        <v>292300</v>
      </c>
      <c r="T20" s="288">
        <f t="shared" si="15"/>
        <v>282448</v>
      </c>
      <c r="U20" s="377">
        <f t="shared" si="15"/>
        <v>311752</v>
      </c>
      <c r="V20" s="377">
        <f t="shared" si="15"/>
        <v>282463</v>
      </c>
      <c r="W20" s="113">
        <f>SUM(W21:W27)</f>
        <v>277260</v>
      </c>
      <c r="X20" s="103">
        <f>SUM(L20:W20)</f>
        <v>3500800</v>
      </c>
      <c r="Y20" s="46"/>
      <c r="Z20" s="40"/>
    </row>
    <row r="21" spans="1:26" x14ac:dyDescent="0.2">
      <c r="A21" s="41">
        <f t="shared" ref="A21:B21" si="16">+A20</f>
        <v>2022035</v>
      </c>
      <c r="B21" s="42"/>
      <c r="C21" s="425"/>
      <c r="D21" s="428"/>
      <c r="E21" s="428"/>
      <c r="F21" s="464"/>
      <c r="G21" s="428"/>
      <c r="H21" s="431"/>
      <c r="I21" s="434"/>
      <c r="J21" s="437"/>
      <c r="K21" s="110" t="s">
        <v>25</v>
      </c>
      <c r="L21" s="289">
        <v>247396</v>
      </c>
      <c r="M21" s="289">
        <v>257000</v>
      </c>
      <c r="N21" s="289">
        <v>260500</v>
      </c>
      <c r="O21" s="289">
        <v>260000</v>
      </c>
      <c r="P21" s="289">
        <v>262500</v>
      </c>
      <c r="Q21" s="378">
        <v>261500</v>
      </c>
      <c r="R21" s="289">
        <v>253250</v>
      </c>
      <c r="S21" s="289">
        <v>256250</v>
      </c>
      <c r="T21" s="289">
        <v>246500</v>
      </c>
      <c r="U21" s="378">
        <v>275500</v>
      </c>
      <c r="V21" s="378">
        <v>246334</v>
      </c>
      <c r="W21" s="115">
        <v>240611</v>
      </c>
      <c r="X21" s="94">
        <f t="shared" ref="X21:X27" si="17">SUM(L21:W21)</f>
        <v>3067341</v>
      </c>
      <c r="Y21" s="46"/>
      <c r="Z21" s="40"/>
    </row>
    <row r="22" spans="1:26" x14ac:dyDescent="0.2">
      <c r="A22" s="41">
        <f t="shared" ref="A22:B22" si="18">+A21</f>
        <v>2022035</v>
      </c>
      <c r="B22" s="42"/>
      <c r="C22" s="425"/>
      <c r="D22" s="428"/>
      <c r="E22" s="428"/>
      <c r="F22" s="464"/>
      <c r="G22" s="428"/>
      <c r="H22" s="431"/>
      <c r="I22" s="434"/>
      <c r="J22" s="437"/>
      <c r="K22" s="110" t="s">
        <v>30</v>
      </c>
      <c r="L22" s="289"/>
      <c r="M22" s="289"/>
      <c r="N22" s="289"/>
      <c r="O22" s="289"/>
      <c r="P22" s="289"/>
      <c r="Q22" s="378"/>
      <c r="R22" s="289"/>
      <c r="S22" s="289"/>
      <c r="T22" s="289"/>
      <c r="U22" s="378"/>
      <c r="V22" s="378"/>
      <c r="W22" s="117"/>
      <c r="X22" s="94">
        <f t="shared" si="17"/>
        <v>0</v>
      </c>
      <c r="Y22" s="46"/>
      <c r="Z22" s="40"/>
    </row>
    <row r="23" spans="1:26" x14ac:dyDescent="0.2">
      <c r="A23" s="41">
        <f t="shared" ref="A23:B23" si="19">+A22</f>
        <v>2022035</v>
      </c>
      <c r="B23" s="42"/>
      <c r="C23" s="425"/>
      <c r="D23" s="428"/>
      <c r="E23" s="428"/>
      <c r="F23" s="464"/>
      <c r="G23" s="428"/>
      <c r="H23" s="431"/>
      <c r="I23" s="434"/>
      <c r="J23" s="437"/>
      <c r="K23" s="110" t="s">
        <v>33</v>
      </c>
      <c r="L23" s="289">
        <v>0</v>
      </c>
      <c r="M23" s="289">
        <v>0</v>
      </c>
      <c r="N23" s="289">
        <v>0</v>
      </c>
      <c r="O23" s="289" t="s">
        <v>71</v>
      </c>
      <c r="P23" s="289" t="s">
        <v>71</v>
      </c>
      <c r="Q23" s="378">
        <v>0</v>
      </c>
      <c r="R23" s="289">
        <v>0</v>
      </c>
      <c r="S23" s="289">
        <v>0</v>
      </c>
      <c r="T23" s="289">
        <v>0</v>
      </c>
      <c r="U23" s="378">
        <v>0</v>
      </c>
      <c r="V23" s="378">
        <v>0</v>
      </c>
      <c r="W23" s="117">
        <v>1563</v>
      </c>
      <c r="X23" s="94">
        <f t="shared" si="17"/>
        <v>1563</v>
      </c>
      <c r="Y23" s="46"/>
      <c r="Z23" s="40"/>
    </row>
    <row r="24" spans="1:26" x14ac:dyDescent="0.2">
      <c r="A24" s="41">
        <f t="shared" ref="A24:B24" si="20">+A23</f>
        <v>2022035</v>
      </c>
      <c r="B24" s="42"/>
      <c r="C24" s="425"/>
      <c r="D24" s="428"/>
      <c r="E24" s="428"/>
      <c r="F24" s="464"/>
      <c r="G24" s="428"/>
      <c r="H24" s="431"/>
      <c r="I24" s="434"/>
      <c r="J24" s="437"/>
      <c r="K24" s="111" t="s">
        <v>26</v>
      </c>
      <c r="L24" s="290">
        <v>11400</v>
      </c>
      <c r="M24" s="290">
        <v>11400</v>
      </c>
      <c r="N24" s="290">
        <v>11400</v>
      </c>
      <c r="O24" s="290">
        <v>11400</v>
      </c>
      <c r="P24" s="290">
        <v>11400</v>
      </c>
      <c r="Q24" s="379">
        <v>11400</v>
      </c>
      <c r="R24" s="290">
        <v>11400</v>
      </c>
      <c r="S24" s="290">
        <v>11400</v>
      </c>
      <c r="T24" s="290">
        <v>11400</v>
      </c>
      <c r="U24" s="379">
        <v>11400</v>
      </c>
      <c r="V24" s="379">
        <v>11400</v>
      </c>
      <c r="W24" s="118">
        <v>10200</v>
      </c>
      <c r="X24" s="94">
        <f t="shared" si="17"/>
        <v>135600</v>
      </c>
      <c r="Y24" s="46"/>
      <c r="Z24" s="40"/>
    </row>
    <row r="25" spans="1:26" x14ac:dyDescent="0.2">
      <c r="A25" s="41">
        <f t="shared" ref="A25:B25" si="21">+A24</f>
        <v>2022035</v>
      </c>
      <c r="B25" s="42"/>
      <c r="C25" s="425"/>
      <c r="D25" s="428"/>
      <c r="E25" s="428"/>
      <c r="F25" s="464"/>
      <c r="G25" s="428"/>
      <c r="H25" s="431"/>
      <c r="I25" s="434"/>
      <c r="J25" s="437"/>
      <c r="K25" s="111" t="s">
        <v>27</v>
      </c>
      <c r="L25" s="290">
        <v>21960</v>
      </c>
      <c r="M25" s="290">
        <v>21960</v>
      </c>
      <c r="N25" s="290">
        <v>21960</v>
      </c>
      <c r="O25" s="290">
        <v>21960</v>
      </c>
      <c r="P25" s="290">
        <v>21960</v>
      </c>
      <c r="Q25" s="379">
        <v>21960</v>
      </c>
      <c r="R25" s="290">
        <v>21960</v>
      </c>
      <c r="S25" s="290">
        <v>21960</v>
      </c>
      <c r="T25" s="290">
        <v>21960</v>
      </c>
      <c r="U25" s="379">
        <v>21960</v>
      </c>
      <c r="V25" s="379">
        <v>21960</v>
      </c>
      <c r="W25" s="118">
        <v>21960</v>
      </c>
      <c r="X25" s="94">
        <f t="shared" si="17"/>
        <v>263520</v>
      </c>
      <c r="Y25" s="46"/>
      <c r="Z25" s="40"/>
    </row>
    <row r="26" spans="1:26" x14ac:dyDescent="0.2">
      <c r="A26" s="41">
        <f t="shared" ref="A26:B26" si="22">+A25</f>
        <v>2022035</v>
      </c>
      <c r="B26" s="42"/>
      <c r="C26" s="425"/>
      <c r="D26" s="428"/>
      <c r="E26" s="428"/>
      <c r="F26" s="464"/>
      <c r="G26" s="428"/>
      <c r="H26" s="431"/>
      <c r="I26" s="434"/>
      <c r="J26" s="437"/>
      <c r="K26" s="111" t="s">
        <v>28</v>
      </c>
      <c r="L26" s="290">
        <v>1232</v>
      </c>
      <c r="M26" s="290">
        <v>1285</v>
      </c>
      <c r="N26" s="290">
        <v>1302</v>
      </c>
      <c r="O26" s="290">
        <v>1300</v>
      </c>
      <c r="P26" s="290">
        <v>1312</v>
      </c>
      <c r="Q26" s="379">
        <v>1307</v>
      </c>
      <c r="R26" s="290">
        <v>1266</v>
      </c>
      <c r="S26" s="290">
        <v>1281</v>
      </c>
      <c r="T26" s="290">
        <v>1232</v>
      </c>
      <c r="U26" s="379">
        <v>1377</v>
      </c>
      <c r="V26" s="379">
        <v>1319</v>
      </c>
      <c r="W26" s="118">
        <v>1182</v>
      </c>
      <c r="X26" s="94">
        <f t="shared" si="17"/>
        <v>15395</v>
      </c>
      <c r="Y26" s="46"/>
      <c r="Z26" s="40"/>
    </row>
    <row r="27" spans="1:26" x14ac:dyDescent="0.2">
      <c r="A27" s="41">
        <f t="shared" ref="A27:B27" si="23">+A26</f>
        <v>2022035</v>
      </c>
      <c r="B27" s="42"/>
      <c r="C27" s="425"/>
      <c r="D27" s="428"/>
      <c r="E27" s="428"/>
      <c r="F27" s="464"/>
      <c r="G27" s="428"/>
      <c r="H27" s="431"/>
      <c r="I27" s="434"/>
      <c r="J27" s="437"/>
      <c r="K27" s="112" t="s">
        <v>29</v>
      </c>
      <c r="L27" s="290">
        <v>1356</v>
      </c>
      <c r="M27" s="290">
        <v>1413</v>
      </c>
      <c r="N27" s="290">
        <v>1433</v>
      </c>
      <c r="O27" s="290">
        <v>1430</v>
      </c>
      <c r="P27" s="290">
        <v>1444</v>
      </c>
      <c r="Q27" s="379">
        <v>1438</v>
      </c>
      <c r="R27" s="290">
        <v>1393</v>
      </c>
      <c r="S27" s="290">
        <v>1409</v>
      </c>
      <c r="T27" s="290">
        <v>1356</v>
      </c>
      <c r="U27" s="379">
        <v>1515</v>
      </c>
      <c r="V27" s="379">
        <v>1450</v>
      </c>
      <c r="W27" s="118">
        <v>1744</v>
      </c>
      <c r="X27" s="104">
        <f t="shared" si="17"/>
        <v>17381</v>
      </c>
      <c r="Y27" s="46"/>
      <c r="Z27" s="40"/>
    </row>
    <row r="28" spans="1:26" x14ac:dyDescent="0.2">
      <c r="A28" s="41">
        <f t="shared" ref="A28:B28" si="24">+A27</f>
        <v>2022035</v>
      </c>
      <c r="B28" s="42"/>
      <c r="C28" s="426"/>
      <c r="D28" s="429"/>
      <c r="E28" s="429"/>
      <c r="F28" s="465"/>
      <c r="G28" s="429"/>
      <c r="H28" s="432"/>
      <c r="I28" s="435"/>
      <c r="J28" s="438"/>
      <c r="K28" s="73" t="s">
        <v>39</v>
      </c>
      <c r="L28" s="257">
        <f t="shared" ref="L28:V28" si="25">L17-L20</f>
        <v>166656</v>
      </c>
      <c r="M28" s="258">
        <f t="shared" si="25"/>
        <v>156942</v>
      </c>
      <c r="N28" s="258">
        <f t="shared" si="25"/>
        <v>153405</v>
      </c>
      <c r="O28" s="258">
        <f t="shared" si="25"/>
        <v>198910</v>
      </c>
      <c r="P28" s="258">
        <f t="shared" si="25"/>
        <v>151384</v>
      </c>
      <c r="Q28" s="170">
        <f t="shared" si="25"/>
        <v>152395</v>
      </c>
      <c r="R28" s="258">
        <f>R17-R20</f>
        <v>160731</v>
      </c>
      <c r="S28" s="258">
        <f t="shared" si="25"/>
        <v>112700</v>
      </c>
      <c r="T28" s="258">
        <f t="shared" si="25"/>
        <v>157052</v>
      </c>
      <c r="U28" s="170">
        <f t="shared" si="25"/>
        <v>115748</v>
      </c>
      <c r="V28" s="170">
        <f t="shared" si="25"/>
        <v>100037</v>
      </c>
      <c r="W28" s="114">
        <f>W17-W20</f>
        <v>154740</v>
      </c>
      <c r="X28" s="105">
        <f>X17-X20</f>
        <v>1780700</v>
      </c>
      <c r="Y28" s="46"/>
      <c r="Z28" s="40"/>
    </row>
    <row r="29" spans="1:26" ht="12.75" customHeight="1" x14ac:dyDescent="0.2">
      <c r="A29" s="7">
        <v>2023033</v>
      </c>
      <c r="B29" s="2"/>
      <c r="C29" s="424">
        <f t="shared" ref="C29" si="26">C17+1</f>
        <v>3</v>
      </c>
      <c r="D29" s="430" t="s">
        <v>66</v>
      </c>
      <c r="E29" s="430" t="s">
        <v>70</v>
      </c>
      <c r="F29" s="463"/>
      <c r="G29" s="430"/>
      <c r="H29" s="430" t="s">
        <v>72</v>
      </c>
      <c r="I29" s="452"/>
      <c r="J29" s="449" t="s">
        <v>36</v>
      </c>
      <c r="K29" s="350" t="s">
        <v>37</v>
      </c>
      <c r="L29" s="217">
        <f t="shared" ref="L29" si="27">L30+L31</f>
        <v>450000</v>
      </c>
      <c r="M29" s="217">
        <f t="shared" ref="M29:Q29" si="28">M30+M31</f>
        <v>414000</v>
      </c>
      <c r="N29" s="217">
        <f t="shared" si="28"/>
        <v>315000</v>
      </c>
      <c r="O29" s="217">
        <f t="shared" si="28"/>
        <v>247500</v>
      </c>
      <c r="P29" s="217">
        <f t="shared" si="28"/>
        <v>0</v>
      </c>
      <c r="Q29" s="161">
        <f t="shared" si="28"/>
        <v>0</v>
      </c>
      <c r="R29" s="217">
        <f>R30+R31</f>
        <v>0</v>
      </c>
      <c r="S29" s="217">
        <f t="shared" ref="S29:V29" si="29">S30+S31</f>
        <v>0</v>
      </c>
      <c r="T29" s="217">
        <f t="shared" si="29"/>
        <v>0</v>
      </c>
      <c r="U29" s="161">
        <f t="shared" si="29"/>
        <v>0</v>
      </c>
      <c r="V29" s="161">
        <f t="shared" si="29"/>
        <v>0</v>
      </c>
      <c r="W29" s="291">
        <f>W30+W31</f>
        <v>0</v>
      </c>
      <c r="X29" s="351">
        <f>SUM(L29:W29)</f>
        <v>1426500</v>
      </c>
      <c r="Z29" s="40"/>
    </row>
    <row r="30" spans="1:26" x14ac:dyDescent="0.2">
      <c r="A30" s="41">
        <f t="shared" ref="A30:B30" si="30">+A29</f>
        <v>2023033</v>
      </c>
      <c r="B30" s="42"/>
      <c r="C30" s="425"/>
      <c r="D30" s="431"/>
      <c r="E30" s="431"/>
      <c r="F30" s="464"/>
      <c r="G30" s="431"/>
      <c r="H30" s="431"/>
      <c r="I30" s="453"/>
      <c r="J30" s="450"/>
      <c r="K30" s="75" t="s">
        <v>38</v>
      </c>
      <c r="L30" s="210">
        <v>450000</v>
      </c>
      <c r="M30" s="210">
        <v>414000</v>
      </c>
      <c r="N30" s="210">
        <v>315000</v>
      </c>
      <c r="O30" s="210">
        <v>247500</v>
      </c>
      <c r="P30" s="210"/>
      <c r="Q30" s="160"/>
      <c r="R30" s="210"/>
      <c r="S30" s="210"/>
      <c r="T30" s="210"/>
      <c r="U30" s="160"/>
      <c r="V30" s="160"/>
      <c r="W30" s="292"/>
      <c r="X30" s="352">
        <f>SUM(L30:W30)</f>
        <v>1426500</v>
      </c>
      <c r="Y30" s="46"/>
      <c r="Z30" s="40"/>
    </row>
    <row r="31" spans="1:26" x14ac:dyDescent="0.2">
      <c r="A31" s="41">
        <f t="shared" ref="A31:B31" si="31">+A30</f>
        <v>2023033</v>
      </c>
      <c r="B31" s="42"/>
      <c r="C31" s="425"/>
      <c r="D31" s="431"/>
      <c r="E31" s="431"/>
      <c r="F31" s="464"/>
      <c r="G31" s="431"/>
      <c r="H31" s="431"/>
      <c r="I31" s="453"/>
      <c r="J31" s="450"/>
      <c r="K31" s="75" t="s">
        <v>34</v>
      </c>
      <c r="L31" s="211"/>
      <c r="M31" s="212"/>
      <c r="N31" s="212"/>
      <c r="O31" s="212"/>
      <c r="P31" s="212"/>
      <c r="Q31" s="162"/>
      <c r="R31" s="212"/>
      <c r="S31" s="212"/>
      <c r="T31" s="212"/>
      <c r="U31" s="162"/>
      <c r="V31" s="162"/>
      <c r="W31" s="353"/>
      <c r="X31" s="352">
        <v>0</v>
      </c>
      <c r="Y31" s="46"/>
      <c r="Z31" s="40"/>
    </row>
    <row r="32" spans="1:26" x14ac:dyDescent="0.2">
      <c r="A32" s="41">
        <f t="shared" ref="A32:B32" si="32">+A31</f>
        <v>2023033</v>
      </c>
      <c r="B32" s="42"/>
      <c r="C32" s="425"/>
      <c r="D32" s="431"/>
      <c r="E32" s="431"/>
      <c r="F32" s="464"/>
      <c r="G32" s="431"/>
      <c r="H32" s="431"/>
      <c r="I32" s="453"/>
      <c r="J32" s="450"/>
      <c r="K32" s="76" t="s">
        <v>24</v>
      </c>
      <c r="L32" s="287">
        <f t="shared" ref="L32:Q32" si="33">SUM(L33:L39)</f>
        <v>308157</v>
      </c>
      <c r="M32" s="288">
        <f t="shared" si="33"/>
        <v>308561</v>
      </c>
      <c r="N32" s="288">
        <f t="shared" si="33"/>
        <v>302088</v>
      </c>
      <c r="O32" s="288">
        <f t="shared" si="33"/>
        <v>215373</v>
      </c>
      <c r="P32" s="288">
        <f t="shared" si="33"/>
        <v>0</v>
      </c>
      <c r="Q32" s="377">
        <f t="shared" si="33"/>
        <v>0</v>
      </c>
      <c r="R32" s="288">
        <f>SUM(R33:R39)</f>
        <v>0</v>
      </c>
      <c r="S32" s="288">
        <f t="shared" ref="S32:V32" si="34">SUM(S33:S39)</f>
        <v>0</v>
      </c>
      <c r="T32" s="288">
        <f t="shared" si="34"/>
        <v>0</v>
      </c>
      <c r="U32" s="377">
        <f t="shared" si="34"/>
        <v>0</v>
      </c>
      <c r="V32" s="377">
        <f t="shared" si="34"/>
        <v>0</v>
      </c>
      <c r="W32" s="354">
        <f>SUM(W33:W39)</f>
        <v>0</v>
      </c>
      <c r="X32" s="355">
        <f>SUM(L32:W32)</f>
        <v>1134179</v>
      </c>
      <c r="Y32" s="46"/>
      <c r="Z32" s="40"/>
    </row>
    <row r="33" spans="1:26" x14ac:dyDescent="0.2">
      <c r="A33" s="41">
        <f t="shared" ref="A33:B33" si="35">+A32</f>
        <v>2023033</v>
      </c>
      <c r="B33" s="42"/>
      <c r="C33" s="425"/>
      <c r="D33" s="431"/>
      <c r="E33" s="431"/>
      <c r="F33" s="464"/>
      <c r="G33" s="431"/>
      <c r="H33" s="431"/>
      <c r="I33" s="453"/>
      <c r="J33" s="450"/>
      <c r="K33" s="111" t="s">
        <v>25</v>
      </c>
      <c r="L33" s="289">
        <v>245400</v>
      </c>
      <c r="M33" s="289">
        <v>245800</v>
      </c>
      <c r="N33" s="289">
        <v>245400</v>
      </c>
      <c r="O33" s="289">
        <v>168812</v>
      </c>
      <c r="P33" s="289"/>
      <c r="Q33" s="378"/>
      <c r="R33" s="289"/>
      <c r="S33" s="289"/>
      <c r="T33" s="289"/>
      <c r="U33" s="378"/>
      <c r="V33" s="378"/>
      <c r="W33" s="289"/>
      <c r="X33" s="352">
        <f t="shared" ref="X33:X39" si="36">SUM(L33:W33)</f>
        <v>905412</v>
      </c>
      <c r="Y33" s="46"/>
      <c r="Z33" s="40"/>
    </row>
    <row r="34" spans="1:26" x14ac:dyDescent="0.2">
      <c r="A34" s="41">
        <f t="shared" ref="A34:B34" si="37">+A33</f>
        <v>2023033</v>
      </c>
      <c r="B34" s="42"/>
      <c r="C34" s="425"/>
      <c r="D34" s="431"/>
      <c r="E34" s="431"/>
      <c r="F34" s="464"/>
      <c r="G34" s="431"/>
      <c r="H34" s="431"/>
      <c r="I34" s="453"/>
      <c r="J34" s="450"/>
      <c r="K34" s="111" t="s">
        <v>30</v>
      </c>
      <c r="L34" s="289"/>
      <c r="M34" s="289"/>
      <c r="N34" s="289"/>
      <c r="O34" s="289"/>
      <c r="P34" s="289"/>
      <c r="Q34" s="378"/>
      <c r="R34" s="289"/>
      <c r="S34" s="289"/>
      <c r="T34" s="289"/>
      <c r="U34" s="378"/>
      <c r="V34" s="378"/>
      <c r="W34" s="356"/>
      <c r="X34" s="352">
        <f t="shared" si="36"/>
        <v>0</v>
      </c>
      <c r="Y34" s="46"/>
      <c r="Z34" s="40"/>
    </row>
    <row r="35" spans="1:26" x14ac:dyDescent="0.2">
      <c r="A35" s="41">
        <f t="shared" ref="A35:B35" si="38">+A34</f>
        <v>2023033</v>
      </c>
      <c r="B35" s="42"/>
      <c r="C35" s="425"/>
      <c r="D35" s="431"/>
      <c r="E35" s="431"/>
      <c r="F35" s="464"/>
      <c r="G35" s="431"/>
      <c r="H35" s="431"/>
      <c r="I35" s="453"/>
      <c r="J35" s="450"/>
      <c r="K35" s="111" t="s">
        <v>33</v>
      </c>
      <c r="L35" s="289">
        <v>23790</v>
      </c>
      <c r="M35" s="289">
        <v>23790</v>
      </c>
      <c r="N35" s="289">
        <v>17784</v>
      </c>
      <c r="O35" s="289">
        <v>8558</v>
      </c>
      <c r="P35" s="289"/>
      <c r="Q35" s="378"/>
      <c r="R35" s="289"/>
      <c r="S35" s="289"/>
      <c r="T35" s="289"/>
      <c r="U35" s="378"/>
      <c r="V35" s="378"/>
      <c r="W35" s="356"/>
      <c r="X35" s="352">
        <f t="shared" si="36"/>
        <v>73922</v>
      </c>
      <c r="Y35" s="46"/>
      <c r="Z35" s="40"/>
    </row>
    <row r="36" spans="1:26" x14ac:dyDescent="0.2">
      <c r="A36" s="41">
        <f t="shared" ref="A36:B36" si="39">+A35</f>
        <v>2023033</v>
      </c>
      <c r="B36" s="42"/>
      <c r="C36" s="425"/>
      <c r="D36" s="431"/>
      <c r="E36" s="431"/>
      <c r="F36" s="464"/>
      <c r="G36" s="431"/>
      <c r="H36" s="431"/>
      <c r="I36" s="453"/>
      <c r="J36" s="450"/>
      <c r="K36" s="111" t="s">
        <v>26</v>
      </c>
      <c r="L36" s="290">
        <v>12350</v>
      </c>
      <c r="M36" s="290">
        <v>12350</v>
      </c>
      <c r="N36" s="290">
        <v>12350</v>
      </c>
      <c r="O36" s="290">
        <v>12350</v>
      </c>
      <c r="P36" s="290"/>
      <c r="Q36" s="379"/>
      <c r="R36" s="290"/>
      <c r="S36" s="290"/>
      <c r="T36" s="290"/>
      <c r="U36" s="379"/>
      <c r="V36" s="379"/>
      <c r="W36" s="357"/>
      <c r="X36" s="352">
        <f t="shared" si="36"/>
        <v>49400</v>
      </c>
      <c r="Y36" s="46"/>
      <c r="Z36" s="40"/>
    </row>
    <row r="37" spans="1:26" x14ac:dyDescent="0.2">
      <c r="A37" s="41">
        <f t="shared" ref="A37:B37" si="40">+A36</f>
        <v>2023033</v>
      </c>
      <c r="B37" s="42"/>
      <c r="C37" s="425"/>
      <c r="D37" s="431"/>
      <c r="E37" s="431"/>
      <c r="F37" s="464"/>
      <c r="G37" s="431"/>
      <c r="H37" s="431"/>
      <c r="I37" s="453"/>
      <c r="J37" s="450"/>
      <c r="K37" s="111" t="s">
        <v>27</v>
      </c>
      <c r="L37" s="290">
        <v>23790</v>
      </c>
      <c r="M37" s="290">
        <v>23790</v>
      </c>
      <c r="N37" s="290">
        <v>23790</v>
      </c>
      <c r="O37" s="290">
        <v>23790</v>
      </c>
      <c r="P37" s="290"/>
      <c r="Q37" s="379"/>
      <c r="R37" s="290"/>
      <c r="S37" s="290"/>
      <c r="T37" s="290"/>
      <c r="U37" s="379"/>
      <c r="V37" s="379"/>
      <c r="W37" s="357"/>
      <c r="X37" s="352">
        <f t="shared" si="36"/>
        <v>95160</v>
      </c>
      <c r="Y37" s="46"/>
      <c r="Z37" s="40"/>
    </row>
    <row r="38" spans="1:26" x14ac:dyDescent="0.2">
      <c r="A38" s="41">
        <f t="shared" ref="A38:B38" si="41">+A37</f>
        <v>2023033</v>
      </c>
      <c r="B38" s="42"/>
      <c r="C38" s="425"/>
      <c r="D38" s="431"/>
      <c r="E38" s="431"/>
      <c r="F38" s="464"/>
      <c r="G38" s="431"/>
      <c r="H38" s="431"/>
      <c r="I38" s="453"/>
      <c r="J38" s="450"/>
      <c r="K38" s="111" t="s">
        <v>28</v>
      </c>
      <c r="L38" s="290">
        <v>1346</v>
      </c>
      <c r="M38" s="290">
        <v>1348</v>
      </c>
      <c r="N38" s="290">
        <v>1316</v>
      </c>
      <c r="O38" s="290">
        <v>887</v>
      </c>
      <c r="P38" s="290"/>
      <c r="Q38" s="379"/>
      <c r="R38" s="290"/>
      <c r="S38" s="290"/>
      <c r="T38" s="290"/>
      <c r="U38" s="379"/>
      <c r="V38" s="379"/>
      <c r="W38" s="357"/>
      <c r="X38" s="352">
        <f t="shared" si="36"/>
        <v>4897</v>
      </c>
      <c r="Y38" s="46"/>
      <c r="Z38" s="40"/>
    </row>
    <row r="39" spans="1:26" x14ac:dyDescent="0.2">
      <c r="A39" s="41">
        <f t="shared" ref="A39:B39" si="42">+A38</f>
        <v>2023033</v>
      </c>
      <c r="B39" s="42"/>
      <c r="C39" s="425"/>
      <c r="D39" s="431"/>
      <c r="E39" s="431"/>
      <c r="F39" s="464"/>
      <c r="G39" s="431"/>
      <c r="H39" s="431"/>
      <c r="I39" s="453"/>
      <c r="J39" s="450"/>
      <c r="K39" s="112" t="s">
        <v>29</v>
      </c>
      <c r="L39" s="290">
        <v>1481</v>
      </c>
      <c r="M39" s="290">
        <v>1483</v>
      </c>
      <c r="N39" s="290">
        <v>1448</v>
      </c>
      <c r="O39" s="290">
        <v>976</v>
      </c>
      <c r="P39" s="290"/>
      <c r="Q39" s="379"/>
      <c r="R39" s="290"/>
      <c r="S39" s="290"/>
      <c r="T39" s="290"/>
      <c r="U39" s="379"/>
      <c r="V39" s="379"/>
      <c r="W39" s="357"/>
      <c r="X39" s="358">
        <f t="shared" si="36"/>
        <v>5388</v>
      </c>
      <c r="Y39" s="46"/>
      <c r="Z39" s="40"/>
    </row>
    <row r="40" spans="1:26" x14ac:dyDescent="0.2">
      <c r="A40" s="41">
        <f t="shared" ref="A40:B40" si="43">+A39</f>
        <v>2023033</v>
      </c>
      <c r="B40" s="42"/>
      <c r="C40" s="426"/>
      <c r="D40" s="432"/>
      <c r="E40" s="432"/>
      <c r="F40" s="465"/>
      <c r="G40" s="432"/>
      <c r="H40" s="432"/>
      <c r="I40" s="456"/>
      <c r="J40" s="457"/>
      <c r="K40" s="359" t="s">
        <v>39</v>
      </c>
      <c r="L40" s="257">
        <f t="shared" ref="L40:Q40" si="44">L29-L32</f>
        <v>141843</v>
      </c>
      <c r="M40" s="258">
        <f t="shared" si="44"/>
        <v>105439</v>
      </c>
      <c r="N40" s="258">
        <f t="shared" si="44"/>
        <v>12912</v>
      </c>
      <c r="O40" s="258">
        <f t="shared" si="44"/>
        <v>32127</v>
      </c>
      <c r="P40" s="258">
        <f t="shared" si="44"/>
        <v>0</v>
      </c>
      <c r="Q40" s="170">
        <f t="shared" si="44"/>
        <v>0</v>
      </c>
      <c r="R40" s="258">
        <f>R29-R32</f>
        <v>0</v>
      </c>
      <c r="S40" s="258">
        <f t="shared" ref="S40:V40" si="45">S29-S32</f>
        <v>0</v>
      </c>
      <c r="T40" s="258">
        <f t="shared" si="45"/>
        <v>0</v>
      </c>
      <c r="U40" s="170">
        <f t="shared" si="45"/>
        <v>0</v>
      </c>
      <c r="V40" s="170">
        <f t="shared" si="45"/>
        <v>0</v>
      </c>
      <c r="W40" s="360">
        <f>W29-W32</f>
        <v>0</v>
      </c>
      <c r="X40" s="361">
        <f>X29-X32</f>
        <v>292321</v>
      </c>
      <c r="Y40" s="46"/>
      <c r="Z40" s="40"/>
    </row>
    <row r="41" spans="1:26" ht="12.75" customHeight="1" x14ac:dyDescent="0.2">
      <c r="A41" s="7">
        <v>2023019</v>
      </c>
      <c r="B41" s="2"/>
      <c r="C41" s="446">
        <f t="shared" ref="C41" si="46">C29+1</f>
        <v>4</v>
      </c>
      <c r="D41" s="430" t="s">
        <v>66</v>
      </c>
      <c r="E41" s="430" t="s">
        <v>70</v>
      </c>
      <c r="F41" s="463"/>
      <c r="G41" s="430"/>
      <c r="H41" s="430"/>
      <c r="I41" s="452"/>
      <c r="J41" s="449" t="s">
        <v>36</v>
      </c>
      <c r="K41" s="350" t="s">
        <v>37</v>
      </c>
      <c r="L41" s="217">
        <f t="shared" ref="L41:N41" si="47">L42+L43</f>
        <v>450000</v>
      </c>
      <c r="M41" s="217">
        <f t="shared" si="47"/>
        <v>427500</v>
      </c>
      <c r="N41" s="217">
        <f t="shared" si="47"/>
        <v>472500</v>
      </c>
      <c r="O41" s="217">
        <f t="shared" ref="O41:Q41" si="48">O42+O43</f>
        <v>496500</v>
      </c>
      <c r="P41" s="217">
        <f t="shared" si="48"/>
        <v>405000</v>
      </c>
      <c r="Q41" s="217">
        <f t="shared" si="48"/>
        <v>427500</v>
      </c>
      <c r="R41" s="217">
        <f>R42+R43</f>
        <v>486000</v>
      </c>
      <c r="S41" s="217">
        <f t="shared" ref="S41:V41" si="49">S42+S43</f>
        <v>427500</v>
      </c>
      <c r="T41" s="217">
        <f t="shared" si="49"/>
        <v>426000</v>
      </c>
      <c r="U41" s="161">
        <f t="shared" si="49"/>
        <v>0</v>
      </c>
      <c r="V41" s="161">
        <f t="shared" si="49"/>
        <v>0</v>
      </c>
      <c r="W41" s="291">
        <f>W42+W43</f>
        <v>0</v>
      </c>
      <c r="X41" s="351">
        <f>SUM(L41:W41)</f>
        <v>4018500</v>
      </c>
      <c r="Z41" s="40"/>
    </row>
    <row r="42" spans="1:26" x14ac:dyDescent="0.2">
      <c r="A42" s="41">
        <f t="shared" ref="A42:B42" si="50">+A41</f>
        <v>2023019</v>
      </c>
      <c r="B42" s="42"/>
      <c r="C42" s="447"/>
      <c r="D42" s="431"/>
      <c r="E42" s="431"/>
      <c r="F42" s="464"/>
      <c r="G42" s="431"/>
      <c r="H42" s="431"/>
      <c r="I42" s="453"/>
      <c r="J42" s="450"/>
      <c r="K42" s="75" t="s">
        <v>38</v>
      </c>
      <c r="L42" s="210">
        <v>450000</v>
      </c>
      <c r="M42" s="210">
        <v>427500</v>
      </c>
      <c r="N42" s="210">
        <v>472500</v>
      </c>
      <c r="O42" s="210">
        <v>496500</v>
      </c>
      <c r="P42" s="210">
        <v>405000</v>
      </c>
      <c r="Q42" s="210">
        <v>427500</v>
      </c>
      <c r="R42" s="210">
        <v>486000</v>
      </c>
      <c r="S42" s="210">
        <v>427500</v>
      </c>
      <c r="T42" s="210">
        <v>426000</v>
      </c>
      <c r="U42" s="160"/>
      <c r="V42" s="160"/>
      <c r="W42" s="292"/>
      <c r="X42" s="352">
        <f>SUM(L42:W42)</f>
        <v>4018500</v>
      </c>
      <c r="Y42" s="46"/>
      <c r="Z42" s="40"/>
    </row>
    <row r="43" spans="1:26" x14ac:dyDescent="0.2">
      <c r="A43" s="41">
        <f t="shared" ref="A43:B43" si="51">+A42</f>
        <v>2023019</v>
      </c>
      <c r="B43" s="42"/>
      <c r="C43" s="447"/>
      <c r="D43" s="431"/>
      <c r="E43" s="431"/>
      <c r="F43" s="464"/>
      <c r="G43" s="431"/>
      <c r="H43" s="431"/>
      <c r="I43" s="453"/>
      <c r="J43" s="450"/>
      <c r="K43" s="75" t="s">
        <v>34</v>
      </c>
      <c r="L43" s="212"/>
      <c r="M43" s="212"/>
      <c r="N43" s="212"/>
      <c r="O43" s="212"/>
      <c r="P43" s="212"/>
      <c r="Q43" s="212"/>
      <c r="R43" s="212"/>
      <c r="S43" s="212"/>
      <c r="T43" s="212"/>
      <c r="U43" s="162"/>
      <c r="V43" s="162"/>
      <c r="W43" s="353"/>
      <c r="X43" s="352">
        <v>0</v>
      </c>
      <c r="Y43" s="46"/>
      <c r="Z43" s="40"/>
    </row>
    <row r="44" spans="1:26" x14ac:dyDescent="0.2">
      <c r="A44" s="41">
        <f t="shared" ref="A44:B44" si="52">+A43</f>
        <v>2023019</v>
      </c>
      <c r="B44" s="42"/>
      <c r="C44" s="447"/>
      <c r="D44" s="431"/>
      <c r="E44" s="431"/>
      <c r="F44" s="464"/>
      <c r="G44" s="431"/>
      <c r="H44" s="431"/>
      <c r="I44" s="453"/>
      <c r="J44" s="450"/>
      <c r="K44" s="76" t="s">
        <v>24</v>
      </c>
      <c r="L44" s="214">
        <f t="shared" ref="L44:N44" si="53">SUM(L45:L51)</f>
        <v>324729</v>
      </c>
      <c r="M44" s="214">
        <f t="shared" si="53"/>
        <v>324729</v>
      </c>
      <c r="N44" s="214">
        <f t="shared" si="53"/>
        <v>324729</v>
      </c>
      <c r="O44" s="214">
        <f t="shared" ref="O44:Q44" si="54">SUM(O45:O51)</f>
        <v>324729</v>
      </c>
      <c r="P44" s="214">
        <f t="shared" si="54"/>
        <v>324729</v>
      </c>
      <c r="Q44" s="214">
        <f t="shared" si="54"/>
        <v>327509</v>
      </c>
      <c r="R44" s="214">
        <f>SUM(R45:R51)</f>
        <v>327509</v>
      </c>
      <c r="S44" s="214">
        <f t="shared" ref="S44:V44" si="55">SUM(S45:S51)</f>
        <v>327509</v>
      </c>
      <c r="T44" s="214">
        <f t="shared" si="55"/>
        <v>327971</v>
      </c>
      <c r="U44" s="163">
        <f t="shared" si="55"/>
        <v>0</v>
      </c>
      <c r="V44" s="163">
        <f t="shared" si="55"/>
        <v>0</v>
      </c>
      <c r="W44" s="410">
        <f>SUM(W45:W51)</f>
        <v>0</v>
      </c>
      <c r="X44" s="355">
        <f>SUM(L44:W44)</f>
        <v>2934143</v>
      </c>
      <c r="Y44" s="46"/>
      <c r="Z44" s="40"/>
    </row>
    <row r="45" spans="1:26" x14ac:dyDescent="0.2">
      <c r="A45" s="41">
        <f t="shared" ref="A45:B45" si="56">+A44</f>
        <v>2023019</v>
      </c>
      <c r="B45" s="42"/>
      <c r="C45" s="447"/>
      <c r="D45" s="431"/>
      <c r="E45" s="431"/>
      <c r="F45" s="464"/>
      <c r="G45" s="431"/>
      <c r="H45" s="431"/>
      <c r="I45" s="453"/>
      <c r="J45" s="450"/>
      <c r="K45" s="71" t="s">
        <v>25</v>
      </c>
      <c r="L45" s="293">
        <v>256000</v>
      </c>
      <c r="M45" s="293">
        <v>256000</v>
      </c>
      <c r="N45" s="293">
        <v>256000</v>
      </c>
      <c r="O45" s="293">
        <v>256000</v>
      </c>
      <c r="P45" s="293">
        <v>256000</v>
      </c>
      <c r="Q45" s="293">
        <v>256000</v>
      </c>
      <c r="R45" s="293">
        <v>256000</v>
      </c>
      <c r="S45" s="293">
        <v>256000</v>
      </c>
      <c r="T45" s="293">
        <v>256000</v>
      </c>
      <c r="U45" s="382"/>
      <c r="V45" s="382"/>
      <c r="W45" s="293"/>
      <c r="X45" s="352">
        <f t="shared" ref="X45:X51" si="57">SUM(L45:W45)</f>
        <v>2304000</v>
      </c>
      <c r="Y45" s="46"/>
      <c r="Z45" s="40"/>
    </row>
    <row r="46" spans="1:26" x14ac:dyDescent="0.2">
      <c r="A46" s="41">
        <f t="shared" ref="A46:B46" si="58">+A45</f>
        <v>2023019</v>
      </c>
      <c r="B46" s="42"/>
      <c r="C46" s="447"/>
      <c r="D46" s="431"/>
      <c r="E46" s="431"/>
      <c r="F46" s="464"/>
      <c r="G46" s="431"/>
      <c r="H46" s="431"/>
      <c r="I46" s="453"/>
      <c r="J46" s="450"/>
      <c r="K46" s="71" t="s">
        <v>30</v>
      </c>
      <c r="L46" s="293"/>
      <c r="M46" s="293"/>
      <c r="N46" s="293"/>
      <c r="O46" s="293"/>
      <c r="P46" s="293"/>
      <c r="Q46" s="293"/>
      <c r="R46" s="293"/>
      <c r="S46" s="293"/>
      <c r="T46" s="293"/>
      <c r="U46" s="382"/>
      <c r="V46" s="382"/>
      <c r="W46" s="411"/>
      <c r="X46" s="352">
        <f t="shared" si="57"/>
        <v>0</v>
      </c>
      <c r="Y46" s="46"/>
      <c r="Z46" s="40"/>
    </row>
    <row r="47" spans="1:26" x14ac:dyDescent="0.2">
      <c r="A47" s="41">
        <f t="shared" ref="A47:B47" si="59">+A46</f>
        <v>2023019</v>
      </c>
      <c r="B47" s="42"/>
      <c r="C47" s="447"/>
      <c r="D47" s="431"/>
      <c r="E47" s="431"/>
      <c r="F47" s="464"/>
      <c r="G47" s="431"/>
      <c r="H47" s="431"/>
      <c r="I47" s="453"/>
      <c r="J47" s="450"/>
      <c r="K47" s="71" t="s">
        <v>33</v>
      </c>
      <c r="L47" s="293">
        <v>29590</v>
      </c>
      <c r="M47" s="293">
        <v>29590</v>
      </c>
      <c r="N47" s="293">
        <v>29590</v>
      </c>
      <c r="O47" s="293">
        <v>29590</v>
      </c>
      <c r="P47" s="293">
        <v>29590</v>
      </c>
      <c r="Q47" s="293">
        <v>29590</v>
      </c>
      <c r="R47" s="293">
        <v>29590</v>
      </c>
      <c r="S47" s="293">
        <v>29590</v>
      </c>
      <c r="T47" s="293">
        <v>29590</v>
      </c>
      <c r="U47" s="382"/>
      <c r="V47" s="382"/>
      <c r="W47" s="411"/>
      <c r="X47" s="352">
        <f t="shared" si="57"/>
        <v>266310</v>
      </c>
      <c r="Y47" s="46"/>
      <c r="Z47" s="40"/>
    </row>
    <row r="48" spans="1:26" x14ac:dyDescent="0.2">
      <c r="A48" s="41">
        <f t="shared" ref="A48:B48" si="60">+A47</f>
        <v>2023019</v>
      </c>
      <c r="B48" s="42"/>
      <c r="C48" s="447"/>
      <c r="D48" s="431"/>
      <c r="E48" s="431"/>
      <c r="F48" s="464"/>
      <c r="G48" s="431"/>
      <c r="H48" s="431"/>
      <c r="I48" s="453"/>
      <c r="J48" s="450"/>
      <c r="K48" s="71" t="s">
        <v>26</v>
      </c>
      <c r="L48" s="210">
        <v>12350</v>
      </c>
      <c r="M48" s="210">
        <v>12350</v>
      </c>
      <c r="N48" s="210">
        <v>12350</v>
      </c>
      <c r="O48" s="210">
        <v>12350</v>
      </c>
      <c r="P48" s="210">
        <v>12350</v>
      </c>
      <c r="Q48" s="210">
        <v>13300</v>
      </c>
      <c r="R48" s="210">
        <v>13300</v>
      </c>
      <c r="S48" s="210">
        <v>13300</v>
      </c>
      <c r="T48" s="210">
        <v>13300</v>
      </c>
      <c r="U48" s="160"/>
      <c r="V48" s="160"/>
      <c r="W48" s="292"/>
      <c r="X48" s="352">
        <f t="shared" si="57"/>
        <v>114950</v>
      </c>
      <c r="Y48" s="46"/>
      <c r="Z48" s="40"/>
    </row>
    <row r="49" spans="1:26" x14ac:dyDescent="0.2">
      <c r="A49" s="41">
        <f t="shared" ref="A49:B49" si="61">+A48</f>
        <v>2023019</v>
      </c>
      <c r="B49" s="42"/>
      <c r="C49" s="447"/>
      <c r="D49" s="431"/>
      <c r="E49" s="431"/>
      <c r="F49" s="464"/>
      <c r="G49" s="431"/>
      <c r="H49" s="431"/>
      <c r="I49" s="453"/>
      <c r="J49" s="450"/>
      <c r="K49" s="71" t="s">
        <v>27</v>
      </c>
      <c r="L49" s="210">
        <v>23790</v>
      </c>
      <c r="M49" s="210">
        <v>23790</v>
      </c>
      <c r="N49" s="210">
        <v>23790</v>
      </c>
      <c r="O49" s="210">
        <v>23790</v>
      </c>
      <c r="P49" s="210">
        <v>23790</v>
      </c>
      <c r="Q49" s="210">
        <v>25620</v>
      </c>
      <c r="R49" s="210">
        <v>25620</v>
      </c>
      <c r="S49" s="210">
        <v>25620</v>
      </c>
      <c r="T49" s="210">
        <v>25620</v>
      </c>
      <c r="U49" s="160"/>
      <c r="V49" s="160"/>
      <c r="W49" s="292"/>
      <c r="X49" s="352">
        <f t="shared" si="57"/>
        <v>221430</v>
      </c>
      <c r="Y49" s="46"/>
      <c r="Z49" s="40"/>
    </row>
    <row r="50" spans="1:26" x14ac:dyDescent="0.2">
      <c r="A50" s="41">
        <f t="shared" ref="A50:B50" si="62">+A49</f>
        <v>2023019</v>
      </c>
      <c r="B50" s="42"/>
      <c r="C50" s="447"/>
      <c r="D50" s="431"/>
      <c r="E50" s="431"/>
      <c r="F50" s="464"/>
      <c r="G50" s="431"/>
      <c r="H50" s="431"/>
      <c r="I50" s="453"/>
      <c r="J50" s="450"/>
      <c r="K50" s="71" t="s">
        <v>28</v>
      </c>
      <c r="L50" s="210">
        <v>1428</v>
      </c>
      <c r="M50" s="210">
        <v>1428</v>
      </c>
      <c r="N50" s="210">
        <v>1428</v>
      </c>
      <c r="O50" s="210">
        <v>1428</v>
      </c>
      <c r="P50" s="210">
        <v>1428</v>
      </c>
      <c r="Q50" s="210">
        <v>1428</v>
      </c>
      <c r="R50" s="210">
        <v>1428</v>
      </c>
      <c r="S50" s="210">
        <v>1428</v>
      </c>
      <c r="T50" s="210">
        <v>1648</v>
      </c>
      <c r="U50" s="160"/>
      <c r="V50" s="160"/>
      <c r="W50" s="292"/>
      <c r="X50" s="352">
        <f t="shared" si="57"/>
        <v>13072</v>
      </c>
      <c r="Y50" s="46"/>
      <c r="Z50" s="40"/>
    </row>
    <row r="51" spans="1:26" x14ac:dyDescent="0.2">
      <c r="A51" s="41">
        <f t="shared" ref="A51:B51" si="63">+A50</f>
        <v>2023019</v>
      </c>
      <c r="B51" s="42"/>
      <c r="C51" s="447"/>
      <c r="D51" s="431"/>
      <c r="E51" s="431"/>
      <c r="F51" s="464"/>
      <c r="G51" s="431"/>
      <c r="H51" s="431"/>
      <c r="I51" s="453"/>
      <c r="J51" s="450"/>
      <c r="K51" s="72" t="s">
        <v>29</v>
      </c>
      <c r="L51" s="216">
        <v>1571</v>
      </c>
      <c r="M51" s="216">
        <v>1571</v>
      </c>
      <c r="N51" s="216">
        <v>1571</v>
      </c>
      <c r="O51" s="216">
        <v>1571</v>
      </c>
      <c r="P51" s="216">
        <v>1571</v>
      </c>
      <c r="Q51" s="216">
        <v>1571</v>
      </c>
      <c r="R51" s="216">
        <v>1571</v>
      </c>
      <c r="S51" s="216">
        <v>1571</v>
      </c>
      <c r="T51" s="216">
        <v>1813</v>
      </c>
      <c r="U51" s="164"/>
      <c r="V51" s="164"/>
      <c r="W51" s="412"/>
      <c r="X51" s="358">
        <f t="shared" si="57"/>
        <v>14381</v>
      </c>
      <c r="Y51" s="46"/>
      <c r="Z51" s="40"/>
    </row>
    <row r="52" spans="1:26" x14ac:dyDescent="0.2">
      <c r="A52" s="41">
        <f t="shared" ref="A52:B52" si="64">+A51</f>
        <v>2023019</v>
      </c>
      <c r="B52" s="42"/>
      <c r="C52" s="466"/>
      <c r="D52" s="432"/>
      <c r="E52" s="432"/>
      <c r="F52" s="465"/>
      <c r="G52" s="432"/>
      <c r="H52" s="432"/>
      <c r="I52" s="456"/>
      <c r="J52" s="457"/>
      <c r="K52" s="359" t="s">
        <v>39</v>
      </c>
      <c r="L52" s="294">
        <f t="shared" ref="L52:Q52" si="65">L41-L44</f>
        <v>125271</v>
      </c>
      <c r="M52" s="295">
        <f t="shared" si="65"/>
        <v>102771</v>
      </c>
      <c r="N52" s="295">
        <f t="shared" si="65"/>
        <v>147771</v>
      </c>
      <c r="O52" s="295">
        <f t="shared" si="65"/>
        <v>171771</v>
      </c>
      <c r="P52" s="295">
        <f t="shared" si="65"/>
        <v>80271</v>
      </c>
      <c r="Q52" s="295">
        <f t="shared" si="65"/>
        <v>99991</v>
      </c>
      <c r="R52" s="295">
        <f>R41-R44</f>
        <v>158491</v>
      </c>
      <c r="S52" s="295">
        <f t="shared" ref="S52:V52" si="66">S41-S44</f>
        <v>99991</v>
      </c>
      <c r="T52" s="295">
        <f t="shared" si="66"/>
        <v>98029</v>
      </c>
      <c r="U52" s="383">
        <f t="shared" si="66"/>
        <v>0</v>
      </c>
      <c r="V52" s="383">
        <f t="shared" si="66"/>
        <v>0</v>
      </c>
      <c r="W52" s="413">
        <f>W41-W44</f>
        <v>0</v>
      </c>
      <c r="X52" s="361">
        <f>X41-X44</f>
        <v>1084357</v>
      </c>
      <c r="Y52" s="46"/>
      <c r="Z52" s="40"/>
    </row>
    <row r="53" spans="1:26" ht="12.75" customHeight="1" x14ac:dyDescent="0.2">
      <c r="A53" s="7">
        <v>2024007</v>
      </c>
      <c r="B53" s="2"/>
      <c r="C53" s="424">
        <f t="shared" ref="C53" si="67">C41+1</f>
        <v>5</v>
      </c>
      <c r="D53" s="427" t="s">
        <v>66</v>
      </c>
      <c r="E53" s="427"/>
      <c r="F53" s="463"/>
      <c r="G53" s="427"/>
      <c r="H53" s="430"/>
      <c r="I53" s="433"/>
      <c r="J53" s="436" t="s">
        <v>36</v>
      </c>
      <c r="K53" s="93" t="s">
        <v>37</v>
      </c>
      <c r="L53" s="217">
        <f t="shared" ref="L53:N53" si="68">L54+L55</f>
        <v>450000</v>
      </c>
      <c r="M53" s="217">
        <f t="shared" si="68"/>
        <v>382500</v>
      </c>
      <c r="N53" s="217">
        <f t="shared" si="68"/>
        <v>472500</v>
      </c>
      <c r="O53" s="217">
        <f t="shared" ref="O53:Q53" si="69">O54+O55</f>
        <v>505500</v>
      </c>
      <c r="P53" s="217">
        <f t="shared" si="69"/>
        <v>450000</v>
      </c>
      <c r="Q53" s="161">
        <f t="shared" si="69"/>
        <v>432000</v>
      </c>
      <c r="R53" s="217">
        <f>R54+R55</f>
        <v>499500</v>
      </c>
      <c r="S53" s="217">
        <f t="shared" ref="S53:V53" si="70">S54+S55</f>
        <v>414000</v>
      </c>
      <c r="T53" s="217">
        <f t="shared" si="70"/>
        <v>456000</v>
      </c>
      <c r="U53" s="161">
        <f t="shared" si="70"/>
        <v>405000</v>
      </c>
      <c r="V53" s="161">
        <f t="shared" si="70"/>
        <v>414000</v>
      </c>
      <c r="W53" s="100">
        <f>W54+W55</f>
        <v>432000</v>
      </c>
      <c r="X53" s="106">
        <f>SUM(L53:W53)</f>
        <v>5313000</v>
      </c>
      <c r="Z53" s="40"/>
    </row>
    <row r="54" spans="1:26" x14ac:dyDescent="0.2">
      <c r="A54" s="41">
        <f t="shared" ref="A54:B54" si="71">+A53</f>
        <v>2024007</v>
      </c>
      <c r="B54" s="42"/>
      <c r="C54" s="425"/>
      <c r="D54" s="428"/>
      <c r="E54" s="428"/>
      <c r="F54" s="464"/>
      <c r="G54" s="428"/>
      <c r="H54" s="431"/>
      <c r="I54" s="434"/>
      <c r="J54" s="437"/>
      <c r="K54" s="43" t="s">
        <v>38</v>
      </c>
      <c r="L54" s="210">
        <v>450000</v>
      </c>
      <c r="M54" s="210">
        <v>382500</v>
      </c>
      <c r="N54" s="210">
        <v>472500</v>
      </c>
      <c r="O54" s="210">
        <v>505500</v>
      </c>
      <c r="P54" s="210">
        <v>450000</v>
      </c>
      <c r="Q54" s="160">
        <v>432000</v>
      </c>
      <c r="R54" s="210">
        <v>499500</v>
      </c>
      <c r="S54" s="210">
        <v>414000</v>
      </c>
      <c r="T54" s="210">
        <v>456000</v>
      </c>
      <c r="U54" s="160">
        <v>405000</v>
      </c>
      <c r="V54" s="160">
        <v>414000</v>
      </c>
      <c r="W54" s="82">
        <f t="shared" ref="W54" si="72">2880*150</f>
        <v>432000</v>
      </c>
      <c r="X54" s="94">
        <f>SUM(L54:W54)</f>
        <v>5313000</v>
      </c>
      <c r="Y54" s="46"/>
      <c r="Z54" s="40"/>
    </row>
    <row r="55" spans="1:26" x14ac:dyDescent="0.2">
      <c r="A55" s="41">
        <f t="shared" ref="A55:B55" si="73">+A54</f>
        <v>2024007</v>
      </c>
      <c r="B55" s="42"/>
      <c r="C55" s="425"/>
      <c r="D55" s="428"/>
      <c r="E55" s="428"/>
      <c r="F55" s="464"/>
      <c r="G55" s="428"/>
      <c r="H55" s="431"/>
      <c r="I55" s="434"/>
      <c r="J55" s="437"/>
      <c r="K55" s="43" t="s">
        <v>34</v>
      </c>
      <c r="L55" s="212"/>
      <c r="M55" s="212"/>
      <c r="N55" s="212"/>
      <c r="O55" s="212"/>
      <c r="P55" s="212"/>
      <c r="Q55" s="162"/>
      <c r="R55" s="212"/>
      <c r="S55" s="212"/>
      <c r="T55" s="212"/>
      <c r="U55" s="162"/>
      <c r="V55" s="162"/>
      <c r="W55" s="97"/>
      <c r="X55" s="94">
        <v>0</v>
      </c>
      <c r="Y55" s="46"/>
      <c r="Z55" s="40"/>
    </row>
    <row r="56" spans="1:26" x14ac:dyDescent="0.2">
      <c r="A56" s="41">
        <f t="shared" ref="A56:B56" si="74">+A55</f>
        <v>2024007</v>
      </c>
      <c r="B56" s="42"/>
      <c r="C56" s="425"/>
      <c r="D56" s="428"/>
      <c r="E56" s="428"/>
      <c r="F56" s="464"/>
      <c r="G56" s="428"/>
      <c r="H56" s="431"/>
      <c r="I56" s="434"/>
      <c r="J56" s="437"/>
      <c r="K56" s="49" t="s">
        <v>24</v>
      </c>
      <c r="L56" s="288">
        <f t="shared" ref="L56:N56" si="75">SUM(L57:L63)</f>
        <v>298565</v>
      </c>
      <c r="M56" s="288">
        <f t="shared" si="75"/>
        <v>298161</v>
      </c>
      <c r="N56" s="288">
        <f t="shared" si="75"/>
        <v>300950</v>
      </c>
      <c r="O56" s="288">
        <f t="shared" ref="O56:Q56" si="76">SUM(O57:O63)</f>
        <v>300486</v>
      </c>
      <c r="P56" s="288">
        <f t="shared" si="76"/>
        <v>300486</v>
      </c>
      <c r="Q56" s="377">
        <f t="shared" si="76"/>
        <v>303670</v>
      </c>
      <c r="R56" s="288">
        <f>SUM(R57:R63)</f>
        <v>303266</v>
      </c>
      <c r="S56" s="288">
        <f t="shared" ref="S56:V56" si="77">SUM(S57:S63)</f>
        <v>303266</v>
      </c>
      <c r="T56" s="288">
        <f t="shared" si="77"/>
        <v>303670</v>
      </c>
      <c r="U56" s="377">
        <f t="shared" si="77"/>
        <v>303266</v>
      </c>
      <c r="V56" s="377">
        <f t="shared" si="77"/>
        <v>304257</v>
      </c>
      <c r="W56" s="113">
        <f>SUM(W57:W63)</f>
        <v>310687</v>
      </c>
      <c r="X56" s="103">
        <f>SUM(L56:W56)</f>
        <v>3630730</v>
      </c>
      <c r="Y56" s="46"/>
      <c r="Z56" s="40"/>
    </row>
    <row r="57" spans="1:26" x14ac:dyDescent="0.2">
      <c r="A57" s="41">
        <f t="shared" ref="A57:B57" si="78">+A56</f>
        <v>2024007</v>
      </c>
      <c r="B57" s="42"/>
      <c r="C57" s="425"/>
      <c r="D57" s="428"/>
      <c r="E57" s="428"/>
      <c r="F57" s="464"/>
      <c r="G57" s="428"/>
      <c r="H57" s="431"/>
      <c r="I57" s="434"/>
      <c r="J57" s="437"/>
      <c r="K57" s="53" t="s">
        <v>25</v>
      </c>
      <c r="L57" s="289">
        <v>245400</v>
      </c>
      <c r="M57" s="289">
        <v>245000</v>
      </c>
      <c r="N57" s="289">
        <v>245000</v>
      </c>
      <c r="O57" s="289">
        <v>245000</v>
      </c>
      <c r="P57" s="289">
        <v>245000</v>
      </c>
      <c r="Q57" s="378">
        <v>245400</v>
      </c>
      <c r="R57" s="289">
        <v>245000</v>
      </c>
      <c r="S57" s="289">
        <v>245000</v>
      </c>
      <c r="T57" s="289">
        <v>245400</v>
      </c>
      <c r="U57" s="378">
        <v>245000</v>
      </c>
      <c r="V57" s="378">
        <v>245800</v>
      </c>
      <c r="W57" s="115">
        <v>237975</v>
      </c>
      <c r="X57" s="94">
        <f t="shared" ref="X57:X63" si="79">SUM(L57:W57)</f>
        <v>2934975</v>
      </c>
      <c r="Y57" s="46"/>
      <c r="Z57" s="40"/>
    </row>
    <row r="58" spans="1:26" x14ac:dyDescent="0.2">
      <c r="A58" s="41">
        <f t="shared" ref="A58:B58" si="80">+A57</f>
        <v>2024007</v>
      </c>
      <c r="B58" s="42"/>
      <c r="C58" s="425"/>
      <c r="D58" s="428"/>
      <c r="E58" s="428"/>
      <c r="F58" s="464"/>
      <c r="G58" s="428"/>
      <c r="H58" s="431"/>
      <c r="I58" s="434"/>
      <c r="J58" s="437"/>
      <c r="K58" s="53" t="s">
        <v>30</v>
      </c>
      <c r="L58" s="289"/>
      <c r="M58" s="289"/>
      <c r="N58" s="289"/>
      <c r="O58" s="289"/>
      <c r="P58" s="289"/>
      <c r="Q58" s="378"/>
      <c r="R58" s="289"/>
      <c r="S58" s="289"/>
      <c r="T58" s="289"/>
      <c r="U58" s="378"/>
      <c r="V58" s="378"/>
      <c r="W58" s="117"/>
      <c r="X58" s="94">
        <f t="shared" si="79"/>
        <v>0</v>
      </c>
      <c r="Y58" s="46"/>
      <c r="Z58" s="40"/>
    </row>
    <row r="59" spans="1:26" x14ac:dyDescent="0.2">
      <c r="A59" s="41">
        <f t="shared" ref="A59:B59" si="81">+A58</f>
        <v>2024007</v>
      </c>
      <c r="B59" s="42"/>
      <c r="C59" s="425"/>
      <c r="D59" s="428"/>
      <c r="E59" s="428"/>
      <c r="F59" s="464"/>
      <c r="G59" s="428"/>
      <c r="H59" s="431"/>
      <c r="I59" s="434"/>
      <c r="J59" s="437"/>
      <c r="K59" s="53" t="s">
        <v>33</v>
      </c>
      <c r="L59" s="289">
        <v>17050</v>
      </c>
      <c r="M59" s="289">
        <v>17050</v>
      </c>
      <c r="N59" s="289">
        <v>19810</v>
      </c>
      <c r="O59" s="289">
        <v>19350</v>
      </c>
      <c r="P59" s="289">
        <v>19350</v>
      </c>
      <c r="Q59" s="378">
        <v>19350</v>
      </c>
      <c r="R59" s="289">
        <v>19350</v>
      </c>
      <c r="S59" s="289">
        <v>19350</v>
      </c>
      <c r="T59" s="289">
        <v>19350</v>
      </c>
      <c r="U59" s="378">
        <v>19350</v>
      </c>
      <c r="V59" s="378">
        <v>19350</v>
      </c>
      <c r="W59" s="117">
        <v>37626</v>
      </c>
      <c r="X59" s="94">
        <f t="shared" si="79"/>
        <v>246336</v>
      </c>
      <c r="Y59" s="46"/>
      <c r="Z59" s="40"/>
    </row>
    <row r="60" spans="1:26" x14ac:dyDescent="0.2">
      <c r="A60" s="41">
        <f t="shared" ref="A60:B60" si="82">+A59</f>
        <v>2024007</v>
      </c>
      <c r="B60" s="42"/>
      <c r="C60" s="425"/>
      <c r="D60" s="428"/>
      <c r="E60" s="428"/>
      <c r="F60" s="464"/>
      <c r="G60" s="428"/>
      <c r="H60" s="431"/>
      <c r="I60" s="434"/>
      <c r="J60" s="437"/>
      <c r="K60" s="71" t="s">
        <v>26</v>
      </c>
      <c r="L60" s="290">
        <v>11400</v>
      </c>
      <c r="M60" s="290">
        <v>11400</v>
      </c>
      <c r="N60" s="290">
        <v>11400</v>
      </c>
      <c r="O60" s="290">
        <v>11400</v>
      </c>
      <c r="P60" s="290">
        <v>11400</v>
      </c>
      <c r="Q60" s="379">
        <v>12350</v>
      </c>
      <c r="R60" s="290">
        <v>12350</v>
      </c>
      <c r="S60" s="290">
        <v>12350</v>
      </c>
      <c r="T60" s="290">
        <v>12350</v>
      </c>
      <c r="U60" s="379">
        <v>12350</v>
      </c>
      <c r="V60" s="379">
        <v>12350</v>
      </c>
      <c r="W60" s="118">
        <v>10200</v>
      </c>
      <c r="X60" s="94">
        <f t="shared" si="79"/>
        <v>141300</v>
      </c>
      <c r="Y60" s="46"/>
      <c r="Z60" s="40"/>
    </row>
    <row r="61" spans="1:26" x14ac:dyDescent="0.2">
      <c r="A61" s="41">
        <f t="shared" ref="A61:B61" si="83">+A60</f>
        <v>2024007</v>
      </c>
      <c r="B61" s="42"/>
      <c r="C61" s="425"/>
      <c r="D61" s="428"/>
      <c r="E61" s="428"/>
      <c r="F61" s="464"/>
      <c r="G61" s="428"/>
      <c r="H61" s="431"/>
      <c r="I61" s="434"/>
      <c r="J61" s="437"/>
      <c r="K61" s="71" t="s">
        <v>27</v>
      </c>
      <c r="L61" s="290">
        <v>21960</v>
      </c>
      <c r="M61" s="290">
        <v>21960</v>
      </c>
      <c r="N61" s="290">
        <v>21960</v>
      </c>
      <c r="O61" s="290">
        <v>21960</v>
      </c>
      <c r="P61" s="290">
        <v>21960</v>
      </c>
      <c r="Q61" s="379">
        <v>23790</v>
      </c>
      <c r="R61" s="290">
        <v>23790</v>
      </c>
      <c r="S61" s="290">
        <v>23790</v>
      </c>
      <c r="T61" s="290">
        <v>23790</v>
      </c>
      <c r="U61" s="379">
        <v>23790</v>
      </c>
      <c r="V61" s="379">
        <v>23790</v>
      </c>
      <c r="W61" s="118">
        <v>21960</v>
      </c>
      <c r="X61" s="94">
        <f t="shared" si="79"/>
        <v>274500</v>
      </c>
      <c r="Y61" s="46"/>
      <c r="Z61" s="40"/>
    </row>
    <row r="62" spans="1:26" x14ac:dyDescent="0.2">
      <c r="A62" s="41">
        <f t="shared" ref="A62:B62" si="84">+A61</f>
        <v>2024007</v>
      </c>
      <c r="B62" s="42"/>
      <c r="C62" s="425"/>
      <c r="D62" s="428"/>
      <c r="E62" s="428"/>
      <c r="F62" s="464"/>
      <c r="G62" s="428"/>
      <c r="H62" s="431"/>
      <c r="I62" s="434"/>
      <c r="J62" s="437"/>
      <c r="K62" s="71" t="s">
        <v>28</v>
      </c>
      <c r="L62" s="290">
        <v>1312</v>
      </c>
      <c r="M62" s="290">
        <v>1310</v>
      </c>
      <c r="N62" s="290">
        <v>1324</v>
      </c>
      <c r="O62" s="290">
        <v>1322</v>
      </c>
      <c r="P62" s="290">
        <v>1322</v>
      </c>
      <c r="Q62" s="379">
        <v>1324</v>
      </c>
      <c r="R62" s="290">
        <v>1322</v>
      </c>
      <c r="S62" s="290">
        <v>1322</v>
      </c>
      <c r="T62" s="290">
        <v>1324</v>
      </c>
      <c r="U62" s="379">
        <v>1322</v>
      </c>
      <c r="V62" s="379">
        <v>1413</v>
      </c>
      <c r="W62" s="118">
        <v>1182</v>
      </c>
      <c r="X62" s="94">
        <f t="shared" si="79"/>
        <v>15799</v>
      </c>
      <c r="Y62" s="46"/>
      <c r="Z62" s="40"/>
    </row>
    <row r="63" spans="1:26" x14ac:dyDescent="0.2">
      <c r="A63" s="41">
        <f t="shared" ref="A63:B63" si="85">+A62</f>
        <v>2024007</v>
      </c>
      <c r="B63" s="42"/>
      <c r="C63" s="425"/>
      <c r="D63" s="428"/>
      <c r="E63" s="428"/>
      <c r="F63" s="464"/>
      <c r="G63" s="428"/>
      <c r="H63" s="431"/>
      <c r="I63" s="434"/>
      <c r="J63" s="437"/>
      <c r="K63" s="72" t="s">
        <v>29</v>
      </c>
      <c r="L63" s="290">
        <v>1443</v>
      </c>
      <c r="M63" s="290">
        <v>1441</v>
      </c>
      <c r="N63" s="290">
        <v>1456</v>
      </c>
      <c r="O63" s="290">
        <v>1454</v>
      </c>
      <c r="P63" s="290">
        <v>1454</v>
      </c>
      <c r="Q63" s="379">
        <v>1456</v>
      </c>
      <c r="R63" s="290">
        <v>1454</v>
      </c>
      <c r="S63" s="290">
        <v>1454</v>
      </c>
      <c r="T63" s="290">
        <v>1456</v>
      </c>
      <c r="U63" s="379">
        <v>1454</v>
      </c>
      <c r="V63" s="379">
        <v>1554</v>
      </c>
      <c r="W63" s="118">
        <v>1744</v>
      </c>
      <c r="X63" s="104">
        <f t="shared" si="79"/>
        <v>17820</v>
      </c>
      <c r="Y63" s="46"/>
      <c r="Z63" s="40"/>
    </row>
    <row r="64" spans="1:26" x14ac:dyDescent="0.2">
      <c r="A64" s="41">
        <f t="shared" ref="A64:B64" si="86">+A63</f>
        <v>2024007</v>
      </c>
      <c r="B64" s="42"/>
      <c r="C64" s="426"/>
      <c r="D64" s="429"/>
      <c r="E64" s="429"/>
      <c r="F64" s="465"/>
      <c r="G64" s="429"/>
      <c r="H64" s="432"/>
      <c r="I64" s="435"/>
      <c r="J64" s="438"/>
      <c r="K64" s="73" t="s">
        <v>39</v>
      </c>
      <c r="L64" s="294">
        <f t="shared" ref="L64:Q64" si="87">L53-L56</f>
        <v>151435</v>
      </c>
      <c r="M64" s="295">
        <f t="shared" si="87"/>
        <v>84339</v>
      </c>
      <c r="N64" s="295">
        <f t="shared" si="87"/>
        <v>171550</v>
      </c>
      <c r="O64" s="258">
        <f t="shared" si="87"/>
        <v>205014</v>
      </c>
      <c r="P64" s="258">
        <f t="shared" si="87"/>
        <v>149514</v>
      </c>
      <c r="Q64" s="170">
        <f t="shared" si="87"/>
        <v>128330</v>
      </c>
      <c r="R64" s="258">
        <f>R53-R56</f>
        <v>196234</v>
      </c>
      <c r="S64" s="258">
        <f t="shared" ref="S64:V64" si="88">S53-S56</f>
        <v>110734</v>
      </c>
      <c r="T64" s="258">
        <f t="shared" si="88"/>
        <v>152330</v>
      </c>
      <c r="U64" s="170">
        <f t="shared" si="88"/>
        <v>101734</v>
      </c>
      <c r="V64" s="170">
        <f t="shared" si="88"/>
        <v>109743</v>
      </c>
      <c r="W64" s="114">
        <f>W53-W56</f>
        <v>121313</v>
      </c>
      <c r="X64" s="105">
        <f>X53-X56</f>
        <v>1682270</v>
      </c>
      <c r="Y64" s="46"/>
      <c r="Z64" s="40"/>
    </row>
    <row r="65" spans="1:26" ht="12.75" customHeight="1" x14ac:dyDescent="0.2">
      <c r="A65" s="7">
        <v>2024046</v>
      </c>
      <c r="B65" s="2"/>
      <c r="C65" s="424">
        <f t="shared" ref="C65" si="89">C53+1</f>
        <v>6</v>
      </c>
      <c r="D65" s="427" t="s">
        <v>66</v>
      </c>
      <c r="E65" s="427"/>
      <c r="F65" s="463"/>
      <c r="G65" s="427"/>
      <c r="H65" s="430"/>
      <c r="I65" s="433"/>
      <c r="J65" s="436" t="s">
        <v>36</v>
      </c>
      <c r="K65" s="93" t="s">
        <v>37</v>
      </c>
      <c r="L65" s="217">
        <f t="shared" ref="L65:M65" si="90">L66+L67</f>
        <v>550000</v>
      </c>
      <c r="M65" s="217">
        <f t="shared" si="90"/>
        <v>550000</v>
      </c>
      <c r="N65" s="217">
        <f t="shared" ref="N65:T65" si="91">N66+N67</f>
        <v>550000</v>
      </c>
      <c r="O65" s="217">
        <f t="shared" si="91"/>
        <v>550000</v>
      </c>
      <c r="P65" s="217">
        <f t="shared" si="91"/>
        <v>550000</v>
      </c>
      <c r="Q65" s="161">
        <f t="shared" si="91"/>
        <v>550000</v>
      </c>
      <c r="R65" s="217">
        <f t="shared" si="91"/>
        <v>550000</v>
      </c>
      <c r="S65" s="217">
        <f t="shared" si="91"/>
        <v>550000</v>
      </c>
      <c r="T65" s="217">
        <f t="shared" si="91"/>
        <v>550000</v>
      </c>
      <c r="U65" s="161">
        <f t="shared" ref="U65:V65" si="92">U66+U67</f>
        <v>550000</v>
      </c>
      <c r="V65" s="161">
        <f t="shared" si="92"/>
        <v>550000</v>
      </c>
      <c r="W65" s="100">
        <f>W66+W67</f>
        <v>550000</v>
      </c>
      <c r="X65" s="106">
        <f>SUM(L65:W65)</f>
        <v>6600000</v>
      </c>
      <c r="Z65" s="40"/>
    </row>
    <row r="66" spans="1:26" x14ac:dyDescent="0.2">
      <c r="A66" s="41">
        <f t="shared" ref="A66:B66" si="93">+A65</f>
        <v>2024046</v>
      </c>
      <c r="B66" s="42"/>
      <c r="C66" s="425"/>
      <c r="D66" s="428"/>
      <c r="E66" s="428"/>
      <c r="F66" s="464"/>
      <c r="G66" s="428"/>
      <c r="H66" s="431"/>
      <c r="I66" s="434"/>
      <c r="J66" s="437"/>
      <c r="K66" s="43" t="s">
        <v>38</v>
      </c>
      <c r="L66" s="210">
        <v>550000</v>
      </c>
      <c r="M66" s="210">
        <v>550000</v>
      </c>
      <c r="N66" s="210">
        <v>550000</v>
      </c>
      <c r="O66" s="210">
        <v>550000</v>
      </c>
      <c r="P66" s="210">
        <v>550000</v>
      </c>
      <c r="Q66" s="160">
        <v>550000</v>
      </c>
      <c r="R66" s="210">
        <v>550000</v>
      </c>
      <c r="S66" s="210">
        <v>550000</v>
      </c>
      <c r="T66" s="210">
        <v>550000</v>
      </c>
      <c r="U66" s="160">
        <v>550000</v>
      </c>
      <c r="V66" s="160">
        <v>550000</v>
      </c>
      <c r="W66" s="82">
        <v>550000</v>
      </c>
      <c r="X66" s="94">
        <f>SUM(L66:W66)</f>
        <v>6600000</v>
      </c>
      <c r="Y66" s="46"/>
      <c r="Z66" s="40"/>
    </row>
    <row r="67" spans="1:26" x14ac:dyDescent="0.2">
      <c r="A67" s="41">
        <f t="shared" ref="A67:B67" si="94">+A66</f>
        <v>2024046</v>
      </c>
      <c r="B67" s="42"/>
      <c r="C67" s="425"/>
      <c r="D67" s="428"/>
      <c r="E67" s="428"/>
      <c r="F67" s="464"/>
      <c r="G67" s="428"/>
      <c r="H67" s="431"/>
      <c r="I67" s="434"/>
      <c r="J67" s="437"/>
      <c r="K67" s="43" t="s">
        <v>34</v>
      </c>
      <c r="L67" s="211"/>
      <c r="M67" s="212"/>
      <c r="N67" s="212"/>
      <c r="O67" s="212"/>
      <c r="P67" s="212"/>
      <c r="Q67" s="162"/>
      <c r="R67" s="212"/>
      <c r="S67" s="212"/>
      <c r="T67" s="212"/>
      <c r="U67" s="162"/>
      <c r="V67" s="162"/>
      <c r="W67" s="97"/>
      <c r="X67" s="94">
        <v>0</v>
      </c>
      <c r="Y67" s="46"/>
      <c r="Z67" s="40"/>
    </row>
    <row r="68" spans="1:26" x14ac:dyDescent="0.2">
      <c r="A68" s="41">
        <f t="shared" ref="A68:B68" si="95">+A67</f>
        <v>2024046</v>
      </c>
      <c r="B68" s="42"/>
      <c r="C68" s="425"/>
      <c r="D68" s="428"/>
      <c r="E68" s="428"/>
      <c r="F68" s="464"/>
      <c r="G68" s="428"/>
      <c r="H68" s="431"/>
      <c r="I68" s="434"/>
      <c r="J68" s="437"/>
      <c r="K68" s="49" t="s">
        <v>24</v>
      </c>
      <c r="L68" s="213">
        <f t="shared" ref="L68:Q68" si="96">SUM(L69:L75)</f>
        <v>390830</v>
      </c>
      <c r="M68" s="214">
        <f t="shared" si="96"/>
        <v>390830</v>
      </c>
      <c r="N68" s="214">
        <f t="shared" si="96"/>
        <v>390830</v>
      </c>
      <c r="O68" s="214">
        <f t="shared" si="96"/>
        <v>393890</v>
      </c>
      <c r="P68" s="214">
        <f t="shared" si="96"/>
        <v>393890</v>
      </c>
      <c r="Q68" s="163">
        <f t="shared" si="96"/>
        <v>393890</v>
      </c>
      <c r="R68" s="214">
        <f>SUM(R69:R75)</f>
        <v>393890</v>
      </c>
      <c r="S68" s="214">
        <f t="shared" ref="S68:V68" si="97">SUM(S69:S75)</f>
        <v>393890</v>
      </c>
      <c r="T68" s="214">
        <f t="shared" si="97"/>
        <v>393890</v>
      </c>
      <c r="U68" s="163">
        <f t="shared" si="97"/>
        <v>393890</v>
      </c>
      <c r="V68" s="163">
        <f t="shared" si="97"/>
        <v>394073</v>
      </c>
      <c r="W68" s="98">
        <f>SUM(W69:W75)</f>
        <v>390320</v>
      </c>
      <c r="X68" s="103">
        <f>SUM(L68:W68)</f>
        <v>4714113</v>
      </c>
      <c r="Y68" s="46"/>
      <c r="Z68" s="40"/>
    </row>
    <row r="69" spans="1:26" x14ac:dyDescent="0.2">
      <c r="A69" s="41">
        <f t="shared" ref="A69:B69" si="98">+A68</f>
        <v>2024046</v>
      </c>
      <c r="B69" s="42"/>
      <c r="C69" s="425"/>
      <c r="D69" s="428"/>
      <c r="E69" s="428"/>
      <c r="F69" s="464"/>
      <c r="G69" s="428"/>
      <c r="H69" s="431"/>
      <c r="I69" s="434"/>
      <c r="J69" s="437"/>
      <c r="K69" s="53" t="s">
        <v>25</v>
      </c>
      <c r="L69" s="293">
        <v>320000</v>
      </c>
      <c r="M69" s="293">
        <v>320000</v>
      </c>
      <c r="N69" s="293">
        <v>320000</v>
      </c>
      <c r="O69" s="293">
        <v>320000</v>
      </c>
      <c r="P69" s="293">
        <v>320000</v>
      </c>
      <c r="Q69" s="382">
        <v>320000</v>
      </c>
      <c r="R69" s="293">
        <v>320000</v>
      </c>
      <c r="S69" s="293">
        <v>320000</v>
      </c>
      <c r="T69" s="293">
        <v>320000</v>
      </c>
      <c r="U69" s="382">
        <v>320000</v>
      </c>
      <c r="V69" s="382">
        <v>320000</v>
      </c>
      <c r="W69" s="70">
        <v>320000</v>
      </c>
      <c r="X69" s="94">
        <f t="shared" ref="X69:X75" si="99">SUM(L69:W69)</f>
        <v>3840000</v>
      </c>
      <c r="Y69" s="46"/>
      <c r="Z69" s="40"/>
    </row>
    <row r="70" spans="1:26" x14ac:dyDescent="0.2">
      <c r="A70" s="41">
        <f t="shared" ref="A70:B70" si="100">+A69</f>
        <v>2024046</v>
      </c>
      <c r="B70" s="42"/>
      <c r="C70" s="425"/>
      <c r="D70" s="428"/>
      <c r="E70" s="428"/>
      <c r="F70" s="464"/>
      <c r="G70" s="428"/>
      <c r="H70" s="431"/>
      <c r="I70" s="434"/>
      <c r="J70" s="437"/>
      <c r="K70" s="53" t="s">
        <v>30</v>
      </c>
      <c r="L70" s="293"/>
      <c r="M70" s="293"/>
      <c r="N70" s="293"/>
      <c r="O70" s="293"/>
      <c r="P70" s="293"/>
      <c r="Q70" s="382"/>
      <c r="R70" s="293"/>
      <c r="S70" s="293"/>
      <c r="T70" s="293"/>
      <c r="U70" s="382"/>
      <c r="V70" s="382"/>
      <c r="W70" s="70"/>
      <c r="X70" s="94">
        <f t="shared" si="99"/>
        <v>0</v>
      </c>
      <c r="Y70" s="46"/>
      <c r="Z70" s="40"/>
    </row>
    <row r="71" spans="1:26" x14ac:dyDescent="0.2">
      <c r="A71" s="41">
        <f t="shared" ref="A71:B71" si="101">+A70</f>
        <v>2024046</v>
      </c>
      <c r="B71" s="42"/>
      <c r="C71" s="425"/>
      <c r="D71" s="428"/>
      <c r="E71" s="428"/>
      <c r="F71" s="464"/>
      <c r="G71" s="428"/>
      <c r="H71" s="431"/>
      <c r="I71" s="434"/>
      <c r="J71" s="437"/>
      <c r="K71" s="53" t="s">
        <v>33</v>
      </c>
      <c r="L71" s="293">
        <v>20000</v>
      </c>
      <c r="M71" s="293">
        <v>20000</v>
      </c>
      <c r="N71" s="293">
        <v>20000</v>
      </c>
      <c r="O71" s="293">
        <v>20000</v>
      </c>
      <c r="P71" s="293">
        <v>20000</v>
      </c>
      <c r="Q71" s="382">
        <v>20000</v>
      </c>
      <c r="R71" s="293">
        <v>20000</v>
      </c>
      <c r="S71" s="293">
        <v>20000</v>
      </c>
      <c r="T71" s="293">
        <v>20000</v>
      </c>
      <c r="U71" s="382">
        <v>20000</v>
      </c>
      <c r="V71" s="382">
        <v>20000</v>
      </c>
      <c r="W71" s="70">
        <v>20000</v>
      </c>
      <c r="X71" s="94">
        <f t="shared" si="99"/>
        <v>240000</v>
      </c>
      <c r="Y71" s="46"/>
      <c r="Z71" s="40"/>
    </row>
    <row r="72" spans="1:26" x14ac:dyDescent="0.2">
      <c r="A72" s="41">
        <f t="shared" ref="A72:B72" si="102">+A71</f>
        <v>2024046</v>
      </c>
      <c r="B72" s="42"/>
      <c r="C72" s="425"/>
      <c r="D72" s="428"/>
      <c r="E72" s="428"/>
      <c r="F72" s="464"/>
      <c r="G72" s="428"/>
      <c r="H72" s="431"/>
      <c r="I72" s="434"/>
      <c r="J72" s="437"/>
      <c r="K72" s="71" t="s">
        <v>26</v>
      </c>
      <c r="L72" s="210">
        <v>16150</v>
      </c>
      <c r="M72" s="210">
        <v>16150</v>
      </c>
      <c r="N72" s="210">
        <v>16150</v>
      </c>
      <c r="O72" s="210">
        <v>19210</v>
      </c>
      <c r="P72" s="210">
        <v>19210</v>
      </c>
      <c r="Q72" s="160">
        <v>19210</v>
      </c>
      <c r="R72" s="210">
        <v>19210</v>
      </c>
      <c r="S72" s="210">
        <v>19210</v>
      </c>
      <c r="T72" s="210">
        <v>19210</v>
      </c>
      <c r="U72" s="160">
        <v>19210</v>
      </c>
      <c r="V72" s="160">
        <v>19210</v>
      </c>
      <c r="W72" s="44">
        <v>16150</v>
      </c>
      <c r="X72" s="94">
        <f t="shared" si="99"/>
        <v>218280</v>
      </c>
      <c r="Y72" s="46"/>
      <c r="Z72" s="40"/>
    </row>
    <row r="73" spans="1:26" x14ac:dyDescent="0.2">
      <c r="A73" s="41">
        <f t="shared" ref="A73:B73" si="103">+A72</f>
        <v>2024046</v>
      </c>
      <c r="B73" s="42"/>
      <c r="C73" s="425"/>
      <c r="D73" s="428"/>
      <c r="E73" s="428"/>
      <c r="F73" s="464"/>
      <c r="G73" s="428"/>
      <c r="H73" s="431"/>
      <c r="I73" s="434"/>
      <c r="J73" s="437"/>
      <c r="K73" s="71" t="s">
        <v>27</v>
      </c>
      <c r="L73" s="210">
        <v>31110</v>
      </c>
      <c r="M73" s="210">
        <v>31110</v>
      </c>
      <c r="N73" s="210">
        <v>31110</v>
      </c>
      <c r="O73" s="210">
        <v>31110</v>
      </c>
      <c r="P73" s="210">
        <v>31110</v>
      </c>
      <c r="Q73" s="160">
        <v>31110</v>
      </c>
      <c r="R73" s="210">
        <v>31110</v>
      </c>
      <c r="S73" s="210">
        <v>31110</v>
      </c>
      <c r="T73" s="210">
        <v>31110</v>
      </c>
      <c r="U73" s="160">
        <v>31110</v>
      </c>
      <c r="V73" s="160">
        <v>31110</v>
      </c>
      <c r="W73" s="44">
        <v>31110</v>
      </c>
      <c r="X73" s="94">
        <f t="shared" si="99"/>
        <v>373320</v>
      </c>
      <c r="Y73" s="46"/>
      <c r="Z73" s="40"/>
    </row>
    <row r="74" spans="1:26" x14ac:dyDescent="0.2">
      <c r="A74" s="41">
        <f t="shared" ref="A74:B74" si="104">+A73</f>
        <v>2024046</v>
      </c>
      <c r="B74" s="42"/>
      <c r="C74" s="425"/>
      <c r="D74" s="428"/>
      <c r="E74" s="428"/>
      <c r="F74" s="464"/>
      <c r="G74" s="428"/>
      <c r="H74" s="431"/>
      <c r="I74" s="434"/>
      <c r="J74" s="437"/>
      <c r="K74" s="71" t="s">
        <v>28</v>
      </c>
      <c r="L74" s="210">
        <v>1700</v>
      </c>
      <c r="M74" s="210">
        <v>1700</v>
      </c>
      <c r="N74" s="210">
        <v>1700</v>
      </c>
      <c r="O74" s="210">
        <v>1700</v>
      </c>
      <c r="P74" s="210">
        <v>1700</v>
      </c>
      <c r="Q74" s="160">
        <v>1700</v>
      </c>
      <c r="R74" s="210">
        <v>1700</v>
      </c>
      <c r="S74" s="210">
        <v>1700</v>
      </c>
      <c r="T74" s="210">
        <v>1700</v>
      </c>
      <c r="U74" s="160">
        <v>1700</v>
      </c>
      <c r="V74" s="160">
        <v>1787</v>
      </c>
      <c r="W74" s="44">
        <v>1020</v>
      </c>
      <c r="X74" s="94">
        <f t="shared" si="99"/>
        <v>19807</v>
      </c>
      <c r="Y74" s="46"/>
      <c r="Z74" s="40"/>
    </row>
    <row r="75" spans="1:26" x14ac:dyDescent="0.2">
      <c r="A75" s="41">
        <f t="shared" ref="A75:B75" si="105">+A74</f>
        <v>2024046</v>
      </c>
      <c r="B75" s="42"/>
      <c r="C75" s="425"/>
      <c r="D75" s="428"/>
      <c r="E75" s="428"/>
      <c r="F75" s="464"/>
      <c r="G75" s="428"/>
      <c r="H75" s="431"/>
      <c r="I75" s="434"/>
      <c r="J75" s="437"/>
      <c r="K75" s="72" t="s">
        <v>29</v>
      </c>
      <c r="L75" s="216">
        <v>1870</v>
      </c>
      <c r="M75" s="216">
        <v>1870</v>
      </c>
      <c r="N75" s="216">
        <v>1870</v>
      </c>
      <c r="O75" s="216">
        <v>1870</v>
      </c>
      <c r="P75" s="216">
        <v>1870</v>
      </c>
      <c r="Q75" s="164">
        <v>1870</v>
      </c>
      <c r="R75" s="216">
        <v>1870</v>
      </c>
      <c r="S75" s="216">
        <v>1870</v>
      </c>
      <c r="T75" s="216">
        <v>1870</v>
      </c>
      <c r="U75" s="164">
        <v>1870</v>
      </c>
      <c r="V75" s="164">
        <v>1966</v>
      </c>
      <c r="W75" s="81">
        <v>2040</v>
      </c>
      <c r="X75" s="104">
        <f t="shared" si="99"/>
        <v>22706</v>
      </c>
      <c r="Y75" s="46"/>
      <c r="Z75" s="40"/>
    </row>
    <row r="76" spans="1:26" x14ac:dyDescent="0.2">
      <c r="A76" s="41">
        <f t="shared" ref="A76:B76" si="106">+A75</f>
        <v>2024046</v>
      </c>
      <c r="B76" s="42"/>
      <c r="C76" s="426"/>
      <c r="D76" s="429"/>
      <c r="E76" s="429"/>
      <c r="F76" s="465"/>
      <c r="G76" s="429"/>
      <c r="H76" s="432"/>
      <c r="I76" s="435"/>
      <c r="J76" s="438"/>
      <c r="K76" s="73" t="s">
        <v>39</v>
      </c>
      <c r="L76" s="294">
        <f t="shared" ref="L76:Q76" si="107">L65-L68</f>
        <v>159170</v>
      </c>
      <c r="M76" s="295">
        <f t="shared" si="107"/>
        <v>159170</v>
      </c>
      <c r="N76" s="295">
        <f t="shared" si="107"/>
        <v>159170</v>
      </c>
      <c r="O76" s="295">
        <f t="shared" si="107"/>
        <v>156110</v>
      </c>
      <c r="P76" s="295">
        <f t="shared" si="107"/>
        <v>156110</v>
      </c>
      <c r="Q76" s="383">
        <f t="shared" si="107"/>
        <v>156110</v>
      </c>
      <c r="R76" s="295">
        <f>R65-R68</f>
        <v>156110</v>
      </c>
      <c r="S76" s="295">
        <f t="shared" ref="S76:V76" si="108">S65-S68</f>
        <v>156110</v>
      </c>
      <c r="T76" s="295">
        <f t="shared" si="108"/>
        <v>156110</v>
      </c>
      <c r="U76" s="383">
        <f t="shared" si="108"/>
        <v>156110</v>
      </c>
      <c r="V76" s="383">
        <f t="shared" si="108"/>
        <v>155927</v>
      </c>
      <c r="W76" s="99">
        <f>W65-W68</f>
        <v>159680</v>
      </c>
      <c r="X76" s="105">
        <f>X65-X68</f>
        <v>1885887</v>
      </c>
      <c r="Y76" s="46"/>
      <c r="Z76" s="40"/>
    </row>
    <row r="77" spans="1:26" ht="12.75" customHeight="1" x14ac:dyDescent="0.2">
      <c r="A77" s="18">
        <v>2025001</v>
      </c>
      <c r="C77" s="424">
        <f t="shared" ref="C77" si="109">C65+1</f>
        <v>7</v>
      </c>
      <c r="D77" s="427" t="s">
        <v>66</v>
      </c>
      <c r="E77" s="427"/>
      <c r="F77" s="476"/>
      <c r="G77" s="427"/>
      <c r="H77" s="430"/>
      <c r="I77" s="433"/>
      <c r="J77" s="436" t="s">
        <v>36</v>
      </c>
      <c r="K77" s="93" t="s">
        <v>37</v>
      </c>
      <c r="L77" s="217">
        <f t="shared" ref="L77:W77" si="110">L78+L79</f>
        <v>0</v>
      </c>
      <c r="M77" s="217">
        <f t="shared" si="110"/>
        <v>368550</v>
      </c>
      <c r="N77" s="217">
        <f t="shared" si="110"/>
        <v>496125</v>
      </c>
      <c r="O77" s="217">
        <f t="shared" si="110"/>
        <v>526050</v>
      </c>
      <c r="P77" s="217">
        <f t="shared" si="110"/>
        <v>434700</v>
      </c>
      <c r="Q77" s="161">
        <f t="shared" si="110"/>
        <v>456750</v>
      </c>
      <c r="R77" s="217">
        <f t="shared" si="110"/>
        <v>526050</v>
      </c>
      <c r="S77" s="217">
        <f t="shared" si="110"/>
        <v>474075</v>
      </c>
      <c r="T77" s="217">
        <f t="shared" si="110"/>
        <v>453600</v>
      </c>
      <c r="U77" s="161">
        <f t="shared" si="110"/>
        <v>425250</v>
      </c>
      <c r="V77" s="161">
        <f t="shared" si="110"/>
        <v>428400</v>
      </c>
      <c r="W77" s="100">
        <f t="shared" si="110"/>
        <v>500000</v>
      </c>
      <c r="X77" s="106">
        <f>SUM(L77:W77)</f>
        <v>5089550</v>
      </c>
      <c r="Z77" s="40"/>
    </row>
    <row r="78" spans="1:26" x14ac:dyDescent="0.2">
      <c r="A78" s="41">
        <f t="shared" ref="A78:B78" si="111">+A77</f>
        <v>2025001</v>
      </c>
      <c r="B78" s="42"/>
      <c r="C78" s="425"/>
      <c r="D78" s="428"/>
      <c r="E78" s="428"/>
      <c r="F78" s="477"/>
      <c r="G78" s="428"/>
      <c r="H78" s="431"/>
      <c r="I78" s="434"/>
      <c r="J78" s="437"/>
      <c r="K78" s="43" t="s">
        <v>38</v>
      </c>
      <c r="L78" s="210"/>
      <c r="M78" s="210">
        <v>368550</v>
      </c>
      <c r="N78" s="210">
        <v>496125</v>
      </c>
      <c r="O78" s="210">
        <v>526050</v>
      </c>
      <c r="P78" s="210">
        <v>434700</v>
      </c>
      <c r="Q78" s="160">
        <v>456750</v>
      </c>
      <c r="R78" s="210">
        <v>526050</v>
      </c>
      <c r="S78" s="210">
        <v>474075</v>
      </c>
      <c r="T78" s="210">
        <v>453600</v>
      </c>
      <c r="U78" s="160">
        <v>425250</v>
      </c>
      <c r="V78" s="160">
        <v>428400</v>
      </c>
      <c r="W78" s="44">
        <v>500000</v>
      </c>
      <c r="X78" s="94">
        <f>SUM(L78:W78)</f>
        <v>5089550</v>
      </c>
      <c r="Y78" s="46"/>
      <c r="Z78" s="40"/>
    </row>
    <row r="79" spans="1:26" x14ac:dyDescent="0.2">
      <c r="A79" s="41">
        <f t="shared" ref="A79:B79" si="112">+A78</f>
        <v>2025001</v>
      </c>
      <c r="B79" s="42"/>
      <c r="C79" s="425"/>
      <c r="D79" s="428"/>
      <c r="E79" s="428"/>
      <c r="F79" s="477"/>
      <c r="G79" s="428"/>
      <c r="H79" s="431"/>
      <c r="I79" s="434"/>
      <c r="J79" s="437"/>
      <c r="K79" s="43" t="s">
        <v>34</v>
      </c>
      <c r="L79" s="211"/>
      <c r="M79" s="212"/>
      <c r="N79" s="212"/>
      <c r="O79" s="212"/>
      <c r="P79" s="212"/>
      <c r="Q79" s="162"/>
      <c r="R79" s="212"/>
      <c r="S79" s="212"/>
      <c r="T79" s="212"/>
      <c r="U79" s="162"/>
      <c r="V79" s="162"/>
      <c r="W79" s="97"/>
      <c r="X79" s="94">
        <v>0</v>
      </c>
      <c r="Y79" s="46"/>
      <c r="Z79" s="40"/>
    </row>
    <row r="80" spans="1:26" x14ac:dyDescent="0.2">
      <c r="A80" s="41">
        <f t="shared" ref="A80:B80" si="113">+A79</f>
        <v>2025001</v>
      </c>
      <c r="B80" s="42"/>
      <c r="C80" s="425"/>
      <c r="D80" s="428"/>
      <c r="E80" s="428"/>
      <c r="F80" s="477"/>
      <c r="G80" s="428"/>
      <c r="H80" s="431"/>
      <c r="I80" s="434"/>
      <c r="J80" s="437"/>
      <c r="K80" s="49" t="s">
        <v>24</v>
      </c>
      <c r="L80" s="287">
        <f t="shared" ref="L80:W80" si="114">SUM(L81:L87)</f>
        <v>0</v>
      </c>
      <c r="M80" s="288">
        <f t="shared" si="114"/>
        <v>353380</v>
      </c>
      <c r="N80" s="288">
        <f t="shared" si="114"/>
        <v>361051</v>
      </c>
      <c r="O80" s="288">
        <f t="shared" si="114"/>
        <v>360615</v>
      </c>
      <c r="P80" s="288">
        <f t="shared" si="114"/>
        <v>360615</v>
      </c>
      <c r="Q80" s="377">
        <f t="shared" si="114"/>
        <v>357655</v>
      </c>
      <c r="R80" s="288">
        <f t="shared" si="114"/>
        <v>357655</v>
      </c>
      <c r="S80" s="288">
        <f t="shared" si="114"/>
        <v>357655</v>
      </c>
      <c r="T80" s="288">
        <f t="shared" si="114"/>
        <v>355674</v>
      </c>
      <c r="U80" s="377">
        <f t="shared" si="114"/>
        <v>357655</v>
      </c>
      <c r="V80" s="377">
        <f t="shared" si="114"/>
        <v>357838</v>
      </c>
      <c r="W80" s="113">
        <f t="shared" si="114"/>
        <v>360571</v>
      </c>
      <c r="X80" s="103">
        <f>SUM(L80:W80)</f>
        <v>3940364</v>
      </c>
      <c r="Y80" s="119"/>
      <c r="Z80" s="40"/>
    </row>
    <row r="81" spans="1:26" x14ac:dyDescent="0.2">
      <c r="A81" s="41">
        <f t="shared" ref="A81:B81" si="115">+A80</f>
        <v>2025001</v>
      </c>
      <c r="B81" s="42"/>
      <c r="C81" s="425"/>
      <c r="D81" s="428"/>
      <c r="E81" s="428"/>
      <c r="F81" s="477"/>
      <c r="G81" s="428"/>
      <c r="H81" s="431"/>
      <c r="I81" s="434"/>
      <c r="J81" s="437"/>
      <c r="K81" s="110" t="s">
        <v>25</v>
      </c>
      <c r="L81" s="296"/>
      <c r="M81" s="296">
        <v>290800</v>
      </c>
      <c r="N81" s="296">
        <v>292000</v>
      </c>
      <c r="O81" s="296">
        <v>290000</v>
      </c>
      <c r="P81" s="296">
        <v>290000</v>
      </c>
      <c r="Q81" s="384">
        <v>290000</v>
      </c>
      <c r="R81" s="296">
        <v>290000</v>
      </c>
      <c r="S81" s="296">
        <v>290000</v>
      </c>
      <c r="T81" s="296">
        <v>288040</v>
      </c>
      <c r="U81" s="384">
        <v>290000</v>
      </c>
      <c r="V81" s="384">
        <v>290000</v>
      </c>
      <c r="W81" s="156">
        <v>290000</v>
      </c>
      <c r="X81" s="94">
        <f t="shared" ref="X81:X87" si="116">SUM(L81:W81)</f>
        <v>3190840</v>
      </c>
      <c r="Y81" s="46"/>
      <c r="Z81" s="40"/>
    </row>
    <row r="82" spans="1:26" x14ac:dyDescent="0.2">
      <c r="A82" s="41">
        <f t="shared" ref="A82:B82" si="117">+A81</f>
        <v>2025001</v>
      </c>
      <c r="B82" s="42"/>
      <c r="C82" s="425"/>
      <c r="D82" s="428"/>
      <c r="E82" s="428"/>
      <c r="F82" s="477"/>
      <c r="G82" s="428"/>
      <c r="H82" s="431"/>
      <c r="I82" s="434"/>
      <c r="J82" s="437"/>
      <c r="K82" s="110" t="s">
        <v>30</v>
      </c>
      <c r="L82" s="296"/>
      <c r="M82" s="296"/>
      <c r="N82" s="296"/>
      <c r="O82" s="296"/>
      <c r="P82" s="296"/>
      <c r="Q82" s="384"/>
      <c r="R82" s="296"/>
      <c r="S82" s="296"/>
      <c r="T82" s="296"/>
      <c r="U82" s="384"/>
      <c r="V82" s="384"/>
      <c r="W82" s="156"/>
      <c r="X82" s="94">
        <f t="shared" si="116"/>
        <v>0</v>
      </c>
      <c r="Y82" s="46"/>
      <c r="Z82" s="40"/>
    </row>
    <row r="83" spans="1:26" x14ac:dyDescent="0.2">
      <c r="A83" s="41">
        <f t="shared" ref="A83:B83" si="118">+A82</f>
        <v>2025001</v>
      </c>
      <c r="B83" s="42"/>
      <c r="C83" s="425"/>
      <c r="D83" s="428"/>
      <c r="E83" s="428"/>
      <c r="F83" s="477"/>
      <c r="G83" s="428"/>
      <c r="H83" s="431"/>
      <c r="I83" s="434"/>
      <c r="J83" s="437"/>
      <c r="K83" s="110" t="s">
        <v>33</v>
      </c>
      <c r="L83" s="296"/>
      <c r="M83" s="296">
        <v>12040</v>
      </c>
      <c r="N83" s="296">
        <v>18432</v>
      </c>
      <c r="O83" s="296">
        <v>20000</v>
      </c>
      <c r="P83" s="296">
        <v>20000</v>
      </c>
      <c r="Q83" s="384">
        <v>20000</v>
      </c>
      <c r="R83" s="296">
        <v>20000</v>
      </c>
      <c r="S83" s="296">
        <v>20000</v>
      </c>
      <c r="T83" s="296">
        <v>20000</v>
      </c>
      <c r="U83" s="384">
        <v>20000</v>
      </c>
      <c r="V83" s="384">
        <v>20000</v>
      </c>
      <c r="W83" s="156">
        <v>20000</v>
      </c>
      <c r="X83" s="94">
        <f t="shared" si="116"/>
        <v>210472</v>
      </c>
      <c r="Y83" s="46"/>
      <c r="Z83" s="40"/>
    </row>
    <row r="84" spans="1:26" x14ac:dyDescent="0.2">
      <c r="A84" s="41">
        <f t="shared" ref="A84:B84" si="119">+A83</f>
        <v>2025001</v>
      </c>
      <c r="B84" s="42"/>
      <c r="C84" s="425"/>
      <c r="D84" s="428"/>
      <c r="E84" s="428"/>
      <c r="F84" s="477"/>
      <c r="G84" s="428"/>
      <c r="H84" s="431"/>
      <c r="I84" s="434"/>
      <c r="J84" s="437"/>
      <c r="K84" s="111" t="s">
        <v>26</v>
      </c>
      <c r="L84" s="296"/>
      <c r="M84" s="296">
        <v>18080</v>
      </c>
      <c r="N84" s="296">
        <v>18080</v>
      </c>
      <c r="O84" s="296">
        <v>18080</v>
      </c>
      <c r="P84" s="296">
        <v>18080</v>
      </c>
      <c r="Q84" s="384">
        <v>16950</v>
      </c>
      <c r="R84" s="296">
        <v>16950</v>
      </c>
      <c r="S84" s="296">
        <v>16950</v>
      </c>
      <c r="T84" s="296">
        <v>16950</v>
      </c>
      <c r="U84" s="384">
        <v>16950</v>
      </c>
      <c r="V84" s="384">
        <v>16950</v>
      </c>
      <c r="W84" s="156">
        <v>18080</v>
      </c>
      <c r="X84" s="94">
        <f t="shared" si="116"/>
        <v>192100</v>
      </c>
      <c r="Y84" s="46"/>
      <c r="Z84" s="40"/>
    </row>
    <row r="85" spans="1:26" x14ac:dyDescent="0.2">
      <c r="A85" s="41">
        <f t="shared" ref="A85:B85" si="120">+A84</f>
        <v>2025001</v>
      </c>
      <c r="B85" s="42"/>
      <c r="C85" s="425"/>
      <c r="D85" s="428"/>
      <c r="E85" s="428"/>
      <c r="F85" s="477"/>
      <c r="G85" s="428"/>
      <c r="H85" s="431"/>
      <c r="I85" s="434"/>
      <c r="J85" s="437"/>
      <c r="K85" s="111" t="s">
        <v>27</v>
      </c>
      <c r="L85" s="296"/>
      <c r="M85" s="296">
        <v>29280</v>
      </c>
      <c r="N85" s="296">
        <v>29280</v>
      </c>
      <c r="O85" s="296">
        <v>29280</v>
      </c>
      <c r="P85" s="296">
        <v>29280</v>
      </c>
      <c r="Q85" s="384">
        <v>27450</v>
      </c>
      <c r="R85" s="296">
        <v>27450</v>
      </c>
      <c r="S85" s="296">
        <v>27450</v>
      </c>
      <c r="T85" s="296">
        <v>27450</v>
      </c>
      <c r="U85" s="384">
        <v>27450</v>
      </c>
      <c r="V85" s="384">
        <v>27450</v>
      </c>
      <c r="W85" s="156">
        <v>29280</v>
      </c>
      <c r="X85" s="94">
        <f t="shared" si="116"/>
        <v>311100</v>
      </c>
      <c r="Y85" s="46"/>
      <c r="Z85" s="40"/>
    </row>
    <row r="86" spans="1:26" x14ac:dyDescent="0.2">
      <c r="A86" s="41">
        <f t="shared" ref="A86:B86" si="121">+A85</f>
        <v>2025001</v>
      </c>
      <c r="B86" s="42"/>
      <c r="C86" s="425"/>
      <c r="D86" s="428"/>
      <c r="E86" s="428"/>
      <c r="F86" s="477"/>
      <c r="G86" s="428"/>
      <c r="H86" s="431"/>
      <c r="I86" s="434"/>
      <c r="J86" s="437"/>
      <c r="K86" s="111" t="s">
        <v>28</v>
      </c>
      <c r="L86" s="296"/>
      <c r="M86" s="296">
        <v>1514</v>
      </c>
      <c r="N86" s="296">
        <v>1552</v>
      </c>
      <c r="O86" s="296">
        <v>1550</v>
      </c>
      <c r="P86" s="296">
        <v>1550</v>
      </c>
      <c r="Q86" s="384">
        <v>1550</v>
      </c>
      <c r="R86" s="296">
        <v>1550</v>
      </c>
      <c r="S86" s="296">
        <v>1550</v>
      </c>
      <c r="T86" s="296">
        <v>1540</v>
      </c>
      <c r="U86" s="384">
        <v>1550</v>
      </c>
      <c r="V86" s="384">
        <v>1637</v>
      </c>
      <c r="W86" s="156">
        <v>1529</v>
      </c>
      <c r="X86" s="94">
        <f t="shared" si="116"/>
        <v>17072</v>
      </c>
      <c r="Y86" s="46"/>
      <c r="Z86" s="40"/>
    </row>
    <row r="87" spans="1:26" x14ac:dyDescent="0.2">
      <c r="A87" s="41">
        <f t="shared" ref="A87:B87" si="122">+A86</f>
        <v>2025001</v>
      </c>
      <c r="B87" s="42"/>
      <c r="C87" s="425"/>
      <c r="D87" s="428"/>
      <c r="E87" s="428"/>
      <c r="F87" s="477"/>
      <c r="G87" s="428"/>
      <c r="H87" s="431"/>
      <c r="I87" s="434"/>
      <c r="J87" s="437"/>
      <c r="K87" s="112" t="s">
        <v>29</v>
      </c>
      <c r="L87" s="296"/>
      <c r="M87" s="296">
        <v>1666</v>
      </c>
      <c r="N87" s="296">
        <v>1707</v>
      </c>
      <c r="O87" s="296">
        <v>1705</v>
      </c>
      <c r="P87" s="296">
        <v>1705</v>
      </c>
      <c r="Q87" s="384">
        <v>1705</v>
      </c>
      <c r="R87" s="296">
        <v>1705</v>
      </c>
      <c r="S87" s="296">
        <v>1705</v>
      </c>
      <c r="T87" s="296">
        <v>1694</v>
      </c>
      <c r="U87" s="384">
        <v>1705</v>
      </c>
      <c r="V87" s="384">
        <v>1801</v>
      </c>
      <c r="W87" s="156">
        <v>1682</v>
      </c>
      <c r="X87" s="104">
        <f t="shared" si="116"/>
        <v>18780</v>
      </c>
      <c r="Y87" s="46"/>
      <c r="Z87" s="40"/>
    </row>
    <row r="88" spans="1:26" x14ac:dyDescent="0.2">
      <c r="A88" s="41">
        <f t="shared" ref="A88:B88" si="123">+A87</f>
        <v>2025001</v>
      </c>
      <c r="B88" s="42"/>
      <c r="C88" s="426"/>
      <c r="D88" s="429"/>
      <c r="E88" s="429"/>
      <c r="F88" s="478"/>
      <c r="G88" s="429"/>
      <c r="H88" s="432"/>
      <c r="I88" s="435"/>
      <c r="J88" s="438"/>
      <c r="K88" s="73" t="s">
        <v>39</v>
      </c>
      <c r="L88" s="257">
        <f t="shared" ref="L88:Q88" si="124">L77-L80</f>
        <v>0</v>
      </c>
      <c r="M88" s="258">
        <f t="shared" si="124"/>
        <v>15170</v>
      </c>
      <c r="N88" s="258">
        <f t="shared" si="124"/>
        <v>135074</v>
      </c>
      <c r="O88" s="258">
        <f t="shared" si="124"/>
        <v>165435</v>
      </c>
      <c r="P88" s="258">
        <f t="shared" si="124"/>
        <v>74085</v>
      </c>
      <c r="Q88" s="170">
        <f t="shared" si="124"/>
        <v>99095</v>
      </c>
      <c r="R88" s="258">
        <f>R77-R80</f>
        <v>168395</v>
      </c>
      <c r="S88" s="258">
        <f t="shared" ref="S88:V88" si="125">S77-S80</f>
        <v>116420</v>
      </c>
      <c r="T88" s="258">
        <f t="shared" si="125"/>
        <v>97926</v>
      </c>
      <c r="U88" s="170">
        <f t="shared" si="125"/>
        <v>67595</v>
      </c>
      <c r="V88" s="170">
        <f t="shared" si="125"/>
        <v>70562</v>
      </c>
      <c r="W88" s="114">
        <f>W77-W80</f>
        <v>139429</v>
      </c>
      <c r="X88" s="105">
        <f>X77-X80</f>
        <v>1149186</v>
      </c>
      <c r="Y88" s="46"/>
      <c r="Z88" s="40"/>
    </row>
    <row r="89" spans="1:26" ht="12.75" customHeight="1" x14ac:dyDescent="0.2">
      <c r="A89" s="18">
        <v>2024049</v>
      </c>
      <c r="C89" s="424">
        <f t="shared" ref="C89" si="126">C77+1</f>
        <v>8</v>
      </c>
      <c r="D89" s="427" t="s">
        <v>66</v>
      </c>
      <c r="E89" s="427"/>
      <c r="F89" s="430"/>
      <c r="G89" s="427"/>
      <c r="H89" s="430"/>
      <c r="I89" s="433"/>
      <c r="J89" s="436" t="s">
        <v>36</v>
      </c>
      <c r="K89" s="93" t="s">
        <v>37</v>
      </c>
      <c r="L89" s="217">
        <f t="shared" ref="L89:W89" si="127">L90+L91</f>
        <v>0</v>
      </c>
      <c r="M89" s="217">
        <f t="shared" si="127"/>
        <v>0</v>
      </c>
      <c r="N89" s="217">
        <f t="shared" si="127"/>
        <v>0</v>
      </c>
      <c r="O89" s="217">
        <f t="shared" si="127"/>
        <v>0</v>
      </c>
      <c r="P89" s="217">
        <f t="shared" si="127"/>
        <v>432000</v>
      </c>
      <c r="Q89" s="161">
        <f t="shared" si="127"/>
        <v>367200</v>
      </c>
      <c r="R89" s="217">
        <f t="shared" si="127"/>
        <v>478080</v>
      </c>
      <c r="S89" s="217">
        <f t="shared" si="127"/>
        <v>367200</v>
      </c>
      <c r="T89" s="217">
        <f t="shared" si="127"/>
        <v>429120</v>
      </c>
      <c r="U89" s="161">
        <f t="shared" si="127"/>
        <v>407520</v>
      </c>
      <c r="V89" s="161">
        <f t="shared" si="127"/>
        <v>396000</v>
      </c>
      <c r="W89" s="100">
        <f t="shared" si="127"/>
        <v>432000</v>
      </c>
      <c r="X89" s="106">
        <f>SUM(L89:W89)</f>
        <v>3309120</v>
      </c>
      <c r="Z89" s="40"/>
    </row>
    <row r="90" spans="1:26" x14ac:dyDescent="0.2">
      <c r="A90" s="41">
        <f t="shared" ref="A90:B90" si="128">+A89</f>
        <v>2024049</v>
      </c>
      <c r="B90" s="42"/>
      <c r="C90" s="425"/>
      <c r="D90" s="428"/>
      <c r="E90" s="428"/>
      <c r="F90" s="431"/>
      <c r="G90" s="428"/>
      <c r="H90" s="431"/>
      <c r="I90" s="434"/>
      <c r="J90" s="437"/>
      <c r="K90" s="43" t="s">
        <v>38</v>
      </c>
      <c r="L90" s="210"/>
      <c r="M90" s="210"/>
      <c r="N90" s="210"/>
      <c r="O90" s="210"/>
      <c r="P90" s="210">
        <v>432000</v>
      </c>
      <c r="Q90" s="160">
        <v>367200</v>
      </c>
      <c r="R90" s="210">
        <v>478080</v>
      </c>
      <c r="S90" s="210">
        <v>367200</v>
      </c>
      <c r="T90" s="210">
        <v>429120</v>
      </c>
      <c r="U90" s="160">
        <v>407520</v>
      </c>
      <c r="V90" s="160">
        <v>396000</v>
      </c>
      <c r="W90" s="44">
        <v>432000</v>
      </c>
      <c r="X90" s="94">
        <f>SUM(L90:W90)</f>
        <v>3309120</v>
      </c>
      <c r="Y90" s="46"/>
      <c r="Z90" s="40"/>
    </row>
    <row r="91" spans="1:26" x14ac:dyDescent="0.2">
      <c r="A91" s="41">
        <f t="shared" ref="A91:B91" si="129">+A90</f>
        <v>2024049</v>
      </c>
      <c r="B91" s="42"/>
      <c r="C91" s="425"/>
      <c r="D91" s="428"/>
      <c r="E91" s="428"/>
      <c r="F91" s="431"/>
      <c r="G91" s="428"/>
      <c r="H91" s="431"/>
      <c r="I91" s="434"/>
      <c r="J91" s="437"/>
      <c r="K91" s="43" t="s">
        <v>34</v>
      </c>
      <c r="L91" s="211"/>
      <c r="M91" s="212"/>
      <c r="N91" s="212"/>
      <c r="O91" s="212"/>
      <c r="P91" s="212"/>
      <c r="Q91" s="162"/>
      <c r="R91" s="212"/>
      <c r="S91" s="212"/>
      <c r="T91" s="212"/>
      <c r="U91" s="162"/>
      <c r="V91" s="162"/>
      <c r="W91" s="97"/>
      <c r="X91" s="94">
        <v>0</v>
      </c>
      <c r="Y91" s="46"/>
      <c r="Z91" s="40"/>
    </row>
    <row r="92" spans="1:26" x14ac:dyDescent="0.2">
      <c r="A92" s="41">
        <f t="shared" ref="A92:B92" si="130">+A91</f>
        <v>2024049</v>
      </c>
      <c r="B92" s="42"/>
      <c r="C92" s="425"/>
      <c r="D92" s="428"/>
      <c r="E92" s="428"/>
      <c r="F92" s="431"/>
      <c r="G92" s="428"/>
      <c r="H92" s="431"/>
      <c r="I92" s="434"/>
      <c r="J92" s="437"/>
      <c r="K92" s="49" t="s">
        <v>24</v>
      </c>
      <c r="L92" s="287">
        <f t="shared" ref="L92:W92" si="131">SUM(L93:L99)</f>
        <v>0</v>
      </c>
      <c r="M92" s="288">
        <f t="shared" si="131"/>
        <v>0</v>
      </c>
      <c r="N92" s="288">
        <f t="shared" si="131"/>
        <v>0</v>
      </c>
      <c r="O92" s="288">
        <f t="shared" si="131"/>
        <v>0</v>
      </c>
      <c r="P92" s="288">
        <f t="shared" si="131"/>
        <v>298870</v>
      </c>
      <c r="Q92" s="377">
        <f t="shared" si="131"/>
        <v>298870</v>
      </c>
      <c r="R92" s="288">
        <f t="shared" si="131"/>
        <v>298870</v>
      </c>
      <c r="S92" s="288">
        <f t="shared" si="131"/>
        <v>298870</v>
      </c>
      <c r="T92" s="288">
        <f t="shared" si="131"/>
        <v>298870</v>
      </c>
      <c r="U92" s="377">
        <f t="shared" si="131"/>
        <v>298870</v>
      </c>
      <c r="V92" s="377">
        <f t="shared" si="131"/>
        <v>298232</v>
      </c>
      <c r="W92" s="113">
        <f t="shared" si="131"/>
        <v>298870</v>
      </c>
      <c r="X92" s="103">
        <f>SUM(L92:W92)</f>
        <v>2390322</v>
      </c>
      <c r="Y92" s="119"/>
      <c r="Z92" s="40"/>
    </row>
    <row r="93" spans="1:26" x14ac:dyDescent="0.2">
      <c r="A93" s="41">
        <f t="shared" ref="A93:B93" si="132">+A92</f>
        <v>2024049</v>
      </c>
      <c r="B93" s="42"/>
      <c r="C93" s="425"/>
      <c r="D93" s="428"/>
      <c r="E93" s="428"/>
      <c r="F93" s="431"/>
      <c r="G93" s="428"/>
      <c r="H93" s="431"/>
      <c r="I93" s="434"/>
      <c r="J93" s="437"/>
      <c r="K93" s="110" t="s">
        <v>25</v>
      </c>
      <c r="L93" s="296"/>
      <c r="M93" s="296"/>
      <c r="N93" s="296"/>
      <c r="O93" s="296"/>
      <c r="P93" s="296">
        <v>240000</v>
      </c>
      <c r="Q93" s="384">
        <v>240000</v>
      </c>
      <c r="R93" s="296">
        <v>240000</v>
      </c>
      <c r="S93" s="296">
        <v>240000</v>
      </c>
      <c r="T93" s="296">
        <v>240000</v>
      </c>
      <c r="U93" s="384">
        <v>240000</v>
      </c>
      <c r="V93" s="384">
        <v>239188</v>
      </c>
      <c r="W93" s="156">
        <v>240000</v>
      </c>
      <c r="X93" s="94">
        <f>SUM(L93:W93)</f>
        <v>1919188</v>
      </c>
      <c r="Y93" s="46"/>
      <c r="Z93" s="40"/>
    </row>
    <row r="94" spans="1:26" x14ac:dyDescent="0.2">
      <c r="A94" s="41">
        <f t="shared" ref="A94:B94" si="133">+A93</f>
        <v>2024049</v>
      </c>
      <c r="B94" s="42"/>
      <c r="C94" s="425"/>
      <c r="D94" s="428"/>
      <c r="E94" s="428"/>
      <c r="F94" s="431"/>
      <c r="G94" s="428"/>
      <c r="H94" s="431"/>
      <c r="I94" s="434"/>
      <c r="J94" s="437"/>
      <c r="K94" s="110" t="s">
        <v>30</v>
      </c>
      <c r="L94" s="296"/>
      <c r="M94" s="296"/>
      <c r="N94" s="296"/>
      <c r="O94" s="296"/>
      <c r="P94" s="296"/>
      <c r="Q94" s="384"/>
      <c r="R94" s="296"/>
      <c r="S94" s="296"/>
      <c r="T94" s="296"/>
      <c r="U94" s="384"/>
      <c r="V94" s="384"/>
      <c r="W94" s="156"/>
      <c r="X94" s="94">
        <f t="shared" ref="X94:X99" si="134">SUM(L94:W94)</f>
        <v>0</v>
      </c>
      <c r="Y94" s="46"/>
      <c r="Z94" s="40"/>
    </row>
    <row r="95" spans="1:26" x14ac:dyDescent="0.2">
      <c r="A95" s="41">
        <f t="shared" ref="A95:B95" si="135">+A94</f>
        <v>2024049</v>
      </c>
      <c r="B95" s="42"/>
      <c r="C95" s="425"/>
      <c r="D95" s="428"/>
      <c r="E95" s="428"/>
      <c r="F95" s="431"/>
      <c r="G95" s="428"/>
      <c r="H95" s="431"/>
      <c r="I95" s="434"/>
      <c r="J95" s="437"/>
      <c r="K95" s="110" t="s">
        <v>33</v>
      </c>
      <c r="L95" s="296"/>
      <c r="M95" s="296"/>
      <c r="N95" s="296"/>
      <c r="O95" s="296"/>
      <c r="P95" s="296">
        <v>20000</v>
      </c>
      <c r="Q95" s="384">
        <v>20000</v>
      </c>
      <c r="R95" s="296">
        <v>20000</v>
      </c>
      <c r="S95" s="296">
        <v>20000</v>
      </c>
      <c r="T95" s="296">
        <v>20000</v>
      </c>
      <c r="U95" s="384">
        <v>20000</v>
      </c>
      <c r="V95" s="384">
        <v>20000</v>
      </c>
      <c r="W95" s="156">
        <v>20000</v>
      </c>
      <c r="X95" s="94">
        <f t="shared" si="134"/>
        <v>160000</v>
      </c>
      <c r="Y95" s="46"/>
      <c r="Z95" s="40"/>
    </row>
    <row r="96" spans="1:26" x14ac:dyDescent="0.2">
      <c r="A96" s="41">
        <f t="shared" ref="A96:B96" si="136">+A95</f>
        <v>2024049</v>
      </c>
      <c r="B96" s="42"/>
      <c r="C96" s="425"/>
      <c r="D96" s="428"/>
      <c r="E96" s="428"/>
      <c r="F96" s="431"/>
      <c r="G96" s="428"/>
      <c r="H96" s="431"/>
      <c r="I96" s="434"/>
      <c r="J96" s="437"/>
      <c r="K96" s="111" t="s">
        <v>26</v>
      </c>
      <c r="L96" s="296"/>
      <c r="M96" s="296"/>
      <c r="N96" s="296"/>
      <c r="O96" s="296"/>
      <c r="P96" s="296">
        <v>12350</v>
      </c>
      <c r="Q96" s="384">
        <v>12350</v>
      </c>
      <c r="R96" s="296">
        <v>12350</v>
      </c>
      <c r="S96" s="296">
        <v>12350</v>
      </c>
      <c r="T96" s="296">
        <v>12350</v>
      </c>
      <c r="U96" s="384">
        <v>12350</v>
      </c>
      <c r="V96" s="384">
        <v>12350</v>
      </c>
      <c r="W96" s="156">
        <v>12350</v>
      </c>
      <c r="X96" s="94">
        <f t="shared" si="134"/>
        <v>98800</v>
      </c>
      <c r="Y96" s="46"/>
      <c r="Z96" s="40"/>
    </row>
    <row r="97" spans="1:26" x14ac:dyDescent="0.2">
      <c r="A97" s="41">
        <f t="shared" ref="A97:B97" si="137">+A96</f>
        <v>2024049</v>
      </c>
      <c r="B97" s="42"/>
      <c r="C97" s="425"/>
      <c r="D97" s="428"/>
      <c r="E97" s="428"/>
      <c r="F97" s="431"/>
      <c r="G97" s="428"/>
      <c r="H97" s="431"/>
      <c r="I97" s="434"/>
      <c r="J97" s="437"/>
      <c r="K97" s="111" t="s">
        <v>27</v>
      </c>
      <c r="L97" s="296"/>
      <c r="M97" s="296"/>
      <c r="N97" s="296"/>
      <c r="O97" s="296"/>
      <c r="P97" s="296">
        <v>23790</v>
      </c>
      <c r="Q97" s="384">
        <v>23790</v>
      </c>
      <c r="R97" s="296">
        <v>23790</v>
      </c>
      <c r="S97" s="296">
        <v>23790</v>
      </c>
      <c r="T97" s="296">
        <v>23790</v>
      </c>
      <c r="U97" s="384">
        <v>23790</v>
      </c>
      <c r="V97" s="384">
        <v>23790</v>
      </c>
      <c r="W97" s="156">
        <v>23790</v>
      </c>
      <c r="X97" s="94">
        <f t="shared" si="134"/>
        <v>190320</v>
      </c>
      <c r="Y97" s="46"/>
      <c r="Z97" s="40"/>
    </row>
    <row r="98" spans="1:26" x14ac:dyDescent="0.2">
      <c r="A98" s="41">
        <f t="shared" ref="A98:B98" si="138">+A97</f>
        <v>2024049</v>
      </c>
      <c r="B98" s="42"/>
      <c r="C98" s="425"/>
      <c r="D98" s="428"/>
      <c r="E98" s="428"/>
      <c r="F98" s="431"/>
      <c r="G98" s="428"/>
      <c r="H98" s="431"/>
      <c r="I98" s="434"/>
      <c r="J98" s="437"/>
      <c r="K98" s="111" t="s">
        <v>28</v>
      </c>
      <c r="L98" s="296"/>
      <c r="M98" s="296"/>
      <c r="N98" s="296"/>
      <c r="O98" s="296"/>
      <c r="P98" s="296">
        <v>1300</v>
      </c>
      <c r="Q98" s="384">
        <v>1300</v>
      </c>
      <c r="R98" s="296">
        <v>1300</v>
      </c>
      <c r="S98" s="296">
        <v>1300</v>
      </c>
      <c r="T98" s="296">
        <v>1300</v>
      </c>
      <c r="U98" s="384">
        <v>1300</v>
      </c>
      <c r="V98" s="384">
        <v>1383</v>
      </c>
      <c r="W98" s="156">
        <v>1300</v>
      </c>
      <c r="X98" s="94">
        <f t="shared" si="134"/>
        <v>10483</v>
      </c>
      <c r="Y98" s="46"/>
      <c r="Z98" s="40"/>
    </row>
    <row r="99" spans="1:26" x14ac:dyDescent="0.2">
      <c r="A99" s="41">
        <f t="shared" ref="A99:B99" si="139">+A98</f>
        <v>2024049</v>
      </c>
      <c r="B99" s="42"/>
      <c r="C99" s="425"/>
      <c r="D99" s="428"/>
      <c r="E99" s="428"/>
      <c r="F99" s="431"/>
      <c r="G99" s="428"/>
      <c r="H99" s="431"/>
      <c r="I99" s="434"/>
      <c r="J99" s="437"/>
      <c r="K99" s="112" t="s">
        <v>29</v>
      </c>
      <c r="L99" s="296"/>
      <c r="M99" s="296"/>
      <c r="N99" s="296"/>
      <c r="O99" s="296"/>
      <c r="P99" s="296">
        <v>1430</v>
      </c>
      <c r="Q99" s="384">
        <v>1430</v>
      </c>
      <c r="R99" s="296">
        <v>1430</v>
      </c>
      <c r="S99" s="296">
        <v>1430</v>
      </c>
      <c r="T99" s="296">
        <v>1430</v>
      </c>
      <c r="U99" s="384">
        <v>1430</v>
      </c>
      <c r="V99" s="384">
        <v>1521</v>
      </c>
      <c r="W99" s="156">
        <v>1430</v>
      </c>
      <c r="X99" s="104">
        <f t="shared" si="134"/>
        <v>11531</v>
      </c>
      <c r="Y99" s="46"/>
      <c r="Z99" s="40"/>
    </row>
    <row r="100" spans="1:26" x14ac:dyDescent="0.2">
      <c r="A100" s="41">
        <f t="shared" ref="A100:B100" si="140">+A99</f>
        <v>2024049</v>
      </c>
      <c r="B100" s="42"/>
      <c r="C100" s="426"/>
      <c r="D100" s="429"/>
      <c r="E100" s="429"/>
      <c r="F100" s="432"/>
      <c r="G100" s="429"/>
      <c r="H100" s="432"/>
      <c r="I100" s="435"/>
      <c r="J100" s="438"/>
      <c r="K100" s="73" t="s">
        <v>39</v>
      </c>
      <c r="L100" s="257">
        <f t="shared" ref="L100:Q100" si="141">L89-L92</f>
        <v>0</v>
      </c>
      <c r="M100" s="258">
        <f t="shared" si="141"/>
        <v>0</v>
      </c>
      <c r="N100" s="258">
        <f t="shared" si="141"/>
        <v>0</v>
      </c>
      <c r="O100" s="258">
        <f t="shared" si="141"/>
        <v>0</v>
      </c>
      <c r="P100" s="258">
        <f t="shared" si="141"/>
        <v>133130</v>
      </c>
      <c r="Q100" s="170">
        <f t="shared" si="141"/>
        <v>68330</v>
      </c>
      <c r="R100" s="258">
        <f>R89-R92</f>
        <v>179210</v>
      </c>
      <c r="S100" s="258">
        <f t="shared" ref="S100:V100" si="142">S89-S92</f>
        <v>68330</v>
      </c>
      <c r="T100" s="258">
        <f t="shared" si="142"/>
        <v>130250</v>
      </c>
      <c r="U100" s="170">
        <f t="shared" si="142"/>
        <v>108650</v>
      </c>
      <c r="V100" s="170">
        <f t="shared" si="142"/>
        <v>97768</v>
      </c>
      <c r="W100" s="114">
        <f>W89-W92</f>
        <v>133130</v>
      </c>
      <c r="X100" s="105">
        <f>X89-X92</f>
        <v>918798</v>
      </c>
      <c r="Y100" s="46"/>
      <c r="Z100" s="40"/>
    </row>
    <row r="101" spans="1:26" ht="12.75" customHeight="1" x14ac:dyDescent="0.2">
      <c r="A101" s="18">
        <v>2025017</v>
      </c>
      <c r="C101" s="424">
        <f t="shared" ref="C101" si="143">C89+1</f>
        <v>9</v>
      </c>
      <c r="D101" s="427" t="s">
        <v>66</v>
      </c>
      <c r="E101" s="427"/>
      <c r="F101" s="430"/>
      <c r="G101" s="427"/>
      <c r="H101" s="430"/>
      <c r="I101" s="433"/>
      <c r="J101" s="436" t="s">
        <v>36</v>
      </c>
      <c r="K101" s="93" t="s">
        <v>37</v>
      </c>
      <c r="L101" s="217">
        <f t="shared" ref="L101:W101" si="144">L102+L103</f>
        <v>0</v>
      </c>
      <c r="M101" s="217">
        <f t="shared" si="144"/>
        <v>0</v>
      </c>
      <c r="N101" s="217">
        <f t="shared" si="144"/>
        <v>0</v>
      </c>
      <c r="O101" s="217">
        <f t="shared" si="144"/>
        <v>0</v>
      </c>
      <c r="P101" s="217">
        <f t="shared" si="144"/>
        <v>0</v>
      </c>
      <c r="Q101" s="161">
        <f t="shared" si="144"/>
        <v>0</v>
      </c>
      <c r="R101" s="217">
        <f t="shared" si="144"/>
        <v>0</v>
      </c>
      <c r="S101" s="217">
        <f t="shared" si="144"/>
        <v>0</v>
      </c>
      <c r="T101" s="217">
        <f t="shared" si="144"/>
        <v>0</v>
      </c>
      <c r="U101" s="161">
        <f t="shared" si="144"/>
        <v>410400</v>
      </c>
      <c r="V101" s="161">
        <f t="shared" si="144"/>
        <v>388800</v>
      </c>
      <c r="W101" s="100">
        <f t="shared" si="144"/>
        <v>432000</v>
      </c>
      <c r="X101" s="106">
        <f>SUM(L101:W101)</f>
        <v>1231200</v>
      </c>
      <c r="Z101" s="40"/>
    </row>
    <row r="102" spans="1:26" x14ac:dyDescent="0.2">
      <c r="A102" s="41">
        <f t="shared" ref="A102:B102" si="145">+A101</f>
        <v>2025017</v>
      </c>
      <c r="B102" s="42"/>
      <c r="C102" s="425"/>
      <c r="D102" s="428"/>
      <c r="E102" s="428"/>
      <c r="F102" s="431"/>
      <c r="G102" s="428"/>
      <c r="H102" s="431"/>
      <c r="I102" s="434"/>
      <c r="J102" s="437"/>
      <c r="K102" s="43" t="s">
        <v>38</v>
      </c>
      <c r="L102" s="210"/>
      <c r="M102" s="210"/>
      <c r="N102" s="210"/>
      <c r="O102" s="210"/>
      <c r="P102" s="210"/>
      <c r="Q102" s="160"/>
      <c r="R102" s="210"/>
      <c r="S102" s="210"/>
      <c r="T102" s="210"/>
      <c r="U102" s="160">
        <v>410400</v>
      </c>
      <c r="V102" s="160">
        <v>388800</v>
      </c>
      <c r="W102" s="44">
        <v>432000</v>
      </c>
      <c r="X102" s="94">
        <f>SUM(L102:W102)</f>
        <v>1231200</v>
      </c>
      <c r="Y102" s="46"/>
      <c r="Z102" s="40"/>
    </row>
    <row r="103" spans="1:26" x14ac:dyDescent="0.2">
      <c r="A103" s="41">
        <f t="shared" ref="A103:B103" si="146">+A102</f>
        <v>2025017</v>
      </c>
      <c r="B103" s="42"/>
      <c r="C103" s="425"/>
      <c r="D103" s="428"/>
      <c r="E103" s="428"/>
      <c r="F103" s="431"/>
      <c r="G103" s="428"/>
      <c r="H103" s="431"/>
      <c r="I103" s="434"/>
      <c r="J103" s="437"/>
      <c r="K103" s="43" t="s">
        <v>34</v>
      </c>
      <c r="L103" s="211"/>
      <c r="M103" s="212"/>
      <c r="N103" s="212"/>
      <c r="O103" s="212"/>
      <c r="P103" s="212"/>
      <c r="Q103" s="162"/>
      <c r="R103" s="212"/>
      <c r="S103" s="212"/>
      <c r="T103" s="212"/>
      <c r="U103" s="162"/>
      <c r="V103" s="162"/>
      <c r="W103" s="97"/>
      <c r="X103" s="94">
        <v>0</v>
      </c>
      <c r="Y103" s="46"/>
      <c r="Z103" s="40"/>
    </row>
    <row r="104" spans="1:26" x14ac:dyDescent="0.2">
      <c r="A104" s="41">
        <f t="shared" ref="A104:B104" si="147">+A103</f>
        <v>2025017</v>
      </c>
      <c r="B104" s="42"/>
      <c r="C104" s="425"/>
      <c r="D104" s="428"/>
      <c r="E104" s="428"/>
      <c r="F104" s="431"/>
      <c r="G104" s="428"/>
      <c r="H104" s="431"/>
      <c r="I104" s="434"/>
      <c r="J104" s="437"/>
      <c r="K104" s="49" t="s">
        <v>24</v>
      </c>
      <c r="L104" s="287">
        <f t="shared" ref="L104:W104" si="148">SUM(L105:L111)</f>
        <v>0</v>
      </c>
      <c r="M104" s="288">
        <f t="shared" si="148"/>
        <v>0</v>
      </c>
      <c r="N104" s="288">
        <f t="shared" si="148"/>
        <v>0</v>
      </c>
      <c r="O104" s="288">
        <f t="shared" si="148"/>
        <v>0</v>
      </c>
      <c r="P104" s="288"/>
      <c r="Q104" s="377"/>
      <c r="R104" s="288"/>
      <c r="S104" s="288"/>
      <c r="T104" s="288"/>
      <c r="U104" s="377">
        <f t="shared" si="148"/>
        <v>303922</v>
      </c>
      <c r="V104" s="377">
        <f t="shared" si="148"/>
        <v>299752</v>
      </c>
      <c r="W104" s="113">
        <f t="shared" si="148"/>
        <v>307495</v>
      </c>
      <c r="X104" s="103">
        <f>SUM(L104:W104)</f>
        <v>911169</v>
      </c>
      <c r="Y104" s="46"/>
      <c r="Z104" s="40"/>
    </row>
    <row r="105" spans="1:26" x14ac:dyDescent="0.2">
      <c r="A105" s="41">
        <f t="shared" ref="A105:B105" si="149">+A104</f>
        <v>2025017</v>
      </c>
      <c r="B105" s="42"/>
      <c r="C105" s="425"/>
      <c r="D105" s="428"/>
      <c r="E105" s="428"/>
      <c r="F105" s="431"/>
      <c r="G105" s="428"/>
      <c r="H105" s="431"/>
      <c r="I105" s="434"/>
      <c r="J105" s="437"/>
      <c r="K105" s="110" t="s">
        <v>25</v>
      </c>
      <c r="L105" s="296"/>
      <c r="M105" s="296"/>
      <c r="N105" s="296"/>
      <c r="O105" s="296"/>
      <c r="P105" s="296"/>
      <c r="Q105" s="384"/>
      <c r="R105" s="296"/>
      <c r="S105" s="296"/>
      <c r="T105" s="296"/>
      <c r="U105" s="384">
        <v>245000</v>
      </c>
      <c r="V105" s="384">
        <v>240693</v>
      </c>
      <c r="W105" s="156">
        <v>240000</v>
      </c>
      <c r="X105" s="94">
        <f>SUM(L105:W105)</f>
        <v>725693</v>
      </c>
      <c r="Y105" s="46"/>
      <c r="Z105" s="40"/>
    </row>
    <row r="106" spans="1:26" x14ac:dyDescent="0.2">
      <c r="A106" s="41">
        <f t="shared" ref="A106:B106" si="150">+A105</f>
        <v>2025017</v>
      </c>
      <c r="B106" s="42"/>
      <c r="C106" s="425"/>
      <c r="D106" s="428"/>
      <c r="E106" s="428"/>
      <c r="F106" s="431"/>
      <c r="G106" s="428"/>
      <c r="H106" s="431"/>
      <c r="I106" s="434"/>
      <c r="J106" s="437"/>
      <c r="K106" s="110" t="s">
        <v>30</v>
      </c>
      <c r="L106" s="296"/>
      <c r="M106" s="296"/>
      <c r="N106" s="296"/>
      <c r="O106" s="296"/>
      <c r="P106" s="296"/>
      <c r="Q106" s="384"/>
      <c r="R106" s="296"/>
      <c r="S106" s="296"/>
      <c r="T106" s="296"/>
      <c r="U106" s="384"/>
      <c r="V106" s="384"/>
      <c r="W106" s="156"/>
      <c r="X106" s="94">
        <f t="shared" ref="X106:X111" si="151">SUM(L106:W106)</f>
        <v>0</v>
      </c>
      <c r="Y106" s="46"/>
      <c r="Z106" s="40"/>
    </row>
    <row r="107" spans="1:26" x14ac:dyDescent="0.2">
      <c r="A107" s="41">
        <f t="shared" ref="A107:B107" si="152">+A106</f>
        <v>2025017</v>
      </c>
      <c r="B107" s="42"/>
      <c r="C107" s="425"/>
      <c r="D107" s="428"/>
      <c r="E107" s="428"/>
      <c r="F107" s="431"/>
      <c r="G107" s="428"/>
      <c r="H107" s="431"/>
      <c r="I107" s="434"/>
      <c r="J107" s="437"/>
      <c r="K107" s="110" t="s">
        <v>33</v>
      </c>
      <c r="L107" s="296"/>
      <c r="M107" s="296"/>
      <c r="N107" s="296"/>
      <c r="O107" s="296"/>
      <c r="P107" s="296"/>
      <c r="Q107" s="384"/>
      <c r="R107" s="296"/>
      <c r="S107" s="296"/>
      <c r="T107" s="296"/>
      <c r="U107" s="384">
        <v>20000</v>
      </c>
      <c r="V107" s="384">
        <v>20000</v>
      </c>
      <c r="W107" s="156">
        <v>29000</v>
      </c>
      <c r="X107" s="94">
        <f t="shared" si="151"/>
        <v>69000</v>
      </c>
      <c r="Y107" s="46"/>
      <c r="Z107" s="40"/>
    </row>
    <row r="108" spans="1:26" x14ac:dyDescent="0.2">
      <c r="A108" s="41">
        <f t="shared" ref="A108:B108" si="153">+A107</f>
        <v>2025017</v>
      </c>
      <c r="B108" s="42"/>
      <c r="C108" s="425"/>
      <c r="D108" s="428"/>
      <c r="E108" s="428"/>
      <c r="F108" s="431"/>
      <c r="G108" s="428"/>
      <c r="H108" s="431"/>
      <c r="I108" s="434"/>
      <c r="J108" s="437"/>
      <c r="K108" s="111" t="s">
        <v>26</v>
      </c>
      <c r="L108" s="296"/>
      <c r="M108" s="296"/>
      <c r="N108" s="296"/>
      <c r="O108" s="296"/>
      <c r="P108" s="296"/>
      <c r="Q108" s="384"/>
      <c r="R108" s="296"/>
      <c r="S108" s="296"/>
      <c r="T108" s="296"/>
      <c r="U108" s="384">
        <v>12350</v>
      </c>
      <c r="V108" s="384">
        <v>12350</v>
      </c>
      <c r="W108" s="156">
        <v>12350</v>
      </c>
      <c r="X108" s="94">
        <f t="shared" si="151"/>
        <v>37050</v>
      </c>
      <c r="Y108" s="46"/>
      <c r="Z108" s="40"/>
    </row>
    <row r="109" spans="1:26" x14ac:dyDescent="0.2">
      <c r="A109" s="41">
        <f t="shared" ref="A109:B109" si="154">+A108</f>
        <v>2025017</v>
      </c>
      <c r="B109" s="42"/>
      <c r="C109" s="425"/>
      <c r="D109" s="428"/>
      <c r="E109" s="428"/>
      <c r="F109" s="431"/>
      <c r="G109" s="428"/>
      <c r="H109" s="431"/>
      <c r="I109" s="434"/>
      <c r="J109" s="437"/>
      <c r="K109" s="111" t="s">
        <v>27</v>
      </c>
      <c r="L109" s="296"/>
      <c r="M109" s="296"/>
      <c r="N109" s="296"/>
      <c r="O109" s="296"/>
      <c r="P109" s="296"/>
      <c r="Q109" s="384"/>
      <c r="R109" s="296"/>
      <c r="S109" s="296"/>
      <c r="T109" s="296"/>
      <c r="U109" s="384">
        <v>23790</v>
      </c>
      <c r="V109" s="384">
        <v>23790</v>
      </c>
      <c r="W109" s="156">
        <v>23790</v>
      </c>
      <c r="X109" s="94">
        <f t="shared" si="151"/>
        <v>71370</v>
      </c>
      <c r="Y109" s="46"/>
      <c r="Z109" s="40"/>
    </row>
    <row r="110" spans="1:26" x14ac:dyDescent="0.2">
      <c r="A110" s="41">
        <f t="shared" ref="A110:B110" si="155">+A109</f>
        <v>2025017</v>
      </c>
      <c r="B110" s="42"/>
      <c r="C110" s="425"/>
      <c r="D110" s="428"/>
      <c r="E110" s="428"/>
      <c r="F110" s="431"/>
      <c r="G110" s="428"/>
      <c r="H110" s="431"/>
      <c r="I110" s="434"/>
      <c r="J110" s="437"/>
      <c r="K110" s="111" t="s">
        <v>28</v>
      </c>
      <c r="L110" s="296"/>
      <c r="M110" s="296"/>
      <c r="N110" s="296"/>
      <c r="O110" s="296"/>
      <c r="P110" s="296"/>
      <c r="Q110" s="384"/>
      <c r="R110" s="296"/>
      <c r="S110" s="296"/>
      <c r="T110" s="296"/>
      <c r="U110" s="384">
        <v>1325</v>
      </c>
      <c r="V110" s="384">
        <v>1390</v>
      </c>
      <c r="W110" s="156">
        <v>765</v>
      </c>
      <c r="X110" s="94">
        <f t="shared" si="151"/>
        <v>3480</v>
      </c>
      <c r="Y110" s="46"/>
      <c r="Z110" s="40"/>
    </row>
    <row r="111" spans="1:26" x14ac:dyDescent="0.2">
      <c r="A111" s="41">
        <f t="shared" ref="A111:B111" si="156">+A110</f>
        <v>2025017</v>
      </c>
      <c r="B111" s="42"/>
      <c r="C111" s="425"/>
      <c r="D111" s="428"/>
      <c r="E111" s="428"/>
      <c r="F111" s="431"/>
      <c r="G111" s="428"/>
      <c r="H111" s="431"/>
      <c r="I111" s="434"/>
      <c r="J111" s="437"/>
      <c r="K111" s="112" t="s">
        <v>29</v>
      </c>
      <c r="L111" s="296"/>
      <c r="M111" s="296"/>
      <c r="N111" s="296"/>
      <c r="O111" s="296"/>
      <c r="P111" s="296"/>
      <c r="Q111" s="384"/>
      <c r="R111" s="296"/>
      <c r="S111" s="296"/>
      <c r="T111" s="296"/>
      <c r="U111" s="384">
        <v>1457</v>
      </c>
      <c r="V111" s="384">
        <v>1529</v>
      </c>
      <c r="W111" s="156">
        <v>1590</v>
      </c>
      <c r="X111" s="104">
        <f t="shared" si="151"/>
        <v>4576</v>
      </c>
      <c r="Y111" s="46"/>
      <c r="Z111" s="40"/>
    </row>
    <row r="112" spans="1:26" x14ac:dyDescent="0.2">
      <c r="A112" s="41">
        <f t="shared" ref="A112:B112" si="157">+A111</f>
        <v>2025017</v>
      </c>
      <c r="B112" s="42"/>
      <c r="C112" s="426"/>
      <c r="D112" s="429"/>
      <c r="E112" s="429"/>
      <c r="F112" s="432"/>
      <c r="G112" s="429"/>
      <c r="H112" s="432"/>
      <c r="I112" s="435"/>
      <c r="J112" s="438"/>
      <c r="K112" s="73" t="s">
        <v>39</v>
      </c>
      <c r="L112" s="257">
        <f t="shared" ref="L112:Q112" si="158">L101-L104</f>
        <v>0</v>
      </c>
      <c r="M112" s="258">
        <f t="shared" si="158"/>
        <v>0</v>
      </c>
      <c r="N112" s="258">
        <f t="shared" si="158"/>
        <v>0</v>
      </c>
      <c r="O112" s="258">
        <f t="shared" si="158"/>
        <v>0</v>
      </c>
      <c r="P112" s="258">
        <f t="shared" si="158"/>
        <v>0</v>
      </c>
      <c r="Q112" s="170">
        <f t="shared" si="158"/>
        <v>0</v>
      </c>
      <c r="R112" s="258">
        <f>R101-R104</f>
        <v>0</v>
      </c>
      <c r="S112" s="258">
        <f t="shared" ref="S112:V112" si="159">S101-S104</f>
        <v>0</v>
      </c>
      <c r="T112" s="258">
        <f t="shared" si="159"/>
        <v>0</v>
      </c>
      <c r="U112" s="170">
        <f t="shared" si="159"/>
        <v>106478</v>
      </c>
      <c r="V112" s="170">
        <f t="shared" si="159"/>
        <v>89048</v>
      </c>
      <c r="W112" s="114">
        <f>W101-W104</f>
        <v>124505</v>
      </c>
      <c r="X112" s="105">
        <f>X101-X104</f>
        <v>320031</v>
      </c>
      <c r="Y112" s="46"/>
      <c r="Z112" s="40"/>
    </row>
    <row r="113" spans="1:26" ht="12.75" customHeight="1" x14ac:dyDescent="0.2">
      <c r="A113" s="7">
        <v>2024006</v>
      </c>
      <c r="B113" s="2"/>
      <c r="C113" s="424">
        <f>C89+1</f>
        <v>9</v>
      </c>
      <c r="D113" s="430" t="s">
        <v>66</v>
      </c>
      <c r="E113" s="430" t="s">
        <v>70</v>
      </c>
      <c r="F113" s="463"/>
      <c r="G113" s="430"/>
      <c r="H113" s="430"/>
      <c r="I113" s="452"/>
      <c r="J113" s="449" t="s">
        <v>36</v>
      </c>
      <c r="K113" s="350" t="s">
        <v>37</v>
      </c>
      <c r="L113" s="217">
        <f t="shared" ref="L113:M113" si="160">L114+L115</f>
        <v>480000</v>
      </c>
      <c r="M113" s="217">
        <f t="shared" si="160"/>
        <v>462000</v>
      </c>
      <c r="N113" s="217">
        <f t="shared" ref="N113:W113" si="161">N114+N115</f>
        <v>480000</v>
      </c>
      <c r="O113" s="217">
        <f t="shared" si="161"/>
        <v>352500</v>
      </c>
      <c r="P113" s="217">
        <f t="shared" si="161"/>
        <v>0</v>
      </c>
      <c r="Q113" s="161">
        <f t="shared" si="161"/>
        <v>0</v>
      </c>
      <c r="R113" s="217">
        <f t="shared" si="161"/>
        <v>0</v>
      </c>
      <c r="S113" s="217">
        <f t="shared" si="161"/>
        <v>0</v>
      </c>
      <c r="T113" s="217">
        <f t="shared" si="161"/>
        <v>0</v>
      </c>
      <c r="U113" s="161">
        <f t="shared" si="161"/>
        <v>0</v>
      </c>
      <c r="V113" s="161">
        <f t="shared" si="161"/>
        <v>0</v>
      </c>
      <c r="W113" s="291">
        <f t="shared" si="161"/>
        <v>0</v>
      </c>
      <c r="X113" s="351">
        <f>SUM(L113:W113)</f>
        <v>1774500</v>
      </c>
      <c r="Z113" s="40"/>
    </row>
    <row r="114" spans="1:26" x14ac:dyDescent="0.2">
      <c r="A114" s="41">
        <f t="shared" ref="A114:B114" si="162">+A113</f>
        <v>2024006</v>
      </c>
      <c r="B114" s="42"/>
      <c r="C114" s="425"/>
      <c r="D114" s="431"/>
      <c r="E114" s="431"/>
      <c r="F114" s="464"/>
      <c r="G114" s="431"/>
      <c r="H114" s="431"/>
      <c r="I114" s="453"/>
      <c r="J114" s="450"/>
      <c r="K114" s="75" t="s">
        <v>38</v>
      </c>
      <c r="L114" s="210">
        <v>480000</v>
      </c>
      <c r="M114" s="210">
        <v>462000</v>
      </c>
      <c r="N114" s="210">
        <v>480000</v>
      </c>
      <c r="O114" s="210">
        <v>352500</v>
      </c>
      <c r="P114" s="210"/>
      <c r="Q114" s="160"/>
      <c r="R114" s="210"/>
      <c r="S114" s="210"/>
      <c r="T114" s="210"/>
      <c r="U114" s="160"/>
      <c r="V114" s="160"/>
      <c r="W114" s="210"/>
      <c r="X114" s="352">
        <f>SUM(L114:W114)</f>
        <v>1774500</v>
      </c>
      <c r="Y114" s="46"/>
      <c r="Z114" s="40"/>
    </row>
    <row r="115" spans="1:26" x14ac:dyDescent="0.2">
      <c r="A115" s="41">
        <f t="shared" ref="A115:B115" si="163">+A114</f>
        <v>2024006</v>
      </c>
      <c r="B115" s="42"/>
      <c r="C115" s="425"/>
      <c r="D115" s="431"/>
      <c r="E115" s="431"/>
      <c r="F115" s="464"/>
      <c r="G115" s="431"/>
      <c r="H115" s="431"/>
      <c r="I115" s="453"/>
      <c r="J115" s="450"/>
      <c r="K115" s="75" t="s">
        <v>34</v>
      </c>
      <c r="L115" s="211"/>
      <c r="M115" s="212"/>
      <c r="N115" s="212"/>
      <c r="O115" s="212"/>
      <c r="P115" s="212"/>
      <c r="Q115" s="162"/>
      <c r="R115" s="212"/>
      <c r="S115" s="212"/>
      <c r="T115" s="212"/>
      <c r="U115" s="162"/>
      <c r="V115" s="162"/>
      <c r="W115" s="353"/>
      <c r="X115" s="352">
        <v>0</v>
      </c>
      <c r="Y115" s="46"/>
      <c r="Z115" s="40"/>
    </row>
    <row r="116" spans="1:26" x14ac:dyDescent="0.2">
      <c r="A116" s="41">
        <f t="shared" ref="A116:B116" si="164">+A115</f>
        <v>2024006</v>
      </c>
      <c r="B116" s="42"/>
      <c r="C116" s="425"/>
      <c r="D116" s="431"/>
      <c r="E116" s="431"/>
      <c r="F116" s="464"/>
      <c r="G116" s="431"/>
      <c r="H116" s="431"/>
      <c r="I116" s="453"/>
      <c r="J116" s="450"/>
      <c r="K116" s="76" t="s">
        <v>24</v>
      </c>
      <c r="L116" s="287">
        <f t="shared" ref="L116:Q116" si="165">SUM(L117:L123)</f>
        <v>329218</v>
      </c>
      <c r="M116" s="288">
        <f t="shared" si="165"/>
        <v>303904</v>
      </c>
      <c r="N116" s="288">
        <f t="shared" si="165"/>
        <v>304173</v>
      </c>
      <c r="O116" s="288">
        <f t="shared" si="165"/>
        <v>301895</v>
      </c>
      <c r="P116" s="288">
        <f t="shared" si="165"/>
        <v>0</v>
      </c>
      <c r="Q116" s="377">
        <f t="shared" si="165"/>
        <v>0</v>
      </c>
      <c r="R116" s="288">
        <f>SUM(R117:R123)</f>
        <v>0</v>
      </c>
      <c r="S116" s="288">
        <f t="shared" ref="S116:V116" si="166">SUM(S117:S123)</f>
        <v>0</v>
      </c>
      <c r="T116" s="288">
        <f t="shared" si="166"/>
        <v>0</v>
      </c>
      <c r="U116" s="377">
        <f t="shared" si="166"/>
        <v>0</v>
      </c>
      <c r="V116" s="377">
        <f t="shared" si="166"/>
        <v>0</v>
      </c>
      <c r="W116" s="354">
        <f>SUM(W117:W123)</f>
        <v>0</v>
      </c>
      <c r="X116" s="355">
        <f>SUM(L116:W116)</f>
        <v>1239190</v>
      </c>
      <c r="Y116" s="46"/>
      <c r="Z116" s="40"/>
    </row>
    <row r="117" spans="1:26" x14ac:dyDescent="0.2">
      <c r="A117" s="41">
        <f t="shared" ref="A117:B117" si="167">+A116</f>
        <v>2024006</v>
      </c>
      <c r="B117" s="42"/>
      <c r="C117" s="425"/>
      <c r="D117" s="431"/>
      <c r="E117" s="431"/>
      <c r="F117" s="464"/>
      <c r="G117" s="431"/>
      <c r="H117" s="431"/>
      <c r="I117" s="453"/>
      <c r="J117" s="450"/>
      <c r="K117" s="111" t="s">
        <v>25</v>
      </c>
      <c r="L117" s="289">
        <v>277800</v>
      </c>
      <c r="M117" s="289">
        <v>262000</v>
      </c>
      <c r="N117" s="289">
        <v>264800</v>
      </c>
      <c r="O117" s="289">
        <v>262000</v>
      </c>
      <c r="P117" s="289"/>
      <c r="Q117" s="378"/>
      <c r="R117" s="289"/>
      <c r="S117" s="289"/>
      <c r="T117" s="289"/>
      <c r="U117" s="378"/>
      <c r="V117" s="378"/>
      <c r="W117" s="289"/>
      <c r="X117" s="352">
        <f t="shared" ref="X117:X123" si="168">SUM(L117:W117)</f>
        <v>1066600</v>
      </c>
      <c r="Y117" s="46"/>
      <c r="Z117" s="40"/>
    </row>
    <row r="118" spans="1:26" x14ac:dyDescent="0.2">
      <c r="A118" s="41">
        <f t="shared" ref="A118:B118" si="169">+A117</f>
        <v>2024006</v>
      </c>
      <c r="B118" s="42"/>
      <c r="C118" s="425"/>
      <c r="D118" s="431"/>
      <c r="E118" s="431"/>
      <c r="F118" s="464"/>
      <c r="G118" s="431"/>
      <c r="H118" s="431"/>
      <c r="I118" s="453"/>
      <c r="J118" s="450"/>
      <c r="K118" s="111" t="s">
        <v>30</v>
      </c>
      <c r="L118" s="289"/>
      <c r="M118" s="289"/>
      <c r="N118" s="289"/>
      <c r="O118" s="289"/>
      <c r="P118" s="289"/>
      <c r="Q118" s="378"/>
      <c r="R118" s="289"/>
      <c r="S118" s="289"/>
      <c r="T118" s="289"/>
      <c r="U118" s="378"/>
      <c r="V118" s="378"/>
      <c r="W118" s="356"/>
      <c r="X118" s="352">
        <f t="shared" si="168"/>
        <v>0</v>
      </c>
      <c r="Y118" s="46"/>
      <c r="Z118" s="40"/>
    </row>
    <row r="119" spans="1:26" x14ac:dyDescent="0.2">
      <c r="A119" s="41">
        <f t="shared" ref="A119:B119" si="170">+A118</f>
        <v>2024006</v>
      </c>
      <c r="B119" s="42"/>
      <c r="C119" s="425"/>
      <c r="D119" s="431"/>
      <c r="E119" s="431"/>
      <c r="F119" s="464"/>
      <c r="G119" s="431"/>
      <c r="H119" s="431"/>
      <c r="I119" s="453"/>
      <c r="J119" s="450"/>
      <c r="K119" s="111" t="s">
        <v>33</v>
      </c>
      <c r="L119" s="289">
        <v>12388</v>
      </c>
      <c r="M119" s="289">
        <v>2982</v>
      </c>
      <c r="N119" s="289">
        <v>448</v>
      </c>
      <c r="O119" s="289">
        <v>994</v>
      </c>
      <c r="P119" s="289"/>
      <c r="Q119" s="378"/>
      <c r="R119" s="289"/>
      <c r="S119" s="289"/>
      <c r="T119" s="289"/>
      <c r="U119" s="378"/>
      <c r="V119" s="378"/>
      <c r="W119" s="356"/>
      <c r="X119" s="352">
        <f t="shared" si="168"/>
        <v>16812</v>
      </c>
      <c r="Y119" s="46"/>
      <c r="Z119" s="40"/>
    </row>
    <row r="120" spans="1:26" x14ac:dyDescent="0.2">
      <c r="A120" s="41">
        <f t="shared" ref="A120:B120" si="171">+A119</f>
        <v>2024006</v>
      </c>
      <c r="B120" s="42"/>
      <c r="C120" s="425"/>
      <c r="D120" s="431"/>
      <c r="E120" s="431"/>
      <c r="F120" s="464"/>
      <c r="G120" s="431"/>
      <c r="H120" s="431"/>
      <c r="I120" s="453"/>
      <c r="J120" s="450"/>
      <c r="K120" s="111" t="s">
        <v>26</v>
      </c>
      <c r="L120" s="290">
        <v>12350</v>
      </c>
      <c r="M120" s="290">
        <v>12350</v>
      </c>
      <c r="N120" s="290">
        <v>12350</v>
      </c>
      <c r="O120" s="290">
        <v>12350</v>
      </c>
      <c r="P120" s="290"/>
      <c r="Q120" s="379"/>
      <c r="R120" s="290"/>
      <c r="S120" s="290"/>
      <c r="T120" s="290"/>
      <c r="U120" s="379"/>
      <c r="V120" s="379"/>
      <c r="W120" s="357"/>
      <c r="X120" s="352">
        <f t="shared" si="168"/>
        <v>49400</v>
      </c>
      <c r="Y120" s="46"/>
      <c r="Z120" s="40"/>
    </row>
    <row r="121" spans="1:26" x14ac:dyDescent="0.2">
      <c r="A121" s="41">
        <f t="shared" ref="A121:B121" si="172">+A120</f>
        <v>2024006</v>
      </c>
      <c r="B121" s="42"/>
      <c r="C121" s="425"/>
      <c r="D121" s="431"/>
      <c r="E121" s="431"/>
      <c r="F121" s="464"/>
      <c r="G121" s="431"/>
      <c r="H121" s="431"/>
      <c r="I121" s="453"/>
      <c r="J121" s="450"/>
      <c r="K121" s="111" t="s">
        <v>27</v>
      </c>
      <c r="L121" s="290">
        <v>23790</v>
      </c>
      <c r="M121" s="290">
        <v>23790</v>
      </c>
      <c r="N121" s="290">
        <v>23790</v>
      </c>
      <c r="O121" s="290">
        <v>23790</v>
      </c>
      <c r="P121" s="290"/>
      <c r="Q121" s="379"/>
      <c r="R121" s="290"/>
      <c r="S121" s="290"/>
      <c r="T121" s="290"/>
      <c r="U121" s="379"/>
      <c r="V121" s="379"/>
      <c r="W121" s="357"/>
      <c r="X121" s="352">
        <f t="shared" si="168"/>
        <v>95160</v>
      </c>
      <c r="Y121" s="46"/>
      <c r="Z121" s="40"/>
    </row>
    <row r="122" spans="1:26" x14ac:dyDescent="0.2">
      <c r="A122" s="41">
        <f t="shared" ref="A122:B122" si="173">+A121</f>
        <v>2024006</v>
      </c>
      <c r="B122" s="42"/>
      <c r="C122" s="425"/>
      <c r="D122" s="431"/>
      <c r="E122" s="431"/>
      <c r="F122" s="464"/>
      <c r="G122" s="431"/>
      <c r="H122" s="431"/>
      <c r="I122" s="453"/>
      <c r="J122" s="450"/>
      <c r="K122" s="111" t="s">
        <v>28</v>
      </c>
      <c r="L122" s="290">
        <v>1376</v>
      </c>
      <c r="M122" s="290">
        <v>1325</v>
      </c>
      <c r="N122" s="290">
        <v>1326</v>
      </c>
      <c r="O122" s="290">
        <v>1315</v>
      </c>
      <c r="P122" s="290"/>
      <c r="Q122" s="379"/>
      <c r="R122" s="290"/>
      <c r="S122" s="290"/>
      <c r="T122" s="290"/>
      <c r="U122" s="379"/>
      <c r="V122" s="379"/>
      <c r="W122" s="357"/>
      <c r="X122" s="352">
        <f t="shared" si="168"/>
        <v>5342</v>
      </c>
      <c r="Y122" s="46"/>
      <c r="Z122" s="40"/>
    </row>
    <row r="123" spans="1:26" x14ac:dyDescent="0.2">
      <c r="A123" s="41">
        <f t="shared" ref="A123:B123" si="174">+A122</f>
        <v>2024006</v>
      </c>
      <c r="B123" s="42"/>
      <c r="C123" s="425"/>
      <c r="D123" s="431"/>
      <c r="E123" s="431"/>
      <c r="F123" s="464"/>
      <c r="G123" s="431"/>
      <c r="H123" s="431"/>
      <c r="I123" s="453"/>
      <c r="J123" s="450"/>
      <c r="K123" s="112" t="s">
        <v>29</v>
      </c>
      <c r="L123" s="290">
        <v>1514</v>
      </c>
      <c r="M123" s="290">
        <v>1457</v>
      </c>
      <c r="N123" s="290">
        <v>1459</v>
      </c>
      <c r="O123" s="290">
        <v>1446</v>
      </c>
      <c r="P123" s="290"/>
      <c r="Q123" s="379"/>
      <c r="R123" s="290"/>
      <c r="S123" s="290"/>
      <c r="T123" s="290"/>
      <c r="U123" s="379"/>
      <c r="V123" s="379"/>
      <c r="W123" s="357"/>
      <c r="X123" s="358">
        <f t="shared" si="168"/>
        <v>5876</v>
      </c>
      <c r="Y123" s="46"/>
      <c r="Z123" s="40"/>
    </row>
    <row r="124" spans="1:26" x14ac:dyDescent="0.2">
      <c r="A124" s="41">
        <f t="shared" ref="A124:B124" si="175">+A123</f>
        <v>2024006</v>
      </c>
      <c r="B124" s="42"/>
      <c r="C124" s="426"/>
      <c r="D124" s="432"/>
      <c r="E124" s="432"/>
      <c r="F124" s="465"/>
      <c r="G124" s="432"/>
      <c r="H124" s="432"/>
      <c r="I124" s="456"/>
      <c r="J124" s="457"/>
      <c r="K124" s="359" t="s">
        <v>39</v>
      </c>
      <c r="L124" s="257">
        <f t="shared" ref="L124:Q124" si="176">L113-L116</f>
        <v>150782</v>
      </c>
      <c r="M124" s="258">
        <f t="shared" si="176"/>
        <v>158096</v>
      </c>
      <c r="N124" s="258">
        <f t="shared" si="176"/>
        <v>175827</v>
      </c>
      <c r="O124" s="258">
        <f t="shared" si="176"/>
        <v>50605</v>
      </c>
      <c r="P124" s="258">
        <f t="shared" si="176"/>
        <v>0</v>
      </c>
      <c r="Q124" s="170">
        <f t="shared" si="176"/>
        <v>0</v>
      </c>
      <c r="R124" s="258">
        <f>R113-R116</f>
        <v>0</v>
      </c>
      <c r="S124" s="258">
        <f t="shared" ref="S124:V124" si="177">S113-S116</f>
        <v>0</v>
      </c>
      <c r="T124" s="258">
        <f t="shared" si="177"/>
        <v>0</v>
      </c>
      <c r="U124" s="170">
        <f t="shared" si="177"/>
        <v>0</v>
      </c>
      <c r="V124" s="170">
        <f t="shared" si="177"/>
        <v>0</v>
      </c>
      <c r="W124" s="360">
        <f>W113-W116</f>
        <v>0</v>
      </c>
      <c r="X124" s="361">
        <f>X113-X116</f>
        <v>535310</v>
      </c>
      <c r="Y124" s="46"/>
      <c r="Z124" s="40"/>
    </row>
    <row r="125" spans="1:26" ht="12.75" customHeight="1" x14ac:dyDescent="0.2">
      <c r="A125" s="7">
        <v>2022036</v>
      </c>
      <c r="B125" s="2"/>
      <c r="C125" s="424">
        <f t="shared" ref="C125" si="178">C113+1</f>
        <v>10</v>
      </c>
      <c r="D125" s="427" t="s">
        <v>66</v>
      </c>
      <c r="E125" s="427"/>
      <c r="F125" s="463"/>
      <c r="G125" s="427"/>
      <c r="H125" s="430"/>
      <c r="I125" s="433"/>
      <c r="J125" s="436" t="s">
        <v>36</v>
      </c>
      <c r="K125" s="93" t="s">
        <v>37</v>
      </c>
      <c r="L125" s="217">
        <f t="shared" ref="L125:M125" si="179">L126+L127</f>
        <v>570600</v>
      </c>
      <c r="M125" s="217">
        <f t="shared" si="179"/>
        <v>590400</v>
      </c>
      <c r="N125" s="217">
        <f t="shared" ref="N125:R125" si="180">N126+N127</f>
        <v>568800</v>
      </c>
      <c r="O125" s="217">
        <f t="shared" si="180"/>
        <v>595800</v>
      </c>
      <c r="P125" s="217">
        <f t="shared" si="180"/>
        <v>432000</v>
      </c>
      <c r="Q125" s="161">
        <f t="shared" si="180"/>
        <v>489600</v>
      </c>
      <c r="R125" s="217">
        <f t="shared" si="180"/>
        <v>612350</v>
      </c>
      <c r="S125" s="217">
        <f t="shared" ref="S125:V125" si="181">S126+S127</f>
        <v>486550</v>
      </c>
      <c r="T125" s="217">
        <f t="shared" si="181"/>
        <v>562400</v>
      </c>
      <c r="U125" s="161">
        <f t="shared" si="181"/>
        <v>625300</v>
      </c>
      <c r="V125" s="161">
        <f t="shared" si="181"/>
        <v>510600</v>
      </c>
      <c r="W125" s="100">
        <f>W126+W127</f>
        <v>520000</v>
      </c>
      <c r="X125" s="106">
        <f>SUM(L125:W125)</f>
        <v>6564400</v>
      </c>
      <c r="Z125" s="40"/>
    </row>
    <row r="126" spans="1:26" x14ac:dyDescent="0.2">
      <c r="A126" s="41">
        <f t="shared" ref="A126:B126" si="182">+A125</f>
        <v>2022036</v>
      </c>
      <c r="B126" s="42"/>
      <c r="C126" s="425"/>
      <c r="D126" s="428"/>
      <c r="E126" s="428"/>
      <c r="F126" s="464"/>
      <c r="G126" s="428"/>
      <c r="H126" s="431"/>
      <c r="I126" s="434"/>
      <c r="J126" s="437"/>
      <c r="K126" s="43" t="s">
        <v>38</v>
      </c>
      <c r="L126" s="210">
        <v>570600</v>
      </c>
      <c r="M126" s="210">
        <v>590400</v>
      </c>
      <c r="N126" s="210">
        <v>568800</v>
      </c>
      <c r="O126" s="210">
        <v>595800</v>
      </c>
      <c r="P126" s="210">
        <v>432000</v>
      </c>
      <c r="Q126" s="160">
        <v>489600</v>
      </c>
      <c r="R126" s="210">
        <v>612350</v>
      </c>
      <c r="S126" s="210">
        <v>486550</v>
      </c>
      <c r="T126" s="210">
        <v>562400</v>
      </c>
      <c r="U126" s="160">
        <v>625300</v>
      </c>
      <c r="V126" s="160">
        <v>510600</v>
      </c>
      <c r="W126" s="44">
        <v>520000</v>
      </c>
      <c r="X126" s="94">
        <f>SUM(L126:W126)</f>
        <v>6564400</v>
      </c>
      <c r="Y126" s="46"/>
      <c r="Z126" s="40"/>
    </row>
    <row r="127" spans="1:26" x14ac:dyDescent="0.2">
      <c r="A127" s="41">
        <f t="shared" ref="A127:B127" si="183">+A126</f>
        <v>2022036</v>
      </c>
      <c r="B127" s="42"/>
      <c r="C127" s="425"/>
      <c r="D127" s="428"/>
      <c r="E127" s="428"/>
      <c r="F127" s="464"/>
      <c r="G127" s="428"/>
      <c r="H127" s="431"/>
      <c r="I127" s="434"/>
      <c r="J127" s="437"/>
      <c r="K127" s="43" t="s">
        <v>34</v>
      </c>
      <c r="L127" s="211"/>
      <c r="M127" s="212"/>
      <c r="N127" s="212"/>
      <c r="O127" s="212"/>
      <c r="P127" s="212"/>
      <c r="Q127" s="162"/>
      <c r="R127" s="212"/>
      <c r="S127" s="212"/>
      <c r="T127" s="212"/>
      <c r="U127" s="162"/>
      <c r="V127" s="162"/>
      <c r="W127" s="97"/>
      <c r="X127" s="94">
        <v>0</v>
      </c>
      <c r="Y127" s="46"/>
      <c r="Z127" s="40"/>
    </row>
    <row r="128" spans="1:26" x14ac:dyDescent="0.2">
      <c r="A128" s="41">
        <f t="shared" ref="A128:B128" si="184">+A127</f>
        <v>2022036</v>
      </c>
      <c r="B128" s="42"/>
      <c r="C128" s="425"/>
      <c r="D128" s="428"/>
      <c r="E128" s="428"/>
      <c r="F128" s="464"/>
      <c r="G128" s="428"/>
      <c r="H128" s="431"/>
      <c r="I128" s="434"/>
      <c r="J128" s="437"/>
      <c r="K128" s="49" t="s">
        <v>24</v>
      </c>
      <c r="L128" s="287">
        <f t="shared" ref="L128:Q128" si="185">SUM(L129:L135)</f>
        <v>397942</v>
      </c>
      <c r="M128" s="288">
        <f t="shared" si="185"/>
        <v>398983</v>
      </c>
      <c r="N128" s="288">
        <f t="shared" si="185"/>
        <v>397538</v>
      </c>
      <c r="O128" s="288">
        <f t="shared" si="185"/>
        <v>398963</v>
      </c>
      <c r="P128" s="288">
        <f t="shared" si="185"/>
        <v>395305</v>
      </c>
      <c r="Q128" s="377">
        <f t="shared" si="185"/>
        <v>397346</v>
      </c>
      <c r="R128" s="288">
        <f>SUM(R129:R135)</f>
        <v>408451</v>
      </c>
      <c r="S128" s="288">
        <f t="shared" ref="S128:V128" si="186">SUM(S129:S135)</f>
        <v>398276</v>
      </c>
      <c r="T128" s="288">
        <f>SUM(T129:T135)</f>
        <v>407026</v>
      </c>
      <c r="U128" s="377">
        <f t="shared" si="186"/>
        <v>409088</v>
      </c>
      <c r="V128" s="377">
        <f t="shared" si="186"/>
        <v>411332</v>
      </c>
      <c r="W128" s="113">
        <f>SUM(W129:W135)</f>
        <v>393491</v>
      </c>
      <c r="X128" s="103">
        <f>SUM(L128:W128)</f>
        <v>4813741</v>
      </c>
      <c r="Y128" s="46"/>
      <c r="Z128" s="40"/>
    </row>
    <row r="129" spans="1:26" x14ac:dyDescent="0.2">
      <c r="A129" s="41">
        <f t="shared" ref="A129:B129" si="187">+A128</f>
        <v>2022036</v>
      </c>
      <c r="B129" s="42"/>
      <c r="C129" s="425"/>
      <c r="D129" s="428"/>
      <c r="E129" s="428"/>
      <c r="F129" s="464"/>
      <c r="G129" s="428"/>
      <c r="H129" s="431"/>
      <c r="I129" s="434"/>
      <c r="J129" s="437"/>
      <c r="K129" s="110" t="s">
        <v>25</v>
      </c>
      <c r="L129" s="289">
        <v>343000</v>
      </c>
      <c r="M129" s="289">
        <v>341000</v>
      </c>
      <c r="N129" s="289">
        <v>342600</v>
      </c>
      <c r="O129" s="289">
        <v>343000</v>
      </c>
      <c r="P129" s="289">
        <v>341400</v>
      </c>
      <c r="Q129" s="378">
        <v>341400</v>
      </c>
      <c r="R129" s="289">
        <v>353400</v>
      </c>
      <c r="S129" s="289">
        <v>344340</v>
      </c>
      <c r="T129" s="289">
        <v>353000</v>
      </c>
      <c r="U129" s="378">
        <v>351000</v>
      </c>
      <c r="V129" s="378">
        <v>349000</v>
      </c>
      <c r="W129" s="117">
        <v>329600</v>
      </c>
      <c r="X129" s="94">
        <f t="shared" ref="X129:X135" si="188">SUM(L129:W129)</f>
        <v>4132740</v>
      </c>
      <c r="Y129" s="46"/>
      <c r="Z129" s="40"/>
    </row>
    <row r="130" spans="1:26" x14ac:dyDescent="0.2">
      <c r="A130" s="41">
        <f t="shared" ref="A130:B130" si="189">+A129</f>
        <v>2022036</v>
      </c>
      <c r="B130" s="42"/>
      <c r="C130" s="425"/>
      <c r="D130" s="428"/>
      <c r="E130" s="428"/>
      <c r="F130" s="464"/>
      <c r="G130" s="428"/>
      <c r="H130" s="431"/>
      <c r="I130" s="434"/>
      <c r="J130" s="437"/>
      <c r="K130" s="110" t="s">
        <v>30</v>
      </c>
      <c r="L130" s="289"/>
      <c r="M130" s="289"/>
      <c r="N130" s="289"/>
      <c r="O130" s="289"/>
      <c r="P130" s="289"/>
      <c r="Q130" s="378"/>
      <c r="R130" s="289"/>
      <c r="S130" s="289"/>
      <c r="T130" s="289"/>
      <c r="U130" s="378"/>
      <c r="V130" s="378"/>
      <c r="W130" s="117"/>
      <c r="X130" s="94">
        <f t="shared" si="188"/>
        <v>0</v>
      </c>
      <c r="Y130" s="46"/>
      <c r="Z130" s="40"/>
    </row>
    <row r="131" spans="1:26" x14ac:dyDescent="0.2">
      <c r="A131" s="41">
        <f t="shared" ref="A131:B131" si="190">+A130</f>
        <v>2022036</v>
      </c>
      <c r="B131" s="42"/>
      <c r="C131" s="425"/>
      <c r="D131" s="428"/>
      <c r="E131" s="428"/>
      <c r="F131" s="464"/>
      <c r="G131" s="428"/>
      <c r="H131" s="431"/>
      <c r="I131" s="434"/>
      <c r="J131" s="437"/>
      <c r="K131" s="110" t="s">
        <v>33</v>
      </c>
      <c r="L131" s="289">
        <v>1010</v>
      </c>
      <c r="M131" s="289">
        <v>4040</v>
      </c>
      <c r="N131" s="289">
        <v>1010</v>
      </c>
      <c r="O131" s="289">
        <v>2020</v>
      </c>
      <c r="P131" s="289" t="s">
        <v>71</v>
      </c>
      <c r="Q131" s="378">
        <v>2020</v>
      </c>
      <c r="R131" s="289">
        <v>1010</v>
      </c>
      <c r="S131" s="289">
        <v>0</v>
      </c>
      <c r="T131" s="289">
        <v>0</v>
      </c>
      <c r="U131" s="378">
        <v>4040</v>
      </c>
      <c r="V131" s="378">
        <v>8080</v>
      </c>
      <c r="W131" s="117">
        <v>12416</v>
      </c>
      <c r="X131" s="94">
        <f t="shared" si="188"/>
        <v>35646</v>
      </c>
      <c r="Y131" s="46"/>
      <c r="Z131" s="40"/>
    </row>
    <row r="132" spans="1:26" x14ac:dyDescent="0.2">
      <c r="A132" s="41">
        <f t="shared" ref="A132:B132" si="191">+A131</f>
        <v>2022036</v>
      </c>
      <c r="B132" s="42"/>
      <c r="C132" s="425"/>
      <c r="D132" s="428"/>
      <c r="E132" s="428"/>
      <c r="F132" s="464"/>
      <c r="G132" s="428"/>
      <c r="H132" s="431"/>
      <c r="I132" s="434"/>
      <c r="J132" s="437"/>
      <c r="K132" s="111" t="s">
        <v>26</v>
      </c>
      <c r="L132" s="290">
        <v>19210</v>
      </c>
      <c r="M132" s="290">
        <v>19210</v>
      </c>
      <c r="N132" s="290">
        <v>19210</v>
      </c>
      <c r="O132" s="290">
        <v>19210</v>
      </c>
      <c r="P132" s="290">
        <v>19210</v>
      </c>
      <c r="Q132" s="379">
        <v>19210</v>
      </c>
      <c r="R132" s="290">
        <v>19210</v>
      </c>
      <c r="S132" s="290">
        <v>19210</v>
      </c>
      <c r="T132" s="290">
        <v>19210</v>
      </c>
      <c r="U132" s="379">
        <v>19210</v>
      </c>
      <c r="V132" s="379">
        <v>19210</v>
      </c>
      <c r="W132" s="118">
        <v>18400</v>
      </c>
      <c r="X132" s="94">
        <f t="shared" si="188"/>
        <v>229710</v>
      </c>
      <c r="Y132" s="46"/>
      <c r="Z132" s="40"/>
    </row>
    <row r="133" spans="1:26" x14ac:dyDescent="0.2">
      <c r="A133" s="41">
        <f t="shared" ref="A133:B133" si="192">+A132</f>
        <v>2022036</v>
      </c>
      <c r="B133" s="42"/>
      <c r="C133" s="425"/>
      <c r="D133" s="428"/>
      <c r="E133" s="428"/>
      <c r="F133" s="464"/>
      <c r="G133" s="428"/>
      <c r="H133" s="431"/>
      <c r="I133" s="434"/>
      <c r="J133" s="437"/>
      <c r="K133" s="111" t="s">
        <v>27</v>
      </c>
      <c r="L133" s="290">
        <v>31110</v>
      </c>
      <c r="M133" s="290">
        <v>31110</v>
      </c>
      <c r="N133" s="290">
        <v>31110</v>
      </c>
      <c r="O133" s="290">
        <v>31110</v>
      </c>
      <c r="P133" s="290">
        <v>31110</v>
      </c>
      <c r="Q133" s="379">
        <v>31110</v>
      </c>
      <c r="R133" s="290">
        <v>31110</v>
      </c>
      <c r="S133" s="290">
        <v>31110</v>
      </c>
      <c r="T133" s="290">
        <v>31110</v>
      </c>
      <c r="U133" s="379">
        <v>31110</v>
      </c>
      <c r="V133" s="379">
        <v>31110</v>
      </c>
      <c r="W133" s="118">
        <v>29280</v>
      </c>
      <c r="X133" s="94">
        <f t="shared" si="188"/>
        <v>371490</v>
      </c>
      <c r="Y133" s="46"/>
      <c r="Z133" s="40"/>
    </row>
    <row r="134" spans="1:26" x14ac:dyDescent="0.2">
      <c r="A134" s="41">
        <f t="shared" ref="A134:B134" si="193">+A133</f>
        <v>2022036</v>
      </c>
      <c r="B134" s="42"/>
      <c r="C134" s="425"/>
      <c r="D134" s="428"/>
      <c r="E134" s="428"/>
      <c r="F134" s="464"/>
      <c r="G134" s="428"/>
      <c r="H134" s="431"/>
      <c r="I134" s="434"/>
      <c r="J134" s="437"/>
      <c r="K134" s="111" t="s">
        <v>28</v>
      </c>
      <c r="L134" s="290">
        <v>1720</v>
      </c>
      <c r="M134" s="290">
        <v>1725</v>
      </c>
      <c r="N134" s="290">
        <v>1718</v>
      </c>
      <c r="O134" s="290">
        <v>1725</v>
      </c>
      <c r="P134" s="290">
        <v>1707</v>
      </c>
      <c r="Q134" s="379">
        <v>1717</v>
      </c>
      <c r="R134" s="290">
        <v>1772</v>
      </c>
      <c r="S134" s="290">
        <v>1722</v>
      </c>
      <c r="T134" s="290">
        <v>1765</v>
      </c>
      <c r="U134" s="379">
        <v>1775</v>
      </c>
      <c r="V134" s="379">
        <v>1872</v>
      </c>
      <c r="W134" s="118">
        <v>1725</v>
      </c>
      <c r="X134" s="94">
        <f t="shared" si="188"/>
        <v>20943</v>
      </c>
      <c r="Y134" s="46"/>
      <c r="Z134" s="40"/>
    </row>
    <row r="135" spans="1:26" x14ac:dyDescent="0.2">
      <c r="A135" s="41">
        <f t="shared" ref="A135:B135" si="194">+A134</f>
        <v>2022036</v>
      </c>
      <c r="B135" s="42"/>
      <c r="C135" s="425"/>
      <c r="D135" s="428"/>
      <c r="E135" s="428"/>
      <c r="F135" s="464"/>
      <c r="G135" s="428"/>
      <c r="H135" s="431"/>
      <c r="I135" s="434"/>
      <c r="J135" s="437"/>
      <c r="K135" s="112" t="s">
        <v>29</v>
      </c>
      <c r="L135" s="290">
        <v>1892</v>
      </c>
      <c r="M135" s="290">
        <v>1898</v>
      </c>
      <c r="N135" s="290">
        <v>1890</v>
      </c>
      <c r="O135" s="290">
        <v>1898</v>
      </c>
      <c r="P135" s="290">
        <v>1878</v>
      </c>
      <c r="Q135" s="379">
        <v>1889</v>
      </c>
      <c r="R135" s="290">
        <v>1949</v>
      </c>
      <c r="S135" s="290">
        <v>1894</v>
      </c>
      <c r="T135" s="290">
        <v>1941</v>
      </c>
      <c r="U135" s="379">
        <v>1953</v>
      </c>
      <c r="V135" s="379">
        <v>2060</v>
      </c>
      <c r="W135" s="118">
        <v>2070</v>
      </c>
      <c r="X135" s="104">
        <f t="shared" si="188"/>
        <v>23212</v>
      </c>
      <c r="Y135" s="46"/>
      <c r="Z135" s="40"/>
    </row>
    <row r="136" spans="1:26" x14ac:dyDescent="0.2">
      <c r="A136" s="41">
        <f t="shared" ref="A136:B136" si="195">+A135</f>
        <v>2022036</v>
      </c>
      <c r="B136" s="42"/>
      <c r="C136" s="426"/>
      <c r="D136" s="429"/>
      <c r="E136" s="429"/>
      <c r="F136" s="465"/>
      <c r="G136" s="429"/>
      <c r="H136" s="432"/>
      <c r="I136" s="435"/>
      <c r="J136" s="438"/>
      <c r="K136" s="73" t="s">
        <v>39</v>
      </c>
      <c r="L136" s="257">
        <f t="shared" ref="L136:Q136" si="196">L125-L128</f>
        <v>172658</v>
      </c>
      <c r="M136" s="258">
        <f t="shared" si="196"/>
        <v>191417</v>
      </c>
      <c r="N136" s="258">
        <f t="shared" si="196"/>
        <v>171262</v>
      </c>
      <c r="O136" s="258">
        <f t="shared" si="196"/>
        <v>196837</v>
      </c>
      <c r="P136" s="258">
        <f t="shared" si="196"/>
        <v>36695</v>
      </c>
      <c r="Q136" s="170">
        <f t="shared" si="196"/>
        <v>92254</v>
      </c>
      <c r="R136" s="258">
        <f>R125-R128</f>
        <v>203899</v>
      </c>
      <c r="S136" s="258">
        <f t="shared" ref="S136:V136" si="197">S125-S128</f>
        <v>88274</v>
      </c>
      <c r="T136" s="258">
        <f t="shared" si="197"/>
        <v>155374</v>
      </c>
      <c r="U136" s="170">
        <f t="shared" si="197"/>
        <v>216212</v>
      </c>
      <c r="V136" s="170">
        <f t="shared" si="197"/>
        <v>99268</v>
      </c>
      <c r="W136" s="114">
        <f>W125-W128</f>
        <v>126509</v>
      </c>
      <c r="X136" s="105">
        <f>X125-X128</f>
        <v>1750659</v>
      </c>
      <c r="Y136" s="46"/>
      <c r="Z136" s="40"/>
    </row>
    <row r="137" spans="1:26" ht="12.75" customHeight="1" x14ac:dyDescent="0.2">
      <c r="A137" s="7">
        <v>2022025</v>
      </c>
      <c r="B137" s="2"/>
      <c r="C137" s="446">
        <f t="shared" ref="C137" si="198">C125+1</f>
        <v>11</v>
      </c>
      <c r="D137" s="430" t="s">
        <v>66</v>
      </c>
      <c r="E137" s="430" t="s">
        <v>70</v>
      </c>
      <c r="F137" s="463"/>
      <c r="G137" s="430"/>
      <c r="H137" s="430"/>
      <c r="I137" s="452"/>
      <c r="J137" s="449" t="s">
        <v>36</v>
      </c>
      <c r="K137" s="350" t="s">
        <v>37</v>
      </c>
      <c r="L137" s="217">
        <f t="shared" ref="L137:M137" si="199">L138+L139</f>
        <v>650000</v>
      </c>
      <c r="M137" s="217">
        <f t="shared" si="199"/>
        <v>650000</v>
      </c>
      <c r="N137" s="217">
        <f t="shared" ref="N137:R137" si="200">N138+N139</f>
        <v>650000</v>
      </c>
      <c r="O137" s="217">
        <f t="shared" si="200"/>
        <v>650000</v>
      </c>
      <c r="P137" s="217">
        <f t="shared" si="200"/>
        <v>605340</v>
      </c>
      <c r="Q137" s="217">
        <f t="shared" si="200"/>
        <v>503840</v>
      </c>
      <c r="R137" s="217">
        <f t="shared" si="200"/>
        <v>0</v>
      </c>
      <c r="S137" s="217">
        <f t="shared" ref="S137:V137" si="201">S138+S139</f>
        <v>0</v>
      </c>
      <c r="T137" s="217">
        <f t="shared" si="201"/>
        <v>0</v>
      </c>
      <c r="U137" s="161">
        <f t="shared" si="201"/>
        <v>0</v>
      </c>
      <c r="V137" s="161">
        <f t="shared" si="201"/>
        <v>0</v>
      </c>
      <c r="W137" s="291">
        <f>W138+W139</f>
        <v>0</v>
      </c>
      <c r="X137" s="351">
        <f>SUM(L137:W137)</f>
        <v>3709180</v>
      </c>
      <c r="Z137" s="40"/>
    </row>
    <row r="138" spans="1:26" x14ac:dyDescent="0.2">
      <c r="A138" s="41">
        <f t="shared" ref="A138:B138" si="202">+A137</f>
        <v>2022025</v>
      </c>
      <c r="B138" s="42"/>
      <c r="C138" s="447"/>
      <c r="D138" s="431"/>
      <c r="E138" s="431"/>
      <c r="F138" s="464"/>
      <c r="G138" s="431"/>
      <c r="H138" s="431"/>
      <c r="I138" s="453"/>
      <c r="J138" s="450"/>
      <c r="K138" s="75" t="s">
        <v>38</v>
      </c>
      <c r="L138" s="210">
        <v>650000</v>
      </c>
      <c r="M138" s="210">
        <v>650000</v>
      </c>
      <c r="N138" s="210">
        <v>650000</v>
      </c>
      <c r="O138" s="210">
        <v>650000</v>
      </c>
      <c r="P138" s="210">
        <v>605340</v>
      </c>
      <c r="Q138" s="210">
        <v>503840</v>
      </c>
      <c r="R138" s="210"/>
      <c r="S138" s="210"/>
      <c r="T138" s="210"/>
      <c r="U138" s="160"/>
      <c r="V138" s="160"/>
      <c r="W138" s="292"/>
      <c r="X138" s="352">
        <f>SUM(L138:W138)</f>
        <v>3709180</v>
      </c>
      <c r="Y138" s="46"/>
      <c r="Z138" s="40"/>
    </row>
    <row r="139" spans="1:26" x14ac:dyDescent="0.2">
      <c r="A139" s="41">
        <f t="shared" ref="A139:B139" si="203">+A138</f>
        <v>2022025</v>
      </c>
      <c r="B139" s="42"/>
      <c r="C139" s="447"/>
      <c r="D139" s="431"/>
      <c r="E139" s="431"/>
      <c r="F139" s="464"/>
      <c r="G139" s="431"/>
      <c r="H139" s="431"/>
      <c r="I139" s="453"/>
      <c r="J139" s="450"/>
      <c r="K139" s="75" t="s">
        <v>34</v>
      </c>
      <c r="L139" s="211"/>
      <c r="M139" s="212"/>
      <c r="N139" s="212"/>
      <c r="O139" s="212"/>
      <c r="P139" s="212"/>
      <c r="Q139" s="212"/>
      <c r="R139" s="212"/>
      <c r="S139" s="212"/>
      <c r="T139" s="212"/>
      <c r="U139" s="162"/>
      <c r="V139" s="162"/>
      <c r="W139" s="353"/>
      <c r="X139" s="352">
        <v>0</v>
      </c>
      <c r="Y139" s="46"/>
      <c r="Z139" s="40"/>
    </row>
    <row r="140" spans="1:26" x14ac:dyDescent="0.2">
      <c r="A140" s="41">
        <f t="shared" ref="A140:B140" si="204">+A139</f>
        <v>2022025</v>
      </c>
      <c r="B140" s="42"/>
      <c r="C140" s="447"/>
      <c r="D140" s="431"/>
      <c r="E140" s="431"/>
      <c r="F140" s="464"/>
      <c r="G140" s="431"/>
      <c r="H140" s="431"/>
      <c r="I140" s="453"/>
      <c r="J140" s="450"/>
      <c r="K140" s="76" t="s">
        <v>24</v>
      </c>
      <c r="L140" s="287">
        <f t="shared" ref="L140:Q140" si="205">SUM(L141:L147)</f>
        <v>416665</v>
      </c>
      <c r="M140" s="288">
        <f t="shared" si="205"/>
        <v>415033</v>
      </c>
      <c r="N140" s="288">
        <f t="shared" si="205"/>
        <v>414224</v>
      </c>
      <c r="O140" s="288">
        <f t="shared" si="205"/>
        <v>414224</v>
      </c>
      <c r="P140" s="288">
        <f t="shared" si="205"/>
        <v>444135</v>
      </c>
      <c r="Q140" s="288">
        <f t="shared" si="205"/>
        <v>405954</v>
      </c>
      <c r="R140" s="288">
        <f>SUM(R141:R147)</f>
        <v>0</v>
      </c>
      <c r="S140" s="288">
        <f t="shared" ref="S140" si="206">SUM(S141:S147)</f>
        <v>0</v>
      </c>
      <c r="T140" s="288">
        <f>SUM(T141:T147)</f>
        <v>0</v>
      </c>
      <c r="U140" s="377">
        <f t="shared" ref="U140:V140" si="207">SUM(U141:U147)</f>
        <v>0</v>
      </c>
      <c r="V140" s="377">
        <f t="shared" si="207"/>
        <v>0</v>
      </c>
      <c r="W140" s="354">
        <f>SUM(W141:W147)</f>
        <v>0</v>
      </c>
      <c r="X140" s="355">
        <f>SUM(L140:W140)</f>
        <v>2510235</v>
      </c>
      <c r="Y140" s="119"/>
      <c r="Z140" s="40"/>
    </row>
    <row r="141" spans="1:26" x14ac:dyDescent="0.2">
      <c r="A141" s="41">
        <f t="shared" ref="A141:B141" si="208">+A140</f>
        <v>2022025</v>
      </c>
      <c r="B141" s="42"/>
      <c r="C141" s="447"/>
      <c r="D141" s="431"/>
      <c r="E141" s="431"/>
      <c r="F141" s="464"/>
      <c r="G141" s="431"/>
      <c r="H141" s="431"/>
      <c r="I141" s="453"/>
      <c r="J141" s="450"/>
      <c r="K141" s="111" t="s">
        <v>25</v>
      </c>
      <c r="L141" s="289">
        <v>362000</v>
      </c>
      <c r="M141" s="289">
        <v>361200</v>
      </c>
      <c r="N141" s="289">
        <v>360400</v>
      </c>
      <c r="O141" s="289">
        <v>360400</v>
      </c>
      <c r="P141" s="289">
        <v>390000</v>
      </c>
      <c r="Q141" s="289">
        <v>352216</v>
      </c>
      <c r="R141" s="289"/>
      <c r="S141" s="289"/>
      <c r="T141" s="289"/>
      <c r="U141" s="378"/>
      <c r="V141" s="378"/>
      <c r="W141" s="356"/>
      <c r="X141" s="352">
        <f t="shared" ref="X141:X147" si="209">SUM(L141:W141)</f>
        <v>2186216</v>
      </c>
      <c r="Y141" s="46"/>
      <c r="Z141" s="40"/>
    </row>
    <row r="142" spans="1:26" x14ac:dyDescent="0.2">
      <c r="A142" s="41">
        <f t="shared" ref="A142:B142" si="210">+A141</f>
        <v>2022025</v>
      </c>
      <c r="B142" s="42"/>
      <c r="C142" s="447"/>
      <c r="D142" s="431"/>
      <c r="E142" s="431"/>
      <c r="F142" s="464"/>
      <c r="G142" s="431"/>
      <c r="H142" s="431"/>
      <c r="I142" s="453"/>
      <c r="J142" s="450"/>
      <c r="K142" s="111" t="s">
        <v>30</v>
      </c>
      <c r="L142" s="289"/>
      <c r="M142" s="289"/>
      <c r="N142" s="289"/>
      <c r="O142" s="289"/>
      <c r="P142" s="289"/>
      <c r="Q142" s="289"/>
      <c r="R142" s="289"/>
      <c r="S142" s="289"/>
      <c r="T142" s="289"/>
      <c r="U142" s="378"/>
      <c r="V142" s="378"/>
      <c r="W142" s="356"/>
      <c r="X142" s="352">
        <f t="shared" si="209"/>
        <v>0</v>
      </c>
      <c r="Y142" s="46"/>
      <c r="Z142" s="40"/>
    </row>
    <row r="143" spans="1:26" x14ac:dyDescent="0.2">
      <c r="A143" s="41">
        <f t="shared" ref="A143:B143" si="211">+A142</f>
        <v>2022025</v>
      </c>
      <c r="B143" s="42"/>
      <c r="C143" s="447"/>
      <c r="D143" s="431"/>
      <c r="E143" s="431"/>
      <c r="F143" s="464"/>
      <c r="G143" s="431"/>
      <c r="H143" s="431"/>
      <c r="I143" s="453"/>
      <c r="J143" s="450"/>
      <c r="K143" s="111" t="s">
        <v>33</v>
      </c>
      <c r="L143" s="289">
        <v>816</v>
      </c>
      <c r="M143" s="289">
        <v>0</v>
      </c>
      <c r="N143" s="289">
        <v>0</v>
      </c>
      <c r="O143" s="289" t="s">
        <v>71</v>
      </c>
      <c r="P143" s="289" t="s">
        <v>71</v>
      </c>
      <c r="Q143" s="289">
        <v>0</v>
      </c>
      <c r="R143" s="289"/>
      <c r="S143" s="289"/>
      <c r="T143" s="289"/>
      <c r="U143" s="378"/>
      <c r="V143" s="378"/>
      <c r="W143" s="356"/>
      <c r="X143" s="352">
        <f t="shared" si="209"/>
        <v>816</v>
      </c>
      <c r="Y143" s="46"/>
      <c r="Z143" s="40"/>
    </row>
    <row r="144" spans="1:26" x14ac:dyDescent="0.2">
      <c r="A144" s="41">
        <f t="shared" ref="A144:B144" si="212">+A143</f>
        <v>2022025</v>
      </c>
      <c r="B144" s="42"/>
      <c r="C144" s="447"/>
      <c r="D144" s="431"/>
      <c r="E144" s="431"/>
      <c r="F144" s="464"/>
      <c r="G144" s="431"/>
      <c r="H144" s="431"/>
      <c r="I144" s="453"/>
      <c r="J144" s="450"/>
      <c r="K144" s="111" t="s">
        <v>26</v>
      </c>
      <c r="L144" s="290">
        <v>17100</v>
      </c>
      <c r="M144" s="290">
        <v>17100</v>
      </c>
      <c r="N144" s="290">
        <v>17100</v>
      </c>
      <c r="O144" s="290">
        <v>17100</v>
      </c>
      <c r="P144" s="290">
        <v>17100</v>
      </c>
      <c r="Q144" s="290">
        <v>17100</v>
      </c>
      <c r="R144" s="290"/>
      <c r="S144" s="290"/>
      <c r="T144" s="290"/>
      <c r="U144" s="379"/>
      <c r="V144" s="379"/>
      <c r="W144" s="357"/>
      <c r="X144" s="352">
        <f t="shared" si="209"/>
        <v>102600</v>
      </c>
      <c r="Y144" s="46"/>
      <c r="Z144" s="40"/>
    </row>
    <row r="145" spans="1:26" x14ac:dyDescent="0.2">
      <c r="A145" s="41">
        <f t="shared" ref="A145:B145" si="213">+A144</f>
        <v>2022025</v>
      </c>
      <c r="B145" s="42"/>
      <c r="C145" s="447"/>
      <c r="D145" s="431"/>
      <c r="E145" s="431"/>
      <c r="F145" s="464"/>
      <c r="G145" s="431"/>
      <c r="H145" s="431"/>
      <c r="I145" s="453"/>
      <c r="J145" s="450"/>
      <c r="K145" s="111" t="s">
        <v>27</v>
      </c>
      <c r="L145" s="290">
        <v>32940</v>
      </c>
      <c r="M145" s="290">
        <v>32940</v>
      </c>
      <c r="N145" s="290">
        <v>32940</v>
      </c>
      <c r="O145" s="290">
        <v>32940</v>
      </c>
      <c r="P145" s="290">
        <v>32940</v>
      </c>
      <c r="Q145" s="290">
        <v>32940</v>
      </c>
      <c r="R145" s="290"/>
      <c r="S145" s="290"/>
      <c r="T145" s="290"/>
      <c r="U145" s="379"/>
      <c r="V145" s="379"/>
      <c r="W145" s="357"/>
      <c r="X145" s="352">
        <f t="shared" si="209"/>
        <v>197640</v>
      </c>
      <c r="Y145" s="46"/>
      <c r="Z145" s="40"/>
    </row>
    <row r="146" spans="1:26" x14ac:dyDescent="0.2">
      <c r="A146" s="41">
        <f t="shared" ref="A146:B146" si="214">+A145</f>
        <v>2022025</v>
      </c>
      <c r="B146" s="42"/>
      <c r="C146" s="447"/>
      <c r="D146" s="431"/>
      <c r="E146" s="431"/>
      <c r="F146" s="464"/>
      <c r="G146" s="431"/>
      <c r="H146" s="431"/>
      <c r="I146" s="453"/>
      <c r="J146" s="450"/>
      <c r="K146" s="111" t="s">
        <v>28</v>
      </c>
      <c r="L146" s="290">
        <v>1814</v>
      </c>
      <c r="M146" s="290">
        <v>1806</v>
      </c>
      <c r="N146" s="290">
        <v>1802</v>
      </c>
      <c r="O146" s="290">
        <v>1802</v>
      </c>
      <c r="P146" s="290">
        <v>1950</v>
      </c>
      <c r="Q146" s="290">
        <v>1761</v>
      </c>
      <c r="R146" s="290"/>
      <c r="S146" s="290"/>
      <c r="T146" s="290"/>
      <c r="U146" s="379"/>
      <c r="V146" s="379"/>
      <c r="W146" s="357"/>
      <c r="X146" s="352">
        <f t="shared" si="209"/>
        <v>10935</v>
      </c>
      <c r="Y146" s="46"/>
      <c r="Z146" s="40"/>
    </row>
    <row r="147" spans="1:26" x14ac:dyDescent="0.2">
      <c r="A147" s="41">
        <f t="shared" ref="A147:B147" si="215">+A146</f>
        <v>2022025</v>
      </c>
      <c r="B147" s="42"/>
      <c r="C147" s="447"/>
      <c r="D147" s="431"/>
      <c r="E147" s="431"/>
      <c r="F147" s="464"/>
      <c r="G147" s="431"/>
      <c r="H147" s="431"/>
      <c r="I147" s="453"/>
      <c r="J147" s="450"/>
      <c r="K147" s="112" t="s">
        <v>29</v>
      </c>
      <c r="L147" s="290">
        <v>1995</v>
      </c>
      <c r="M147" s="290">
        <v>1987</v>
      </c>
      <c r="N147" s="290">
        <v>1982</v>
      </c>
      <c r="O147" s="290">
        <v>1982</v>
      </c>
      <c r="P147" s="290">
        <v>2145</v>
      </c>
      <c r="Q147" s="290">
        <v>1937</v>
      </c>
      <c r="R147" s="290"/>
      <c r="S147" s="290"/>
      <c r="T147" s="290"/>
      <c r="U147" s="379"/>
      <c r="V147" s="379"/>
      <c r="W147" s="357"/>
      <c r="X147" s="358">
        <f t="shared" si="209"/>
        <v>12028</v>
      </c>
      <c r="Y147" s="46"/>
      <c r="Z147" s="40"/>
    </row>
    <row r="148" spans="1:26" x14ac:dyDescent="0.2">
      <c r="A148" s="41">
        <f t="shared" ref="A148:B148" si="216">+A147</f>
        <v>2022025</v>
      </c>
      <c r="B148" s="42"/>
      <c r="C148" s="466"/>
      <c r="D148" s="432"/>
      <c r="E148" s="432"/>
      <c r="F148" s="465"/>
      <c r="G148" s="432"/>
      <c r="H148" s="432"/>
      <c r="I148" s="456"/>
      <c r="J148" s="457"/>
      <c r="K148" s="359" t="s">
        <v>39</v>
      </c>
      <c r="L148" s="257">
        <f t="shared" ref="L148:Q148" si="217">L137-L140</f>
        <v>233335</v>
      </c>
      <c r="M148" s="258">
        <f t="shared" si="217"/>
        <v>234967</v>
      </c>
      <c r="N148" s="258">
        <f t="shared" si="217"/>
        <v>235776</v>
      </c>
      <c r="O148" s="258">
        <f t="shared" si="217"/>
        <v>235776</v>
      </c>
      <c r="P148" s="258">
        <f t="shared" si="217"/>
        <v>161205</v>
      </c>
      <c r="Q148" s="258">
        <f t="shared" si="217"/>
        <v>97886</v>
      </c>
      <c r="R148" s="258">
        <f>R137-R140</f>
        <v>0</v>
      </c>
      <c r="S148" s="258">
        <f t="shared" ref="S148:V148" si="218">S137-S140</f>
        <v>0</v>
      </c>
      <c r="T148" s="258">
        <f t="shared" si="218"/>
        <v>0</v>
      </c>
      <c r="U148" s="170">
        <f t="shared" si="218"/>
        <v>0</v>
      </c>
      <c r="V148" s="170">
        <f t="shared" si="218"/>
        <v>0</v>
      </c>
      <c r="W148" s="360">
        <f>W137-W140</f>
        <v>0</v>
      </c>
      <c r="X148" s="361">
        <f>X137-X140</f>
        <v>1198945</v>
      </c>
      <c r="Y148" s="46"/>
      <c r="Z148" s="40"/>
    </row>
    <row r="149" spans="1:26" ht="12.75" customHeight="1" x14ac:dyDescent="0.2">
      <c r="A149" s="7">
        <v>2018057</v>
      </c>
      <c r="B149" s="2"/>
      <c r="C149" s="424">
        <f t="shared" ref="C149" si="219">C137+1</f>
        <v>12</v>
      </c>
      <c r="D149" s="427" t="s">
        <v>66</v>
      </c>
      <c r="E149" s="427"/>
      <c r="F149" s="463"/>
      <c r="G149" s="427"/>
      <c r="H149" s="430"/>
      <c r="I149" s="433"/>
      <c r="J149" s="436" t="s">
        <v>36</v>
      </c>
      <c r="K149" s="93" t="s">
        <v>37</v>
      </c>
      <c r="L149" s="217">
        <f t="shared" ref="L149:M149" si="220">L150+L151</f>
        <v>500000</v>
      </c>
      <c r="M149" s="217">
        <f t="shared" si="220"/>
        <v>500000</v>
      </c>
      <c r="N149" s="217">
        <f t="shared" ref="N149:W149" si="221">N150+N151</f>
        <v>500000</v>
      </c>
      <c r="O149" s="217">
        <f t="shared" si="221"/>
        <v>500000</v>
      </c>
      <c r="P149" s="217">
        <f t="shared" si="221"/>
        <v>500000</v>
      </c>
      <c r="Q149" s="161">
        <f t="shared" si="221"/>
        <v>479655</v>
      </c>
      <c r="R149" s="217">
        <f t="shared" si="221"/>
        <v>500000</v>
      </c>
      <c r="S149" s="217">
        <f t="shared" si="221"/>
        <v>500000</v>
      </c>
      <c r="T149" s="217">
        <f t="shared" si="221"/>
        <v>500000</v>
      </c>
      <c r="U149" s="161">
        <f t="shared" si="221"/>
        <v>496870</v>
      </c>
      <c r="V149" s="161">
        <f t="shared" si="221"/>
        <v>500000</v>
      </c>
      <c r="W149" s="100">
        <f t="shared" si="221"/>
        <v>500000</v>
      </c>
      <c r="X149" s="106">
        <f>SUM(L149:W149)</f>
        <v>5976525</v>
      </c>
      <c r="Z149" s="40"/>
    </row>
    <row r="150" spans="1:26" x14ac:dyDescent="0.2">
      <c r="A150" s="41">
        <f t="shared" ref="A150:B150" si="222">+A149</f>
        <v>2018057</v>
      </c>
      <c r="B150" s="42"/>
      <c r="C150" s="425"/>
      <c r="D150" s="428"/>
      <c r="E150" s="428"/>
      <c r="F150" s="464"/>
      <c r="G150" s="428"/>
      <c r="H150" s="431"/>
      <c r="I150" s="434"/>
      <c r="J150" s="437"/>
      <c r="K150" s="43" t="s">
        <v>38</v>
      </c>
      <c r="L150" s="210">
        <v>500000</v>
      </c>
      <c r="M150" s="210">
        <v>500000</v>
      </c>
      <c r="N150" s="210">
        <v>500000</v>
      </c>
      <c r="O150" s="210">
        <v>500000</v>
      </c>
      <c r="P150" s="210">
        <v>500000</v>
      </c>
      <c r="Q150" s="160">
        <v>479655</v>
      </c>
      <c r="R150" s="210">
        <v>500000</v>
      </c>
      <c r="S150" s="210">
        <v>500000</v>
      </c>
      <c r="T150" s="210">
        <v>500000</v>
      </c>
      <c r="U150" s="160">
        <v>496870</v>
      </c>
      <c r="V150" s="160">
        <v>500000</v>
      </c>
      <c r="W150" s="82">
        <v>500000</v>
      </c>
      <c r="X150" s="94">
        <f>SUM(L150:W150)</f>
        <v>5976525</v>
      </c>
      <c r="Y150" s="46"/>
      <c r="Z150" s="40"/>
    </row>
    <row r="151" spans="1:26" x14ac:dyDescent="0.2">
      <c r="A151" s="41">
        <f t="shared" ref="A151:B151" si="223">+A150</f>
        <v>2018057</v>
      </c>
      <c r="B151" s="42"/>
      <c r="C151" s="425"/>
      <c r="D151" s="428"/>
      <c r="E151" s="428"/>
      <c r="F151" s="464"/>
      <c r="G151" s="428"/>
      <c r="H151" s="431"/>
      <c r="I151" s="434"/>
      <c r="J151" s="437"/>
      <c r="K151" s="43" t="s">
        <v>34</v>
      </c>
      <c r="L151" s="211"/>
      <c r="M151" s="212"/>
      <c r="N151" s="212"/>
      <c r="O151" s="212"/>
      <c r="P151" s="212"/>
      <c r="Q151" s="162"/>
      <c r="R151" s="212"/>
      <c r="S151" s="212"/>
      <c r="T151" s="212"/>
      <c r="U151" s="162"/>
      <c r="V151" s="162"/>
      <c r="W151" s="97"/>
      <c r="X151" s="94">
        <v>0</v>
      </c>
      <c r="Y151" s="46"/>
      <c r="Z151" s="40"/>
    </row>
    <row r="152" spans="1:26" x14ac:dyDescent="0.2">
      <c r="A152" s="41">
        <f t="shared" ref="A152:B152" si="224">+A151</f>
        <v>2018057</v>
      </c>
      <c r="B152" s="42"/>
      <c r="C152" s="425"/>
      <c r="D152" s="428"/>
      <c r="E152" s="428"/>
      <c r="F152" s="464"/>
      <c r="G152" s="428"/>
      <c r="H152" s="431"/>
      <c r="I152" s="434"/>
      <c r="J152" s="437"/>
      <c r="K152" s="49" t="s">
        <v>24</v>
      </c>
      <c r="L152" s="287">
        <f t="shared" ref="L152:Q152" si="225">SUM(L153:L159)</f>
        <v>380268</v>
      </c>
      <c r="M152" s="288">
        <f t="shared" si="225"/>
        <v>360121</v>
      </c>
      <c r="N152" s="288">
        <f t="shared" si="225"/>
        <v>365496</v>
      </c>
      <c r="O152" s="288">
        <f t="shared" si="225"/>
        <v>357896</v>
      </c>
      <c r="P152" s="288">
        <f t="shared" si="225"/>
        <v>362817</v>
      </c>
      <c r="Q152" s="377">
        <f t="shared" si="225"/>
        <v>375243</v>
      </c>
      <c r="R152" s="288">
        <f>SUM(R153:R159)</f>
        <v>368847</v>
      </c>
      <c r="S152" s="288">
        <f t="shared" ref="S152" si="226">SUM(S153:S159)</f>
        <v>360707</v>
      </c>
      <c r="T152" s="288">
        <f>SUM(T153:T159)</f>
        <v>366543</v>
      </c>
      <c r="U152" s="377">
        <f t="shared" ref="U152:V152" si="227">SUM(U153:U159)</f>
        <v>368470</v>
      </c>
      <c r="V152" s="377">
        <f t="shared" si="227"/>
        <v>364301</v>
      </c>
      <c r="W152" s="113">
        <f>SUM(W153:W159)</f>
        <v>349535.5</v>
      </c>
      <c r="X152" s="103">
        <f>SUM(L152:W152)</f>
        <v>4380244.5</v>
      </c>
      <c r="Y152" s="119"/>
      <c r="Z152" s="40"/>
    </row>
    <row r="153" spans="1:26" x14ac:dyDescent="0.2">
      <c r="A153" s="41">
        <f t="shared" ref="A153:B153" si="228">+A152</f>
        <v>2018057</v>
      </c>
      <c r="B153" s="42"/>
      <c r="C153" s="425"/>
      <c r="D153" s="428"/>
      <c r="E153" s="428"/>
      <c r="F153" s="464"/>
      <c r="G153" s="428"/>
      <c r="H153" s="431"/>
      <c r="I153" s="434"/>
      <c r="J153" s="437"/>
      <c r="K153" s="110" t="s">
        <v>25</v>
      </c>
      <c r="L153" s="289">
        <v>330000</v>
      </c>
      <c r="M153" s="289">
        <v>311600</v>
      </c>
      <c r="N153" s="289">
        <v>313200</v>
      </c>
      <c r="O153" s="289">
        <v>313200</v>
      </c>
      <c r="P153" s="289">
        <v>310000</v>
      </c>
      <c r="Q153" s="378">
        <v>313600</v>
      </c>
      <c r="R153" s="289">
        <v>310000</v>
      </c>
      <c r="S153" s="289">
        <v>310000</v>
      </c>
      <c r="T153" s="289">
        <v>312800</v>
      </c>
      <c r="U153" s="378">
        <v>314400</v>
      </c>
      <c r="V153" s="378">
        <v>311200</v>
      </c>
      <c r="W153" s="115">
        <v>301114</v>
      </c>
      <c r="X153" s="94">
        <f t="shared" ref="X153:X159" si="229">SUM(L153:W153)</f>
        <v>3751114</v>
      </c>
      <c r="Y153" s="46"/>
      <c r="Z153" s="40"/>
    </row>
    <row r="154" spans="1:26" x14ac:dyDescent="0.2">
      <c r="A154" s="41">
        <f t="shared" ref="A154:B154" si="230">+A153</f>
        <v>2018057</v>
      </c>
      <c r="B154" s="42"/>
      <c r="C154" s="425"/>
      <c r="D154" s="428"/>
      <c r="E154" s="428"/>
      <c r="F154" s="464"/>
      <c r="G154" s="428"/>
      <c r="H154" s="431"/>
      <c r="I154" s="434"/>
      <c r="J154" s="437"/>
      <c r="K154" s="110" t="s">
        <v>30</v>
      </c>
      <c r="L154" s="289">
        <v>958</v>
      </c>
      <c r="M154" s="289"/>
      <c r="N154" s="289"/>
      <c r="O154" s="289"/>
      <c r="P154" s="289"/>
      <c r="Q154" s="378"/>
      <c r="R154" s="289"/>
      <c r="S154" s="289"/>
      <c r="T154" s="289"/>
      <c r="U154" s="378"/>
      <c r="V154" s="378"/>
      <c r="W154" s="117"/>
      <c r="X154" s="94">
        <f t="shared" si="229"/>
        <v>958</v>
      </c>
      <c r="Y154" s="46"/>
      <c r="Z154" s="40"/>
    </row>
    <row r="155" spans="1:26" x14ac:dyDescent="0.2">
      <c r="A155" s="41">
        <f t="shared" ref="A155:B155" si="231">+A154</f>
        <v>2018057</v>
      </c>
      <c r="B155" s="42"/>
      <c r="C155" s="425"/>
      <c r="D155" s="428"/>
      <c r="E155" s="428"/>
      <c r="F155" s="464"/>
      <c r="G155" s="428"/>
      <c r="H155" s="431"/>
      <c r="I155" s="434"/>
      <c r="J155" s="437"/>
      <c r="K155" s="110" t="s">
        <v>33</v>
      </c>
      <c r="L155" s="289">
        <v>7061</v>
      </c>
      <c r="M155" s="289">
        <v>6264</v>
      </c>
      <c r="N155" s="289">
        <v>9982</v>
      </c>
      <c r="O155" s="289">
        <v>2462</v>
      </c>
      <c r="P155" s="289">
        <v>5029</v>
      </c>
      <c r="Q155" s="378">
        <v>13726</v>
      </c>
      <c r="R155" s="289">
        <v>10997</v>
      </c>
      <c r="S155" s="289">
        <v>2941</v>
      </c>
      <c r="T155" s="289">
        <v>5916</v>
      </c>
      <c r="U155" s="378">
        <v>6224</v>
      </c>
      <c r="V155" s="378">
        <v>5118</v>
      </c>
      <c r="W155" s="117">
        <v>6401.5</v>
      </c>
      <c r="X155" s="94">
        <f t="shared" si="229"/>
        <v>82121.5</v>
      </c>
      <c r="Y155" s="46"/>
      <c r="Z155" s="40"/>
    </row>
    <row r="156" spans="1:26" x14ac:dyDescent="0.2">
      <c r="A156" s="41">
        <f t="shared" ref="A156:B156" si="232">+A155</f>
        <v>2018057</v>
      </c>
      <c r="B156" s="42"/>
      <c r="C156" s="425"/>
      <c r="D156" s="428"/>
      <c r="E156" s="428"/>
      <c r="F156" s="464"/>
      <c r="G156" s="428"/>
      <c r="H156" s="431"/>
      <c r="I156" s="434"/>
      <c r="J156" s="437"/>
      <c r="K156" s="111" t="s">
        <v>26</v>
      </c>
      <c r="L156" s="290">
        <v>13300</v>
      </c>
      <c r="M156" s="290">
        <v>13300</v>
      </c>
      <c r="N156" s="290">
        <v>13300</v>
      </c>
      <c r="O156" s="290">
        <v>13300</v>
      </c>
      <c r="P156" s="290">
        <v>15200</v>
      </c>
      <c r="Q156" s="379">
        <v>15200</v>
      </c>
      <c r="R156" s="290">
        <v>15200</v>
      </c>
      <c r="S156" s="290">
        <v>15200</v>
      </c>
      <c r="T156" s="290">
        <v>15200</v>
      </c>
      <c r="U156" s="379">
        <v>15200</v>
      </c>
      <c r="V156" s="379">
        <v>15200</v>
      </c>
      <c r="W156" s="118">
        <v>13300</v>
      </c>
      <c r="X156" s="94">
        <f t="shared" si="229"/>
        <v>172900</v>
      </c>
      <c r="Y156" s="46"/>
      <c r="Z156" s="40"/>
    </row>
    <row r="157" spans="1:26" x14ac:dyDescent="0.2">
      <c r="A157" s="41">
        <f t="shared" ref="A157:B157" si="233">+A156</f>
        <v>2018057</v>
      </c>
      <c r="B157" s="42"/>
      <c r="C157" s="425"/>
      <c r="D157" s="428"/>
      <c r="E157" s="428"/>
      <c r="F157" s="464"/>
      <c r="G157" s="428"/>
      <c r="H157" s="431"/>
      <c r="I157" s="434"/>
      <c r="J157" s="437"/>
      <c r="K157" s="111" t="s">
        <v>27</v>
      </c>
      <c r="L157" s="290">
        <v>25620</v>
      </c>
      <c r="M157" s="290">
        <v>25620</v>
      </c>
      <c r="N157" s="290">
        <v>25620</v>
      </c>
      <c r="O157" s="290">
        <v>25620</v>
      </c>
      <c r="P157" s="290">
        <v>29280</v>
      </c>
      <c r="Q157" s="379">
        <v>29280</v>
      </c>
      <c r="R157" s="290">
        <v>29280</v>
      </c>
      <c r="S157" s="290">
        <v>29280</v>
      </c>
      <c r="T157" s="290">
        <v>29280</v>
      </c>
      <c r="U157" s="379">
        <v>29280</v>
      </c>
      <c r="V157" s="379">
        <v>29280</v>
      </c>
      <c r="W157" s="118">
        <v>25620</v>
      </c>
      <c r="X157" s="94">
        <f t="shared" si="229"/>
        <v>333060</v>
      </c>
      <c r="Y157" s="46"/>
      <c r="Z157" s="40"/>
    </row>
    <row r="158" spans="1:26" x14ac:dyDescent="0.2">
      <c r="A158" s="41">
        <f t="shared" ref="A158:B158" si="234">+A157</f>
        <v>2018057</v>
      </c>
      <c r="B158" s="42"/>
      <c r="C158" s="425"/>
      <c r="D158" s="428"/>
      <c r="E158" s="428"/>
      <c r="F158" s="464"/>
      <c r="G158" s="428"/>
      <c r="H158" s="431"/>
      <c r="I158" s="434"/>
      <c r="J158" s="437"/>
      <c r="K158" s="111" t="s">
        <v>28</v>
      </c>
      <c r="L158" s="290">
        <v>1585</v>
      </c>
      <c r="M158" s="290">
        <v>1589</v>
      </c>
      <c r="N158" s="290">
        <v>1616</v>
      </c>
      <c r="O158" s="290">
        <v>1578</v>
      </c>
      <c r="P158" s="290">
        <v>1575</v>
      </c>
      <c r="Q158" s="379">
        <v>1637</v>
      </c>
      <c r="R158" s="290">
        <v>1605</v>
      </c>
      <c r="S158" s="290">
        <v>1565</v>
      </c>
      <c r="T158" s="290">
        <v>1594</v>
      </c>
      <c r="U158" s="379">
        <v>1603</v>
      </c>
      <c r="V158" s="379">
        <v>1668</v>
      </c>
      <c r="W158" s="118">
        <v>1409</v>
      </c>
      <c r="X158" s="94">
        <f t="shared" si="229"/>
        <v>19024</v>
      </c>
      <c r="Y158" s="46"/>
      <c r="Z158" s="40"/>
    </row>
    <row r="159" spans="1:26" x14ac:dyDescent="0.2">
      <c r="A159" s="41">
        <f t="shared" ref="A159:B159" si="235">+A158</f>
        <v>2018057</v>
      </c>
      <c r="B159" s="42"/>
      <c r="C159" s="425"/>
      <c r="D159" s="428"/>
      <c r="E159" s="428"/>
      <c r="F159" s="464"/>
      <c r="G159" s="428"/>
      <c r="H159" s="431"/>
      <c r="I159" s="434"/>
      <c r="J159" s="437"/>
      <c r="K159" s="112" t="s">
        <v>29</v>
      </c>
      <c r="L159" s="290">
        <v>1744</v>
      </c>
      <c r="M159" s="290">
        <v>1748</v>
      </c>
      <c r="N159" s="290">
        <v>1778</v>
      </c>
      <c r="O159" s="290">
        <v>1736</v>
      </c>
      <c r="P159" s="290">
        <v>1733</v>
      </c>
      <c r="Q159" s="379">
        <v>1800</v>
      </c>
      <c r="R159" s="290">
        <v>1765</v>
      </c>
      <c r="S159" s="290">
        <v>1721</v>
      </c>
      <c r="T159" s="290">
        <v>1753</v>
      </c>
      <c r="U159" s="379">
        <v>1763</v>
      </c>
      <c r="V159" s="379">
        <v>1835</v>
      </c>
      <c r="W159" s="118">
        <v>1691</v>
      </c>
      <c r="X159" s="104">
        <f t="shared" si="229"/>
        <v>21067</v>
      </c>
      <c r="Y159" s="46"/>
      <c r="Z159" s="40"/>
    </row>
    <row r="160" spans="1:26" x14ac:dyDescent="0.2">
      <c r="A160" s="41">
        <f t="shared" ref="A160:B160" si="236">+A159</f>
        <v>2018057</v>
      </c>
      <c r="B160" s="42"/>
      <c r="C160" s="426"/>
      <c r="D160" s="429"/>
      <c r="E160" s="429"/>
      <c r="F160" s="465"/>
      <c r="G160" s="429"/>
      <c r="H160" s="432"/>
      <c r="I160" s="435"/>
      <c r="J160" s="438"/>
      <c r="K160" s="73" t="s">
        <v>39</v>
      </c>
      <c r="L160" s="257">
        <f t="shared" ref="L160:Q160" si="237">L149-L152</f>
        <v>119732</v>
      </c>
      <c r="M160" s="258">
        <f t="shared" si="237"/>
        <v>139879</v>
      </c>
      <c r="N160" s="258">
        <f t="shared" si="237"/>
        <v>134504</v>
      </c>
      <c r="O160" s="258">
        <f t="shared" si="237"/>
        <v>142104</v>
      </c>
      <c r="P160" s="258">
        <f t="shared" si="237"/>
        <v>137183</v>
      </c>
      <c r="Q160" s="170">
        <f t="shared" si="237"/>
        <v>104412</v>
      </c>
      <c r="R160" s="258">
        <f>R149-R152</f>
        <v>131153</v>
      </c>
      <c r="S160" s="258">
        <f t="shared" ref="S160:V160" si="238">S149-S152</f>
        <v>139293</v>
      </c>
      <c r="T160" s="258">
        <f t="shared" si="238"/>
        <v>133457</v>
      </c>
      <c r="U160" s="170">
        <f t="shared" si="238"/>
        <v>128400</v>
      </c>
      <c r="V160" s="170">
        <f t="shared" si="238"/>
        <v>135699</v>
      </c>
      <c r="W160" s="114">
        <f>W149-W152</f>
        <v>150464.5</v>
      </c>
      <c r="X160" s="105">
        <f>X149-X152</f>
        <v>1596280.5</v>
      </c>
      <c r="Y160" s="46"/>
      <c r="Z160" s="40"/>
    </row>
    <row r="161" spans="1:26" ht="12.75" customHeight="1" x14ac:dyDescent="0.2">
      <c r="A161" s="7">
        <v>2017026</v>
      </c>
      <c r="B161" s="2"/>
      <c r="C161" s="424">
        <f t="shared" ref="C161" si="239">C149+1</f>
        <v>13</v>
      </c>
      <c r="D161" s="430" t="s">
        <v>66</v>
      </c>
      <c r="E161" s="430" t="s">
        <v>70</v>
      </c>
      <c r="F161" s="463"/>
      <c r="G161" s="430"/>
      <c r="H161" s="430"/>
      <c r="I161" s="452"/>
      <c r="J161" s="449" t="s">
        <v>36</v>
      </c>
      <c r="K161" s="350" t="s">
        <v>37</v>
      </c>
      <c r="L161" s="217">
        <f t="shared" ref="L161:W161" si="240">L162+L163</f>
        <v>373730</v>
      </c>
      <c r="M161" s="217">
        <f t="shared" si="240"/>
        <v>790000</v>
      </c>
      <c r="N161" s="217">
        <f t="shared" si="240"/>
        <v>790000</v>
      </c>
      <c r="O161" s="217">
        <f t="shared" si="240"/>
        <v>0</v>
      </c>
      <c r="P161" s="217">
        <f t="shared" si="240"/>
        <v>0</v>
      </c>
      <c r="Q161" s="161">
        <f t="shared" si="240"/>
        <v>0</v>
      </c>
      <c r="R161" s="217">
        <f t="shared" si="240"/>
        <v>0</v>
      </c>
      <c r="S161" s="217">
        <f t="shared" si="240"/>
        <v>0</v>
      </c>
      <c r="T161" s="217">
        <f t="shared" si="240"/>
        <v>0</v>
      </c>
      <c r="U161" s="161">
        <f t="shared" si="240"/>
        <v>0</v>
      </c>
      <c r="V161" s="161">
        <f t="shared" si="240"/>
        <v>0</v>
      </c>
      <c r="W161" s="291">
        <f t="shared" si="240"/>
        <v>0</v>
      </c>
      <c r="X161" s="351">
        <f>SUM(L161:W161)</f>
        <v>1953730</v>
      </c>
      <c r="Z161" s="40"/>
    </row>
    <row r="162" spans="1:26" x14ac:dyDescent="0.2">
      <c r="A162" s="41">
        <f t="shared" ref="A162:B162" si="241">+A161</f>
        <v>2017026</v>
      </c>
      <c r="B162" s="42"/>
      <c r="C162" s="425"/>
      <c r="D162" s="431"/>
      <c r="E162" s="431"/>
      <c r="F162" s="464"/>
      <c r="G162" s="431"/>
      <c r="H162" s="431"/>
      <c r="I162" s="453"/>
      <c r="J162" s="450"/>
      <c r="K162" s="75" t="s">
        <v>38</v>
      </c>
      <c r="L162" s="210">
        <v>373730</v>
      </c>
      <c r="M162" s="210">
        <v>790000</v>
      </c>
      <c r="N162" s="210">
        <v>790000</v>
      </c>
      <c r="O162" s="210"/>
      <c r="P162" s="210"/>
      <c r="Q162" s="160"/>
      <c r="R162" s="210"/>
      <c r="S162" s="210"/>
      <c r="T162" s="210"/>
      <c r="U162" s="160"/>
      <c r="V162" s="160"/>
      <c r="W162" s="210"/>
      <c r="X162" s="352">
        <f>SUM(L162:W162)</f>
        <v>1953730</v>
      </c>
      <c r="Y162" s="46"/>
      <c r="Z162" s="40"/>
    </row>
    <row r="163" spans="1:26" x14ac:dyDescent="0.2">
      <c r="A163" s="41">
        <f t="shared" ref="A163:B163" si="242">+A162</f>
        <v>2017026</v>
      </c>
      <c r="B163" s="42"/>
      <c r="C163" s="425"/>
      <c r="D163" s="431"/>
      <c r="E163" s="431"/>
      <c r="F163" s="464"/>
      <c r="G163" s="431"/>
      <c r="H163" s="431"/>
      <c r="I163" s="453"/>
      <c r="J163" s="450"/>
      <c r="K163" s="75" t="s">
        <v>34</v>
      </c>
      <c r="L163" s="211"/>
      <c r="M163" s="212"/>
      <c r="N163" s="212"/>
      <c r="O163" s="212"/>
      <c r="P163" s="212"/>
      <c r="Q163" s="162"/>
      <c r="R163" s="212"/>
      <c r="S163" s="212"/>
      <c r="T163" s="212"/>
      <c r="U163" s="162"/>
      <c r="V163" s="162"/>
      <c r="W163" s="353"/>
      <c r="X163" s="352">
        <v>0</v>
      </c>
      <c r="Y163" s="46"/>
      <c r="Z163" s="40"/>
    </row>
    <row r="164" spans="1:26" x14ac:dyDescent="0.2">
      <c r="A164" s="41">
        <f t="shared" ref="A164:B164" si="243">+A163</f>
        <v>2017026</v>
      </c>
      <c r="B164" s="42"/>
      <c r="C164" s="425"/>
      <c r="D164" s="431"/>
      <c r="E164" s="431"/>
      <c r="F164" s="464"/>
      <c r="G164" s="431"/>
      <c r="H164" s="431"/>
      <c r="I164" s="453"/>
      <c r="J164" s="450"/>
      <c r="K164" s="76" t="s">
        <v>24</v>
      </c>
      <c r="L164" s="287">
        <f t="shared" ref="L164" si="244">SUM(L165:L171)</f>
        <v>523086</v>
      </c>
      <c r="M164" s="288">
        <f t="shared" ref="M164:W164" si="245">SUM(M165:M171)</f>
        <v>457020</v>
      </c>
      <c r="N164" s="288">
        <f t="shared" si="245"/>
        <v>457828</v>
      </c>
      <c r="O164" s="288">
        <f t="shared" si="245"/>
        <v>0</v>
      </c>
      <c r="P164" s="288">
        <f t="shared" si="245"/>
        <v>0</v>
      </c>
      <c r="Q164" s="377">
        <f t="shared" si="245"/>
        <v>0</v>
      </c>
      <c r="R164" s="288">
        <f t="shared" si="245"/>
        <v>0</v>
      </c>
      <c r="S164" s="288">
        <f t="shared" si="245"/>
        <v>0</v>
      </c>
      <c r="T164" s="288">
        <f t="shared" si="245"/>
        <v>0</v>
      </c>
      <c r="U164" s="377">
        <f t="shared" si="245"/>
        <v>0</v>
      </c>
      <c r="V164" s="377">
        <f t="shared" si="245"/>
        <v>0</v>
      </c>
      <c r="W164" s="354">
        <f t="shared" si="245"/>
        <v>0</v>
      </c>
      <c r="X164" s="355">
        <f>SUM(L164:W164)</f>
        <v>1437934</v>
      </c>
      <c r="Y164" s="119"/>
      <c r="Z164" s="40"/>
    </row>
    <row r="165" spans="1:26" x14ac:dyDescent="0.2">
      <c r="A165" s="41">
        <f t="shared" ref="A165:B165" si="246">+A164</f>
        <v>2017026</v>
      </c>
      <c r="B165" s="42"/>
      <c r="C165" s="425"/>
      <c r="D165" s="431"/>
      <c r="E165" s="431"/>
      <c r="F165" s="464"/>
      <c r="G165" s="431"/>
      <c r="H165" s="431"/>
      <c r="I165" s="453"/>
      <c r="J165" s="450"/>
      <c r="K165" s="111" t="s">
        <v>25</v>
      </c>
      <c r="L165" s="289">
        <v>465900</v>
      </c>
      <c r="M165" s="289">
        <v>400000</v>
      </c>
      <c r="N165" s="289">
        <v>400800</v>
      </c>
      <c r="O165" s="289"/>
      <c r="P165" s="289"/>
      <c r="Q165" s="378"/>
      <c r="R165" s="289"/>
      <c r="S165" s="289"/>
      <c r="T165" s="289"/>
      <c r="U165" s="378"/>
      <c r="V165" s="378"/>
      <c r="W165" s="289"/>
      <c r="X165" s="352">
        <f t="shared" ref="X165:X171" si="247">SUM(L165:W165)</f>
        <v>1266700</v>
      </c>
      <c r="Y165" s="46"/>
      <c r="Z165" s="40"/>
    </row>
    <row r="166" spans="1:26" x14ac:dyDescent="0.2">
      <c r="A166" s="41">
        <f t="shared" ref="A166:B166" si="248">+A165</f>
        <v>2017026</v>
      </c>
      <c r="B166" s="42"/>
      <c r="C166" s="425"/>
      <c r="D166" s="431"/>
      <c r="E166" s="431"/>
      <c r="F166" s="464"/>
      <c r="G166" s="431"/>
      <c r="H166" s="431"/>
      <c r="I166" s="453"/>
      <c r="J166" s="450"/>
      <c r="K166" s="111" t="s">
        <v>30</v>
      </c>
      <c r="L166" s="289"/>
      <c r="M166" s="289"/>
      <c r="N166" s="289"/>
      <c r="O166" s="289"/>
      <c r="P166" s="289"/>
      <c r="Q166" s="378"/>
      <c r="R166" s="289"/>
      <c r="S166" s="289"/>
      <c r="T166" s="289"/>
      <c r="U166" s="378"/>
      <c r="V166" s="378"/>
      <c r="W166" s="356"/>
      <c r="X166" s="352">
        <f>SUM(L166:W166)</f>
        <v>0</v>
      </c>
      <c r="Y166" s="46"/>
      <c r="Z166" s="40"/>
    </row>
    <row r="167" spans="1:26" x14ac:dyDescent="0.2">
      <c r="A167" s="41">
        <f t="shared" ref="A167:B167" si="249">+A166</f>
        <v>2017026</v>
      </c>
      <c r="B167" s="42"/>
      <c r="C167" s="425"/>
      <c r="D167" s="431"/>
      <c r="E167" s="431"/>
      <c r="F167" s="464"/>
      <c r="G167" s="431"/>
      <c r="H167" s="431"/>
      <c r="I167" s="453"/>
      <c r="J167" s="450"/>
      <c r="K167" s="111" t="s">
        <v>33</v>
      </c>
      <c r="L167" s="289">
        <v>0</v>
      </c>
      <c r="M167" s="289">
        <v>0</v>
      </c>
      <c r="N167" s="289">
        <v>0</v>
      </c>
      <c r="O167" s="289"/>
      <c r="P167" s="289"/>
      <c r="Q167" s="378"/>
      <c r="R167" s="289"/>
      <c r="S167" s="289"/>
      <c r="T167" s="289"/>
      <c r="U167" s="378"/>
      <c r="V167" s="378"/>
      <c r="W167" s="356"/>
      <c r="X167" s="352">
        <f t="shared" si="247"/>
        <v>0</v>
      </c>
      <c r="Y167" s="46"/>
      <c r="Z167" s="40"/>
    </row>
    <row r="168" spans="1:26" x14ac:dyDescent="0.2">
      <c r="A168" s="41">
        <f t="shared" ref="A168:B168" si="250">+A167</f>
        <v>2017026</v>
      </c>
      <c r="B168" s="42"/>
      <c r="C168" s="425"/>
      <c r="D168" s="431"/>
      <c r="E168" s="431"/>
      <c r="F168" s="464"/>
      <c r="G168" s="431"/>
      <c r="H168" s="431"/>
      <c r="I168" s="453"/>
      <c r="J168" s="450"/>
      <c r="K168" s="111" t="s">
        <v>26</v>
      </c>
      <c r="L168" s="290">
        <v>18050</v>
      </c>
      <c r="M168" s="290">
        <v>18050</v>
      </c>
      <c r="N168" s="290">
        <v>18050</v>
      </c>
      <c r="O168" s="290"/>
      <c r="P168" s="290"/>
      <c r="Q168" s="379"/>
      <c r="R168" s="290"/>
      <c r="S168" s="290"/>
      <c r="T168" s="290"/>
      <c r="U168" s="379"/>
      <c r="V168" s="379"/>
      <c r="W168" s="357"/>
      <c r="X168" s="352">
        <f t="shared" si="247"/>
        <v>54150</v>
      </c>
      <c r="Y168" s="46"/>
      <c r="Z168" s="40"/>
    </row>
    <row r="169" spans="1:26" x14ac:dyDescent="0.2">
      <c r="A169" s="41">
        <f t="shared" ref="A169:B169" si="251">+A168</f>
        <v>2017026</v>
      </c>
      <c r="B169" s="42"/>
      <c r="C169" s="425"/>
      <c r="D169" s="431"/>
      <c r="E169" s="431"/>
      <c r="F169" s="464"/>
      <c r="G169" s="431"/>
      <c r="H169" s="431"/>
      <c r="I169" s="453"/>
      <c r="J169" s="450"/>
      <c r="K169" s="111" t="s">
        <v>27</v>
      </c>
      <c r="L169" s="290">
        <v>34770</v>
      </c>
      <c r="M169" s="290">
        <v>34770</v>
      </c>
      <c r="N169" s="290">
        <v>34770</v>
      </c>
      <c r="O169" s="290"/>
      <c r="P169" s="290"/>
      <c r="Q169" s="379"/>
      <c r="R169" s="290"/>
      <c r="S169" s="290"/>
      <c r="T169" s="290"/>
      <c r="U169" s="379"/>
      <c r="V169" s="379"/>
      <c r="W169" s="357"/>
      <c r="X169" s="352">
        <f t="shared" si="247"/>
        <v>104310</v>
      </c>
      <c r="Y169" s="46"/>
      <c r="Z169" s="40"/>
    </row>
    <row r="170" spans="1:26" x14ac:dyDescent="0.2">
      <c r="A170" s="41">
        <f t="shared" ref="A170:B170" si="252">+A169</f>
        <v>2017026</v>
      </c>
      <c r="B170" s="42"/>
      <c r="C170" s="425"/>
      <c r="D170" s="431"/>
      <c r="E170" s="431"/>
      <c r="F170" s="464"/>
      <c r="G170" s="431"/>
      <c r="H170" s="431"/>
      <c r="I170" s="453"/>
      <c r="J170" s="450"/>
      <c r="K170" s="111" t="s">
        <v>28</v>
      </c>
      <c r="L170" s="290">
        <v>2079</v>
      </c>
      <c r="M170" s="290">
        <v>2000</v>
      </c>
      <c r="N170" s="290">
        <v>2004</v>
      </c>
      <c r="O170" s="290"/>
      <c r="P170" s="290"/>
      <c r="Q170" s="379"/>
      <c r="R170" s="290"/>
      <c r="S170" s="290"/>
      <c r="T170" s="290"/>
      <c r="U170" s="379"/>
      <c r="V170" s="379"/>
      <c r="W170" s="357"/>
      <c r="X170" s="352">
        <f t="shared" si="247"/>
        <v>6083</v>
      </c>
      <c r="Y170" s="46"/>
      <c r="Z170" s="40"/>
    </row>
    <row r="171" spans="1:26" x14ac:dyDescent="0.2">
      <c r="A171" s="41">
        <f t="shared" ref="A171:B171" si="253">+A170</f>
        <v>2017026</v>
      </c>
      <c r="B171" s="42"/>
      <c r="C171" s="425"/>
      <c r="D171" s="431"/>
      <c r="E171" s="431"/>
      <c r="F171" s="464"/>
      <c r="G171" s="431"/>
      <c r="H171" s="431"/>
      <c r="I171" s="453"/>
      <c r="J171" s="450"/>
      <c r="K171" s="112" t="s">
        <v>29</v>
      </c>
      <c r="L171" s="290">
        <v>2287</v>
      </c>
      <c r="M171" s="290">
        <v>2200</v>
      </c>
      <c r="N171" s="290">
        <v>2204</v>
      </c>
      <c r="O171" s="290"/>
      <c r="P171" s="290"/>
      <c r="Q171" s="379"/>
      <c r="R171" s="290"/>
      <c r="S171" s="290"/>
      <c r="T171" s="290"/>
      <c r="U171" s="379"/>
      <c r="V171" s="379"/>
      <c r="W171" s="357"/>
      <c r="X171" s="358">
        <f t="shared" si="247"/>
        <v>6691</v>
      </c>
      <c r="Y171" s="46"/>
      <c r="Z171" s="40"/>
    </row>
    <row r="172" spans="1:26" x14ac:dyDescent="0.2">
      <c r="A172" s="41">
        <f t="shared" ref="A172:B172" si="254">+A171</f>
        <v>2017026</v>
      </c>
      <c r="B172" s="42"/>
      <c r="C172" s="426"/>
      <c r="D172" s="432"/>
      <c r="E172" s="432"/>
      <c r="F172" s="465"/>
      <c r="G172" s="432"/>
      <c r="H172" s="432"/>
      <c r="I172" s="456"/>
      <c r="J172" s="457"/>
      <c r="K172" s="359" t="s">
        <v>39</v>
      </c>
      <c r="L172" s="257">
        <f t="shared" ref="L172:Q172" si="255">L161-L164</f>
        <v>-149356</v>
      </c>
      <c r="M172" s="258">
        <f t="shared" si="255"/>
        <v>332980</v>
      </c>
      <c r="N172" s="258">
        <f t="shared" si="255"/>
        <v>332172</v>
      </c>
      <c r="O172" s="258">
        <f t="shared" si="255"/>
        <v>0</v>
      </c>
      <c r="P172" s="258">
        <f t="shared" si="255"/>
        <v>0</v>
      </c>
      <c r="Q172" s="170">
        <f t="shared" si="255"/>
        <v>0</v>
      </c>
      <c r="R172" s="258">
        <f>R161-R164</f>
        <v>0</v>
      </c>
      <c r="S172" s="258">
        <f t="shared" ref="S172:V172" si="256">S161-S164</f>
        <v>0</v>
      </c>
      <c r="T172" s="258">
        <f t="shared" si="256"/>
        <v>0</v>
      </c>
      <c r="U172" s="170">
        <f t="shared" si="256"/>
        <v>0</v>
      </c>
      <c r="V172" s="170">
        <f t="shared" si="256"/>
        <v>0</v>
      </c>
      <c r="W172" s="360">
        <f>W161-W164</f>
        <v>0</v>
      </c>
      <c r="X172" s="361">
        <f>X161-X164</f>
        <v>515796</v>
      </c>
      <c r="Y172" s="46"/>
      <c r="Z172" s="40"/>
    </row>
    <row r="173" spans="1:26" ht="12.75" customHeight="1" x14ac:dyDescent="0.2">
      <c r="A173" s="18">
        <v>2024018</v>
      </c>
      <c r="C173" s="446">
        <f t="shared" ref="C173" si="257">C161+1</f>
        <v>14</v>
      </c>
      <c r="D173" s="430" t="s">
        <v>66</v>
      </c>
      <c r="E173" s="430" t="s">
        <v>70</v>
      </c>
      <c r="F173" s="430"/>
      <c r="G173" s="430"/>
      <c r="H173" s="430"/>
      <c r="I173" s="452"/>
      <c r="J173" s="449" t="s">
        <v>36</v>
      </c>
      <c r="K173" s="350" t="s">
        <v>37</v>
      </c>
      <c r="L173" s="217">
        <f t="shared" ref="L173:W173" si="258">L174+L175</f>
        <v>0</v>
      </c>
      <c r="M173" s="217">
        <f t="shared" si="258"/>
        <v>0</v>
      </c>
      <c r="N173" s="217">
        <f t="shared" si="258"/>
        <v>0</v>
      </c>
      <c r="O173" s="217">
        <f t="shared" si="258"/>
        <v>0</v>
      </c>
      <c r="P173" s="217">
        <f t="shared" si="258"/>
        <v>500000</v>
      </c>
      <c r="Q173" s="217">
        <f t="shared" si="258"/>
        <v>500000</v>
      </c>
      <c r="R173" s="217">
        <f t="shared" si="258"/>
        <v>376365</v>
      </c>
      <c r="S173" s="217">
        <f t="shared" si="258"/>
        <v>0</v>
      </c>
      <c r="T173" s="217">
        <f t="shared" si="258"/>
        <v>0</v>
      </c>
      <c r="U173" s="161">
        <f t="shared" si="258"/>
        <v>0</v>
      </c>
      <c r="V173" s="161">
        <f t="shared" si="258"/>
        <v>0</v>
      </c>
      <c r="W173" s="291">
        <f t="shared" si="258"/>
        <v>0</v>
      </c>
      <c r="X173" s="351">
        <f>SUM(L173:W173)</f>
        <v>1376365</v>
      </c>
      <c r="Z173" s="40"/>
    </row>
    <row r="174" spans="1:26" x14ac:dyDescent="0.2">
      <c r="A174" s="41">
        <f t="shared" ref="A174:B174" si="259">+A173</f>
        <v>2024018</v>
      </c>
      <c r="B174" s="42"/>
      <c r="C174" s="447"/>
      <c r="D174" s="431"/>
      <c r="E174" s="431"/>
      <c r="F174" s="431"/>
      <c r="G174" s="431"/>
      <c r="H174" s="431"/>
      <c r="I174" s="453"/>
      <c r="J174" s="450"/>
      <c r="K174" s="75" t="s">
        <v>38</v>
      </c>
      <c r="L174" s="210"/>
      <c r="M174" s="210"/>
      <c r="N174" s="210"/>
      <c r="O174" s="210"/>
      <c r="P174" s="210">
        <v>500000</v>
      </c>
      <c r="Q174" s="210">
        <v>500000</v>
      </c>
      <c r="R174" s="210">
        <v>376365</v>
      </c>
      <c r="S174" s="210"/>
      <c r="T174" s="210"/>
      <c r="U174" s="160"/>
      <c r="V174" s="160"/>
      <c r="W174" s="210"/>
      <c r="X174" s="352">
        <f>SUM(L174:W174)</f>
        <v>1376365</v>
      </c>
      <c r="Y174" s="46"/>
      <c r="Z174" s="40"/>
    </row>
    <row r="175" spans="1:26" x14ac:dyDescent="0.2">
      <c r="A175" s="41">
        <f t="shared" ref="A175:B175" si="260">+A174</f>
        <v>2024018</v>
      </c>
      <c r="B175" s="42"/>
      <c r="C175" s="447"/>
      <c r="D175" s="431"/>
      <c r="E175" s="431"/>
      <c r="F175" s="431"/>
      <c r="G175" s="431"/>
      <c r="H175" s="431"/>
      <c r="I175" s="453"/>
      <c r="J175" s="450"/>
      <c r="K175" s="75" t="s">
        <v>34</v>
      </c>
      <c r="L175" s="211"/>
      <c r="M175" s="212"/>
      <c r="N175" s="212"/>
      <c r="O175" s="212"/>
      <c r="P175" s="212"/>
      <c r="Q175" s="212"/>
      <c r="R175" s="212"/>
      <c r="S175" s="212"/>
      <c r="T175" s="212"/>
      <c r="U175" s="162"/>
      <c r="V175" s="162"/>
      <c r="W175" s="353"/>
      <c r="X175" s="352">
        <v>0</v>
      </c>
      <c r="Y175" s="46"/>
      <c r="Z175" s="40"/>
    </row>
    <row r="176" spans="1:26" x14ac:dyDescent="0.2">
      <c r="A176" s="41">
        <f t="shared" ref="A176:B176" si="261">+A175</f>
        <v>2024018</v>
      </c>
      <c r="B176" s="42"/>
      <c r="C176" s="447"/>
      <c r="D176" s="431"/>
      <c r="E176" s="431"/>
      <c r="F176" s="431"/>
      <c r="G176" s="431"/>
      <c r="H176" s="431"/>
      <c r="I176" s="453"/>
      <c r="J176" s="450"/>
      <c r="K176" s="76" t="s">
        <v>24</v>
      </c>
      <c r="L176" s="287">
        <f t="shared" ref="L176:W176" si="262">SUM(L177:L183)</f>
        <v>0</v>
      </c>
      <c r="M176" s="288">
        <f t="shared" si="262"/>
        <v>0</v>
      </c>
      <c r="N176" s="288">
        <f t="shared" si="262"/>
        <v>0</v>
      </c>
      <c r="O176" s="288">
        <f t="shared" si="262"/>
        <v>0</v>
      </c>
      <c r="P176" s="288">
        <f t="shared" si="262"/>
        <v>333361</v>
      </c>
      <c r="Q176" s="288">
        <f t="shared" si="262"/>
        <v>328249</v>
      </c>
      <c r="R176" s="288">
        <f t="shared" si="262"/>
        <v>311926</v>
      </c>
      <c r="S176" s="288">
        <f t="shared" si="262"/>
        <v>0</v>
      </c>
      <c r="T176" s="288">
        <f t="shared" si="262"/>
        <v>0</v>
      </c>
      <c r="U176" s="377">
        <f t="shared" si="262"/>
        <v>0</v>
      </c>
      <c r="V176" s="377">
        <f t="shared" si="262"/>
        <v>0</v>
      </c>
      <c r="W176" s="354">
        <f t="shared" si="262"/>
        <v>0</v>
      </c>
      <c r="X176" s="355">
        <f>SUM(L176:W176)</f>
        <v>973536</v>
      </c>
      <c r="Y176" s="119"/>
      <c r="Z176" s="40"/>
    </row>
    <row r="177" spans="1:26" x14ac:dyDescent="0.2">
      <c r="A177" s="41">
        <f t="shared" ref="A177:B177" si="263">+A176</f>
        <v>2024018</v>
      </c>
      <c r="B177" s="42"/>
      <c r="C177" s="447"/>
      <c r="D177" s="431"/>
      <c r="E177" s="431"/>
      <c r="F177" s="431"/>
      <c r="G177" s="431"/>
      <c r="H177" s="431"/>
      <c r="I177" s="453"/>
      <c r="J177" s="450"/>
      <c r="K177" s="111" t="s">
        <v>25</v>
      </c>
      <c r="L177" s="289"/>
      <c r="M177" s="289"/>
      <c r="N177" s="289"/>
      <c r="O177" s="289"/>
      <c r="P177" s="296">
        <v>274414</v>
      </c>
      <c r="Q177" s="296">
        <v>270400</v>
      </c>
      <c r="R177" s="296">
        <v>270400</v>
      </c>
      <c r="S177" s="296"/>
      <c r="T177" s="296"/>
      <c r="U177" s="384"/>
      <c r="V177" s="384"/>
      <c r="W177" s="296"/>
      <c r="X177" s="352">
        <f t="shared" ref="X177:X183" si="264">SUM(L177:W177)</f>
        <v>815214</v>
      </c>
      <c r="Y177" s="46"/>
      <c r="Z177" s="40"/>
    </row>
    <row r="178" spans="1:26" x14ac:dyDescent="0.2">
      <c r="A178" s="41">
        <f t="shared" ref="A178:B178" si="265">+A177</f>
        <v>2024018</v>
      </c>
      <c r="B178" s="42"/>
      <c r="C178" s="447"/>
      <c r="D178" s="431"/>
      <c r="E178" s="431"/>
      <c r="F178" s="431"/>
      <c r="G178" s="431"/>
      <c r="H178" s="431"/>
      <c r="I178" s="453"/>
      <c r="J178" s="450"/>
      <c r="K178" s="111" t="s">
        <v>30</v>
      </c>
      <c r="L178" s="289"/>
      <c r="M178" s="289"/>
      <c r="N178" s="289"/>
      <c r="O178" s="289"/>
      <c r="P178" s="296"/>
      <c r="Q178" s="296"/>
      <c r="R178" s="296"/>
      <c r="S178" s="296"/>
      <c r="T178" s="296"/>
      <c r="U178" s="384"/>
      <c r="V178" s="384"/>
      <c r="W178" s="296"/>
      <c r="X178" s="352">
        <f t="shared" si="264"/>
        <v>0</v>
      </c>
      <c r="Y178" s="46"/>
      <c r="Z178" s="40"/>
    </row>
    <row r="179" spans="1:26" x14ac:dyDescent="0.2">
      <c r="A179" s="41">
        <f t="shared" ref="A179:B179" si="266">+A178</f>
        <v>2024018</v>
      </c>
      <c r="B179" s="42"/>
      <c r="C179" s="447"/>
      <c r="D179" s="431"/>
      <c r="E179" s="431"/>
      <c r="F179" s="431"/>
      <c r="G179" s="431"/>
      <c r="H179" s="431"/>
      <c r="I179" s="453"/>
      <c r="J179" s="450"/>
      <c r="K179" s="111" t="s">
        <v>33</v>
      </c>
      <c r="L179" s="289"/>
      <c r="M179" s="289"/>
      <c r="N179" s="289"/>
      <c r="O179" s="289"/>
      <c r="P179" s="296">
        <v>19718</v>
      </c>
      <c r="Q179" s="296">
        <v>18674</v>
      </c>
      <c r="R179" s="296">
        <v>2520</v>
      </c>
      <c r="S179" s="296"/>
      <c r="T179" s="296"/>
      <c r="U179" s="384"/>
      <c r="V179" s="384"/>
      <c r="W179" s="296"/>
      <c r="X179" s="352">
        <f t="shared" si="264"/>
        <v>40912</v>
      </c>
      <c r="Y179" s="46"/>
      <c r="Z179" s="40"/>
    </row>
    <row r="180" spans="1:26" x14ac:dyDescent="0.2">
      <c r="A180" s="41">
        <f t="shared" ref="A180:B180" si="267">+A179</f>
        <v>2024018</v>
      </c>
      <c r="B180" s="42"/>
      <c r="C180" s="447"/>
      <c r="D180" s="431"/>
      <c r="E180" s="431"/>
      <c r="F180" s="431"/>
      <c r="G180" s="431"/>
      <c r="H180" s="431"/>
      <c r="I180" s="453"/>
      <c r="J180" s="450"/>
      <c r="K180" s="111" t="s">
        <v>26</v>
      </c>
      <c r="L180" s="290"/>
      <c r="M180" s="290"/>
      <c r="N180" s="290"/>
      <c r="O180" s="290"/>
      <c r="P180" s="296">
        <v>12350</v>
      </c>
      <c r="Q180" s="296">
        <v>12350</v>
      </c>
      <c r="R180" s="296">
        <v>12350</v>
      </c>
      <c r="S180" s="296"/>
      <c r="T180" s="296"/>
      <c r="U180" s="384"/>
      <c r="V180" s="384"/>
      <c r="W180" s="296"/>
      <c r="X180" s="352">
        <f t="shared" si="264"/>
        <v>37050</v>
      </c>
      <c r="Y180" s="46"/>
      <c r="Z180" s="40"/>
    </row>
    <row r="181" spans="1:26" x14ac:dyDescent="0.2">
      <c r="A181" s="41">
        <f t="shared" ref="A181:B181" si="268">+A180</f>
        <v>2024018</v>
      </c>
      <c r="B181" s="42"/>
      <c r="C181" s="447"/>
      <c r="D181" s="431"/>
      <c r="E181" s="431"/>
      <c r="F181" s="431"/>
      <c r="G181" s="431"/>
      <c r="H181" s="431"/>
      <c r="I181" s="453"/>
      <c r="J181" s="450"/>
      <c r="K181" s="111" t="s">
        <v>27</v>
      </c>
      <c r="L181" s="290"/>
      <c r="M181" s="290"/>
      <c r="N181" s="290"/>
      <c r="O181" s="290"/>
      <c r="P181" s="296">
        <v>23790</v>
      </c>
      <c r="Q181" s="296">
        <v>23790</v>
      </c>
      <c r="R181" s="296">
        <v>23790</v>
      </c>
      <c r="S181" s="296"/>
      <c r="T181" s="296"/>
      <c r="U181" s="384"/>
      <c r="V181" s="384"/>
      <c r="W181" s="296"/>
      <c r="X181" s="352">
        <f t="shared" si="264"/>
        <v>71370</v>
      </c>
      <c r="Y181" s="46"/>
      <c r="Z181" s="40"/>
    </row>
    <row r="182" spans="1:26" x14ac:dyDescent="0.2">
      <c r="A182" s="41">
        <f t="shared" ref="A182:B182" si="269">+A181</f>
        <v>2024018</v>
      </c>
      <c r="B182" s="42"/>
      <c r="C182" s="447"/>
      <c r="D182" s="431"/>
      <c r="E182" s="431"/>
      <c r="F182" s="431"/>
      <c r="G182" s="431"/>
      <c r="H182" s="431"/>
      <c r="I182" s="453"/>
      <c r="J182" s="450"/>
      <c r="K182" s="111" t="s">
        <v>28</v>
      </c>
      <c r="L182" s="290"/>
      <c r="M182" s="290"/>
      <c r="N182" s="290"/>
      <c r="O182" s="290"/>
      <c r="P182" s="296">
        <v>1471</v>
      </c>
      <c r="Q182" s="296">
        <v>1445</v>
      </c>
      <c r="R182" s="296">
        <v>1365</v>
      </c>
      <c r="S182" s="296"/>
      <c r="T182" s="296"/>
      <c r="U182" s="384"/>
      <c r="V182" s="384"/>
      <c r="W182" s="296"/>
      <c r="X182" s="352">
        <f t="shared" si="264"/>
        <v>4281</v>
      </c>
      <c r="Y182" s="46"/>
      <c r="Z182" s="40"/>
    </row>
    <row r="183" spans="1:26" x14ac:dyDescent="0.2">
      <c r="A183" s="41">
        <f t="shared" ref="A183:B183" si="270">+A182</f>
        <v>2024018</v>
      </c>
      <c r="B183" s="42"/>
      <c r="C183" s="447"/>
      <c r="D183" s="431"/>
      <c r="E183" s="431"/>
      <c r="F183" s="431"/>
      <c r="G183" s="431"/>
      <c r="H183" s="431"/>
      <c r="I183" s="453"/>
      <c r="J183" s="450"/>
      <c r="K183" s="112" t="s">
        <v>29</v>
      </c>
      <c r="L183" s="290"/>
      <c r="M183" s="290"/>
      <c r="N183" s="290"/>
      <c r="O183" s="290"/>
      <c r="P183" s="296">
        <v>1618</v>
      </c>
      <c r="Q183" s="296">
        <v>1590</v>
      </c>
      <c r="R183" s="296">
        <v>1501</v>
      </c>
      <c r="S183" s="296"/>
      <c r="T183" s="296"/>
      <c r="U183" s="384"/>
      <c r="V183" s="384"/>
      <c r="W183" s="296"/>
      <c r="X183" s="358">
        <f t="shared" si="264"/>
        <v>4709</v>
      </c>
      <c r="Y183" s="46"/>
      <c r="Z183" s="40"/>
    </row>
    <row r="184" spans="1:26" x14ac:dyDescent="0.2">
      <c r="A184" s="41">
        <f t="shared" ref="A184:B184" si="271">+A183</f>
        <v>2024018</v>
      </c>
      <c r="B184" s="42"/>
      <c r="C184" s="466"/>
      <c r="D184" s="432"/>
      <c r="E184" s="432"/>
      <c r="F184" s="432"/>
      <c r="G184" s="432"/>
      <c r="H184" s="432"/>
      <c r="I184" s="456"/>
      <c r="J184" s="457"/>
      <c r="K184" s="359" t="s">
        <v>39</v>
      </c>
      <c r="L184" s="257">
        <f t="shared" ref="L184:Q184" si="272">L173-L176</f>
        <v>0</v>
      </c>
      <c r="M184" s="258">
        <f t="shared" si="272"/>
        <v>0</v>
      </c>
      <c r="N184" s="258">
        <f t="shared" si="272"/>
        <v>0</v>
      </c>
      <c r="O184" s="258">
        <f t="shared" si="272"/>
        <v>0</v>
      </c>
      <c r="P184" s="258">
        <f t="shared" si="272"/>
        <v>166639</v>
      </c>
      <c r="Q184" s="258">
        <f t="shared" si="272"/>
        <v>171751</v>
      </c>
      <c r="R184" s="258">
        <f>R173-R176</f>
        <v>64439</v>
      </c>
      <c r="S184" s="258">
        <f t="shared" ref="S184:V184" si="273">S173-S176</f>
        <v>0</v>
      </c>
      <c r="T184" s="258">
        <f t="shared" si="273"/>
        <v>0</v>
      </c>
      <c r="U184" s="170">
        <f t="shared" si="273"/>
        <v>0</v>
      </c>
      <c r="V184" s="170">
        <f t="shared" si="273"/>
        <v>0</v>
      </c>
      <c r="W184" s="360">
        <f>W173-W176</f>
        <v>0</v>
      </c>
      <c r="X184" s="361">
        <f>X173-X176</f>
        <v>402829</v>
      </c>
      <c r="Y184" s="46"/>
      <c r="Z184" s="40"/>
    </row>
    <row r="185" spans="1:26" ht="12.75" customHeight="1" x14ac:dyDescent="0.2">
      <c r="A185" s="18">
        <v>2024001</v>
      </c>
      <c r="C185" s="424">
        <f t="shared" ref="C185" si="274">C173+1</f>
        <v>15</v>
      </c>
      <c r="D185" s="427" t="s">
        <v>66</v>
      </c>
      <c r="E185" s="427"/>
      <c r="F185" s="463"/>
      <c r="G185" s="427"/>
      <c r="H185" s="430"/>
      <c r="I185" s="433"/>
      <c r="J185" s="436" t="s">
        <v>36</v>
      </c>
      <c r="K185" s="93" t="s">
        <v>37</v>
      </c>
      <c r="L185" s="217">
        <f t="shared" ref="L185:W185" si="275">L186+L187</f>
        <v>363845</v>
      </c>
      <c r="M185" s="217">
        <f t="shared" si="275"/>
        <v>484350</v>
      </c>
      <c r="N185" s="217">
        <f t="shared" si="275"/>
        <v>490610</v>
      </c>
      <c r="O185" s="217">
        <f t="shared" si="275"/>
        <v>500000</v>
      </c>
      <c r="P185" s="217">
        <f t="shared" si="275"/>
        <v>484350</v>
      </c>
      <c r="Q185" s="161">
        <f t="shared" si="275"/>
        <v>500000</v>
      </c>
      <c r="R185" s="217">
        <f t="shared" si="275"/>
        <v>600000</v>
      </c>
      <c r="S185" s="217">
        <f t="shared" si="275"/>
        <v>600000</v>
      </c>
      <c r="T185" s="217">
        <f t="shared" si="275"/>
        <v>600000</v>
      </c>
      <c r="U185" s="161">
        <f t="shared" si="275"/>
        <v>600000</v>
      </c>
      <c r="V185" s="161">
        <f t="shared" si="275"/>
        <v>591420</v>
      </c>
      <c r="W185" s="100">
        <f t="shared" si="275"/>
        <v>500000</v>
      </c>
      <c r="X185" s="106">
        <f>SUM(L185:W185)</f>
        <v>6314575</v>
      </c>
      <c r="Z185" s="40"/>
    </row>
    <row r="186" spans="1:26" x14ac:dyDescent="0.2">
      <c r="A186" s="41">
        <f t="shared" ref="A186:B186" si="276">+A185</f>
        <v>2024001</v>
      </c>
      <c r="B186" s="42"/>
      <c r="C186" s="425"/>
      <c r="D186" s="428"/>
      <c r="E186" s="428"/>
      <c r="F186" s="464"/>
      <c r="G186" s="428"/>
      <c r="H186" s="431"/>
      <c r="I186" s="434"/>
      <c r="J186" s="437"/>
      <c r="K186" s="43" t="s">
        <v>38</v>
      </c>
      <c r="L186" s="210">
        <v>363845</v>
      </c>
      <c r="M186" s="210">
        <v>484350</v>
      </c>
      <c r="N186" s="210">
        <v>490610</v>
      </c>
      <c r="O186" s="210">
        <v>500000</v>
      </c>
      <c r="P186" s="210">
        <v>484350</v>
      </c>
      <c r="Q186" s="160">
        <v>500000</v>
      </c>
      <c r="R186" s="210">
        <v>600000</v>
      </c>
      <c r="S186" s="210">
        <v>600000</v>
      </c>
      <c r="T186" s="210">
        <v>600000</v>
      </c>
      <c r="U186" s="160">
        <v>600000</v>
      </c>
      <c r="V186" s="160">
        <v>591420</v>
      </c>
      <c r="W186" s="44">
        <v>500000</v>
      </c>
      <c r="X186" s="94">
        <f>SUM(L186:W186)</f>
        <v>6314575</v>
      </c>
      <c r="Y186" s="46"/>
      <c r="Z186" s="40"/>
    </row>
    <row r="187" spans="1:26" x14ac:dyDescent="0.2">
      <c r="A187" s="41">
        <f t="shared" ref="A187:B187" si="277">+A186</f>
        <v>2024001</v>
      </c>
      <c r="B187" s="42"/>
      <c r="C187" s="425"/>
      <c r="D187" s="428"/>
      <c r="E187" s="428"/>
      <c r="F187" s="464"/>
      <c r="G187" s="428"/>
      <c r="H187" s="431"/>
      <c r="I187" s="434"/>
      <c r="J187" s="437"/>
      <c r="K187" s="43" t="s">
        <v>34</v>
      </c>
      <c r="L187" s="211"/>
      <c r="M187" s="212"/>
      <c r="N187" s="212"/>
      <c r="O187" s="212"/>
      <c r="P187" s="212"/>
      <c r="Q187" s="162"/>
      <c r="R187" s="212"/>
      <c r="S187" s="212"/>
      <c r="T187" s="212"/>
      <c r="U187" s="162"/>
      <c r="V187" s="162"/>
      <c r="W187" s="97"/>
      <c r="X187" s="94">
        <v>0</v>
      </c>
      <c r="Y187" s="46"/>
      <c r="Z187" s="40"/>
    </row>
    <row r="188" spans="1:26" x14ac:dyDescent="0.2">
      <c r="A188" s="41">
        <f t="shared" ref="A188:B188" si="278">+A187</f>
        <v>2024001</v>
      </c>
      <c r="B188" s="42"/>
      <c r="C188" s="425"/>
      <c r="D188" s="428"/>
      <c r="E188" s="428"/>
      <c r="F188" s="464"/>
      <c r="G188" s="428"/>
      <c r="H188" s="431"/>
      <c r="I188" s="434"/>
      <c r="J188" s="437"/>
      <c r="K188" s="49" t="s">
        <v>24</v>
      </c>
      <c r="L188" s="287">
        <f t="shared" ref="L188:W188" si="279">SUM(L189:L195)</f>
        <v>315658</v>
      </c>
      <c r="M188" s="288">
        <f t="shared" si="279"/>
        <v>284925</v>
      </c>
      <c r="N188" s="288">
        <f t="shared" si="279"/>
        <v>283712</v>
      </c>
      <c r="O188" s="288">
        <f t="shared" si="279"/>
        <v>283712</v>
      </c>
      <c r="P188" s="288">
        <f t="shared" si="279"/>
        <v>283712</v>
      </c>
      <c r="Q188" s="377">
        <f t="shared" si="279"/>
        <v>283712</v>
      </c>
      <c r="R188" s="288">
        <f t="shared" si="279"/>
        <v>310996</v>
      </c>
      <c r="S188" s="288">
        <f t="shared" si="279"/>
        <v>310996</v>
      </c>
      <c r="T188" s="288">
        <f t="shared" si="279"/>
        <v>310188</v>
      </c>
      <c r="U188" s="377">
        <f t="shared" si="279"/>
        <v>294873</v>
      </c>
      <c r="V188" s="377">
        <f t="shared" si="279"/>
        <v>316588</v>
      </c>
      <c r="W188" s="113">
        <f t="shared" si="279"/>
        <v>308497.5</v>
      </c>
      <c r="X188" s="103">
        <f>SUM(L188:W188)</f>
        <v>3587569.5</v>
      </c>
      <c r="Y188" s="119"/>
      <c r="Z188" s="40"/>
    </row>
    <row r="189" spans="1:26" x14ac:dyDescent="0.2">
      <c r="A189" s="41">
        <f t="shared" ref="A189:B189" si="280">+A188</f>
        <v>2024001</v>
      </c>
      <c r="B189" s="42"/>
      <c r="C189" s="425"/>
      <c r="D189" s="428"/>
      <c r="E189" s="428"/>
      <c r="F189" s="464"/>
      <c r="G189" s="428"/>
      <c r="H189" s="431"/>
      <c r="I189" s="434"/>
      <c r="J189" s="437"/>
      <c r="K189" s="110" t="s">
        <v>25</v>
      </c>
      <c r="L189" s="296">
        <v>248200</v>
      </c>
      <c r="M189" s="296">
        <v>246200</v>
      </c>
      <c r="N189" s="296">
        <v>245000</v>
      </c>
      <c r="O189" s="296">
        <v>245000</v>
      </c>
      <c r="P189" s="296">
        <v>245000</v>
      </c>
      <c r="Q189" s="384">
        <v>245000</v>
      </c>
      <c r="R189" s="296">
        <v>272000</v>
      </c>
      <c r="S189" s="296">
        <v>272000</v>
      </c>
      <c r="T189" s="296">
        <v>271200</v>
      </c>
      <c r="U189" s="384">
        <v>256045</v>
      </c>
      <c r="V189" s="384">
        <v>273825</v>
      </c>
      <c r="W189" s="156">
        <v>250443.75</v>
      </c>
      <c r="X189" s="94">
        <f t="shared" ref="X189:X195" si="281">SUM(L189:W189)</f>
        <v>3069913.75</v>
      </c>
      <c r="Y189" s="46"/>
      <c r="Z189" s="40"/>
    </row>
    <row r="190" spans="1:26" x14ac:dyDescent="0.2">
      <c r="A190" s="41">
        <f t="shared" ref="A190:B190" si="282">+A189</f>
        <v>2024001</v>
      </c>
      <c r="B190" s="42"/>
      <c r="C190" s="425"/>
      <c r="D190" s="428"/>
      <c r="E190" s="428"/>
      <c r="F190" s="464"/>
      <c r="G190" s="428"/>
      <c r="H190" s="431"/>
      <c r="I190" s="434"/>
      <c r="J190" s="437"/>
      <c r="K190" s="110" t="s">
        <v>30</v>
      </c>
      <c r="L190" s="296">
        <v>19961</v>
      </c>
      <c r="M190" s="296"/>
      <c r="N190" s="296"/>
      <c r="O190" s="296"/>
      <c r="P190" s="296"/>
      <c r="Q190" s="384"/>
      <c r="R190" s="296"/>
      <c r="S190" s="296"/>
      <c r="T190" s="296"/>
      <c r="U190" s="384"/>
      <c r="V190" s="384"/>
      <c r="W190" s="156"/>
      <c r="X190" s="94">
        <f t="shared" si="281"/>
        <v>19961</v>
      </c>
      <c r="Y190" s="46"/>
      <c r="Z190" s="40"/>
    </row>
    <row r="191" spans="1:26" x14ac:dyDescent="0.2">
      <c r="A191" s="41">
        <f t="shared" ref="A191:B191" si="283">+A190</f>
        <v>2024001</v>
      </c>
      <c r="B191" s="42"/>
      <c r="C191" s="425"/>
      <c r="D191" s="428"/>
      <c r="E191" s="428"/>
      <c r="F191" s="464"/>
      <c r="G191" s="428"/>
      <c r="H191" s="431"/>
      <c r="I191" s="434"/>
      <c r="J191" s="437"/>
      <c r="K191" s="110" t="s">
        <v>33</v>
      </c>
      <c r="L191" s="296">
        <v>8660</v>
      </c>
      <c r="M191" s="296">
        <v>0</v>
      </c>
      <c r="N191" s="296">
        <v>0</v>
      </c>
      <c r="O191" s="296" t="s">
        <v>71</v>
      </c>
      <c r="P191" s="296" t="s">
        <v>71</v>
      </c>
      <c r="Q191" s="384">
        <v>0</v>
      </c>
      <c r="R191" s="296">
        <v>0</v>
      </c>
      <c r="S191" s="296">
        <v>0</v>
      </c>
      <c r="T191" s="296">
        <v>0</v>
      </c>
      <c r="U191" s="384">
        <v>0</v>
      </c>
      <c r="V191" s="384">
        <v>3528</v>
      </c>
      <c r="W191" s="156">
        <v>18950</v>
      </c>
      <c r="X191" s="94">
        <f t="shared" si="281"/>
        <v>31138</v>
      </c>
      <c r="Y191" s="46"/>
      <c r="Z191" s="40"/>
    </row>
    <row r="192" spans="1:26" x14ac:dyDescent="0.2">
      <c r="A192" s="41">
        <f t="shared" ref="A192:B192" si="284">+A191</f>
        <v>2024001</v>
      </c>
      <c r="B192" s="42"/>
      <c r="C192" s="425"/>
      <c r="D192" s="428"/>
      <c r="E192" s="428"/>
      <c r="F192" s="464"/>
      <c r="G192" s="428"/>
      <c r="H192" s="431"/>
      <c r="I192" s="434"/>
      <c r="J192" s="437"/>
      <c r="K192" s="111" t="s">
        <v>26</v>
      </c>
      <c r="L192" s="296">
        <v>12350</v>
      </c>
      <c r="M192" s="296">
        <v>12350</v>
      </c>
      <c r="N192" s="296">
        <v>12350</v>
      </c>
      <c r="O192" s="296">
        <v>12350</v>
      </c>
      <c r="P192" s="296">
        <v>12350</v>
      </c>
      <c r="Q192" s="384">
        <v>12350</v>
      </c>
      <c r="R192" s="296">
        <v>12350</v>
      </c>
      <c r="S192" s="296">
        <v>12350</v>
      </c>
      <c r="T192" s="296">
        <v>12350</v>
      </c>
      <c r="U192" s="384">
        <v>12350</v>
      </c>
      <c r="V192" s="384">
        <v>12350</v>
      </c>
      <c r="W192" s="156">
        <v>12350</v>
      </c>
      <c r="X192" s="94">
        <f t="shared" si="281"/>
        <v>148200</v>
      </c>
      <c r="Y192" s="46"/>
      <c r="Z192" s="40"/>
    </row>
    <row r="193" spans="1:26" x14ac:dyDescent="0.2">
      <c r="A193" s="41">
        <f t="shared" ref="A193:B193" si="285">+A192</f>
        <v>2024001</v>
      </c>
      <c r="B193" s="42"/>
      <c r="C193" s="425"/>
      <c r="D193" s="428"/>
      <c r="E193" s="428"/>
      <c r="F193" s="464"/>
      <c r="G193" s="428"/>
      <c r="H193" s="431"/>
      <c r="I193" s="434"/>
      <c r="J193" s="437"/>
      <c r="K193" s="111" t="s">
        <v>27</v>
      </c>
      <c r="L193" s="296">
        <v>23790</v>
      </c>
      <c r="M193" s="296">
        <v>23790</v>
      </c>
      <c r="N193" s="296">
        <v>23790</v>
      </c>
      <c r="O193" s="296">
        <v>23790</v>
      </c>
      <c r="P193" s="296">
        <v>23790</v>
      </c>
      <c r="Q193" s="384">
        <v>23790</v>
      </c>
      <c r="R193" s="296">
        <v>23790</v>
      </c>
      <c r="S193" s="296">
        <v>23790</v>
      </c>
      <c r="T193" s="296">
        <v>23790</v>
      </c>
      <c r="U193" s="384">
        <v>23790</v>
      </c>
      <c r="V193" s="384">
        <v>23790</v>
      </c>
      <c r="W193" s="156">
        <v>23790</v>
      </c>
      <c r="X193" s="94">
        <f t="shared" si="281"/>
        <v>285480</v>
      </c>
      <c r="Y193" s="46"/>
      <c r="Z193" s="40"/>
    </row>
    <row r="194" spans="1:26" x14ac:dyDescent="0.2">
      <c r="A194" s="41">
        <f t="shared" ref="A194:B194" si="286">+A193</f>
        <v>2024001</v>
      </c>
      <c r="B194" s="42"/>
      <c r="C194" s="425"/>
      <c r="D194" s="428"/>
      <c r="E194" s="428"/>
      <c r="F194" s="464"/>
      <c r="G194" s="428"/>
      <c r="H194" s="431"/>
      <c r="I194" s="434"/>
      <c r="J194" s="437"/>
      <c r="K194" s="111" t="s">
        <v>28</v>
      </c>
      <c r="L194" s="296">
        <v>1284</v>
      </c>
      <c r="M194" s="296">
        <v>1231</v>
      </c>
      <c r="N194" s="296">
        <v>1225</v>
      </c>
      <c r="O194" s="296">
        <v>1225</v>
      </c>
      <c r="P194" s="296">
        <v>1225</v>
      </c>
      <c r="Q194" s="384">
        <v>1225</v>
      </c>
      <c r="R194" s="296">
        <v>1360</v>
      </c>
      <c r="S194" s="296">
        <v>1360</v>
      </c>
      <c r="T194" s="296">
        <v>1356</v>
      </c>
      <c r="U194" s="384">
        <v>1280</v>
      </c>
      <c r="V194" s="384">
        <v>1474</v>
      </c>
      <c r="W194" s="156">
        <v>1347.25</v>
      </c>
      <c r="X194" s="94">
        <f t="shared" si="281"/>
        <v>15592.25</v>
      </c>
      <c r="Y194" s="46"/>
      <c r="Z194" s="40"/>
    </row>
    <row r="195" spans="1:26" x14ac:dyDescent="0.2">
      <c r="A195" s="41">
        <f t="shared" ref="A195:B195" si="287">+A194</f>
        <v>2024001</v>
      </c>
      <c r="B195" s="42"/>
      <c r="C195" s="425"/>
      <c r="D195" s="428"/>
      <c r="E195" s="428"/>
      <c r="F195" s="464"/>
      <c r="G195" s="428"/>
      <c r="H195" s="431"/>
      <c r="I195" s="434"/>
      <c r="J195" s="437"/>
      <c r="K195" s="112" t="s">
        <v>29</v>
      </c>
      <c r="L195" s="296">
        <v>1413</v>
      </c>
      <c r="M195" s="296">
        <v>1354</v>
      </c>
      <c r="N195" s="296">
        <v>1347</v>
      </c>
      <c r="O195" s="296">
        <v>1347</v>
      </c>
      <c r="P195" s="296">
        <v>1347</v>
      </c>
      <c r="Q195" s="384">
        <v>1347</v>
      </c>
      <c r="R195" s="296">
        <v>1496</v>
      </c>
      <c r="S195" s="296">
        <v>1496</v>
      </c>
      <c r="T195" s="296">
        <v>1492</v>
      </c>
      <c r="U195" s="384">
        <v>1408</v>
      </c>
      <c r="V195" s="384">
        <v>1621</v>
      </c>
      <c r="W195" s="156">
        <v>1616.5</v>
      </c>
      <c r="X195" s="104">
        <f t="shared" si="281"/>
        <v>17284.5</v>
      </c>
      <c r="Y195" s="46"/>
      <c r="Z195" s="40"/>
    </row>
    <row r="196" spans="1:26" x14ac:dyDescent="0.2">
      <c r="A196" s="41">
        <f t="shared" ref="A196:B196" si="288">+A195</f>
        <v>2024001</v>
      </c>
      <c r="B196" s="42"/>
      <c r="C196" s="426"/>
      <c r="D196" s="429"/>
      <c r="E196" s="429"/>
      <c r="F196" s="465"/>
      <c r="G196" s="429"/>
      <c r="H196" s="432"/>
      <c r="I196" s="435"/>
      <c r="J196" s="438"/>
      <c r="K196" s="73" t="s">
        <v>39</v>
      </c>
      <c r="L196" s="257">
        <f t="shared" ref="L196:Q196" si="289">L185-L188</f>
        <v>48187</v>
      </c>
      <c r="M196" s="258">
        <f t="shared" si="289"/>
        <v>199425</v>
      </c>
      <c r="N196" s="258">
        <f t="shared" si="289"/>
        <v>206898</v>
      </c>
      <c r="O196" s="258">
        <f t="shared" si="289"/>
        <v>216288</v>
      </c>
      <c r="P196" s="258">
        <f t="shared" si="289"/>
        <v>200638</v>
      </c>
      <c r="Q196" s="170">
        <f t="shared" si="289"/>
        <v>216288</v>
      </c>
      <c r="R196" s="258">
        <f>R185-R188</f>
        <v>289004</v>
      </c>
      <c r="S196" s="258">
        <f t="shared" ref="S196:V196" si="290">S185-S188</f>
        <v>289004</v>
      </c>
      <c r="T196" s="258">
        <f t="shared" si="290"/>
        <v>289812</v>
      </c>
      <c r="U196" s="170">
        <f t="shared" si="290"/>
        <v>305127</v>
      </c>
      <c r="V196" s="170">
        <f t="shared" si="290"/>
        <v>274832</v>
      </c>
      <c r="W196" s="114">
        <f>W185-W188</f>
        <v>191502.5</v>
      </c>
      <c r="X196" s="105">
        <f>X185-X188</f>
        <v>2727005.5</v>
      </c>
      <c r="Y196" s="46"/>
      <c r="Z196" s="40"/>
    </row>
    <row r="197" spans="1:26" ht="12.75" customHeight="1" x14ac:dyDescent="0.2">
      <c r="A197" s="7">
        <v>2018012</v>
      </c>
      <c r="B197" s="10"/>
      <c r="C197" s="424">
        <f t="shared" ref="C197" si="291">C185+1</f>
        <v>16</v>
      </c>
      <c r="D197" s="427" t="s">
        <v>66</v>
      </c>
      <c r="E197" s="427"/>
      <c r="F197" s="430"/>
      <c r="G197" s="427"/>
      <c r="H197" s="430"/>
      <c r="I197" s="433"/>
      <c r="J197" s="436" t="s">
        <v>36</v>
      </c>
      <c r="K197" s="93" t="s">
        <v>37</v>
      </c>
      <c r="L197" s="217">
        <f t="shared" ref="L197:W197" si="292">L198+L199</f>
        <v>461120</v>
      </c>
      <c r="M197" s="217">
        <f t="shared" si="292"/>
        <v>411840</v>
      </c>
      <c r="N197" s="217">
        <f t="shared" si="292"/>
        <v>517440</v>
      </c>
      <c r="O197" s="217">
        <f t="shared" si="292"/>
        <v>484000</v>
      </c>
      <c r="P197" s="217">
        <f t="shared" si="292"/>
        <v>512160</v>
      </c>
      <c r="Q197" s="161">
        <f t="shared" si="292"/>
        <v>533280</v>
      </c>
      <c r="R197" s="217">
        <f t="shared" si="292"/>
        <v>454080</v>
      </c>
      <c r="S197" s="217">
        <f t="shared" si="292"/>
        <v>462880</v>
      </c>
      <c r="T197" s="217">
        <f t="shared" si="292"/>
        <v>557920</v>
      </c>
      <c r="U197" s="161">
        <f t="shared" si="292"/>
        <v>434720</v>
      </c>
      <c r="V197" s="161">
        <f t="shared" si="292"/>
        <v>390720</v>
      </c>
      <c r="W197" s="100">
        <f t="shared" si="292"/>
        <v>500000</v>
      </c>
      <c r="X197" s="106">
        <f>SUM(L197:W197)</f>
        <v>5720160</v>
      </c>
      <c r="Z197" s="40"/>
    </row>
    <row r="198" spans="1:26" x14ac:dyDescent="0.2">
      <c r="A198" s="41">
        <f t="shared" ref="A198:B198" si="293">+A197</f>
        <v>2018012</v>
      </c>
      <c r="B198" s="42"/>
      <c r="C198" s="425"/>
      <c r="D198" s="428"/>
      <c r="E198" s="428"/>
      <c r="F198" s="431"/>
      <c r="G198" s="428"/>
      <c r="H198" s="431"/>
      <c r="I198" s="434"/>
      <c r="J198" s="437"/>
      <c r="K198" s="43" t="s">
        <v>38</v>
      </c>
      <c r="L198" s="210">
        <v>461120</v>
      </c>
      <c r="M198" s="210">
        <v>411840</v>
      </c>
      <c r="N198" s="210">
        <v>517440</v>
      </c>
      <c r="O198" s="210">
        <v>484000</v>
      </c>
      <c r="P198" s="210">
        <v>512160</v>
      </c>
      <c r="Q198" s="160">
        <v>533280</v>
      </c>
      <c r="R198" s="210">
        <v>454080</v>
      </c>
      <c r="S198" s="210">
        <v>462880</v>
      </c>
      <c r="T198" s="210">
        <v>557920</v>
      </c>
      <c r="U198" s="160">
        <v>434720</v>
      </c>
      <c r="V198" s="160">
        <v>390720</v>
      </c>
      <c r="W198" s="44">
        <v>500000</v>
      </c>
      <c r="X198" s="94">
        <f>SUM(L198:W198)</f>
        <v>5720160</v>
      </c>
      <c r="Y198" s="46"/>
      <c r="Z198" s="40"/>
    </row>
    <row r="199" spans="1:26" x14ac:dyDescent="0.2">
      <c r="A199" s="41">
        <f t="shared" ref="A199:B199" si="294">+A198</f>
        <v>2018012</v>
      </c>
      <c r="B199" s="42"/>
      <c r="C199" s="425"/>
      <c r="D199" s="428"/>
      <c r="E199" s="428"/>
      <c r="F199" s="431"/>
      <c r="G199" s="428"/>
      <c r="H199" s="431"/>
      <c r="I199" s="434"/>
      <c r="J199" s="437"/>
      <c r="K199" s="43" t="s">
        <v>34</v>
      </c>
      <c r="L199" s="211"/>
      <c r="M199" s="212"/>
      <c r="N199" s="212"/>
      <c r="O199" s="212"/>
      <c r="P199" s="212"/>
      <c r="Q199" s="162"/>
      <c r="R199" s="212"/>
      <c r="S199" s="212"/>
      <c r="T199" s="212"/>
      <c r="U199" s="162"/>
      <c r="V199" s="162"/>
      <c r="W199" s="97"/>
      <c r="X199" s="94">
        <v>0</v>
      </c>
      <c r="Y199" s="46"/>
      <c r="Z199" s="40"/>
    </row>
    <row r="200" spans="1:26" x14ac:dyDescent="0.2">
      <c r="A200" s="41">
        <f t="shared" ref="A200:B200" si="295">+A199</f>
        <v>2018012</v>
      </c>
      <c r="B200" s="42"/>
      <c r="C200" s="425"/>
      <c r="D200" s="428"/>
      <c r="E200" s="428"/>
      <c r="F200" s="431"/>
      <c r="G200" s="428"/>
      <c r="H200" s="431"/>
      <c r="I200" s="434"/>
      <c r="J200" s="437"/>
      <c r="K200" s="49" t="s">
        <v>24</v>
      </c>
      <c r="L200" s="287">
        <f t="shared" ref="L200:W200" si="296">SUM(L201:L207)</f>
        <v>416084</v>
      </c>
      <c r="M200" s="288">
        <f t="shared" si="296"/>
        <v>410080</v>
      </c>
      <c r="N200" s="288">
        <f t="shared" si="296"/>
        <v>499818</v>
      </c>
      <c r="O200" s="288">
        <f t="shared" si="296"/>
        <v>502849</v>
      </c>
      <c r="P200" s="288">
        <f t="shared" si="296"/>
        <v>504207</v>
      </c>
      <c r="Q200" s="377">
        <f t="shared" si="296"/>
        <v>501162</v>
      </c>
      <c r="R200" s="288">
        <f t="shared" si="296"/>
        <v>504565</v>
      </c>
      <c r="S200" s="288">
        <f t="shared" si="296"/>
        <v>495575</v>
      </c>
      <c r="T200" s="288">
        <f t="shared" si="296"/>
        <v>536045</v>
      </c>
      <c r="U200" s="377">
        <f t="shared" si="296"/>
        <v>503077</v>
      </c>
      <c r="V200" s="377">
        <f t="shared" si="296"/>
        <v>503474</v>
      </c>
      <c r="W200" s="113">
        <f t="shared" si="296"/>
        <v>416084</v>
      </c>
      <c r="X200" s="103">
        <f>SUM(L200:W200)</f>
        <v>5793020</v>
      </c>
      <c r="Y200" s="119"/>
      <c r="Z200" s="40"/>
    </row>
    <row r="201" spans="1:26" x14ac:dyDescent="0.2">
      <c r="A201" s="41">
        <f t="shared" ref="A201:B201" si="297">+A200</f>
        <v>2018012</v>
      </c>
      <c r="B201" s="42"/>
      <c r="C201" s="425"/>
      <c r="D201" s="428"/>
      <c r="E201" s="428"/>
      <c r="F201" s="431"/>
      <c r="G201" s="428"/>
      <c r="H201" s="431"/>
      <c r="I201" s="434"/>
      <c r="J201" s="437"/>
      <c r="K201" s="110" t="s">
        <v>25</v>
      </c>
      <c r="L201" s="296">
        <f>430500*0.8</f>
        <v>344400</v>
      </c>
      <c r="M201" s="296">
        <f>430500*0.8</f>
        <v>344400</v>
      </c>
      <c r="N201" s="296">
        <v>434100</v>
      </c>
      <c r="O201" s="296">
        <v>437100</v>
      </c>
      <c r="P201" s="296">
        <v>432900</v>
      </c>
      <c r="Q201" s="384">
        <v>432500</v>
      </c>
      <c r="R201" s="296">
        <v>435700</v>
      </c>
      <c r="S201" s="296">
        <v>430500</v>
      </c>
      <c r="T201" s="296">
        <v>466518</v>
      </c>
      <c r="U201" s="384">
        <v>434900</v>
      </c>
      <c r="V201" s="384">
        <v>435700</v>
      </c>
      <c r="W201" s="156">
        <f t="shared" ref="W201" si="298">430500*0.8</f>
        <v>344400</v>
      </c>
      <c r="X201" s="94">
        <f t="shared" ref="X201:X207" si="299">SUM(L201:W201)</f>
        <v>4973118</v>
      </c>
      <c r="Y201" s="46"/>
      <c r="Z201" s="40"/>
    </row>
    <row r="202" spans="1:26" x14ac:dyDescent="0.2">
      <c r="A202" s="41">
        <f t="shared" ref="A202:B202" si="300">+A201</f>
        <v>2018012</v>
      </c>
      <c r="B202" s="42"/>
      <c r="C202" s="425"/>
      <c r="D202" s="428"/>
      <c r="E202" s="428"/>
      <c r="F202" s="431"/>
      <c r="G202" s="428"/>
      <c r="H202" s="431"/>
      <c r="I202" s="434"/>
      <c r="J202" s="437"/>
      <c r="K202" s="110" t="s">
        <v>30</v>
      </c>
      <c r="L202" s="296"/>
      <c r="M202" s="296"/>
      <c r="N202" s="296"/>
      <c r="O202" s="296"/>
      <c r="P202" s="296"/>
      <c r="Q202" s="384"/>
      <c r="R202" s="296"/>
      <c r="S202" s="296"/>
      <c r="T202" s="296"/>
      <c r="U202" s="384"/>
      <c r="V202" s="384"/>
      <c r="W202" s="156"/>
      <c r="X202" s="94">
        <f t="shared" si="299"/>
        <v>0</v>
      </c>
      <c r="Y202" s="46"/>
      <c r="Z202" s="40"/>
    </row>
    <row r="203" spans="1:26" x14ac:dyDescent="0.2">
      <c r="A203" s="41">
        <f t="shared" ref="A203:B203" si="301">+A202</f>
        <v>2018012</v>
      </c>
      <c r="B203" s="42"/>
      <c r="C203" s="425"/>
      <c r="D203" s="428"/>
      <c r="E203" s="428"/>
      <c r="F203" s="431"/>
      <c r="G203" s="428"/>
      <c r="H203" s="431"/>
      <c r="I203" s="434"/>
      <c r="J203" s="437"/>
      <c r="K203" s="110" t="s">
        <v>33</v>
      </c>
      <c r="L203" s="296">
        <f>24943*0.8</f>
        <v>19954.400000000001</v>
      </c>
      <c r="M203" s="296">
        <v>0</v>
      </c>
      <c r="N203" s="296">
        <v>0</v>
      </c>
      <c r="O203" s="296" t="s">
        <v>71</v>
      </c>
      <c r="P203" s="296">
        <v>5544</v>
      </c>
      <c r="Q203" s="384">
        <v>7056</v>
      </c>
      <c r="R203" s="296">
        <v>7224</v>
      </c>
      <c r="S203" s="296">
        <v>3528</v>
      </c>
      <c r="T203" s="296">
        <v>7560</v>
      </c>
      <c r="U203" s="384">
        <v>6552</v>
      </c>
      <c r="V203" s="384">
        <v>5964</v>
      </c>
      <c r="W203" s="156">
        <f t="shared" ref="W203" si="302">24943*0.8</f>
        <v>19954.400000000001</v>
      </c>
      <c r="X203" s="94">
        <f t="shared" si="299"/>
        <v>83336.800000000003</v>
      </c>
      <c r="Y203" s="46"/>
      <c r="Z203" s="40"/>
    </row>
    <row r="204" spans="1:26" x14ac:dyDescent="0.2">
      <c r="A204" s="41">
        <f t="shared" ref="A204:B204" si="303">+A203</f>
        <v>2018012</v>
      </c>
      <c r="B204" s="42"/>
      <c r="C204" s="425"/>
      <c r="D204" s="428"/>
      <c r="E204" s="428"/>
      <c r="F204" s="431"/>
      <c r="G204" s="428"/>
      <c r="H204" s="431"/>
      <c r="I204" s="434"/>
      <c r="J204" s="437"/>
      <c r="K204" s="111" t="s">
        <v>26</v>
      </c>
      <c r="L204" s="296">
        <f>18700*0.8</f>
        <v>14960</v>
      </c>
      <c r="M204" s="296">
        <v>20900</v>
      </c>
      <c r="N204" s="296">
        <v>20900</v>
      </c>
      <c r="O204" s="296">
        <v>20900</v>
      </c>
      <c r="P204" s="296">
        <v>20900</v>
      </c>
      <c r="Q204" s="384">
        <v>19475</v>
      </c>
      <c r="R204" s="296">
        <v>19475</v>
      </c>
      <c r="S204" s="296">
        <v>19475</v>
      </c>
      <c r="T204" s="296">
        <v>19475</v>
      </c>
      <c r="U204" s="384">
        <v>19475</v>
      </c>
      <c r="V204" s="384">
        <v>19475</v>
      </c>
      <c r="W204" s="156">
        <f t="shared" ref="W204" si="304">18700*0.8</f>
        <v>14960</v>
      </c>
      <c r="X204" s="94">
        <f t="shared" si="299"/>
        <v>230370</v>
      </c>
      <c r="Y204" s="46"/>
      <c r="Z204" s="40"/>
    </row>
    <row r="205" spans="1:26" x14ac:dyDescent="0.2">
      <c r="A205" s="41">
        <f t="shared" ref="A205:B205" si="305">+A204</f>
        <v>2018012</v>
      </c>
      <c r="B205" s="42"/>
      <c r="C205" s="425"/>
      <c r="D205" s="428"/>
      <c r="E205" s="428"/>
      <c r="F205" s="431"/>
      <c r="G205" s="428"/>
      <c r="H205" s="431"/>
      <c r="I205" s="434"/>
      <c r="J205" s="437"/>
      <c r="K205" s="111" t="s">
        <v>27</v>
      </c>
      <c r="L205" s="296">
        <f>40260*0.8</f>
        <v>32208</v>
      </c>
      <c r="M205" s="296">
        <v>40260</v>
      </c>
      <c r="N205" s="296">
        <v>40260</v>
      </c>
      <c r="O205" s="296">
        <v>40260</v>
      </c>
      <c r="P205" s="296">
        <v>40260</v>
      </c>
      <c r="Q205" s="384">
        <v>37515</v>
      </c>
      <c r="R205" s="296">
        <v>37515</v>
      </c>
      <c r="S205" s="296">
        <v>37515</v>
      </c>
      <c r="T205" s="296">
        <v>37515</v>
      </c>
      <c r="U205" s="384">
        <v>37515</v>
      </c>
      <c r="V205" s="384">
        <v>37515</v>
      </c>
      <c r="W205" s="156">
        <f t="shared" ref="W205" si="306">40260*0.8</f>
        <v>32208</v>
      </c>
      <c r="X205" s="94">
        <f t="shared" si="299"/>
        <v>450546</v>
      </c>
      <c r="Y205" s="46"/>
      <c r="Z205" s="40"/>
    </row>
    <row r="206" spans="1:26" x14ac:dyDescent="0.2">
      <c r="A206" s="41">
        <f t="shared" ref="A206:B206" si="307">+A205</f>
        <v>2018012</v>
      </c>
      <c r="B206" s="42"/>
      <c r="C206" s="425"/>
      <c r="D206" s="428"/>
      <c r="E206" s="428"/>
      <c r="F206" s="431"/>
      <c r="G206" s="428"/>
      <c r="H206" s="431"/>
      <c r="I206" s="434"/>
      <c r="J206" s="437"/>
      <c r="K206" s="111" t="s">
        <v>28</v>
      </c>
      <c r="L206" s="296">
        <f>2112*0.8</f>
        <v>1689.6000000000001</v>
      </c>
      <c r="M206" s="296">
        <v>2152</v>
      </c>
      <c r="N206" s="296">
        <v>2170</v>
      </c>
      <c r="O206" s="296">
        <v>2185</v>
      </c>
      <c r="P206" s="296">
        <v>2192</v>
      </c>
      <c r="Q206" s="384">
        <v>2198</v>
      </c>
      <c r="R206" s="296">
        <v>2215</v>
      </c>
      <c r="S206" s="296">
        <v>2170</v>
      </c>
      <c r="T206" s="296">
        <v>2370</v>
      </c>
      <c r="U206" s="384">
        <v>2207</v>
      </c>
      <c r="V206" s="384">
        <v>2295</v>
      </c>
      <c r="W206" s="156">
        <f t="shared" ref="W206" si="308">2112*0.8</f>
        <v>1689.6000000000001</v>
      </c>
      <c r="X206" s="94">
        <f t="shared" si="299"/>
        <v>25533.199999999997</v>
      </c>
      <c r="Y206" s="46"/>
      <c r="Z206" s="40"/>
    </row>
    <row r="207" spans="1:26" x14ac:dyDescent="0.2">
      <c r="A207" s="41">
        <f t="shared" ref="A207:B207" si="309">+A206</f>
        <v>2018012</v>
      </c>
      <c r="B207" s="42"/>
      <c r="C207" s="425"/>
      <c r="D207" s="428"/>
      <c r="E207" s="428"/>
      <c r="F207" s="431"/>
      <c r="G207" s="428"/>
      <c r="H207" s="431"/>
      <c r="I207" s="434"/>
      <c r="J207" s="437"/>
      <c r="K207" s="112" t="s">
        <v>29</v>
      </c>
      <c r="L207" s="296">
        <f>3590*0.8</f>
        <v>2872</v>
      </c>
      <c r="M207" s="296">
        <v>2368</v>
      </c>
      <c r="N207" s="296">
        <v>2388</v>
      </c>
      <c r="O207" s="296">
        <v>2404</v>
      </c>
      <c r="P207" s="296">
        <v>2411</v>
      </c>
      <c r="Q207" s="384">
        <v>2418</v>
      </c>
      <c r="R207" s="296">
        <v>2436</v>
      </c>
      <c r="S207" s="296">
        <v>2387</v>
      </c>
      <c r="T207" s="296">
        <v>2607</v>
      </c>
      <c r="U207" s="384">
        <v>2428</v>
      </c>
      <c r="V207" s="384">
        <v>2525</v>
      </c>
      <c r="W207" s="156">
        <f t="shared" ref="W207" si="310">3590*0.8</f>
        <v>2872</v>
      </c>
      <c r="X207" s="104">
        <f t="shared" si="299"/>
        <v>30116</v>
      </c>
      <c r="Y207" s="46"/>
      <c r="Z207" s="40"/>
    </row>
    <row r="208" spans="1:26" x14ac:dyDescent="0.2">
      <c r="A208" s="41">
        <f t="shared" ref="A208:B208" si="311">+A207</f>
        <v>2018012</v>
      </c>
      <c r="B208" s="42"/>
      <c r="C208" s="426"/>
      <c r="D208" s="429"/>
      <c r="E208" s="429"/>
      <c r="F208" s="432"/>
      <c r="G208" s="429"/>
      <c r="H208" s="432"/>
      <c r="I208" s="435"/>
      <c r="J208" s="438"/>
      <c r="K208" s="73" t="s">
        <v>39</v>
      </c>
      <c r="L208" s="257">
        <f t="shared" ref="L208:Q208" si="312">L197-L200</f>
        <v>45036</v>
      </c>
      <c r="M208" s="258">
        <f t="shared" si="312"/>
        <v>1760</v>
      </c>
      <c r="N208" s="258">
        <f t="shared" si="312"/>
        <v>17622</v>
      </c>
      <c r="O208" s="258">
        <f t="shared" si="312"/>
        <v>-18849</v>
      </c>
      <c r="P208" s="258">
        <f t="shared" si="312"/>
        <v>7953</v>
      </c>
      <c r="Q208" s="170">
        <f t="shared" si="312"/>
        <v>32118</v>
      </c>
      <c r="R208" s="258">
        <f>R197-R200</f>
        <v>-50485</v>
      </c>
      <c r="S208" s="258">
        <f t="shared" ref="S208:V208" si="313">S197-S200</f>
        <v>-32695</v>
      </c>
      <c r="T208" s="258">
        <f t="shared" si="313"/>
        <v>21875</v>
      </c>
      <c r="U208" s="170">
        <f t="shared" si="313"/>
        <v>-68357</v>
      </c>
      <c r="V208" s="170">
        <f t="shared" si="313"/>
        <v>-112754</v>
      </c>
      <c r="W208" s="114">
        <f>W197-W200</f>
        <v>83916</v>
      </c>
      <c r="X208" s="105">
        <f>X197-X200</f>
        <v>-72860</v>
      </c>
      <c r="Y208" s="46"/>
      <c r="Z208" s="40"/>
    </row>
    <row r="209" spans="1:26" s="1" customFormat="1" ht="12.75" customHeight="1" x14ac:dyDescent="0.2">
      <c r="A209" s="7">
        <v>2025006</v>
      </c>
      <c r="B209" s="10"/>
      <c r="C209" s="424">
        <f>C185+1</f>
        <v>16</v>
      </c>
      <c r="D209" s="427" t="s">
        <v>66</v>
      </c>
      <c r="E209" s="427"/>
      <c r="F209" s="430"/>
      <c r="G209" s="427"/>
      <c r="H209" s="430"/>
      <c r="I209" s="433"/>
      <c r="J209" s="436" t="s">
        <v>36</v>
      </c>
      <c r="K209" s="93" t="s">
        <v>37</v>
      </c>
      <c r="L209" s="217">
        <f t="shared" ref="L209:W209" si="314">L210+L211</f>
        <v>0</v>
      </c>
      <c r="M209" s="217">
        <f t="shared" si="314"/>
        <v>0</v>
      </c>
      <c r="N209" s="217">
        <f t="shared" si="314"/>
        <v>0</v>
      </c>
      <c r="O209" s="217">
        <f t="shared" si="314"/>
        <v>791980</v>
      </c>
      <c r="P209" s="217">
        <f t="shared" si="314"/>
        <v>962800</v>
      </c>
      <c r="Q209" s="161">
        <f t="shared" si="314"/>
        <v>934330</v>
      </c>
      <c r="R209" s="217">
        <f t="shared" si="314"/>
        <v>743800</v>
      </c>
      <c r="S209" s="217">
        <f t="shared" si="314"/>
        <v>700000</v>
      </c>
      <c r="T209" s="217">
        <f t="shared" si="314"/>
        <v>700000</v>
      </c>
      <c r="U209" s="161">
        <f t="shared" si="314"/>
        <v>700000</v>
      </c>
      <c r="V209" s="161">
        <f t="shared" si="314"/>
        <v>700000</v>
      </c>
      <c r="W209" s="100">
        <f t="shared" si="314"/>
        <v>700000</v>
      </c>
      <c r="X209" s="106">
        <f>SUM(L209:W209)</f>
        <v>6932910</v>
      </c>
      <c r="Y209" s="2"/>
      <c r="Z209" s="40"/>
    </row>
    <row r="210" spans="1:26" s="1" customFormat="1" ht="12" customHeight="1" x14ac:dyDescent="0.2">
      <c r="A210" s="41">
        <f t="shared" ref="A210:B210" si="315">+A209</f>
        <v>2025006</v>
      </c>
      <c r="B210" s="42"/>
      <c r="C210" s="425"/>
      <c r="D210" s="428"/>
      <c r="E210" s="428"/>
      <c r="F210" s="431"/>
      <c r="G210" s="428"/>
      <c r="H210" s="431"/>
      <c r="I210" s="434"/>
      <c r="J210" s="437"/>
      <c r="K210" s="43" t="s">
        <v>38</v>
      </c>
      <c r="L210" s="210"/>
      <c r="M210" s="210"/>
      <c r="N210" s="210"/>
      <c r="O210" s="210">
        <v>791980</v>
      </c>
      <c r="P210" s="210">
        <v>962800</v>
      </c>
      <c r="Q210" s="160">
        <v>934330</v>
      </c>
      <c r="R210" s="210">
        <v>743800</v>
      </c>
      <c r="S210" s="210">
        <v>700000</v>
      </c>
      <c r="T210" s="210">
        <v>700000</v>
      </c>
      <c r="U210" s="160">
        <v>700000</v>
      </c>
      <c r="V210" s="160">
        <v>700000</v>
      </c>
      <c r="W210" s="44">
        <v>700000</v>
      </c>
      <c r="X210" s="94">
        <f>SUM(L210:W210)</f>
        <v>6932910</v>
      </c>
      <c r="Y210" s="46"/>
      <c r="Z210" s="40"/>
    </row>
    <row r="211" spans="1:26" s="1" customFormat="1" ht="12" customHeight="1" x14ac:dyDescent="0.2">
      <c r="A211" s="41">
        <f t="shared" ref="A211:B211" si="316">+A210</f>
        <v>2025006</v>
      </c>
      <c r="B211" s="42"/>
      <c r="C211" s="425"/>
      <c r="D211" s="428"/>
      <c r="E211" s="428"/>
      <c r="F211" s="431"/>
      <c r="G211" s="428"/>
      <c r="H211" s="431"/>
      <c r="I211" s="434"/>
      <c r="J211" s="437"/>
      <c r="K211" s="43" t="s">
        <v>34</v>
      </c>
      <c r="L211" s="211"/>
      <c r="M211" s="212"/>
      <c r="N211" s="212"/>
      <c r="O211" s="212"/>
      <c r="P211" s="212"/>
      <c r="Q211" s="162"/>
      <c r="R211" s="212"/>
      <c r="S211" s="212"/>
      <c r="T211" s="212"/>
      <c r="U211" s="162"/>
      <c r="V211" s="162"/>
      <c r="W211" s="97"/>
      <c r="X211" s="94">
        <v>0</v>
      </c>
      <c r="Y211" s="46"/>
      <c r="Z211" s="40"/>
    </row>
    <row r="212" spans="1:26" s="10" customFormat="1" ht="14.9" customHeight="1" x14ac:dyDescent="0.2">
      <c r="A212" s="41">
        <f t="shared" ref="A212:B212" si="317">+A211</f>
        <v>2025006</v>
      </c>
      <c r="B212" s="42"/>
      <c r="C212" s="425"/>
      <c r="D212" s="428"/>
      <c r="E212" s="428"/>
      <c r="F212" s="431"/>
      <c r="G212" s="428"/>
      <c r="H212" s="431"/>
      <c r="I212" s="434"/>
      <c r="J212" s="437"/>
      <c r="K212" s="49" t="s">
        <v>24</v>
      </c>
      <c r="L212" s="287">
        <f t="shared" ref="L212:W212" si="318">SUM(L213:L219)</f>
        <v>0</v>
      </c>
      <c r="M212" s="288">
        <f t="shared" si="318"/>
        <v>0</v>
      </c>
      <c r="N212" s="288">
        <f t="shared" si="318"/>
        <v>0</v>
      </c>
      <c r="O212" s="288">
        <f t="shared" si="318"/>
        <v>520616</v>
      </c>
      <c r="P212" s="288">
        <f t="shared" si="318"/>
        <v>640537</v>
      </c>
      <c r="Q212" s="377">
        <f t="shared" si="318"/>
        <v>620026</v>
      </c>
      <c r="R212" s="288">
        <f t="shared" si="318"/>
        <v>495842</v>
      </c>
      <c r="S212" s="288">
        <f t="shared" si="318"/>
        <v>469598</v>
      </c>
      <c r="T212" s="288">
        <f t="shared" si="318"/>
        <v>469598</v>
      </c>
      <c r="U212" s="377">
        <f t="shared" si="318"/>
        <v>469598</v>
      </c>
      <c r="V212" s="377">
        <f t="shared" si="318"/>
        <v>469375</v>
      </c>
      <c r="W212" s="113">
        <f t="shared" si="318"/>
        <v>470680</v>
      </c>
      <c r="X212" s="103">
        <f>SUM(L212:W212)</f>
        <v>4625870</v>
      </c>
      <c r="Y212" s="46"/>
      <c r="Z212" s="40"/>
    </row>
    <row r="213" spans="1:26" s="10" customFormat="1" x14ac:dyDescent="0.2">
      <c r="A213" s="41">
        <f t="shared" ref="A213:B213" si="319">+A212</f>
        <v>2025006</v>
      </c>
      <c r="B213" s="42"/>
      <c r="C213" s="425"/>
      <c r="D213" s="428"/>
      <c r="E213" s="428"/>
      <c r="F213" s="431"/>
      <c r="G213" s="428"/>
      <c r="H213" s="431"/>
      <c r="I213" s="434"/>
      <c r="J213" s="437"/>
      <c r="K213" s="110" t="s">
        <v>25</v>
      </c>
      <c r="L213" s="296"/>
      <c r="M213" s="296"/>
      <c r="N213" s="296"/>
      <c r="O213" s="296">
        <v>440889</v>
      </c>
      <c r="P213" s="296">
        <v>559564</v>
      </c>
      <c r="Q213" s="384">
        <v>539265</v>
      </c>
      <c r="R213" s="296">
        <v>416372</v>
      </c>
      <c r="S213" s="296">
        <v>390400</v>
      </c>
      <c r="T213" s="296">
        <v>390400</v>
      </c>
      <c r="U213" s="384">
        <v>390400</v>
      </c>
      <c r="V213" s="384">
        <v>390000</v>
      </c>
      <c r="W213" s="156">
        <v>390000</v>
      </c>
      <c r="X213" s="94">
        <f t="shared" ref="X213:X219" si="320">SUM(L213:W213)</f>
        <v>3907290</v>
      </c>
      <c r="Y213" s="46"/>
    </row>
    <row r="214" spans="1:26" ht="12.75" customHeight="1" x14ac:dyDescent="0.2">
      <c r="A214" s="41">
        <f t="shared" ref="A214:B214" si="321">+A213</f>
        <v>2025006</v>
      </c>
      <c r="B214" s="42"/>
      <c r="C214" s="425"/>
      <c r="D214" s="428"/>
      <c r="E214" s="428"/>
      <c r="F214" s="431"/>
      <c r="G214" s="428"/>
      <c r="H214" s="431"/>
      <c r="I214" s="434"/>
      <c r="J214" s="437"/>
      <c r="K214" s="110" t="s">
        <v>30</v>
      </c>
      <c r="L214" s="296"/>
      <c r="M214" s="296"/>
      <c r="N214" s="296"/>
      <c r="O214" s="296"/>
      <c r="P214" s="296"/>
      <c r="Q214" s="384"/>
      <c r="R214" s="296"/>
      <c r="S214" s="296"/>
      <c r="T214" s="296"/>
      <c r="U214" s="384"/>
      <c r="V214" s="384"/>
      <c r="W214" s="156"/>
      <c r="X214" s="94">
        <f t="shared" si="320"/>
        <v>0</v>
      </c>
      <c r="Z214" s="40"/>
    </row>
    <row r="215" spans="1:26" ht="13.4" customHeight="1" x14ac:dyDescent="0.2">
      <c r="A215" s="41">
        <f t="shared" ref="A215:B215" si="322">+A214</f>
        <v>2025006</v>
      </c>
      <c r="B215" s="42"/>
      <c r="C215" s="425"/>
      <c r="D215" s="428"/>
      <c r="E215" s="428"/>
      <c r="F215" s="431"/>
      <c r="G215" s="428"/>
      <c r="H215" s="431"/>
      <c r="I215" s="434"/>
      <c r="J215" s="437"/>
      <c r="K215" s="110" t="s">
        <v>33</v>
      </c>
      <c r="L215" s="296"/>
      <c r="M215" s="296"/>
      <c r="N215" s="296"/>
      <c r="O215" s="296">
        <v>17920</v>
      </c>
      <c r="P215" s="296">
        <v>17920</v>
      </c>
      <c r="Q215" s="384">
        <v>17920</v>
      </c>
      <c r="R215" s="296">
        <v>17920</v>
      </c>
      <c r="S215" s="296">
        <v>17920</v>
      </c>
      <c r="T215" s="296">
        <v>17920</v>
      </c>
      <c r="U215" s="384">
        <v>17920</v>
      </c>
      <c r="V215" s="384">
        <v>17920</v>
      </c>
      <c r="W215" s="156">
        <v>20000</v>
      </c>
      <c r="X215" s="94">
        <f t="shared" si="320"/>
        <v>163360</v>
      </c>
      <c r="Y215" s="46"/>
      <c r="Z215" s="40"/>
    </row>
    <row r="216" spans="1:26" ht="13.4" customHeight="1" x14ac:dyDescent="0.2">
      <c r="A216" s="41">
        <f t="shared" ref="A216:B216" si="323">+A215</f>
        <v>2025006</v>
      </c>
      <c r="B216" s="42"/>
      <c r="C216" s="425"/>
      <c r="D216" s="428"/>
      <c r="E216" s="428"/>
      <c r="F216" s="431"/>
      <c r="G216" s="428"/>
      <c r="H216" s="431"/>
      <c r="I216" s="434"/>
      <c r="J216" s="437"/>
      <c r="K216" s="111" t="s">
        <v>26</v>
      </c>
      <c r="L216" s="296"/>
      <c r="M216" s="296"/>
      <c r="N216" s="296"/>
      <c r="O216" s="296">
        <v>19475</v>
      </c>
      <c r="P216" s="296">
        <v>19475</v>
      </c>
      <c r="Q216" s="384">
        <v>19475</v>
      </c>
      <c r="R216" s="296">
        <v>19475</v>
      </c>
      <c r="S216" s="296">
        <v>19475</v>
      </c>
      <c r="T216" s="296">
        <v>19475</v>
      </c>
      <c r="U216" s="384">
        <v>19475</v>
      </c>
      <c r="V216" s="384">
        <v>19475</v>
      </c>
      <c r="W216" s="156">
        <v>19475</v>
      </c>
      <c r="X216" s="94">
        <f t="shared" si="320"/>
        <v>175275</v>
      </c>
      <c r="Y216" s="46"/>
      <c r="Z216" s="40"/>
    </row>
    <row r="217" spans="1:26" ht="13.4" customHeight="1" x14ac:dyDescent="0.2">
      <c r="A217" s="41">
        <f t="shared" ref="A217:B217" si="324">+A216</f>
        <v>2025006</v>
      </c>
      <c r="B217" s="42"/>
      <c r="C217" s="425"/>
      <c r="D217" s="428"/>
      <c r="E217" s="428"/>
      <c r="F217" s="431"/>
      <c r="G217" s="428"/>
      <c r="H217" s="431"/>
      <c r="I217" s="434"/>
      <c r="J217" s="437"/>
      <c r="K217" s="111" t="s">
        <v>27</v>
      </c>
      <c r="L217" s="296"/>
      <c r="M217" s="296"/>
      <c r="N217" s="296"/>
      <c r="O217" s="296">
        <v>37515</v>
      </c>
      <c r="P217" s="296">
        <v>37515</v>
      </c>
      <c r="Q217" s="384">
        <v>37515</v>
      </c>
      <c r="R217" s="296">
        <v>37515</v>
      </c>
      <c r="S217" s="296">
        <v>37515</v>
      </c>
      <c r="T217" s="296">
        <v>37515</v>
      </c>
      <c r="U217" s="384">
        <v>37515</v>
      </c>
      <c r="V217" s="384">
        <v>37515</v>
      </c>
      <c r="W217" s="156">
        <v>37515</v>
      </c>
      <c r="X217" s="94">
        <f t="shared" si="320"/>
        <v>337635</v>
      </c>
      <c r="Y217" s="119"/>
      <c r="Z217" s="40"/>
    </row>
    <row r="218" spans="1:26" ht="13.4" customHeight="1" x14ac:dyDescent="0.2">
      <c r="A218" s="41">
        <f t="shared" ref="A218:B218" si="325">+A217</f>
        <v>2025006</v>
      </c>
      <c r="B218" s="42"/>
      <c r="C218" s="425"/>
      <c r="D218" s="428"/>
      <c r="E218" s="428"/>
      <c r="F218" s="431"/>
      <c r="G218" s="428"/>
      <c r="H218" s="431"/>
      <c r="I218" s="434"/>
      <c r="J218" s="437"/>
      <c r="K218" s="111" t="s">
        <v>28</v>
      </c>
      <c r="L218" s="296"/>
      <c r="M218" s="296"/>
      <c r="N218" s="296"/>
      <c r="O218" s="296">
        <v>2294</v>
      </c>
      <c r="P218" s="296">
        <v>2887</v>
      </c>
      <c r="Q218" s="384">
        <v>2786</v>
      </c>
      <c r="R218" s="296">
        <v>2171</v>
      </c>
      <c r="S218" s="296">
        <v>2042</v>
      </c>
      <c r="T218" s="296">
        <v>2042</v>
      </c>
      <c r="U218" s="384">
        <v>2042</v>
      </c>
      <c r="V218" s="384">
        <v>2126</v>
      </c>
      <c r="W218" s="156">
        <v>1230</v>
      </c>
      <c r="X218" s="94">
        <f t="shared" si="320"/>
        <v>19620</v>
      </c>
      <c r="Y218" s="46"/>
      <c r="Z218" s="40"/>
    </row>
    <row r="219" spans="1:26" ht="13.4" customHeight="1" x14ac:dyDescent="0.2">
      <c r="A219" s="41">
        <f t="shared" ref="A219:B219" si="326">+A218</f>
        <v>2025006</v>
      </c>
      <c r="B219" s="42"/>
      <c r="C219" s="425"/>
      <c r="D219" s="428"/>
      <c r="E219" s="428"/>
      <c r="F219" s="431"/>
      <c r="G219" s="428"/>
      <c r="H219" s="431"/>
      <c r="I219" s="434"/>
      <c r="J219" s="437"/>
      <c r="K219" s="112" t="s">
        <v>29</v>
      </c>
      <c r="L219" s="296"/>
      <c r="M219" s="296"/>
      <c r="N219" s="296"/>
      <c r="O219" s="296">
        <v>2523</v>
      </c>
      <c r="P219" s="296">
        <v>3176</v>
      </c>
      <c r="Q219" s="384">
        <v>3065</v>
      </c>
      <c r="R219" s="296">
        <v>2389</v>
      </c>
      <c r="S219" s="296">
        <v>2246</v>
      </c>
      <c r="T219" s="296">
        <v>2246</v>
      </c>
      <c r="U219" s="384">
        <v>2246</v>
      </c>
      <c r="V219" s="384">
        <v>2339</v>
      </c>
      <c r="W219" s="156">
        <v>2460</v>
      </c>
      <c r="X219" s="104">
        <f t="shared" si="320"/>
        <v>22690</v>
      </c>
      <c r="Y219" s="46"/>
      <c r="Z219" s="40"/>
    </row>
    <row r="220" spans="1:26" ht="13.4" customHeight="1" x14ac:dyDescent="0.2">
      <c r="A220" s="41">
        <f t="shared" ref="A220:B220" si="327">+A219</f>
        <v>2025006</v>
      </c>
      <c r="B220" s="42"/>
      <c r="C220" s="426"/>
      <c r="D220" s="429"/>
      <c r="E220" s="429"/>
      <c r="F220" s="432"/>
      <c r="G220" s="429"/>
      <c r="H220" s="432"/>
      <c r="I220" s="435"/>
      <c r="J220" s="438"/>
      <c r="K220" s="73" t="s">
        <v>39</v>
      </c>
      <c r="L220" s="257">
        <f t="shared" ref="L220:Q220" si="328">L209-L212</f>
        <v>0</v>
      </c>
      <c r="M220" s="258">
        <f t="shared" si="328"/>
        <v>0</v>
      </c>
      <c r="N220" s="258">
        <f t="shared" si="328"/>
        <v>0</v>
      </c>
      <c r="O220" s="258">
        <f t="shared" si="328"/>
        <v>271364</v>
      </c>
      <c r="P220" s="258">
        <f t="shared" si="328"/>
        <v>322263</v>
      </c>
      <c r="Q220" s="170">
        <f t="shared" si="328"/>
        <v>314304</v>
      </c>
      <c r="R220" s="258">
        <f>R209-R212</f>
        <v>247958</v>
      </c>
      <c r="S220" s="258">
        <f t="shared" ref="S220:V220" si="329">S209-S212</f>
        <v>230402</v>
      </c>
      <c r="T220" s="258">
        <f t="shared" si="329"/>
        <v>230402</v>
      </c>
      <c r="U220" s="170">
        <f t="shared" si="329"/>
        <v>230402</v>
      </c>
      <c r="V220" s="170">
        <f t="shared" si="329"/>
        <v>230625</v>
      </c>
      <c r="W220" s="114">
        <f>W209-W212</f>
        <v>229320</v>
      </c>
      <c r="X220" s="105">
        <f>X209-X212</f>
        <v>2307040</v>
      </c>
      <c r="Y220" s="46"/>
      <c r="Z220" s="40"/>
    </row>
    <row r="221" spans="1:26" ht="13.4" customHeight="1" x14ac:dyDescent="0.2">
      <c r="A221" s="7">
        <v>2017030</v>
      </c>
      <c r="B221" s="10"/>
      <c r="C221" s="425">
        <f>C197+1</f>
        <v>17</v>
      </c>
      <c r="D221" s="428" t="s">
        <v>66</v>
      </c>
      <c r="E221" s="428"/>
      <c r="F221" s="431"/>
      <c r="G221" s="428"/>
      <c r="H221" s="431"/>
      <c r="I221" s="434"/>
      <c r="J221" s="437" t="s">
        <v>36</v>
      </c>
      <c r="K221" s="58" t="s">
        <v>37</v>
      </c>
      <c r="L221" s="254">
        <f t="shared" ref="L221:W221" si="330">L222+L223</f>
        <v>0</v>
      </c>
      <c r="M221" s="254">
        <f t="shared" si="330"/>
        <v>0</v>
      </c>
      <c r="N221" s="254">
        <f t="shared" si="330"/>
        <v>0</v>
      </c>
      <c r="O221" s="254">
        <f t="shared" si="330"/>
        <v>0</v>
      </c>
      <c r="P221" s="254">
        <f t="shared" si="330"/>
        <v>0</v>
      </c>
      <c r="Q221" s="169">
        <f t="shared" si="330"/>
        <v>0</v>
      </c>
      <c r="R221" s="254">
        <f t="shared" si="330"/>
        <v>0</v>
      </c>
      <c r="S221" s="254">
        <f t="shared" si="330"/>
        <v>0</v>
      </c>
      <c r="T221" s="254">
        <f t="shared" si="330"/>
        <v>0</v>
      </c>
      <c r="U221" s="169">
        <f t="shared" si="330"/>
        <v>636635</v>
      </c>
      <c r="V221" s="169">
        <f t="shared" si="330"/>
        <v>649745</v>
      </c>
      <c r="W221" s="285">
        <f t="shared" si="330"/>
        <v>700000</v>
      </c>
      <c r="X221" s="286">
        <f>SUM(L221:W221)</f>
        <v>1986380</v>
      </c>
      <c r="Y221" s="46"/>
      <c r="Z221" s="40"/>
    </row>
    <row r="222" spans="1:26" ht="13.4" customHeight="1" x14ac:dyDescent="0.2">
      <c r="A222" s="41">
        <f t="shared" ref="A222:B222" si="331">+A221</f>
        <v>2017030</v>
      </c>
      <c r="B222" s="42"/>
      <c r="C222" s="425"/>
      <c r="D222" s="428"/>
      <c r="E222" s="428"/>
      <c r="F222" s="431"/>
      <c r="G222" s="428"/>
      <c r="H222" s="431"/>
      <c r="I222" s="434"/>
      <c r="J222" s="437"/>
      <c r="K222" s="43" t="s">
        <v>38</v>
      </c>
      <c r="L222" s="210"/>
      <c r="M222" s="210"/>
      <c r="N222" s="210"/>
      <c r="O222" s="210"/>
      <c r="P222" s="210"/>
      <c r="Q222" s="160"/>
      <c r="R222" s="210"/>
      <c r="S222" s="210"/>
      <c r="T222" s="210"/>
      <c r="U222" s="160">
        <v>636635</v>
      </c>
      <c r="V222" s="160">
        <v>649745</v>
      </c>
      <c r="W222" s="44">
        <v>700000</v>
      </c>
      <c r="X222" s="94">
        <f>SUM(L222:W222)</f>
        <v>1986380</v>
      </c>
      <c r="Y222" s="46"/>
      <c r="Z222" s="40"/>
    </row>
    <row r="223" spans="1:26" ht="13.4" customHeight="1" x14ac:dyDescent="0.2">
      <c r="A223" s="41">
        <f t="shared" ref="A223:B223" si="332">+A222</f>
        <v>2017030</v>
      </c>
      <c r="B223" s="42"/>
      <c r="C223" s="425"/>
      <c r="D223" s="428"/>
      <c r="E223" s="428"/>
      <c r="F223" s="431"/>
      <c r="G223" s="428"/>
      <c r="H223" s="431"/>
      <c r="I223" s="434"/>
      <c r="J223" s="437"/>
      <c r="K223" s="43" t="s">
        <v>34</v>
      </c>
      <c r="L223" s="211"/>
      <c r="M223" s="212"/>
      <c r="N223" s="212"/>
      <c r="O223" s="212"/>
      <c r="P223" s="212"/>
      <c r="Q223" s="162"/>
      <c r="R223" s="212"/>
      <c r="S223" s="212"/>
      <c r="T223" s="212"/>
      <c r="U223" s="162"/>
      <c r="V223" s="162"/>
      <c r="W223" s="97"/>
      <c r="X223" s="94">
        <v>0</v>
      </c>
      <c r="Y223" s="46"/>
      <c r="Z223" s="40"/>
    </row>
    <row r="224" spans="1:26" ht="14.15" customHeight="1" x14ac:dyDescent="0.2">
      <c r="A224" s="41">
        <f t="shared" ref="A224:B224" si="333">+A223</f>
        <v>2017030</v>
      </c>
      <c r="B224" s="42"/>
      <c r="C224" s="425"/>
      <c r="D224" s="428"/>
      <c r="E224" s="428"/>
      <c r="F224" s="431"/>
      <c r="G224" s="428"/>
      <c r="H224" s="431"/>
      <c r="I224" s="434"/>
      <c r="J224" s="437"/>
      <c r="K224" s="49" t="s">
        <v>24</v>
      </c>
      <c r="L224" s="287">
        <f t="shared" ref="L224:W224" si="334">SUM(L225:L231)</f>
        <v>0</v>
      </c>
      <c r="M224" s="288">
        <f t="shared" si="334"/>
        <v>0</v>
      </c>
      <c r="N224" s="288">
        <f t="shared" si="334"/>
        <v>0</v>
      </c>
      <c r="O224" s="288">
        <f t="shared" si="334"/>
        <v>0</v>
      </c>
      <c r="P224" s="288">
        <f t="shared" si="334"/>
        <v>0</v>
      </c>
      <c r="Q224" s="377">
        <f t="shared" si="334"/>
        <v>0</v>
      </c>
      <c r="R224" s="288">
        <f t="shared" si="334"/>
        <v>0</v>
      </c>
      <c r="S224" s="288">
        <f t="shared" si="334"/>
        <v>0</v>
      </c>
      <c r="T224" s="288">
        <f t="shared" si="334"/>
        <v>0</v>
      </c>
      <c r="U224" s="377">
        <f t="shared" si="334"/>
        <v>497003</v>
      </c>
      <c r="V224" s="377">
        <f t="shared" si="334"/>
        <v>497965</v>
      </c>
      <c r="W224" s="113">
        <f t="shared" si="334"/>
        <v>505646</v>
      </c>
      <c r="X224" s="103">
        <f>SUM(L224:W224)</f>
        <v>1500614</v>
      </c>
      <c r="Y224" s="46"/>
      <c r="Z224" s="40"/>
    </row>
    <row r="225" spans="1:24" s="1" customFormat="1" x14ac:dyDescent="0.2">
      <c r="A225" s="41">
        <f t="shared" ref="A225:B225" si="335">+A224</f>
        <v>2017030</v>
      </c>
      <c r="B225" s="42"/>
      <c r="C225" s="425"/>
      <c r="D225" s="428"/>
      <c r="E225" s="428"/>
      <c r="F225" s="431"/>
      <c r="G225" s="428"/>
      <c r="H225" s="431"/>
      <c r="I225" s="434"/>
      <c r="J225" s="437"/>
      <c r="K225" s="110" t="s">
        <v>25</v>
      </c>
      <c r="L225" s="296"/>
      <c r="M225" s="296"/>
      <c r="N225" s="296"/>
      <c r="O225" s="296"/>
      <c r="P225" s="296"/>
      <c r="Q225" s="384"/>
      <c r="R225" s="296"/>
      <c r="S225" s="296"/>
      <c r="T225" s="296"/>
      <c r="U225" s="384">
        <v>422800</v>
      </c>
      <c r="V225" s="384">
        <v>422400</v>
      </c>
      <c r="W225" s="156">
        <v>418000</v>
      </c>
      <c r="X225" s="94">
        <f t="shared" ref="X225:X231" si="336">SUM(L225:W225)</f>
        <v>1263200</v>
      </c>
    </row>
    <row r="226" spans="1:24" x14ac:dyDescent="0.2">
      <c r="A226" s="41">
        <f t="shared" ref="A226:B226" si="337">+A225</f>
        <v>2017030</v>
      </c>
      <c r="B226" s="42"/>
      <c r="C226" s="425"/>
      <c r="D226" s="428"/>
      <c r="E226" s="428"/>
      <c r="F226" s="431"/>
      <c r="G226" s="428"/>
      <c r="H226" s="431"/>
      <c r="I226" s="434"/>
      <c r="J226" s="437"/>
      <c r="K226" s="110" t="s">
        <v>30</v>
      </c>
      <c r="L226" s="296"/>
      <c r="M226" s="296"/>
      <c r="N226" s="296"/>
      <c r="O226" s="296"/>
      <c r="P226" s="296"/>
      <c r="Q226" s="384"/>
      <c r="R226" s="296"/>
      <c r="S226" s="296"/>
      <c r="T226" s="296"/>
      <c r="U226" s="384"/>
      <c r="V226" s="384"/>
      <c r="W226" s="156"/>
      <c r="X226" s="94">
        <f t="shared" si="336"/>
        <v>0</v>
      </c>
    </row>
    <row r="227" spans="1:24" x14ac:dyDescent="0.2">
      <c r="A227" s="41">
        <f t="shared" ref="A227:B227" si="338">+A226</f>
        <v>2017030</v>
      </c>
      <c r="B227" s="42">
        <f t="shared" si="338"/>
        <v>0</v>
      </c>
      <c r="C227" s="425"/>
      <c r="D227" s="428"/>
      <c r="E227" s="428"/>
      <c r="F227" s="431"/>
      <c r="G227" s="428"/>
      <c r="H227" s="431"/>
      <c r="I227" s="434"/>
      <c r="J227" s="437"/>
      <c r="K227" s="110" t="s">
        <v>33</v>
      </c>
      <c r="L227" s="296"/>
      <c r="M227" s="296"/>
      <c r="N227" s="296"/>
      <c r="O227" s="296"/>
      <c r="P227" s="296"/>
      <c r="Q227" s="384"/>
      <c r="R227" s="296"/>
      <c r="S227" s="296"/>
      <c r="T227" s="296"/>
      <c r="U227" s="384">
        <v>8514</v>
      </c>
      <c r="V227" s="384">
        <v>9686</v>
      </c>
      <c r="W227" s="156">
        <v>20000</v>
      </c>
      <c r="X227" s="94">
        <f t="shared" si="336"/>
        <v>38200</v>
      </c>
    </row>
    <row r="228" spans="1:24" x14ac:dyDescent="0.2">
      <c r="A228" s="41">
        <f t="shared" ref="A228:B228" si="339">+A227</f>
        <v>2017030</v>
      </c>
      <c r="B228" s="42">
        <f t="shared" si="339"/>
        <v>0</v>
      </c>
      <c r="C228" s="425"/>
      <c r="D228" s="428"/>
      <c r="E228" s="428"/>
      <c r="F228" s="431"/>
      <c r="G228" s="428"/>
      <c r="H228" s="431"/>
      <c r="I228" s="434"/>
      <c r="J228" s="437"/>
      <c r="K228" s="111" t="s">
        <v>26</v>
      </c>
      <c r="L228" s="296"/>
      <c r="M228" s="296"/>
      <c r="N228" s="296"/>
      <c r="O228" s="296"/>
      <c r="P228" s="296"/>
      <c r="Q228" s="384"/>
      <c r="R228" s="296"/>
      <c r="S228" s="296"/>
      <c r="T228" s="296"/>
      <c r="U228" s="160">
        <v>20900</v>
      </c>
      <c r="V228" s="160">
        <v>20900</v>
      </c>
      <c r="W228" s="44">
        <v>19975</v>
      </c>
      <c r="X228" s="94">
        <f t="shared" si="336"/>
        <v>61775</v>
      </c>
    </row>
    <row r="229" spans="1:24" x14ac:dyDescent="0.2">
      <c r="A229" s="41">
        <f t="shared" ref="A229:B229" si="340">+A228</f>
        <v>2017030</v>
      </c>
      <c r="B229" s="42">
        <f t="shared" si="340"/>
        <v>0</v>
      </c>
      <c r="C229" s="425"/>
      <c r="D229" s="428"/>
      <c r="E229" s="428"/>
      <c r="F229" s="431"/>
      <c r="G229" s="428"/>
      <c r="H229" s="431"/>
      <c r="I229" s="434"/>
      <c r="J229" s="437"/>
      <c r="K229" s="111" t="s">
        <v>27</v>
      </c>
      <c r="L229" s="296"/>
      <c r="M229" s="296"/>
      <c r="N229" s="296"/>
      <c r="O229" s="296"/>
      <c r="P229" s="296"/>
      <c r="Q229" s="384"/>
      <c r="R229" s="296"/>
      <c r="S229" s="296"/>
      <c r="T229" s="296"/>
      <c r="U229" s="160">
        <v>40260</v>
      </c>
      <c r="V229" s="160">
        <v>40260</v>
      </c>
      <c r="W229" s="44">
        <v>43005</v>
      </c>
      <c r="X229" s="94">
        <f t="shared" si="336"/>
        <v>123525</v>
      </c>
    </row>
    <row r="230" spans="1:24" x14ac:dyDescent="0.2">
      <c r="A230" s="41">
        <f t="shared" ref="A230:B230" si="341">+A229</f>
        <v>2017030</v>
      </c>
      <c r="B230" s="42">
        <f t="shared" si="341"/>
        <v>0</v>
      </c>
      <c r="C230" s="425"/>
      <c r="D230" s="428"/>
      <c r="E230" s="428"/>
      <c r="F230" s="431"/>
      <c r="G230" s="428"/>
      <c r="H230" s="431"/>
      <c r="I230" s="434"/>
      <c r="J230" s="437"/>
      <c r="K230" s="111" t="s">
        <v>28</v>
      </c>
      <c r="L230" s="296"/>
      <c r="M230" s="296"/>
      <c r="N230" s="296"/>
      <c r="O230" s="296"/>
      <c r="P230" s="296"/>
      <c r="Q230" s="384"/>
      <c r="R230" s="296"/>
      <c r="S230" s="296"/>
      <c r="T230" s="296"/>
      <c r="U230" s="160">
        <v>2157</v>
      </c>
      <c r="V230" s="160">
        <v>2247</v>
      </c>
      <c r="W230" s="44">
        <v>2121</v>
      </c>
      <c r="X230" s="94">
        <f t="shared" si="336"/>
        <v>6525</v>
      </c>
    </row>
    <row r="231" spans="1:24" x14ac:dyDescent="0.2">
      <c r="A231" s="41">
        <f t="shared" ref="A231:B231" si="342">+A230</f>
        <v>2017030</v>
      </c>
      <c r="B231" s="42">
        <f t="shared" si="342"/>
        <v>0</v>
      </c>
      <c r="C231" s="425"/>
      <c r="D231" s="428"/>
      <c r="E231" s="428"/>
      <c r="F231" s="431"/>
      <c r="G231" s="428"/>
      <c r="H231" s="431"/>
      <c r="I231" s="434"/>
      <c r="J231" s="437"/>
      <c r="K231" s="112" t="s">
        <v>29</v>
      </c>
      <c r="L231" s="296"/>
      <c r="M231" s="296"/>
      <c r="N231" s="296"/>
      <c r="O231" s="296"/>
      <c r="P231" s="296"/>
      <c r="Q231" s="384"/>
      <c r="R231" s="296"/>
      <c r="S231" s="296"/>
      <c r="T231" s="296"/>
      <c r="U231" s="164">
        <v>2372</v>
      </c>
      <c r="V231" s="164">
        <v>2472</v>
      </c>
      <c r="W231" s="81">
        <v>2545</v>
      </c>
      <c r="X231" s="104">
        <f t="shared" si="336"/>
        <v>7389</v>
      </c>
    </row>
    <row r="232" spans="1:24" ht="12.5" thickBot="1" x14ac:dyDescent="0.25">
      <c r="A232" s="41">
        <f t="shared" ref="A232:B232" si="343">+A231</f>
        <v>2017030</v>
      </c>
      <c r="B232" s="42">
        <f t="shared" si="343"/>
        <v>0</v>
      </c>
      <c r="C232" s="459"/>
      <c r="D232" s="460"/>
      <c r="E232" s="460"/>
      <c r="F232" s="455"/>
      <c r="G232" s="460"/>
      <c r="H232" s="455"/>
      <c r="I232" s="461"/>
      <c r="J232" s="462"/>
      <c r="K232" s="95" t="s">
        <v>39</v>
      </c>
      <c r="L232" s="297">
        <f t="shared" ref="L232:Q232" si="344">L221-L224</f>
        <v>0</v>
      </c>
      <c r="M232" s="275">
        <f t="shared" si="344"/>
        <v>0</v>
      </c>
      <c r="N232" s="275">
        <f t="shared" si="344"/>
        <v>0</v>
      </c>
      <c r="O232" s="275">
        <f t="shared" si="344"/>
        <v>0</v>
      </c>
      <c r="P232" s="275">
        <f t="shared" si="344"/>
        <v>0</v>
      </c>
      <c r="Q232" s="279">
        <f t="shared" si="344"/>
        <v>0</v>
      </c>
      <c r="R232" s="275">
        <f>R221-R224</f>
        <v>0</v>
      </c>
      <c r="S232" s="275">
        <f t="shared" ref="S232:V232" si="345">S221-S224</f>
        <v>0</v>
      </c>
      <c r="T232" s="275">
        <f t="shared" si="345"/>
        <v>0</v>
      </c>
      <c r="U232" s="279">
        <f t="shared" si="345"/>
        <v>139632</v>
      </c>
      <c r="V232" s="279">
        <f t="shared" si="345"/>
        <v>151780</v>
      </c>
      <c r="W232" s="116">
        <f>W221-W224</f>
        <v>194354</v>
      </c>
      <c r="X232" s="158">
        <f>X221-X224</f>
        <v>485766</v>
      </c>
    </row>
    <row r="233" spans="1:24" ht="12.5" thickTop="1" x14ac:dyDescent="0.2">
      <c r="A233" s="17"/>
      <c r="B233" s="15"/>
      <c r="C233" s="482"/>
      <c r="D233" s="483"/>
      <c r="E233" s="483"/>
      <c r="F233" s="483"/>
      <c r="G233" s="483"/>
      <c r="H233" s="483"/>
      <c r="I233" s="483"/>
      <c r="J233" s="484"/>
      <c r="K233" s="28" t="s">
        <v>21</v>
      </c>
      <c r="L233" s="298">
        <f>L5+L17+L29+L41+L53+L65+L77+L89+L113+L125+L137+L149+L161+L173+L185+L197+L221+L209+L101</f>
        <v>6629295</v>
      </c>
      <c r="M233" s="298">
        <f t="shared" ref="M233:W233" si="346">M5+M17+M29+M41+M53+M65+M77+M89+M113+M125+M137+M149+M161+M173+M185+M197+M221+M209+M101</f>
        <v>7361140</v>
      </c>
      <c r="N233" s="298">
        <f t="shared" si="346"/>
        <v>7632975</v>
      </c>
      <c r="O233" s="298">
        <f t="shared" si="346"/>
        <v>7466430</v>
      </c>
      <c r="P233" s="298">
        <f t="shared" si="346"/>
        <v>7304380</v>
      </c>
      <c r="Q233" s="298">
        <f t="shared" si="346"/>
        <v>7065585</v>
      </c>
      <c r="R233" s="298">
        <f t="shared" si="346"/>
        <v>6276225</v>
      </c>
      <c r="S233" s="298">
        <f t="shared" si="346"/>
        <v>5387205</v>
      </c>
      <c r="T233" s="298">
        <f>T5+T17+T29+T41+T53+T65+T77+T89+T113+T125+T137+T149+T161+T173+T185+T197+T221+T209+T101</f>
        <v>5674540</v>
      </c>
      <c r="U233" s="416">
        <f t="shared" si="346"/>
        <v>6119195</v>
      </c>
      <c r="V233" s="416">
        <f t="shared" si="346"/>
        <v>5902185</v>
      </c>
      <c r="W233" s="414">
        <f t="shared" si="346"/>
        <v>6198000</v>
      </c>
      <c r="X233" s="107">
        <f t="shared" ref="X233:X242" si="347">SUM(L233:W233)</f>
        <v>79017155</v>
      </c>
    </row>
    <row r="234" spans="1:24" x14ac:dyDescent="0.2">
      <c r="A234" s="17"/>
      <c r="B234" s="15"/>
      <c r="C234" s="482"/>
      <c r="D234" s="483"/>
      <c r="E234" s="483"/>
      <c r="F234" s="483"/>
      <c r="G234" s="483"/>
      <c r="H234" s="483"/>
      <c r="I234" s="483"/>
      <c r="J234" s="484"/>
      <c r="K234" s="31" t="s">
        <v>22</v>
      </c>
      <c r="L234" s="219">
        <f>L8+L20+L32+L44+L56+L68+L80+L92+L116+L128+L140+L152+L164+L176+L188+L200+L224+L212+L104</f>
        <v>4849295</v>
      </c>
      <c r="M234" s="219">
        <f t="shared" ref="M234:W234" si="348">M8+M20+M32+M44+M56+M68+M80+M92+M116+M128+M140+M152+M164+M176+M188+M200+M224+M212+M104</f>
        <v>5064747</v>
      </c>
      <c r="N234" s="219">
        <f t="shared" si="348"/>
        <v>5168234</v>
      </c>
      <c r="O234" s="219">
        <f t="shared" si="348"/>
        <v>5146603</v>
      </c>
      <c r="P234" s="219">
        <f t="shared" si="348"/>
        <v>5421520</v>
      </c>
      <c r="Q234" s="219">
        <f t="shared" si="348"/>
        <v>5369514</v>
      </c>
      <c r="R234" s="219">
        <f t="shared" si="348"/>
        <v>4371086</v>
      </c>
      <c r="S234" s="219">
        <f t="shared" si="348"/>
        <v>4008642</v>
      </c>
      <c r="T234" s="219">
        <f>T8+T20+T32+T44+T56+T68+T80+T92+T116+T128+T140+T152+T164+T176+T188+T200+T224+T212+T104</f>
        <v>4051923</v>
      </c>
      <c r="U234" s="165">
        <f t="shared" si="348"/>
        <v>4511464</v>
      </c>
      <c r="V234" s="165">
        <f t="shared" si="348"/>
        <v>4499650</v>
      </c>
      <c r="W234" s="61">
        <f t="shared" si="348"/>
        <v>4389137</v>
      </c>
      <c r="X234" s="108">
        <f t="shared" si="347"/>
        <v>56851815</v>
      </c>
    </row>
    <row r="235" spans="1:24" x14ac:dyDescent="0.2">
      <c r="A235" s="17"/>
      <c r="B235" s="15"/>
      <c r="C235" s="485"/>
      <c r="D235" s="486"/>
      <c r="E235" s="486"/>
      <c r="F235" s="486"/>
      <c r="G235" s="486"/>
      <c r="H235" s="486"/>
      <c r="I235" s="486"/>
      <c r="J235" s="487"/>
      <c r="K235" s="63" t="s">
        <v>23</v>
      </c>
      <c r="L235" s="299">
        <f>L233-L234</f>
        <v>1780000</v>
      </c>
      <c r="M235" s="300">
        <f t="shared" ref="M235:W235" si="349">M233-M234</f>
        <v>2296393</v>
      </c>
      <c r="N235" s="365">
        <f t="shared" si="349"/>
        <v>2464741</v>
      </c>
      <c r="O235" s="366">
        <f t="shared" si="349"/>
        <v>2319827</v>
      </c>
      <c r="P235" s="366">
        <f t="shared" si="349"/>
        <v>1882860</v>
      </c>
      <c r="Q235" s="385">
        <f t="shared" si="349"/>
        <v>1696071</v>
      </c>
      <c r="R235" s="366">
        <f t="shared" si="349"/>
        <v>1905139</v>
      </c>
      <c r="S235" s="366">
        <f t="shared" si="349"/>
        <v>1378563</v>
      </c>
      <c r="T235" s="366">
        <f t="shared" si="349"/>
        <v>1622617</v>
      </c>
      <c r="U235" s="385">
        <f t="shared" si="349"/>
        <v>1607731</v>
      </c>
      <c r="V235" s="385">
        <f t="shared" si="349"/>
        <v>1402535</v>
      </c>
      <c r="W235" s="157">
        <f t="shared" si="349"/>
        <v>1808863</v>
      </c>
      <c r="X235" s="109">
        <f t="shared" si="347"/>
        <v>22165340</v>
      </c>
    </row>
    <row r="236" spans="1:24" x14ac:dyDescent="0.2">
      <c r="A236" s="17"/>
      <c r="B236" s="15"/>
      <c r="C236" s="306"/>
      <c r="D236" s="306"/>
      <c r="E236" s="306"/>
      <c r="F236" s="307"/>
      <c r="G236" s="306"/>
      <c r="H236" s="307"/>
      <c r="I236" s="306"/>
      <c r="J236" s="308"/>
      <c r="K236" s="12" t="s">
        <v>40</v>
      </c>
      <c r="L236" s="458">
        <f>SUM(L233:N233)</f>
        <v>21623410</v>
      </c>
      <c r="M236" s="440"/>
      <c r="N236" s="440"/>
      <c r="O236" s="439">
        <f>SUM(O233:Q233)</f>
        <v>21836395</v>
      </c>
      <c r="P236" s="439"/>
      <c r="Q236" s="439"/>
      <c r="R236" s="440">
        <f>SUM(R233:T233)</f>
        <v>17337970</v>
      </c>
      <c r="S236" s="440"/>
      <c r="T236" s="440"/>
      <c r="U236" s="439">
        <f>SUM(U233:W233)</f>
        <v>18219380</v>
      </c>
      <c r="V236" s="439"/>
      <c r="W236" s="441"/>
      <c r="X236" s="66">
        <f t="shared" si="347"/>
        <v>79017155</v>
      </c>
    </row>
    <row r="237" spans="1:24" x14ac:dyDescent="0.2">
      <c r="A237" s="17"/>
      <c r="B237" s="15"/>
      <c r="C237" s="10"/>
      <c r="D237" s="10"/>
      <c r="E237" s="10"/>
      <c r="G237" s="10"/>
      <c r="H237" s="1"/>
      <c r="I237" s="10"/>
      <c r="J237" s="393"/>
      <c r="K237" s="11" t="s">
        <v>41</v>
      </c>
      <c r="L237" s="442">
        <f>SUM(L235:N235)</f>
        <v>6541134</v>
      </c>
      <c r="M237" s="443"/>
      <c r="N237" s="443"/>
      <c r="O237" s="444">
        <f>SUM(O235:Q235)</f>
        <v>5898758</v>
      </c>
      <c r="P237" s="444"/>
      <c r="Q237" s="444"/>
      <c r="R237" s="443">
        <f>SUM(R235:T235)</f>
        <v>4906319</v>
      </c>
      <c r="S237" s="443"/>
      <c r="T237" s="443"/>
      <c r="U237" s="444">
        <f>SUM(U235:W235)</f>
        <v>4819129</v>
      </c>
      <c r="V237" s="444"/>
      <c r="W237" s="445"/>
      <c r="X237" s="67">
        <f t="shared" si="347"/>
        <v>22165340</v>
      </c>
    </row>
    <row r="238" spans="1:24" x14ac:dyDescent="0.2">
      <c r="A238" s="17"/>
      <c r="B238" s="15"/>
      <c r="C238" s="10"/>
      <c r="D238" s="10"/>
      <c r="E238" s="10"/>
      <c r="G238" s="10"/>
      <c r="H238" s="1"/>
      <c r="I238" s="10"/>
      <c r="J238" s="10"/>
      <c r="K238" s="396"/>
      <c r="L238" s="397"/>
      <c r="M238" s="397"/>
      <c r="N238" s="397"/>
      <c r="O238" s="398"/>
      <c r="P238" s="398"/>
      <c r="Q238" s="398"/>
      <c r="R238" s="397"/>
      <c r="S238" s="397"/>
      <c r="T238" s="397"/>
      <c r="U238" s="398"/>
      <c r="V238" s="398"/>
      <c r="W238" s="399"/>
      <c r="X238" s="400"/>
    </row>
    <row r="239" spans="1:24" x14ac:dyDescent="0.2">
      <c r="A239" s="17"/>
      <c r="B239" s="15"/>
      <c r="C239" s="10"/>
      <c r="D239" s="10"/>
      <c r="E239" s="10"/>
      <c r="G239" s="10"/>
      <c r="H239" s="1"/>
      <c r="I239" s="10"/>
      <c r="J239" s="10"/>
      <c r="L239" s="401"/>
      <c r="M239" s="401"/>
      <c r="N239" s="401"/>
      <c r="O239" s="402"/>
      <c r="P239" s="402"/>
      <c r="Q239" s="402"/>
      <c r="R239" s="401"/>
      <c r="S239" s="401"/>
      <c r="T239" s="401"/>
      <c r="U239" s="402"/>
      <c r="V239" s="402"/>
      <c r="W239" s="403"/>
      <c r="X239" s="404"/>
    </row>
    <row r="240" spans="1:24" x14ac:dyDescent="0.2">
      <c r="A240" s="17"/>
      <c r="B240" s="15"/>
      <c r="C240" s="394"/>
      <c r="D240" s="394"/>
      <c r="E240" s="394"/>
      <c r="F240" s="395"/>
      <c r="G240" s="394"/>
      <c r="H240" s="395"/>
      <c r="I240" s="394"/>
      <c r="J240" s="394"/>
      <c r="K240" s="405"/>
      <c r="L240" s="406"/>
      <c r="M240" s="406"/>
      <c r="N240" s="406"/>
      <c r="O240" s="407"/>
      <c r="P240" s="407"/>
      <c r="Q240" s="407"/>
      <c r="R240" s="406"/>
      <c r="S240" s="406"/>
      <c r="T240" s="406"/>
      <c r="U240" s="407"/>
      <c r="V240" s="407"/>
      <c r="W240" s="408"/>
      <c r="X240" s="409"/>
    </row>
    <row r="241" spans="1:24" x14ac:dyDescent="0.2">
      <c r="A241" s="7"/>
      <c r="B241" s="10"/>
      <c r="C241" s="446">
        <v>1</v>
      </c>
      <c r="D241" s="430" t="s">
        <v>68</v>
      </c>
      <c r="E241" s="430" t="s">
        <v>70</v>
      </c>
      <c r="F241" s="430"/>
      <c r="G241" s="430"/>
      <c r="H241" s="430"/>
      <c r="I241" s="452"/>
      <c r="J241" s="449" t="s">
        <v>69</v>
      </c>
      <c r="K241" s="350" t="s">
        <v>37</v>
      </c>
      <c r="L241" s="217">
        <f t="shared" ref="L241:W241" si="350">L242+L243</f>
        <v>0</v>
      </c>
      <c r="M241" s="217">
        <f t="shared" si="350"/>
        <v>0</v>
      </c>
      <c r="N241" s="217">
        <f t="shared" si="350"/>
        <v>0</v>
      </c>
      <c r="O241" s="217">
        <f t="shared" si="350"/>
        <v>0</v>
      </c>
      <c r="P241" s="217">
        <f t="shared" si="350"/>
        <v>0</v>
      </c>
      <c r="Q241" s="161">
        <f t="shared" si="350"/>
        <v>0</v>
      </c>
      <c r="R241" s="217">
        <f t="shared" si="350"/>
        <v>0</v>
      </c>
      <c r="S241" s="217">
        <f t="shared" si="350"/>
        <v>0</v>
      </c>
      <c r="T241" s="217">
        <f t="shared" si="350"/>
        <v>0</v>
      </c>
      <c r="U241" s="161">
        <f t="shared" si="350"/>
        <v>0</v>
      </c>
      <c r="V241" s="161">
        <f t="shared" si="350"/>
        <v>0</v>
      </c>
      <c r="W241" s="291">
        <f t="shared" si="350"/>
        <v>0</v>
      </c>
      <c r="X241" s="351">
        <f t="shared" si="347"/>
        <v>0</v>
      </c>
    </row>
    <row r="242" spans="1:24" x14ac:dyDescent="0.2">
      <c r="A242" s="41"/>
      <c r="B242" s="42"/>
      <c r="C242" s="447"/>
      <c r="D242" s="431"/>
      <c r="E242" s="431"/>
      <c r="F242" s="431"/>
      <c r="G242" s="431"/>
      <c r="H242" s="431"/>
      <c r="I242" s="453"/>
      <c r="J242" s="450"/>
      <c r="K242" s="75" t="s">
        <v>38</v>
      </c>
      <c r="L242" s="210"/>
      <c r="M242" s="210"/>
      <c r="N242" s="210"/>
      <c r="O242" s="210"/>
      <c r="P242" s="210"/>
      <c r="Q242" s="160"/>
      <c r="R242" s="210"/>
      <c r="S242" s="210"/>
      <c r="T242" s="210"/>
      <c r="U242" s="160"/>
      <c r="V242" s="160"/>
      <c r="W242" s="210"/>
      <c r="X242" s="352">
        <f t="shared" si="347"/>
        <v>0</v>
      </c>
    </row>
    <row r="243" spans="1:24" x14ac:dyDescent="0.2">
      <c r="A243" s="41"/>
      <c r="B243" s="42"/>
      <c r="C243" s="447"/>
      <c r="D243" s="431"/>
      <c r="E243" s="431"/>
      <c r="F243" s="431"/>
      <c r="G243" s="431"/>
      <c r="H243" s="431"/>
      <c r="I243" s="453"/>
      <c r="J243" s="450"/>
      <c r="K243" s="75" t="s">
        <v>34</v>
      </c>
      <c r="L243" s="211"/>
      <c r="M243" s="212"/>
      <c r="N243" s="212"/>
      <c r="O243" s="212"/>
      <c r="P243" s="212"/>
      <c r="Q243" s="162"/>
      <c r="R243" s="212"/>
      <c r="S243" s="212"/>
      <c r="T243" s="212"/>
      <c r="U243" s="162"/>
      <c r="V243" s="162"/>
      <c r="W243" s="353"/>
      <c r="X243" s="352">
        <v>0</v>
      </c>
    </row>
    <row r="244" spans="1:24" x14ac:dyDescent="0.2">
      <c r="A244" s="41"/>
      <c r="B244" s="42"/>
      <c r="C244" s="447"/>
      <c r="D244" s="431"/>
      <c r="E244" s="431"/>
      <c r="F244" s="431"/>
      <c r="G244" s="431"/>
      <c r="H244" s="431"/>
      <c r="I244" s="453"/>
      <c r="J244" s="450"/>
      <c r="K244" s="76" t="s">
        <v>24</v>
      </c>
      <c r="L244" s="287">
        <f>SUM(L245:L251)</f>
        <v>676199</v>
      </c>
      <c r="M244" s="288">
        <f>SUM(M245:M251)</f>
        <v>678473</v>
      </c>
      <c r="N244" s="288">
        <f>SUM(N245:N251)</f>
        <v>684536</v>
      </c>
      <c r="O244" s="288">
        <f t="shared" ref="O244:P244" si="351">SUM(O245:O251)</f>
        <v>673926</v>
      </c>
      <c r="P244" s="288">
        <f t="shared" si="351"/>
        <v>0</v>
      </c>
      <c r="Q244" s="377">
        <f t="shared" ref="Q244:W244" si="352">SUM(Q245:Q251)</f>
        <v>0</v>
      </c>
      <c r="R244" s="288">
        <f t="shared" si="352"/>
        <v>0</v>
      </c>
      <c r="S244" s="288">
        <f t="shared" si="352"/>
        <v>0</v>
      </c>
      <c r="T244" s="288">
        <f t="shared" si="352"/>
        <v>0</v>
      </c>
      <c r="U244" s="377">
        <f t="shared" si="352"/>
        <v>0</v>
      </c>
      <c r="V244" s="377">
        <f t="shared" si="352"/>
        <v>0</v>
      </c>
      <c r="W244" s="354">
        <f t="shared" si="352"/>
        <v>0</v>
      </c>
      <c r="X244" s="355">
        <f>SUM(L244:W244)</f>
        <v>2713134</v>
      </c>
    </row>
    <row r="245" spans="1:24" x14ac:dyDescent="0.2">
      <c r="A245" s="41"/>
      <c r="B245" s="42"/>
      <c r="C245" s="447"/>
      <c r="D245" s="431"/>
      <c r="E245" s="431"/>
      <c r="F245" s="431"/>
      <c r="G245" s="431"/>
      <c r="H245" s="431"/>
      <c r="I245" s="453"/>
      <c r="J245" s="450"/>
      <c r="K245" s="111" t="s">
        <v>25</v>
      </c>
      <c r="L245" s="296">
        <v>565500</v>
      </c>
      <c r="M245" s="296">
        <v>567750</v>
      </c>
      <c r="N245" s="296">
        <v>573750</v>
      </c>
      <c r="O245" s="296">
        <v>563250</v>
      </c>
      <c r="P245" s="296"/>
      <c r="Q245" s="384"/>
      <c r="R245" s="296"/>
      <c r="S245" s="296"/>
      <c r="T245" s="296"/>
      <c r="U245" s="384"/>
      <c r="V245" s="384"/>
      <c r="W245" s="296"/>
      <c r="X245" s="352">
        <f t="shared" ref="X245:X251" si="353">SUM(L245:W245)</f>
        <v>2270250</v>
      </c>
    </row>
    <row r="246" spans="1:24" x14ac:dyDescent="0.2">
      <c r="A246" s="41"/>
      <c r="B246" s="42"/>
      <c r="C246" s="447"/>
      <c r="D246" s="431"/>
      <c r="E246" s="431"/>
      <c r="F246" s="431"/>
      <c r="G246" s="431"/>
      <c r="H246" s="431"/>
      <c r="I246" s="453"/>
      <c r="J246" s="450"/>
      <c r="K246" s="111" t="s">
        <v>30</v>
      </c>
      <c r="L246" s="296"/>
      <c r="M246" s="296"/>
      <c r="N246" s="296"/>
      <c r="O246" s="296"/>
      <c r="P246" s="296"/>
      <c r="Q246" s="384"/>
      <c r="R246" s="296"/>
      <c r="S246" s="296"/>
      <c r="T246" s="296"/>
      <c r="U246" s="384"/>
      <c r="V246" s="384"/>
      <c r="W246" s="296"/>
      <c r="X246" s="352">
        <f t="shared" si="353"/>
        <v>0</v>
      </c>
    </row>
    <row r="247" spans="1:24" x14ac:dyDescent="0.2">
      <c r="A247" s="41"/>
      <c r="B247" s="42"/>
      <c r="C247" s="447"/>
      <c r="D247" s="431"/>
      <c r="E247" s="431"/>
      <c r="F247" s="431"/>
      <c r="G247" s="431"/>
      <c r="H247" s="431"/>
      <c r="I247" s="453"/>
      <c r="J247" s="450"/>
      <c r="K247" s="111" t="s">
        <v>33</v>
      </c>
      <c r="L247" s="296">
        <v>17260</v>
      </c>
      <c r="M247" s="296">
        <v>17260</v>
      </c>
      <c r="N247" s="296">
        <v>17260</v>
      </c>
      <c r="O247" s="296">
        <v>17260</v>
      </c>
      <c r="P247" s="296"/>
      <c r="Q247" s="384"/>
      <c r="R247" s="296"/>
      <c r="S247" s="296"/>
      <c r="T247" s="296"/>
      <c r="U247" s="384"/>
      <c r="V247" s="384"/>
      <c r="W247" s="296"/>
      <c r="X247" s="352">
        <f t="shared" si="353"/>
        <v>69040</v>
      </c>
    </row>
    <row r="248" spans="1:24" x14ac:dyDescent="0.2">
      <c r="A248" s="41"/>
      <c r="B248" s="42"/>
      <c r="C248" s="447"/>
      <c r="D248" s="431"/>
      <c r="E248" s="431"/>
      <c r="F248" s="431"/>
      <c r="G248" s="431"/>
      <c r="H248" s="431"/>
      <c r="I248" s="453"/>
      <c r="J248" s="450"/>
      <c r="K248" s="111" t="s">
        <v>26</v>
      </c>
      <c r="L248" s="296">
        <v>33335</v>
      </c>
      <c r="M248" s="296">
        <v>33335</v>
      </c>
      <c r="N248" s="296">
        <v>33335</v>
      </c>
      <c r="O248" s="296">
        <v>33335</v>
      </c>
      <c r="P248" s="296"/>
      <c r="Q248" s="384"/>
      <c r="R248" s="296"/>
      <c r="S248" s="296"/>
      <c r="T248" s="296"/>
      <c r="U248" s="384"/>
      <c r="V248" s="384"/>
      <c r="W248" s="296"/>
      <c r="X248" s="352">
        <f t="shared" si="353"/>
        <v>133340</v>
      </c>
    </row>
    <row r="249" spans="1:24" x14ac:dyDescent="0.2">
      <c r="A249" s="41"/>
      <c r="B249" s="42"/>
      <c r="C249" s="447"/>
      <c r="D249" s="431"/>
      <c r="E249" s="431"/>
      <c r="F249" s="431"/>
      <c r="G249" s="431"/>
      <c r="H249" s="431"/>
      <c r="I249" s="453"/>
      <c r="J249" s="450"/>
      <c r="K249" s="111" t="s">
        <v>27</v>
      </c>
      <c r="L249" s="296">
        <v>53985</v>
      </c>
      <c r="M249" s="296">
        <v>53985</v>
      </c>
      <c r="N249" s="296">
        <v>53985</v>
      </c>
      <c r="O249" s="296">
        <v>53985</v>
      </c>
      <c r="P249" s="296"/>
      <c r="Q249" s="384"/>
      <c r="R249" s="296"/>
      <c r="S249" s="296"/>
      <c r="T249" s="296"/>
      <c r="U249" s="384"/>
      <c r="V249" s="384"/>
      <c r="W249" s="296"/>
      <c r="X249" s="352">
        <f t="shared" si="353"/>
        <v>215940</v>
      </c>
    </row>
    <row r="250" spans="1:24" x14ac:dyDescent="0.2">
      <c r="A250" s="41"/>
      <c r="B250" s="42"/>
      <c r="C250" s="447"/>
      <c r="D250" s="431"/>
      <c r="E250" s="431"/>
      <c r="F250" s="431"/>
      <c r="G250" s="431"/>
      <c r="H250" s="431"/>
      <c r="I250" s="453"/>
      <c r="J250" s="450"/>
      <c r="K250" s="111" t="s">
        <v>28</v>
      </c>
      <c r="L250" s="296">
        <v>2914</v>
      </c>
      <c r="M250" s="296">
        <v>2925</v>
      </c>
      <c r="N250" s="296">
        <v>2955</v>
      </c>
      <c r="O250" s="296">
        <v>2903</v>
      </c>
      <c r="P250" s="296"/>
      <c r="Q250" s="384"/>
      <c r="R250" s="296"/>
      <c r="S250" s="296"/>
      <c r="T250" s="296"/>
      <c r="U250" s="384"/>
      <c r="V250" s="384"/>
      <c r="W250" s="296"/>
      <c r="X250" s="352">
        <f t="shared" si="353"/>
        <v>11697</v>
      </c>
    </row>
    <row r="251" spans="1:24" ht="12.5" thickBot="1" x14ac:dyDescent="0.25">
      <c r="A251" s="41"/>
      <c r="B251" s="42"/>
      <c r="C251" s="448"/>
      <c r="D251" s="455"/>
      <c r="E251" s="455"/>
      <c r="F251" s="455"/>
      <c r="G251" s="455"/>
      <c r="H251" s="455"/>
      <c r="I251" s="454"/>
      <c r="J251" s="451"/>
      <c r="K251" s="309" t="s">
        <v>29</v>
      </c>
      <c r="L251" s="310">
        <v>3205</v>
      </c>
      <c r="M251" s="310">
        <v>3218</v>
      </c>
      <c r="N251" s="310">
        <v>3251</v>
      </c>
      <c r="O251" s="310">
        <v>3193</v>
      </c>
      <c r="P251" s="310"/>
      <c r="Q251" s="386"/>
      <c r="R251" s="310"/>
      <c r="S251" s="310"/>
      <c r="T251" s="310"/>
      <c r="U251" s="386"/>
      <c r="V251" s="386"/>
      <c r="W251" s="310"/>
      <c r="X251" s="364">
        <f t="shared" si="353"/>
        <v>12867</v>
      </c>
    </row>
    <row r="252" spans="1:24" ht="38.4" customHeight="1" thickTop="1" x14ac:dyDescent="0.2">
      <c r="A252" s="17"/>
      <c r="B252" s="15"/>
      <c r="C252" s="479"/>
      <c r="D252" s="480"/>
      <c r="E252" s="480"/>
      <c r="F252" s="480"/>
      <c r="G252" s="480"/>
      <c r="H252" s="480"/>
      <c r="I252" s="480"/>
      <c r="J252" s="481"/>
      <c r="K252" s="362" t="s">
        <v>67</v>
      </c>
      <c r="L252" s="362">
        <f t="shared" ref="L252:Q252" si="354">L244</f>
        <v>676199</v>
      </c>
      <c r="M252" s="362">
        <f t="shared" si="354"/>
        <v>678473</v>
      </c>
      <c r="N252" s="362">
        <f t="shared" si="354"/>
        <v>684536</v>
      </c>
      <c r="O252" s="362">
        <f t="shared" si="354"/>
        <v>673926</v>
      </c>
      <c r="P252" s="362">
        <f t="shared" si="354"/>
        <v>0</v>
      </c>
      <c r="Q252" s="387">
        <f t="shared" si="354"/>
        <v>0</v>
      </c>
      <c r="R252" s="362">
        <f t="shared" ref="R252:W252" si="355">R244</f>
        <v>0</v>
      </c>
      <c r="S252" s="362">
        <f t="shared" si="355"/>
        <v>0</v>
      </c>
      <c r="T252" s="362">
        <f t="shared" si="355"/>
        <v>0</v>
      </c>
      <c r="U252" s="387">
        <f t="shared" si="355"/>
        <v>0</v>
      </c>
      <c r="V252" s="387">
        <f t="shared" si="355"/>
        <v>0</v>
      </c>
      <c r="W252" s="362">
        <f t="shared" si="355"/>
        <v>0</v>
      </c>
      <c r="X252" s="374">
        <f>SUM(L252:W252)</f>
        <v>2713134</v>
      </c>
    </row>
    <row r="253" spans="1:24" x14ac:dyDescent="0.2">
      <c r="P253" s="5"/>
      <c r="Q253" s="5"/>
      <c r="R253" s="5"/>
      <c r="S253" s="5"/>
      <c r="T253" s="5"/>
      <c r="U253" s="5"/>
      <c r="V253" s="5"/>
      <c r="W253" s="2"/>
      <c r="X253" s="2"/>
    </row>
    <row r="254" spans="1:24" x14ac:dyDescent="0.2">
      <c r="P254" s="5"/>
      <c r="Q254" s="5"/>
      <c r="R254" s="5"/>
      <c r="S254" s="5"/>
      <c r="T254" s="5"/>
      <c r="U254" s="5"/>
      <c r="V254" s="5"/>
      <c r="W254" s="2"/>
      <c r="X254" s="2"/>
    </row>
    <row r="255" spans="1:24" x14ac:dyDescent="0.2">
      <c r="P255" s="5"/>
      <c r="Q255" s="5"/>
      <c r="R255" s="5"/>
      <c r="S255" s="5"/>
      <c r="T255" s="5"/>
      <c r="U255" s="5"/>
      <c r="V255" s="5"/>
      <c r="W255" s="2"/>
      <c r="X255" s="2"/>
    </row>
    <row r="256" spans="1:24" x14ac:dyDescent="0.2">
      <c r="P256" s="5"/>
      <c r="Q256" s="5"/>
      <c r="R256" s="5"/>
      <c r="S256" s="5"/>
      <c r="T256" s="5"/>
      <c r="U256" s="5"/>
      <c r="V256" s="5"/>
      <c r="W256" s="2"/>
      <c r="X256" s="2"/>
    </row>
    <row r="257" spans="16:24" x14ac:dyDescent="0.2">
      <c r="P257" s="5"/>
      <c r="Q257" s="5"/>
      <c r="R257" s="5"/>
      <c r="S257" s="5"/>
      <c r="T257" s="5"/>
      <c r="U257" s="5"/>
      <c r="V257" s="5"/>
      <c r="W257" s="2"/>
      <c r="X257" s="2"/>
    </row>
    <row r="258" spans="16:24" x14ac:dyDescent="0.2">
      <c r="P258" s="5"/>
      <c r="Q258" s="5"/>
      <c r="R258" s="5"/>
      <c r="S258" s="5"/>
      <c r="T258" s="5"/>
      <c r="U258" s="5"/>
      <c r="V258" s="5"/>
      <c r="W258" s="2"/>
      <c r="X258" s="2"/>
    </row>
    <row r="259" spans="16:24" x14ac:dyDescent="0.2">
      <c r="P259" s="5"/>
      <c r="Q259" s="5"/>
      <c r="R259" s="5"/>
      <c r="S259" s="5"/>
      <c r="T259" s="5"/>
      <c r="U259" s="5"/>
      <c r="V259" s="5"/>
      <c r="W259" s="2"/>
      <c r="X259" s="2"/>
    </row>
    <row r="260" spans="16:24" x14ac:dyDescent="0.2">
      <c r="P260" s="5"/>
      <c r="Q260" s="5"/>
      <c r="R260" s="5"/>
      <c r="S260" s="5"/>
      <c r="T260" s="5"/>
      <c r="U260" s="5"/>
      <c r="V260" s="5"/>
      <c r="W260" s="2"/>
      <c r="X260" s="2"/>
    </row>
    <row r="261" spans="16:24" x14ac:dyDescent="0.2">
      <c r="P261" s="5"/>
      <c r="Q261" s="5"/>
      <c r="R261" s="5"/>
      <c r="S261" s="5"/>
      <c r="T261" s="5"/>
      <c r="U261" s="5"/>
      <c r="V261" s="5"/>
      <c r="W261" s="2"/>
      <c r="X261" s="2"/>
    </row>
    <row r="262" spans="16:24" x14ac:dyDescent="0.2">
      <c r="P262" s="5"/>
      <c r="Q262" s="5"/>
      <c r="R262" s="5"/>
      <c r="S262" s="5"/>
      <c r="T262" s="5"/>
      <c r="U262" s="5"/>
      <c r="V262" s="5"/>
      <c r="W262" s="2"/>
      <c r="X262" s="2"/>
    </row>
    <row r="263" spans="16:24" x14ac:dyDescent="0.2">
      <c r="P263" s="5"/>
      <c r="Q263" s="5"/>
      <c r="R263" s="5"/>
      <c r="S263" s="5"/>
      <c r="T263" s="5"/>
      <c r="U263" s="5"/>
      <c r="V263" s="5"/>
      <c r="W263" s="2"/>
      <c r="X263" s="2"/>
    </row>
    <row r="264" spans="16:24" x14ac:dyDescent="0.2">
      <c r="P264" s="5"/>
      <c r="Q264" s="5"/>
      <c r="R264" s="5"/>
      <c r="S264" s="5"/>
      <c r="T264" s="5"/>
      <c r="U264" s="5"/>
      <c r="V264" s="5"/>
      <c r="W264" s="2"/>
      <c r="X264" s="2"/>
    </row>
    <row r="265" spans="16:24" x14ac:dyDescent="0.2">
      <c r="P265" s="5"/>
      <c r="Q265" s="5"/>
      <c r="R265" s="5"/>
      <c r="S265" s="5"/>
      <c r="T265" s="5"/>
      <c r="U265" s="5"/>
      <c r="V265" s="5"/>
      <c r="W265" s="2"/>
      <c r="X265" s="2"/>
    </row>
    <row r="266" spans="16:24" x14ac:dyDescent="0.2">
      <c r="P266" s="5"/>
      <c r="Q266" s="5"/>
      <c r="R266" s="5"/>
      <c r="S266" s="5"/>
      <c r="T266" s="5"/>
      <c r="U266" s="5"/>
      <c r="V266" s="5"/>
      <c r="W266" s="2"/>
      <c r="X266" s="2"/>
    </row>
    <row r="267" spans="16:24" x14ac:dyDescent="0.2">
      <c r="P267" s="5"/>
      <c r="Q267" s="5"/>
      <c r="R267" s="5"/>
      <c r="S267" s="5"/>
      <c r="T267" s="5"/>
      <c r="U267" s="5"/>
      <c r="V267" s="5"/>
      <c r="W267" s="2"/>
      <c r="X267" s="2"/>
    </row>
    <row r="268" spans="16:24" x14ac:dyDescent="0.2">
      <c r="P268" s="5"/>
      <c r="Q268" s="5"/>
      <c r="R268" s="5"/>
      <c r="S268" s="5"/>
      <c r="T268" s="5"/>
      <c r="U268" s="5"/>
      <c r="V268" s="5"/>
      <c r="W268" s="2"/>
      <c r="X268" s="2"/>
    </row>
    <row r="269" spans="16:24" x14ac:dyDescent="0.2">
      <c r="P269" s="5"/>
      <c r="Q269" s="5"/>
      <c r="R269" s="5"/>
      <c r="S269" s="5"/>
      <c r="T269" s="5"/>
      <c r="U269" s="5"/>
      <c r="V269" s="5"/>
      <c r="W269" s="2"/>
      <c r="X269" s="2"/>
    </row>
    <row r="270" spans="16:24" x14ac:dyDescent="0.2">
      <c r="P270" s="5"/>
      <c r="Q270" s="5"/>
      <c r="R270" s="5"/>
      <c r="S270" s="5"/>
      <c r="T270" s="5"/>
      <c r="U270" s="5"/>
      <c r="V270" s="5"/>
      <c r="W270" s="2"/>
      <c r="X270" s="2"/>
    </row>
    <row r="271" spans="16:24" x14ac:dyDescent="0.2">
      <c r="P271" s="5"/>
      <c r="Q271" s="5"/>
      <c r="R271" s="5"/>
      <c r="S271" s="5"/>
      <c r="T271" s="5"/>
      <c r="U271" s="5"/>
      <c r="V271" s="5"/>
      <c r="W271" s="2"/>
      <c r="X271" s="2"/>
    </row>
    <row r="272" spans="16:24" x14ac:dyDescent="0.2">
      <c r="P272" s="5"/>
      <c r="Q272" s="5"/>
      <c r="R272" s="5"/>
      <c r="S272" s="5"/>
      <c r="T272" s="5"/>
      <c r="U272" s="5"/>
      <c r="V272" s="5"/>
      <c r="W272" s="2"/>
      <c r="X272" s="2"/>
    </row>
    <row r="273" spans="16:24" x14ac:dyDescent="0.2">
      <c r="P273" s="5"/>
      <c r="Q273" s="5"/>
      <c r="R273" s="5"/>
      <c r="S273" s="5"/>
      <c r="T273" s="5"/>
      <c r="U273" s="5"/>
      <c r="V273" s="5"/>
      <c r="W273" s="2"/>
      <c r="X273" s="2"/>
    </row>
    <row r="274" spans="16:24" x14ac:dyDescent="0.2">
      <c r="P274" s="5"/>
      <c r="Q274" s="5"/>
      <c r="R274" s="5"/>
      <c r="S274" s="5"/>
      <c r="T274" s="5"/>
      <c r="U274" s="5"/>
      <c r="V274" s="5"/>
      <c r="W274" s="2"/>
      <c r="X274" s="2"/>
    </row>
    <row r="275" spans="16:24" x14ac:dyDescent="0.2">
      <c r="P275" s="5"/>
      <c r="Q275" s="5"/>
      <c r="R275" s="5"/>
      <c r="S275" s="5"/>
      <c r="T275" s="5"/>
      <c r="U275" s="5"/>
      <c r="V275" s="5"/>
      <c r="W275" s="2"/>
      <c r="X275" s="2"/>
    </row>
    <row r="276" spans="16:24" x14ac:dyDescent="0.2">
      <c r="P276" s="5"/>
      <c r="Q276" s="5"/>
      <c r="R276" s="5"/>
      <c r="S276" s="5"/>
      <c r="T276" s="5"/>
      <c r="U276" s="5"/>
      <c r="V276" s="5"/>
      <c r="W276" s="2"/>
      <c r="X276" s="2"/>
    </row>
    <row r="277" spans="16:24" x14ac:dyDescent="0.2">
      <c r="P277" s="5"/>
      <c r="Q277" s="5"/>
      <c r="R277" s="5"/>
      <c r="S277" s="5"/>
      <c r="T277" s="5"/>
      <c r="U277" s="5"/>
      <c r="V277" s="5"/>
      <c r="W277" s="2"/>
      <c r="X277" s="2"/>
    </row>
    <row r="278" spans="16:24" x14ac:dyDescent="0.2">
      <c r="P278" s="5"/>
      <c r="Q278" s="5"/>
      <c r="R278" s="5"/>
      <c r="S278" s="5"/>
      <c r="T278" s="5"/>
      <c r="U278" s="5"/>
      <c r="V278" s="5"/>
      <c r="W278" s="2"/>
      <c r="X278" s="2"/>
    </row>
    <row r="279" spans="16:24" x14ac:dyDescent="0.2">
      <c r="P279" s="5"/>
      <c r="Q279" s="5"/>
      <c r="R279" s="5"/>
      <c r="S279" s="5"/>
      <c r="T279" s="5"/>
      <c r="U279" s="5"/>
      <c r="V279" s="5"/>
      <c r="W279" s="2"/>
      <c r="X279" s="2"/>
    </row>
    <row r="280" spans="16:24" x14ac:dyDescent="0.2">
      <c r="P280" s="5"/>
      <c r="Q280" s="5"/>
      <c r="R280" s="5"/>
      <c r="S280" s="5"/>
      <c r="T280" s="5"/>
      <c r="U280" s="5"/>
      <c r="V280" s="5"/>
      <c r="W280" s="2"/>
      <c r="X280" s="2"/>
    </row>
    <row r="281" spans="16:24" x14ac:dyDescent="0.2">
      <c r="P281" s="5"/>
      <c r="Q281" s="5"/>
      <c r="R281" s="5"/>
      <c r="S281" s="5"/>
      <c r="T281" s="5"/>
      <c r="U281" s="5"/>
      <c r="V281" s="5"/>
      <c r="W281" s="2"/>
      <c r="X281" s="2"/>
    </row>
    <row r="282" spans="16:24" x14ac:dyDescent="0.2">
      <c r="P282" s="5"/>
      <c r="Q282" s="5"/>
      <c r="R282" s="5"/>
      <c r="S282" s="5"/>
      <c r="T282" s="5"/>
      <c r="U282" s="5"/>
      <c r="V282" s="5"/>
      <c r="W282" s="2"/>
      <c r="X282" s="2"/>
    </row>
    <row r="283" spans="16:24" x14ac:dyDescent="0.2">
      <c r="P283" s="5"/>
      <c r="Q283" s="5"/>
      <c r="R283" s="5"/>
      <c r="S283" s="5"/>
      <c r="T283" s="5"/>
      <c r="U283" s="5"/>
      <c r="V283" s="5"/>
      <c r="W283" s="2"/>
      <c r="X283" s="2"/>
    </row>
    <row r="284" spans="16:24" x14ac:dyDescent="0.2">
      <c r="P284" s="5"/>
      <c r="Q284" s="5"/>
      <c r="R284" s="5"/>
      <c r="S284" s="5"/>
      <c r="T284" s="5"/>
      <c r="U284" s="5"/>
      <c r="V284" s="5"/>
      <c r="W284" s="2"/>
      <c r="X284" s="2"/>
    </row>
    <row r="285" spans="16:24" x14ac:dyDescent="0.2">
      <c r="P285" s="5"/>
      <c r="Q285" s="5"/>
      <c r="R285" s="5"/>
      <c r="S285" s="5"/>
      <c r="T285" s="5"/>
      <c r="U285" s="5"/>
      <c r="V285" s="5"/>
      <c r="W285" s="2"/>
      <c r="X285" s="2"/>
    </row>
    <row r="286" spans="16:24" x14ac:dyDescent="0.2">
      <c r="P286" s="5"/>
      <c r="Q286" s="5"/>
      <c r="R286" s="5"/>
      <c r="S286" s="5"/>
      <c r="T286" s="5"/>
      <c r="U286" s="5"/>
      <c r="V286" s="5"/>
      <c r="W286" s="2"/>
      <c r="X286" s="2"/>
    </row>
    <row r="287" spans="16:24" x14ac:dyDescent="0.2">
      <c r="P287" s="5"/>
      <c r="Q287" s="5"/>
      <c r="R287" s="5"/>
      <c r="S287" s="5"/>
      <c r="T287" s="5"/>
      <c r="U287" s="5"/>
      <c r="V287" s="5"/>
      <c r="W287" s="2"/>
      <c r="X287" s="2"/>
    </row>
    <row r="288" spans="16:24" x14ac:dyDescent="0.2">
      <c r="P288" s="5"/>
      <c r="Q288" s="5"/>
      <c r="R288" s="5"/>
      <c r="S288" s="5"/>
      <c r="T288" s="5"/>
      <c r="U288" s="5"/>
      <c r="V288" s="5"/>
      <c r="W288" s="2"/>
      <c r="X288" s="2"/>
    </row>
    <row r="289" spans="16:24" x14ac:dyDescent="0.2">
      <c r="P289" s="5"/>
      <c r="Q289" s="5"/>
      <c r="R289" s="5"/>
      <c r="S289" s="5"/>
      <c r="T289" s="5"/>
      <c r="U289" s="5"/>
      <c r="V289" s="5"/>
      <c r="W289" s="2"/>
      <c r="X289" s="2"/>
    </row>
    <row r="290" spans="16:24" x14ac:dyDescent="0.2">
      <c r="P290" s="5"/>
      <c r="Q290" s="5"/>
      <c r="R290" s="5"/>
      <c r="S290" s="5"/>
      <c r="T290" s="5"/>
      <c r="U290" s="5"/>
      <c r="V290" s="5"/>
      <c r="W290" s="2"/>
      <c r="X290" s="2"/>
    </row>
    <row r="291" spans="16:24" x14ac:dyDescent="0.2">
      <c r="P291" s="5"/>
      <c r="Q291" s="5"/>
      <c r="R291" s="5"/>
      <c r="S291" s="5"/>
      <c r="T291" s="5"/>
      <c r="U291" s="5"/>
      <c r="V291" s="5"/>
      <c r="W291" s="2"/>
      <c r="X291" s="2"/>
    </row>
    <row r="292" spans="16:24" x14ac:dyDescent="0.2">
      <c r="P292" s="5"/>
      <c r="Q292" s="5"/>
      <c r="R292" s="5"/>
      <c r="S292" s="5"/>
      <c r="T292" s="5"/>
      <c r="U292" s="5"/>
      <c r="V292" s="5"/>
      <c r="W292" s="2"/>
      <c r="X292" s="2"/>
    </row>
    <row r="293" spans="16:24" x14ac:dyDescent="0.2">
      <c r="P293" s="5"/>
      <c r="Q293" s="5"/>
      <c r="R293" s="5"/>
      <c r="S293" s="5"/>
      <c r="T293" s="5"/>
      <c r="U293" s="5"/>
      <c r="V293" s="5"/>
      <c r="W293" s="2"/>
      <c r="X293" s="2"/>
    </row>
    <row r="294" spans="16:24" x14ac:dyDescent="0.2">
      <c r="P294" s="5"/>
      <c r="Q294" s="5"/>
      <c r="R294" s="5"/>
      <c r="S294" s="5"/>
      <c r="T294" s="5"/>
      <c r="U294" s="5"/>
      <c r="V294" s="5"/>
      <c r="W294" s="2"/>
      <c r="X294" s="2"/>
    </row>
    <row r="295" spans="16:24" x14ac:dyDescent="0.2">
      <c r="P295" s="5"/>
      <c r="Q295" s="5"/>
      <c r="R295" s="5"/>
      <c r="S295" s="5"/>
      <c r="T295" s="5"/>
      <c r="U295" s="5"/>
      <c r="V295" s="5"/>
      <c r="W295" s="2"/>
      <c r="X295" s="2"/>
    </row>
    <row r="296" spans="16:24" x14ac:dyDescent="0.2">
      <c r="P296" s="5"/>
      <c r="Q296" s="5"/>
      <c r="R296" s="5"/>
      <c r="S296" s="5"/>
      <c r="T296" s="5"/>
      <c r="U296" s="5"/>
      <c r="V296" s="5"/>
      <c r="W296" s="2"/>
      <c r="X296" s="2"/>
    </row>
    <row r="297" spans="16:24" x14ac:dyDescent="0.2">
      <c r="P297" s="5"/>
      <c r="Q297" s="5"/>
      <c r="R297" s="5"/>
      <c r="S297" s="5"/>
      <c r="T297" s="5"/>
      <c r="U297" s="5"/>
      <c r="V297" s="5"/>
      <c r="W297" s="2"/>
      <c r="X297" s="2"/>
    </row>
    <row r="298" spans="16:24" x14ac:dyDescent="0.2">
      <c r="P298" s="5"/>
      <c r="Q298" s="5"/>
      <c r="R298" s="5"/>
      <c r="S298" s="5"/>
      <c r="T298" s="5"/>
      <c r="U298" s="5"/>
      <c r="V298" s="5"/>
      <c r="W298" s="2"/>
      <c r="X298" s="2"/>
    </row>
    <row r="299" spans="16:24" x14ac:dyDescent="0.2">
      <c r="P299" s="5"/>
      <c r="Q299" s="5"/>
      <c r="R299" s="5"/>
      <c r="S299" s="5"/>
      <c r="T299" s="5"/>
      <c r="U299" s="5"/>
      <c r="V299" s="5"/>
      <c r="W299" s="2"/>
      <c r="X299" s="2"/>
    </row>
    <row r="300" spans="16:24" x14ac:dyDescent="0.2">
      <c r="P300" s="5"/>
      <c r="Q300" s="5"/>
      <c r="R300" s="5"/>
      <c r="S300" s="5"/>
      <c r="T300" s="5"/>
      <c r="U300" s="5"/>
      <c r="V300" s="5"/>
      <c r="W300" s="2"/>
      <c r="X300" s="2"/>
    </row>
    <row r="301" spans="16:24" x14ac:dyDescent="0.2">
      <c r="P301" s="5"/>
      <c r="Q301" s="5"/>
      <c r="R301" s="5"/>
      <c r="S301" s="5"/>
      <c r="T301" s="5"/>
      <c r="U301" s="5"/>
      <c r="V301" s="5"/>
      <c r="W301" s="2"/>
      <c r="X301" s="2"/>
    </row>
    <row r="302" spans="16:24" x14ac:dyDescent="0.2">
      <c r="P302" s="5"/>
      <c r="Q302" s="5"/>
      <c r="R302" s="5"/>
      <c r="S302" s="5"/>
      <c r="T302" s="5"/>
      <c r="U302" s="5"/>
      <c r="V302" s="5"/>
      <c r="W302" s="2"/>
      <c r="X302" s="2"/>
    </row>
    <row r="303" spans="16:24" x14ac:dyDescent="0.2">
      <c r="P303" s="5"/>
      <c r="Q303" s="5"/>
      <c r="R303" s="5"/>
      <c r="S303" s="5"/>
      <c r="T303" s="5"/>
      <c r="U303" s="5"/>
      <c r="V303" s="5"/>
      <c r="W303" s="2"/>
      <c r="X303" s="2"/>
    </row>
    <row r="304" spans="16:24" x14ac:dyDescent="0.2">
      <c r="P304" s="5"/>
      <c r="Q304" s="5"/>
      <c r="R304" s="5"/>
      <c r="S304" s="5"/>
      <c r="T304" s="5"/>
      <c r="U304" s="5"/>
      <c r="V304" s="5"/>
      <c r="W304" s="2"/>
      <c r="X304" s="2"/>
    </row>
    <row r="305" spans="16:24" x14ac:dyDescent="0.2">
      <c r="P305" s="5"/>
      <c r="Q305" s="5"/>
      <c r="R305" s="5"/>
      <c r="S305" s="5"/>
      <c r="T305" s="5"/>
      <c r="U305" s="5"/>
      <c r="V305" s="5"/>
      <c r="W305" s="2"/>
      <c r="X305" s="2"/>
    </row>
    <row r="306" spans="16:24" x14ac:dyDescent="0.2">
      <c r="P306" s="5"/>
      <c r="Q306" s="5"/>
      <c r="R306" s="5"/>
      <c r="S306" s="5"/>
      <c r="T306" s="5"/>
      <c r="U306" s="5"/>
      <c r="V306" s="5"/>
      <c r="W306" s="2"/>
      <c r="X306" s="2"/>
    </row>
    <row r="307" spans="16:24" x14ac:dyDescent="0.2">
      <c r="P307" s="5"/>
      <c r="Q307" s="5"/>
      <c r="R307" s="5"/>
      <c r="S307" s="5"/>
      <c r="T307" s="5"/>
      <c r="U307" s="5"/>
      <c r="V307" s="5"/>
      <c r="W307" s="2"/>
      <c r="X307" s="2"/>
    </row>
    <row r="308" spans="16:24" x14ac:dyDescent="0.2">
      <c r="P308" s="5"/>
      <c r="Q308" s="5"/>
      <c r="R308" s="5"/>
      <c r="S308" s="5"/>
      <c r="T308" s="5"/>
      <c r="U308" s="5"/>
      <c r="V308" s="5"/>
      <c r="W308" s="2"/>
      <c r="X308" s="2"/>
    </row>
    <row r="309" spans="16:24" x14ac:dyDescent="0.2">
      <c r="P309" s="5"/>
      <c r="Q309" s="5"/>
      <c r="R309" s="5"/>
      <c r="S309" s="5"/>
      <c r="T309" s="5"/>
      <c r="U309" s="5"/>
      <c r="V309" s="5"/>
      <c r="W309" s="2"/>
      <c r="X309" s="2"/>
    </row>
    <row r="310" spans="16:24" x14ac:dyDescent="0.2">
      <c r="P310" s="5"/>
      <c r="Q310" s="5"/>
      <c r="R310" s="5"/>
      <c r="S310" s="5"/>
      <c r="T310" s="5"/>
      <c r="U310" s="5"/>
      <c r="V310" s="5"/>
      <c r="W310" s="2"/>
      <c r="X310" s="2"/>
    </row>
    <row r="311" spans="16:24" x14ac:dyDescent="0.2">
      <c r="P311" s="5"/>
      <c r="Q311" s="5"/>
      <c r="R311" s="5"/>
      <c r="S311" s="5"/>
      <c r="T311" s="5"/>
      <c r="U311" s="5"/>
      <c r="V311" s="5"/>
      <c r="W311" s="2"/>
      <c r="X311" s="2"/>
    </row>
    <row r="312" spans="16:24" x14ac:dyDescent="0.2">
      <c r="P312" s="5"/>
      <c r="Q312" s="5"/>
      <c r="R312" s="5"/>
      <c r="S312" s="5"/>
      <c r="T312" s="5"/>
      <c r="U312" s="5"/>
      <c r="V312" s="5"/>
      <c r="W312" s="2"/>
      <c r="X312" s="2"/>
    </row>
    <row r="313" spans="16:24" x14ac:dyDescent="0.2">
      <c r="P313" s="5"/>
      <c r="Q313" s="5"/>
      <c r="R313" s="5"/>
      <c r="S313" s="5"/>
      <c r="T313" s="5"/>
      <c r="U313" s="5"/>
      <c r="V313" s="5"/>
      <c r="W313" s="2"/>
      <c r="X313" s="2"/>
    </row>
    <row r="314" spans="16:24" x14ac:dyDescent="0.2">
      <c r="P314" s="5"/>
      <c r="Q314" s="5"/>
      <c r="R314" s="5"/>
      <c r="S314" s="5"/>
      <c r="T314" s="5"/>
      <c r="U314" s="5"/>
      <c r="V314" s="5"/>
      <c r="W314" s="2"/>
      <c r="X314" s="2"/>
    </row>
    <row r="315" spans="16:24" x14ac:dyDescent="0.2">
      <c r="P315" s="5"/>
      <c r="Q315" s="5"/>
      <c r="R315" s="5"/>
      <c r="S315" s="5"/>
      <c r="T315" s="5"/>
      <c r="U315" s="5"/>
      <c r="V315" s="5"/>
      <c r="W315" s="2"/>
      <c r="X315" s="2"/>
    </row>
    <row r="316" spans="16:24" x14ac:dyDescent="0.2">
      <c r="P316" s="5"/>
      <c r="Q316" s="5"/>
      <c r="R316" s="5"/>
      <c r="S316" s="5"/>
      <c r="T316" s="5"/>
      <c r="U316" s="5"/>
      <c r="V316" s="5"/>
      <c r="W316" s="2"/>
      <c r="X316" s="2"/>
    </row>
    <row r="317" spans="16:24" x14ac:dyDescent="0.2">
      <c r="P317" s="5"/>
      <c r="Q317" s="5"/>
      <c r="R317" s="5"/>
      <c r="S317" s="5"/>
      <c r="T317" s="5"/>
      <c r="U317" s="5"/>
      <c r="V317" s="5"/>
      <c r="W317" s="2"/>
      <c r="X317" s="2"/>
    </row>
    <row r="318" spans="16:24" x14ac:dyDescent="0.2">
      <c r="P318" s="5"/>
      <c r="Q318" s="5"/>
      <c r="R318" s="5"/>
      <c r="S318" s="5"/>
      <c r="T318" s="5"/>
      <c r="U318" s="5"/>
      <c r="V318" s="5"/>
      <c r="W318" s="2"/>
      <c r="X318" s="2"/>
    </row>
    <row r="319" spans="16:24" x14ac:dyDescent="0.2">
      <c r="P319" s="5"/>
      <c r="Q319" s="5"/>
      <c r="R319" s="5"/>
      <c r="S319" s="5"/>
      <c r="T319" s="5"/>
      <c r="U319" s="5"/>
      <c r="V319" s="5"/>
      <c r="W319" s="2"/>
      <c r="X319" s="2"/>
    </row>
    <row r="320" spans="16:24" x14ac:dyDescent="0.2">
      <c r="P320" s="5"/>
      <c r="Q320" s="5"/>
      <c r="R320" s="5"/>
      <c r="S320" s="5"/>
      <c r="T320" s="5"/>
      <c r="U320" s="5"/>
      <c r="V320" s="5"/>
      <c r="W320" s="2"/>
      <c r="X320" s="2"/>
    </row>
    <row r="321" spans="16:24" x14ac:dyDescent="0.2">
      <c r="P321" s="5"/>
      <c r="Q321" s="5"/>
      <c r="R321" s="5"/>
      <c r="S321" s="5"/>
      <c r="T321" s="5"/>
      <c r="U321" s="5"/>
      <c r="V321" s="5"/>
      <c r="W321" s="2"/>
      <c r="X321" s="2"/>
    </row>
    <row r="322" spans="16:24" x14ac:dyDescent="0.2">
      <c r="P322" s="5"/>
      <c r="Q322" s="5"/>
      <c r="R322" s="5"/>
      <c r="S322" s="5"/>
      <c r="T322" s="5"/>
      <c r="U322" s="5"/>
      <c r="V322" s="5"/>
      <c r="W322" s="2"/>
      <c r="X322" s="2"/>
    </row>
    <row r="323" spans="16:24" x14ac:dyDescent="0.2">
      <c r="P323" s="5"/>
      <c r="Q323" s="5"/>
      <c r="R323" s="5"/>
      <c r="S323" s="5"/>
      <c r="T323" s="5"/>
      <c r="U323" s="5"/>
      <c r="V323" s="5"/>
      <c r="W323" s="2"/>
      <c r="X323" s="2"/>
    </row>
    <row r="324" spans="16:24" x14ac:dyDescent="0.2">
      <c r="P324" s="5"/>
      <c r="Q324" s="5"/>
      <c r="R324" s="5"/>
      <c r="S324" s="5"/>
      <c r="T324" s="5"/>
      <c r="U324" s="5"/>
      <c r="V324" s="5"/>
      <c r="W324" s="2"/>
      <c r="X324" s="2"/>
    </row>
    <row r="325" spans="16:24" x14ac:dyDescent="0.2">
      <c r="P325" s="5"/>
      <c r="Q325" s="5"/>
      <c r="R325" s="5"/>
      <c r="S325" s="5"/>
      <c r="T325" s="5"/>
      <c r="U325" s="5"/>
      <c r="V325" s="5"/>
      <c r="W325" s="2"/>
      <c r="X325" s="2"/>
    </row>
    <row r="326" spans="16:24" x14ac:dyDescent="0.2">
      <c r="P326" s="5"/>
      <c r="Q326" s="5"/>
      <c r="R326" s="5"/>
      <c r="S326" s="5"/>
      <c r="T326" s="5"/>
      <c r="U326" s="5"/>
      <c r="V326" s="5"/>
      <c r="W326" s="2"/>
      <c r="X326" s="2"/>
    </row>
    <row r="327" spans="16:24" x14ac:dyDescent="0.2">
      <c r="P327" s="5"/>
      <c r="Q327" s="5"/>
      <c r="R327" s="5"/>
      <c r="S327" s="5"/>
      <c r="T327" s="5"/>
      <c r="U327" s="5"/>
      <c r="V327" s="5"/>
      <c r="W327" s="2"/>
      <c r="X327" s="2"/>
    </row>
    <row r="328" spans="16:24" x14ac:dyDescent="0.2">
      <c r="P328" s="5"/>
      <c r="Q328" s="5"/>
      <c r="R328" s="5"/>
      <c r="S328" s="5"/>
      <c r="T328" s="5"/>
      <c r="U328" s="5"/>
      <c r="V328" s="5"/>
      <c r="W328" s="2"/>
      <c r="X328" s="2"/>
    </row>
    <row r="329" spans="16:24" x14ac:dyDescent="0.2">
      <c r="P329" s="5"/>
      <c r="Q329" s="5"/>
      <c r="R329" s="5"/>
      <c r="S329" s="5"/>
      <c r="T329" s="5"/>
      <c r="U329" s="5"/>
      <c r="V329" s="5"/>
      <c r="W329" s="2"/>
      <c r="X329" s="2"/>
    </row>
    <row r="330" spans="16:24" x14ac:dyDescent="0.2">
      <c r="P330" s="5"/>
      <c r="Q330" s="5"/>
      <c r="R330" s="5"/>
      <c r="S330" s="5"/>
      <c r="T330" s="5"/>
      <c r="U330" s="5"/>
      <c r="V330" s="5"/>
      <c r="W330" s="2"/>
      <c r="X330" s="2"/>
    </row>
    <row r="331" spans="16:24" x14ac:dyDescent="0.2">
      <c r="P331" s="5"/>
      <c r="Q331" s="5"/>
      <c r="R331" s="5"/>
      <c r="S331" s="5"/>
      <c r="T331" s="5"/>
      <c r="U331" s="5"/>
      <c r="V331" s="5"/>
      <c r="W331" s="2"/>
      <c r="X331" s="2"/>
    </row>
    <row r="332" spans="16:24" x14ac:dyDescent="0.2">
      <c r="P332" s="5"/>
      <c r="Q332" s="5"/>
      <c r="R332" s="5"/>
      <c r="S332" s="5"/>
      <c r="T332" s="5"/>
      <c r="U332" s="5"/>
      <c r="V332" s="5"/>
      <c r="W332" s="2"/>
      <c r="X332" s="2"/>
    </row>
    <row r="333" spans="16:24" x14ac:dyDescent="0.2">
      <c r="P333" s="5"/>
      <c r="Q333" s="5"/>
      <c r="R333" s="5"/>
      <c r="S333" s="5"/>
      <c r="T333" s="5"/>
      <c r="U333" s="5"/>
      <c r="V333" s="5"/>
      <c r="W333" s="2"/>
      <c r="X333" s="2"/>
    </row>
    <row r="334" spans="16:24" x14ac:dyDescent="0.2">
      <c r="P334" s="5"/>
      <c r="Q334" s="5"/>
      <c r="R334" s="5"/>
      <c r="S334" s="5"/>
      <c r="T334" s="5"/>
      <c r="U334" s="5"/>
      <c r="V334" s="5"/>
      <c r="W334" s="2"/>
      <c r="X334" s="2"/>
    </row>
    <row r="335" spans="16:24" x14ac:dyDescent="0.2">
      <c r="P335" s="5"/>
      <c r="Q335" s="5"/>
      <c r="R335" s="5"/>
      <c r="S335" s="5"/>
      <c r="T335" s="5"/>
      <c r="U335" s="5"/>
      <c r="V335" s="5"/>
      <c r="W335" s="2"/>
      <c r="X335" s="2"/>
    </row>
    <row r="336" spans="16:24" x14ac:dyDescent="0.2">
      <c r="P336" s="5"/>
      <c r="Q336" s="5"/>
      <c r="R336" s="5"/>
      <c r="S336" s="5"/>
      <c r="T336" s="5"/>
      <c r="U336" s="5"/>
      <c r="V336" s="5"/>
      <c r="W336" s="2"/>
      <c r="X336" s="2"/>
    </row>
    <row r="337" spans="16:24" x14ac:dyDescent="0.2">
      <c r="P337" s="5"/>
      <c r="Q337" s="5"/>
      <c r="R337" s="5"/>
      <c r="S337" s="5"/>
      <c r="T337" s="5"/>
      <c r="U337" s="5"/>
      <c r="V337" s="5"/>
      <c r="W337" s="2"/>
      <c r="X337" s="2"/>
    </row>
    <row r="338" spans="16:24" x14ac:dyDescent="0.2">
      <c r="P338" s="5"/>
      <c r="Q338" s="5"/>
      <c r="R338" s="5"/>
      <c r="S338" s="5"/>
      <c r="T338" s="5"/>
      <c r="U338" s="5"/>
      <c r="V338" s="5"/>
      <c r="W338" s="2"/>
      <c r="X338" s="2"/>
    </row>
    <row r="339" spans="16:24" x14ac:dyDescent="0.2">
      <c r="P339" s="5"/>
      <c r="Q339" s="5"/>
      <c r="R339" s="5"/>
      <c r="S339" s="5"/>
      <c r="T339" s="5"/>
      <c r="U339" s="5"/>
      <c r="V339" s="5"/>
      <c r="W339" s="2"/>
      <c r="X339" s="2"/>
    </row>
    <row r="340" spans="16:24" x14ac:dyDescent="0.2">
      <c r="P340" s="5"/>
      <c r="Q340" s="5"/>
      <c r="R340" s="5"/>
      <c r="S340" s="5"/>
      <c r="T340" s="5"/>
      <c r="U340" s="5"/>
      <c r="V340" s="5"/>
      <c r="W340" s="2"/>
      <c r="X340" s="2"/>
    </row>
    <row r="341" spans="16:24" x14ac:dyDescent="0.2">
      <c r="P341" s="5"/>
      <c r="Q341" s="5"/>
      <c r="R341" s="5"/>
      <c r="S341" s="5"/>
      <c r="T341" s="5"/>
      <c r="U341" s="5"/>
      <c r="V341" s="5"/>
      <c r="W341" s="2"/>
      <c r="X341" s="2"/>
    </row>
    <row r="342" spans="16:24" x14ac:dyDescent="0.2">
      <c r="P342" s="5"/>
      <c r="Q342" s="5"/>
      <c r="R342" s="5"/>
      <c r="S342" s="5"/>
      <c r="T342" s="5"/>
      <c r="U342" s="5"/>
      <c r="V342" s="5"/>
      <c r="W342" s="2"/>
      <c r="X342" s="2"/>
    </row>
    <row r="343" spans="16:24" x14ac:dyDescent="0.2">
      <c r="P343" s="5"/>
      <c r="Q343" s="5"/>
      <c r="R343" s="5"/>
      <c r="S343" s="5"/>
      <c r="T343" s="5"/>
      <c r="U343" s="5"/>
      <c r="V343" s="5"/>
      <c r="W343" s="2"/>
      <c r="X343" s="2"/>
    </row>
    <row r="344" spans="16:24" x14ac:dyDescent="0.2">
      <c r="P344" s="5"/>
      <c r="Q344" s="5"/>
      <c r="R344" s="5"/>
      <c r="S344" s="5"/>
      <c r="T344" s="5"/>
      <c r="U344" s="5"/>
      <c r="V344" s="5"/>
      <c r="W344" s="2"/>
      <c r="X344" s="2"/>
    </row>
    <row r="345" spans="16:24" x14ac:dyDescent="0.2">
      <c r="P345" s="5"/>
      <c r="Q345" s="5"/>
      <c r="R345" s="5"/>
      <c r="S345" s="5"/>
      <c r="T345" s="5"/>
      <c r="U345" s="5"/>
      <c r="V345" s="5"/>
      <c r="W345" s="2"/>
      <c r="X345" s="2"/>
    </row>
    <row r="346" spans="16:24" x14ac:dyDescent="0.2">
      <c r="P346" s="5"/>
      <c r="Q346" s="5"/>
      <c r="R346" s="5"/>
      <c r="S346" s="5"/>
      <c r="T346" s="5"/>
      <c r="U346" s="5"/>
      <c r="V346" s="5"/>
      <c r="W346" s="2"/>
      <c r="X346" s="2"/>
    </row>
    <row r="347" spans="16:24" x14ac:dyDescent="0.2">
      <c r="P347" s="5"/>
      <c r="Q347" s="5"/>
      <c r="R347" s="5"/>
      <c r="S347" s="5"/>
      <c r="T347" s="5"/>
      <c r="U347" s="5"/>
      <c r="V347" s="5"/>
      <c r="W347" s="2"/>
      <c r="X347" s="2"/>
    </row>
    <row r="348" spans="16:24" x14ac:dyDescent="0.2">
      <c r="P348" s="5"/>
      <c r="Q348" s="5"/>
      <c r="R348" s="5"/>
      <c r="S348" s="5"/>
      <c r="T348" s="5"/>
      <c r="U348" s="5"/>
      <c r="V348" s="5"/>
      <c r="W348" s="2"/>
      <c r="X348" s="2"/>
    </row>
    <row r="349" spans="16:24" x14ac:dyDescent="0.2">
      <c r="P349" s="5"/>
      <c r="Q349" s="5"/>
      <c r="R349" s="5"/>
      <c r="S349" s="5"/>
      <c r="T349" s="5"/>
      <c r="U349" s="5"/>
      <c r="V349" s="5"/>
      <c r="W349" s="2"/>
      <c r="X349" s="2"/>
    </row>
    <row r="350" spans="16:24" x14ac:dyDescent="0.2">
      <c r="P350" s="5"/>
      <c r="Q350" s="5"/>
      <c r="R350" s="5"/>
      <c r="S350" s="5"/>
      <c r="T350" s="5"/>
      <c r="U350" s="5"/>
      <c r="V350" s="5"/>
      <c r="W350" s="2"/>
      <c r="X350" s="2"/>
    </row>
    <row r="351" spans="16:24" x14ac:dyDescent="0.2">
      <c r="P351" s="5"/>
      <c r="Q351" s="5"/>
      <c r="R351" s="5"/>
      <c r="S351" s="5"/>
      <c r="T351" s="5"/>
      <c r="U351" s="5"/>
      <c r="V351" s="5"/>
      <c r="W351" s="2"/>
      <c r="X351" s="2"/>
    </row>
    <row r="352" spans="16:24" x14ac:dyDescent="0.2">
      <c r="P352" s="5"/>
      <c r="Q352" s="5"/>
      <c r="R352" s="5"/>
      <c r="S352" s="5"/>
      <c r="T352" s="5"/>
      <c r="U352" s="5"/>
      <c r="V352" s="5"/>
      <c r="W352" s="2"/>
      <c r="X352" s="2"/>
    </row>
    <row r="353" spans="16:24" x14ac:dyDescent="0.2">
      <c r="P353" s="5"/>
      <c r="Q353" s="5"/>
      <c r="R353" s="5"/>
      <c r="S353" s="5"/>
      <c r="T353" s="5"/>
      <c r="U353" s="5"/>
      <c r="V353" s="5"/>
      <c r="W353" s="2"/>
      <c r="X353" s="2"/>
    </row>
    <row r="354" spans="16:24" x14ac:dyDescent="0.2">
      <c r="P354" s="5"/>
      <c r="Q354" s="5"/>
      <c r="R354" s="5"/>
      <c r="S354" s="5"/>
      <c r="T354" s="5"/>
      <c r="U354" s="5"/>
      <c r="V354" s="5"/>
      <c r="W354" s="2"/>
      <c r="X354" s="2"/>
    </row>
    <row r="355" spans="16:24" x14ac:dyDescent="0.2">
      <c r="P355" s="5"/>
      <c r="Q355" s="5"/>
      <c r="R355" s="5"/>
      <c r="S355" s="5"/>
      <c r="T355" s="5"/>
      <c r="U355" s="5"/>
      <c r="V355" s="5"/>
      <c r="W355" s="2"/>
      <c r="X355" s="2"/>
    </row>
    <row r="356" spans="16:24" x14ac:dyDescent="0.2">
      <c r="P356" s="5"/>
      <c r="Q356" s="5"/>
      <c r="R356" s="5"/>
      <c r="S356" s="5"/>
      <c r="T356" s="5"/>
      <c r="U356" s="5"/>
      <c r="V356" s="5"/>
      <c r="W356" s="2"/>
      <c r="X356" s="2"/>
    </row>
    <row r="357" spans="16:24" x14ac:dyDescent="0.2">
      <c r="P357" s="5"/>
      <c r="Q357" s="5"/>
      <c r="R357" s="5"/>
      <c r="S357" s="5"/>
      <c r="T357" s="5"/>
      <c r="U357" s="5"/>
      <c r="V357" s="5"/>
      <c r="W357" s="2"/>
      <c r="X357" s="2"/>
    </row>
    <row r="358" spans="16:24" x14ac:dyDescent="0.2">
      <c r="P358" s="5"/>
      <c r="Q358" s="5"/>
      <c r="R358" s="5"/>
      <c r="S358" s="5"/>
      <c r="T358" s="5"/>
      <c r="U358" s="5"/>
      <c r="V358" s="5"/>
      <c r="W358" s="2"/>
      <c r="X358" s="2"/>
    </row>
    <row r="359" spans="16:24" x14ac:dyDescent="0.2">
      <c r="P359" s="5"/>
      <c r="Q359" s="5"/>
      <c r="R359" s="5"/>
      <c r="S359" s="5"/>
      <c r="T359" s="5"/>
      <c r="U359" s="5"/>
      <c r="V359" s="5"/>
      <c r="W359" s="2"/>
      <c r="X359" s="2"/>
    </row>
    <row r="360" spans="16:24" x14ac:dyDescent="0.2">
      <c r="P360" s="5"/>
      <c r="Q360" s="5"/>
      <c r="R360" s="5"/>
      <c r="S360" s="5"/>
      <c r="T360" s="5"/>
      <c r="U360" s="5"/>
      <c r="V360" s="5"/>
      <c r="W360" s="2"/>
      <c r="X360" s="2"/>
    </row>
    <row r="361" spans="16:24" x14ac:dyDescent="0.2">
      <c r="P361" s="5"/>
      <c r="Q361" s="5"/>
      <c r="R361" s="5"/>
      <c r="S361" s="5"/>
      <c r="T361" s="5"/>
      <c r="U361" s="5"/>
      <c r="V361" s="5"/>
      <c r="W361" s="2"/>
      <c r="X361" s="2"/>
    </row>
    <row r="362" spans="16:24" x14ac:dyDescent="0.2">
      <c r="P362" s="5"/>
      <c r="Q362" s="5"/>
      <c r="R362" s="5"/>
      <c r="S362" s="5"/>
      <c r="T362" s="5"/>
      <c r="U362" s="5"/>
      <c r="V362" s="5"/>
      <c r="W362" s="2"/>
      <c r="X362" s="2"/>
    </row>
    <row r="363" spans="16:24" x14ac:dyDescent="0.2">
      <c r="P363" s="5"/>
      <c r="Q363" s="5"/>
      <c r="R363" s="5"/>
      <c r="S363" s="5"/>
      <c r="T363" s="5"/>
      <c r="U363" s="5"/>
      <c r="V363" s="5"/>
      <c r="W363" s="2"/>
      <c r="X363" s="2"/>
    </row>
    <row r="364" spans="16:24" x14ac:dyDescent="0.2">
      <c r="P364" s="5"/>
      <c r="Q364" s="5"/>
      <c r="R364" s="5"/>
      <c r="S364" s="5"/>
      <c r="T364" s="5"/>
      <c r="U364" s="5"/>
      <c r="V364" s="5"/>
      <c r="W364" s="2"/>
      <c r="X364" s="2"/>
    </row>
    <row r="365" spans="16:24" x14ac:dyDescent="0.2">
      <c r="P365" s="5"/>
      <c r="Q365" s="5"/>
      <c r="R365" s="5"/>
      <c r="S365" s="5"/>
      <c r="T365" s="5"/>
      <c r="U365" s="5"/>
      <c r="V365" s="5"/>
      <c r="W365" s="2"/>
      <c r="X365" s="2"/>
    </row>
    <row r="366" spans="16:24" x14ac:dyDescent="0.2">
      <c r="P366" s="5"/>
      <c r="Q366" s="5"/>
      <c r="R366" s="5"/>
      <c r="S366" s="5"/>
      <c r="T366" s="5"/>
      <c r="U366" s="5"/>
      <c r="V366" s="5"/>
      <c r="W366" s="2"/>
      <c r="X366" s="2"/>
    </row>
    <row r="367" spans="16:24" x14ac:dyDescent="0.2">
      <c r="P367" s="5"/>
      <c r="Q367" s="5"/>
      <c r="R367" s="5"/>
      <c r="S367" s="5"/>
      <c r="T367" s="5"/>
      <c r="U367" s="5"/>
      <c r="V367" s="5"/>
      <c r="W367" s="2"/>
      <c r="X367" s="2"/>
    </row>
    <row r="368" spans="16:24" x14ac:dyDescent="0.2">
      <c r="P368" s="5"/>
      <c r="Q368" s="5"/>
      <c r="R368" s="5"/>
      <c r="S368" s="5"/>
      <c r="T368" s="5"/>
      <c r="U368" s="5"/>
      <c r="V368" s="5"/>
      <c r="W368" s="2"/>
      <c r="X368" s="2"/>
    </row>
    <row r="369" spans="16:24" x14ac:dyDescent="0.2">
      <c r="P369" s="5"/>
      <c r="Q369" s="5"/>
      <c r="R369" s="5"/>
      <c r="S369" s="5"/>
      <c r="T369" s="5"/>
      <c r="U369" s="5"/>
      <c r="V369" s="5"/>
      <c r="W369" s="2"/>
      <c r="X369" s="2"/>
    </row>
    <row r="370" spans="16:24" x14ac:dyDescent="0.2">
      <c r="P370" s="5"/>
      <c r="Q370" s="5"/>
      <c r="R370" s="5"/>
      <c r="S370" s="5"/>
      <c r="T370" s="5"/>
      <c r="U370" s="5"/>
      <c r="V370" s="5"/>
      <c r="W370" s="2"/>
      <c r="X370" s="2"/>
    </row>
    <row r="371" spans="16:24" x14ac:dyDescent="0.2">
      <c r="P371" s="5"/>
      <c r="Q371" s="5"/>
      <c r="R371" s="5"/>
      <c r="S371" s="5"/>
      <c r="T371" s="5"/>
      <c r="U371" s="5"/>
      <c r="V371" s="5"/>
      <c r="W371" s="2"/>
      <c r="X371" s="2"/>
    </row>
    <row r="372" spans="16:24" x14ac:dyDescent="0.2">
      <c r="P372" s="5"/>
      <c r="Q372" s="5"/>
      <c r="R372" s="5"/>
      <c r="S372" s="5"/>
      <c r="T372" s="5"/>
      <c r="U372" s="5"/>
      <c r="V372" s="5"/>
      <c r="W372" s="2"/>
      <c r="X372" s="2"/>
    </row>
    <row r="373" spans="16:24" x14ac:dyDescent="0.2">
      <c r="P373" s="5"/>
      <c r="Q373" s="5"/>
      <c r="R373" s="5"/>
      <c r="S373" s="5"/>
      <c r="T373" s="5"/>
      <c r="U373" s="5"/>
      <c r="V373" s="5"/>
      <c r="W373" s="2"/>
      <c r="X373" s="2"/>
    </row>
    <row r="374" spans="16:24" x14ac:dyDescent="0.2">
      <c r="P374" s="5"/>
      <c r="Q374" s="5"/>
      <c r="R374" s="5"/>
      <c r="S374" s="5"/>
      <c r="T374" s="5"/>
      <c r="U374" s="5"/>
      <c r="V374" s="5"/>
      <c r="W374" s="2"/>
      <c r="X374" s="2"/>
    </row>
    <row r="375" spans="16:24" x14ac:dyDescent="0.2">
      <c r="P375" s="5"/>
      <c r="Q375" s="5"/>
      <c r="R375" s="5"/>
      <c r="S375" s="5"/>
      <c r="T375" s="5"/>
      <c r="U375" s="5"/>
      <c r="V375" s="5"/>
      <c r="W375" s="2"/>
      <c r="X375" s="2"/>
    </row>
    <row r="376" spans="16:24" x14ac:dyDescent="0.2">
      <c r="P376" s="5"/>
      <c r="Q376" s="5"/>
      <c r="R376" s="5"/>
      <c r="S376" s="5"/>
      <c r="T376" s="5"/>
      <c r="U376" s="5"/>
      <c r="V376" s="5"/>
      <c r="W376" s="2"/>
      <c r="X376" s="2"/>
    </row>
    <row r="377" spans="16:24" x14ac:dyDescent="0.2">
      <c r="P377" s="5"/>
      <c r="Q377" s="5"/>
      <c r="R377" s="5"/>
      <c r="S377" s="5"/>
      <c r="T377" s="5"/>
      <c r="U377" s="5"/>
      <c r="V377" s="5"/>
      <c r="W377" s="2"/>
      <c r="X377" s="2"/>
    </row>
    <row r="378" spans="16:24" x14ac:dyDescent="0.2">
      <c r="P378" s="5"/>
      <c r="Q378" s="5"/>
      <c r="R378" s="5"/>
      <c r="S378" s="5"/>
      <c r="T378" s="5"/>
      <c r="U378" s="5"/>
      <c r="V378" s="5"/>
      <c r="W378" s="2"/>
      <c r="X378" s="2"/>
    </row>
    <row r="379" spans="16:24" x14ac:dyDescent="0.2">
      <c r="P379" s="5"/>
      <c r="Q379" s="5"/>
      <c r="R379" s="5"/>
      <c r="S379" s="5"/>
      <c r="T379" s="5"/>
      <c r="U379" s="5"/>
      <c r="V379" s="5"/>
      <c r="W379" s="2"/>
      <c r="X379" s="2"/>
    </row>
    <row r="380" spans="16:24" x14ac:dyDescent="0.2">
      <c r="P380" s="5"/>
      <c r="Q380" s="5"/>
      <c r="R380" s="5"/>
      <c r="S380" s="5"/>
      <c r="T380" s="5"/>
      <c r="U380" s="5"/>
      <c r="V380" s="5"/>
      <c r="W380" s="2"/>
      <c r="X380" s="2"/>
    </row>
    <row r="381" spans="16:24" x14ac:dyDescent="0.2">
      <c r="P381" s="5"/>
      <c r="Q381" s="5"/>
      <c r="R381" s="5"/>
      <c r="S381" s="5"/>
      <c r="T381" s="5"/>
      <c r="U381" s="5"/>
      <c r="V381" s="5"/>
      <c r="W381" s="2"/>
      <c r="X381" s="2"/>
    </row>
    <row r="382" spans="16:24" x14ac:dyDescent="0.2">
      <c r="P382" s="5"/>
      <c r="Q382" s="5"/>
      <c r="R382" s="5"/>
      <c r="S382" s="5"/>
      <c r="T382" s="5"/>
      <c r="U382" s="5"/>
      <c r="V382" s="5"/>
      <c r="W382" s="2"/>
      <c r="X382" s="2"/>
    </row>
    <row r="383" spans="16:24" x14ac:dyDescent="0.2">
      <c r="P383" s="5"/>
      <c r="Q383" s="5"/>
      <c r="R383" s="5"/>
      <c r="S383" s="5"/>
      <c r="T383" s="5"/>
      <c r="U383" s="5"/>
      <c r="V383" s="5"/>
      <c r="W383" s="2"/>
      <c r="X383" s="2"/>
    </row>
    <row r="384" spans="16:24" x14ac:dyDescent="0.2">
      <c r="P384" s="5"/>
      <c r="Q384" s="5"/>
      <c r="R384" s="5"/>
      <c r="S384" s="5"/>
      <c r="T384" s="5"/>
      <c r="U384" s="5"/>
      <c r="V384" s="5"/>
      <c r="W384" s="2"/>
      <c r="X384" s="2"/>
    </row>
    <row r="385" spans="16:24" x14ac:dyDescent="0.2">
      <c r="P385" s="5"/>
      <c r="Q385" s="5"/>
      <c r="R385" s="5"/>
      <c r="S385" s="5"/>
      <c r="T385" s="5"/>
      <c r="U385" s="5"/>
      <c r="V385" s="5"/>
      <c r="W385" s="2"/>
      <c r="X385" s="2"/>
    </row>
    <row r="386" spans="16:24" x14ac:dyDescent="0.2">
      <c r="P386" s="5"/>
      <c r="Q386" s="5"/>
      <c r="R386" s="5"/>
      <c r="S386" s="5"/>
      <c r="T386" s="5"/>
      <c r="U386" s="5"/>
      <c r="V386" s="5"/>
      <c r="W386" s="2"/>
      <c r="X386" s="2"/>
    </row>
    <row r="387" spans="16:24" x14ac:dyDescent="0.2">
      <c r="P387" s="5"/>
      <c r="Q387" s="5"/>
      <c r="R387" s="5"/>
      <c r="S387" s="5"/>
      <c r="T387" s="5"/>
      <c r="U387" s="5"/>
      <c r="V387" s="5"/>
      <c r="W387" s="2"/>
      <c r="X387" s="2"/>
    </row>
    <row r="388" spans="16:24" x14ac:dyDescent="0.2">
      <c r="P388" s="5"/>
      <c r="Q388" s="5"/>
      <c r="R388" s="5"/>
      <c r="S388" s="5"/>
      <c r="T388" s="5"/>
      <c r="U388" s="5"/>
      <c r="V388" s="5"/>
      <c r="W388" s="2"/>
      <c r="X388" s="2"/>
    </row>
    <row r="389" spans="16:24" x14ac:dyDescent="0.2">
      <c r="P389" s="5"/>
      <c r="Q389" s="5"/>
      <c r="R389" s="5"/>
      <c r="S389" s="5"/>
      <c r="T389" s="5"/>
      <c r="U389" s="5"/>
      <c r="V389" s="5"/>
      <c r="W389" s="2"/>
      <c r="X389" s="2"/>
    </row>
    <row r="390" spans="16:24" x14ac:dyDescent="0.2">
      <c r="P390" s="5"/>
      <c r="Q390" s="5"/>
      <c r="R390" s="5"/>
      <c r="S390" s="5"/>
      <c r="T390" s="5"/>
      <c r="U390" s="5"/>
      <c r="V390" s="5"/>
      <c r="W390" s="2"/>
      <c r="X390" s="2"/>
    </row>
    <row r="391" spans="16:24" x14ac:dyDescent="0.2">
      <c r="P391" s="5"/>
      <c r="Q391" s="5"/>
      <c r="R391" s="5"/>
      <c r="S391" s="5"/>
      <c r="T391" s="5"/>
      <c r="U391" s="5"/>
      <c r="V391" s="5"/>
      <c r="W391" s="2"/>
      <c r="X391" s="2"/>
    </row>
    <row r="392" spans="16:24" x14ac:dyDescent="0.2">
      <c r="P392" s="5"/>
      <c r="Q392" s="5"/>
      <c r="R392" s="5"/>
      <c r="S392" s="5"/>
      <c r="T392" s="5"/>
      <c r="U392" s="5"/>
      <c r="V392" s="5"/>
      <c r="W392" s="2"/>
      <c r="X392" s="2"/>
    </row>
    <row r="393" spans="16:24" x14ac:dyDescent="0.2">
      <c r="P393" s="5"/>
      <c r="Q393" s="5"/>
      <c r="R393" s="5"/>
      <c r="S393" s="5"/>
      <c r="T393" s="5"/>
      <c r="U393" s="5"/>
      <c r="V393" s="5"/>
      <c r="W393" s="2"/>
      <c r="X393" s="2"/>
    </row>
    <row r="394" spans="16:24" x14ac:dyDescent="0.2">
      <c r="P394" s="5"/>
      <c r="Q394" s="5"/>
      <c r="R394" s="5"/>
      <c r="S394" s="5"/>
      <c r="T394" s="5"/>
      <c r="U394" s="5"/>
      <c r="V394" s="5"/>
      <c r="W394" s="2"/>
      <c r="X394" s="2"/>
    </row>
    <row r="395" spans="16:24" x14ac:dyDescent="0.2">
      <c r="P395" s="5"/>
      <c r="Q395" s="5"/>
      <c r="R395" s="5"/>
      <c r="S395" s="5"/>
      <c r="T395" s="5"/>
      <c r="U395" s="5"/>
      <c r="V395" s="5"/>
      <c r="W395" s="2"/>
      <c r="X395" s="2"/>
    </row>
    <row r="396" spans="16:24" x14ac:dyDescent="0.2">
      <c r="P396" s="5"/>
      <c r="Q396" s="5"/>
      <c r="R396" s="5"/>
      <c r="S396" s="5"/>
      <c r="T396" s="5"/>
      <c r="U396" s="5"/>
      <c r="V396" s="5"/>
      <c r="W396" s="2"/>
      <c r="X396" s="2"/>
    </row>
    <row r="397" spans="16:24" x14ac:dyDescent="0.2">
      <c r="P397" s="5"/>
      <c r="Q397" s="5"/>
      <c r="R397" s="5"/>
      <c r="S397" s="5"/>
      <c r="T397" s="5"/>
      <c r="U397" s="5"/>
      <c r="V397" s="5"/>
      <c r="W397" s="2"/>
      <c r="X397" s="2"/>
    </row>
    <row r="398" spans="16:24" x14ac:dyDescent="0.2">
      <c r="P398" s="5"/>
      <c r="Q398" s="5"/>
      <c r="R398" s="5"/>
      <c r="S398" s="5"/>
      <c r="T398" s="5"/>
      <c r="U398" s="5"/>
      <c r="V398" s="5"/>
      <c r="W398" s="2"/>
      <c r="X398" s="2"/>
    </row>
    <row r="399" spans="16:24" x14ac:dyDescent="0.2">
      <c r="P399" s="5"/>
      <c r="Q399" s="5"/>
      <c r="R399" s="5"/>
      <c r="S399" s="5"/>
      <c r="T399" s="5"/>
      <c r="U399" s="5"/>
      <c r="V399" s="5"/>
      <c r="W399" s="2"/>
      <c r="X399" s="2"/>
    </row>
    <row r="400" spans="16:24" x14ac:dyDescent="0.2">
      <c r="P400" s="5"/>
      <c r="Q400" s="5"/>
      <c r="R400" s="5"/>
      <c r="S400" s="5"/>
      <c r="T400" s="5"/>
      <c r="U400" s="5"/>
      <c r="V400" s="5"/>
      <c r="W400" s="2"/>
      <c r="X400" s="2"/>
    </row>
    <row r="401" spans="16:24" x14ac:dyDescent="0.2">
      <c r="P401" s="5"/>
      <c r="Q401" s="5"/>
      <c r="R401" s="5"/>
      <c r="S401" s="5"/>
      <c r="T401" s="5"/>
      <c r="U401" s="5"/>
      <c r="V401" s="5"/>
      <c r="W401" s="2"/>
      <c r="X401" s="2"/>
    </row>
    <row r="402" spans="16:24" x14ac:dyDescent="0.2">
      <c r="P402" s="5"/>
      <c r="Q402" s="5"/>
      <c r="R402" s="5"/>
      <c r="S402" s="5"/>
      <c r="T402" s="5"/>
      <c r="U402" s="5"/>
      <c r="V402" s="5"/>
      <c r="W402" s="2"/>
      <c r="X402" s="2"/>
    </row>
    <row r="403" spans="16:24" x14ac:dyDescent="0.2">
      <c r="P403" s="5"/>
      <c r="Q403" s="5"/>
      <c r="R403" s="5"/>
      <c r="S403" s="5"/>
      <c r="T403" s="5"/>
      <c r="U403" s="5"/>
      <c r="V403" s="5"/>
      <c r="W403" s="2"/>
      <c r="X403" s="2"/>
    </row>
    <row r="404" spans="16:24" x14ac:dyDescent="0.2">
      <c r="P404" s="5"/>
      <c r="Q404" s="5"/>
      <c r="R404" s="5"/>
      <c r="S404" s="5"/>
      <c r="T404" s="5"/>
      <c r="U404" s="5"/>
      <c r="V404" s="5"/>
      <c r="W404" s="2"/>
      <c r="X404" s="2"/>
    </row>
    <row r="405" spans="16:24" x14ac:dyDescent="0.2">
      <c r="P405" s="5"/>
      <c r="Q405" s="5"/>
      <c r="R405" s="5"/>
      <c r="S405" s="5"/>
      <c r="T405" s="5"/>
      <c r="U405" s="5"/>
      <c r="V405" s="5"/>
      <c r="W405" s="2"/>
      <c r="X405" s="2"/>
    </row>
    <row r="406" spans="16:24" x14ac:dyDescent="0.2">
      <c r="P406" s="5"/>
      <c r="Q406" s="5"/>
      <c r="R406" s="5"/>
      <c r="S406" s="5"/>
      <c r="T406" s="5"/>
      <c r="U406" s="5"/>
      <c r="V406" s="5"/>
      <c r="W406" s="2"/>
      <c r="X406" s="2"/>
    </row>
    <row r="407" spans="16:24" x14ac:dyDescent="0.2">
      <c r="P407" s="5"/>
      <c r="Q407" s="5"/>
      <c r="R407" s="5"/>
      <c r="S407" s="5"/>
      <c r="T407" s="5"/>
      <c r="U407" s="5"/>
      <c r="V407" s="5"/>
      <c r="W407" s="2"/>
      <c r="X407" s="2"/>
    </row>
    <row r="408" spans="16:24" x14ac:dyDescent="0.2">
      <c r="P408" s="5"/>
      <c r="Q408" s="5"/>
      <c r="R408" s="5"/>
      <c r="S408" s="5"/>
      <c r="T408" s="5"/>
      <c r="U408" s="5"/>
      <c r="V408" s="5"/>
      <c r="W408" s="2"/>
      <c r="X408" s="2"/>
    </row>
    <row r="409" spans="16:24" x14ac:dyDescent="0.2">
      <c r="P409" s="5"/>
      <c r="Q409" s="5"/>
      <c r="R409" s="5"/>
      <c r="S409" s="5"/>
      <c r="T409" s="5"/>
      <c r="U409" s="5"/>
      <c r="V409" s="5"/>
      <c r="W409" s="2"/>
      <c r="X409" s="2"/>
    </row>
    <row r="410" spans="16:24" x14ac:dyDescent="0.2">
      <c r="P410" s="5"/>
      <c r="Q410" s="5"/>
      <c r="R410" s="5"/>
      <c r="S410" s="5"/>
      <c r="T410" s="5"/>
      <c r="U410" s="5"/>
      <c r="V410" s="5"/>
      <c r="W410" s="2"/>
      <c r="X410" s="2"/>
    </row>
    <row r="411" spans="16:24" x14ac:dyDescent="0.2">
      <c r="P411" s="5"/>
      <c r="Q411" s="5"/>
      <c r="R411" s="5"/>
      <c r="S411" s="5"/>
      <c r="T411" s="5"/>
      <c r="U411" s="5"/>
      <c r="V411" s="5"/>
      <c r="W411" s="2"/>
      <c r="X411" s="2"/>
    </row>
    <row r="412" spans="16:24" x14ac:dyDescent="0.2">
      <c r="P412" s="5"/>
      <c r="Q412" s="5"/>
      <c r="R412" s="5"/>
      <c r="S412" s="5"/>
      <c r="T412" s="5"/>
      <c r="U412" s="5"/>
      <c r="V412" s="5"/>
      <c r="W412" s="2"/>
      <c r="X412" s="2"/>
    </row>
    <row r="413" spans="16:24" x14ac:dyDescent="0.2">
      <c r="P413" s="5"/>
      <c r="Q413" s="5"/>
      <c r="R413" s="5"/>
      <c r="S413" s="5"/>
      <c r="T413" s="5"/>
      <c r="U413" s="5"/>
      <c r="V413" s="5"/>
      <c r="W413" s="2"/>
      <c r="X413" s="2"/>
    </row>
    <row r="414" spans="16:24" x14ac:dyDescent="0.2">
      <c r="P414" s="5"/>
      <c r="Q414" s="5"/>
      <c r="R414" s="5"/>
      <c r="S414" s="5"/>
      <c r="T414" s="5"/>
      <c r="U414" s="5"/>
      <c r="V414" s="5"/>
      <c r="W414" s="2"/>
      <c r="X414" s="2"/>
    </row>
    <row r="415" spans="16:24" x14ac:dyDescent="0.2">
      <c r="P415" s="5"/>
      <c r="Q415" s="5"/>
      <c r="R415" s="5"/>
      <c r="S415" s="5"/>
      <c r="T415" s="5"/>
      <c r="U415" s="5"/>
      <c r="V415" s="5"/>
      <c r="W415" s="2"/>
      <c r="X415" s="2"/>
    </row>
    <row r="416" spans="16:24" x14ac:dyDescent="0.2">
      <c r="P416" s="5"/>
      <c r="Q416" s="5"/>
      <c r="R416" s="5"/>
      <c r="S416" s="5"/>
      <c r="T416" s="5"/>
      <c r="U416" s="5"/>
      <c r="V416" s="5"/>
      <c r="W416" s="2"/>
      <c r="X416" s="2"/>
    </row>
    <row r="417" spans="16:24" x14ac:dyDescent="0.2">
      <c r="P417" s="5"/>
      <c r="Q417" s="5"/>
      <c r="R417" s="5"/>
      <c r="S417" s="5"/>
      <c r="T417" s="5"/>
      <c r="U417" s="5"/>
      <c r="V417" s="5"/>
      <c r="W417" s="2"/>
      <c r="X417" s="2"/>
    </row>
    <row r="418" spans="16:24" x14ac:dyDescent="0.2">
      <c r="P418" s="5"/>
      <c r="Q418" s="5"/>
      <c r="R418" s="5"/>
      <c r="S418" s="5"/>
      <c r="T418" s="5"/>
      <c r="U418" s="5"/>
      <c r="V418" s="5"/>
      <c r="W418" s="2"/>
      <c r="X418" s="2"/>
    </row>
    <row r="419" spans="16:24" x14ac:dyDescent="0.2">
      <c r="P419" s="5"/>
      <c r="Q419" s="5"/>
      <c r="R419" s="5"/>
      <c r="S419" s="5"/>
      <c r="T419" s="5"/>
      <c r="U419" s="5"/>
      <c r="V419" s="5"/>
      <c r="W419" s="2"/>
      <c r="X419" s="2"/>
    </row>
    <row r="420" spans="16:24" x14ac:dyDescent="0.2">
      <c r="P420" s="5"/>
      <c r="Q420" s="5"/>
      <c r="R420" s="5"/>
      <c r="S420" s="5"/>
      <c r="T420" s="5"/>
      <c r="U420" s="5"/>
      <c r="V420" s="5"/>
      <c r="W420" s="2"/>
      <c r="X420" s="2"/>
    </row>
    <row r="421" spans="16:24" x14ac:dyDescent="0.2">
      <c r="P421" s="5"/>
      <c r="Q421" s="5"/>
      <c r="R421" s="5"/>
      <c r="S421" s="5"/>
      <c r="T421" s="5"/>
      <c r="U421" s="5"/>
      <c r="V421" s="5"/>
      <c r="W421" s="2"/>
      <c r="X421" s="2"/>
    </row>
    <row r="422" spans="16:24" x14ac:dyDescent="0.2">
      <c r="P422" s="5"/>
      <c r="Q422" s="5"/>
      <c r="R422" s="5"/>
      <c r="S422" s="5"/>
      <c r="T422" s="5"/>
      <c r="U422" s="5"/>
      <c r="V422" s="5"/>
      <c r="W422" s="2"/>
      <c r="X422" s="2"/>
    </row>
    <row r="423" spans="16:24" x14ac:dyDescent="0.2">
      <c r="P423" s="5"/>
      <c r="Q423" s="5"/>
      <c r="R423" s="5"/>
      <c r="S423" s="5"/>
      <c r="T423" s="5"/>
      <c r="U423" s="5"/>
      <c r="V423" s="5"/>
      <c r="W423" s="2"/>
      <c r="X423" s="2"/>
    </row>
    <row r="424" spans="16:24" x14ac:dyDescent="0.2">
      <c r="P424" s="5"/>
      <c r="Q424" s="5"/>
      <c r="R424" s="5"/>
      <c r="S424" s="5"/>
      <c r="T424" s="5"/>
      <c r="U424" s="5"/>
      <c r="V424" s="5"/>
      <c r="W424" s="2"/>
      <c r="X424" s="2"/>
    </row>
    <row r="425" spans="16:24" x14ac:dyDescent="0.2">
      <c r="P425" s="5"/>
      <c r="Q425" s="5"/>
      <c r="R425" s="5"/>
      <c r="S425" s="5"/>
      <c r="T425" s="5"/>
      <c r="U425" s="5"/>
      <c r="V425" s="5"/>
      <c r="W425" s="2"/>
      <c r="X425" s="2"/>
    </row>
    <row r="426" spans="16:24" x14ac:dyDescent="0.2">
      <c r="P426" s="5"/>
      <c r="Q426" s="5"/>
      <c r="R426" s="5"/>
      <c r="S426" s="5"/>
      <c r="T426" s="5"/>
      <c r="U426" s="5"/>
      <c r="V426" s="5"/>
      <c r="W426" s="2"/>
      <c r="X426" s="2"/>
    </row>
    <row r="427" spans="16:24" x14ac:dyDescent="0.2">
      <c r="P427" s="5"/>
      <c r="Q427" s="5"/>
      <c r="R427" s="5"/>
      <c r="S427" s="5"/>
      <c r="T427" s="5"/>
      <c r="U427" s="5"/>
      <c r="V427" s="5"/>
      <c r="W427" s="2"/>
      <c r="X427" s="2"/>
    </row>
    <row r="428" spans="16:24" x14ac:dyDescent="0.2">
      <c r="P428" s="5"/>
      <c r="Q428" s="5"/>
      <c r="R428" s="5"/>
      <c r="S428" s="5"/>
      <c r="T428" s="5"/>
      <c r="U428" s="5"/>
      <c r="V428" s="5"/>
      <c r="W428" s="2"/>
      <c r="X428" s="2"/>
    </row>
    <row r="429" spans="16:24" x14ac:dyDescent="0.2">
      <c r="P429" s="5"/>
      <c r="Q429" s="5"/>
      <c r="R429" s="5"/>
      <c r="S429" s="5"/>
      <c r="T429" s="5"/>
      <c r="U429" s="5"/>
      <c r="V429" s="5"/>
      <c r="W429" s="2"/>
      <c r="X429" s="2"/>
    </row>
    <row r="430" spans="16:24" x14ac:dyDescent="0.2">
      <c r="P430" s="5"/>
      <c r="Q430" s="5"/>
      <c r="R430" s="5"/>
      <c r="S430" s="5"/>
      <c r="T430" s="5"/>
      <c r="U430" s="5"/>
      <c r="V430" s="5"/>
      <c r="W430" s="2"/>
      <c r="X430" s="2"/>
    </row>
    <row r="431" spans="16:24" x14ac:dyDescent="0.2">
      <c r="P431" s="5"/>
      <c r="Q431" s="5"/>
      <c r="R431" s="5"/>
      <c r="S431" s="5"/>
      <c r="T431" s="5"/>
      <c r="U431" s="5"/>
      <c r="V431" s="5"/>
      <c r="W431" s="2"/>
      <c r="X431" s="2"/>
    </row>
    <row r="432" spans="16:24" x14ac:dyDescent="0.2">
      <c r="P432" s="5"/>
      <c r="Q432" s="5"/>
      <c r="R432" s="5"/>
      <c r="S432" s="5"/>
      <c r="T432" s="5"/>
      <c r="U432" s="5"/>
      <c r="V432" s="5"/>
      <c r="W432" s="2"/>
      <c r="X432" s="2"/>
    </row>
    <row r="433" spans="16:24" x14ac:dyDescent="0.2">
      <c r="P433" s="5"/>
      <c r="Q433" s="5"/>
      <c r="R433" s="5"/>
      <c r="S433" s="5"/>
      <c r="T433" s="5"/>
      <c r="U433" s="5"/>
      <c r="V433" s="5"/>
      <c r="W433" s="2"/>
      <c r="X433" s="2"/>
    </row>
    <row r="434" spans="16:24" x14ac:dyDescent="0.2">
      <c r="P434" s="5"/>
      <c r="Q434" s="5"/>
      <c r="R434" s="5"/>
      <c r="S434" s="5"/>
      <c r="T434" s="5"/>
      <c r="U434" s="5"/>
      <c r="V434" s="5"/>
      <c r="W434" s="2"/>
      <c r="X434" s="2"/>
    </row>
    <row r="435" spans="16:24" x14ac:dyDescent="0.2">
      <c r="P435" s="5"/>
      <c r="Q435" s="5"/>
      <c r="R435" s="5"/>
      <c r="S435" s="5"/>
      <c r="T435" s="5"/>
      <c r="U435" s="5"/>
      <c r="V435" s="5"/>
      <c r="W435" s="2"/>
      <c r="X435" s="2"/>
    </row>
    <row r="436" spans="16:24" x14ac:dyDescent="0.2">
      <c r="P436" s="5"/>
      <c r="Q436" s="5"/>
      <c r="R436" s="5"/>
      <c r="S436" s="5"/>
      <c r="T436" s="5"/>
      <c r="U436" s="5"/>
      <c r="V436" s="5"/>
      <c r="W436" s="2"/>
      <c r="X436" s="2"/>
    </row>
    <row r="437" spans="16:24" x14ac:dyDescent="0.2">
      <c r="P437" s="5"/>
      <c r="Q437" s="5"/>
      <c r="R437" s="5"/>
      <c r="S437" s="5"/>
      <c r="T437" s="5"/>
      <c r="U437" s="5"/>
      <c r="V437" s="5"/>
      <c r="W437" s="2"/>
      <c r="X437" s="2"/>
    </row>
    <row r="438" spans="16:24" x14ac:dyDescent="0.2">
      <c r="P438" s="5"/>
      <c r="Q438" s="5"/>
      <c r="R438" s="5"/>
      <c r="S438" s="5"/>
      <c r="T438" s="5"/>
      <c r="U438" s="5"/>
      <c r="V438" s="5"/>
      <c r="W438" s="2"/>
      <c r="X438" s="2"/>
    </row>
    <row r="439" spans="16:24" x14ac:dyDescent="0.2">
      <c r="P439" s="5"/>
      <c r="Q439" s="5"/>
      <c r="R439" s="5"/>
      <c r="S439" s="5"/>
      <c r="T439" s="5"/>
      <c r="U439" s="5"/>
      <c r="V439" s="5"/>
      <c r="W439" s="2"/>
      <c r="X439" s="2"/>
    </row>
    <row r="440" spans="16:24" x14ac:dyDescent="0.2">
      <c r="P440" s="5"/>
      <c r="Q440" s="5"/>
      <c r="R440" s="5"/>
      <c r="S440" s="5"/>
      <c r="T440" s="5"/>
      <c r="U440" s="5"/>
      <c r="V440" s="5"/>
      <c r="W440" s="2"/>
      <c r="X440" s="2"/>
    </row>
    <row r="441" spans="16:24" x14ac:dyDescent="0.2">
      <c r="P441" s="5"/>
      <c r="Q441" s="5"/>
      <c r="R441" s="5"/>
      <c r="S441" s="5"/>
      <c r="T441" s="5"/>
      <c r="U441" s="5"/>
      <c r="V441" s="5"/>
      <c r="W441" s="2"/>
      <c r="X441" s="2"/>
    </row>
    <row r="442" spans="16:24" x14ac:dyDescent="0.2">
      <c r="P442" s="5"/>
      <c r="Q442" s="5"/>
      <c r="R442" s="5"/>
      <c r="S442" s="5"/>
      <c r="T442" s="5"/>
      <c r="U442" s="5"/>
      <c r="V442" s="5"/>
      <c r="W442" s="2"/>
      <c r="X442" s="2"/>
    </row>
    <row r="443" spans="16:24" x14ac:dyDescent="0.2">
      <c r="P443" s="5"/>
      <c r="Q443" s="5"/>
      <c r="R443" s="5"/>
      <c r="S443" s="5"/>
      <c r="T443" s="5"/>
      <c r="U443" s="5"/>
      <c r="V443" s="5"/>
      <c r="W443" s="2"/>
      <c r="X443" s="2"/>
    </row>
    <row r="444" spans="16:24" x14ac:dyDescent="0.2">
      <c r="P444" s="5"/>
      <c r="Q444" s="5"/>
      <c r="R444" s="5"/>
      <c r="S444" s="5"/>
      <c r="T444" s="5"/>
      <c r="U444" s="5"/>
      <c r="V444" s="5"/>
      <c r="W444" s="2"/>
      <c r="X444" s="2"/>
    </row>
    <row r="445" spans="16:24" x14ac:dyDescent="0.2">
      <c r="P445" s="5"/>
      <c r="Q445" s="5"/>
      <c r="R445" s="5"/>
      <c r="S445" s="5"/>
      <c r="T445" s="5"/>
      <c r="U445" s="5"/>
      <c r="V445" s="5"/>
      <c r="W445" s="2"/>
      <c r="X445" s="2"/>
    </row>
    <row r="446" spans="16:24" x14ac:dyDescent="0.2">
      <c r="P446" s="5"/>
      <c r="Q446" s="5"/>
      <c r="R446" s="5"/>
      <c r="S446" s="5"/>
      <c r="T446" s="5"/>
      <c r="U446" s="5"/>
      <c r="V446" s="5"/>
      <c r="W446" s="2"/>
      <c r="X446" s="2"/>
    </row>
    <row r="447" spans="16:24" x14ac:dyDescent="0.2">
      <c r="P447" s="5"/>
      <c r="Q447" s="5"/>
      <c r="R447" s="5"/>
      <c r="S447" s="5"/>
      <c r="T447" s="5"/>
      <c r="U447" s="5"/>
      <c r="V447" s="5"/>
      <c r="W447" s="2"/>
      <c r="X447" s="2"/>
    </row>
    <row r="448" spans="16:24" x14ac:dyDescent="0.2">
      <c r="P448" s="5"/>
      <c r="Q448" s="5"/>
      <c r="R448" s="5"/>
      <c r="S448" s="5"/>
      <c r="T448" s="5"/>
      <c r="U448" s="5"/>
      <c r="V448" s="5"/>
      <c r="W448" s="2"/>
      <c r="X448" s="2"/>
    </row>
    <row r="449" spans="16:24" x14ac:dyDescent="0.2">
      <c r="P449" s="5"/>
      <c r="Q449" s="5"/>
      <c r="R449" s="5"/>
      <c r="S449" s="5"/>
      <c r="T449" s="5"/>
      <c r="U449" s="5"/>
      <c r="V449" s="5"/>
      <c r="W449" s="2"/>
      <c r="X449" s="2"/>
    </row>
    <row r="450" spans="16:24" x14ac:dyDescent="0.2">
      <c r="P450" s="5"/>
      <c r="Q450" s="5"/>
      <c r="R450" s="5"/>
      <c r="S450" s="5"/>
      <c r="T450" s="5"/>
      <c r="U450" s="5"/>
      <c r="V450" s="5"/>
      <c r="W450" s="2"/>
      <c r="X450" s="2"/>
    </row>
    <row r="451" spans="16:24" x14ac:dyDescent="0.2">
      <c r="P451" s="5"/>
      <c r="Q451" s="5"/>
      <c r="R451" s="5"/>
      <c r="S451" s="5"/>
      <c r="T451" s="5"/>
      <c r="U451" s="5"/>
      <c r="V451" s="5"/>
      <c r="W451" s="2"/>
      <c r="X451" s="2"/>
    </row>
    <row r="452" spans="16:24" x14ac:dyDescent="0.2">
      <c r="P452" s="5"/>
      <c r="Q452" s="5"/>
      <c r="R452" s="5"/>
      <c r="S452" s="5"/>
      <c r="T452" s="5"/>
      <c r="U452" s="5"/>
      <c r="V452" s="5"/>
      <c r="W452" s="2"/>
      <c r="X452" s="2"/>
    </row>
    <row r="453" spans="16:24" x14ac:dyDescent="0.2">
      <c r="P453" s="5"/>
      <c r="Q453" s="5"/>
      <c r="R453" s="5"/>
      <c r="S453" s="5"/>
      <c r="T453" s="5"/>
      <c r="U453" s="5"/>
      <c r="V453" s="5"/>
      <c r="W453" s="2"/>
      <c r="X453" s="2"/>
    </row>
    <row r="454" spans="16:24" x14ac:dyDescent="0.2">
      <c r="P454" s="5"/>
      <c r="Q454" s="5"/>
      <c r="R454" s="5"/>
      <c r="S454" s="5"/>
      <c r="T454" s="5"/>
      <c r="U454" s="5"/>
      <c r="V454" s="5"/>
      <c r="W454" s="2"/>
      <c r="X454" s="2"/>
    </row>
    <row r="455" spans="16:24" x14ac:dyDescent="0.2">
      <c r="P455" s="5"/>
      <c r="Q455" s="5"/>
      <c r="R455" s="5"/>
      <c r="S455" s="5"/>
      <c r="T455" s="5"/>
      <c r="U455" s="5"/>
      <c r="V455" s="5"/>
      <c r="W455" s="2"/>
      <c r="X455" s="2"/>
    </row>
    <row r="456" spans="16:24" x14ac:dyDescent="0.2">
      <c r="P456" s="5"/>
      <c r="Q456" s="5"/>
      <c r="R456" s="5"/>
      <c r="S456" s="5"/>
      <c r="T456" s="5"/>
      <c r="U456" s="5"/>
      <c r="V456" s="5"/>
      <c r="W456" s="2"/>
      <c r="X456" s="2"/>
    </row>
    <row r="457" spans="16:24" x14ac:dyDescent="0.2">
      <c r="P457" s="5"/>
      <c r="Q457" s="5"/>
      <c r="R457" s="5"/>
      <c r="S457" s="5"/>
      <c r="T457" s="5"/>
      <c r="U457" s="5"/>
      <c r="V457" s="5"/>
      <c r="W457" s="2"/>
      <c r="X457" s="2"/>
    </row>
    <row r="458" spans="16:24" x14ac:dyDescent="0.2">
      <c r="P458" s="5"/>
      <c r="Q458" s="5"/>
      <c r="R458" s="5"/>
      <c r="S458" s="5"/>
      <c r="T458" s="5"/>
      <c r="U458" s="5"/>
      <c r="V458" s="5"/>
      <c r="W458" s="2"/>
      <c r="X458" s="2"/>
    </row>
    <row r="459" spans="16:24" x14ac:dyDescent="0.2">
      <c r="P459" s="5"/>
      <c r="Q459" s="5"/>
      <c r="R459" s="5"/>
      <c r="S459" s="5"/>
      <c r="T459" s="5"/>
      <c r="U459" s="5"/>
      <c r="V459" s="5"/>
      <c r="W459" s="2"/>
      <c r="X459" s="2"/>
    </row>
    <row r="460" spans="16:24" x14ac:dyDescent="0.2">
      <c r="P460" s="5"/>
      <c r="Q460" s="5"/>
      <c r="R460" s="5"/>
      <c r="S460" s="5"/>
      <c r="T460" s="5"/>
      <c r="U460" s="5"/>
      <c r="V460" s="5"/>
      <c r="W460" s="2"/>
      <c r="X460" s="2"/>
    </row>
    <row r="461" spans="16:24" x14ac:dyDescent="0.2">
      <c r="P461" s="5"/>
      <c r="Q461" s="5"/>
      <c r="R461" s="5"/>
      <c r="S461" s="5"/>
      <c r="T461" s="5"/>
      <c r="U461" s="5"/>
      <c r="V461" s="5"/>
      <c r="W461" s="2"/>
      <c r="X461" s="2"/>
    </row>
    <row r="462" spans="16:24" x14ac:dyDescent="0.2">
      <c r="P462" s="5"/>
      <c r="Q462" s="5"/>
      <c r="R462" s="5"/>
      <c r="S462" s="5"/>
      <c r="T462" s="5"/>
      <c r="U462" s="5"/>
      <c r="V462" s="5"/>
      <c r="W462" s="2"/>
      <c r="X462" s="2"/>
    </row>
    <row r="463" spans="16:24" x14ac:dyDescent="0.2">
      <c r="P463" s="5"/>
      <c r="Q463" s="5"/>
      <c r="R463" s="5"/>
      <c r="S463" s="5"/>
      <c r="T463" s="5"/>
      <c r="U463" s="5"/>
      <c r="V463" s="5"/>
      <c r="W463" s="2"/>
      <c r="X463" s="2"/>
    </row>
    <row r="464" spans="16:24" x14ac:dyDescent="0.2">
      <c r="P464" s="5"/>
      <c r="Q464" s="5"/>
      <c r="R464" s="5"/>
      <c r="S464" s="5"/>
      <c r="T464" s="5"/>
      <c r="U464" s="5"/>
      <c r="V464" s="5"/>
      <c r="W464" s="2"/>
      <c r="X464" s="2"/>
    </row>
    <row r="465" spans="16:24" x14ac:dyDescent="0.2">
      <c r="P465" s="5"/>
      <c r="Q465" s="5"/>
      <c r="R465" s="5"/>
      <c r="S465" s="5"/>
      <c r="T465" s="5"/>
      <c r="U465" s="5"/>
      <c r="V465" s="5"/>
      <c r="W465" s="2"/>
      <c r="X465" s="2"/>
    </row>
    <row r="466" spans="16:24" x14ac:dyDescent="0.2">
      <c r="P466" s="5"/>
      <c r="Q466" s="5"/>
      <c r="R466" s="5"/>
      <c r="S466" s="5"/>
      <c r="T466" s="5"/>
      <c r="U466" s="5"/>
      <c r="V466" s="5"/>
      <c r="W466" s="2"/>
      <c r="X466" s="2"/>
    </row>
    <row r="467" spans="16:24" x14ac:dyDescent="0.2">
      <c r="P467" s="5"/>
      <c r="Q467" s="5"/>
      <c r="R467" s="5"/>
      <c r="S467" s="5"/>
      <c r="T467" s="5"/>
      <c r="U467" s="5"/>
      <c r="V467" s="5"/>
      <c r="W467" s="2"/>
      <c r="X467" s="2"/>
    </row>
    <row r="468" spans="16:24" x14ac:dyDescent="0.2">
      <c r="P468" s="5"/>
      <c r="Q468" s="5"/>
      <c r="R468" s="5"/>
      <c r="S468" s="5"/>
      <c r="T468" s="5"/>
      <c r="U468" s="5"/>
      <c r="V468" s="5"/>
      <c r="W468" s="2"/>
      <c r="X468" s="2"/>
    </row>
    <row r="469" spans="16:24" x14ac:dyDescent="0.2">
      <c r="P469" s="5"/>
      <c r="Q469" s="5"/>
      <c r="R469" s="5"/>
      <c r="S469" s="5"/>
      <c r="T469" s="5"/>
      <c r="U469" s="5"/>
      <c r="V469" s="5"/>
      <c r="W469" s="2"/>
      <c r="X469" s="2"/>
    </row>
    <row r="470" spans="16:24" x14ac:dyDescent="0.2">
      <c r="P470" s="5"/>
      <c r="Q470" s="5"/>
      <c r="R470" s="5"/>
      <c r="S470" s="5"/>
      <c r="T470" s="5"/>
      <c r="U470" s="5"/>
      <c r="V470" s="5"/>
      <c r="W470" s="2"/>
      <c r="X470" s="2"/>
    </row>
    <row r="471" spans="16:24" x14ac:dyDescent="0.2">
      <c r="P471" s="5"/>
      <c r="Q471" s="5"/>
      <c r="R471" s="5"/>
      <c r="S471" s="5"/>
      <c r="T471" s="5"/>
      <c r="U471" s="5"/>
      <c r="V471" s="5"/>
      <c r="W471" s="2"/>
      <c r="X471" s="2"/>
    </row>
    <row r="472" spans="16:24" x14ac:dyDescent="0.2">
      <c r="P472" s="5"/>
      <c r="Q472" s="5"/>
      <c r="R472" s="5"/>
      <c r="S472" s="5"/>
      <c r="T472" s="5"/>
      <c r="U472" s="5"/>
      <c r="V472" s="5"/>
      <c r="W472" s="2"/>
      <c r="X472" s="2"/>
    </row>
    <row r="473" spans="16:24" x14ac:dyDescent="0.2">
      <c r="P473" s="5"/>
      <c r="Q473" s="5"/>
      <c r="R473" s="5"/>
      <c r="S473" s="5"/>
      <c r="T473" s="5"/>
      <c r="U473" s="5"/>
      <c r="V473" s="5"/>
      <c r="W473" s="2"/>
      <c r="X473" s="2"/>
    </row>
    <row r="474" spans="16:24" x14ac:dyDescent="0.2">
      <c r="P474" s="5"/>
      <c r="Q474" s="5"/>
      <c r="R474" s="5"/>
      <c r="S474" s="5"/>
      <c r="T474" s="5"/>
      <c r="U474" s="5"/>
      <c r="V474" s="5"/>
      <c r="W474" s="2"/>
      <c r="X474" s="2"/>
    </row>
    <row r="475" spans="16:24" x14ac:dyDescent="0.2">
      <c r="P475" s="5"/>
      <c r="Q475" s="5"/>
      <c r="R475" s="5"/>
      <c r="S475" s="5"/>
      <c r="T475" s="5"/>
      <c r="U475" s="5"/>
      <c r="V475" s="5"/>
      <c r="W475" s="2"/>
      <c r="X475" s="2"/>
    </row>
    <row r="476" spans="16:24" x14ac:dyDescent="0.2">
      <c r="P476" s="5"/>
      <c r="Q476" s="5"/>
      <c r="R476" s="5"/>
      <c r="S476" s="5"/>
      <c r="T476" s="5"/>
      <c r="U476" s="5"/>
      <c r="V476" s="5"/>
      <c r="W476" s="2"/>
      <c r="X476" s="2"/>
    </row>
    <row r="477" spans="16:24" x14ac:dyDescent="0.2">
      <c r="P477" s="5"/>
      <c r="Q477" s="5"/>
      <c r="R477" s="5"/>
      <c r="S477" s="5"/>
      <c r="T477" s="5"/>
      <c r="U477" s="5"/>
      <c r="V477" s="5"/>
      <c r="W477" s="2"/>
      <c r="X477" s="2"/>
    </row>
    <row r="478" spans="16:24" x14ac:dyDescent="0.2">
      <c r="P478" s="5"/>
      <c r="Q478" s="5"/>
      <c r="R478" s="5"/>
      <c r="S478" s="5"/>
      <c r="T478" s="5"/>
      <c r="U478" s="5"/>
      <c r="V478" s="5"/>
      <c r="W478" s="2"/>
      <c r="X478" s="2"/>
    </row>
    <row r="479" spans="16:24" x14ac:dyDescent="0.2">
      <c r="P479" s="5"/>
      <c r="Q479" s="5"/>
      <c r="R479" s="5"/>
      <c r="S479" s="5"/>
      <c r="T479" s="5"/>
      <c r="U479" s="5"/>
      <c r="V479" s="5"/>
      <c r="W479" s="2"/>
      <c r="X479" s="2"/>
    </row>
    <row r="480" spans="16:24" x14ac:dyDescent="0.2">
      <c r="P480" s="5"/>
      <c r="Q480" s="5"/>
      <c r="R480" s="5"/>
      <c r="S480" s="5"/>
      <c r="T480" s="5"/>
      <c r="U480" s="5"/>
      <c r="V480" s="5"/>
      <c r="W480" s="2"/>
      <c r="X480" s="2"/>
    </row>
    <row r="481" spans="16:24" x14ac:dyDescent="0.2">
      <c r="P481" s="5"/>
      <c r="Q481" s="5"/>
      <c r="R481" s="5"/>
      <c r="S481" s="5"/>
      <c r="T481" s="5"/>
      <c r="U481" s="5"/>
      <c r="V481" s="5"/>
      <c r="W481" s="2"/>
      <c r="X481" s="2"/>
    </row>
    <row r="482" spans="16:24" x14ac:dyDescent="0.2">
      <c r="P482" s="5"/>
      <c r="Q482" s="5"/>
      <c r="R482" s="5"/>
      <c r="S482" s="5"/>
      <c r="T482" s="5"/>
      <c r="U482" s="5"/>
      <c r="V482" s="5"/>
      <c r="W482" s="2"/>
      <c r="X482" s="2"/>
    </row>
    <row r="483" spans="16:24" x14ac:dyDescent="0.2">
      <c r="P483" s="5"/>
      <c r="Q483" s="5"/>
      <c r="R483" s="5"/>
      <c r="S483" s="5"/>
      <c r="T483" s="5"/>
      <c r="U483" s="5"/>
      <c r="V483" s="5"/>
      <c r="W483" s="2"/>
      <c r="X483" s="2"/>
    </row>
    <row r="484" spans="16:24" x14ac:dyDescent="0.2">
      <c r="P484" s="5"/>
      <c r="Q484" s="5"/>
      <c r="R484" s="5"/>
      <c r="S484" s="5"/>
      <c r="T484" s="5"/>
      <c r="U484" s="5"/>
      <c r="V484" s="5"/>
      <c r="W484" s="2"/>
      <c r="X484" s="2"/>
    </row>
    <row r="485" spans="16:24" x14ac:dyDescent="0.2">
      <c r="P485" s="5"/>
      <c r="Q485" s="5"/>
      <c r="R485" s="5"/>
      <c r="S485" s="5"/>
      <c r="T485" s="5"/>
      <c r="U485" s="5"/>
      <c r="V485" s="5"/>
      <c r="W485" s="2"/>
      <c r="X485" s="2"/>
    </row>
    <row r="486" spans="16:24" x14ac:dyDescent="0.2">
      <c r="P486" s="5"/>
      <c r="Q486" s="5"/>
      <c r="R486" s="5"/>
      <c r="S486" s="5"/>
      <c r="T486" s="5"/>
      <c r="U486" s="5"/>
      <c r="V486" s="5"/>
      <c r="W486" s="2"/>
      <c r="X486" s="2"/>
    </row>
    <row r="487" spans="16:24" x14ac:dyDescent="0.2">
      <c r="P487" s="5"/>
      <c r="Q487" s="5"/>
      <c r="R487" s="5"/>
      <c r="S487" s="5"/>
      <c r="T487" s="5"/>
      <c r="U487" s="5"/>
      <c r="V487" s="5"/>
      <c r="W487" s="2"/>
      <c r="X487" s="2"/>
    </row>
    <row r="488" spans="16:24" x14ac:dyDescent="0.2">
      <c r="P488" s="5"/>
      <c r="Q488" s="5"/>
      <c r="R488" s="5"/>
      <c r="S488" s="5"/>
      <c r="T488" s="5"/>
      <c r="U488" s="5"/>
      <c r="V488" s="5"/>
      <c r="W488" s="2"/>
      <c r="X488" s="2"/>
    </row>
    <row r="489" spans="16:24" x14ac:dyDescent="0.2">
      <c r="P489" s="5"/>
      <c r="Q489" s="5"/>
      <c r="R489" s="5"/>
      <c r="S489" s="5"/>
      <c r="T489" s="5"/>
      <c r="U489" s="5"/>
      <c r="V489" s="5"/>
      <c r="W489" s="2"/>
      <c r="X489" s="2"/>
    </row>
    <row r="490" spans="16:24" x14ac:dyDescent="0.2">
      <c r="P490" s="5"/>
      <c r="Q490" s="5"/>
      <c r="R490" s="5"/>
      <c r="S490" s="5"/>
      <c r="T490" s="5"/>
      <c r="U490" s="5"/>
      <c r="V490" s="5"/>
      <c r="W490" s="2"/>
      <c r="X490" s="2"/>
    </row>
    <row r="491" spans="16:24" x14ac:dyDescent="0.2">
      <c r="P491" s="5"/>
      <c r="Q491" s="5"/>
      <c r="R491" s="5"/>
      <c r="S491" s="5"/>
      <c r="T491" s="5"/>
      <c r="U491" s="5"/>
      <c r="V491" s="5"/>
      <c r="W491" s="2"/>
      <c r="X491" s="2"/>
    </row>
    <row r="492" spans="16:24" x14ac:dyDescent="0.2">
      <c r="P492" s="5"/>
      <c r="Q492" s="5"/>
      <c r="R492" s="5"/>
      <c r="S492" s="5"/>
      <c r="T492" s="5"/>
      <c r="U492" s="5"/>
      <c r="V492" s="5"/>
      <c r="W492" s="2"/>
      <c r="X492" s="2"/>
    </row>
    <row r="493" spans="16:24" x14ac:dyDescent="0.2">
      <c r="P493" s="5"/>
      <c r="Q493" s="5"/>
      <c r="R493" s="5"/>
      <c r="S493" s="5"/>
      <c r="T493" s="5"/>
      <c r="U493" s="5"/>
      <c r="V493" s="5"/>
      <c r="W493" s="2"/>
      <c r="X493" s="2"/>
    </row>
  </sheetData>
  <mergeCells count="171">
    <mergeCell ref="H101:H112"/>
    <mergeCell ref="I101:I112"/>
    <mergeCell ref="J101:J112"/>
    <mergeCell ref="H77:H88"/>
    <mergeCell ref="I77:I88"/>
    <mergeCell ref="J77:J88"/>
    <mergeCell ref="C233:J235"/>
    <mergeCell ref="J197:J208"/>
    <mergeCell ref="H89:H100"/>
    <mergeCell ref="I89:I100"/>
    <mergeCell ref="J89:J100"/>
    <mergeCell ref="H125:H136"/>
    <mergeCell ref="I125:I136"/>
    <mergeCell ref="J125:J136"/>
    <mergeCell ref="D173:D184"/>
    <mergeCell ref="E173:E184"/>
    <mergeCell ref="F173:F184"/>
    <mergeCell ref="G173:G184"/>
    <mergeCell ref="H149:H160"/>
    <mergeCell ref="I149:I160"/>
    <mergeCell ref="I161:I172"/>
    <mergeCell ref="J161:J172"/>
    <mergeCell ref="H173:H184"/>
    <mergeCell ref="I173:I184"/>
    <mergeCell ref="J173:J184"/>
    <mergeCell ref="H161:H172"/>
    <mergeCell ref="G149:G160"/>
    <mergeCell ref="E149:E160"/>
    <mergeCell ref="F149:F160"/>
    <mergeCell ref="H137:H148"/>
    <mergeCell ref="I137:I148"/>
    <mergeCell ref="J137:J148"/>
    <mergeCell ref="C125:C136"/>
    <mergeCell ref="D125:D136"/>
    <mergeCell ref="E125:E136"/>
    <mergeCell ref="C173:C184"/>
    <mergeCell ref="J149:J160"/>
    <mergeCell ref="C185:C196"/>
    <mergeCell ref="D185:D196"/>
    <mergeCell ref="E185:E196"/>
    <mergeCell ref="F185:F196"/>
    <mergeCell ref="G185:G196"/>
    <mergeCell ref="F125:F136"/>
    <mergeCell ref="G125:G136"/>
    <mergeCell ref="C252:J252"/>
    <mergeCell ref="C137:C148"/>
    <mergeCell ref="D137:D148"/>
    <mergeCell ref="E137:E148"/>
    <mergeCell ref="F137:F148"/>
    <mergeCell ref="G137:G148"/>
    <mergeCell ref="C161:C172"/>
    <mergeCell ref="D161:D172"/>
    <mergeCell ref="E161:E172"/>
    <mergeCell ref="F161:F172"/>
    <mergeCell ref="G161:G172"/>
    <mergeCell ref="H185:H196"/>
    <mergeCell ref="I185:I196"/>
    <mergeCell ref="J185:J196"/>
    <mergeCell ref="C197:C208"/>
    <mergeCell ref="D197:D208"/>
    <mergeCell ref="E197:E208"/>
    <mergeCell ref="F197:F208"/>
    <mergeCell ref="G197:G208"/>
    <mergeCell ref="H197:H208"/>
    <mergeCell ref="I197:I208"/>
    <mergeCell ref="C149:C160"/>
    <mergeCell ref="D149:D160"/>
    <mergeCell ref="H17:H28"/>
    <mergeCell ref="I17:I28"/>
    <mergeCell ref="J17:J28"/>
    <mergeCell ref="I53:I64"/>
    <mergeCell ref="J53:J64"/>
    <mergeCell ref="C65:C76"/>
    <mergeCell ref="D65:D76"/>
    <mergeCell ref="E65:E76"/>
    <mergeCell ref="F65:F76"/>
    <mergeCell ref="G65:G76"/>
    <mergeCell ref="H65:H76"/>
    <mergeCell ref="I65:I76"/>
    <mergeCell ref="J65:J76"/>
    <mergeCell ref="C53:C64"/>
    <mergeCell ref="D53:D64"/>
    <mergeCell ref="E53:E64"/>
    <mergeCell ref="F53:F64"/>
    <mergeCell ref="G53:G64"/>
    <mergeCell ref="H53:H64"/>
    <mergeCell ref="I29:I40"/>
    <mergeCell ref="J29:J40"/>
    <mergeCell ref="H41:H52"/>
    <mergeCell ref="I41:I52"/>
    <mergeCell ref="J41:J52"/>
    <mergeCell ref="E29:E40"/>
    <mergeCell ref="F29:F40"/>
    <mergeCell ref="G29:G40"/>
    <mergeCell ref="H29:H40"/>
    <mergeCell ref="E41:E52"/>
    <mergeCell ref="F41:F52"/>
    <mergeCell ref="G41:G52"/>
    <mergeCell ref="F113:F124"/>
    <mergeCell ref="G113:G124"/>
    <mergeCell ref="C89:C100"/>
    <mergeCell ref="D89:D100"/>
    <mergeCell ref="E89:E100"/>
    <mergeCell ref="F89:F100"/>
    <mergeCell ref="G89:G100"/>
    <mergeCell ref="C77:C88"/>
    <mergeCell ref="D77:D88"/>
    <mergeCell ref="E77:E88"/>
    <mergeCell ref="F77:F88"/>
    <mergeCell ref="G77:G88"/>
    <mergeCell ref="C101:C112"/>
    <mergeCell ref="D101:D112"/>
    <mergeCell ref="E101:E112"/>
    <mergeCell ref="F101:F112"/>
    <mergeCell ref="G101:G112"/>
    <mergeCell ref="C2:J4"/>
    <mergeCell ref="C5:C16"/>
    <mergeCell ref="D5:D16"/>
    <mergeCell ref="E5:E16"/>
    <mergeCell ref="F5:F16"/>
    <mergeCell ref="G5:G16"/>
    <mergeCell ref="H5:H16"/>
    <mergeCell ref="I5:I16"/>
    <mergeCell ref="J5:J16"/>
    <mergeCell ref="C17:C28"/>
    <mergeCell ref="D17:D28"/>
    <mergeCell ref="E17:E28"/>
    <mergeCell ref="H113:H124"/>
    <mergeCell ref="I113:I124"/>
    <mergeCell ref="J113:J124"/>
    <mergeCell ref="L236:N236"/>
    <mergeCell ref="C221:C232"/>
    <mergeCell ref="D221:D232"/>
    <mergeCell ref="E221:E232"/>
    <mergeCell ref="F221:F232"/>
    <mergeCell ref="G221:G232"/>
    <mergeCell ref="H221:H232"/>
    <mergeCell ref="I221:I232"/>
    <mergeCell ref="J221:J232"/>
    <mergeCell ref="C113:C124"/>
    <mergeCell ref="D113:D124"/>
    <mergeCell ref="E113:E124"/>
    <mergeCell ref="F17:F28"/>
    <mergeCell ref="G17:G28"/>
    <mergeCell ref="C29:C40"/>
    <mergeCell ref="D29:D40"/>
    <mergeCell ref="C41:C52"/>
    <mergeCell ref="D41:D52"/>
    <mergeCell ref="R236:T236"/>
    <mergeCell ref="U236:W236"/>
    <mergeCell ref="L237:N237"/>
    <mergeCell ref="O237:Q237"/>
    <mergeCell ref="R237:T237"/>
    <mergeCell ref="U237:W237"/>
    <mergeCell ref="C241:C251"/>
    <mergeCell ref="J241:J251"/>
    <mergeCell ref="I241:I251"/>
    <mergeCell ref="H241:H251"/>
    <mergeCell ref="G241:G251"/>
    <mergeCell ref="F241:F251"/>
    <mergeCell ref="E241:E251"/>
    <mergeCell ref="D241:D251"/>
    <mergeCell ref="C209:C220"/>
    <mergeCell ref="D209:D220"/>
    <mergeCell ref="E209:E220"/>
    <mergeCell ref="F209:F220"/>
    <mergeCell ref="G209:G220"/>
    <mergeCell ref="H209:H220"/>
    <mergeCell ref="I209:I220"/>
    <mergeCell ref="J209:J220"/>
    <mergeCell ref="O236:Q236"/>
  </mergeCells>
  <phoneticPr fontId="4"/>
  <printOptions horizontalCentered="1"/>
  <pageMargins left="0.70866141732283472" right="0.70866141732283472" top="0.74803149606299213" bottom="0.74803149606299213" header="0.31496062992125984" footer="0.31496062992125984"/>
  <pageSetup paperSize="8" scale="66" fitToHeight="3" orientation="landscape" r:id="rId1"/>
  <rowBreaks count="2" manualBreakCount="2">
    <brk id="88" min="2" max="23" man="1"/>
    <brk id="184" min="2" max="23" man="1"/>
  </rowBreaks>
  <ignoredErrors>
    <ignoredError sqref="O11:P32 O113:P176 O33:O39 P177:P183 O232:P232 O40:P76 O221:P221 O184:P208 O223:P224" numberStoredAsText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20443-FC8E-474D-8CAE-F0211CB9F4D9}">
  <sheetPr codeName="Sheet3">
    <pageSetUpPr fitToPage="1"/>
  </sheetPr>
  <dimension ref="A1:Z299"/>
  <sheetViews>
    <sheetView showGridLines="0" tabSelected="1" zoomScale="80" zoomScaleNormal="80" zoomScaleSheetLayoutView="70" workbookViewId="0">
      <pane xSplit="11" ySplit="4" topLeftCell="N5" activePane="bottomRight" state="frozen"/>
      <selection sqref="A1:B1048576"/>
      <selection pane="topRight" sqref="A1:B1048576"/>
      <selection pane="bottomLeft" sqref="A1:B1048576"/>
      <selection pane="bottomRight" activeCell="B10" sqref="B10"/>
    </sheetView>
  </sheetViews>
  <sheetFormatPr defaultRowHeight="12" x14ac:dyDescent="0.2"/>
  <cols>
    <col min="1" max="1" width="9.08984375" style="14" bestFit="1" customWidth="1"/>
    <col min="2" max="2" width="9.453125" style="16" bestFit="1" customWidth="1"/>
    <col min="3" max="3" width="6.08984375" style="2" bestFit="1" customWidth="1"/>
    <col min="4" max="4" width="9.08984375" style="2" customWidth="1"/>
    <col min="5" max="5" width="5.08984375" style="2" customWidth="1"/>
    <col min="6" max="6" width="10.6328125" style="1" customWidth="1"/>
    <col min="7" max="7" width="9.6328125" style="2" customWidth="1"/>
    <col min="8" max="9" width="11.90625" style="2" customWidth="1"/>
    <col min="10" max="10" width="8.36328125" style="2" customWidth="1"/>
    <col min="11" max="11" width="13.36328125" style="2" bestFit="1" customWidth="1"/>
    <col min="12" max="15" width="13.36328125" style="5" customWidth="1"/>
    <col min="16" max="16" width="13.36328125" style="80" customWidth="1"/>
    <col min="17" max="22" width="13.36328125" style="8" customWidth="1"/>
    <col min="23" max="23" width="13.90625" style="3" customWidth="1"/>
    <col min="24" max="24" width="16.453125" style="4" customWidth="1"/>
    <col min="25" max="25" width="9.6328125" style="2" bestFit="1" customWidth="1"/>
    <col min="26" max="26" width="11" style="10" bestFit="1" customWidth="1"/>
    <col min="27" max="259" width="8.90625" style="2"/>
    <col min="260" max="260" width="9.90625" style="2" customWidth="1"/>
    <col min="261" max="262" width="5.08984375" style="2" customWidth="1"/>
    <col min="263" max="263" width="9.6328125" style="2" customWidth="1"/>
    <col min="264" max="265" width="11.90625" style="2" customWidth="1"/>
    <col min="266" max="266" width="15.36328125" style="2" customWidth="1"/>
    <col min="267" max="267" width="10.90625" style="2" customWidth="1"/>
    <col min="268" max="278" width="13.36328125" style="2" customWidth="1"/>
    <col min="279" max="279" width="13.90625" style="2" customWidth="1"/>
    <col min="280" max="280" width="16.453125" style="2" customWidth="1"/>
    <col min="281" max="515" width="8.90625" style="2"/>
    <col min="516" max="516" width="9.90625" style="2" customWidth="1"/>
    <col min="517" max="518" width="5.08984375" style="2" customWidth="1"/>
    <col min="519" max="519" width="9.6328125" style="2" customWidth="1"/>
    <col min="520" max="521" width="11.90625" style="2" customWidth="1"/>
    <col min="522" max="522" width="15.36328125" style="2" customWidth="1"/>
    <col min="523" max="523" width="10.90625" style="2" customWidth="1"/>
    <col min="524" max="534" width="13.36328125" style="2" customWidth="1"/>
    <col min="535" max="535" width="13.90625" style="2" customWidth="1"/>
    <col min="536" max="536" width="16.453125" style="2" customWidth="1"/>
    <col min="537" max="771" width="8.90625" style="2"/>
    <col min="772" max="772" width="9.90625" style="2" customWidth="1"/>
    <col min="773" max="774" width="5.08984375" style="2" customWidth="1"/>
    <col min="775" max="775" width="9.6328125" style="2" customWidth="1"/>
    <col min="776" max="777" width="11.90625" style="2" customWidth="1"/>
    <col min="778" max="778" width="15.36328125" style="2" customWidth="1"/>
    <col min="779" max="779" width="10.90625" style="2" customWidth="1"/>
    <col min="780" max="790" width="13.36328125" style="2" customWidth="1"/>
    <col min="791" max="791" width="13.90625" style="2" customWidth="1"/>
    <col min="792" max="792" width="16.453125" style="2" customWidth="1"/>
    <col min="793" max="1027" width="8.90625" style="2"/>
    <col min="1028" max="1028" width="9.90625" style="2" customWidth="1"/>
    <col min="1029" max="1030" width="5.08984375" style="2" customWidth="1"/>
    <col min="1031" max="1031" width="9.6328125" style="2" customWidth="1"/>
    <col min="1032" max="1033" width="11.90625" style="2" customWidth="1"/>
    <col min="1034" max="1034" width="15.36328125" style="2" customWidth="1"/>
    <col min="1035" max="1035" width="10.90625" style="2" customWidth="1"/>
    <col min="1036" max="1046" width="13.36328125" style="2" customWidth="1"/>
    <col min="1047" max="1047" width="13.90625" style="2" customWidth="1"/>
    <col min="1048" max="1048" width="16.453125" style="2" customWidth="1"/>
    <col min="1049" max="1283" width="8.90625" style="2"/>
    <col min="1284" max="1284" width="9.90625" style="2" customWidth="1"/>
    <col min="1285" max="1286" width="5.08984375" style="2" customWidth="1"/>
    <col min="1287" max="1287" width="9.6328125" style="2" customWidth="1"/>
    <col min="1288" max="1289" width="11.90625" style="2" customWidth="1"/>
    <col min="1290" max="1290" width="15.36328125" style="2" customWidth="1"/>
    <col min="1291" max="1291" width="10.90625" style="2" customWidth="1"/>
    <col min="1292" max="1302" width="13.36328125" style="2" customWidth="1"/>
    <col min="1303" max="1303" width="13.90625" style="2" customWidth="1"/>
    <col min="1304" max="1304" width="16.453125" style="2" customWidth="1"/>
    <col min="1305" max="1539" width="8.90625" style="2"/>
    <col min="1540" max="1540" width="9.90625" style="2" customWidth="1"/>
    <col min="1541" max="1542" width="5.08984375" style="2" customWidth="1"/>
    <col min="1543" max="1543" width="9.6328125" style="2" customWidth="1"/>
    <col min="1544" max="1545" width="11.90625" style="2" customWidth="1"/>
    <col min="1546" max="1546" width="15.36328125" style="2" customWidth="1"/>
    <col min="1547" max="1547" width="10.90625" style="2" customWidth="1"/>
    <col min="1548" max="1558" width="13.36328125" style="2" customWidth="1"/>
    <col min="1559" max="1559" width="13.90625" style="2" customWidth="1"/>
    <col min="1560" max="1560" width="16.453125" style="2" customWidth="1"/>
    <col min="1561" max="1795" width="8.90625" style="2"/>
    <col min="1796" max="1796" width="9.90625" style="2" customWidth="1"/>
    <col min="1797" max="1798" width="5.08984375" style="2" customWidth="1"/>
    <col min="1799" max="1799" width="9.6328125" style="2" customWidth="1"/>
    <col min="1800" max="1801" width="11.90625" style="2" customWidth="1"/>
    <col min="1802" max="1802" width="15.36328125" style="2" customWidth="1"/>
    <col min="1803" max="1803" width="10.90625" style="2" customWidth="1"/>
    <col min="1804" max="1814" width="13.36328125" style="2" customWidth="1"/>
    <col min="1815" max="1815" width="13.90625" style="2" customWidth="1"/>
    <col min="1816" max="1816" width="16.453125" style="2" customWidth="1"/>
    <col min="1817" max="2051" width="8.90625" style="2"/>
    <col min="2052" max="2052" width="9.90625" style="2" customWidth="1"/>
    <col min="2053" max="2054" width="5.08984375" style="2" customWidth="1"/>
    <col min="2055" max="2055" width="9.6328125" style="2" customWidth="1"/>
    <col min="2056" max="2057" width="11.90625" style="2" customWidth="1"/>
    <col min="2058" max="2058" width="15.36328125" style="2" customWidth="1"/>
    <col min="2059" max="2059" width="10.90625" style="2" customWidth="1"/>
    <col min="2060" max="2070" width="13.36328125" style="2" customWidth="1"/>
    <col min="2071" max="2071" width="13.90625" style="2" customWidth="1"/>
    <col min="2072" max="2072" width="16.453125" style="2" customWidth="1"/>
    <col min="2073" max="2307" width="8.90625" style="2"/>
    <col min="2308" max="2308" width="9.90625" style="2" customWidth="1"/>
    <col min="2309" max="2310" width="5.08984375" style="2" customWidth="1"/>
    <col min="2311" max="2311" width="9.6328125" style="2" customWidth="1"/>
    <col min="2312" max="2313" width="11.90625" style="2" customWidth="1"/>
    <col min="2314" max="2314" width="15.36328125" style="2" customWidth="1"/>
    <col min="2315" max="2315" width="10.90625" style="2" customWidth="1"/>
    <col min="2316" max="2326" width="13.36328125" style="2" customWidth="1"/>
    <col min="2327" max="2327" width="13.90625" style="2" customWidth="1"/>
    <col min="2328" max="2328" width="16.453125" style="2" customWidth="1"/>
    <col min="2329" max="2563" width="8.90625" style="2"/>
    <col min="2564" max="2564" width="9.90625" style="2" customWidth="1"/>
    <col min="2565" max="2566" width="5.08984375" style="2" customWidth="1"/>
    <col min="2567" max="2567" width="9.6328125" style="2" customWidth="1"/>
    <col min="2568" max="2569" width="11.90625" style="2" customWidth="1"/>
    <col min="2570" max="2570" width="15.36328125" style="2" customWidth="1"/>
    <col min="2571" max="2571" width="10.90625" style="2" customWidth="1"/>
    <col min="2572" max="2582" width="13.36328125" style="2" customWidth="1"/>
    <col min="2583" max="2583" width="13.90625" style="2" customWidth="1"/>
    <col min="2584" max="2584" width="16.453125" style="2" customWidth="1"/>
    <col min="2585" max="2819" width="8.90625" style="2"/>
    <col min="2820" max="2820" width="9.90625" style="2" customWidth="1"/>
    <col min="2821" max="2822" width="5.08984375" style="2" customWidth="1"/>
    <col min="2823" max="2823" width="9.6328125" style="2" customWidth="1"/>
    <col min="2824" max="2825" width="11.90625" style="2" customWidth="1"/>
    <col min="2826" max="2826" width="15.36328125" style="2" customWidth="1"/>
    <col min="2827" max="2827" width="10.90625" style="2" customWidth="1"/>
    <col min="2828" max="2838" width="13.36328125" style="2" customWidth="1"/>
    <col min="2839" max="2839" width="13.90625" style="2" customWidth="1"/>
    <col min="2840" max="2840" width="16.453125" style="2" customWidth="1"/>
    <col min="2841" max="3075" width="8.90625" style="2"/>
    <col min="3076" max="3076" width="9.90625" style="2" customWidth="1"/>
    <col min="3077" max="3078" width="5.08984375" style="2" customWidth="1"/>
    <col min="3079" max="3079" width="9.6328125" style="2" customWidth="1"/>
    <col min="3080" max="3081" width="11.90625" style="2" customWidth="1"/>
    <col min="3082" max="3082" width="15.36328125" style="2" customWidth="1"/>
    <col min="3083" max="3083" width="10.90625" style="2" customWidth="1"/>
    <col min="3084" max="3094" width="13.36328125" style="2" customWidth="1"/>
    <col min="3095" max="3095" width="13.90625" style="2" customWidth="1"/>
    <col min="3096" max="3096" width="16.453125" style="2" customWidth="1"/>
    <col min="3097" max="3331" width="8.90625" style="2"/>
    <col min="3332" max="3332" width="9.90625" style="2" customWidth="1"/>
    <col min="3333" max="3334" width="5.08984375" style="2" customWidth="1"/>
    <col min="3335" max="3335" width="9.6328125" style="2" customWidth="1"/>
    <col min="3336" max="3337" width="11.90625" style="2" customWidth="1"/>
    <col min="3338" max="3338" width="15.36328125" style="2" customWidth="1"/>
    <col min="3339" max="3339" width="10.90625" style="2" customWidth="1"/>
    <col min="3340" max="3350" width="13.36328125" style="2" customWidth="1"/>
    <col min="3351" max="3351" width="13.90625" style="2" customWidth="1"/>
    <col min="3352" max="3352" width="16.453125" style="2" customWidth="1"/>
    <col min="3353" max="3587" width="8.90625" style="2"/>
    <col min="3588" max="3588" width="9.90625" style="2" customWidth="1"/>
    <col min="3589" max="3590" width="5.08984375" style="2" customWidth="1"/>
    <col min="3591" max="3591" width="9.6328125" style="2" customWidth="1"/>
    <col min="3592" max="3593" width="11.90625" style="2" customWidth="1"/>
    <col min="3594" max="3594" width="15.36328125" style="2" customWidth="1"/>
    <col min="3595" max="3595" width="10.90625" style="2" customWidth="1"/>
    <col min="3596" max="3606" width="13.36328125" style="2" customWidth="1"/>
    <col min="3607" max="3607" width="13.90625" style="2" customWidth="1"/>
    <col min="3608" max="3608" width="16.453125" style="2" customWidth="1"/>
    <col min="3609" max="3843" width="8.90625" style="2"/>
    <col min="3844" max="3844" width="9.90625" style="2" customWidth="1"/>
    <col min="3845" max="3846" width="5.08984375" style="2" customWidth="1"/>
    <col min="3847" max="3847" width="9.6328125" style="2" customWidth="1"/>
    <col min="3848" max="3849" width="11.90625" style="2" customWidth="1"/>
    <col min="3850" max="3850" width="15.36328125" style="2" customWidth="1"/>
    <col min="3851" max="3851" width="10.90625" style="2" customWidth="1"/>
    <col min="3852" max="3862" width="13.36328125" style="2" customWidth="1"/>
    <col min="3863" max="3863" width="13.90625" style="2" customWidth="1"/>
    <col min="3864" max="3864" width="16.453125" style="2" customWidth="1"/>
    <col min="3865" max="4099" width="8.90625" style="2"/>
    <col min="4100" max="4100" width="9.90625" style="2" customWidth="1"/>
    <col min="4101" max="4102" width="5.08984375" style="2" customWidth="1"/>
    <col min="4103" max="4103" width="9.6328125" style="2" customWidth="1"/>
    <col min="4104" max="4105" width="11.90625" style="2" customWidth="1"/>
    <col min="4106" max="4106" width="15.36328125" style="2" customWidth="1"/>
    <col min="4107" max="4107" width="10.90625" style="2" customWidth="1"/>
    <col min="4108" max="4118" width="13.36328125" style="2" customWidth="1"/>
    <col min="4119" max="4119" width="13.90625" style="2" customWidth="1"/>
    <col min="4120" max="4120" width="16.453125" style="2" customWidth="1"/>
    <col min="4121" max="4355" width="8.90625" style="2"/>
    <col min="4356" max="4356" width="9.90625" style="2" customWidth="1"/>
    <col min="4357" max="4358" width="5.08984375" style="2" customWidth="1"/>
    <col min="4359" max="4359" width="9.6328125" style="2" customWidth="1"/>
    <col min="4360" max="4361" width="11.90625" style="2" customWidth="1"/>
    <col min="4362" max="4362" width="15.36328125" style="2" customWidth="1"/>
    <col min="4363" max="4363" width="10.90625" style="2" customWidth="1"/>
    <col min="4364" max="4374" width="13.36328125" style="2" customWidth="1"/>
    <col min="4375" max="4375" width="13.90625" style="2" customWidth="1"/>
    <col min="4376" max="4376" width="16.453125" style="2" customWidth="1"/>
    <col min="4377" max="4611" width="8.90625" style="2"/>
    <col min="4612" max="4612" width="9.90625" style="2" customWidth="1"/>
    <col min="4613" max="4614" width="5.08984375" style="2" customWidth="1"/>
    <col min="4615" max="4615" width="9.6328125" style="2" customWidth="1"/>
    <col min="4616" max="4617" width="11.90625" style="2" customWidth="1"/>
    <col min="4618" max="4618" width="15.36328125" style="2" customWidth="1"/>
    <col min="4619" max="4619" width="10.90625" style="2" customWidth="1"/>
    <col min="4620" max="4630" width="13.36328125" style="2" customWidth="1"/>
    <col min="4631" max="4631" width="13.90625" style="2" customWidth="1"/>
    <col min="4632" max="4632" width="16.453125" style="2" customWidth="1"/>
    <col min="4633" max="4867" width="8.90625" style="2"/>
    <col min="4868" max="4868" width="9.90625" style="2" customWidth="1"/>
    <col min="4869" max="4870" width="5.08984375" style="2" customWidth="1"/>
    <col min="4871" max="4871" width="9.6328125" style="2" customWidth="1"/>
    <col min="4872" max="4873" width="11.90625" style="2" customWidth="1"/>
    <col min="4874" max="4874" width="15.36328125" style="2" customWidth="1"/>
    <col min="4875" max="4875" width="10.90625" style="2" customWidth="1"/>
    <col min="4876" max="4886" width="13.36328125" style="2" customWidth="1"/>
    <col min="4887" max="4887" width="13.90625" style="2" customWidth="1"/>
    <col min="4888" max="4888" width="16.453125" style="2" customWidth="1"/>
    <col min="4889" max="5123" width="8.90625" style="2"/>
    <col min="5124" max="5124" width="9.90625" style="2" customWidth="1"/>
    <col min="5125" max="5126" width="5.08984375" style="2" customWidth="1"/>
    <col min="5127" max="5127" width="9.6328125" style="2" customWidth="1"/>
    <col min="5128" max="5129" width="11.90625" style="2" customWidth="1"/>
    <col min="5130" max="5130" width="15.36328125" style="2" customWidth="1"/>
    <col min="5131" max="5131" width="10.90625" style="2" customWidth="1"/>
    <col min="5132" max="5142" width="13.36328125" style="2" customWidth="1"/>
    <col min="5143" max="5143" width="13.90625" style="2" customWidth="1"/>
    <col min="5144" max="5144" width="16.453125" style="2" customWidth="1"/>
    <col min="5145" max="5379" width="8.90625" style="2"/>
    <col min="5380" max="5380" width="9.90625" style="2" customWidth="1"/>
    <col min="5381" max="5382" width="5.08984375" style="2" customWidth="1"/>
    <col min="5383" max="5383" width="9.6328125" style="2" customWidth="1"/>
    <col min="5384" max="5385" width="11.90625" style="2" customWidth="1"/>
    <col min="5386" max="5386" width="15.36328125" style="2" customWidth="1"/>
    <col min="5387" max="5387" width="10.90625" style="2" customWidth="1"/>
    <col min="5388" max="5398" width="13.36328125" style="2" customWidth="1"/>
    <col min="5399" max="5399" width="13.90625" style="2" customWidth="1"/>
    <col min="5400" max="5400" width="16.453125" style="2" customWidth="1"/>
    <col min="5401" max="5635" width="8.90625" style="2"/>
    <col min="5636" max="5636" width="9.90625" style="2" customWidth="1"/>
    <col min="5637" max="5638" width="5.08984375" style="2" customWidth="1"/>
    <col min="5639" max="5639" width="9.6328125" style="2" customWidth="1"/>
    <col min="5640" max="5641" width="11.90625" style="2" customWidth="1"/>
    <col min="5642" max="5642" width="15.36328125" style="2" customWidth="1"/>
    <col min="5643" max="5643" width="10.90625" style="2" customWidth="1"/>
    <col min="5644" max="5654" width="13.36328125" style="2" customWidth="1"/>
    <col min="5655" max="5655" width="13.90625" style="2" customWidth="1"/>
    <col min="5656" max="5656" width="16.453125" style="2" customWidth="1"/>
    <col min="5657" max="5891" width="8.90625" style="2"/>
    <col min="5892" max="5892" width="9.90625" style="2" customWidth="1"/>
    <col min="5893" max="5894" width="5.08984375" style="2" customWidth="1"/>
    <col min="5895" max="5895" width="9.6328125" style="2" customWidth="1"/>
    <col min="5896" max="5897" width="11.90625" style="2" customWidth="1"/>
    <col min="5898" max="5898" width="15.36328125" style="2" customWidth="1"/>
    <col min="5899" max="5899" width="10.90625" style="2" customWidth="1"/>
    <col min="5900" max="5910" width="13.36328125" style="2" customWidth="1"/>
    <col min="5911" max="5911" width="13.90625" style="2" customWidth="1"/>
    <col min="5912" max="5912" width="16.453125" style="2" customWidth="1"/>
    <col min="5913" max="6147" width="8.90625" style="2"/>
    <col min="6148" max="6148" width="9.90625" style="2" customWidth="1"/>
    <col min="6149" max="6150" width="5.08984375" style="2" customWidth="1"/>
    <col min="6151" max="6151" width="9.6328125" style="2" customWidth="1"/>
    <col min="6152" max="6153" width="11.90625" style="2" customWidth="1"/>
    <col min="6154" max="6154" width="15.36328125" style="2" customWidth="1"/>
    <col min="6155" max="6155" width="10.90625" style="2" customWidth="1"/>
    <col min="6156" max="6166" width="13.36328125" style="2" customWidth="1"/>
    <col min="6167" max="6167" width="13.90625" style="2" customWidth="1"/>
    <col min="6168" max="6168" width="16.453125" style="2" customWidth="1"/>
    <col min="6169" max="6403" width="8.90625" style="2"/>
    <col min="6404" max="6404" width="9.90625" style="2" customWidth="1"/>
    <col min="6405" max="6406" width="5.08984375" style="2" customWidth="1"/>
    <col min="6407" max="6407" width="9.6328125" style="2" customWidth="1"/>
    <col min="6408" max="6409" width="11.90625" style="2" customWidth="1"/>
    <col min="6410" max="6410" width="15.36328125" style="2" customWidth="1"/>
    <col min="6411" max="6411" width="10.90625" style="2" customWidth="1"/>
    <col min="6412" max="6422" width="13.36328125" style="2" customWidth="1"/>
    <col min="6423" max="6423" width="13.90625" style="2" customWidth="1"/>
    <col min="6424" max="6424" width="16.453125" style="2" customWidth="1"/>
    <col min="6425" max="6659" width="8.90625" style="2"/>
    <col min="6660" max="6660" width="9.90625" style="2" customWidth="1"/>
    <col min="6661" max="6662" width="5.08984375" style="2" customWidth="1"/>
    <col min="6663" max="6663" width="9.6328125" style="2" customWidth="1"/>
    <col min="6664" max="6665" width="11.90625" style="2" customWidth="1"/>
    <col min="6666" max="6666" width="15.36328125" style="2" customWidth="1"/>
    <col min="6667" max="6667" width="10.90625" style="2" customWidth="1"/>
    <col min="6668" max="6678" width="13.36328125" style="2" customWidth="1"/>
    <col min="6679" max="6679" width="13.90625" style="2" customWidth="1"/>
    <col min="6680" max="6680" width="16.453125" style="2" customWidth="1"/>
    <col min="6681" max="6915" width="8.90625" style="2"/>
    <col min="6916" max="6916" width="9.90625" style="2" customWidth="1"/>
    <col min="6917" max="6918" width="5.08984375" style="2" customWidth="1"/>
    <col min="6919" max="6919" width="9.6328125" style="2" customWidth="1"/>
    <col min="6920" max="6921" width="11.90625" style="2" customWidth="1"/>
    <col min="6922" max="6922" width="15.36328125" style="2" customWidth="1"/>
    <col min="6923" max="6923" width="10.90625" style="2" customWidth="1"/>
    <col min="6924" max="6934" width="13.36328125" style="2" customWidth="1"/>
    <col min="6935" max="6935" width="13.90625" style="2" customWidth="1"/>
    <col min="6936" max="6936" width="16.453125" style="2" customWidth="1"/>
    <col min="6937" max="7171" width="8.90625" style="2"/>
    <col min="7172" max="7172" width="9.90625" style="2" customWidth="1"/>
    <col min="7173" max="7174" width="5.08984375" style="2" customWidth="1"/>
    <col min="7175" max="7175" width="9.6328125" style="2" customWidth="1"/>
    <col min="7176" max="7177" width="11.90625" style="2" customWidth="1"/>
    <col min="7178" max="7178" width="15.36328125" style="2" customWidth="1"/>
    <col min="7179" max="7179" width="10.90625" style="2" customWidth="1"/>
    <col min="7180" max="7190" width="13.36328125" style="2" customWidth="1"/>
    <col min="7191" max="7191" width="13.90625" style="2" customWidth="1"/>
    <col min="7192" max="7192" width="16.453125" style="2" customWidth="1"/>
    <col min="7193" max="7427" width="8.90625" style="2"/>
    <col min="7428" max="7428" width="9.90625" style="2" customWidth="1"/>
    <col min="7429" max="7430" width="5.08984375" style="2" customWidth="1"/>
    <col min="7431" max="7431" width="9.6328125" style="2" customWidth="1"/>
    <col min="7432" max="7433" width="11.90625" style="2" customWidth="1"/>
    <col min="7434" max="7434" width="15.36328125" style="2" customWidth="1"/>
    <col min="7435" max="7435" width="10.90625" style="2" customWidth="1"/>
    <col min="7436" max="7446" width="13.36328125" style="2" customWidth="1"/>
    <col min="7447" max="7447" width="13.90625" style="2" customWidth="1"/>
    <col min="7448" max="7448" width="16.453125" style="2" customWidth="1"/>
    <col min="7449" max="7683" width="8.90625" style="2"/>
    <col min="7684" max="7684" width="9.90625" style="2" customWidth="1"/>
    <col min="7685" max="7686" width="5.08984375" style="2" customWidth="1"/>
    <col min="7687" max="7687" width="9.6328125" style="2" customWidth="1"/>
    <col min="7688" max="7689" width="11.90625" style="2" customWidth="1"/>
    <col min="7690" max="7690" width="15.36328125" style="2" customWidth="1"/>
    <col min="7691" max="7691" width="10.90625" style="2" customWidth="1"/>
    <col min="7692" max="7702" width="13.36328125" style="2" customWidth="1"/>
    <col min="7703" max="7703" width="13.90625" style="2" customWidth="1"/>
    <col min="7704" max="7704" width="16.453125" style="2" customWidth="1"/>
    <col min="7705" max="7939" width="8.90625" style="2"/>
    <col min="7940" max="7940" width="9.90625" style="2" customWidth="1"/>
    <col min="7941" max="7942" width="5.08984375" style="2" customWidth="1"/>
    <col min="7943" max="7943" width="9.6328125" style="2" customWidth="1"/>
    <col min="7944" max="7945" width="11.90625" style="2" customWidth="1"/>
    <col min="7946" max="7946" width="15.36328125" style="2" customWidth="1"/>
    <col min="7947" max="7947" width="10.90625" style="2" customWidth="1"/>
    <col min="7948" max="7958" width="13.36328125" style="2" customWidth="1"/>
    <col min="7959" max="7959" width="13.90625" style="2" customWidth="1"/>
    <col min="7960" max="7960" width="16.453125" style="2" customWidth="1"/>
    <col min="7961" max="8195" width="8.90625" style="2"/>
    <col min="8196" max="8196" width="9.90625" style="2" customWidth="1"/>
    <col min="8197" max="8198" width="5.08984375" style="2" customWidth="1"/>
    <col min="8199" max="8199" width="9.6328125" style="2" customWidth="1"/>
    <col min="8200" max="8201" width="11.90625" style="2" customWidth="1"/>
    <col min="8202" max="8202" width="15.36328125" style="2" customWidth="1"/>
    <col min="8203" max="8203" width="10.90625" style="2" customWidth="1"/>
    <col min="8204" max="8214" width="13.36328125" style="2" customWidth="1"/>
    <col min="8215" max="8215" width="13.90625" style="2" customWidth="1"/>
    <col min="8216" max="8216" width="16.453125" style="2" customWidth="1"/>
    <col min="8217" max="8451" width="8.90625" style="2"/>
    <col min="8452" max="8452" width="9.90625" style="2" customWidth="1"/>
    <col min="8453" max="8454" width="5.08984375" style="2" customWidth="1"/>
    <col min="8455" max="8455" width="9.6328125" style="2" customWidth="1"/>
    <col min="8456" max="8457" width="11.90625" style="2" customWidth="1"/>
    <col min="8458" max="8458" width="15.36328125" style="2" customWidth="1"/>
    <col min="8459" max="8459" width="10.90625" style="2" customWidth="1"/>
    <col min="8460" max="8470" width="13.36328125" style="2" customWidth="1"/>
    <col min="8471" max="8471" width="13.90625" style="2" customWidth="1"/>
    <col min="8472" max="8472" width="16.453125" style="2" customWidth="1"/>
    <col min="8473" max="8707" width="8.90625" style="2"/>
    <col min="8708" max="8708" width="9.90625" style="2" customWidth="1"/>
    <col min="8709" max="8710" width="5.08984375" style="2" customWidth="1"/>
    <col min="8711" max="8711" width="9.6328125" style="2" customWidth="1"/>
    <col min="8712" max="8713" width="11.90625" style="2" customWidth="1"/>
    <col min="8714" max="8714" width="15.36328125" style="2" customWidth="1"/>
    <col min="8715" max="8715" width="10.90625" style="2" customWidth="1"/>
    <col min="8716" max="8726" width="13.36328125" style="2" customWidth="1"/>
    <col min="8727" max="8727" width="13.90625" style="2" customWidth="1"/>
    <col min="8728" max="8728" width="16.453125" style="2" customWidth="1"/>
    <col min="8729" max="8963" width="8.90625" style="2"/>
    <col min="8964" max="8964" width="9.90625" style="2" customWidth="1"/>
    <col min="8965" max="8966" width="5.08984375" style="2" customWidth="1"/>
    <col min="8967" max="8967" width="9.6328125" style="2" customWidth="1"/>
    <col min="8968" max="8969" width="11.90625" style="2" customWidth="1"/>
    <col min="8970" max="8970" width="15.36328125" style="2" customWidth="1"/>
    <col min="8971" max="8971" width="10.90625" style="2" customWidth="1"/>
    <col min="8972" max="8982" width="13.36328125" style="2" customWidth="1"/>
    <col min="8983" max="8983" width="13.90625" style="2" customWidth="1"/>
    <col min="8984" max="8984" width="16.453125" style="2" customWidth="1"/>
    <col min="8985" max="9219" width="8.90625" style="2"/>
    <col min="9220" max="9220" width="9.90625" style="2" customWidth="1"/>
    <col min="9221" max="9222" width="5.08984375" style="2" customWidth="1"/>
    <col min="9223" max="9223" width="9.6328125" style="2" customWidth="1"/>
    <col min="9224" max="9225" width="11.90625" style="2" customWidth="1"/>
    <col min="9226" max="9226" width="15.36328125" style="2" customWidth="1"/>
    <col min="9227" max="9227" width="10.90625" style="2" customWidth="1"/>
    <col min="9228" max="9238" width="13.36328125" style="2" customWidth="1"/>
    <col min="9239" max="9239" width="13.90625" style="2" customWidth="1"/>
    <col min="9240" max="9240" width="16.453125" style="2" customWidth="1"/>
    <col min="9241" max="9475" width="8.90625" style="2"/>
    <col min="9476" max="9476" width="9.90625" style="2" customWidth="1"/>
    <col min="9477" max="9478" width="5.08984375" style="2" customWidth="1"/>
    <col min="9479" max="9479" width="9.6328125" style="2" customWidth="1"/>
    <col min="9480" max="9481" width="11.90625" style="2" customWidth="1"/>
    <col min="9482" max="9482" width="15.36328125" style="2" customWidth="1"/>
    <col min="9483" max="9483" width="10.90625" style="2" customWidth="1"/>
    <col min="9484" max="9494" width="13.36328125" style="2" customWidth="1"/>
    <col min="9495" max="9495" width="13.90625" style="2" customWidth="1"/>
    <col min="9496" max="9496" width="16.453125" style="2" customWidth="1"/>
    <col min="9497" max="9731" width="8.90625" style="2"/>
    <col min="9732" max="9732" width="9.90625" style="2" customWidth="1"/>
    <col min="9733" max="9734" width="5.08984375" style="2" customWidth="1"/>
    <col min="9735" max="9735" width="9.6328125" style="2" customWidth="1"/>
    <col min="9736" max="9737" width="11.90625" style="2" customWidth="1"/>
    <col min="9738" max="9738" width="15.36328125" style="2" customWidth="1"/>
    <col min="9739" max="9739" width="10.90625" style="2" customWidth="1"/>
    <col min="9740" max="9750" width="13.36328125" style="2" customWidth="1"/>
    <col min="9751" max="9751" width="13.90625" style="2" customWidth="1"/>
    <col min="9752" max="9752" width="16.453125" style="2" customWidth="1"/>
    <col min="9753" max="9987" width="8.90625" style="2"/>
    <col min="9988" max="9988" width="9.90625" style="2" customWidth="1"/>
    <col min="9989" max="9990" width="5.08984375" style="2" customWidth="1"/>
    <col min="9991" max="9991" width="9.6328125" style="2" customWidth="1"/>
    <col min="9992" max="9993" width="11.90625" style="2" customWidth="1"/>
    <col min="9994" max="9994" width="15.36328125" style="2" customWidth="1"/>
    <col min="9995" max="9995" width="10.90625" style="2" customWidth="1"/>
    <col min="9996" max="10006" width="13.36328125" style="2" customWidth="1"/>
    <col min="10007" max="10007" width="13.90625" style="2" customWidth="1"/>
    <col min="10008" max="10008" width="16.453125" style="2" customWidth="1"/>
    <col min="10009" max="10243" width="8.90625" style="2"/>
    <col min="10244" max="10244" width="9.90625" style="2" customWidth="1"/>
    <col min="10245" max="10246" width="5.08984375" style="2" customWidth="1"/>
    <col min="10247" max="10247" width="9.6328125" style="2" customWidth="1"/>
    <col min="10248" max="10249" width="11.90625" style="2" customWidth="1"/>
    <col min="10250" max="10250" width="15.36328125" style="2" customWidth="1"/>
    <col min="10251" max="10251" width="10.90625" style="2" customWidth="1"/>
    <col min="10252" max="10262" width="13.36328125" style="2" customWidth="1"/>
    <col min="10263" max="10263" width="13.90625" style="2" customWidth="1"/>
    <col min="10264" max="10264" width="16.453125" style="2" customWidth="1"/>
    <col min="10265" max="10499" width="8.90625" style="2"/>
    <col min="10500" max="10500" width="9.90625" style="2" customWidth="1"/>
    <col min="10501" max="10502" width="5.08984375" style="2" customWidth="1"/>
    <col min="10503" max="10503" width="9.6328125" style="2" customWidth="1"/>
    <col min="10504" max="10505" width="11.90625" style="2" customWidth="1"/>
    <col min="10506" max="10506" width="15.36328125" style="2" customWidth="1"/>
    <col min="10507" max="10507" width="10.90625" style="2" customWidth="1"/>
    <col min="10508" max="10518" width="13.36328125" style="2" customWidth="1"/>
    <col min="10519" max="10519" width="13.90625" style="2" customWidth="1"/>
    <col min="10520" max="10520" width="16.453125" style="2" customWidth="1"/>
    <col min="10521" max="10755" width="8.90625" style="2"/>
    <col min="10756" max="10756" width="9.90625" style="2" customWidth="1"/>
    <col min="10757" max="10758" width="5.08984375" style="2" customWidth="1"/>
    <col min="10759" max="10759" width="9.6328125" style="2" customWidth="1"/>
    <col min="10760" max="10761" width="11.90625" style="2" customWidth="1"/>
    <col min="10762" max="10762" width="15.36328125" style="2" customWidth="1"/>
    <col min="10763" max="10763" width="10.90625" style="2" customWidth="1"/>
    <col min="10764" max="10774" width="13.36328125" style="2" customWidth="1"/>
    <col min="10775" max="10775" width="13.90625" style="2" customWidth="1"/>
    <col min="10776" max="10776" width="16.453125" style="2" customWidth="1"/>
    <col min="10777" max="11011" width="8.90625" style="2"/>
    <col min="11012" max="11012" width="9.90625" style="2" customWidth="1"/>
    <col min="11013" max="11014" width="5.08984375" style="2" customWidth="1"/>
    <col min="11015" max="11015" width="9.6328125" style="2" customWidth="1"/>
    <col min="11016" max="11017" width="11.90625" style="2" customWidth="1"/>
    <col min="11018" max="11018" width="15.36328125" style="2" customWidth="1"/>
    <col min="11019" max="11019" width="10.90625" style="2" customWidth="1"/>
    <col min="11020" max="11030" width="13.36328125" style="2" customWidth="1"/>
    <col min="11031" max="11031" width="13.90625" style="2" customWidth="1"/>
    <col min="11032" max="11032" width="16.453125" style="2" customWidth="1"/>
    <col min="11033" max="11267" width="8.90625" style="2"/>
    <col min="11268" max="11268" width="9.90625" style="2" customWidth="1"/>
    <col min="11269" max="11270" width="5.08984375" style="2" customWidth="1"/>
    <col min="11271" max="11271" width="9.6328125" style="2" customWidth="1"/>
    <col min="11272" max="11273" width="11.90625" style="2" customWidth="1"/>
    <col min="11274" max="11274" width="15.36328125" style="2" customWidth="1"/>
    <col min="11275" max="11275" width="10.90625" style="2" customWidth="1"/>
    <col min="11276" max="11286" width="13.36328125" style="2" customWidth="1"/>
    <col min="11287" max="11287" width="13.90625" style="2" customWidth="1"/>
    <col min="11288" max="11288" width="16.453125" style="2" customWidth="1"/>
    <col min="11289" max="11523" width="8.90625" style="2"/>
    <col min="11524" max="11524" width="9.90625" style="2" customWidth="1"/>
    <col min="11525" max="11526" width="5.08984375" style="2" customWidth="1"/>
    <col min="11527" max="11527" width="9.6328125" style="2" customWidth="1"/>
    <col min="11528" max="11529" width="11.90625" style="2" customWidth="1"/>
    <col min="11530" max="11530" width="15.36328125" style="2" customWidth="1"/>
    <col min="11531" max="11531" width="10.90625" style="2" customWidth="1"/>
    <col min="11532" max="11542" width="13.36328125" style="2" customWidth="1"/>
    <col min="11543" max="11543" width="13.90625" style="2" customWidth="1"/>
    <col min="11544" max="11544" width="16.453125" style="2" customWidth="1"/>
    <col min="11545" max="11779" width="8.90625" style="2"/>
    <col min="11780" max="11780" width="9.90625" style="2" customWidth="1"/>
    <col min="11781" max="11782" width="5.08984375" style="2" customWidth="1"/>
    <col min="11783" max="11783" width="9.6328125" style="2" customWidth="1"/>
    <col min="11784" max="11785" width="11.90625" style="2" customWidth="1"/>
    <col min="11786" max="11786" width="15.36328125" style="2" customWidth="1"/>
    <col min="11787" max="11787" width="10.90625" style="2" customWidth="1"/>
    <col min="11788" max="11798" width="13.36328125" style="2" customWidth="1"/>
    <col min="11799" max="11799" width="13.90625" style="2" customWidth="1"/>
    <col min="11800" max="11800" width="16.453125" style="2" customWidth="1"/>
    <col min="11801" max="12035" width="8.90625" style="2"/>
    <col min="12036" max="12036" width="9.90625" style="2" customWidth="1"/>
    <col min="12037" max="12038" width="5.08984375" style="2" customWidth="1"/>
    <col min="12039" max="12039" width="9.6328125" style="2" customWidth="1"/>
    <col min="12040" max="12041" width="11.90625" style="2" customWidth="1"/>
    <col min="12042" max="12042" width="15.36328125" style="2" customWidth="1"/>
    <col min="12043" max="12043" width="10.90625" style="2" customWidth="1"/>
    <col min="12044" max="12054" width="13.36328125" style="2" customWidth="1"/>
    <col min="12055" max="12055" width="13.90625" style="2" customWidth="1"/>
    <col min="12056" max="12056" width="16.453125" style="2" customWidth="1"/>
    <col min="12057" max="12291" width="8.90625" style="2"/>
    <col min="12292" max="12292" width="9.90625" style="2" customWidth="1"/>
    <col min="12293" max="12294" width="5.08984375" style="2" customWidth="1"/>
    <col min="12295" max="12295" width="9.6328125" style="2" customWidth="1"/>
    <col min="12296" max="12297" width="11.90625" style="2" customWidth="1"/>
    <col min="12298" max="12298" width="15.36328125" style="2" customWidth="1"/>
    <col min="12299" max="12299" width="10.90625" style="2" customWidth="1"/>
    <col min="12300" max="12310" width="13.36328125" style="2" customWidth="1"/>
    <col min="12311" max="12311" width="13.90625" style="2" customWidth="1"/>
    <col min="12312" max="12312" width="16.453125" style="2" customWidth="1"/>
    <col min="12313" max="12547" width="8.90625" style="2"/>
    <col min="12548" max="12548" width="9.90625" style="2" customWidth="1"/>
    <col min="12549" max="12550" width="5.08984375" style="2" customWidth="1"/>
    <col min="12551" max="12551" width="9.6328125" style="2" customWidth="1"/>
    <col min="12552" max="12553" width="11.90625" style="2" customWidth="1"/>
    <col min="12554" max="12554" width="15.36328125" style="2" customWidth="1"/>
    <col min="12555" max="12555" width="10.90625" style="2" customWidth="1"/>
    <col min="12556" max="12566" width="13.36328125" style="2" customWidth="1"/>
    <col min="12567" max="12567" width="13.90625" style="2" customWidth="1"/>
    <col min="12568" max="12568" width="16.453125" style="2" customWidth="1"/>
    <col min="12569" max="12803" width="8.90625" style="2"/>
    <col min="12804" max="12804" width="9.90625" style="2" customWidth="1"/>
    <col min="12805" max="12806" width="5.08984375" style="2" customWidth="1"/>
    <col min="12807" max="12807" width="9.6328125" style="2" customWidth="1"/>
    <col min="12808" max="12809" width="11.90625" style="2" customWidth="1"/>
    <col min="12810" max="12810" width="15.36328125" style="2" customWidth="1"/>
    <col min="12811" max="12811" width="10.90625" style="2" customWidth="1"/>
    <col min="12812" max="12822" width="13.36328125" style="2" customWidth="1"/>
    <col min="12823" max="12823" width="13.90625" style="2" customWidth="1"/>
    <col min="12824" max="12824" width="16.453125" style="2" customWidth="1"/>
    <col min="12825" max="13059" width="8.90625" style="2"/>
    <col min="13060" max="13060" width="9.90625" style="2" customWidth="1"/>
    <col min="13061" max="13062" width="5.08984375" style="2" customWidth="1"/>
    <col min="13063" max="13063" width="9.6328125" style="2" customWidth="1"/>
    <col min="13064" max="13065" width="11.90625" style="2" customWidth="1"/>
    <col min="13066" max="13066" width="15.36328125" style="2" customWidth="1"/>
    <col min="13067" max="13067" width="10.90625" style="2" customWidth="1"/>
    <col min="13068" max="13078" width="13.36328125" style="2" customWidth="1"/>
    <col min="13079" max="13079" width="13.90625" style="2" customWidth="1"/>
    <col min="13080" max="13080" width="16.453125" style="2" customWidth="1"/>
    <col min="13081" max="13315" width="8.90625" style="2"/>
    <col min="13316" max="13316" width="9.90625" style="2" customWidth="1"/>
    <col min="13317" max="13318" width="5.08984375" style="2" customWidth="1"/>
    <col min="13319" max="13319" width="9.6328125" style="2" customWidth="1"/>
    <col min="13320" max="13321" width="11.90625" style="2" customWidth="1"/>
    <col min="13322" max="13322" width="15.36328125" style="2" customWidth="1"/>
    <col min="13323" max="13323" width="10.90625" style="2" customWidth="1"/>
    <col min="13324" max="13334" width="13.36328125" style="2" customWidth="1"/>
    <col min="13335" max="13335" width="13.90625" style="2" customWidth="1"/>
    <col min="13336" max="13336" width="16.453125" style="2" customWidth="1"/>
    <col min="13337" max="13571" width="8.90625" style="2"/>
    <col min="13572" max="13572" width="9.90625" style="2" customWidth="1"/>
    <col min="13573" max="13574" width="5.08984375" style="2" customWidth="1"/>
    <col min="13575" max="13575" width="9.6328125" style="2" customWidth="1"/>
    <col min="13576" max="13577" width="11.90625" style="2" customWidth="1"/>
    <col min="13578" max="13578" width="15.36328125" style="2" customWidth="1"/>
    <col min="13579" max="13579" width="10.90625" style="2" customWidth="1"/>
    <col min="13580" max="13590" width="13.36328125" style="2" customWidth="1"/>
    <col min="13591" max="13591" width="13.90625" style="2" customWidth="1"/>
    <col min="13592" max="13592" width="16.453125" style="2" customWidth="1"/>
    <col min="13593" max="13827" width="8.90625" style="2"/>
    <col min="13828" max="13828" width="9.90625" style="2" customWidth="1"/>
    <col min="13829" max="13830" width="5.08984375" style="2" customWidth="1"/>
    <col min="13831" max="13831" width="9.6328125" style="2" customWidth="1"/>
    <col min="13832" max="13833" width="11.90625" style="2" customWidth="1"/>
    <col min="13834" max="13834" width="15.36328125" style="2" customWidth="1"/>
    <col min="13835" max="13835" width="10.90625" style="2" customWidth="1"/>
    <col min="13836" max="13846" width="13.36328125" style="2" customWidth="1"/>
    <col min="13847" max="13847" width="13.90625" style="2" customWidth="1"/>
    <col min="13848" max="13848" width="16.453125" style="2" customWidth="1"/>
    <col min="13849" max="14083" width="8.90625" style="2"/>
    <col min="14084" max="14084" width="9.90625" style="2" customWidth="1"/>
    <col min="14085" max="14086" width="5.08984375" style="2" customWidth="1"/>
    <col min="14087" max="14087" width="9.6328125" style="2" customWidth="1"/>
    <col min="14088" max="14089" width="11.90625" style="2" customWidth="1"/>
    <col min="14090" max="14090" width="15.36328125" style="2" customWidth="1"/>
    <col min="14091" max="14091" width="10.90625" style="2" customWidth="1"/>
    <col min="14092" max="14102" width="13.36328125" style="2" customWidth="1"/>
    <col min="14103" max="14103" width="13.90625" style="2" customWidth="1"/>
    <col min="14104" max="14104" width="16.453125" style="2" customWidth="1"/>
    <col min="14105" max="14339" width="8.90625" style="2"/>
    <col min="14340" max="14340" width="9.90625" style="2" customWidth="1"/>
    <col min="14341" max="14342" width="5.08984375" style="2" customWidth="1"/>
    <col min="14343" max="14343" width="9.6328125" style="2" customWidth="1"/>
    <col min="14344" max="14345" width="11.90625" style="2" customWidth="1"/>
    <col min="14346" max="14346" width="15.36328125" style="2" customWidth="1"/>
    <col min="14347" max="14347" width="10.90625" style="2" customWidth="1"/>
    <col min="14348" max="14358" width="13.36328125" style="2" customWidth="1"/>
    <col min="14359" max="14359" width="13.90625" style="2" customWidth="1"/>
    <col min="14360" max="14360" width="16.453125" style="2" customWidth="1"/>
    <col min="14361" max="14595" width="8.90625" style="2"/>
    <col min="14596" max="14596" width="9.90625" style="2" customWidth="1"/>
    <col min="14597" max="14598" width="5.08984375" style="2" customWidth="1"/>
    <col min="14599" max="14599" width="9.6328125" style="2" customWidth="1"/>
    <col min="14600" max="14601" width="11.90625" style="2" customWidth="1"/>
    <col min="14602" max="14602" width="15.36328125" style="2" customWidth="1"/>
    <col min="14603" max="14603" width="10.90625" style="2" customWidth="1"/>
    <col min="14604" max="14614" width="13.36328125" style="2" customWidth="1"/>
    <col min="14615" max="14615" width="13.90625" style="2" customWidth="1"/>
    <col min="14616" max="14616" width="16.453125" style="2" customWidth="1"/>
    <col min="14617" max="14851" width="8.90625" style="2"/>
    <col min="14852" max="14852" width="9.90625" style="2" customWidth="1"/>
    <col min="14853" max="14854" width="5.08984375" style="2" customWidth="1"/>
    <col min="14855" max="14855" width="9.6328125" style="2" customWidth="1"/>
    <col min="14856" max="14857" width="11.90625" style="2" customWidth="1"/>
    <col min="14858" max="14858" width="15.36328125" style="2" customWidth="1"/>
    <col min="14859" max="14859" width="10.90625" style="2" customWidth="1"/>
    <col min="14860" max="14870" width="13.36328125" style="2" customWidth="1"/>
    <col min="14871" max="14871" width="13.90625" style="2" customWidth="1"/>
    <col min="14872" max="14872" width="16.453125" style="2" customWidth="1"/>
    <col min="14873" max="15107" width="8.90625" style="2"/>
    <col min="15108" max="15108" width="9.90625" style="2" customWidth="1"/>
    <col min="15109" max="15110" width="5.08984375" style="2" customWidth="1"/>
    <col min="15111" max="15111" width="9.6328125" style="2" customWidth="1"/>
    <col min="15112" max="15113" width="11.90625" style="2" customWidth="1"/>
    <col min="15114" max="15114" width="15.36328125" style="2" customWidth="1"/>
    <col min="15115" max="15115" width="10.90625" style="2" customWidth="1"/>
    <col min="15116" max="15126" width="13.36328125" style="2" customWidth="1"/>
    <col min="15127" max="15127" width="13.90625" style="2" customWidth="1"/>
    <col min="15128" max="15128" width="16.453125" style="2" customWidth="1"/>
    <col min="15129" max="15363" width="8.90625" style="2"/>
    <col min="15364" max="15364" width="9.90625" style="2" customWidth="1"/>
    <col min="15365" max="15366" width="5.08984375" style="2" customWidth="1"/>
    <col min="15367" max="15367" width="9.6328125" style="2" customWidth="1"/>
    <col min="15368" max="15369" width="11.90625" style="2" customWidth="1"/>
    <col min="15370" max="15370" width="15.36328125" style="2" customWidth="1"/>
    <col min="15371" max="15371" width="10.90625" style="2" customWidth="1"/>
    <col min="15372" max="15382" width="13.36328125" style="2" customWidth="1"/>
    <col min="15383" max="15383" width="13.90625" style="2" customWidth="1"/>
    <col min="15384" max="15384" width="16.453125" style="2" customWidth="1"/>
    <col min="15385" max="15619" width="8.90625" style="2"/>
    <col min="15620" max="15620" width="9.90625" style="2" customWidth="1"/>
    <col min="15621" max="15622" width="5.08984375" style="2" customWidth="1"/>
    <col min="15623" max="15623" width="9.6328125" style="2" customWidth="1"/>
    <col min="15624" max="15625" width="11.90625" style="2" customWidth="1"/>
    <col min="15626" max="15626" width="15.36328125" style="2" customWidth="1"/>
    <col min="15627" max="15627" width="10.90625" style="2" customWidth="1"/>
    <col min="15628" max="15638" width="13.36328125" style="2" customWidth="1"/>
    <col min="15639" max="15639" width="13.90625" style="2" customWidth="1"/>
    <col min="15640" max="15640" width="16.453125" style="2" customWidth="1"/>
    <col min="15641" max="15875" width="8.90625" style="2"/>
    <col min="15876" max="15876" width="9.90625" style="2" customWidth="1"/>
    <col min="15877" max="15878" width="5.08984375" style="2" customWidth="1"/>
    <col min="15879" max="15879" width="9.6328125" style="2" customWidth="1"/>
    <col min="15880" max="15881" width="11.90625" style="2" customWidth="1"/>
    <col min="15882" max="15882" width="15.36328125" style="2" customWidth="1"/>
    <col min="15883" max="15883" width="10.90625" style="2" customWidth="1"/>
    <col min="15884" max="15894" width="13.36328125" style="2" customWidth="1"/>
    <col min="15895" max="15895" width="13.90625" style="2" customWidth="1"/>
    <col min="15896" max="15896" width="16.453125" style="2" customWidth="1"/>
    <col min="15897" max="16131" width="8.90625" style="2"/>
    <col min="16132" max="16132" width="9.90625" style="2" customWidth="1"/>
    <col min="16133" max="16134" width="5.08984375" style="2" customWidth="1"/>
    <col min="16135" max="16135" width="9.6328125" style="2" customWidth="1"/>
    <col min="16136" max="16137" width="11.90625" style="2" customWidth="1"/>
    <col min="16138" max="16138" width="15.36328125" style="2" customWidth="1"/>
    <col min="16139" max="16139" width="10.90625" style="2" customWidth="1"/>
    <col min="16140" max="16150" width="13.36328125" style="2" customWidth="1"/>
    <col min="16151" max="16151" width="13.90625" style="2" customWidth="1"/>
    <col min="16152" max="16152" width="16.453125" style="2" customWidth="1"/>
    <col min="16153" max="16384" width="8.90625" style="2"/>
  </cols>
  <sheetData>
    <row r="1" spans="1:26" s="1" customFormat="1" ht="36" x14ac:dyDescent="0.2">
      <c r="A1" s="1" t="s">
        <v>31</v>
      </c>
      <c r="B1" s="1" t="s">
        <v>32</v>
      </c>
      <c r="C1" s="19" t="s">
        <v>0</v>
      </c>
      <c r="D1" s="20" t="s">
        <v>1</v>
      </c>
      <c r="E1" s="20" t="s">
        <v>2</v>
      </c>
      <c r="F1" s="21" t="s">
        <v>3</v>
      </c>
      <c r="G1" s="21" t="s">
        <v>35</v>
      </c>
      <c r="H1" s="21" t="s">
        <v>4</v>
      </c>
      <c r="I1" s="22" t="s">
        <v>5</v>
      </c>
      <c r="J1" s="23" t="s">
        <v>6</v>
      </c>
      <c r="K1" s="6" t="s">
        <v>7</v>
      </c>
      <c r="L1" s="198" t="s">
        <v>8</v>
      </c>
      <c r="M1" s="13" t="s">
        <v>9</v>
      </c>
      <c r="N1" s="13" t="s">
        <v>10</v>
      </c>
      <c r="O1" s="13" t="s">
        <v>11</v>
      </c>
      <c r="P1" s="13" t="s">
        <v>12</v>
      </c>
      <c r="Q1" s="13" t="s">
        <v>13</v>
      </c>
      <c r="R1" s="13" t="s">
        <v>14</v>
      </c>
      <c r="S1" s="13" t="s">
        <v>15</v>
      </c>
      <c r="T1" s="13" t="s">
        <v>16</v>
      </c>
      <c r="U1" s="13" t="s">
        <v>17</v>
      </c>
      <c r="V1" s="13" t="s">
        <v>18</v>
      </c>
      <c r="W1" s="26" t="s">
        <v>19</v>
      </c>
      <c r="X1" s="27" t="s">
        <v>20</v>
      </c>
    </row>
    <row r="2" spans="1:26" s="1" customFormat="1" x14ac:dyDescent="0.2">
      <c r="A2" s="17"/>
      <c r="B2" s="15"/>
      <c r="C2" s="467" t="s">
        <v>62</v>
      </c>
      <c r="D2" s="468"/>
      <c r="E2" s="468"/>
      <c r="F2" s="468"/>
      <c r="G2" s="468"/>
      <c r="H2" s="468"/>
      <c r="I2" s="468"/>
      <c r="J2" s="469"/>
      <c r="K2" s="28" t="s">
        <v>21</v>
      </c>
      <c r="L2" s="227">
        <f>L54</f>
        <v>4344000</v>
      </c>
      <c r="M2" s="228">
        <f t="shared" ref="M2:W3" si="0">M54</f>
        <v>1758500</v>
      </c>
      <c r="N2" s="228">
        <f t="shared" si="0"/>
        <v>3990000</v>
      </c>
      <c r="O2" s="228">
        <f t="shared" si="0"/>
        <v>0</v>
      </c>
      <c r="P2" s="228">
        <f t="shared" si="0"/>
        <v>9612750</v>
      </c>
      <c r="Q2" s="228">
        <f t="shared" si="0"/>
        <v>3673250</v>
      </c>
      <c r="R2" s="228">
        <f t="shared" si="0"/>
        <v>866250</v>
      </c>
      <c r="S2" s="228">
        <f t="shared" si="0"/>
        <v>0</v>
      </c>
      <c r="T2" s="228">
        <f t="shared" si="0"/>
        <v>8253000</v>
      </c>
      <c r="U2" s="228">
        <f t="shared" si="0"/>
        <v>27425364</v>
      </c>
      <c r="V2" s="228">
        <f t="shared" si="0"/>
        <v>2604000</v>
      </c>
      <c r="W2" s="29">
        <f t="shared" si="0"/>
        <v>15758000</v>
      </c>
      <c r="X2" s="30">
        <f t="shared" ref="X2:X9" si="1">SUM(L2:W2)</f>
        <v>78285114</v>
      </c>
      <c r="Z2" s="9"/>
    </row>
    <row r="3" spans="1:26" s="1" customFormat="1" x14ac:dyDescent="0.2">
      <c r="A3" s="17"/>
      <c r="B3" s="15"/>
      <c r="C3" s="470"/>
      <c r="D3" s="471"/>
      <c r="E3" s="471"/>
      <c r="F3" s="471"/>
      <c r="G3" s="471"/>
      <c r="H3" s="471"/>
      <c r="I3" s="471"/>
      <c r="J3" s="472"/>
      <c r="K3" s="31" t="s">
        <v>22</v>
      </c>
      <c r="L3" s="201">
        <f>L55</f>
        <v>4000000</v>
      </c>
      <c r="M3" s="202">
        <f t="shared" si="0"/>
        <v>1650000</v>
      </c>
      <c r="N3" s="202">
        <f t="shared" si="0"/>
        <v>3800000</v>
      </c>
      <c r="O3" s="202">
        <f t="shared" si="0"/>
        <v>0</v>
      </c>
      <c r="P3" s="202">
        <f t="shared" si="0"/>
        <v>9155000</v>
      </c>
      <c r="Q3" s="202">
        <f t="shared" si="0"/>
        <v>3445000</v>
      </c>
      <c r="R3" s="202">
        <f t="shared" si="0"/>
        <v>825000</v>
      </c>
      <c r="S3" s="202">
        <f t="shared" si="0"/>
        <v>0</v>
      </c>
      <c r="T3" s="202">
        <f t="shared" si="0"/>
        <v>7860000</v>
      </c>
      <c r="U3" s="202">
        <f t="shared" si="0"/>
        <v>25979661</v>
      </c>
      <c r="V3" s="202">
        <f t="shared" si="0"/>
        <v>2250000</v>
      </c>
      <c r="W3" s="32">
        <f t="shared" si="0"/>
        <v>14900000</v>
      </c>
      <c r="X3" s="33">
        <f t="shared" si="1"/>
        <v>73864661</v>
      </c>
      <c r="Z3" s="9"/>
    </row>
    <row r="4" spans="1:26" s="1" customFormat="1" ht="12.5" thickBot="1" x14ac:dyDescent="0.25">
      <c r="A4" s="17"/>
      <c r="B4" s="15"/>
      <c r="C4" s="502"/>
      <c r="D4" s="503"/>
      <c r="E4" s="503"/>
      <c r="F4" s="503"/>
      <c r="G4" s="503"/>
      <c r="H4" s="503"/>
      <c r="I4" s="503"/>
      <c r="J4" s="504"/>
      <c r="K4" s="34" t="s">
        <v>23</v>
      </c>
      <c r="L4" s="204">
        <f t="shared" ref="L4:W4" si="2">L2-L3</f>
        <v>344000</v>
      </c>
      <c r="M4" s="205">
        <f t="shared" si="2"/>
        <v>108500</v>
      </c>
      <c r="N4" s="205">
        <f t="shared" si="2"/>
        <v>190000</v>
      </c>
      <c r="O4" s="205">
        <f t="shared" si="2"/>
        <v>0</v>
      </c>
      <c r="P4" s="205">
        <f t="shared" si="2"/>
        <v>457750</v>
      </c>
      <c r="Q4" s="205">
        <f t="shared" si="2"/>
        <v>228250</v>
      </c>
      <c r="R4" s="205">
        <f t="shared" si="2"/>
        <v>41250</v>
      </c>
      <c r="S4" s="205">
        <f t="shared" si="2"/>
        <v>0</v>
      </c>
      <c r="T4" s="205">
        <f t="shared" si="2"/>
        <v>393000</v>
      </c>
      <c r="U4" s="205">
        <f t="shared" si="2"/>
        <v>1445703</v>
      </c>
      <c r="V4" s="205">
        <f t="shared" si="2"/>
        <v>354000</v>
      </c>
      <c r="W4" s="35">
        <f t="shared" si="2"/>
        <v>858000</v>
      </c>
      <c r="X4" s="36">
        <f t="shared" si="1"/>
        <v>4420453</v>
      </c>
      <c r="Z4" s="9"/>
    </row>
    <row r="5" spans="1:26" ht="12.75" customHeight="1" thickTop="1" x14ac:dyDescent="0.2">
      <c r="A5" s="18"/>
      <c r="C5" s="425">
        <v>1</v>
      </c>
      <c r="D5" s="428" t="s">
        <v>64</v>
      </c>
      <c r="E5" s="428"/>
      <c r="F5" s="464"/>
      <c r="G5" s="428"/>
      <c r="H5" s="453"/>
      <c r="I5" s="434"/>
      <c r="J5" s="437"/>
      <c r="K5" s="37" t="s">
        <v>37</v>
      </c>
      <c r="L5" s="208">
        <f>SUM(L6:L8)</f>
        <v>4200000</v>
      </c>
      <c r="M5" s="208">
        <f t="shared" ref="M5:R5" si="3">SUM(M6:M8)</f>
        <v>1732500</v>
      </c>
      <c r="N5" s="208">
        <f t="shared" si="3"/>
        <v>3990000</v>
      </c>
      <c r="O5" s="208">
        <f t="shared" si="3"/>
        <v>0</v>
      </c>
      <c r="P5" s="208">
        <f t="shared" si="3"/>
        <v>9612750</v>
      </c>
      <c r="Q5" s="208">
        <f t="shared" si="3"/>
        <v>3617250</v>
      </c>
      <c r="R5" s="208">
        <f t="shared" si="3"/>
        <v>866250</v>
      </c>
      <c r="S5" s="208">
        <f t="shared" ref="S5" si="4">SUM(S6:S8)</f>
        <v>0</v>
      </c>
      <c r="T5" s="208">
        <f>SUM(T6:T8)</f>
        <v>8253000</v>
      </c>
      <c r="U5" s="208">
        <f t="shared" ref="U5:W5" si="5">SUM(U6:U8)</f>
        <v>0</v>
      </c>
      <c r="V5" s="208">
        <f t="shared" si="5"/>
        <v>0</v>
      </c>
      <c r="W5" s="38">
        <f t="shared" si="5"/>
        <v>10080000</v>
      </c>
      <c r="X5" s="39">
        <f>SUM(L5:W5)</f>
        <v>42351750</v>
      </c>
      <c r="Z5" s="40"/>
    </row>
    <row r="6" spans="1:26" x14ac:dyDescent="0.2">
      <c r="A6" s="41">
        <f t="shared" ref="A6:B17" si="6">+A5</f>
        <v>0</v>
      </c>
      <c r="B6" s="42">
        <f t="shared" si="6"/>
        <v>0</v>
      </c>
      <c r="C6" s="425"/>
      <c r="D6" s="428"/>
      <c r="E6" s="428"/>
      <c r="F6" s="464"/>
      <c r="G6" s="428"/>
      <c r="H6" s="453"/>
      <c r="I6" s="434"/>
      <c r="J6" s="437"/>
      <c r="K6" s="43" t="s">
        <v>65</v>
      </c>
      <c r="L6" s="212">
        <v>4200000</v>
      </c>
      <c r="M6" s="210">
        <v>1732500</v>
      </c>
      <c r="N6" s="210">
        <v>3990000</v>
      </c>
      <c r="O6" s="210">
        <v>0</v>
      </c>
      <c r="P6" s="210">
        <v>9612750</v>
      </c>
      <c r="Q6" s="210">
        <v>3617250</v>
      </c>
      <c r="R6" s="212">
        <f t="shared" ref="R6" si="7">R10*1.05</f>
        <v>866250</v>
      </c>
      <c r="S6" s="212">
        <v>0</v>
      </c>
      <c r="T6" s="212">
        <v>2268000</v>
      </c>
      <c r="U6" s="212">
        <v>0</v>
      </c>
      <c r="V6" s="212"/>
      <c r="W6" s="47">
        <f>W10*1.05</f>
        <v>10080000</v>
      </c>
      <c r="X6" s="45">
        <f>SUM(L6:W6)</f>
        <v>36366750</v>
      </c>
      <c r="Y6" s="46"/>
      <c r="Z6" s="40"/>
    </row>
    <row r="7" spans="1:26" x14ac:dyDescent="0.2">
      <c r="A7" s="41">
        <f t="shared" si="6"/>
        <v>0</v>
      </c>
      <c r="B7" s="42">
        <f t="shared" si="6"/>
        <v>0</v>
      </c>
      <c r="C7" s="425"/>
      <c r="D7" s="428"/>
      <c r="E7" s="428"/>
      <c r="F7" s="464"/>
      <c r="G7" s="428"/>
      <c r="H7" s="453"/>
      <c r="I7" s="434"/>
      <c r="J7" s="437"/>
      <c r="K7" s="43"/>
      <c r="L7" s="212"/>
      <c r="M7" s="212"/>
      <c r="N7" s="212"/>
      <c r="O7" s="367"/>
      <c r="P7" s="212"/>
      <c r="Q7" s="212"/>
      <c r="R7" s="212"/>
      <c r="S7" s="212"/>
      <c r="T7" s="212">
        <v>5985000</v>
      </c>
      <c r="U7" s="212"/>
      <c r="V7" s="367"/>
      <c r="W7" s="417"/>
      <c r="X7" s="45">
        <f t="shared" si="1"/>
        <v>5985000</v>
      </c>
      <c r="Y7" s="46"/>
      <c r="Z7" s="40"/>
    </row>
    <row r="8" spans="1:26" x14ac:dyDescent="0.2">
      <c r="A8" s="41"/>
      <c r="B8" s="42"/>
      <c r="C8" s="425"/>
      <c r="D8" s="428"/>
      <c r="E8" s="428"/>
      <c r="F8" s="464"/>
      <c r="G8" s="428"/>
      <c r="H8" s="453"/>
      <c r="I8" s="434"/>
      <c r="J8" s="437"/>
      <c r="K8" s="43"/>
      <c r="L8" s="212"/>
      <c r="M8" s="212"/>
      <c r="N8" s="212"/>
      <c r="O8" s="367"/>
      <c r="P8" s="212"/>
      <c r="Q8" s="212"/>
      <c r="R8" s="212"/>
      <c r="S8" s="212"/>
      <c r="T8" s="212"/>
      <c r="U8" s="212"/>
      <c r="V8" s="353"/>
      <c r="W8" s="97"/>
      <c r="X8" s="45">
        <f t="shared" si="1"/>
        <v>0</v>
      </c>
      <c r="Y8" s="46"/>
      <c r="Z8" s="40"/>
    </row>
    <row r="9" spans="1:26" x14ac:dyDescent="0.2">
      <c r="A9" s="41">
        <f>+A7</f>
        <v>0</v>
      </c>
      <c r="B9" s="42">
        <f>+B7</f>
        <v>0</v>
      </c>
      <c r="C9" s="425"/>
      <c r="D9" s="428"/>
      <c r="E9" s="428"/>
      <c r="F9" s="464"/>
      <c r="G9" s="428"/>
      <c r="H9" s="453"/>
      <c r="I9" s="434"/>
      <c r="J9" s="437"/>
      <c r="K9" s="49" t="s">
        <v>24</v>
      </c>
      <c r="L9" s="214">
        <f t="shared" ref="L9:Q9" si="8">SUM(L10:L16)</f>
        <v>4000000</v>
      </c>
      <c r="M9" s="214">
        <f t="shared" si="8"/>
        <v>1650000</v>
      </c>
      <c r="N9" s="214">
        <f t="shared" si="8"/>
        <v>3800000</v>
      </c>
      <c r="O9" s="368">
        <f t="shared" si="8"/>
        <v>0</v>
      </c>
      <c r="P9" s="214">
        <f t="shared" si="8"/>
        <v>9155000</v>
      </c>
      <c r="Q9" s="214">
        <f t="shared" si="8"/>
        <v>3445000</v>
      </c>
      <c r="R9" s="214">
        <f>SUM(R10:R16)</f>
        <v>825000</v>
      </c>
      <c r="S9" s="214">
        <f t="shared" ref="S9" si="9">SUM(S10:S16)</f>
        <v>0</v>
      </c>
      <c r="T9" s="214">
        <f>SUM(T10:T16)</f>
        <v>7860000</v>
      </c>
      <c r="U9" s="214">
        <f t="shared" ref="U9:W9" si="10">SUM(U10:U16)</f>
        <v>0</v>
      </c>
      <c r="V9" s="214">
        <f t="shared" si="10"/>
        <v>0</v>
      </c>
      <c r="W9" s="50">
        <f t="shared" si="10"/>
        <v>9600000</v>
      </c>
      <c r="X9" s="52">
        <f t="shared" si="1"/>
        <v>40335000</v>
      </c>
      <c r="Y9" s="46"/>
      <c r="Z9" s="40"/>
    </row>
    <row r="10" spans="1:26" x14ac:dyDescent="0.2">
      <c r="A10" s="41">
        <f t="shared" si="6"/>
        <v>0</v>
      </c>
      <c r="B10" s="42">
        <f t="shared" si="6"/>
        <v>0</v>
      </c>
      <c r="C10" s="425"/>
      <c r="D10" s="428"/>
      <c r="E10" s="428"/>
      <c r="F10" s="464"/>
      <c r="G10" s="428"/>
      <c r="H10" s="453"/>
      <c r="I10" s="434"/>
      <c r="J10" s="437"/>
      <c r="K10" s="53" t="s">
        <v>73</v>
      </c>
      <c r="L10" s="243">
        <v>4000000</v>
      </c>
      <c r="M10" s="243">
        <v>1650000</v>
      </c>
      <c r="N10" s="243">
        <v>3800000</v>
      </c>
      <c r="O10" s="243">
        <v>0</v>
      </c>
      <c r="P10" s="243">
        <f>3800000+2475000+2880000</f>
        <v>9155000</v>
      </c>
      <c r="Q10" s="243">
        <f>825000+1900000+720000</f>
        <v>3445000</v>
      </c>
      <c r="R10" s="210">
        <v>825000</v>
      </c>
      <c r="S10" s="210">
        <v>0</v>
      </c>
      <c r="T10" s="243">
        <v>2160000</v>
      </c>
      <c r="U10" s="210">
        <v>0</v>
      </c>
      <c r="V10" s="210"/>
      <c r="W10" s="54">
        <v>9600000</v>
      </c>
      <c r="X10" s="45">
        <f>SUM(L10:W10)</f>
        <v>34635000</v>
      </c>
      <c r="Y10" s="46"/>
      <c r="Z10" s="40"/>
    </row>
    <row r="11" spans="1:26" x14ac:dyDescent="0.2">
      <c r="A11" s="41">
        <f t="shared" si="6"/>
        <v>0</v>
      </c>
      <c r="B11" s="42">
        <f t="shared" si="6"/>
        <v>0</v>
      </c>
      <c r="C11" s="425"/>
      <c r="D11" s="428"/>
      <c r="E11" s="428"/>
      <c r="F11" s="464"/>
      <c r="G11" s="428"/>
      <c r="H11" s="453"/>
      <c r="I11" s="434"/>
      <c r="J11" s="437"/>
      <c r="K11" s="53"/>
      <c r="L11" s="246"/>
      <c r="M11" s="246"/>
      <c r="N11" s="246"/>
      <c r="O11" s="246"/>
      <c r="P11" s="246"/>
      <c r="Q11" s="243"/>
      <c r="R11" s="243"/>
      <c r="S11" s="243"/>
      <c r="T11" s="243">
        <v>5700000</v>
      </c>
      <c r="U11" s="243"/>
      <c r="V11" s="243"/>
      <c r="W11" s="417"/>
      <c r="X11" s="45">
        <f t="shared" ref="X11:X16" si="11">SUM(L11:W11)</f>
        <v>5700000</v>
      </c>
      <c r="Y11" s="46"/>
      <c r="Z11" s="40"/>
    </row>
    <row r="12" spans="1:26" x14ac:dyDescent="0.2">
      <c r="A12" s="41">
        <f t="shared" si="6"/>
        <v>0</v>
      </c>
      <c r="B12" s="42">
        <f t="shared" si="6"/>
        <v>0</v>
      </c>
      <c r="C12" s="425"/>
      <c r="D12" s="428"/>
      <c r="E12" s="428"/>
      <c r="F12" s="464"/>
      <c r="G12" s="428"/>
      <c r="H12" s="453"/>
      <c r="I12" s="434"/>
      <c r="J12" s="437"/>
      <c r="K12" s="53"/>
      <c r="L12" s="243"/>
      <c r="M12" s="243"/>
      <c r="N12" s="243"/>
      <c r="O12" s="243"/>
      <c r="P12" s="243"/>
      <c r="Q12" s="243"/>
      <c r="R12" s="243"/>
      <c r="S12" s="243"/>
      <c r="U12" s="243"/>
      <c r="V12" s="243"/>
      <c r="W12" s="54"/>
      <c r="X12" s="45">
        <f t="shared" si="11"/>
        <v>0</v>
      </c>
      <c r="Y12" s="46"/>
      <c r="Z12" s="40"/>
    </row>
    <row r="13" spans="1:26" x14ac:dyDescent="0.2">
      <c r="A13" s="41">
        <f t="shared" si="6"/>
        <v>0</v>
      </c>
      <c r="B13" s="42">
        <f t="shared" si="6"/>
        <v>0</v>
      </c>
      <c r="C13" s="425"/>
      <c r="D13" s="428"/>
      <c r="E13" s="428"/>
      <c r="F13" s="464"/>
      <c r="G13" s="428"/>
      <c r="H13" s="453"/>
      <c r="I13" s="434"/>
      <c r="J13" s="437"/>
      <c r="K13" s="71"/>
      <c r="L13" s="243"/>
      <c r="M13" s="243"/>
      <c r="N13" s="243"/>
      <c r="O13" s="243"/>
      <c r="P13" s="243"/>
      <c r="Q13" s="243"/>
      <c r="R13" s="243"/>
      <c r="S13" s="243"/>
      <c r="T13" s="243"/>
      <c r="U13" s="243"/>
      <c r="V13" s="243"/>
      <c r="W13" s="54"/>
      <c r="X13" s="45">
        <f t="shared" si="11"/>
        <v>0</v>
      </c>
      <c r="Y13" s="46"/>
      <c r="Z13" s="40"/>
    </row>
    <row r="14" spans="1:26" x14ac:dyDescent="0.2">
      <c r="A14" s="41">
        <f t="shared" si="6"/>
        <v>0</v>
      </c>
      <c r="B14" s="42">
        <f t="shared" si="6"/>
        <v>0</v>
      </c>
      <c r="C14" s="425"/>
      <c r="D14" s="428"/>
      <c r="E14" s="428"/>
      <c r="F14" s="464"/>
      <c r="G14" s="428"/>
      <c r="H14" s="453"/>
      <c r="I14" s="434"/>
      <c r="J14" s="437"/>
      <c r="K14" s="71"/>
      <c r="L14" s="243"/>
      <c r="M14" s="243"/>
      <c r="N14" s="243"/>
      <c r="O14" s="243"/>
      <c r="P14" s="243"/>
      <c r="Q14" s="243"/>
      <c r="R14" s="243"/>
      <c r="S14" s="243"/>
      <c r="T14" s="243"/>
      <c r="U14" s="243"/>
      <c r="V14" s="243"/>
      <c r="W14" s="54"/>
      <c r="X14" s="45">
        <f t="shared" si="11"/>
        <v>0</v>
      </c>
      <c r="Y14" s="46"/>
      <c r="Z14" s="40"/>
    </row>
    <row r="15" spans="1:26" x14ac:dyDescent="0.2">
      <c r="A15" s="41">
        <f t="shared" si="6"/>
        <v>0</v>
      </c>
      <c r="B15" s="42">
        <f t="shared" si="6"/>
        <v>0</v>
      </c>
      <c r="C15" s="425"/>
      <c r="D15" s="428"/>
      <c r="E15" s="428"/>
      <c r="F15" s="464"/>
      <c r="G15" s="428"/>
      <c r="H15" s="453"/>
      <c r="I15" s="434"/>
      <c r="J15" s="437"/>
      <c r="K15" s="71"/>
      <c r="L15" s="243"/>
      <c r="M15" s="243"/>
      <c r="N15" s="243"/>
      <c r="O15" s="243"/>
      <c r="P15" s="243"/>
      <c r="Q15" s="243"/>
      <c r="R15" s="243"/>
      <c r="S15" s="243"/>
      <c r="T15" s="243"/>
      <c r="U15" s="243"/>
      <c r="V15" s="243"/>
      <c r="W15" s="54"/>
      <c r="X15" s="45">
        <f t="shared" si="11"/>
        <v>0</v>
      </c>
      <c r="Y15" s="46"/>
      <c r="Z15" s="40"/>
    </row>
    <row r="16" spans="1:26" x14ac:dyDescent="0.2">
      <c r="A16" s="41">
        <f t="shared" si="6"/>
        <v>0</v>
      </c>
      <c r="B16" s="42">
        <f t="shared" si="6"/>
        <v>0</v>
      </c>
      <c r="C16" s="425"/>
      <c r="D16" s="428"/>
      <c r="E16" s="428"/>
      <c r="F16" s="464"/>
      <c r="G16" s="428"/>
      <c r="H16" s="453"/>
      <c r="I16" s="434"/>
      <c r="J16" s="437"/>
      <c r="K16" s="71"/>
      <c r="L16" s="216"/>
      <c r="M16" s="216"/>
      <c r="N16" s="216"/>
      <c r="O16" s="216"/>
      <c r="P16" s="216"/>
      <c r="Q16" s="216"/>
      <c r="R16" s="216"/>
      <c r="S16" s="216"/>
      <c r="T16" s="216"/>
      <c r="U16" s="216"/>
      <c r="V16" s="216"/>
      <c r="W16" s="81"/>
      <c r="X16" s="45">
        <f t="shared" si="11"/>
        <v>0</v>
      </c>
      <c r="Y16" s="46"/>
      <c r="Z16" s="40"/>
    </row>
    <row r="17" spans="1:26" x14ac:dyDescent="0.2">
      <c r="A17" s="41">
        <f t="shared" si="6"/>
        <v>0</v>
      </c>
      <c r="B17" s="42">
        <f t="shared" si="6"/>
        <v>0</v>
      </c>
      <c r="C17" s="426"/>
      <c r="D17" s="429"/>
      <c r="E17" s="429"/>
      <c r="F17" s="465"/>
      <c r="G17" s="429"/>
      <c r="H17" s="456"/>
      <c r="I17" s="435"/>
      <c r="J17" s="438"/>
      <c r="K17" s="78" t="s">
        <v>39</v>
      </c>
      <c r="L17" s="250">
        <f t="shared" ref="L17:W17" si="12">L5-L9</f>
        <v>200000</v>
      </c>
      <c r="M17" s="250">
        <f t="shared" si="12"/>
        <v>82500</v>
      </c>
      <c r="N17" s="250">
        <f t="shared" si="12"/>
        <v>190000</v>
      </c>
      <c r="O17" s="369">
        <f t="shared" si="12"/>
        <v>0</v>
      </c>
      <c r="P17" s="250">
        <f t="shared" si="12"/>
        <v>457750</v>
      </c>
      <c r="Q17" s="250">
        <f t="shared" si="12"/>
        <v>172250</v>
      </c>
      <c r="R17" s="250">
        <f t="shared" si="12"/>
        <v>41250</v>
      </c>
      <c r="S17" s="369">
        <f t="shared" si="12"/>
        <v>0</v>
      </c>
      <c r="T17" s="250">
        <f t="shared" si="12"/>
        <v>393000</v>
      </c>
      <c r="U17" s="250">
        <f t="shared" si="12"/>
        <v>0</v>
      </c>
      <c r="V17" s="250">
        <f t="shared" si="12"/>
        <v>0</v>
      </c>
      <c r="W17" s="79">
        <f t="shared" si="12"/>
        <v>480000</v>
      </c>
      <c r="X17" s="57">
        <f>X5-X9</f>
        <v>2016750</v>
      </c>
      <c r="Y17" s="46"/>
      <c r="Z17" s="40"/>
    </row>
    <row r="18" spans="1:26" ht="12.75" customHeight="1" x14ac:dyDescent="0.2">
      <c r="A18" s="18"/>
      <c r="B18" s="24"/>
      <c r="C18" s="424">
        <f t="shared" ref="C18" si="13">C5+1</f>
        <v>2</v>
      </c>
      <c r="D18" s="428" t="s">
        <v>64</v>
      </c>
      <c r="E18" s="428"/>
      <c r="F18" s="431"/>
      <c r="G18" s="428"/>
      <c r="H18" s="452"/>
      <c r="I18" s="433"/>
      <c r="J18" s="436"/>
      <c r="K18" s="58" t="s">
        <v>37</v>
      </c>
      <c r="L18" s="254">
        <f t="shared" ref="L18:W18" si="14">L19+L20</f>
        <v>144000</v>
      </c>
      <c r="M18" s="254">
        <f t="shared" si="14"/>
        <v>26000</v>
      </c>
      <c r="N18" s="254">
        <f t="shared" si="14"/>
        <v>0</v>
      </c>
      <c r="O18" s="370">
        <f t="shared" si="14"/>
        <v>0</v>
      </c>
      <c r="P18" s="254">
        <f t="shared" si="14"/>
        <v>0</v>
      </c>
      <c r="Q18" s="254">
        <f t="shared" si="14"/>
        <v>56000</v>
      </c>
      <c r="R18" s="254">
        <f t="shared" si="14"/>
        <v>0</v>
      </c>
      <c r="S18" s="370">
        <f t="shared" si="14"/>
        <v>0</v>
      </c>
      <c r="T18" s="254">
        <f t="shared" si="14"/>
        <v>0</v>
      </c>
      <c r="U18" s="254">
        <f t="shared" si="14"/>
        <v>146750</v>
      </c>
      <c r="V18" s="254">
        <f t="shared" si="14"/>
        <v>104000</v>
      </c>
      <c r="W18" s="60">
        <f t="shared" si="14"/>
        <v>78000</v>
      </c>
      <c r="X18" s="59">
        <f>SUM(L18:W18)</f>
        <v>554750</v>
      </c>
      <c r="Y18" s="46"/>
      <c r="Z18" s="40"/>
    </row>
    <row r="19" spans="1:26" x14ac:dyDescent="0.2">
      <c r="A19" s="41">
        <f t="shared" ref="A19:B29" si="15">+A18</f>
        <v>0</v>
      </c>
      <c r="B19" s="42">
        <f t="shared" si="15"/>
        <v>0</v>
      </c>
      <c r="C19" s="425"/>
      <c r="D19" s="428"/>
      <c r="E19" s="428"/>
      <c r="F19" s="431"/>
      <c r="G19" s="428"/>
      <c r="H19" s="453"/>
      <c r="I19" s="434"/>
      <c r="J19" s="437"/>
      <c r="K19" s="43" t="s">
        <v>65</v>
      </c>
      <c r="L19" s="210">
        <v>144000</v>
      </c>
      <c r="M19" s="210">
        <v>26000</v>
      </c>
      <c r="N19" s="210">
        <v>0</v>
      </c>
      <c r="O19" s="210">
        <v>0</v>
      </c>
      <c r="P19" s="210">
        <v>0</v>
      </c>
      <c r="Q19" s="210">
        <v>56000</v>
      </c>
      <c r="R19" s="210">
        <v>0</v>
      </c>
      <c r="S19" s="210">
        <v>0</v>
      </c>
      <c r="T19" s="210">
        <v>0</v>
      </c>
      <c r="U19" s="210">
        <v>146750</v>
      </c>
      <c r="V19" s="210">
        <v>104000</v>
      </c>
      <c r="W19" s="44">
        <v>78000</v>
      </c>
      <c r="X19" s="45">
        <f>SUM(L19:W19)</f>
        <v>554750</v>
      </c>
      <c r="Y19" s="46"/>
      <c r="Z19" s="40"/>
    </row>
    <row r="20" spans="1:26" x14ac:dyDescent="0.2">
      <c r="A20" s="41">
        <f t="shared" si="15"/>
        <v>0</v>
      </c>
      <c r="B20" s="42">
        <f t="shared" si="15"/>
        <v>0</v>
      </c>
      <c r="C20" s="425"/>
      <c r="D20" s="428"/>
      <c r="E20" s="428"/>
      <c r="F20" s="431"/>
      <c r="G20" s="428"/>
      <c r="H20" s="453"/>
      <c r="I20" s="434"/>
      <c r="J20" s="437"/>
      <c r="K20" s="43"/>
      <c r="L20" s="212"/>
      <c r="M20" s="212"/>
      <c r="N20" s="212"/>
      <c r="O20" s="367"/>
      <c r="P20" s="212"/>
      <c r="Q20" s="212"/>
      <c r="R20" s="212"/>
      <c r="S20" s="367"/>
      <c r="T20" s="212"/>
      <c r="U20" s="212"/>
      <c r="V20" s="212"/>
      <c r="W20" s="48"/>
      <c r="X20" s="45">
        <v>0</v>
      </c>
      <c r="Y20" s="46"/>
      <c r="Z20" s="40"/>
    </row>
    <row r="21" spans="1:26" x14ac:dyDescent="0.2">
      <c r="A21" s="41">
        <f t="shared" si="15"/>
        <v>0</v>
      </c>
      <c r="B21" s="42">
        <f t="shared" si="15"/>
        <v>0</v>
      </c>
      <c r="C21" s="425"/>
      <c r="D21" s="428"/>
      <c r="E21" s="428"/>
      <c r="F21" s="431"/>
      <c r="G21" s="428"/>
      <c r="H21" s="453"/>
      <c r="I21" s="434"/>
      <c r="J21" s="437"/>
      <c r="K21" s="49" t="s">
        <v>24</v>
      </c>
      <c r="L21" s="214">
        <f t="shared" ref="L21:W21" si="16">SUM(L22:L28)</f>
        <v>0</v>
      </c>
      <c r="M21" s="214">
        <f t="shared" si="16"/>
        <v>0</v>
      </c>
      <c r="N21" s="214">
        <f t="shared" si="16"/>
        <v>0</v>
      </c>
      <c r="O21" s="368">
        <f t="shared" si="16"/>
        <v>0</v>
      </c>
      <c r="P21" s="214">
        <f t="shared" si="16"/>
        <v>0</v>
      </c>
      <c r="Q21" s="214">
        <f t="shared" si="16"/>
        <v>0</v>
      </c>
      <c r="R21" s="214">
        <f t="shared" si="16"/>
        <v>0</v>
      </c>
      <c r="S21" s="368">
        <f t="shared" si="16"/>
        <v>0</v>
      </c>
      <c r="T21" s="214">
        <f t="shared" si="16"/>
        <v>0</v>
      </c>
      <c r="U21" s="214">
        <f t="shared" si="16"/>
        <v>0</v>
      </c>
      <c r="V21" s="214">
        <f t="shared" si="16"/>
        <v>0</v>
      </c>
      <c r="W21" s="51">
        <f t="shared" si="16"/>
        <v>0</v>
      </c>
      <c r="X21" s="52">
        <f>SUM(L21:W21)</f>
        <v>0</v>
      </c>
      <c r="Y21" s="46"/>
      <c r="Z21" s="40"/>
    </row>
    <row r="22" spans="1:26" x14ac:dyDescent="0.2">
      <c r="A22" s="41">
        <f t="shared" si="15"/>
        <v>0</v>
      </c>
      <c r="B22" s="42">
        <f t="shared" si="15"/>
        <v>0</v>
      </c>
      <c r="C22" s="425"/>
      <c r="D22" s="428"/>
      <c r="E22" s="428"/>
      <c r="F22" s="431"/>
      <c r="G22" s="428"/>
      <c r="H22" s="453"/>
      <c r="I22" s="434"/>
      <c r="J22" s="437"/>
      <c r="K22" s="53" t="s">
        <v>73</v>
      </c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44"/>
      <c r="X22" s="45">
        <f t="shared" ref="X22:X28" si="17">SUM(L22:W22)</f>
        <v>0</v>
      </c>
      <c r="Y22" s="46"/>
      <c r="Z22" s="40"/>
    </row>
    <row r="23" spans="1:26" x14ac:dyDescent="0.2">
      <c r="A23" s="41">
        <f t="shared" si="15"/>
        <v>0</v>
      </c>
      <c r="B23" s="42">
        <f t="shared" si="15"/>
        <v>0</v>
      </c>
      <c r="C23" s="425"/>
      <c r="D23" s="428"/>
      <c r="E23" s="428"/>
      <c r="F23" s="431"/>
      <c r="G23" s="428"/>
      <c r="H23" s="453"/>
      <c r="I23" s="434"/>
      <c r="J23" s="437"/>
      <c r="K23" s="53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44"/>
      <c r="X23" s="45">
        <f t="shared" si="17"/>
        <v>0</v>
      </c>
      <c r="Y23" s="46"/>
      <c r="Z23" s="40"/>
    </row>
    <row r="24" spans="1:26" x14ac:dyDescent="0.2">
      <c r="A24" s="41">
        <f t="shared" si="15"/>
        <v>0</v>
      </c>
      <c r="B24" s="42">
        <f t="shared" si="15"/>
        <v>0</v>
      </c>
      <c r="C24" s="425"/>
      <c r="D24" s="428"/>
      <c r="E24" s="428"/>
      <c r="F24" s="431"/>
      <c r="G24" s="428"/>
      <c r="H24" s="453"/>
      <c r="I24" s="434"/>
      <c r="J24" s="437"/>
      <c r="K24" s="53"/>
      <c r="L24" s="210"/>
      <c r="M24" s="210"/>
      <c r="N24" s="210"/>
      <c r="O24" s="210"/>
      <c r="P24" s="210"/>
      <c r="Q24" s="210"/>
      <c r="R24" s="210"/>
      <c r="S24" s="210"/>
      <c r="T24" s="210"/>
      <c r="U24" s="210"/>
      <c r="V24" s="210"/>
      <c r="W24" s="44"/>
      <c r="X24" s="45">
        <f t="shared" si="17"/>
        <v>0</v>
      </c>
      <c r="Y24" s="46"/>
      <c r="Z24" s="40"/>
    </row>
    <row r="25" spans="1:26" x14ac:dyDescent="0.2">
      <c r="A25" s="41">
        <f t="shared" si="15"/>
        <v>0</v>
      </c>
      <c r="B25" s="42">
        <f t="shared" si="15"/>
        <v>0</v>
      </c>
      <c r="C25" s="425"/>
      <c r="D25" s="428"/>
      <c r="E25" s="428"/>
      <c r="F25" s="431"/>
      <c r="G25" s="428"/>
      <c r="H25" s="453"/>
      <c r="I25" s="434"/>
      <c r="J25" s="437"/>
      <c r="K25" s="71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44"/>
      <c r="X25" s="45">
        <f t="shared" si="17"/>
        <v>0</v>
      </c>
      <c r="Y25" s="46"/>
      <c r="Z25" s="40"/>
    </row>
    <row r="26" spans="1:26" x14ac:dyDescent="0.2">
      <c r="A26" s="41">
        <f t="shared" si="15"/>
        <v>0</v>
      </c>
      <c r="B26" s="42">
        <f t="shared" si="15"/>
        <v>0</v>
      </c>
      <c r="C26" s="425"/>
      <c r="D26" s="428"/>
      <c r="E26" s="428"/>
      <c r="F26" s="431"/>
      <c r="G26" s="428"/>
      <c r="H26" s="453"/>
      <c r="I26" s="434"/>
      <c r="J26" s="437"/>
      <c r="K26" s="71"/>
      <c r="L26" s="210"/>
      <c r="M26" s="210"/>
      <c r="N26" s="210"/>
      <c r="O26" s="210"/>
      <c r="P26" s="210"/>
      <c r="Q26" s="210"/>
      <c r="R26" s="210"/>
      <c r="S26" s="210"/>
      <c r="T26" s="210"/>
      <c r="U26" s="210"/>
      <c r="V26" s="210"/>
      <c r="W26" s="44"/>
      <c r="X26" s="45">
        <f t="shared" si="17"/>
        <v>0</v>
      </c>
      <c r="Y26" s="46"/>
      <c r="Z26" s="40"/>
    </row>
    <row r="27" spans="1:26" x14ac:dyDescent="0.2">
      <c r="A27" s="41">
        <f t="shared" si="15"/>
        <v>0</v>
      </c>
      <c r="B27" s="42">
        <f t="shared" si="15"/>
        <v>0</v>
      </c>
      <c r="C27" s="425"/>
      <c r="D27" s="428"/>
      <c r="E27" s="428"/>
      <c r="F27" s="431"/>
      <c r="G27" s="428"/>
      <c r="H27" s="453"/>
      <c r="I27" s="434"/>
      <c r="J27" s="437"/>
      <c r="K27" s="71"/>
      <c r="L27" s="210"/>
      <c r="M27" s="210"/>
      <c r="N27" s="210"/>
      <c r="O27" s="210"/>
      <c r="P27" s="210"/>
      <c r="Q27" s="210"/>
      <c r="R27" s="210"/>
      <c r="S27" s="210"/>
      <c r="T27" s="210"/>
      <c r="U27" s="210"/>
      <c r="V27" s="210"/>
      <c r="W27" s="44"/>
      <c r="X27" s="45">
        <f t="shared" si="17"/>
        <v>0</v>
      </c>
      <c r="Y27" s="46"/>
      <c r="Z27" s="40"/>
    </row>
    <row r="28" spans="1:26" x14ac:dyDescent="0.2">
      <c r="A28" s="41">
        <f t="shared" si="15"/>
        <v>0</v>
      </c>
      <c r="B28" s="42">
        <f t="shared" si="15"/>
        <v>0</v>
      </c>
      <c r="C28" s="425"/>
      <c r="D28" s="428"/>
      <c r="E28" s="428"/>
      <c r="F28" s="431"/>
      <c r="G28" s="428"/>
      <c r="H28" s="453"/>
      <c r="I28" s="434"/>
      <c r="J28" s="437"/>
      <c r="K28" s="71"/>
      <c r="L28" s="210"/>
      <c r="M28" s="210"/>
      <c r="N28" s="210"/>
      <c r="O28" s="210"/>
      <c r="P28" s="210"/>
      <c r="Q28" s="210"/>
      <c r="R28" s="210"/>
      <c r="S28" s="210"/>
      <c r="T28" s="210"/>
      <c r="U28" s="210"/>
      <c r="V28" s="210"/>
      <c r="W28" s="44"/>
      <c r="X28" s="45">
        <f t="shared" si="17"/>
        <v>0</v>
      </c>
      <c r="Y28" s="46"/>
      <c r="Z28" s="40"/>
    </row>
    <row r="29" spans="1:26" x14ac:dyDescent="0.2">
      <c r="A29" s="41">
        <f t="shared" si="15"/>
        <v>0</v>
      </c>
      <c r="B29" s="42">
        <f t="shared" si="15"/>
        <v>0</v>
      </c>
      <c r="C29" s="426"/>
      <c r="D29" s="429"/>
      <c r="E29" s="429"/>
      <c r="F29" s="432"/>
      <c r="G29" s="429"/>
      <c r="H29" s="456"/>
      <c r="I29" s="435"/>
      <c r="J29" s="438"/>
      <c r="K29" s="55" t="s">
        <v>39</v>
      </c>
      <c r="L29" s="258">
        <f t="shared" ref="L29:X29" si="18">L18-L21</f>
        <v>144000</v>
      </c>
      <c r="M29" s="258">
        <f t="shared" si="18"/>
        <v>26000</v>
      </c>
      <c r="N29" s="258">
        <f t="shared" si="18"/>
        <v>0</v>
      </c>
      <c r="O29" s="371">
        <f t="shared" si="18"/>
        <v>0</v>
      </c>
      <c r="P29" s="258">
        <f t="shared" si="18"/>
        <v>0</v>
      </c>
      <c r="Q29" s="258">
        <f t="shared" si="18"/>
        <v>56000</v>
      </c>
      <c r="R29" s="258">
        <f t="shared" si="18"/>
        <v>0</v>
      </c>
      <c r="S29" s="371">
        <f t="shared" si="18"/>
        <v>0</v>
      </c>
      <c r="T29" s="258">
        <f t="shared" si="18"/>
        <v>0</v>
      </c>
      <c r="U29" s="258">
        <f t="shared" si="18"/>
        <v>146750</v>
      </c>
      <c r="V29" s="258">
        <f t="shared" si="18"/>
        <v>104000</v>
      </c>
      <c r="W29" s="56">
        <f t="shared" si="18"/>
        <v>78000</v>
      </c>
      <c r="X29" s="57">
        <f t="shared" si="18"/>
        <v>554750</v>
      </c>
      <c r="Y29" s="46"/>
      <c r="Z29" s="40"/>
    </row>
    <row r="30" spans="1:26" ht="12.75" customHeight="1" x14ac:dyDescent="0.2">
      <c r="A30" s="18"/>
      <c r="B30" s="24"/>
      <c r="C30" s="424">
        <f t="shared" ref="C30" si="19">C18+1</f>
        <v>3</v>
      </c>
      <c r="D30" s="427"/>
      <c r="E30" s="427"/>
      <c r="F30" s="430"/>
      <c r="G30" s="427"/>
      <c r="H30" s="452"/>
      <c r="I30" s="433"/>
      <c r="J30" s="436"/>
      <c r="K30" s="93" t="s">
        <v>37</v>
      </c>
      <c r="L30" s="217">
        <f t="shared" ref="L30:V30" si="20">L31+L32</f>
        <v>0</v>
      </c>
      <c r="M30" s="217">
        <f t="shared" si="20"/>
        <v>0</v>
      </c>
      <c r="N30" s="217">
        <f t="shared" si="20"/>
        <v>0</v>
      </c>
      <c r="O30" s="372">
        <f t="shared" si="20"/>
        <v>0</v>
      </c>
      <c r="P30" s="217">
        <f t="shared" si="20"/>
        <v>0</v>
      </c>
      <c r="Q30" s="217">
        <f t="shared" si="20"/>
        <v>0</v>
      </c>
      <c r="R30" s="217">
        <f>R31+R32</f>
        <v>0</v>
      </c>
      <c r="S30" s="372">
        <f t="shared" si="20"/>
        <v>0</v>
      </c>
      <c r="T30" s="217">
        <f t="shared" si="20"/>
        <v>0</v>
      </c>
      <c r="U30" s="217">
        <f t="shared" si="20"/>
        <v>27278614</v>
      </c>
      <c r="V30" s="217">
        <f t="shared" si="20"/>
        <v>0</v>
      </c>
      <c r="W30" s="301">
        <f>W31+W32</f>
        <v>0</v>
      </c>
      <c r="X30" s="302">
        <f>SUM(L30:W30)</f>
        <v>27278614</v>
      </c>
      <c r="Y30" s="46"/>
      <c r="Z30" s="40"/>
    </row>
    <row r="31" spans="1:26" x14ac:dyDescent="0.2">
      <c r="A31" s="41">
        <f t="shared" ref="A31:B41" si="21">+A30</f>
        <v>0</v>
      </c>
      <c r="B31" s="42">
        <f t="shared" si="21"/>
        <v>0</v>
      </c>
      <c r="C31" s="425"/>
      <c r="D31" s="428"/>
      <c r="E31" s="428"/>
      <c r="F31" s="431"/>
      <c r="G31" s="428"/>
      <c r="H31" s="453"/>
      <c r="I31" s="434"/>
      <c r="J31" s="437"/>
      <c r="K31" s="43" t="s">
        <v>65</v>
      </c>
      <c r="L31" s="210"/>
      <c r="M31" s="210"/>
      <c r="N31" s="210"/>
      <c r="O31" s="210"/>
      <c r="P31" s="210"/>
      <c r="Q31" s="210"/>
      <c r="R31" s="210"/>
      <c r="S31" s="210"/>
      <c r="T31" s="210"/>
      <c r="U31" s="210">
        <v>27278614</v>
      </c>
      <c r="V31" s="210"/>
      <c r="W31" s="44"/>
      <c r="X31" s="45">
        <f>SUM(L31:W31)</f>
        <v>27278614</v>
      </c>
      <c r="Y31" s="46"/>
      <c r="Z31" s="40"/>
    </row>
    <row r="32" spans="1:26" x14ac:dyDescent="0.2">
      <c r="A32" s="41">
        <f t="shared" si="21"/>
        <v>0</v>
      </c>
      <c r="B32" s="42">
        <f t="shared" si="21"/>
        <v>0</v>
      </c>
      <c r="C32" s="425"/>
      <c r="D32" s="428"/>
      <c r="E32" s="428"/>
      <c r="F32" s="431"/>
      <c r="G32" s="428"/>
      <c r="H32" s="453"/>
      <c r="I32" s="434"/>
      <c r="J32" s="437"/>
      <c r="K32" s="43"/>
      <c r="L32" s="212"/>
      <c r="M32" s="212"/>
      <c r="N32" s="212"/>
      <c r="O32" s="367"/>
      <c r="P32" s="212"/>
      <c r="Q32" s="212"/>
      <c r="R32" s="212"/>
      <c r="S32" s="367"/>
      <c r="T32" s="212"/>
      <c r="U32" s="212"/>
      <c r="V32" s="212"/>
      <c r="W32" s="48"/>
      <c r="X32" s="45">
        <v>0</v>
      </c>
      <c r="Y32" s="46"/>
      <c r="Z32" s="40"/>
    </row>
    <row r="33" spans="1:26" x14ac:dyDescent="0.2">
      <c r="A33" s="41">
        <f t="shared" si="21"/>
        <v>0</v>
      </c>
      <c r="B33" s="42">
        <f t="shared" si="21"/>
        <v>0</v>
      </c>
      <c r="C33" s="425"/>
      <c r="D33" s="428"/>
      <c r="E33" s="428"/>
      <c r="F33" s="431"/>
      <c r="G33" s="428"/>
      <c r="H33" s="453"/>
      <c r="I33" s="434"/>
      <c r="J33" s="437"/>
      <c r="K33" s="49" t="s">
        <v>24</v>
      </c>
      <c r="L33" s="214">
        <f t="shared" ref="L33:V33" si="22">SUM(L34:L40)</f>
        <v>0</v>
      </c>
      <c r="M33" s="214">
        <f t="shared" si="22"/>
        <v>0</v>
      </c>
      <c r="N33" s="214">
        <f t="shared" si="22"/>
        <v>0</v>
      </c>
      <c r="O33" s="368">
        <f t="shared" si="22"/>
        <v>0</v>
      </c>
      <c r="P33" s="214">
        <f t="shared" si="22"/>
        <v>0</v>
      </c>
      <c r="Q33" s="214">
        <f t="shared" si="22"/>
        <v>0</v>
      </c>
      <c r="R33" s="214">
        <f>SUM(R34:R40)</f>
        <v>0</v>
      </c>
      <c r="S33" s="368">
        <f t="shared" si="22"/>
        <v>0</v>
      </c>
      <c r="T33" s="214">
        <f t="shared" si="22"/>
        <v>0</v>
      </c>
      <c r="U33" s="214">
        <f t="shared" si="22"/>
        <v>25979661</v>
      </c>
      <c r="V33" s="214">
        <f t="shared" si="22"/>
        <v>0</v>
      </c>
      <c r="W33" s="51">
        <f>SUM(W34:W40)</f>
        <v>0</v>
      </c>
      <c r="X33" s="52">
        <f>SUM(L33:W33)</f>
        <v>25979661</v>
      </c>
      <c r="Y33" s="46"/>
      <c r="Z33" s="40"/>
    </row>
    <row r="34" spans="1:26" x14ac:dyDescent="0.2">
      <c r="A34" s="41">
        <f t="shared" si="21"/>
        <v>0</v>
      </c>
      <c r="B34" s="42">
        <f t="shared" si="21"/>
        <v>0</v>
      </c>
      <c r="C34" s="425"/>
      <c r="D34" s="428"/>
      <c r="E34" s="428"/>
      <c r="F34" s="431"/>
      <c r="G34" s="428"/>
      <c r="H34" s="453"/>
      <c r="I34" s="434"/>
      <c r="J34" s="437"/>
      <c r="K34" s="53" t="s">
        <v>73</v>
      </c>
      <c r="L34" s="210"/>
      <c r="M34" s="210"/>
      <c r="N34" s="210"/>
      <c r="O34" s="210"/>
      <c r="P34" s="210"/>
      <c r="Q34" s="210"/>
      <c r="R34" s="210"/>
      <c r="S34" s="210"/>
      <c r="T34" s="210"/>
      <c r="U34" s="210">
        <v>25979661</v>
      </c>
      <c r="V34" s="210"/>
      <c r="W34" s="44"/>
      <c r="X34" s="45">
        <f t="shared" ref="X34:X40" si="23">SUM(L34:W34)</f>
        <v>25979661</v>
      </c>
      <c r="Y34" s="46"/>
      <c r="Z34" s="40"/>
    </row>
    <row r="35" spans="1:26" x14ac:dyDescent="0.2">
      <c r="A35" s="41">
        <f t="shared" si="21"/>
        <v>0</v>
      </c>
      <c r="B35" s="42">
        <f t="shared" si="21"/>
        <v>0</v>
      </c>
      <c r="C35" s="425"/>
      <c r="D35" s="428"/>
      <c r="E35" s="428"/>
      <c r="F35" s="431"/>
      <c r="G35" s="428"/>
      <c r="H35" s="453"/>
      <c r="I35" s="434"/>
      <c r="J35" s="437"/>
      <c r="K35" s="53"/>
      <c r="L35" s="210"/>
      <c r="M35" s="210"/>
      <c r="N35" s="210"/>
      <c r="O35" s="210"/>
      <c r="P35" s="210"/>
      <c r="Q35" s="210"/>
      <c r="R35" s="210"/>
      <c r="S35" s="210"/>
      <c r="T35" s="210"/>
      <c r="U35" s="210"/>
      <c r="V35" s="210"/>
      <c r="W35" s="44"/>
      <c r="X35" s="45">
        <f t="shared" si="23"/>
        <v>0</v>
      </c>
      <c r="Y35" s="46"/>
      <c r="Z35" s="40"/>
    </row>
    <row r="36" spans="1:26" x14ac:dyDescent="0.2">
      <c r="A36" s="41">
        <f t="shared" si="21"/>
        <v>0</v>
      </c>
      <c r="B36" s="42">
        <f t="shared" si="21"/>
        <v>0</v>
      </c>
      <c r="C36" s="425"/>
      <c r="D36" s="428"/>
      <c r="E36" s="428"/>
      <c r="F36" s="431"/>
      <c r="G36" s="428"/>
      <c r="H36" s="453"/>
      <c r="I36" s="434"/>
      <c r="J36" s="437"/>
      <c r="K36" s="53"/>
      <c r="L36" s="210"/>
      <c r="M36" s="210"/>
      <c r="N36" s="210"/>
      <c r="O36" s="210"/>
      <c r="P36" s="210"/>
      <c r="Q36" s="210"/>
      <c r="R36" s="210"/>
      <c r="S36" s="210"/>
      <c r="T36" s="210"/>
      <c r="U36" s="210"/>
      <c r="V36" s="210"/>
      <c r="W36" s="44"/>
      <c r="X36" s="45">
        <f t="shared" si="23"/>
        <v>0</v>
      </c>
      <c r="Y36" s="46"/>
      <c r="Z36" s="40"/>
    </row>
    <row r="37" spans="1:26" x14ac:dyDescent="0.2">
      <c r="A37" s="41">
        <f t="shared" si="21"/>
        <v>0</v>
      </c>
      <c r="B37" s="42">
        <f t="shared" si="21"/>
        <v>0</v>
      </c>
      <c r="C37" s="425"/>
      <c r="D37" s="428"/>
      <c r="E37" s="428"/>
      <c r="F37" s="431"/>
      <c r="G37" s="428"/>
      <c r="H37" s="453"/>
      <c r="I37" s="434"/>
      <c r="J37" s="437"/>
      <c r="K37" s="71"/>
      <c r="L37" s="210"/>
      <c r="M37" s="210"/>
      <c r="N37" s="210"/>
      <c r="O37" s="210"/>
      <c r="P37" s="210"/>
      <c r="Q37" s="210"/>
      <c r="R37" s="210"/>
      <c r="S37" s="210"/>
      <c r="T37" s="210"/>
      <c r="U37" s="210"/>
      <c r="V37" s="210"/>
      <c r="W37" s="44"/>
      <c r="X37" s="45">
        <f t="shared" si="23"/>
        <v>0</v>
      </c>
      <c r="Y37" s="46"/>
      <c r="Z37" s="40"/>
    </row>
    <row r="38" spans="1:26" x14ac:dyDescent="0.2">
      <c r="A38" s="41">
        <f t="shared" si="21"/>
        <v>0</v>
      </c>
      <c r="B38" s="42">
        <f t="shared" si="21"/>
        <v>0</v>
      </c>
      <c r="C38" s="425"/>
      <c r="D38" s="428"/>
      <c r="E38" s="428"/>
      <c r="F38" s="431"/>
      <c r="G38" s="428"/>
      <c r="H38" s="453"/>
      <c r="I38" s="434"/>
      <c r="J38" s="437"/>
      <c r="K38" s="71"/>
      <c r="L38" s="210"/>
      <c r="M38" s="210"/>
      <c r="N38" s="210"/>
      <c r="O38" s="210"/>
      <c r="P38" s="210"/>
      <c r="Q38" s="210"/>
      <c r="R38" s="210"/>
      <c r="S38" s="210"/>
      <c r="T38" s="210"/>
      <c r="U38" s="210"/>
      <c r="V38" s="210"/>
      <c r="W38" s="44"/>
      <c r="X38" s="45">
        <f t="shared" si="23"/>
        <v>0</v>
      </c>
      <c r="Y38" s="46"/>
      <c r="Z38" s="40"/>
    </row>
    <row r="39" spans="1:26" x14ac:dyDescent="0.2">
      <c r="A39" s="41">
        <f t="shared" si="21"/>
        <v>0</v>
      </c>
      <c r="B39" s="42">
        <f t="shared" si="21"/>
        <v>0</v>
      </c>
      <c r="C39" s="425"/>
      <c r="D39" s="428"/>
      <c r="E39" s="428"/>
      <c r="F39" s="431"/>
      <c r="G39" s="428"/>
      <c r="H39" s="453"/>
      <c r="I39" s="434"/>
      <c r="J39" s="437"/>
      <c r="K39" s="71"/>
      <c r="L39" s="210"/>
      <c r="M39" s="210"/>
      <c r="N39" s="210"/>
      <c r="O39" s="210"/>
      <c r="P39" s="210"/>
      <c r="Q39" s="210"/>
      <c r="R39" s="210"/>
      <c r="S39" s="210"/>
      <c r="T39" s="210"/>
      <c r="U39" s="210"/>
      <c r="V39" s="210"/>
      <c r="W39" s="44"/>
      <c r="X39" s="45">
        <f t="shared" si="23"/>
        <v>0</v>
      </c>
      <c r="Y39" s="46"/>
      <c r="Z39" s="40"/>
    </row>
    <row r="40" spans="1:26" x14ac:dyDescent="0.2">
      <c r="A40" s="41">
        <f t="shared" si="21"/>
        <v>0</v>
      </c>
      <c r="B40" s="42">
        <f t="shared" si="21"/>
        <v>0</v>
      </c>
      <c r="C40" s="425"/>
      <c r="D40" s="428"/>
      <c r="E40" s="428"/>
      <c r="F40" s="431"/>
      <c r="G40" s="428"/>
      <c r="H40" s="453"/>
      <c r="I40" s="434"/>
      <c r="J40" s="437"/>
      <c r="K40" s="71"/>
      <c r="L40" s="210"/>
      <c r="M40" s="210"/>
      <c r="N40" s="210"/>
      <c r="O40" s="210"/>
      <c r="P40" s="210"/>
      <c r="Q40" s="210"/>
      <c r="R40" s="210"/>
      <c r="S40" s="210"/>
      <c r="T40" s="210"/>
      <c r="U40" s="210"/>
      <c r="V40" s="210"/>
      <c r="W40" s="44"/>
      <c r="X40" s="45">
        <f t="shared" si="23"/>
        <v>0</v>
      </c>
      <c r="Y40" s="46"/>
      <c r="Z40" s="40"/>
    </row>
    <row r="41" spans="1:26" x14ac:dyDescent="0.2">
      <c r="A41" s="41">
        <f t="shared" si="21"/>
        <v>0</v>
      </c>
      <c r="B41" s="42">
        <f t="shared" si="21"/>
        <v>0</v>
      </c>
      <c r="C41" s="426"/>
      <c r="D41" s="429"/>
      <c r="E41" s="429"/>
      <c r="F41" s="432"/>
      <c r="G41" s="429"/>
      <c r="H41" s="456"/>
      <c r="I41" s="435"/>
      <c r="J41" s="438"/>
      <c r="K41" s="55" t="s">
        <v>39</v>
      </c>
      <c r="L41" s="258">
        <f t="shared" ref="L41:V41" si="24">L30-L33</f>
        <v>0</v>
      </c>
      <c r="M41" s="258">
        <f t="shared" si="24"/>
        <v>0</v>
      </c>
      <c r="N41" s="258">
        <f t="shared" si="24"/>
        <v>0</v>
      </c>
      <c r="O41" s="371">
        <f t="shared" si="24"/>
        <v>0</v>
      </c>
      <c r="P41" s="258">
        <f t="shared" si="24"/>
        <v>0</v>
      </c>
      <c r="Q41" s="258">
        <f t="shared" si="24"/>
        <v>0</v>
      </c>
      <c r="R41" s="258">
        <f>R30-R33</f>
        <v>0</v>
      </c>
      <c r="S41" s="371">
        <f t="shared" si="24"/>
        <v>0</v>
      </c>
      <c r="T41" s="258">
        <f t="shared" si="24"/>
        <v>0</v>
      </c>
      <c r="U41" s="258">
        <f t="shared" si="24"/>
        <v>1298953</v>
      </c>
      <c r="V41" s="258">
        <f t="shared" si="24"/>
        <v>0</v>
      </c>
      <c r="W41" s="56">
        <f>W30-W33</f>
        <v>0</v>
      </c>
      <c r="X41" s="57">
        <f>X30-X33</f>
        <v>1298953</v>
      </c>
      <c r="Y41" s="46"/>
      <c r="Z41" s="40"/>
    </row>
    <row r="42" spans="1:26" ht="12.75" customHeight="1" x14ac:dyDescent="0.2">
      <c r="A42" s="18"/>
      <c r="B42" s="24"/>
      <c r="C42" s="425">
        <f t="shared" ref="C42" si="25">C30+1</f>
        <v>4</v>
      </c>
      <c r="D42" s="428"/>
      <c r="E42" s="428"/>
      <c r="F42" s="431"/>
      <c r="G42" s="428"/>
      <c r="H42" s="453"/>
      <c r="I42" s="428"/>
      <c r="J42" s="437"/>
      <c r="K42" s="58" t="s">
        <v>37</v>
      </c>
      <c r="L42" s="254">
        <f t="shared" ref="L42:Q42" si="26">L43+L44</f>
        <v>0</v>
      </c>
      <c r="M42" s="254">
        <f t="shared" si="26"/>
        <v>0</v>
      </c>
      <c r="N42" s="254">
        <f t="shared" si="26"/>
        <v>0</v>
      </c>
      <c r="O42" s="370">
        <f t="shared" si="26"/>
        <v>0</v>
      </c>
      <c r="P42" s="254">
        <f t="shared" si="26"/>
        <v>0</v>
      </c>
      <c r="Q42" s="254">
        <f t="shared" si="26"/>
        <v>0</v>
      </c>
      <c r="R42" s="254">
        <f>R43+R44</f>
        <v>0</v>
      </c>
      <c r="S42" s="370">
        <f t="shared" ref="S42:V42" si="27">S43+S44</f>
        <v>0</v>
      </c>
      <c r="T42" s="254">
        <f t="shared" si="27"/>
        <v>0</v>
      </c>
      <c r="U42" s="254">
        <f t="shared" si="27"/>
        <v>0</v>
      </c>
      <c r="V42" s="254">
        <f t="shared" si="27"/>
        <v>2500000</v>
      </c>
      <c r="W42" s="60">
        <f>W43+W44</f>
        <v>5600000</v>
      </c>
      <c r="X42" s="59">
        <f>SUM(L42:W42)</f>
        <v>8100000</v>
      </c>
      <c r="Y42" s="46"/>
      <c r="Z42" s="40"/>
    </row>
    <row r="43" spans="1:26" x14ac:dyDescent="0.2">
      <c r="A43" s="41">
        <f t="shared" ref="A43:B43" si="28">+A42</f>
        <v>0</v>
      </c>
      <c r="B43" s="42">
        <f t="shared" si="28"/>
        <v>0</v>
      </c>
      <c r="C43" s="425"/>
      <c r="D43" s="428"/>
      <c r="E43" s="428"/>
      <c r="F43" s="431"/>
      <c r="G43" s="428"/>
      <c r="H43" s="453"/>
      <c r="I43" s="428"/>
      <c r="J43" s="437"/>
      <c r="K43" s="43" t="s">
        <v>65</v>
      </c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>
        <v>2500000</v>
      </c>
      <c r="W43" s="44">
        <v>2500000</v>
      </c>
      <c r="X43" s="45">
        <f>SUM(L43:W43)</f>
        <v>5000000</v>
      </c>
      <c r="Y43" s="46"/>
      <c r="Z43" s="40"/>
    </row>
    <row r="44" spans="1:26" x14ac:dyDescent="0.2">
      <c r="A44" s="41">
        <f t="shared" ref="A44:B44" si="29">+A43</f>
        <v>0</v>
      </c>
      <c r="B44" s="42">
        <f t="shared" si="29"/>
        <v>0</v>
      </c>
      <c r="C44" s="425"/>
      <c r="D44" s="428"/>
      <c r="E44" s="428"/>
      <c r="F44" s="431"/>
      <c r="G44" s="428"/>
      <c r="H44" s="453"/>
      <c r="I44" s="428"/>
      <c r="J44" s="437"/>
      <c r="K44" s="43"/>
      <c r="L44" s="212"/>
      <c r="M44" s="212"/>
      <c r="N44" s="212"/>
      <c r="O44" s="367"/>
      <c r="P44" s="212"/>
      <c r="Q44" s="212"/>
      <c r="R44" s="212"/>
      <c r="S44" s="367"/>
      <c r="T44" s="212"/>
      <c r="U44" s="212"/>
      <c r="V44" s="212"/>
      <c r="W44" s="47">
        <v>3100000</v>
      </c>
      <c r="X44" s="45">
        <f>SUM(L44:W44)</f>
        <v>3100000</v>
      </c>
      <c r="Y44" s="46"/>
      <c r="Z44" s="40"/>
    </row>
    <row r="45" spans="1:26" x14ac:dyDescent="0.2">
      <c r="A45" s="41">
        <f t="shared" ref="A45:B45" si="30">+A44</f>
        <v>0</v>
      </c>
      <c r="B45" s="42">
        <f t="shared" si="30"/>
        <v>0</v>
      </c>
      <c r="C45" s="425"/>
      <c r="D45" s="428"/>
      <c r="E45" s="428"/>
      <c r="F45" s="431"/>
      <c r="G45" s="428"/>
      <c r="H45" s="453"/>
      <c r="I45" s="428"/>
      <c r="J45" s="437"/>
      <c r="K45" s="49" t="s">
        <v>24</v>
      </c>
      <c r="L45" s="214">
        <f t="shared" ref="L45:Q45" si="31">SUM(L46:L52)</f>
        <v>0</v>
      </c>
      <c r="M45" s="214">
        <f t="shared" si="31"/>
        <v>0</v>
      </c>
      <c r="N45" s="214">
        <f t="shared" si="31"/>
        <v>0</v>
      </c>
      <c r="O45" s="368">
        <f t="shared" si="31"/>
        <v>0</v>
      </c>
      <c r="P45" s="214">
        <f t="shared" si="31"/>
        <v>0</v>
      </c>
      <c r="Q45" s="214">
        <f t="shared" si="31"/>
        <v>0</v>
      </c>
      <c r="R45" s="214">
        <f>SUM(R46:R52)</f>
        <v>0</v>
      </c>
      <c r="S45" s="368">
        <f t="shared" ref="S45:V45" si="32">SUM(S46:S52)</f>
        <v>0</v>
      </c>
      <c r="T45" s="214">
        <f t="shared" si="32"/>
        <v>0</v>
      </c>
      <c r="U45" s="214">
        <f t="shared" si="32"/>
        <v>0</v>
      </c>
      <c r="V45" s="214">
        <f t="shared" si="32"/>
        <v>2250000</v>
      </c>
      <c r="W45" s="51">
        <f>SUM(W46:W52)</f>
        <v>5300000</v>
      </c>
      <c r="X45" s="52">
        <f>SUM(L45:W45)</f>
        <v>7550000</v>
      </c>
      <c r="Y45" s="46"/>
      <c r="Z45" s="40"/>
    </row>
    <row r="46" spans="1:26" x14ac:dyDescent="0.2">
      <c r="A46" s="41">
        <f t="shared" ref="A46:B46" si="33">+A45</f>
        <v>0</v>
      </c>
      <c r="B46" s="42">
        <f t="shared" si="33"/>
        <v>0</v>
      </c>
      <c r="C46" s="425"/>
      <c r="D46" s="428"/>
      <c r="E46" s="428"/>
      <c r="F46" s="431"/>
      <c r="G46" s="428"/>
      <c r="H46" s="453"/>
      <c r="I46" s="428"/>
      <c r="J46" s="437"/>
      <c r="K46" s="53" t="s">
        <v>73</v>
      </c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>
        <f>V43*0.9</f>
        <v>2250000</v>
      </c>
      <c r="W46" s="44">
        <f>W43*0.9</f>
        <v>2250000</v>
      </c>
      <c r="X46" s="45">
        <f t="shared" ref="X46:X52" si="34">SUM(L46:W46)</f>
        <v>4500000</v>
      </c>
      <c r="Y46" s="46"/>
      <c r="Z46" s="40"/>
    </row>
    <row r="47" spans="1:26" x14ac:dyDescent="0.2">
      <c r="A47" s="41">
        <f t="shared" ref="A47:B47" si="35">+A46</f>
        <v>0</v>
      </c>
      <c r="B47" s="42">
        <f t="shared" si="35"/>
        <v>0</v>
      </c>
      <c r="C47" s="425"/>
      <c r="D47" s="428"/>
      <c r="E47" s="428"/>
      <c r="F47" s="431"/>
      <c r="G47" s="428"/>
      <c r="H47" s="453"/>
      <c r="I47" s="428"/>
      <c r="J47" s="437"/>
      <c r="K47" s="53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2"/>
      <c r="W47" s="47">
        <v>3050000</v>
      </c>
      <c r="X47" s="45">
        <f t="shared" si="34"/>
        <v>3050000</v>
      </c>
      <c r="Y47" s="46"/>
      <c r="Z47" s="40"/>
    </row>
    <row r="48" spans="1:26" x14ac:dyDescent="0.2">
      <c r="A48" s="41">
        <f t="shared" ref="A48:B48" si="36">+A47</f>
        <v>0</v>
      </c>
      <c r="B48" s="42">
        <f t="shared" si="36"/>
        <v>0</v>
      </c>
      <c r="C48" s="425"/>
      <c r="D48" s="428"/>
      <c r="E48" s="428"/>
      <c r="F48" s="431"/>
      <c r="G48" s="428"/>
      <c r="H48" s="453"/>
      <c r="I48" s="428"/>
      <c r="J48" s="437"/>
      <c r="K48" s="53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44"/>
      <c r="X48" s="45">
        <f t="shared" si="34"/>
        <v>0</v>
      </c>
      <c r="Y48" s="46"/>
      <c r="Z48" s="40"/>
    </row>
    <row r="49" spans="1:26" x14ac:dyDescent="0.2">
      <c r="A49" s="41">
        <f t="shared" ref="A49:B49" si="37">+A48</f>
        <v>0</v>
      </c>
      <c r="B49" s="42">
        <f t="shared" si="37"/>
        <v>0</v>
      </c>
      <c r="C49" s="425"/>
      <c r="D49" s="428"/>
      <c r="E49" s="428"/>
      <c r="F49" s="431"/>
      <c r="G49" s="428"/>
      <c r="H49" s="453"/>
      <c r="I49" s="428"/>
      <c r="J49" s="437"/>
      <c r="K49" s="71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44"/>
      <c r="X49" s="45">
        <f t="shared" si="34"/>
        <v>0</v>
      </c>
      <c r="Y49" s="46"/>
      <c r="Z49" s="40"/>
    </row>
    <row r="50" spans="1:26" x14ac:dyDescent="0.2">
      <c r="A50" s="41">
        <f t="shared" ref="A50:B50" si="38">+A49</f>
        <v>0</v>
      </c>
      <c r="B50" s="42">
        <f t="shared" si="38"/>
        <v>0</v>
      </c>
      <c r="C50" s="425"/>
      <c r="D50" s="428"/>
      <c r="E50" s="428"/>
      <c r="F50" s="431"/>
      <c r="G50" s="428"/>
      <c r="H50" s="453"/>
      <c r="I50" s="428"/>
      <c r="J50" s="437"/>
      <c r="K50" s="71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44"/>
      <c r="X50" s="45">
        <f t="shared" si="34"/>
        <v>0</v>
      </c>
      <c r="Y50" s="46"/>
      <c r="Z50" s="40"/>
    </row>
    <row r="51" spans="1:26" x14ac:dyDescent="0.2">
      <c r="A51" s="41">
        <f t="shared" ref="A51:B51" si="39">+A50</f>
        <v>0</v>
      </c>
      <c r="B51" s="42">
        <f t="shared" si="39"/>
        <v>0</v>
      </c>
      <c r="C51" s="425"/>
      <c r="D51" s="428"/>
      <c r="E51" s="428"/>
      <c r="F51" s="431"/>
      <c r="G51" s="428"/>
      <c r="H51" s="453"/>
      <c r="I51" s="428"/>
      <c r="J51" s="437"/>
      <c r="K51" s="71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44"/>
      <c r="X51" s="45">
        <f t="shared" si="34"/>
        <v>0</v>
      </c>
      <c r="Y51" s="46"/>
      <c r="Z51" s="40"/>
    </row>
    <row r="52" spans="1:26" x14ac:dyDescent="0.2">
      <c r="A52" s="41">
        <f t="shared" ref="A52:B52" si="40">+A51</f>
        <v>0</v>
      </c>
      <c r="B52" s="42">
        <f t="shared" si="40"/>
        <v>0</v>
      </c>
      <c r="C52" s="425"/>
      <c r="D52" s="428"/>
      <c r="E52" s="428"/>
      <c r="F52" s="431"/>
      <c r="G52" s="428"/>
      <c r="H52" s="453"/>
      <c r="I52" s="428"/>
      <c r="J52" s="437"/>
      <c r="K52" s="71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44"/>
      <c r="X52" s="45">
        <f t="shared" si="34"/>
        <v>0</v>
      </c>
      <c r="Y52" s="46"/>
      <c r="Z52" s="40"/>
    </row>
    <row r="53" spans="1:26" ht="12.5" thickBot="1" x14ac:dyDescent="0.25">
      <c r="A53" s="41">
        <f t="shared" ref="A53:B53" si="41">+A52</f>
        <v>0</v>
      </c>
      <c r="B53" s="42">
        <f t="shared" si="41"/>
        <v>0</v>
      </c>
      <c r="C53" s="459"/>
      <c r="D53" s="460"/>
      <c r="E53" s="460"/>
      <c r="F53" s="455"/>
      <c r="G53" s="460"/>
      <c r="H53" s="454"/>
      <c r="I53" s="460"/>
      <c r="J53" s="462"/>
      <c r="K53" s="303" t="s">
        <v>39</v>
      </c>
      <c r="L53" s="275">
        <f t="shared" ref="L53:Q53" si="42">L42-L45</f>
        <v>0</v>
      </c>
      <c r="M53" s="275">
        <f t="shared" si="42"/>
        <v>0</v>
      </c>
      <c r="N53" s="275">
        <f t="shared" si="42"/>
        <v>0</v>
      </c>
      <c r="O53" s="373">
        <f t="shared" si="42"/>
        <v>0</v>
      </c>
      <c r="P53" s="275">
        <f t="shared" si="42"/>
        <v>0</v>
      </c>
      <c r="Q53" s="275">
        <f t="shared" si="42"/>
        <v>0</v>
      </c>
      <c r="R53" s="275">
        <f>R42-R45</f>
        <v>0</v>
      </c>
      <c r="S53" s="373">
        <f t="shared" ref="S53:V53" si="43">S42-S45</f>
        <v>0</v>
      </c>
      <c r="T53" s="275">
        <f t="shared" si="43"/>
        <v>0</v>
      </c>
      <c r="U53" s="275">
        <f t="shared" si="43"/>
        <v>0</v>
      </c>
      <c r="V53" s="275">
        <f t="shared" si="43"/>
        <v>250000</v>
      </c>
      <c r="W53" s="304">
        <f>W42-W45</f>
        <v>300000</v>
      </c>
      <c r="X53" s="305">
        <f>X42-X45</f>
        <v>550000</v>
      </c>
      <c r="Y53" s="46"/>
      <c r="Z53" s="40"/>
    </row>
    <row r="54" spans="1:26" s="1" customFormat="1" ht="12.5" thickTop="1" x14ac:dyDescent="0.2">
      <c r="A54" s="17"/>
      <c r="B54" s="15"/>
      <c r="C54" s="496" t="str">
        <f>C2</f>
        <v>その他受託</v>
      </c>
      <c r="D54" s="497"/>
      <c r="E54" s="497"/>
      <c r="F54" s="497"/>
      <c r="G54" s="497"/>
      <c r="H54" s="497"/>
      <c r="I54" s="497"/>
      <c r="J54" s="498"/>
      <c r="K54" s="28" t="s">
        <v>21</v>
      </c>
      <c r="L54" s="390">
        <f>L5+L18+L30+L42</f>
        <v>4344000</v>
      </c>
      <c r="M54" s="415">
        <f t="shared" ref="M54:W54" si="44">M5+M18+M30+M42</f>
        <v>1758500</v>
      </c>
      <c r="N54" s="415">
        <f t="shared" si="44"/>
        <v>3990000</v>
      </c>
      <c r="O54" s="415">
        <f t="shared" si="44"/>
        <v>0</v>
      </c>
      <c r="P54" s="415">
        <f t="shared" si="44"/>
        <v>9612750</v>
      </c>
      <c r="Q54" s="415">
        <f t="shared" si="44"/>
        <v>3673250</v>
      </c>
      <c r="R54" s="415">
        <f t="shared" si="44"/>
        <v>866250</v>
      </c>
      <c r="S54" s="415">
        <f t="shared" si="44"/>
        <v>0</v>
      </c>
      <c r="T54" s="415">
        <f t="shared" si="44"/>
        <v>8253000</v>
      </c>
      <c r="U54" s="415">
        <f t="shared" si="44"/>
        <v>27425364</v>
      </c>
      <c r="V54" s="415">
        <f t="shared" si="44"/>
        <v>2604000</v>
      </c>
      <c r="W54" s="391">
        <f t="shared" si="44"/>
        <v>15758000</v>
      </c>
      <c r="X54" s="274">
        <f>SUM(L54:W54)</f>
        <v>78285114</v>
      </c>
      <c r="Z54" s="40"/>
    </row>
    <row r="55" spans="1:26" s="1" customFormat="1" x14ac:dyDescent="0.2">
      <c r="A55" s="17"/>
      <c r="B55" s="15"/>
      <c r="C55" s="496"/>
      <c r="D55" s="497"/>
      <c r="E55" s="497"/>
      <c r="F55" s="497"/>
      <c r="G55" s="497"/>
      <c r="H55" s="497"/>
      <c r="I55" s="497"/>
      <c r="J55" s="498"/>
      <c r="K55" s="31" t="s">
        <v>22</v>
      </c>
      <c r="L55" s="218">
        <f>L9+L21+L33+L45</f>
        <v>4000000</v>
      </c>
      <c r="M55" s="219">
        <f t="shared" ref="M55:W55" si="45">M9+M21+M33+M45</f>
        <v>1650000</v>
      </c>
      <c r="N55" s="219">
        <f t="shared" si="45"/>
        <v>3800000</v>
      </c>
      <c r="O55" s="219">
        <f t="shared" si="45"/>
        <v>0</v>
      </c>
      <c r="P55" s="219">
        <f t="shared" si="45"/>
        <v>9155000</v>
      </c>
      <c r="Q55" s="219">
        <f t="shared" si="45"/>
        <v>3445000</v>
      </c>
      <c r="R55" s="219">
        <f t="shared" si="45"/>
        <v>825000</v>
      </c>
      <c r="S55" s="219">
        <f t="shared" si="45"/>
        <v>0</v>
      </c>
      <c r="T55" s="219">
        <f t="shared" si="45"/>
        <v>7860000</v>
      </c>
      <c r="U55" s="219">
        <f t="shared" si="45"/>
        <v>25979661</v>
      </c>
      <c r="V55" s="219">
        <f t="shared" si="45"/>
        <v>2250000</v>
      </c>
      <c r="W55" s="392">
        <f t="shared" si="45"/>
        <v>14900000</v>
      </c>
      <c r="X55" s="62">
        <f>SUM(L55:W55)</f>
        <v>73864661</v>
      </c>
      <c r="Z55" s="40"/>
    </row>
    <row r="56" spans="1:26" s="1" customFormat="1" x14ac:dyDescent="0.2">
      <c r="A56" s="17"/>
      <c r="B56" s="15"/>
      <c r="C56" s="499"/>
      <c r="D56" s="500"/>
      <c r="E56" s="500"/>
      <c r="F56" s="500"/>
      <c r="G56" s="500"/>
      <c r="H56" s="500"/>
      <c r="I56" s="500"/>
      <c r="J56" s="501"/>
      <c r="K56" s="63" t="s">
        <v>23</v>
      </c>
      <c r="L56" s="221">
        <f>L54-L55</f>
        <v>344000</v>
      </c>
      <c r="M56" s="222">
        <f t="shared" ref="M56:W56" si="46">M54-M55</f>
        <v>108500</v>
      </c>
      <c r="N56" s="222">
        <f t="shared" si="46"/>
        <v>190000</v>
      </c>
      <c r="O56" s="222">
        <f t="shared" si="46"/>
        <v>0</v>
      </c>
      <c r="P56" s="222">
        <f t="shared" si="46"/>
        <v>457750</v>
      </c>
      <c r="Q56" s="222">
        <f t="shared" si="46"/>
        <v>228250</v>
      </c>
      <c r="R56" s="222">
        <f t="shared" si="46"/>
        <v>41250</v>
      </c>
      <c r="S56" s="222">
        <f t="shared" si="46"/>
        <v>0</v>
      </c>
      <c r="T56" s="222">
        <f t="shared" si="46"/>
        <v>393000</v>
      </c>
      <c r="U56" s="222">
        <f t="shared" si="46"/>
        <v>1445703</v>
      </c>
      <c r="V56" s="222">
        <f t="shared" si="46"/>
        <v>354000</v>
      </c>
      <c r="W56" s="64">
        <f t="shared" si="46"/>
        <v>858000</v>
      </c>
      <c r="X56" s="65">
        <f>SUM(L56:W56)</f>
        <v>4420453</v>
      </c>
      <c r="Z56" s="40"/>
    </row>
    <row r="57" spans="1:26" s="10" customFormat="1" ht="14.9" customHeight="1" x14ac:dyDescent="0.2">
      <c r="A57" s="17"/>
      <c r="B57" s="15"/>
      <c r="F57" s="1"/>
      <c r="K57" s="12" t="s">
        <v>40</v>
      </c>
      <c r="L57" s="458">
        <f>SUM(L54:N54)</f>
        <v>10092500</v>
      </c>
      <c r="M57" s="495"/>
      <c r="N57" s="495"/>
      <c r="O57" s="440">
        <f>SUM(O54:Q54)</f>
        <v>13286000</v>
      </c>
      <c r="P57" s="495"/>
      <c r="Q57" s="495"/>
      <c r="R57" s="440">
        <f>SUM(R54:T54)</f>
        <v>9119250</v>
      </c>
      <c r="S57" s="495"/>
      <c r="T57" s="495"/>
      <c r="U57" s="488">
        <f>SUM(U54:W54)</f>
        <v>45787364</v>
      </c>
      <c r="V57" s="489"/>
      <c r="W57" s="490"/>
      <c r="X57" s="66">
        <f>SUM(L57:W57)</f>
        <v>78285114</v>
      </c>
      <c r="Z57" s="40"/>
    </row>
    <row r="58" spans="1:26" s="10" customFormat="1" ht="14.9" customHeight="1" x14ac:dyDescent="0.2">
      <c r="A58" s="17"/>
      <c r="B58" s="15"/>
      <c r="F58" s="1"/>
      <c r="K58" s="11" t="s">
        <v>41</v>
      </c>
      <c r="L58" s="442">
        <f>SUM(L56:N56)</f>
        <v>642500</v>
      </c>
      <c r="M58" s="491"/>
      <c r="N58" s="491"/>
      <c r="O58" s="443">
        <f>SUM(O56:Q56)</f>
        <v>686000</v>
      </c>
      <c r="P58" s="491"/>
      <c r="Q58" s="491"/>
      <c r="R58" s="443">
        <f>SUM(R56:T56)</f>
        <v>434250</v>
      </c>
      <c r="S58" s="491"/>
      <c r="T58" s="491"/>
      <c r="U58" s="492">
        <f>SUM(U56:W56)</f>
        <v>2657703</v>
      </c>
      <c r="V58" s="493"/>
      <c r="W58" s="494"/>
      <c r="X58" s="67">
        <f>SUM(L58:W58)</f>
        <v>4420453</v>
      </c>
    </row>
    <row r="59" spans="1:26" x14ac:dyDescent="0.2">
      <c r="P59" s="5"/>
      <c r="Q59" s="5"/>
      <c r="R59" s="5"/>
      <c r="S59" s="5"/>
      <c r="T59" s="5"/>
      <c r="U59" s="5"/>
      <c r="V59" s="5"/>
      <c r="W59" s="2"/>
      <c r="X59" s="2"/>
    </row>
    <row r="60" spans="1:26" x14ac:dyDescent="0.2">
      <c r="P60" s="5"/>
      <c r="Q60" s="5"/>
      <c r="R60" s="5"/>
      <c r="S60" s="5"/>
      <c r="T60" s="5"/>
      <c r="U60" s="5"/>
      <c r="V60" s="5"/>
      <c r="W60" s="2"/>
      <c r="X60" s="2"/>
    </row>
    <row r="61" spans="1:26" x14ac:dyDescent="0.2">
      <c r="P61" s="5"/>
      <c r="Q61" s="5"/>
      <c r="R61" s="5"/>
      <c r="S61" s="5"/>
      <c r="T61" s="5"/>
      <c r="U61" s="5"/>
      <c r="V61" s="5"/>
      <c r="W61" s="2"/>
      <c r="X61" s="2"/>
    </row>
    <row r="62" spans="1:26" x14ac:dyDescent="0.2">
      <c r="P62" s="5"/>
      <c r="Q62" s="5"/>
      <c r="R62" s="5"/>
      <c r="S62" s="5"/>
      <c r="T62" s="5"/>
      <c r="U62" s="5"/>
      <c r="V62" s="5"/>
      <c r="W62" s="2"/>
      <c r="X62" s="2"/>
    </row>
    <row r="63" spans="1:26" x14ac:dyDescent="0.2">
      <c r="P63" s="5"/>
      <c r="Q63" s="5"/>
      <c r="R63" s="5"/>
      <c r="S63" s="5"/>
      <c r="T63" s="5"/>
      <c r="U63" s="5"/>
      <c r="V63" s="5"/>
      <c r="W63" s="2"/>
      <c r="X63" s="2"/>
    </row>
    <row r="64" spans="1:26" x14ac:dyDescent="0.2">
      <c r="P64" s="5"/>
      <c r="Q64" s="5"/>
      <c r="R64" s="5"/>
      <c r="S64" s="5"/>
      <c r="T64" s="5"/>
      <c r="U64" s="5"/>
      <c r="V64" s="5"/>
      <c r="W64" s="2"/>
      <c r="X64" s="2"/>
    </row>
    <row r="65" spans="16:24" x14ac:dyDescent="0.2">
      <c r="P65" s="5"/>
      <c r="Q65" s="5"/>
      <c r="R65" s="5"/>
      <c r="S65" s="5"/>
      <c r="T65" s="5"/>
      <c r="U65" s="5"/>
      <c r="V65" s="5"/>
      <c r="W65" s="2"/>
      <c r="X65" s="2"/>
    </row>
    <row r="66" spans="16:24" x14ac:dyDescent="0.2">
      <c r="P66" s="5"/>
      <c r="Q66" s="5"/>
      <c r="R66" s="5"/>
      <c r="S66" s="5"/>
      <c r="T66" s="5"/>
      <c r="U66" s="5"/>
      <c r="V66" s="5"/>
      <c r="W66" s="2"/>
      <c r="X66" s="2"/>
    </row>
    <row r="67" spans="16:24" x14ac:dyDescent="0.2">
      <c r="P67" s="5"/>
      <c r="Q67" s="5"/>
      <c r="R67" s="5"/>
      <c r="S67" s="5"/>
      <c r="T67" s="5"/>
      <c r="U67" s="5"/>
      <c r="V67" s="5"/>
      <c r="W67" s="2"/>
      <c r="X67" s="2"/>
    </row>
    <row r="68" spans="16:24" x14ac:dyDescent="0.2">
      <c r="P68" s="5"/>
      <c r="Q68" s="5"/>
      <c r="R68" s="5"/>
      <c r="S68" s="5"/>
      <c r="T68" s="5"/>
      <c r="U68" s="5"/>
      <c r="V68" s="5"/>
      <c r="W68" s="2"/>
      <c r="X68" s="2"/>
    </row>
    <row r="69" spans="16:24" x14ac:dyDescent="0.2">
      <c r="P69" s="5"/>
      <c r="Q69" s="5"/>
      <c r="R69" s="5"/>
      <c r="S69" s="5"/>
      <c r="T69" s="5"/>
      <c r="U69" s="5"/>
      <c r="V69" s="5"/>
      <c r="W69" s="2"/>
      <c r="X69" s="2"/>
    </row>
    <row r="70" spans="16:24" x14ac:dyDescent="0.2">
      <c r="P70" s="5"/>
      <c r="Q70" s="5"/>
      <c r="R70" s="5"/>
      <c r="S70" s="5"/>
      <c r="T70" s="5"/>
      <c r="U70" s="5"/>
      <c r="V70" s="5"/>
      <c r="W70" s="2"/>
      <c r="X70" s="2"/>
    </row>
    <row r="71" spans="16:24" x14ac:dyDescent="0.2">
      <c r="P71" s="5"/>
      <c r="Q71" s="5"/>
      <c r="R71" s="5"/>
      <c r="S71" s="5"/>
      <c r="T71" s="5"/>
      <c r="U71" s="5"/>
      <c r="V71" s="5"/>
      <c r="W71" s="2"/>
      <c r="X71" s="2"/>
    </row>
    <row r="72" spans="16:24" x14ac:dyDescent="0.2">
      <c r="P72" s="5"/>
      <c r="Q72" s="5"/>
      <c r="R72" s="5"/>
      <c r="S72" s="5"/>
      <c r="T72" s="5"/>
      <c r="U72" s="5"/>
      <c r="V72" s="5"/>
      <c r="W72" s="2"/>
      <c r="X72" s="2"/>
    </row>
    <row r="73" spans="16:24" x14ac:dyDescent="0.2">
      <c r="P73" s="5"/>
      <c r="Q73" s="5"/>
      <c r="R73" s="5"/>
      <c r="S73" s="5"/>
      <c r="T73" s="5"/>
      <c r="U73" s="5"/>
      <c r="V73" s="5"/>
      <c r="W73" s="2"/>
      <c r="X73" s="2"/>
    </row>
    <row r="74" spans="16:24" x14ac:dyDescent="0.2">
      <c r="P74" s="5"/>
      <c r="Q74" s="5"/>
      <c r="R74" s="5"/>
      <c r="S74" s="5"/>
      <c r="T74" s="5"/>
      <c r="U74" s="5"/>
      <c r="V74" s="5"/>
      <c r="W74" s="2"/>
      <c r="X74" s="2"/>
    </row>
    <row r="75" spans="16:24" x14ac:dyDescent="0.2">
      <c r="P75" s="5"/>
      <c r="Q75" s="5"/>
      <c r="R75" s="5"/>
      <c r="S75" s="5"/>
      <c r="T75" s="5"/>
      <c r="U75" s="5"/>
      <c r="V75" s="5"/>
      <c r="W75" s="2"/>
      <c r="X75" s="2"/>
    </row>
    <row r="76" spans="16:24" x14ac:dyDescent="0.2">
      <c r="P76" s="5"/>
      <c r="Q76" s="5"/>
      <c r="R76" s="5"/>
      <c r="S76" s="5"/>
      <c r="T76" s="5"/>
      <c r="U76" s="5"/>
      <c r="V76" s="5"/>
      <c r="W76" s="2"/>
      <c r="X76" s="2"/>
    </row>
    <row r="77" spans="16:24" x14ac:dyDescent="0.2">
      <c r="P77" s="5"/>
      <c r="Q77" s="5"/>
      <c r="R77" s="5"/>
      <c r="S77" s="5"/>
      <c r="T77" s="5"/>
      <c r="U77" s="5"/>
      <c r="V77" s="5"/>
      <c r="W77" s="2"/>
      <c r="X77" s="2"/>
    </row>
    <row r="78" spans="16:24" x14ac:dyDescent="0.2">
      <c r="P78" s="5"/>
      <c r="Q78" s="5"/>
      <c r="R78" s="5"/>
      <c r="S78" s="5"/>
      <c r="T78" s="5"/>
      <c r="U78" s="5"/>
      <c r="V78" s="5"/>
      <c r="W78" s="2"/>
      <c r="X78" s="2"/>
    </row>
    <row r="79" spans="16:24" x14ac:dyDescent="0.2">
      <c r="P79" s="5"/>
      <c r="Q79" s="5"/>
      <c r="R79" s="5"/>
      <c r="S79" s="5"/>
      <c r="T79" s="5"/>
      <c r="U79" s="5"/>
      <c r="V79" s="5"/>
      <c r="W79" s="2"/>
      <c r="X79" s="2"/>
    </row>
    <row r="80" spans="16:24" x14ac:dyDescent="0.2">
      <c r="P80" s="5"/>
      <c r="Q80" s="5"/>
      <c r="R80" s="5"/>
      <c r="S80" s="5"/>
      <c r="T80" s="5"/>
      <c r="U80" s="5"/>
      <c r="V80" s="5"/>
      <c r="W80" s="2"/>
      <c r="X80" s="2"/>
    </row>
    <row r="81" spans="16:24" x14ac:dyDescent="0.2">
      <c r="P81" s="5"/>
      <c r="Q81" s="5"/>
      <c r="R81" s="5"/>
      <c r="S81" s="5"/>
      <c r="T81" s="5"/>
      <c r="U81" s="5"/>
      <c r="V81" s="5"/>
      <c r="W81" s="2"/>
      <c r="X81" s="2"/>
    </row>
    <row r="82" spans="16:24" x14ac:dyDescent="0.2">
      <c r="P82" s="5"/>
      <c r="Q82" s="5"/>
      <c r="R82" s="5"/>
      <c r="S82" s="5"/>
      <c r="T82" s="5"/>
      <c r="U82" s="5"/>
      <c r="V82" s="5"/>
      <c r="W82" s="2"/>
      <c r="X82" s="2"/>
    </row>
    <row r="83" spans="16:24" x14ac:dyDescent="0.2">
      <c r="P83" s="5"/>
      <c r="Q83" s="5"/>
      <c r="R83" s="5"/>
      <c r="S83" s="5"/>
      <c r="T83" s="5"/>
      <c r="U83" s="5"/>
      <c r="V83" s="5"/>
      <c r="W83" s="2"/>
      <c r="X83" s="2"/>
    </row>
    <row r="84" spans="16:24" x14ac:dyDescent="0.2">
      <c r="P84" s="5"/>
      <c r="Q84" s="5"/>
      <c r="R84" s="5"/>
      <c r="S84" s="5"/>
      <c r="T84" s="5"/>
      <c r="U84" s="5"/>
      <c r="V84" s="5"/>
      <c r="W84" s="2"/>
      <c r="X84" s="2"/>
    </row>
    <row r="85" spans="16:24" x14ac:dyDescent="0.2">
      <c r="P85" s="5"/>
      <c r="Q85" s="5"/>
      <c r="R85" s="5"/>
      <c r="S85" s="5"/>
      <c r="T85" s="5"/>
      <c r="U85" s="5"/>
      <c r="V85" s="5"/>
      <c r="W85" s="2"/>
      <c r="X85" s="2"/>
    </row>
    <row r="86" spans="16:24" x14ac:dyDescent="0.2">
      <c r="P86" s="5"/>
      <c r="Q86" s="5"/>
      <c r="R86" s="5"/>
      <c r="S86" s="5"/>
      <c r="T86" s="5"/>
      <c r="U86" s="5"/>
      <c r="V86" s="5"/>
      <c r="W86" s="2"/>
      <c r="X86" s="2"/>
    </row>
    <row r="87" spans="16:24" x14ac:dyDescent="0.2">
      <c r="P87" s="5"/>
      <c r="Q87" s="5"/>
      <c r="R87" s="5"/>
      <c r="S87" s="5"/>
      <c r="T87" s="5"/>
      <c r="U87" s="5"/>
      <c r="V87" s="5"/>
      <c r="W87" s="2"/>
      <c r="X87" s="2"/>
    </row>
    <row r="88" spans="16:24" x14ac:dyDescent="0.2">
      <c r="P88" s="5"/>
      <c r="Q88" s="5"/>
      <c r="R88" s="5"/>
      <c r="S88" s="5"/>
      <c r="T88" s="5"/>
      <c r="U88" s="5"/>
      <c r="V88" s="5"/>
      <c r="W88" s="2"/>
      <c r="X88" s="2"/>
    </row>
    <row r="89" spans="16:24" x14ac:dyDescent="0.2">
      <c r="P89" s="5"/>
      <c r="Q89" s="5"/>
      <c r="R89" s="5"/>
      <c r="S89" s="5"/>
      <c r="T89" s="5"/>
      <c r="U89" s="5"/>
      <c r="V89" s="5"/>
      <c r="W89" s="2"/>
      <c r="X89" s="2"/>
    </row>
    <row r="90" spans="16:24" x14ac:dyDescent="0.2">
      <c r="P90" s="5"/>
      <c r="Q90" s="5"/>
      <c r="R90" s="5"/>
      <c r="S90" s="5"/>
      <c r="T90" s="5"/>
      <c r="U90" s="5"/>
      <c r="V90" s="5"/>
      <c r="W90" s="2"/>
      <c r="X90" s="2"/>
    </row>
    <row r="91" spans="16:24" x14ac:dyDescent="0.2">
      <c r="P91" s="5"/>
      <c r="Q91" s="5"/>
      <c r="R91" s="5"/>
      <c r="S91" s="5"/>
      <c r="T91" s="5"/>
      <c r="U91" s="5"/>
      <c r="V91" s="5"/>
      <c r="W91" s="2"/>
      <c r="X91" s="2"/>
    </row>
    <row r="92" spans="16:24" x14ac:dyDescent="0.2">
      <c r="P92" s="5"/>
      <c r="Q92" s="5"/>
      <c r="R92" s="5"/>
      <c r="S92" s="5"/>
      <c r="T92" s="5"/>
      <c r="U92" s="5"/>
      <c r="V92" s="5"/>
      <c r="W92" s="2"/>
      <c r="X92" s="2"/>
    </row>
    <row r="93" spans="16:24" x14ac:dyDescent="0.2">
      <c r="P93" s="5"/>
      <c r="Q93" s="5"/>
      <c r="R93" s="5"/>
      <c r="S93" s="5"/>
      <c r="T93" s="5"/>
      <c r="U93" s="5"/>
      <c r="V93" s="5"/>
      <c r="W93" s="2"/>
      <c r="X93" s="2"/>
    </row>
    <row r="94" spans="16:24" x14ac:dyDescent="0.2">
      <c r="P94" s="5"/>
      <c r="Q94" s="5"/>
      <c r="R94" s="5"/>
      <c r="S94" s="5"/>
      <c r="T94" s="5"/>
      <c r="U94" s="5"/>
      <c r="V94" s="5"/>
      <c r="W94" s="2"/>
      <c r="X94" s="2"/>
    </row>
    <row r="95" spans="16:24" x14ac:dyDescent="0.2">
      <c r="P95" s="5"/>
      <c r="Q95" s="5"/>
      <c r="R95" s="5"/>
      <c r="S95" s="5"/>
      <c r="T95" s="5"/>
      <c r="U95" s="5"/>
      <c r="V95" s="5"/>
      <c r="W95" s="2"/>
      <c r="X95" s="2"/>
    </row>
    <row r="96" spans="16:24" x14ac:dyDescent="0.2">
      <c r="P96" s="5"/>
      <c r="Q96" s="5"/>
      <c r="R96" s="5"/>
      <c r="S96" s="5"/>
      <c r="T96" s="5"/>
      <c r="U96" s="5"/>
      <c r="V96" s="5"/>
      <c r="W96" s="2"/>
      <c r="X96" s="2"/>
    </row>
    <row r="97" spans="16:24" x14ac:dyDescent="0.2">
      <c r="P97" s="5"/>
      <c r="Q97" s="5"/>
      <c r="R97" s="5"/>
      <c r="S97" s="5"/>
      <c r="T97" s="5"/>
      <c r="U97" s="5"/>
      <c r="V97" s="5"/>
      <c r="W97" s="2"/>
      <c r="X97" s="2"/>
    </row>
    <row r="98" spans="16:24" x14ac:dyDescent="0.2">
      <c r="P98" s="5"/>
      <c r="Q98" s="5"/>
      <c r="R98" s="5"/>
      <c r="S98" s="5"/>
      <c r="T98" s="5"/>
      <c r="U98" s="5"/>
      <c r="V98" s="5"/>
      <c r="W98" s="2"/>
      <c r="X98" s="2"/>
    </row>
    <row r="99" spans="16:24" x14ac:dyDescent="0.2">
      <c r="P99" s="5"/>
      <c r="Q99" s="5"/>
      <c r="R99" s="5"/>
      <c r="S99" s="5"/>
      <c r="T99" s="5"/>
      <c r="U99" s="5"/>
      <c r="V99" s="5"/>
      <c r="W99" s="2"/>
      <c r="X99" s="2"/>
    </row>
    <row r="100" spans="16:24" x14ac:dyDescent="0.2">
      <c r="P100" s="5"/>
      <c r="Q100" s="5"/>
      <c r="R100" s="5"/>
      <c r="S100" s="5"/>
      <c r="T100" s="5"/>
      <c r="U100" s="5"/>
      <c r="V100" s="5"/>
      <c r="W100" s="2"/>
      <c r="X100" s="2"/>
    </row>
    <row r="101" spans="16:24" x14ac:dyDescent="0.2">
      <c r="P101" s="5"/>
      <c r="Q101" s="5"/>
      <c r="R101" s="5"/>
      <c r="S101" s="5"/>
      <c r="T101" s="5"/>
      <c r="U101" s="5"/>
      <c r="V101" s="5"/>
      <c r="W101" s="2"/>
      <c r="X101" s="2"/>
    </row>
    <row r="102" spans="16:24" x14ac:dyDescent="0.2">
      <c r="P102" s="5"/>
      <c r="Q102" s="5"/>
      <c r="R102" s="5"/>
      <c r="S102" s="5"/>
      <c r="T102" s="5"/>
      <c r="U102" s="5"/>
      <c r="V102" s="5"/>
      <c r="W102" s="2"/>
      <c r="X102" s="2"/>
    </row>
    <row r="103" spans="16:24" x14ac:dyDescent="0.2">
      <c r="P103" s="5"/>
      <c r="Q103" s="5"/>
      <c r="R103" s="5"/>
      <c r="S103" s="5"/>
      <c r="T103" s="5"/>
      <c r="U103" s="5"/>
      <c r="V103" s="5"/>
      <c r="W103" s="2"/>
      <c r="X103" s="2"/>
    </row>
    <row r="104" spans="16:24" x14ac:dyDescent="0.2">
      <c r="P104" s="5"/>
      <c r="Q104" s="5"/>
      <c r="R104" s="5"/>
      <c r="S104" s="5"/>
      <c r="T104" s="5"/>
      <c r="U104" s="5"/>
      <c r="V104" s="5"/>
      <c r="W104" s="2"/>
      <c r="X104" s="2"/>
    </row>
    <row r="105" spans="16:24" x14ac:dyDescent="0.2">
      <c r="P105" s="5"/>
      <c r="Q105" s="5"/>
      <c r="R105" s="5"/>
      <c r="S105" s="5"/>
      <c r="T105" s="5"/>
      <c r="U105" s="5"/>
      <c r="V105" s="5"/>
      <c r="W105" s="2"/>
      <c r="X105" s="2"/>
    </row>
    <row r="106" spans="16:24" x14ac:dyDescent="0.2">
      <c r="P106" s="5"/>
      <c r="Q106" s="5"/>
      <c r="R106" s="5"/>
      <c r="S106" s="5"/>
      <c r="T106" s="5"/>
      <c r="U106" s="5"/>
      <c r="V106" s="5"/>
      <c r="W106" s="2"/>
      <c r="X106" s="2"/>
    </row>
    <row r="107" spans="16:24" x14ac:dyDescent="0.2">
      <c r="P107" s="5"/>
      <c r="Q107" s="5"/>
      <c r="R107" s="5"/>
      <c r="S107" s="5"/>
      <c r="T107" s="5"/>
      <c r="U107" s="5"/>
      <c r="V107" s="5"/>
      <c r="W107" s="2"/>
      <c r="X107" s="2"/>
    </row>
    <row r="108" spans="16:24" x14ac:dyDescent="0.2">
      <c r="P108" s="5"/>
      <c r="Q108" s="5"/>
      <c r="R108" s="5"/>
      <c r="S108" s="5"/>
      <c r="T108" s="5"/>
      <c r="U108" s="5"/>
      <c r="V108" s="5"/>
      <c r="W108" s="2"/>
      <c r="X108" s="2"/>
    </row>
    <row r="109" spans="16:24" x14ac:dyDescent="0.2">
      <c r="P109" s="5"/>
      <c r="Q109" s="5"/>
      <c r="R109" s="5"/>
      <c r="S109" s="5"/>
      <c r="T109" s="5"/>
      <c r="U109" s="5"/>
      <c r="V109" s="5"/>
      <c r="W109" s="2"/>
      <c r="X109" s="2"/>
    </row>
    <row r="110" spans="16:24" x14ac:dyDescent="0.2">
      <c r="P110" s="5"/>
      <c r="Q110" s="5"/>
      <c r="R110" s="5"/>
      <c r="S110" s="5"/>
      <c r="T110" s="5"/>
      <c r="U110" s="5"/>
      <c r="V110" s="5"/>
      <c r="W110" s="2"/>
      <c r="X110" s="2"/>
    </row>
    <row r="111" spans="16:24" x14ac:dyDescent="0.2">
      <c r="P111" s="5"/>
      <c r="Q111" s="5"/>
      <c r="R111" s="5"/>
      <c r="S111" s="5"/>
      <c r="T111" s="5"/>
      <c r="U111" s="5"/>
      <c r="V111" s="5"/>
      <c r="W111" s="2"/>
      <c r="X111" s="2"/>
    </row>
    <row r="112" spans="16:24" x14ac:dyDescent="0.2">
      <c r="P112" s="5"/>
      <c r="Q112" s="5"/>
      <c r="R112" s="5"/>
      <c r="S112" s="5"/>
      <c r="T112" s="5"/>
      <c r="U112" s="5"/>
      <c r="V112" s="5"/>
      <c r="W112" s="2"/>
      <c r="X112" s="2"/>
    </row>
    <row r="113" spans="16:24" x14ac:dyDescent="0.2">
      <c r="P113" s="5"/>
      <c r="Q113" s="5"/>
      <c r="R113" s="5"/>
      <c r="S113" s="5"/>
      <c r="T113" s="5"/>
      <c r="U113" s="5"/>
      <c r="V113" s="5"/>
      <c r="W113" s="2"/>
      <c r="X113" s="2"/>
    </row>
    <row r="114" spans="16:24" x14ac:dyDescent="0.2">
      <c r="P114" s="5"/>
      <c r="Q114" s="5"/>
      <c r="R114" s="5"/>
      <c r="S114" s="5"/>
      <c r="T114" s="5"/>
      <c r="U114" s="5"/>
      <c r="V114" s="5"/>
      <c r="W114" s="2"/>
      <c r="X114" s="2"/>
    </row>
    <row r="115" spans="16:24" x14ac:dyDescent="0.2">
      <c r="P115" s="5"/>
      <c r="Q115" s="5"/>
      <c r="R115" s="5"/>
      <c r="S115" s="5"/>
      <c r="T115" s="5"/>
      <c r="U115" s="5"/>
      <c r="V115" s="5"/>
      <c r="W115" s="2"/>
      <c r="X115" s="2"/>
    </row>
    <row r="116" spans="16:24" x14ac:dyDescent="0.2">
      <c r="P116" s="5"/>
      <c r="Q116" s="5"/>
      <c r="R116" s="5"/>
      <c r="S116" s="5"/>
      <c r="T116" s="5"/>
      <c r="U116" s="5"/>
      <c r="V116" s="5"/>
      <c r="W116" s="2"/>
      <c r="X116" s="2"/>
    </row>
    <row r="117" spans="16:24" x14ac:dyDescent="0.2">
      <c r="P117" s="5"/>
      <c r="Q117" s="5"/>
      <c r="R117" s="5"/>
      <c r="S117" s="5"/>
      <c r="T117" s="5"/>
      <c r="U117" s="5"/>
      <c r="V117" s="5"/>
      <c r="W117" s="2"/>
      <c r="X117" s="2"/>
    </row>
    <row r="118" spans="16:24" x14ac:dyDescent="0.2">
      <c r="P118" s="5"/>
      <c r="Q118" s="5"/>
      <c r="R118" s="5"/>
      <c r="S118" s="5"/>
      <c r="T118" s="5"/>
      <c r="U118" s="5"/>
      <c r="V118" s="5"/>
      <c r="W118" s="2"/>
      <c r="X118" s="2"/>
    </row>
    <row r="119" spans="16:24" x14ac:dyDescent="0.2">
      <c r="P119" s="5"/>
      <c r="Q119" s="5"/>
      <c r="R119" s="5"/>
      <c r="S119" s="5"/>
      <c r="T119" s="5"/>
      <c r="U119" s="5"/>
      <c r="V119" s="5"/>
      <c r="W119" s="2"/>
      <c r="X119" s="2"/>
    </row>
    <row r="120" spans="16:24" x14ac:dyDescent="0.2">
      <c r="P120" s="5"/>
      <c r="Q120" s="5"/>
      <c r="R120" s="5"/>
      <c r="S120" s="5"/>
      <c r="T120" s="5"/>
      <c r="U120" s="5"/>
      <c r="V120" s="5"/>
      <c r="W120" s="2"/>
      <c r="X120" s="2"/>
    </row>
    <row r="121" spans="16:24" x14ac:dyDescent="0.2">
      <c r="P121" s="5"/>
      <c r="Q121" s="5"/>
      <c r="R121" s="5"/>
      <c r="S121" s="5"/>
      <c r="T121" s="5"/>
      <c r="U121" s="5"/>
      <c r="V121" s="5"/>
      <c r="W121" s="2"/>
      <c r="X121" s="2"/>
    </row>
    <row r="122" spans="16:24" x14ac:dyDescent="0.2">
      <c r="P122" s="5"/>
      <c r="Q122" s="5"/>
      <c r="R122" s="5"/>
      <c r="S122" s="5"/>
      <c r="T122" s="5"/>
      <c r="U122" s="5"/>
      <c r="V122" s="5"/>
      <c r="W122" s="2"/>
      <c r="X122" s="2"/>
    </row>
    <row r="123" spans="16:24" x14ac:dyDescent="0.2">
      <c r="P123" s="5"/>
      <c r="Q123" s="5"/>
      <c r="R123" s="5"/>
      <c r="S123" s="5"/>
      <c r="T123" s="5"/>
      <c r="U123" s="5"/>
      <c r="V123" s="5"/>
      <c r="W123" s="2"/>
      <c r="X123" s="2"/>
    </row>
    <row r="124" spans="16:24" x14ac:dyDescent="0.2">
      <c r="P124" s="5"/>
      <c r="Q124" s="5"/>
      <c r="R124" s="5"/>
      <c r="S124" s="5"/>
      <c r="T124" s="5"/>
      <c r="U124" s="5"/>
      <c r="V124" s="5"/>
      <c r="W124" s="2"/>
      <c r="X124" s="2"/>
    </row>
    <row r="125" spans="16:24" x14ac:dyDescent="0.2">
      <c r="P125" s="5"/>
      <c r="Q125" s="5"/>
      <c r="R125" s="5"/>
      <c r="S125" s="5"/>
      <c r="T125" s="5"/>
      <c r="U125" s="5"/>
      <c r="V125" s="5"/>
      <c r="W125" s="2"/>
      <c r="X125" s="2"/>
    </row>
    <row r="126" spans="16:24" x14ac:dyDescent="0.2">
      <c r="P126" s="5"/>
      <c r="Q126" s="5"/>
      <c r="R126" s="5"/>
      <c r="S126" s="5"/>
      <c r="T126" s="5"/>
      <c r="U126" s="5"/>
      <c r="V126" s="5"/>
      <c r="W126" s="2"/>
      <c r="X126" s="2"/>
    </row>
    <row r="127" spans="16:24" x14ac:dyDescent="0.2">
      <c r="P127" s="5"/>
      <c r="Q127" s="5"/>
      <c r="R127" s="5"/>
      <c r="S127" s="5"/>
      <c r="T127" s="5"/>
      <c r="U127" s="5"/>
      <c r="V127" s="5"/>
      <c r="W127" s="2"/>
      <c r="X127" s="2"/>
    </row>
    <row r="128" spans="16:24" x14ac:dyDescent="0.2">
      <c r="P128" s="5"/>
      <c r="Q128" s="5"/>
      <c r="R128" s="5"/>
      <c r="S128" s="5"/>
      <c r="T128" s="5"/>
      <c r="U128" s="5"/>
      <c r="V128" s="5"/>
      <c r="W128" s="2"/>
      <c r="X128" s="2"/>
    </row>
    <row r="129" spans="16:24" x14ac:dyDescent="0.2">
      <c r="P129" s="5"/>
      <c r="Q129" s="5"/>
      <c r="R129" s="5"/>
      <c r="S129" s="5"/>
      <c r="T129" s="5"/>
      <c r="U129" s="5"/>
      <c r="V129" s="5"/>
      <c r="W129" s="2"/>
      <c r="X129" s="2"/>
    </row>
    <row r="130" spans="16:24" x14ac:dyDescent="0.2">
      <c r="P130" s="5"/>
      <c r="Q130" s="5"/>
      <c r="R130" s="5"/>
      <c r="S130" s="5"/>
      <c r="T130" s="5"/>
      <c r="U130" s="5"/>
      <c r="V130" s="5"/>
      <c r="W130" s="2"/>
      <c r="X130" s="2"/>
    </row>
    <row r="131" spans="16:24" x14ac:dyDescent="0.2">
      <c r="P131" s="5"/>
      <c r="Q131" s="5"/>
      <c r="R131" s="5"/>
      <c r="S131" s="5"/>
      <c r="T131" s="5"/>
      <c r="U131" s="5"/>
      <c r="V131" s="5"/>
      <c r="W131" s="2"/>
      <c r="X131" s="2"/>
    </row>
    <row r="132" spans="16:24" x14ac:dyDescent="0.2">
      <c r="P132" s="5"/>
      <c r="Q132" s="5"/>
      <c r="R132" s="5"/>
      <c r="S132" s="5"/>
      <c r="T132" s="5"/>
      <c r="U132" s="5"/>
      <c r="V132" s="5"/>
      <c r="W132" s="2"/>
      <c r="X132" s="2"/>
    </row>
    <row r="133" spans="16:24" x14ac:dyDescent="0.2">
      <c r="P133" s="5"/>
      <c r="Q133" s="5"/>
      <c r="R133" s="5"/>
      <c r="S133" s="5"/>
      <c r="T133" s="5"/>
      <c r="U133" s="5"/>
      <c r="V133" s="5"/>
      <c r="W133" s="2"/>
      <c r="X133" s="2"/>
    </row>
    <row r="134" spans="16:24" x14ac:dyDescent="0.2">
      <c r="P134" s="5"/>
      <c r="Q134" s="5"/>
      <c r="R134" s="5"/>
      <c r="S134" s="5"/>
      <c r="T134" s="5"/>
      <c r="U134" s="5"/>
      <c r="V134" s="5"/>
      <c r="W134" s="2"/>
      <c r="X134" s="2"/>
    </row>
    <row r="135" spans="16:24" x14ac:dyDescent="0.2">
      <c r="P135" s="5"/>
      <c r="Q135" s="5"/>
      <c r="R135" s="5"/>
      <c r="S135" s="5"/>
      <c r="T135" s="5"/>
      <c r="U135" s="5"/>
      <c r="V135" s="5"/>
      <c r="W135" s="2"/>
      <c r="X135" s="2"/>
    </row>
    <row r="136" spans="16:24" x14ac:dyDescent="0.2">
      <c r="P136" s="5"/>
      <c r="Q136" s="5"/>
      <c r="R136" s="5"/>
      <c r="S136" s="5"/>
      <c r="T136" s="5"/>
      <c r="U136" s="5"/>
      <c r="V136" s="5"/>
      <c r="W136" s="2"/>
      <c r="X136" s="2"/>
    </row>
    <row r="137" spans="16:24" x14ac:dyDescent="0.2">
      <c r="P137" s="5"/>
      <c r="Q137" s="5"/>
      <c r="R137" s="5"/>
      <c r="S137" s="5"/>
      <c r="T137" s="5"/>
      <c r="U137" s="5"/>
      <c r="V137" s="5"/>
      <c r="W137" s="2"/>
      <c r="X137" s="2"/>
    </row>
    <row r="138" spans="16:24" x14ac:dyDescent="0.2">
      <c r="P138" s="5"/>
      <c r="Q138" s="5"/>
      <c r="R138" s="5"/>
      <c r="S138" s="5"/>
      <c r="T138" s="5"/>
      <c r="U138" s="5"/>
      <c r="V138" s="5"/>
      <c r="W138" s="2"/>
      <c r="X138" s="2"/>
    </row>
    <row r="139" spans="16:24" x14ac:dyDescent="0.2">
      <c r="P139" s="5"/>
      <c r="Q139" s="5"/>
      <c r="R139" s="5"/>
      <c r="S139" s="5"/>
      <c r="T139" s="5"/>
      <c r="U139" s="5"/>
      <c r="V139" s="5"/>
      <c r="W139" s="2"/>
      <c r="X139" s="2"/>
    </row>
    <row r="140" spans="16:24" x14ac:dyDescent="0.2">
      <c r="P140" s="5"/>
      <c r="Q140" s="5"/>
      <c r="R140" s="5"/>
      <c r="S140" s="5"/>
      <c r="T140" s="5"/>
      <c r="U140" s="5"/>
      <c r="V140" s="5"/>
      <c r="W140" s="2"/>
      <c r="X140" s="2"/>
    </row>
    <row r="141" spans="16:24" x14ac:dyDescent="0.2">
      <c r="P141" s="5"/>
      <c r="Q141" s="5"/>
      <c r="R141" s="5"/>
      <c r="S141" s="5"/>
      <c r="T141" s="5"/>
      <c r="U141" s="5"/>
      <c r="V141" s="5"/>
      <c r="W141" s="2"/>
      <c r="X141" s="2"/>
    </row>
    <row r="142" spans="16:24" x14ac:dyDescent="0.2">
      <c r="P142" s="5"/>
      <c r="Q142" s="5"/>
      <c r="R142" s="5"/>
      <c r="S142" s="5"/>
      <c r="T142" s="5"/>
      <c r="U142" s="5"/>
      <c r="V142" s="5"/>
      <c r="W142" s="2"/>
      <c r="X142" s="2"/>
    </row>
    <row r="143" spans="16:24" x14ac:dyDescent="0.2">
      <c r="P143" s="5"/>
      <c r="Q143" s="5"/>
      <c r="R143" s="5"/>
      <c r="S143" s="5"/>
      <c r="T143" s="5"/>
      <c r="U143" s="5"/>
      <c r="V143" s="5"/>
      <c r="W143" s="2"/>
      <c r="X143" s="2"/>
    </row>
    <row r="144" spans="16:24" x14ac:dyDescent="0.2">
      <c r="P144" s="5"/>
      <c r="Q144" s="5"/>
      <c r="R144" s="5"/>
      <c r="S144" s="5"/>
      <c r="T144" s="5"/>
      <c r="U144" s="5"/>
      <c r="V144" s="5"/>
      <c r="W144" s="2"/>
      <c r="X144" s="2"/>
    </row>
    <row r="145" spans="16:24" x14ac:dyDescent="0.2">
      <c r="P145" s="5"/>
      <c r="Q145" s="5"/>
      <c r="R145" s="5"/>
      <c r="S145" s="5"/>
      <c r="T145" s="5"/>
      <c r="U145" s="5"/>
      <c r="V145" s="5"/>
      <c r="W145" s="2"/>
      <c r="X145" s="2"/>
    </row>
    <row r="146" spans="16:24" x14ac:dyDescent="0.2">
      <c r="P146" s="5"/>
      <c r="Q146" s="5"/>
      <c r="R146" s="5"/>
      <c r="S146" s="5"/>
      <c r="T146" s="5"/>
      <c r="U146" s="5"/>
      <c r="V146" s="5"/>
      <c r="W146" s="2"/>
      <c r="X146" s="2"/>
    </row>
    <row r="147" spans="16:24" x14ac:dyDescent="0.2">
      <c r="P147" s="5"/>
      <c r="Q147" s="5"/>
      <c r="R147" s="5"/>
      <c r="S147" s="5"/>
      <c r="T147" s="5"/>
      <c r="U147" s="5"/>
      <c r="V147" s="5"/>
      <c r="W147" s="2"/>
      <c r="X147" s="2"/>
    </row>
    <row r="148" spans="16:24" x14ac:dyDescent="0.2">
      <c r="P148" s="5"/>
      <c r="Q148" s="5"/>
      <c r="R148" s="5"/>
      <c r="S148" s="5"/>
      <c r="T148" s="5"/>
      <c r="U148" s="5"/>
      <c r="V148" s="5"/>
      <c r="W148" s="2"/>
      <c r="X148" s="2"/>
    </row>
    <row r="149" spans="16:24" x14ac:dyDescent="0.2">
      <c r="P149" s="5"/>
      <c r="Q149" s="5"/>
      <c r="R149" s="5"/>
      <c r="S149" s="5"/>
      <c r="T149" s="5"/>
      <c r="U149" s="5"/>
      <c r="V149" s="5"/>
      <c r="W149" s="2"/>
      <c r="X149" s="2"/>
    </row>
    <row r="150" spans="16:24" x14ac:dyDescent="0.2">
      <c r="P150" s="5"/>
      <c r="Q150" s="5"/>
      <c r="R150" s="5"/>
      <c r="S150" s="5"/>
      <c r="T150" s="5"/>
      <c r="U150" s="5"/>
      <c r="V150" s="5"/>
      <c r="W150" s="2"/>
      <c r="X150" s="2"/>
    </row>
    <row r="151" spans="16:24" x14ac:dyDescent="0.2">
      <c r="P151" s="5"/>
      <c r="Q151" s="5"/>
      <c r="R151" s="5"/>
      <c r="S151" s="5"/>
      <c r="T151" s="5"/>
      <c r="U151" s="5"/>
      <c r="V151" s="5"/>
      <c r="W151" s="2"/>
      <c r="X151" s="2"/>
    </row>
    <row r="152" spans="16:24" x14ac:dyDescent="0.2">
      <c r="P152" s="5"/>
      <c r="Q152" s="5"/>
      <c r="R152" s="5"/>
      <c r="S152" s="5"/>
      <c r="T152" s="5"/>
      <c r="U152" s="5"/>
      <c r="V152" s="5"/>
      <c r="W152" s="2"/>
      <c r="X152" s="2"/>
    </row>
    <row r="153" spans="16:24" x14ac:dyDescent="0.2">
      <c r="P153" s="5"/>
      <c r="Q153" s="5"/>
      <c r="R153" s="5"/>
      <c r="S153" s="5"/>
      <c r="T153" s="5"/>
      <c r="U153" s="5"/>
      <c r="V153" s="5"/>
      <c r="W153" s="2"/>
      <c r="X153" s="2"/>
    </row>
    <row r="154" spans="16:24" x14ac:dyDescent="0.2">
      <c r="P154" s="5"/>
      <c r="Q154" s="5"/>
      <c r="R154" s="5"/>
      <c r="S154" s="5"/>
      <c r="T154" s="5"/>
      <c r="U154" s="5"/>
      <c r="V154" s="5"/>
      <c r="W154" s="2"/>
      <c r="X154" s="2"/>
    </row>
    <row r="155" spans="16:24" x14ac:dyDescent="0.2">
      <c r="P155" s="5"/>
      <c r="Q155" s="5"/>
      <c r="R155" s="5"/>
      <c r="S155" s="5"/>
      <c r="T155" s="5"/>
      <c r="U155" s="5"/>
      <c r="V155" s="5"/>
      <c r="W155" s="2"/>
      <c r="X155" s="2"/>
    </row>
    <row r="156" spans="16:24" x14ac:dyDescent="0.2">
      <c r="P156" s="5"/>
      <c r="Q156" s="5"/>
      <c r="R156" s="5"/>
      <c r="S156" s="5"/>
      <c r="T156" s="5"/>
      <c r="U156" s="5"/>
      <c r="V156" s="5"/>
      <c r="W156" s="2"/>
      <c r="X156" s="2"/>
    </row>
    <row r="157" spans="16:24" x14ac:dyDescent="0.2">
      <c r="P157" s="5"/>
      <c r="Q157" s="5"/>
      <c r="R157" s="5"/>
      <c r="S157" s="5"/>
      <c r="T157" s="5"/>
      <c r="U157" s="5"/>
      <c r="V157" s="5"/>
      <c r="W157" s="2"/>
      <c r="X157" s="2"/>
    </row>
    <row r="158" spans="16:24" x14ac:dyDescent="0.2">
      <c r="P158" s="5"/>
      <c r="Q158" s="5"/>
      <c r="R158" s="5"/>
      <c r="S158" s="5"/>
      <c r="T158" s="5"/>
      <c r="U158" s="5"/>
      <c r="V158" s="5"/>
      <c r="W158" s="2"/>
      <c r="X158" s="2"/>
    </row>
    <row r="159" spans="16:24" x14ac:dyDescent="0.2">
      <c r="P159" s="5"/>
      <c r="Q159" s="5"/>
      <c r="R159" s="5"/>
      <c r="S159" s="5"/>
      <c r="T159" s="5"/>
      <c r="U159" s="5"/>
      <c r="V159" s="5"/>
      <c r="W159" s="2"/>
      <c r="X159" s="2"/>
    </row>
    <row r="160" spans="16:24" x14ac:dyDescent="0.2">
      <c r="P160" s="5"/>
      <c r="Q160" s="5"/>
      <c r="R160" s="5"/>
      <c r="S160" s="5"/>
      <c r="T160" s="5"/>
      <c r="U160" s="5"/>
      <c r="V160" s="5"/>
      <c r="W160" s="2"/>
      <c r="X160" s="2"/>
    </row>
    <row r="161" spans="16:24" x14ac:dyDescent="0.2">
      <c r="P161" s="5"/>
      <c r="Q161" s="5"/>
      <c r="R161" s="5"/>
      <c r="S161" s="5"/>
      <c r="T161" s="5"/>
      <c r="U161" s="5"/>
      <c r="V161" s="5"/>
      <c r="W161" s="2"/>
      <c r="X161" s="2"/>
    </row>
    <row r="162" spans="16:24" x14ac:dyDescent="0.2">
      <c r="P162" s="5"/>
      <c r="Q162" s="5"/>
      <c r="R162" s="5"/>
      <c r="S162" s="5"/>
      <c r="T162" s="5"/>
      <c r="U162" s="5"/>
      <c r="V162" s="5"/>
      <c r="W162" s="2"/>
      <c r="X162" s="2"/>
    </row>
    <row r="163" spans="16:24" x14ac:dyDescent="0.2">
      <c r="P163" s="5"/>
      <c r="Q163" s="5"/>
      <c r="R163" s="5"/>
      <c r="S163" s="5"/>
      <c r="T163" s="5"/>
      <c r="U163" s="5"/>
      <c r="V163" s="5"/>
      <c r="W163" s="2"/>
      <c r="X163" s="2"/>
    </row>
    <row r="164" spans="16:24" x14ac:dyDescent="0.2">
      <c r="P164" s="5"/>
      <c r="Q164" s="5"/>
      <c r="R164" s="5"/>
      <c r="S164" s="5"/>
      <c r="T164" s="5"/>
      <c r="U164" s="5"/>
      <c r="V164" s="5"/>
      <c r="W164" s="2"/>
      <c r="X164" s="2"/>
    </row>
    <row r="165" spans="16:24" x14ac:dyDescent="0.2">
      <c r="P165" s="5"/>
      <c r="Q165" s="5"/>
      <c r="R165" s="5"/>
      <c r="S165" s="5"/>
      <c r="T165" s="5"/>
      <c r="U165" s="5"/>
      <c r="V165" s="5"/>
      <c r="W165" s="2"/>
      <c r="X165" s="2"/>
    </row>
    <row r="166" spans="16:24" x14ac:dyDescent="0.2">
      <c r="P166" s="5"/>
      <c r="Q166" s="5"/>
      <c r="R166" s="5"/>
      <c r="S166" s="5"/>
      <c r="T166" s="5"/>
      <c r="U166" s="5"/>
      <c r="V166" s="5"/>
      <c r="W166" s="2"/>
      <c r="X166" s="2"/>
    </row>
    <row r="167" spans="16:24" x14ac:dyDescent="0.2">
      <c r="P167" s="5"/>
      <c r="Q167" s="5"/>
      <c r="R167" s="5"/>
      <c r="S167" s="5"/>
      <c r="T167" s="5"/>
      <c r="U167" s="5"/>
      <c r="V167" s="5"/>
      <c r="W167" s="2"/>
      <c r="X167" s="2"/>
    </row>
    <row r="168" spans="16:24" x14ac:dyDescent="0.2">
      <c r="P168" s="5"/>
      <c r="Q168" s="5"/>
      <c r="R168" s="5"/>
      <c r="S168" s="5"/>
      <c r="T168" s="5"/>
      <c r="U168" s="5"/>
      <c r="V168" s="5"/>
      <c r="W168" s="2"/>
      <c r="X168" s="2"/>
    </row>
    <row r="169" spans="16:24" x14ac:dyDescent="0.2">
      <c r="P169" s="5"/>
      <c r="Q169" s="5"/>
      <c r="R169" s="5"/>
      <c r="S169" s="5"/>
      <c r="T169" s="5"/>
      <c r="U169" s="5"/>
      <c r="V169" s="5"/>
      <c r="W169" s="2"/>
      <c r="X169" s="2"/>
    </row>
    <row r="170" spans="16:24" x14ac:dyDescent="0.2">
      <c r="P170" s="5"/>
      <c r="Q170" s="5"/>
      <c r="R170" s="5"/>
      <c r="S170" s="5"/>
      <c r="T170" s="5"/>
      <c r="U170" s="5"/>
      <c r="V170" s="5"/>
      <c r="W170" s="2"/>
      <c r="X170" s="2"/>
    </row>
    <row r="171" spans="16:24" x14ac:dyDescent="0.2">
      <c r="P171" s="5"/>
      <c r="Q171" s="5"/>
      <c r="R171" s="5"/>
      <c r="S171" s="5"/>
      <c r="T171" s="5"/>
      <c r="U171" s="5"/>
      <c r="V171" s="5"/>
      <c r="W171" s="2"/>
      <c r="X171" s="2"/>
    </row>
    <row r="172" spans="16:24" x14ac:dyDescent="0.2">
      <c r="P172" s="5"/>
      <c r="Q172" s="5"/>
      <c r="R172" s="5"/>
      <c r="S172" s="5"/>
      <c r="T172" s="5"/>
      <c r="U172" s="5"/>
      <c r="V172" s="5"/>
      <c r="W172" s="2"/>
      <c r="X172" s="2"/>
    </row>
    <row r="173" spans="16:24" x14ac:dyDescent="0.2">
      <c r="P173" s="5"/>
      <c r="Q173" s="5"/>
      <c r="R173" s="5"/>
      <c r="S173" s="5"/>
      <c r="T173" s="5"/>
      <c r="U173" s="5"/>
      <c r="V173" s="5"/>
      <c r="W173" s="2"/>
      <c r="X173" s="2"/>
    </row>
    <row r="174" spans="16:24" x14ac:dyDescent="0.2">
      <c r="P174" s="5"/>
      <c r="Q174" s="5"/>
      <c r="R174" s="5"/>
      <c r="S174" s="5"/>
      <c r="T174" s="5"/>
      <c r="U174" s="5"/>
      <c r="V174" s="5"/>
      <c r="W174" s="2"/>
      <c r="X174" s="2"/>
    </row>
    <row r="175" spans="16:24" x14ac:dyDescent="0.2">
      <c r="P175" s="5"/>
      <c r="Q175" s="5"/>
      <c r="R175" s="5"/>
      <c r="S175" s="5"/>
      <c r="T175" s="5"/>
      <c r="U175" s="5"/>
      <c r="V175" s="5"/>
      <c r="W175" s="2"/>
      <c r="X175" s="2"/>
    </row>
    <row r="176" spans="16:24" x14ac:dyDescent="0.2">
      <c r="P176" s="5"/>
      <c r="Q176" s="5"/>
      <c r="R176" s="5"/>
      <c r="S176" s="5"/>
      <c r="T176" s="5"/>
      <c r="U176" s="5"/>
      <c r="V176" s="5"/>
      <c r="W176" s="2"/>
      <c r="X176" s="2"/>
    </row>
    <row r="177" spans="16:24" x14ac:dyDescent="0.2">
      <c r="P177" s="5"/>
      <c r="Q177" s="5"/>
      <c r="R177" s="5"/>
      <c r="S177" s="5"/>
      <c r="T177" s="5"/>
      <c r="U177" s="5"/>
      <c r="V177" s="5"/>
      <c r="W177" s="2"/>
      <c r="X177" s="2"/>
    </row>
    <row r="178" spans="16:24" x14ac:dyDescent="0.2">
      <c r="P178" s="5"/>
      <c r="Q178" s="5"/>
      <c r="R178" s="5"/>
      <c r="S178" s="5"/>
      <c r="T178" s="5"/>
      <c r="U178" s="5"/>
      <c r="V178" s="5"/>
      <c r="W178" s="2"/>
      <c r="X178" s="2"/>
    </row>
    <row r="179" spans="16:24" x14ac:dyDescent="0.2">
      <c r="P179" s="5"/>
      <c r="Q179" s="5"/>
      <c r="R179" s="5"/>
      <c r="S179" s="5"/>
      <c r="T179" s="5"/>
      <c r="U179" s="5"/>
      <c r="V179" s="5"/>
      <c r="W179" s="2"/>
      <c r="X179" s="2"/>
    </row>
    <row r="180" spans="16:24" x14ac:dyDescent="0.2">
      <c r="P180" s="5"/>
      <c r="Q180" s="5"/>
      <c r="R180" s="5"/>
      <c r="S180" s="5"/>
      <c r="T180" s="5"/>
      <c r="U180" s="5"/>
      <c r="V180" s="5"/>
      <c r="W180" s="2"/>
      <c r="X180" s="2"/>
    </row>
    <row r="181" spans="16:24" x14ac:dyDescent="0.2">
      <c r="P181" s="5"/>
      <c r="Q181" s="5"/>
      <c r="R181" s="5"/>
      <c r="S181" s="5"/>
      <c r="T181" s="5"/>
      <c r="U181" s="5"/>
      <c r="V181" s="5"/>
      <c r="W181" s="2"/>
      <c r="X181" s="2"/>
    </row>
    <row r="182" spans="16:24" x14ac:dyDescent="0.2">
      <c r="P182" s="5"/>
      <c r="Q182" s="5"/>
      <c r="R182" s="5"/>
      <c r="S182" s="5"/>
      <c r="T182" s="5"/>
      <c r="U182" s="5"/>
      <c r="V182" s="5"/>
      <c r="W182" s="2"/>
      <c r="X182" s="2"/>
    </row>
    <row r="183" spans="16:24" x14ac:dyDescent="0.2">
      <c r="P183" s="5"/>
      <c r="Q183" s="5"/>
      <c r="R183" s="5"/>
      <c r="S183" s="5"/>
      <c r="T183" s="5"/>
      <c r="U183" s="5"/>
      <c r="V183" s="5"/>
      <c r="W183" s="2"/>
      <c r="X183" s="2"/>
    </row>
    <row r="184" spans="16:24" x14ac:dyDescent="0.2">
      <c r="P184" s="5"/>
      <c r="Q184" s="5"/>
      <c r="R184" s="5"/>
      <c r="S184" s="5"/>
      <c r="T184" s="5"/>
      <c r="U184" s="5"/>
      <c r="V184" s="5"/>
      <c r="W184" s="2"/>
      <c r="X184" s="2"/>
    </row>
    <row r="185" spans="16:24" x14ac:dyDescent="0.2">
      <c r="P185" s="5"/>
      <c r="Q185" s="5"/>
      <c r="R185" s="5"/>
      <c r="S185" s="5"/>
      <c r="T185" s="5"/>
      <c r="U185" s="5"/>
      <c r="V185" s="5"/>
      <c r="W185" s="2"/>
      <c r="X185" s="2"/>
    </row>
    <row r="186" spans="16:24" x14ac:dyDescent="0.2">
      <c r="P186" s="5"/>
      <c r="Q186" s="5"/>
      <c r="R186" s="5"/>
      <c r="S186" s="5"/>
      <c r="T186" s="5"/>
      <c r="U186" s="5"/>
      <c r="V186" s="5"/>
      <c r="W186" s="2"/>
      <c r="X186" s="2"/>
    </row>
    <row r="187" spans="16:24" x14ac:dyDescent="0.2">
      <c r="P187" s="5"/>
      <c r="Q187" s="5"/>
      <c r="R187" s="5"/>
      <c r="S187" s="5"/>
      <c r="T187" s="5"/>
      <c r="U187" s="5"/>
      <c r="V187" s="5"/>
      <c r="W187" s="2"/>
      <c r="X187" s="2"/>
    </row>
    <row r="188" spans="16:24" x14ac:dyDescent="0.2">
      <c r="P188" s="5"/>
      <c r="Q188" s="5"/>
      <c r="R188" s="5"/>
      <c r="S188" s="5"/>
      <c r="T188" s="5"/>
      <c r="U188" s="5"/>
      <c r="V188" s="5"/>
      <c r="W188" s="2"/>
      <c r="X188" s="2"/>
    </row>
    <row r="189" spans="16:24" x14ac:dyDescent="0.2">
      <c r="P189" s="5"/>
      <c r="Q189" s="5"/>
      <c r="R189" s="5"/>
      <c r="S189" s="5"/>
      <c r="T189" s="5"/>
      <c r="U189" s="5"/>
      <c r="V189" s="5"/>
      <c r="W189" s="2"/>
      <c r="X189" s="2"/>
    </row>
    <row r="190" spans="16:24" x14ac:dyDescent="0.2">
      <c r="P190" s="5"/>
      <c r="Q190" s="5"/>
      <c r="R190" s="5"/>
      <c r="S190" s="5"/>
      <c r="T190" s="5"/>
      <c r="U190" s="5"/>
      <c r="V190" s="5"/>
      <c r="W190" s="2"/>
      <c r="X190" s="2"/>
    </row>
    <row r="191" spans="16:24" x14ac:dyDescent="0.2">
      <c r="P191" s="5"/>
      <c r="Q191" s="5"/>
      <c r="R191" s="5"/>
      <c r="S191" s="5"/>
      <c r="T191" s="5"/>
      <c r="U191" s="5"/>
      <c r="V191" s="5"/>
      <c r="W191" s="2"/>
      <c r="X191" s="2"/>
    </row>
    <row r="192" spans="16:24" x14ac:dyDescent="0.2">
      <c r="P192" s="5"/>
      <c r="Q192" s="5"/>
      <c r="R192" s="5"/>
      <c r="S192" s="5"/>
      <c r="T192" s="5"/>
      <c r="U192" s="5"/>
      <c r="V192" s="5"/>
      <c r="W192" s="2"/>
      <c r="X192" s="2"/>
    </row>
    <row r="193" spans="16:24" x14ac:dyDescent="0.2">
      <c r="P193" s="5"/>
      <c r="Q193" s="5"/>
      <c r="R193" s="5"/>
      <c r="S193" s="5"/>
      <c r="T193" s="5"/>
      <c r="U193" s="5"/>
      <c r="V193" s="5"/>
      <c r="W193" s="2"/>
      <c r="X193" s="2"/>
    </row>
    <row r="194" spans="16:24" x14ac:dyDescent="0.2">
      <c r="P194" s="5"/>
      <c r="Q194" s="5"/>
      <c r="R194" s="5"/>
      <c r="S194" s="5"/>
      <c r="T194" s="5"/>
      <c r="U194" s="5"/>
      <c r="V194" s="5"/>
      <c r="W194" s="2"/>
      <c r="X194" s="2"/>
    </row>
    <row r="195" spans="16:24" x14ac:dyDescent="0.2">
      <c r="P195" s="5"/>
      <c r="Q195" s="5"/>
      <c r="R195" s="5"/>
      <c r="S195" s="5"/>
      <c r="T195" s="5"/>
      <c r="U195" s="5"/>
      <c r="V195" s="5"/>
      <c r="W195" s="2"/>
      <c r="X195" s="2"/>
    </row>
    <row r="196" spans="16:24" x14ac:dyDescent="0.2">
      <c r="P196" s="5"/>
      <c r="Q196" s="5"/>
      <c r="R196" s="5"/>
      <c r="S196" s="5"/>
      <c r="T196" s="5"/>
      <c r="U196" s="5"/>
      <c r="V196" s="5"/>
      <c r="W196" s="2"/>
      <c r="X196" s="2"/>
    </row>
    <row r="197" spans="16:24" x14ac:dyDescent="0.2">
      <c r="P197" s="5"/>
      <c r="Q197" s="5"/>
      <c r="R197" s="5"/>
      <c r="S197" s="5"/>
      <c r="T197" s="5"/>
      <c r="U197" s="5"/>
      <c r="V197" s="5"/>
      <c r="W197" s="2"/>
      <c r="X197" s="2"/>
    </row>
    <row r="198" spans="16:24" x14ac:dyDescent="0.2">
      <c r="P198" s="5"/>
      <c r="Q198" s="5"/>
      <c r="R198" s="5"/>
      <c r="S198" s="5"/>
      <c r="T198" s="5"/>
      <c r="U198" s="5"/>
      <c r="V198" s="5"/>
      <c r="W198" s="2"/>
      <c r="X198" s="2"/>
    </row>
    <row r="199" spans="16:24" x14ac:dyDescent="0.2">
      <c r="P199" s="5"/>
      <c r="Q199" s="5"/>
      <c r="R199" s="5"/>
      <c r="S199" s="5"/>
      <c r="T199" s="5"/>
      <c r="U199" s="5"/>
      <c r="V199" s="5"/>
      <c r="W199" s="2"/>
      <c r="X199" s="2"/>
    </row>
    <row r="200" spans="16:24" x14ac:dyDescent="0.2">
      <c r="P200" s="5"/>
      <c r="Q200" s="5"/>
      <c r="R200" s="5"/>
      <c r="S200" s="5"/>
      <c r="T200" s="5"/>
      <c r="U200" s="5"/>
      <c r="V200" s="5"/>
      <c r="W200" s="2"/>
      <c r="X200" s="2"/>
    </row>
    <row r="201" spans="16:24" x14ac:dyDescent="0.2">
      <c r="P201" s="5"/>
      <c r="Q201" s="5"/>
      <c r="R201" s="5"/>
      <c r="S201" s="5"/>
      <c r="T201" s="5"/>
      <c r="U201" s="5"/>
      <c r="V201" s="5"/>
      <c r="W201" s="2"/>
      <c r="X201" s="2"/>
    </row>
    <row r="202" spans="16:24" x14ac:dyDescent="0.2">
      <c r="P202" s="5"/>
      <c r="Q202" s="5"/>
      <c r="R202" s="5"/>
      <c r="S202" s="5"/>
      <c r="T202" s="5"/>
      <c r="U202" s="5"/>
      <c r="V202" s="5"/>
      <c r="W202" s="2"/>
      <c r="X202" s="2"/>
    </row>
    <row r="203" spans="16:24" x14ac:dyDescent="0.2">
      <c r="P203" s="5"/>
      <c r="Q203" s="5"/>
      <c r="R203" s="5"/>
      <c r="S203" s="5"/>
      <c r="T203" s="5"/>
      <c r="U203" s="5"/>
      <c r="V203" s="5"/>
      <c r="W203" s="2"/>
      <c r="X203" s="2"/>
    </row>
    <row r="204" spans="16:24" x14ac:dyDescent="0.2">
      <c r="P204" s="5"/>
      <c r="Q204" s="5"/>
      <c r="R204" s="5"/>
      <c r="S204" s="5"/>
      <c r="T204" s="5"/>
      <c r="U204" s="5"/>
      <c r="V204" s="5"/>
      <c r="W204" s="2"/>
      <c r="X204" s="2"/>
    </row>
    <row r="205" spans="16:24" x14ac:dyDescent="0.2">
      <c r="P205" s="5"/>
      <c r="Q205" s="5"/>
      <c r="R205" s="5"/>
      <c r="S205" s="5"/>
      <c r="T205" s="5"/>
      <c r="U205" s="5"/>
      <c r="V205" s="5"/>
      <c r="W205" s="2"/>
      <c r="X205" s="2"/>
    </row>
    <row r="206" spans="16:24" x14ac:dyDescent="0.2">
      <c r="P206" s="5"/>
      <c r="Q206" s="5"/>
      <c r="R206" s="5"/>
      <c r="S206" s="5"/>
      <c r="T206" s="5"/>
      <c r="U206" s="5"/>
      <c r="V206" s="5"/>
      <c r="W206" s="2"/>
      <c r="X206" s="2"/>
    </row>
    <row r="207" spans="16:24" x14ac:dyDescent="0.2">
      <c r="P207" s="5"/>
      <c r="Q207" s="5"/>
      <c r="R207" s="5"/>
      <c r="S207" s="5"/>
      <c r="T207" s="5"/>
      <c r="U207" s="5"/>
      <c r="V207" s="5"/>
      <c r="W207" s="2"/>
      <c r="X207" s="2"/>
    </row>
    <row r="208" spans="16:24" x14ac:dyDescent="0.2">
      <c r="P208" s="5"/>
      <c r="Q208" s="5"/>
      <c r="R208" s="5"/>
      <c r="S208" s="5"/>
      <c r="T208" s="5"/>
      <c r="U208" s="5"/>
      <c r="V208" s="5"/>
      <c r="W208" s="2"/>
      <c r="X208" s="2"/>
    </row>
    <row r="209" spans="16:24" x14ac:dyDescent="0.2">
      <c r="P209" s="5"/>
      <c r="Q209" s="5"/>
      <c r="R209" s="5"/>
      <c r="S209" s="5"/>
      <c r="T209" s="5"/>
      <c r="U209" s="5"/>
      <c r="V209" s="5"/>
      <c r="W209" s="2"/>
      <c r="X209" s="2"/>
    </row>
    <row r="210" spans="16:24" x14ac:dyDescent="0.2">
      <c r="P210" s="5"/>
      <c r="Q210" s="5"/>
      <c r="R210" s="5"/>
      <c r="S210" s="5"/>
      <c r="T210" s="5"/>
      <c r="U210" s="5"/>
      <c r="V210" s="5"/>
      <c r="W210" s="2"/>
      <c r="X210" s="2"/>
    </row>
    <row r="211" spans="16:24" x14ac:dyDescent="0.2">
      <c r="P211" s="5"/>
      <c r="Q211" s="5"/>
      <c r="R211" s="5"/>
      <c r="S211" s="5"/>
      <c r="T211" s="5"/>
      <c r="U211" s="5"/>
      <c r="V211" s="5"/>
      <c r="W211" s="2"/>
      <c r="X211" s="2"/>
    </row>
    <row r="212" spans="16:24" x14ac:dyDescent="0.2">
      <c r="P212" s="5"/>
      <c r="Q212" s="5"/>
      <c r="R212" s="5"/>
      <c r="S212" s="5"/>
      <c r="T212" s="5"/>
      <c r="U212" s="5"/>
      <c r="V212" s="5"/>
      <c r="W212" s="2"/>
      <c r="X212" s="2"/>
    </row>
    <row r="213" spans="16:24" x14ac:dyDescent="0.2">
      <c r="P213" s="5"/>
      <c r="Q213" s="5"/>
      <c r="R213" s="5"/>
      <c r="S213" s="5"/>
      <c r="T213" s="5"/>
      <c r="U213" s="5"/>
      <c r="V213" s="5"/>
      <c r="W213" s="2"/>
      <c r="X213" s="2"/>
    </row>
    <row r="214" spans="16:24" x14ac:dyDescent="0.2">
      <c r="P214" s="5"/>
      <c r="Q214" s="5"/>
      <c r="R214" s="5"/>
      <c r="S214" s="5"/>
      <c r="T214" s="5"/>
      <c r="U214" s="5"/>
      <c r="V214" s="5"/>
      <c r="W214" s="2"/>
      <c r="X214" s="2"/>
    </row>
    <row r="215" spans="16:24" x14ac:dyDescent="0.2">
      <c r="P215" s="5"/>
      <c r="Q215" s="5"/>
      <c r="R215" s="5"/>
      <c r="S215" s="5"/>
      <c r="T215" s="5"/>
      <c r="U215" s="5"/>
      <c r="V215" s="5"/>
      <c r="W215" s="2"/>
      <c r="X215" s="2"/>
    </row>
    <row r="216" spans="16:24" x14ac:dyDescent="0.2">
      <c r="P216" s="5"/>
      <c r="Q216" s="5"/>
      <c r="R216" s="5"/>
      <c r="S216" s="5"/>
      <c r="T216" s="5"/>
      <c r="U216" s="5"/>
      <c r="V216" s="5"/>
      <c r="W216" s="2"/>
      <c r="X216" s="2"/>
    </row>
    <row r="217" spans="16:24" x14ac:dyDescent="0.2">
      <c r="P217" s="5"/>
      <c r="Q217" s="5"/>
      <c r="R217" s="5"/>
      <c r="S217" s="5"/>
      <c r="T217" s="5"/>
      <c r="U217" s="5"/>
      <c r="V217" s="5"/>
      <c r="W217" s="2"/>
      <c r="X217" s="2"/>
    </row>
    <row r="218" spans="16:24" x14ac:dyDescent="0.2">
      <c r="P218" s="5"/>
      <c r="Q218" s="5"/>
      <c r="R218" s="5"/>
      <c r="S218" s="5"/>
      <c r="T218" s="5"/>
      <c r="U218" s="5"/>
      <c r="V218" s="5"/>
      <c r="W218" s="2"/>
      <c r="X218" s="2"/>
    </row>
    <row r="219" spans="16:24" x14ac:dyDescent="0.2">
      <c r="P219" s="5"/>
      <c r="Q219" s="5"/>
      <c r="R219" s="5"/>
      <c r="S219" s="5"/>
      <c r="T219" s="5"/>
      <c r="U219" s="5"/>
      <c r="V219" s="5"/>
      <c r="W219" s="2"/>
      <c r="X219" s="2"/>
    </row>
    <row r="220" spans="16:24" x14ac:dyDescent="0.2">
      <c r="P220" s="5"/>
      <c r="Q220" s="5"/>
      <c r="R220" s="5"/>
      <c r="S220" s="5"/>
      <c r="T220" s="5"/>
      <c r="U220" s="5"/>
      <c r="V220" s="5"/>
      <c r="W220" s="2"/>
      <c r="X220" s="2"/>
    </row>
    <row r="221" spans="16:24" x14ac:dyDescent="0.2">
      <c r="P221" s="5"/>
      <c r="Q221" s="5"/>
      <c r="R221" s="5"/>
      <c r="S221" s="5"/>
      <c r="T221" s="5"/>
      <c r="U221" s="5"/>
      <c r="V221" s="5"/>
      <c r="W221" s="2"/>
      <c r="X221" s="2"/>
    </row>
    <row r="222" spans="16:24" x14ac:dyDescent="0.2">
      <c r="P222" s="5"/>
      <c r="Q222" s="5"/>
      <c r="R222" s="5"/>
      <c r="S222" s="5"/>
      <c r="T222" s="5"/>
      <c r="U222" s="5"/>
      <c r="V222" s="5"/>
      <c r="W222" s="2"/>
      <c r="X222" s="2"/>
    </row>
    <row r="223" spans="16:24" x14ac:dyDescent="0.2">
      <c r="P223" s="5"/>
      <c r="Q223" s="5"/>
      <c r="R223" s="5"/>
      <c r="S223" s="5"/>
      <c r="T223" s="5"/>
      <c r="U223" s="5"/>
      <c r="V223" s="5"/>
      <c r="W223" s="2"/>
      <c r="X223" s="2"/>
    </row>
    <row r="224" spans="16:24" x14ac:dyDescent="0.2">
      <c r="P224" s="5"/>
      <c r="Q224" s="5"/>
      <c r="R224" s="5"/>
      <c r="S224" s="5"/>
      <c r="T224" s="5"/>
      <c r="U224" s="5"/>
      <c r="V224" s="5"/>
      <c r="W224" s="2"/>
      <c r="X224" s="2"/>
    </row>
    <row r="225" spans="16:24" x14ac:dyDescent="0.2">
      <c r="P225" s="5"/>
      <c r="Q225" s="5"/>
      <c r="R225" s="5"/>
      <c r="S225" s="5"/>
      <c r="T225" s="5"/>
      <c r="U225" s="5"/>
      <c r="V225" s="5"/>
      <c r="W225" s="2"/>
      <c r="X225" s="2"/>
    </row>
    <row r="226" spans="16:24" x14ac:dyDescent="0.2">
      <c r="P226" s="5"/>
      <c r="Q226" s="5"/>
      <c r="R226" s="5"/>
      <c r="S226" s="5"/>
      <c r="T226" s="5"/>
      <c r="U226" s="5"/>
      <c r="V226" s="5"/>
      <c r="W226" s="2"/>
      <c r="X226" s="2"/>
    </row>
    <row r="227" spans="16:24" x14ac:dyDescent="0.2">
      <c r="P227" s="5"/>
      <c r="Q227" s="5"/>
      <c r="R227" s="5"/>
      <c r="S227" s="5"/>
      <c r="T227" s="5"/>
      <c r="U227" s="5"/>
      <c r="V227" s="5"/>
      <c r="W227" s="2"/>
      <c r="X227" s="2"/>
    </row>
    <row r="228" spans="16:24" x14ac:dyDescent="0.2">
      <c r="P228" s="5"/>
      <c r="Q228" s="5"/>
      <c r="R228" s="5"/>
      <c r="S228" s="5"/>
      <c r="T228" s="5"/>
      <c r="U228" s="5"/>
      <c r="V228" s="5"/>
      <c r="W228" s="2"/>
      <c r="X228" s="2"/>
    </row>
    <row r="229" spans="16:24" x14ac:dyDescent="0.2">
      <c r="P229" s="5"/>
      <c r="Q229" s="5"/>
      <c r="R229" s="5"/>
      <c r="S229" s="5"/>
      <c r="T229" s="5"/>
      <c r="U229" s="5"/>
      <c r="V229" s="5"/>
      <c r="W229" s="2"/>
      <c r="X229" s="2"/>
    </row>
    <row r="230" spans="16:24" x14ac:dyDescent="0.2">
      <c r="P230" s="5"/>
      <c r="Q230" s="5"/>
      <c r="R230" s="5"/>
      <c r="S230" s="5"/>
      <c r="T230" s="5"/>
      <c r="U230" s="5"/>
      <c r="V230" s="5"/>
      <c r="W230" s="2"/>
      <c r="X230" s="2"/>
    </row>
    <row r="231" spans="16:24" x14ac:dyDescent="0.2">
      <c r="P231" s="5"/>
      <c r="Q231" s="5"/>
      <c r="R231" s="5"/>
      <c r="S231" s="5"/>
      <c r="T231" s="5"/>
      <c r="U231" s="5"/>
      <c r="V231" s="5"/>
      <c r="W231" s="2"/>
      <c r="X231" s="2"/>
    </row>
    <row r="232" spans="16:24" x14ac:dyDescent="0.2">
      <c r="P232" s="5"/>
      <c r="Q232" s="5"/>
      <c r="R232" s="5"/>
      <c r="S232" s="5"/>
      <c r="T232" s="5"/>
      <c r="U232" s="5"/>
      <c r="V232" s="5"/>
      <c r="W232" s="2"/>
      <c r="X232" s="2"/>
    </row>
    <row r="233" spans="16:24" x14ac:dyDescent="0.2">
      <c r="P233" s="5"/>
      <c r="Q233" s="5"/>
      <c r="R233" s="5"/>
      <c r="S233" s="5"/>
      <c r="T233" s="5"/>
      <c r="U233" s="5"/>
      <c r="V233" s="5"/>
      <c r="W233" s="2"/>
      <c r="X233" s="2"/>
    </row>
    <row r="234" spans="16:24" x14ac:dyDescent="0.2">
      <c r="P234" s="5"/>
      <c r="Q234" s="5"/>
      <c r="R234" s="5"/>
      <c r="S234" s="5"/>
      <c r="T234" s="5"/>
      <c r="U234" s="5"/>
      <c r="V234" s="5"/>
      <c r="W234" s="2"/>
      <c r="X234" s="2"/>
    </row>
    <row r="235" spans="16:24" x14ac:dyDescent="0.2">
      <c r="P235" s="5"/>
      <c r="Q235" s="5"/>
      <c r="R235" s="5"/>
      <c r="S235" s="5"/>
      <c r="T235" s="5"/>
      <c r="U235" s="5"/>
      <c r="V235" s="5"/>
      <c r="W235" s="2"/>
      <c r="X235" s="2"/>
    </row>
    <row r="236" spans="16:24" x14ac:dyDescent="0.2">
      <c r="P236" s="5"/>
      <c r="Q236" s="5"/>
      <c r="R236" s="5"/>
      <c r="S236" s="5"/>
      <c r="T236" s="5"/>
      <c r="U236" s="5"/>
      <c r="V236" s="5"/>
      <c r="W236" s="2"/>
      <c r="X236" s="2"/>
    </row>
    <row r="237" spans="16:24" x14ac:dyDescent="0.2">
      <c r="P237" s="5"/>
      <c r="Q237" s="5"/>
      <c r="R237" s="5"/>
      <c r="S237" s="5"/>
      <c r="T237" s="5"/>
      <c r="U237" s="5"/>
      <c r="V237" s="5"/>
      <c r="W237" s="2"/>
      <c r="X237" s="2"/>
    </row>
    <row r="238" spans="16:24" x14ac:dyDescent="0.2">
      <c r="P238" s="5"/>
      <c r="Q238" s="5"/>
      <c r="R238" s="5"/>
      <c r="S238" s="5"/>
      <c r="T238" s="5"/>
      <c r="U238" s="5"/>
      <c r="V238" s="5"/>
      <c r="W238" s="2"/>
      <c r="X238" s="2"/>
    </row>
    <row r="239" spans="16:24" x14ac:dyDescent="0.2">
      <c r="P239" s="5"/>
      <c r="Q239" s="5"/>
      <c r="R239" s="5"/>
      <c r="S239" s="5"/>
      <c r="T239" s="5"/>
      <c r="U239" s="5"/>
      <c r="V239" s="5"/>
      <c r="W239" s="2"/>
      <c r="X239" s="2"/>
    </row>
    <row r="240" spans="16:24" x14ac:dyDescent="0.2">
      <c r="P240" s="5"/>
      <c r="Q240" s="5"/>
      <c r="R240" s="5"/>
      <c r="S240" s="5"/>
      <c r="T240" s="5"/>
      <c r="U240" s="5"/>
      <c r="V240" s="5"/>
      <c r="W240" s="2"/>
      <c r="X240" s="2"/>
    </row>
    <row r="241" spans="16:24" x14ac:dyDescent="0.2">
      <c r="P241" s="5"/>
      <c r="Q241" s="5"/>
      <c r="R241" s="5"/>
      <c r="S241" s="5"/>
      <c r="T241" s="5"/>
      <c r="U241" s="5"/>
      <c r="V241" s="5"/>
      <c r="W241" s="2"/>
      <c r="X241" s="2"/>
    </row>
    <row r="242" spans="16:24" x14ac:dyDescent="0.2">
      <c r="P242" s="5"/>
      <c r="Q242" s="5"/>
      <c r="R242" s="5"/>
      <c r="S242" s="5"/>
      <c r="T242" s="5"/>
      <c r="U242" s="5"/>
      <c r="V242" s="5"/>
      <c r="W242" s="2"/>
      <c r="X242" s="2"/>
    </row>
    <row r="243" spans="16:24" x14ac:dyDescent="0.2">
      <c r="P243" s="5"/>
      <c r="Q243" s="5"/>
      <c r="R243" s="5"/>
      <c r="S243" s="5"/>
      <c r="T243" s="5"/>
      <c r="U243" s="5"/>
      <c r="V243" s="5"/>
      <c r="W243" s="2"/>
      <c r="X243" s="2"/>
    </row>
    <row r="244" spans="16:24" x14ac:dyDescent="0.2">
      <c r="P244" s="5"/>
      <c r="Q244" s="5"/>
      <c r="R244" s="5"/>
      <c r="S244" s="5"/>
      <c r="T244" s="5"/>
      <c r="U244" s="5"/>
      <c r="V244" s="5"/>
      <c r="W244" s="2"/>
      <c r="X244" s="2"/>
    </row>
    <row r="245" spans="16:24" x14ac:dyDescent="0.2">
      <c r="P245" s="5"/>
      <c r="Q245" s="5"/>
      <c r="R245" s="5"/>
      <c r="S245" s="5"/>
      <c r="T245" s="5"/>
      <c r="U245" s="5"/>
      <c r="V245" s="5"/>
      <c r="W245" s="2"/>
      <c r="X245" s="2"/>
    </row>
    <row r="246" spans="16:24" x14ac:dyDescent="0.2">
      <c r="P246" s="5"/>
      <c r="Q246" s="5"/>
      <c r="R246" s="5"/>
      <c r="S246" s="5"/>
      <c r="T246" s="5"/>
      <c r="U246" s="5"/>
      <c r="V246" s="5"/>
      <c r="W246" s="2"/>
      <c r="X246" s="2"/>
    </row>
    <row r="247" spans="16:24" x14ac:dyDescent="0.2">
      <c r="P247" s="5"/>
      <c r="Q247" s="5"/>
      <c r="R247" s="5"/>
      <c r="S247" s="5"/>
      <c r="T247" s="5"/>
      <c r="U247" s="5"/>
      <c r="V247" s="5"/>
      <c r="W247" s="2"/>
      <c r="X247" s="2"/>
    </row>
    <row r="248" spans="16:24" x14ac:dyDescent="0.2">
      <c r="P248" s="5"/>
      <c r="Q248" s="5"/>
      <c r="R248" s="5"/>
      <c r="S248" s="5"/>
      <c r="T248" s="5"/>
      <c r="U248" s="5"/>
      <c r="V248" s="5"/>
      <c r="W248" s="2"/>
      <c r="X248" s="2"/>
    </row>
    <row r="249" spans="16:24" x14ac:dyDescent="0.2">
      <c r="P249" s="5"/>
      <c r="Q249" s="5"/>
      <c r="R249" s="5"/>
      <c r="S249" s="5"/>
      <c r="T249" s="5"/>
      <c r="U249" s="5"/>
      <c r="V249" s="5"/>
      <c r="W249" s="2"/>
      <c r="X249" s="2"/>
    </row>
    <row r="250" spans="16:24" x14ac:dyDescent="0.2">
      <c r="P250" s="5"/>
      <c r="Q250" s="5"/>
      <c r="R250" s="5"/>
      <c r="S250" s="5"/>
      <c r="T250" s="5"/>
      <c r="U250" s="5"/>
      <c r="V250" s="5"/>
      <c r="W250" s="2"/>
      <c r="X250" s="2"/>
    </row>
    <row r="251" spans="16:24" x14ac:dyDescent="0.2">
      <c r="P251" s="5"/>
      <c r="Q251" s="5"/>
      <c r="R251" s="5"/>
      <c r="S251" s="5"/>
      <c r="T251" s="5"/>
      <c r="U251" s="5"/>
      <c r="V251" s="5"/>
      <c r="W251" s="2"/>
      <c r="X251" s="2"/>
    </row>
    <row r="252" spans="16:24" x14ac:dyDescent="0.2">
      <c r="P252" s="5"/>
      <c r="Q252" s="5"/>
      <c r="R252" s="5"/>
      <c r="S252" s="5"/>
      <c r="T252" s="5"/>
      <c r="U252" s="5"/>
      <c r="V252" s="5"/>
      <c r="W252" s="2"/>
      <c r="X252" s="2"/>
    </row>
    <row r="253" spans="16:24" x14ac:dyDescent="0.2">
      <c r="P253" s="5"/>
      <c r="Q253" s="5"/>
      <c r="R253" s="5"/>
      <c r="S253" s="5"/>
      <c r="T253" s="5"/>
      <c r="U253" s="5"/>
      <c r="V253" s="5"/>
      <c r="W253" s="2"/>
      <c r="X253" s="2"/>
    </row>
    <row r="254" spans="16:24" x14ac:dyDescent="0.2">
      <c r="P254" s="5"/>
      <c r="Q254" s="5"/>
      <c r="R254" s="5"/>
      <c r="S254" s="5"/>
      <c r="T254" s="5"/>
      <c r="U254" s="5"/>
      <c r="V254" s="5"/>
      <c r="W254" s="2"/>
      <c r="X254" s="2"/>
    </row>
    <row r="255" spans="16:24" x14ac:dyDescent="0.2">
      <c r="P255" s="5"/>
      <c r="Q255" s="5"/>
      <c r="R255" s="5"/>
      <c r="S255" s="5"/>
      <c r="T255" s="5"/>
      <c r="U255" s="5"/>
      <c r="V255" s="5"/>
      <c r="W255" s="2"/>
      <c r="X255" s="2"/>
    </row>
    <row r="256" spans="16:24" x14ac:dyDescent="0.2">
      <c r="P256" s="5"/>
      <c r="Q256" s="5"/>
      <c r="R256" s="5"/>
      <c r="S256" s="5"/>
      <c r="T256" s="5"/>
      <c r="U256" s="5"/>
      <c r="V256" s="5"/>
      <c r="W256" s="2"/>
      <c r="X256" s="2"/>
    </row>
    <row r="257" spans="16:24" x14ac:dyDescent="0.2">
      <c r="P257" s="5"/>
      <c r="Q257" s="5"/>
      <c r="R257" s="5"/>
      <c r="S257" s="5"/>
      <c r="T257" s="5"/>
      <c r="U257" s="5"/>
      <c r="V257" s="5"/>
      <c r="W257" s="2"/>
      <c r="X257" s="2"/>
    </row>
    <row r="258" spans="16:24" x14ac:dyDescent="0.2">
      <c r="P258" s="5"/>
      <c r="Q258" s="5"/>
      <c r="R258" s="5"/>
      <c r="S258" s="5"/>
      <c r="T258" s="5"/>
      <c r="U258" s="5"/>
      <c r="V258" s="5"/>
      <c r="W258" s="2"/>
      <c r="X258" s="2"/>
    </row>
    <row r="259" spans="16:24" x14ac:dyDescent="0.2">
      <c r="P259" s="5"/>
      <c r="Q259" s="5"/>
      <c r="R259" s="5"/>
      <c r="S259" s="5"/>
      <c r="T259" s="5"/>
      <c r="U259" s="5"/>
      <c r="V259" s="5"/>
      <c r="W259" s="2"/>
      <c r="X259" s="2"/>
    </row>
    <row r="260" spans="16:24" x14ac:dyDescent="0.2">
      <c r="P260" s="5"/>
      <c r="Q260" s="5"/>
      <c r="R260" s="5"/>
      <c r="S260" s="5"/>
      <c r="T260" s="5"/>
      <c r="U260" s="5"/>
      <c r="V260" s="5"/>
      <c r="W260" s="2"/>
      <c r="X260" s="2"/>
    </row>
    <row r="261" spans="16:24" x14ac:dyDescent="0.2">
      <c r="P261" s="5"/>
      <c r="Q261" s="5"/>
      <c r="R261" s="5"/>
      <c r="S261" s="5"/>
      <c r="T261" s="5"/>
      <c r="U261" s="5"/>
      <c r="V261" s="5"/>
      <c r="W261" s="2"/>
      <c r="X261" s="2"/>
    </row>
    <row r="262" spans="16:24" x14ac:dyDescent="0.2">
      <c r="P262" s="5"/>
      <c r="Q262" s="5"/>
      <c r="R262" s="5"/>
      <c r="S262" s="5"/>
      <c r="T262" s="5"/>
      <c r="U262" s="5"/>
      <c r="V262" s="5"/>
      <c r="W262" s="2"/>
      <c r="X262" s="2"/>
    </row>
    <row r="263" spans="16:24" x14ac:dyDescent="0.2">
      <c r="P263" s="5"/>
      <c r="Q263" s="5"/>
      <c r="R263" s="5"/>
      <c r="S263" s="5"/>
      <c r="T263" s="5"/>
      <c r="U263" s="5"/>
      <c r="V263" s="5"/>
      <c r="W263" s="2"/>
      <c r="X263" s="2"/>
    </row>
    <row r="264" spans="16:24" x14ac:dyDescent="0.2">
      <c r="P264" s="5"/>
      <c r="Q264" s="5"/>
      <c r="R264" s="5"/>
      <c r="S264" s="5"/>
      <c r="T264" s="5"/>
      <c r="U264" s="5"/>
      <c r="V264" s="5"/>
      <c r="W264" s="2"/>
      <c r="X264" s="2"/>
    </row>
    <row r="265" spans="16:24" x14ac:dyDescent="0.2">
      <c r="P265" s="5"/>
      <c r="Q265" s="5"/>
      <c r="R265" s="5"/>
      <c r="S265" s="5"/>
      <c r="T265" s="5"/>
      <c r="U265" s="5"/>
      <c r="V265" s="5"/>
      <c r="W265" s="2"/>
      <c r="X265" s="2"/>
    </row>
    <row r="266" spans="16:24" x14ac:dyDescent="0.2">
      <c r="P266" s="5"/>
      <c r="Q266" s="5"/>
      <c r="R266" s="5"/>
      <c r="S266" s="5"/>
      <c r="T266" s="5"/>
      <c r="U266" s="5"/>
      <c r="V266" s="5"/>
      <c r="W266" s="2"/>
      <c r="X266" s="2"/>
    </row>
    <row r="267" spans="16:24" x14ac:dyDescent="0.2">
      <c r="P267" s="5"/>
      <c r="Q267" s="5"/>
      <c r="R267" s="5"/>
      <c r="S267" s="5"/>
      <c r="T267" s="5"/>
      <c r="U267" s="5"/>
      <c r="V267" s="5"/>
      <c r="W267" s="2"/>
      <c r="X267" s="2"/>
    </row>
    <row r="268" spans="16:24" x14ac:dyDescent="0.2">
      <c r="P268" s="5"/>
      <c r="Q268" s="5"/>
      <c r="R268" s="5"/>
      <c r="S268" s="5"/>
      <c r="T268" s="5"/>
      <c r="U268" s="5"/>
      <c r="V268" s="5"/>
      <c r="W268" s="2"/>
      <c r="X268" s="2"/>
    </row>
    <row r="269" spans="16:24" x14ac:dyDescent="0.2">
      <c r="P269" s="5"/>
      <c r="Q269" s="5"/>
      <c r="R269" s="5"/>
      <c r="S269" s="5"/>
      <c r="T269" s="5"/>
      <c r="U269" s="5"/>
      <c r="V269" s="5"/>
      <c r="W269" s="2"/>
      <c r="X269" s="2"/>
    </row>
    <row r="270" spans="16:24" x14ac:dyDescent="0.2">
      <c r="P270" s="5"/>
      <c r="Q270" s="5"/>
      <c r="R270" s="5"/>
      <c r="S270" s="5"/>
      <c r="T270" s="5"/>
      <c r="U270" s="5"/>
      <c r="V270" s="5"/>
      <c r="W270" s="2"/>
      <c r="X270" s="2"/>
    </row>
    <row r="271" spans="16:24" x14ac:dyDescent="0.2">
      <c r="P271" s="5"/>
      <c r="Q271" s="5"/>
      <c r="R271" s="5"/>
      <c r="S271" s="5"/>
      <c r="T271" s="5"/>
      <c r="U271" s="5"/>
      <c r="V271" s="5"/>
      <c r="W271" s="2"/>
      <c r="X271" s="2"/>
    </row>
    <row r="272" spans="16:24" x14ac:dyDescent="0.2">
      <c r="P272" s="5"/>
      <c r="Q272" s="5"/>
      <c r="R272" s="5"/>
      <c r="S272" s="5"/>
      <c r="T272" s="5"/>
      <c r="U272" s="5"/>
      <c r="V272" s="5"/>
      <c r="W272" s="2"/>
      <c r="X272" s="2"/>
    </row>
    <row r="273" spans="16:24" x14ac:dyDescent="0.2">
      <c r="P273" s="5"/>
      <c r="Q273" s="5"/>
      <c r="R273" s="5"/>
      <c r="S273" s="5"/>
      <c r="T273" s="5"/>
      <c r="U273" s="5"/>
      <c r="V273" s="5"/>
      <c r="W273" s="2"/>
      <c r="X273" s="2"/>
    </row>
    <row r="274" spans="16:24" x14ac:dyDescent="0.2">
      <c r="P274" s="5"/>
      <c r="Q274" s="5"/>
      <c r="R274" s="5"/>
      <c r="S274" s="5"/>
      <c r="T274" s="5"/>
      <c r="U274" s="5"/>
      <c r="V274" s="5"/>
      <c r="W274" s="2"/>
      <c r="X274" s="2"/>
    </row>
    <row r="275" spans="16:24" x14ac:dyDescent="0.2">
      <c r="P275" s="5"/>
      <c r="Q275" s="5"/>
      <c r="R275" s="5"/>
      <c r="S275" s="5"/>
      <c r="T275" s="5"/>
      <c r="U275" s="5"/>
      <c r="V275" s="5"/>
      <c r="W275" s="2"/>
      <c r="X275" s="2"/>
    </row>
    <row r="276" spans="16:24" x14ac:dyDescent="0.2">
      <c r="P276" s="5"/>
      <c r="Q276" s="5"/>
      <c r="R276" s="5"/>
      <c r="S276" s="5"/>
      <c r="T276" s="5"/>
      <c r="U276" s="5"/>
      <c r="V276" s="5"/>
      <c r="W276" s="2"/>
      <c r="X276" s="2"/>
    </row>
    <row r="277" spans="16:24" x14ac:dyDescent="0.2">
      <c r="P277" s="5"/>
      <c r="Q277" s="5"/>
      <c r="R277" s="5"/>
      <c r="S277" s="5"/>
      <c r="T277" s="5"/>
      <c r="U277" s="5"/>
      <c r="V277" s="5"/>
      <c r="W277" s="2"/>
      <c r="X277" s="2"/>
    </row>
    <row r="278" spans="16:24" x14ac:dyDescent="0.2">
      <c r="P278" s="5"/>
      <c r="Q278" s="5"/>
      <c r="R278" s="5"/>
      <c r="S278" s="5"/>
      <c r="T278" s="5"/>
      <c r="U278" s="5"/>
      <c r="V278" s="5"/>
      <c r="W278" s="2"/>
      <c r="X278" s="2"/>
    </row>
    <row r="279" spans="16:24" x14ac:dyDescent="0.2">
      <c r="P279" s="5"/>
      <c r="Q279" s="5"/>
      <c r="R279" s="5"/>
      <c r="S279" s="5"/>
      <c r="T279" s="5"/>
      <c r="U279" s="5"/>
      <c r="V279" s="5"/>
      <c r="W279" s="2"/>
      <c r="X279" s="2"/>
    </row>
    <row r="280" spans="16:24" x14ac:dyDescent="0.2">
      <c r="P280" s="5"/>
      <c r="Q280" s="5"/>
      <c r="R280" s="5"/>
      <c r="S280" s="5"/>
      <c r="T280" s="5"/>
      <c r="U280" s="5"/>
      <c r="V280" s="5"/>
      <c r="W280" s="2"/>
      <c r="X280" s="2"/>
    </row>
    <row r="281" spans="16:24" x14ac:dyDescent="0.2">
      <c r="P281" s="5"/>
      <c r="Q281" s="5"/>
      <c r="R281" s="5"/>
      <c r="S281" s="5"/>
      <c r="T281" s="5"/>
      <c r="U281" s="5"/>
      <c r="V281" s="5"/>
      <c r="W281" s="2"/>
      <c r="X281" s="2"/>
    </row>
    <row r="282" spans="16:24" x14ac:dyDescent="0.2">
      <c r="P282" s="5"/>
      <c r="Q282" s="5"/>
      <c r="R282" s="5"/>
      <c r="S282" s="5"/>
      <c r="T282" s="5"/>
      <c r="U282" s="5"/>
      <c r="V282" s="5"/>
      <c r="W282" s="2"/>
      <c r="X282" s="2"/>
    </row>
    <row r="283" spans="16:24" x14ac:dyDescent="0.2">
      <c r="P283" s="5"/>
      <c r="Q283" s="5"/>
      <c r="R283" s="5"/>
      <c r="S283" s="5"/>
      <c r="T283" s="5"/>
      <c r="U283" s="5"/>
      <c r="V283" s="5"/>
      <c r="W283" s="2"/>
      <c r="X283" s="2"/>
    </row>
    <row r="284" spans="16:24" x14ac:dyDescent="0.2">
      <c r="P284" s="5"/>
      <c r="Q284" s="5"/>
      <c r="R284" s="5"/>
      <c r="S284" s="5"/>
      <c r="T284" s="5"/>
      <c r="U284" s="5"/>
      <c r="V284" s="5"/>
      <c r="W284" s="2"/>
      <c r="X284" s="2"/>
    </row>
    <row r="285" spans="16:24" x14ac:dyDescent="0.2">
      <c r="P285" s="5"/>
      <c r="Q285" s="5"/>
      <c r="R285" s="5"/>
      <c r="S285" s="5"/>
      <c r="T285" s="5"/>
      <c r="U285" s="5"/>
      <c r="V285" s="5"/>
      <c r="W285" s="2"/>
      <c r="X285" s="2"/>
    </row>
    <row r="286" spans="16:24" x14ac:dyDescent="0.2">
      <c r="P286" s="5"/>
      <c r="Q286" s="5"/>
      <c r="R286" s="5"/>
      <c r="S286" s="5"/>
      <c r="T286" s="5"/>
      <c r="U286" s="5"/>
      <c r="V286" s="5"/>
      <c r="W286" s="2"/>
      <c r="X286" s="2"/>
    </row>
    <row r="287" spans="16:24" x14ac:dyDescent="0.2">
      <c r="P287" s="5"/>
      <c r="Q287" s="5"/>
      <c r="R287" s="5"/>
      <c r="S287" s="5"/>
      <c r="T287" s="5"/>
      <c r="U287" s="5"/>
      <c r="V287" s="5"/>
      <c r="W287" s="2"/>
      <c r="X287" s="2"/>
    </row>
    <row r="288" spans="16:24" x14ac:dyDescent="0.2">
      <c r="P288" s="5"/>
      <c r="Q288" s="5"/>
      <c r="R288" s="5"/>
      <c r="S288" s="5"/>
      <c r="T288" s="5"/>
      <c r="U288" s="5"/>
      <c r="V288" s="5"/>
      <c r="W288" s="2"/>
      <c r="X288" s="2"/>
    </row>
    <row r="289" spans="16:24" x14ac:dyDescent="0.2">
      <c r="P289" s="5"/>
      <c r="Q289" s="5"/>
      <c r="R289" s="5"/>
      <c r="S289" s="5"/>
      <c r="T289" s="5"/>
      <c r="U289" s="5"/>
      <c r="V289" s="5"/>
      <c r="W289" s="2"/>
      <c r="X289" s="2"/>
    </row>
    <row r="290" spans="16:24" x14ac:dyDescent="0.2">
      <c r="P290" s="5"/>
      <c r="Q290" s="5"/>
      <c r="R290" s="5"/>
      <c r="S290" s="5"/>
      <c r="T290" s="5"/>
      <c r="U290" s="5"/>
      <c r="V290" s="5"/>
      <c r="W290" s="2"/>
      <c r="X290" s="2"/>
    </row>
    <row r="291" spans="16:24" x14ac:dyDescent="0.2">
      <c r="P291" s="5"/>
      <c r="Q291" s="5"/>
      <c r="R291" s="5"/>
      <c r="S291" s="5"/>
      <c r="T291" s="5"/>
      <c r="U291" s="5"/>
      <c r="V291" s="5"/>
      <c r="W291" s="2"/>
      <c r="X291" s="2"/>
    </row>
    <row r="292" spans="16:24" x14ac:dyDescent="0.2">
      <c r="P292" s="5"/>
      <c r="Q292" s="5"/>
      <c r="R292" s="5"/>
      <c r="S292" s="5"/>
      <c r="T292" s="5"/>
      <c r="U292" s="5"/>
      <c r="V292" s="5"/>
      <c r="W292" s="2"/>
      <c r="X292" s="2"/>
    </row>
    <row r="293" spans="16:24" x14ac:dyDescent="0.2">
      <c r="P293" s="5"/>
      <c r="Q293" s="5"/>
      <c r="R293" s="5"/>
      <c r="S293" s="5"/>
      <c r="T293" s="5"/>
      <c r="U293" s="5"/>
      <c r="V293" s="5"/>
      <c r="W293" s="2"/>
      <c r="X293" s="2"/>
    </row>
    <row r="294" spans="16:24" x14ac:dyDescent="0.2">
      <c r="P294" s="5"/>
      <c r="Q294" s="5"/>
      <c r="R294" s="5"/>
      <c r="S294" s="5"/>
      <c r="T294" s="5"/>
      <c r="U294" s="5"/>
      <c r="V294" s="5"/>
      <c r="W294" s="2"/>
      <c r="X294" s="2"/>
    </row>
    <row r="295" spans="16:24" x14ac:dyDescent="0.2">
      <c r="P295" s="5"/>
      <c r="Q295" s="5"/>
      <c r="R295" s="5"/>
      <c r="S295" s="5"/>
      <c r="T295" s="5"/>
      <c r="U295" s="5"/>
      <c r="V295" s="5"/>
      <c r="W295" s="2"/>
      <c r="X295" s="2"/>
    </row>
    <row r="296" spans="16:24" x14ac:dyDescent="0.2">
      <c r="P296" s="5"/>
      <c r="Q296" s="5"/>
      <c r="R296" s="5"/>
      <c r="S296" s="5"/>
      <c r="T296" s="5"/>
      <c r="U296" s="5"/>
      <c r="V296" s="5"/>
      <c r="W296" s="2"/>
      <c r="X296" s="2"/>
    </row>
    <row r="297" spans="16:24" x14ac:dyDescent="0.2">
      <c r="P297" s="5"/>
      <c r="Q297" s="5"/>
      <c r="R297" s="5"/>
      <c r="S297" s="5"/>
      <c r="T297" s="5"/>
      <c r="U297" s="5"/>
      <c r="V297" s="5"/>
      <c r="W297" s="2"/>
      <c r="X297" s="2"/>
    </row>
    <row r="298" spans="16:24" x14ac:dyDescent="0.2">
      <c r="P298" s="5"/>
      <c r="Q298" s="5"/>
      <c r="R298" s="5"/>
      <c r="S298" s="5"/>
      <c r="T298" s="5"/>
      <c r="U298" s="5"/>
      <c r="V298" s="5"/>
      <c r="W298" s="2"/>
      <c r="X298" s="2"/>
    </row>
    <row r="299" spans="16:24" x14ac:dyDescent="0.2">
      <c r="P299" s="5"/>
      <c r="Q299" s="5"/>
      <c r="R299" s="5"/>
      <c r="S299" s="5"/>
      <c r="T299" s="5"/>
      <c r="U299" s="5"/>
      <c r="V299" s="5"/>
      <c r="W299" s="2"/>
      <c r="X299" s="2"/>
    </row>
  </sheetData>
  <mergeCells count="42">
    <mergeCell ref="H42:H53"/>
    <mergeCell ref="I42:I53"/>
    <mergeCell ref="J42:J53"/>
    <mergeCell ref="C42:C53"/>
    <mergeCell ref="D42:D53"/>
    <mergeCell ref="E42:E53"/>
    <mergeCell ref="F42:F53"/>
    <mergeCell ref="G42:G53"/>
    <mergeCell ref="F18:F29"/>
    <mergeCell ref="G18:G29"/>
    <mergeCell ref="H18:H29"/>
    <mergeCell ref="C2:J4"/>
    <mergeCell ref="C5:C17"/>
    <mergeCell ref="D5:D17"/>
    <mergeCell ref="E5:E17"/>
    <mergeCell ref="F5:F17"/>
    <mergeCell ref="G5:G17"/>
    <mergeCell ref="H5:H17"/>
    <mergeCell ref="I5:I17"/>
    <mergeCell ref="J5:J17"/>
    <mergeCell ref="C54:J56"/>
    <mergeCell ref="L57:N57"/>
    <mergeCell ref="O57:Q57"/>
    <mergeCell ref="I18:I29"/>
    <mergeCell ref="J18:J29"/>
    <mergeCell ref="C30:C41"/>
    <mergeCell ref="D30:D41"/>
    <mergeCell ref="E30:E41"/>
    <mergeCell ref="F30:F41"/>
    <mergeCell ref="G30:G41"/>
    <mergeCell ref="H30:H41"/>
    <mergeCell ref="I30:I41"/>
    <mergeCell ref="J30:J41"/>
    <mergeCell ref="C18:C29"/>
    <mergeCell ref="D18:D29"/>
    <mergeCell ref="E18:E29"/>
    <mergeCell ref="U57:W57"/>
    <mergeCell ref="L58:N58"/>
    <mergeCell ref="O58:Q58"/>
    <mergeCell ref="R58:T58"/>
    <mergeCell ref="U58:W58"/>
    <mergeCell ref="R57:T57"/>
  </mergeCells>
  <phoneticPr fontId="4"/>
  <printOptions horizontalCentered="1"/>
  <pageMargins left="0.70866141732283472" right="0.70866141732283472" top="0.74803149606299213" bottom="0.74803149606299213" header="0.31496062992125984" footer="0.31496062992125984"/>
  <pageSetup paperSize="8" scale="74" fitToHeight="0" orientation="landscape" r:id="rId1"/>
  <ignoredErrors>
    <ignoredError sqref="X17:X41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3ABD7-E806-47DC-90C5-280596010487}">
  <sheetPr codeName="Sheet4">
    <pageSetUpPr fitToPage="1"/>
  </sheetPr>
  <dimension ref="A1:Z298"/>
  <sheetViews>
    <sheetView showGridLines="0" zoomScale="80" zoomScaleNormal="80" zoomScaleSheetLayoutView="70" workbookViewId="0">
      <pane xSplit="11" ySplit="4" topLeftCell="L5" activePane="bottomRight" state="frozen"/>
      <selection sqref="A1:B1048576"/>
      <selection pane="topRight" sqref="A1:B1048576"/>
      <selection pane="bottomLeft" sqref="A1:B1048576"/>
      <selection pane="bottomRight"/>
    </sheetView>
  </sheetViews>
  <sheetFormatPr defaultRowHeight="12" x14ac:dyDescent="0.2"/>
  <cols>
    <col min="1" max="1" width="9.08984375" style="14" bestFit="1" customWidth="1"/>
    <col min="2" max="2" width="9.453125" style="16" bestFit="1" customWidth="1"/>
    <col min="3" max="3" width="6.08984375" style="2" bestFit="1" customWidth="1"/>
    <col min="4" max="4" width="9.08984375" style="2" customWidth="1"/>
    <col min="5" max="5" width="5.08984375" style="2" customWidth="1"/>
    <col min="6" max="6" width="10.6328125" style="1" customWidth="1"/>
    <col min="7" max="7" width="9.6328125" style="2" customWidth="1"/>
    <col min="8" max="9" width="11.90625" style="2" customWidth="1"/>
    <col min="10" max="10" width="8.36328125" style="2" customWidth="1"/>
    <col min="11" max="11" width="13.36328125" style="2" bestFit="1" customWidth="1"/>
    <col min="12" max="15" width="13.36328125" style="5" customWidth="1"/>
    <col min="16" max="16" width="13.36328125" style="80" customWidth="1"/>
    <col min="17" max="19" width="13.36328125" style="8" customWidth="1"/>
    <col min="20" max="20" width="13.36328125" style="3" customWidth="1"/>
    <col min="21" max="22" width="13.36328125" style="8" customWidth="1"/>
    <col min="23" max="23" width="13.90625" style="3" customWidth="1"/>
    <col min="24" max="24" width="16.453125" style="4" customWidth="1"/>
    <col min="25" max="25" width="9.6328125" style="2" bestFit="1" customWidth="1"/>
    <col min="26" max="26" width="11" style="10" bestFit="1" customWidth="1"/>
    <col min="27" max="259" width="8.90625" style="2"/>
    <col min="260" max="260" width="9.90625" style="2" customWidth="1"/>
    <col min="261" max="262" width="5.08984375" style="2" customWidth="1"/>
    <col min="263" max="263" width="9.6328125" style="2" customWidth="1"/>
    <col min="264" max="265" width="11.90625" style="2" customWidth="1"/>
    <col min="266" max="266" width="15.36328125" style="2" customWidth="1"/>
    <col min="267" max="267" width="10.90625" style="2" customWidth="1"/>
    <col min="268" max="278" width="13.36328125" style="2" customWidth="1"/>
    <col min="279" max="279" width="13.90625" style="2" customWidth="1"/>
    <col min="280" max="280" width="16.453125" style="2" customWidth="1"/>
    <col min="281" max="515" width="8.90625" style="2"/>
    <col min="516" max="516" width="9.90625" style="2" customWidth="1"/>
    <col min="517" max="518" width="5.08984375" style="2" customWidth="1"/>
    <col min="519" max="519" width="9.6328125" style="2" customWidth="1"/>
    <col min="520" max="521" width="11.90625" style="2" customWidth="1"/>
    <col min="522" max="522" width="15.36328125" style="2" customWidth="1"/>
    <col min="523" max="523" width="10.90625" style="2" customWidth="1"/>
    <col min="524" max="534" width="13.36328125" style="2" customWidth="1"/>
    <col min="535" max="535" width="13.90625" style="2" customWidth="1"/>
    <col min="536" max="536" width="16.453125" style="2" customWidth="1"/>
    <col min="537" max="771" width="8.90625" style="2"/>
    <col min="772" max="772" width="9.90625" style="2" customWidth="1"/>
    <col min="773" max="774" width="5.08984375" style="2" customWidth="1"/>
    <col min="775" max="775" width="9.6328125" style="2" customWidth="1"/>
    <col min="776" max="777" width="11.90625" style="2" customWidth="1"/>
    <col min="778" max="778" width="15.36328125" style="2" customWidth="1"/>
    <col min="779" max="779" width="10.90625" style="2" customWidth="1"/>
    <col min="780" max="790" width="13.36328125" style="2" customWidth="1"/>
    <col min="791" max="791" width="13.90625" style="2" customWidth="1"/>
    <col min="792" max="792" width="16.453125" style="2" customWidth="1"/>
    <col min="793" max="1027" width="8.90625" style="2"/>
    <col min="1028" max="1028" width="9.90625" style="2" customWidth="1"/>
    <col min="1029" max="1030" width="5.08984375" style="2" customWidth="1"/>
    <col min="1031" max="1031" width="9.6328125" style="2" customWidth="1"/>
    <col min="1032" max="1033" width="11.90625" style="2" customWidth="1"/>
    <col min="1034" max="1034" width="15.36328125" style="2" customWidth="1"/>
    <col min="1035" max="1035" width="10.90625" style="2" customWidth="1"/>
    <col min="1036" max="1046" width="13.36328125" style="2" customWidth="1"/>
    <col min="1047" max="1047" width="13.90625" style="2" customWidth="1"/>
    <col min="1048" max="1048" width="16.453125" style="2" customWidth="1"/>
    <col min="1049" max="1283" width="8.90625" style="2"/>
    <col min="1284" max="1284" width="9.90625" style="2" customWidth="1"/>
    <col min="1285" max="1286" width="5.08984375" style="2" customWidth="1"/>
    <col min="1287" max="1287" width="9.6328125" style="2" customWidth="1"/>
    <col min="1288" max="1289" width="11.90625" style="2" customWidth="1"/>
    <col min="1290" max="1290" width="15.36328125" style="2" customWidth="1"/>
    <col min="1291" max="1291" width="10.90625" style="2" customWidth="1"/>
    <col min="1292" max="1302" width="13.36328125" style="2" customWidth="1"/>
    <col min="1303" max="1303" width="13.90625" style="2" customWidth="1"/>
    <col min="1304" max="1304" width="16.453125" style="2" customWidth="1"/>
    <col min="1305" max="1539" width="8.90625" style="2"/>
    <col min="1540" max="1540" width="9.90625" style="2" customWidth="1"/>
    <col min="1541" max="1542" width="5.08984375" style="2" customWidth="1"/>
    <col min="1543" max="1543" width="9.6328125" style="2" customWidth="1"/>
    <col min="1544" max="1545" width="11.90625" style="2" customWidth="1"/>
    <col min="1546" max="1546" width="15.36328125" style="2" customWidth="1"/>
    <col min="1547" max="1547" width="10.90625" style="2" customWidth="1"/>
    <col min="1548" max="1558" width="13.36328125" style="2" customWidth="1"/>
    <col min="1559" max="1559" width="13.90625" style="2" customWidth="1"/>
    <col min="1560" max="1560" width="16.453125" style="2" customWidth="1"/>
    <col min="1561" max="1795" width="8.90625" style="2"/>
    <col min="1796" max="1796" width="9.90625" style="2" customWidth="1"/>
    <col min="1797" max="1798" width="5.08984375" style="2" customWidth="1"/>
    <col min="1799" max="1799" width="9.6328125" style="2" customWidth="1"/>
    <col min="1800" max="1801" width="11.90625" style="2" customWidth="1"/>
    <col min="1802" max="1802" width="15.36328125" style="2" customWidth="1"/>
    <col min="1803" max="1803" width="10.90625" style="2" customWidth="1"/>
    <col min="1804" max="1814" width="13.36328125" style="2" customWidth="1"/>
    <col min="1815" max="1815" width="13.90625" style="2" customWidth="1"/>
    <col min="1816" max="1816" width="16.453125" style="2" customWidth="1"/>
    <col min="1817" max="2051" width="8.90625" style="2"/>
    <col min="2052" max="2052" width="9.90625" style="2" customWidth="1"/>
    <col min="2053" max="2054" width="5.08984375" style="2" customWidth="1"/>
    <col min="2055" max="2055" width="9.6328125" style="2" customWidth="1"/>
    <col min="2056" max="2057" width="11.90625" style="2" customWidth="1"/>
    <col min="2058" max="2058" width="15.36328125" style="2" customWidth="1"/>
    <col min="2059" max="2059" width="10.90625" style="2" customWidth="1"/>
    <col min="2060" max="2070" width="13.36328125" style="2" customWidth="1"/>
    <col min="2071" max="2071" width="13.90625" style="2" customWidth="1"/>
    <col min="2072" max="2072" width="16.453125" style="2" customWidth="1"/>
    <col min="2073" max="2307" width="8.90625" style="2"/>
    <col min="2308" max="2308" width="9.90625" style="2" customWidth="1"/>
    <col min="2309" max="2310" width="5.08984375" style="2" customWidth="1"/>
    <col min="2311" max="2311" width="9.6328125" style="2" customWidth="1"/>
    <col min="2312" max="2313" width="11.90625" style="2" customWidth="1"/>
    <col min="2314" max="2314" width="15.36328125" style="2" customWidth="1"/>
    <col min="2315" max="2315" width="10.90625" style="2" customWidth="1"/>
    <col min="2316" max="2326" width="13.36328125" style="2" customWidth="1"/>
    <col min="2327" max="2327" width="13.90625" style="2" customWidth="1"/>
    <col min="2328" max="2328" width="16.453125" style="2" customWidth="1"/>
    <col min="2329" max="2563" width="8.90625" style="2"/>
    <col min="2564" max="2564" width="9.90625" style="2" customWidth="1"/>
    <col min="2565" max="2566" width="5.08984375" style="2" customWidth="1"/>
    <col min="2567" max="2567" width="9.6328125" style="2" customWidth="1"/>
    <col min="2568" max="2569" width="11.90625" style="2" customWidth="1"/>
    <col min="2570" max="2570" width="15.36328125" style="2" customWidth="1"/>
    <col min="2571" max="2571" width="10.90625" style="2" customWidth="1"/>
    <col min="2572" max="2582" width="13.36328125" style="2" customWidth="1"/>
    <col min="2583" max="2583" width="13.90625" style="2" customWidth="1"/>
    <col min="2584" max="2584" width="16.453125" style="2" customWidth="1"/>
    <col min="2585" max="2819" width="8.90625" style="2"/>
    <col min="2820" max="2820" width="9.90625" style="2" customWidth="1"/>
    <col min="2821" max="2822" width="5.08984375" style="2" customWidth="1"/>
    <col min="2823" max="2823" width="9.6328125" style="2" customWidth="1"/>
    <col min="2824" max="2825" width="11.90625" style="2" customWidth="1"/>
    <col min="2826" max="2826" width="15.36328125" style="2" customWidth="1"/>
    <col min="2827" max="2827" width="10.90625" style="2" customWidth="1"/>
    <col min="2828" max="2838" width="13.36328125" style="2" customWidth="1"/>
    <col min="2839" max="2839" width="13.90625" style="2" customWidth="1"/>
    <col min="2840" max="2840" width="16.453125" style="2" customWidth="1"/>
    <col min="2841" max="3075" width="8.90625" style="2"/>
    <col min="3076" max="3076" width="9.90625" style="2" customWidth="1"/>
    <col min="3077" max="3078" width="5.08984375" style="2" customWidth="1"/>
    <col min="3079" max="3079" width="9.6328125" style="2" customWidth="1"/>
    <col min="3080" max="3081" width="11.90625" style="2" customWidth="1"/>
    <col min="3082" max="3082" width="15.36328125" style="2" customWidth="1"/>
    <col min="3083" max="3083" width="10.90625" style="2" customWidth="1"/>
    <col min="3084" max="3094" width="13.36328125" style="2" customWidth="1"/>
    <col min="3095" max="3095" width="13.90625" style="2" customWidth="1"/>
    <col min="3096" max="3096" width="16.453125" style="2" customWidth="1"/>
    <col min="3097" max="3331" width="8.90625" style="2"/>
    <col min="3332" max="3332" width="9.90625" style="2" customWidth="1"/>
    <col min="3333" max="3334" width="5.08984375" style="2" customWidth="1"/>
    <col min="3335" max="3335" width="9.6328125" style="2" customWidth="1"/>
    <col min="3336" max="3337" width="11.90625" style="2" customWidth="1"/>
    <col min="3338" max="3338" width="15.36328125" style="2" customWidth="1"/>
    <col min="3339" max="3339" width="10.90625" style="2" customWidth="1"/>
    <col min="3340" max="3350" width="13.36328125" style="2" customWidth="1"/>
    <col min="3351" max="3351" width="13.90625" style="2" customWidth="1"/>
    <col min="3352" max="3352" width="16.453125" style="2" customWidth="1"/>
    <col min="3353" max="3587" width="8.90625" style="2"/>
    <col min="3588" max="3588" width="9.90625" style="2" customWidth="1"/>
    <col min="3589" max="3590" width="5.08984375" style="2" customWidth="1"/>
    <col min="3591" max="3591" width="9.6328125" style="2" customWidth="1"/>
    <col min="3592" max="3593" width="11.90625" style="2" customWidth="1"/>
    <col min="3594" max="3594" width="15.36328125" style="2" customWidth="1"/>
    <col min="3595" max="3595" width="10.90625" style="2" customWidth="1"/>
    <col min="3596" max="3606" width="13.36328125" style="2" customWidth="1"/>
    <col min="3607" max="3607" width="13.90625" style="2" customWidth="1"/>
    <col min="3608" max="3608" width="16.453125" style="2" customWidth="1"/>
    <col min="3609" max="3843" width="8.90625" style="2"/>
    <col min="3844" max="3844" width="9.90625" style="2" customWidth="1"/>
    <col min="3845" max="3846" width="5.08984375" style="2" customWidth="1"/>
    <col min="3847" max="3847" width="9.6328125" style="2" customWidth="1"/>
    <col min="3848" max="3849" width="11.90625" style="2" customWidth="1"/>
    <col min="3850" max="3850" width="15.36328125" style="2" customWidth="1"/>
    <col min="3851" max="3851" width="10.90625" style="2" customWidth="1"/>
    <col min="3852" max="3862" width="13.36328125" style="2" customWidth="1"/>
    <col min="3863" max="3863" width="13.90625" style="2" customWidth="1"/>
    <col min="3864" max="3864" width="16.453125" style="2" customWidth="1"/>
    <col min="3865" max="4099" width="8.90625" style="2"/>
    <col min="4100" max="4100" width="9.90625" style="2" customWidth="1"/>
    <col min="4101" max="4102" width="5.08984375" style="2" customWidth="1"/>
    <col min="4103" max="4103" width="9.6328125" style="2" customWidth="1"/>
    <col min="4104" max="4105" width="11.90625" style="2" customWidth="1"/>
    <col min="4106" max="4106" width="15.36328125" style="2" customWidth="1"/>
    <col min="4107" max="4107" width="10.90625" style="2" customWidth="1"/>
    <col min="4108" max="4118" width="13.36328125" style="2" customWidth="1"/>
    <col min="4119" max="4119" width="13.90625" style="2" customWidth="1"/>
    <col min="4120" max="4120" width="16.453125" style="2" customWidth="1"/>
    <col min="4121" max="4355" width="8.90625" style="2"/>
    <col min="4356" max="4356" width="9.90625" style="2" customWidth="1"/>
    <col min="4357" max="4358" width="5.08984375" style="2" customWidth="1"/>
    <col min="4359" max="4359" width="9.6328125" style="2" customWidth="1"/>
    <col min="4360" max="4361" width="11.90625" style="2" customWidth="1"/>
    <col min="4362" max="4362" width="15.36328125" style="2" customWidth="1"/>
    <col min="4363" max="4363" width="10.90625" style="2" customWidth="1"/>
    <col min="4364" max="4374" width="13.36328125" style="2" customWidth="1"/>
    <col min="4375" max="4375" width="13.90625" style="2" customWidth="1"/>
    <col min="4376" max="4376" width="16.453125" style="2" customWidth="1"/>
    <col min="4377" max="4611" width="8.90625" style="2"/>
    <col min="4612" max="4612" width="9.90625" style="2" customWidth="1"/>
    <col min="4613" max="4614" width="5.08984375" style="2" customWidth="1"/>
    <col min="4615" max="4615" width="9.6328125" style="2" customWidth="1"/>
    <col min="4616" max="4617" width="11.90625" style="2" customWidth="1"/>
    <col min="4618" max="4618" width="15.36328125" style="2" customWidth="1"/>
    <col min="4619" max="4619" width="10.90625" style="2" customWidth="1"/>
    <col min="4620" max="4630" width="13.36328125" style="2" customWidth="1"/>
    <col min="4631" max="4631" width="13.90625" style="2" customWidth="1"/>
    <col min="4632" max="4632" width="16.453125" style="2" customWidth="1"/>
    <col min="4633" max="4867" width="8.90625" style="2"/>
    <col min="4868" max="4868" width="9.90625" style="2" customWidth="1"/>
    <col min="4869" max="4870" width="5.08984375" style="2" customWidth="1"/>
    <col min="4871" max="4871" width="9.6328125" style="2" customWidth="1"/>
    <col min="4872" max="4873" width="11.90625" style="2" customWidth="1"/>
    <col min="4874" max="4874" width="15.36328125" style="2" customWidth="1"/>
    <col min="4875" max="4875" width="10.90625" style="2" customWidth="1"/>
    <col min="4876" max="4886" width="13.36328125" style="2" customWidth="1"/>
    <col min="4887" max="4887" width="13.90625" style="2" customWidth="1"/>
    <col min="4888" max="4888" width="16.453125" style="2" customWidth="1"/>
    <col min="4889" max="5123" width="8.90625" style="2"/>
    <col min="5124" max="5124" width="9.90625" style="2" customWidth="1"/>
    <col min="5125" max="5126" width="5.08984375" style="2" customWidth="1"/>
    <col min="5127" max="5127" width="9.6328125" style="2" customWidth="1"/>
    <col min="5128" max="5129" width="11.90625" style="2" customWidth="1"/>
    <col min="5130" max="5130" width="15.36328125" style="2" customWidth="1"/>
    <col min="5131" max="5131" width="10.90625" style="2" customWidth="1"/>
    <col min="5132" max="5142" width="13.36328125" style="2" customWidth="1"/>
    <col min="5143" max="5143" width="13.90625" style="2" customWidth="1"/>
    <col min="5144" max="5144" width="16.453125" style="2" customWidth="1"/>
    <col min="5145" max="5379" width="8.90625" style="2"/>
    <col min="5380" max="5380" width="9.90625" style="2" customWidth="1"/>
    <col min="5381" max="5382" width="5.08984375" style="2" customWidth="1"/>
    <col min="5383" max="5383" width="9.6328125" style="2" customWidth="1"/>
    <col min="5384" max="5385" width="11.90625" style="2" customWidth="1"/>
    <col min="5386" max="5386" width="15.36328125" style="2" customWidth="1"/>
    <col min="5387" max="5387" width="10.90625" style="2" customWidth="1"/>
    <col min="5388" max="5398" width="13.36328125" style="2" customWidth="1"/>
    <col min="5399" max="5399" width="13.90625" style="2" customWidth="1"/>
    <col min="5400" max="5400" width="16.453125" style="2" customWidth="1"/>
    <col min="5401" max="5635" width="8.90625" style="2"/>
    <col min="5636" max="5636" width="9.90625" style="2" customWidth="1"/>
    <col min="5637" max="5638" width="5.08984375" style="2" customWidth="1"/>
    <col min="5639" max="5639" width="9.6328125" style="2" customWidth="1"/>
    <col min="5640" max="5641" width="11.90625" style="2" customWidth="1"/>
    <col min="5642" max="5642" width="15.36328125" style="2" customWidth="1"/>
    <col min="5643" max="5643" width="10.90625" style="2" customWidth="1"/>
    <col min="5644" max="5654" width="13.36328125" style="2" customWidth="1"/>
    <col min="5655" max="5655" width="13.90625" style="2" customWidth="1"/>
    <col min="5656" max="5656" width="16.453125" style="2" customWidth="1"/>
    <col min="5657" max="5891" width="8.90625" style="2"/>
    <col min="5892" max="5892" width="9.90625" style="2" customWidth="1"/>
    <col min="5893" max="5894" width="5.08984375" style="2" customWidth="1"/>
    <col min="5895" max="5895" width="9.6328125" style="2" customWidth="1"/>
    <col min="5896" max="5897" width="11.90625" style="2" customWidth="1"/>
    <col min="5898" max="5898" width="15.36328125" style="2" customWidth="1"/>
    <col min="5899" max="5899" width="10.90625" style="2" customWidth="1"/>
    <col min="5900" max="5910" width="13.36328125" style="2" customWidth="1"/>
    <col min="5911" max="5911" width="13.90625" style="2" customWidth="1"/>
    <col min="5912" max="5912" width="16.453125" style="2" customWidth="1"/>
    <col min="5913" max="6147" width="8.90625" style="2"/>
    <col min="6148" max="6148" width="9.90625" style="2" customWidth="1"/>
    <col min="6149" max="6150" width="5.08984375" style="2" customWidth="1"/>
    <col min="6151" max="6151" width="9.6328125" style="2" customWidth="1"/>
    <col min="6152" max="6153" width="11.90625" style="2" customWidth="1"/>
    <col min="6154" max="6154" width="15.36328125" style="2" customWidth="1"/>
    <col min="6155" max="6155" width="10.90625" style="2" customWidth="1"/>
    <col min="6156" max="6166" width="13.36328125" style="2" customWidth="1"/>
    <col min="6167" max="6167" width="13.90625" style="2" customWidth="1"/>
    <col min="6168" max="6168" width="16.453125" style="2" customWidth="1"/>
    <col min="6169" max="6403" width="8.90625" style="2"/>
    <col min="6404" max="6404" width="9.90625" style="2" customWidth="1"/>
    <col min="6405" max="6406" width="5.08984375" style="2" customWidth="1"/>
    <col min="6407" max="6407" width="9.6328125" style="2" customWidth="1"/>
    <col min="6408" max="6409" width="11.90625" style="2" customWidth="1"/>
    <col min="6410" max="6410" width="15.36328125" style="2" customWidth="1"/>
    <col min="6411" max="6411" width="10.90625" style="2" customWidth="1"/>
    <col min="6412" max="6422" width="13.36328125" style="2" customWidth="1"/>
    <col min="6423" max="6423" width="13.90625" style="2" customWidth="1"/>
    <col min="6424" max="6424" width="16.453125" style="2" customWidth="1"/>
    <col min="6425" max="6659" width="8.90625" style="2"/>
    <col min="6660" max="6660" width="9.90625" style="2" customWidth="1"/>
    <col min="6661" max="6662" width="5.08984375" style="2" customWidth="1"/>
    <col min="6663" max="6663" width="9.6328125" style="2" customWidth="1"/>
    <col min="6664" max="6665" width="11.90625" style="2" customWidth="1"/>
    <col min="6666" max="6666" width="15.36328125" style="2" customWidth="1"/>
    <col min="6667" max="6667" width="10.90625" style="2" customWidth="1"/>
    <col min="6668" max="6678" width="13.36328125" style="2" customWidth="1"/>
    <col min="6679" max="6679" width="13.90625" style="2" customWidth="1"/>
    <col min="6680" max="6680" width="16.453125" style="2" customWidth="1"/>
    <col min="6681" max="6915" width="8.90625" style="2"/>
    <col min="6916" max="6916" width="9.90625" style="2" customWidth="1"/>
    <col min="6917" max="6918" width="5.08984375" style="2" customWidth="1"/>
    <col min="6919" max="6919" width="9.6328125" style="2" customWidth="1"/>
    <col min="6920" max="6921" width="11.90625" style="2" customWidth="1"/>
    <col min="6922" max="6922" width="15.36328125" style="2" customWidth="1"/>
    <col min="6923" max="6923" width="10.90625" style="2" customWidth="1"/>
    <col min="6924" max="6934" width="13.36328125" style="2" customWidth="1"/>
    <col min="6935" max="6935" width="13.90625" style="2" customWidth="1"/>
    <col min="6936" max="6936" width="16.453125" style="2" customWidth="1"/>
    <col min="6937" max="7171" width="8.90625" style="2"/>
    <col min="7172" max="7172" width="9.90625" style="2" customWidth="1"/>
    <col min="7173" max="7174" width="5.08984375" style="2" customWidth="1"/>
    <col min="7175" max="7175" width="9.6328125" style="2" customWidth="1"/>
    <col min="7176" max="7177" width="11.90625" style="2" customWidth="1"/>
    <col min="7178" max="7178" width="15.36328125" style="2" customWidth="1"/>
    <col min="7179" max="7179" width="10.90625" style="2" customWidth="1"/>
    <col min="7180" max="7190" width="13.36328125" style="2" customWidth="1"/>
    <col min="7191" max="7191" width="13.90625" style="2" customWidth="1"/>
    <col min="7192" max="7192" width="16.453125" style="2" customWidth="1"/>
    <col min="7193" max="7427" width="8.90625" style="2"/>
    <col min="7428" max="7428" width="9.90625" style="2" customWidth="1"/>
    <col min="7429" max="7430" width="5.08984375" style="2" customWidth="1"/>
    <col min="7431" max="7431" width="9.6328125" style="2" customWidth="1"/>
    <col min="7432" max="7433" width="11.90625" style="2" customWidth="1"/>
    <col min="7434" max="7434" width="15.36328125" style="2" customWidth="1"/>
    <col min="7435" max="7435" width="10.90625" style="2" customWidth="1"/>
    <col min="7436" max="7446" width="13.36328125" style="2" customWidth="1"/>
    <col min="7447" max="7447" width="13.90625" style="2" customWidth="1"/>
    <col min="7448" max="7448" width="16.453125" style="2" customWidth="1"/>
    <col min="7449" max="7683" width="8.90625" style="2"/>
    <col min="7684" max="7684" width="9.90625" style="2" customWidth="1"/>
    <col min="7685" max="7686" width="5.08984375" style="2" customWidth="1"/>
    <col min="7687" max="7687" width="9.6328125" style="2" customWidth="1"/>
    <col min="7688" max="7689" width="11.90625" style="2" customWidth="1"/>
    <col min="7690" max="7690" width="15.36328125" style="2" customWidth="1"/>
    <col min="7691" max="7691" width="10.90625" style="2" customWidth="1"/>
    <col min="7692" max="7702" width="13.36328125" style="2" customWidth="1"/>
    <col min="7703" max="7703" width="13.90625" style="2" customWidth="1"/>
    <col min="7704" max="7704" width="16.453125" style="2" customWidth="1"/>
    <col min="7705" max="7939" width="8.90625" style="2"/>
    <col min="7940" max="7940" width="9.90625" style="2" customWidth="1"/>
    <col min="7941" max="7942" width="5.08984375" style="2" customWidth="1"/>
    <col min="7943" max="7943" width="9.6328125" style="2" customWidth="1"/>
    <col min="7944" max="7945" width="11.90625" style="2" customWidth="1"/>
    <col min="7946" max="7946" width="15.36328125" style="2" customWidth="1"/>
    <col min="7947" max="7947" width="10.90625" style="2" customWidth="1"/>
    <col min="7948" max="7958" width="13.36328125" style="2" customWidth="1"/>
    <col min="7959" max="7959" width="13.90625" style="2" customWidth="1"/>
    <col min="7960" max="7960" width="16.453125" style="2" customWidth="1"/>
    <col min="7961" max="8195" width="8.90625" style="2"/>
    <col min="8196" max="8196" width="9.90625" style="2" customWidth="1"/>
    <col min="8197" max="8198" width="5.08984375" style="2" customWidth="1"/>
    <col min="8199" max="8199" width="9.6328125" style="2" customWidth="1"/>
    <col min="8200" max="8201" width="11.90625" style="2" customWidth="1"/>
    <col min="8202" max="8202" width="15.36328125" style="2" customWidth="1"/>
    <col min="8203" max="8203" width="10.90625" style="2" customWidth="1"/>
    <col min="8204" max="8214" width="13.36328125" style="2" customWidth="1"/>
    <col min="8215" max="8215" width="13.90625" style="2" customWidth="1"/>
    <col min="8216" max="8216" width="16.453125" style="2" customWidth="1"/>
    <col min="8217" max="8451" width="8.90625" style="2"/>
    <col min="8452" max="8452" width="9.90625" style="2" customWidth="1"/>
    <col min="8453" max="8454" width="5.08984375" style="2" customWidth="1"/>
    <col min="8455" max="8455" width="9.6328125" style="2" customWidth="1"/>
    <col min="8456" max="8457" width="11.90625" style="2" customWidth="1"/>
    <col min="8458" max="8458" width="15.36328125" style="2" customWidth="1"/>
    <col min="8459" max="8459" width="10.90625" style="2" customWidth="1"/>
    <col min="8460" max="8470" width="13.36328125" style="2" customWidth="1"/>
    <col min="8471" max="8471" width="13.90625" style="2" customWidth="1"/>
    <col min="8472" max="8472" width="16.453125" style="2" customWidth="1"/>
    <col min="8473" max="8707" width="8.90625" style="2"/>
    <col min="8708" max="8708" width="9.90625" style="2" customWidth="1"/>
    <col min="8709" max="8710" width="5.08984375" style="2" customWidth="1"/>
    <col min="8711" max="8711" width="9.6328125" style="2" customWidth="1"/>
    <col min="8712" max="8713" width="11.90625" style="2" customWidth="1"/>
    <col min="8714" max="8714" width="15.36328125" style="2" customWidth="1"/>
    <col min="8715" max="8715" width="10.90625" style="2" customWidth="1"/>
    <col min="8716" max="8726" width="13.36328125" style="2" customWidth="1"/>
    <col min="8727" max="8727" width="13.90625" style="2" customWidth="1"/>
    <col min="8728" max="8728" width="16.453125" style="2" customWidth="1"/>
    <col min="8729" max="8963" width="8.90625" style="2"/>
    <col min="8964" max="8964" width="9.90625" style="2" customWidth="1"/>
    <col min="8965" max="8966" width="5.08984375" style="2" customWidth="1"/>
    <col min="8967" max="8967" width="9.6328125" style="2" customWidth="1"/>
    <col min="8968" max="8969" width="11.90625" style="2" customWidth="1"/>
    <col min="8970" max="8970" width="15.36328125" style="2" customWidth="1"/>
    <col min="8971" max="8971" width="10.90625" style="2" customWidth="1"/>
    <col min="8972" max="8982" width="13.36328125" style="2" customWidth="1"/>
    <col min="8983" max="8983" width="13.90625" style="2" customWidth="1"/>
    <col min="8984" max="8984" width="16.453125" style="2" customWidth="1"/>
    <col min="8985" max="9219" width="8.90625" style="2"/>
    <col min="9220" max="9220" width="9.90625" style="2" customWidth="1"/>
    <col min="9221" max="9222" width="5.08984375" style="2" customWidth="1"/>
    <col min="9223" max="9223" width="9.6328125" style="2" customWidth="1"/>
    <col min="9224" max="9225" width="11.90625" style="2" customWidth="1"/>
    <col min="9226" max="9226" width="15.36328125" style="2" customWidth="1"/>
    <col min="9227" max="9227" width="10.90625" style="2" customWidth="1"/>
    <col min="9228" max="9238" width="13.36328125" style="2" customWidth="1"/>
    <col min="9239" max="9239" width="13.90625" style="2" customWidth="1"/>
    <col min="9240" max="9240" width="16.453125" style="2" customWidth="1"/>
    <col min="9241" max="9475" width="8.90625" style="2"/>
    <col min="9476" max="9476" width="9.90625" style="2" customWidth="1"/>
    <col min="9477" max="9478" width="5.08984375" style="2" customWidth="1"/>
    <col min="9479" max="9479" width="9.6328125" style="2" customWidth="1"/>
    <col min="9480" max="9481" width="11.90625" style="2" customWidth="1"/>
    <col min="9482" max="9482" width="15.36328125" style="2" customWidth="1"/>
    <col min="9483" max="9483" width="10.90625" style="2" customWidth="1"/>
    <col min="9484" max="9494" width="13.36328125" style="2" customWidth="1"/>
    <col min="9495" max="9495" width="13.90625" style="2" customWidth="1"/>
    <col min="9496" max="9496" width="16.453125" style="2" customWidth="1"/>
    <col min="9497" max="9731" width="8.90625" style="2"/>
    <col min="9732" max="9732" width="9.90625" style="2" customWidth="1"/>
    <col min="9733" max="9734" width="5.08984375" style="2" customWidth="1"/>
    <col min="9735" max="9735" width="9.6328125" style="2" customWidth="1"/>
    <col min="9736" max="9737" width="11.90625" style="2" customWidth="1"/>
    <col min="9738" max="9738" width="15.36328125" style="2" customWidth="1"/>
    <col min="9739" max="9739" width="10.90625" style="2" customWidth="1"/>
    <col min="9740" max="9750" width="13.36328125" style="2" customWidth="1"/>
    <col min="9751" max="9751" width="13.90625" style="2" customWidth="1"/>
    <col min="9752" max="9752" width="16.453125" style="2" customWidth="1"/>
    <col min="9753" max="9987" width="8.90625" style="2"/>
    <col min="9988" max="9988" width="9.90625" style="2" customWidth="1"/>
    <col min="9989" max="9990" width="5.08984375" style="2" customWidth="1"/>
    <col min="9991" max="9991" width="9.6328125" style="2" customWidth="1"/>
    <col min="9992" max="9993" width="11.90625" style="2" customWidth="1"/>
    <col min="9994" max="9994" width="15.36328125" style="2" customWidth="1"/>
    <col min="9995" max="9995" width="10.90625" style="2" customWidth="1"/>
    <col min="9996" max="10006" width="13.36328125" style="2" customWidth="1"/>
    <col min="10007" max="10007" width="13.90625" style="2" customWidth="1"/>
    <col min="10008" max="10008" width="16.453125" style="2" customWidth="1"/>
    <col min="10009" max="10243" width="8.90625" style="2"/>
    <col min="10244" max="10244" width="9.90625" style="2" customWidth="1"/>
    <col min="10245" max="10246" width="5.08984375" style="2" customWidth="1"/>
    <col min="10247" max="10247" width="9.6328125" style="2" customWidth="1"/>
    <col min="10248" max="10249" width="11.90625" style="2" customWidth="1"/>
    <col min="10250" max="10250" width="15.36328125" style="2" customWidth="1"/>
    <col min="10251" max="10251" width="10.90625" style="2" customWidth="1"/>
    <col min="10252" max="10262" width="13.36328125" style="2" customWidth="1"/>
    <col min="10263" max="10263" width="13.90625" style="2" customWidth="1"/>
    <col min="10264" max="10264" width="16.453125" style="2" customWidth="1"/>
    <col min="10265" max="10499" width="8.90625" style="2"/>
    <col min="10500" max="10500" width="9.90625" style="2" customWidth="1"/>
    <col min="10501" max="10502" width="5.08984375" style="2" customWidth="1"/>
    <col min="10503" max="10503" width="9.6328125" style="2" customWidth="1"/>
    <col min="10504" max="10505" width="11.90625" style="2" customWidth="1"/>
    <col min="10506" max="10506" width="15.36328125" style="2" customWidth="1"/>
    <col min="10507" max="10507" width="10.90625" style="2" customWidth="1"/>
    <col min="10508" max="10518" width="13.36328125" style="2" customWidth="1"/>
    <col min="10519" max="10519" width="13.90625" style="2" customWidth="1"/>
    <col min="10520" max="10520" width="16.453125" style="2" customWidth="1"/>
    <col min="10521" max="10755" width="8.90625" style="2"/>
    <col min="10756" max="10756" width="9.90625" style="2" customWidth="1"/>
    <col min="10757" max="10758" width="5.08984375" style="2" customWidth="1"/>
    <col min="10759" max="10759" width="9.6328125" style="2" customWidth="1"/>
    <col min="10760" max="10761" width="11.90625" style="2" customWidth="1"/>
    <col min="10762" max="10762" width="15.36328125" style="2" customWidth="1"/>
    <col min="10763" max="10763" width="10.90625" style="2" customWidth="1"/>
    <col min="10764" max="10774" width="13.36328125" style="2" customWidth="1"/>
    <col min="10775" max="10775" width="13.90625" style="2" customWidth="1"/>
    <col min="10776" max="10776" width="16.453125" style="2" customWidth="1"/>
    <col min="10777" max="11011" width="8.90625" style="2"/>
    <col min="11012" max="11012" width="9.90625" style="2" customWidth="1"/>
    <col min="11013" max="11014" width="5.08984375" style="2" customWidth="1"/>
    <col min="11015" max="11015" width="9.6328125" style="2" customWidth="1"/>
    <col min="11016" max="11017" width="11.90625" style="2" customWidth="1"/>
    <col min="11018" max="11018" width="15.36328125" style="2" customWidth="1"/>
    <col min="11019" max="11019" width="10.90625" style="2" customWidth="1"/>
    <col min="11020" max="11030" width="13.36328125" style="2" customWidth="1"/>
    <col min="11031" max="11031" width="13.90625" style="2" customWidth="1"/>
    <col min="11032" max="11032" width="16.453125" style="2" customWidth="1"/>
    <col min="11033" max="11267" width="8.90625" style="2"/>
    <col min="11268" max="11268" width="9.90625" style="2" customWidth="1"/>
    <col min="11269" max="11270" width="5.08984375" style="2" customWidth="1"/>
    <col min="11271" max="11271" width="9.6328125" style="2" customWidth="1"/>
    <col min="11272" max="11273" width="11.90625" style="2" customWidth="1"/>
    <col min="11274" max="11274" width="15.36328125" style="2" customWidth="1"/>
    <col min="11275" max="11275" width="10.90625" style="2" customWidth="1"/>
    <col min="11276" max="11286" width="13.36328125" style="2" customWidth="1"/>
    <col min="11287" max="11287" width="13.90625" style="2" customWidth="1"/>
    <col min="11288" max="11288" width="16.453125" style="2" customWidth="1"/>
    <col min="11289" max="11523" width="8.90625" style="2"/>
    <col min="11524" max="11524" width="9.90625" style="2" customWidth="1"/>
    <col min="11525" max="11526" width="5.08984375" style="2" customWidth="1"/>
    <col min="11527" max="11527" width="9.6328125" style="2" customWidth="1"/>
    <col min="11528" max="11529" width="11.90625" style="2" customWidth="1"/>
    <col min="11530" max="11530" width="15.36328125" style="2" customWidth="1"/>
    <col min="11531" max="11531" width="10.90625" style="2" customWidth="1"/>
    <col min="11532" max="11542" width="13.36328125" style="2" customWidth="1"/>
    <col min="11543" max="11543" width="13.90625" style="2" customWidth="1"/>
    <col min="11544" max="11544" width="16.453125" style="2" customWidth="1"/>
    <col min="11545" max="11779" width="8.90625" style="2"/>
    <col min="11780" max="11780" width="9.90625" style="2" customWidth="1"/>
    <col min="11781" max="11782" width="5.08984375" style="2" customWidth="1"/>
    <col min="11783" max="11783" width="9.6328125" style="2" customWidth="1"/>
    <col min="11784" max="11785" width="11.90625" style="2" customWidth="1"/>
    <col min="11786" max="11786" width="15.36328125" style="2" customWidth="1"/>
    <col min="11787" max="11787" width="10.90625" style="2" customWidth="1"/>
    <col min="11788" max="11798" width="13.36328125" style="2" customWidth="1"/>
    <col min="11799" max="11799" width="13.90625" style="2" customWidth="1"/>
    <col min="11800" max="11800" width="16.453125" style="2" customWidth="1"/>
    <col min="11801" max="12035" width="8.90625" style="2"/>
    <col min="12036" max="12036" width="9.90625" style="2" customWidth="1"/>
    <col min="12037" max="12038" width="5.08984375" style="2" customWidth="1"/>
    <col min="12039" max="12039" width="9.6328125" style="2" customWidth="1"/>
    <col min="12040" max="12041" width="11.90625" style="2" customWidth="1"/>
    <col min="12042" max="12042" width="15.36328125" style="2" customWidth="1"/>
    <col min="12043" max="12043" width="10.90625" style="2" customWidth="1"/>
    <col min="12044" max="12054" width="13.36328125" style="2" customWidth="1"/>
    <col min="12055" max="12055" width="13.90625" style="2" customWidth="1"/>
    <col min="12056" max="12056" width="16.453125" style="2" customWidth="1"/>
    <col min="12057" max="12291" width="8.90625" style="2"/>
    <col min="12292" max="12292" width="9.90625" style="2" customWidth="1"/>
    <col min="12293" max="12294" width="5.08984375" style="2" customWidth="1"/>
    <col min="12295" max="12295" width="9.6328125" style="2" customWidth="1"/>
    <col min="12296" max="12297" width="11.90625" style="2" customWidth="1"/>
    <col min="12298" max="12298" width="15.36328125" style="2" customWidth="1"/>
    <col min="12299" max="12299" width="10.90625" style="2" customWidth="1"/>
    <col min="12300" max="12310" width="13.36328125" style="2" customWidth="1"/>
    <col min="12311" max="12311" width="13.90625" style="2" customWidth="1"/>
    <col min="12312" max="12312" width="16.453125" style="2" customWidth="1"/>
    <col min="12313" max="12547" width="8.90625" style="2"/>
    <col min="12548" max="12548" width="9.90625" style="2" customWidth="1"/>
    <col min="12549" max="12550" width="5.08984375" style="2" customWidth="1"/>
    <col min="12551" max="12551" width="9.6328125" style="2" customWidth="1"/>
    <col min="12552" max="12553" width="11.90625" style="2" customWidth="1"/>
    <col min="12554" max="12554" width="15.36328125" style="2" customWidth="1"/>
    <col min="12555" max="12555" width="10.90625" style="2" customWidth="1"/>
    <col min="12556" max="12566" width="13.36328125" style="2" customWidth="1"/>
    <col min="12567" max="12567" width="13.90625" style="2" customWidth="1"/>
    <col min="12568" max="12568" width="16.453125" style="2" customWidth="1"/>
    <col min="12569" max="12803" width="8.90625" style="2"/>
    <col min="12804" max="12804" width="9.90625" style="2" customWidth="1"/>
    <col min="12805" max="12806" width="5.08984375" style="2" customWidth="1"/>
    <col min="12807" max="12807" width="9.6328125" style="2" customWidth="1"/>
    <col min="12808" max="12809" width="11.90625" style="2" customWidth="1"/>
    <col min="12810" max="12810" width="15.36328125" style="2" customWidth="1"/>
    <col min="12811" max="12811" width="10.90625" style="2" customWidth="1"/>
    <col min="12812" max="12822" width="13.36328125" style="2" customWidth="1"/>
    <col min="12823" max="12823" width="13.90625" style="2" customWidth="1"/>
    <col min="12824" max="12824" width="16.453125" style="2" customWidth="1"/>
    <col min="12825" max="13059" width="8.90625" style="2"/>
    <col min="13060" max="13060" width="9.90625" style="2" customWidth="1"/>
    <col min="13061" max="13062" width="5.08984375" style="2" customWidth="1"/>
    <col min="13063" max="13063" width="9.6328125" style="2" customWidth="1"/>
    <col min="13064" max="13065" width="11.90625" style="2" customWidth="1"/>
    <col min="13066" max="13066" width="15.36328125" style="2" customWidth="1"/>
    <col min="13067" max="13067" width="10.90625" style="2" customWidth="1"/>
    <col min="13068" max="13078" width="13.36328125" style="2" customWidth="1"/>
    <col min="13079" max="13079" width="13.90625" style="2" customWidth="1"/>
    <col min="13080" max="13080" width="16.453125" style="2" customWidth="1"/>
    <col min="13081" max="13315" width="8.90625" style="2"/>
    <col min="13316" max="13316" width="9.90625" style="2" customWidth="1"/>
    <col min="13317" max="13318" width="5.08984375" style="2" customWidth="1"/>
    <col min="13319" max="13319" width="9.6328125" style="2" customWidth="1"/>
    <col min="13320" max="13321" width="11.90625" style="2" customWidth="1"/>
    <col min="13322" max="13322" width="15.36328125" style="2" customWidth="1"/>
    <col min="13323" max="13323" width="10.90625" style="2" customWidth="1"/>
    <col min="13324" max="13334" width="13.36328125" style="2" customWidth="1"/>
    <col min="13335" max="13335" width="13.90625" style="2" customWidth="1"/>
    <col min="13336" max="13336" width="16.453125" style="2" customWidth="1"/>
    <col min="13337" max="13571" width="8.90625" style="2"/>
    <col min="13572" max="13572" width="9.90625" style="2" customWidth="1"/>
    <col min="13573" max="13574" width="5.08984375" style="2" customWidth="1"/>
    <col min="13575" max="13575" width="9.6328125" style="2" customWidth="1"/>
    <col min="13576" max="13577" width="11.90625" style="2" customWidth="1"/>
    <col min="13578" max="13578" width="15.36328125" style="2" customWidth="1"/>
    <col min="13579" max="13579" width="10.90625" style="2" customWidth="1"/>
    <col min="13580" max="13590" width="13.36328125" style="2" customWidth="1"/>
    <col min="13591" max="13591" width="13.90625" style="2" customWidth="1"/>
    <col min="13592" max="13592" width="16.453125" style="2" customWidth="1"/>
    <col min="13593" max="13827" width="8.90625" style="2"/>
    <col min="13828" max="13828" width="9.90625" style="2" customWidth="1"/>
    <col min="13829" max="13830" width="5.08984375" style="2" customWidth="1"/>
    <col min="13831" max="13831" width="9.6328125" style="2" customWidth="1"/>
    <col min="13832" max="13833" width="11.90625" style="2" customWidth="1"/>
    <col min="13834" max="13834" width="15.36328125" style="2" customWidth="1"/>
    <col min="13835" max="13835" width="10.90625" style="2" customWidth="1"/>
    <col min="13836" max="13846" width="13.36328125" style="2" customWidth="1"/>
    <col min="13847" max="13847" width="13.90625" style="2" customWidth="1"/>
    <col min="13848" max="13848" width="16.453125" style="2" customWidth="1"/>
    <col min="13849" max="14083" width="8.90625" style="2"/>
    <col min="14084" max="14084" width="9.90625" style="2" customWidth="1"/>
    <col min="14085" max="14086" width="5.08984375" style="2" customWidth="1"/>
    <col min="14087" max="14087" width="9.6328125" style="2" customWidth="1"/>
    <col min="14088" max="14089" width="11.90625" style="2" customWidth="1"/>
    <col min="14090" max="14090" width="15.36328125" style="2" customWidth="1"/>
    <col min="14091" max="14091" width="10.90625" style="2" customWidth="1"/>
    <col min="14092" max="14102" width="13.36328125" style="2" customWidth="1"/>
    <col min="14103" max="14103" width="13.90625" style="2" customWidth="1"/>
    <col min="14104" max="14104" width="16.453125" style="2" customWidth="1"/>
    <col min="14105" max="14339" width="8.90625" style="2"/>
    <col min="14340" max="14340" width="9.90625" style="2" customWidth="1"/>
    <col min="14341" max="14342" width="5.08984375" style="2" customWidth="1"/>
    <col min="14343" max="14343" width="9.6328125" style="2" customWidth="1"/>
    <col min="14344" max="14345" width="11.90625" style="2" customWidth="1"/>
    <col min="14346" max="14346" width="15.36328125" style="2" customWidth="1"/>
    <col min="14347" max="14347" width="10.90625" style="2" customWidth="1"/>
    <col min="14348" max="14358" width="13.36328125" style="2" customWidth="1"/>
    <col min="14359" max="14359" width="13.90625" style="2" customWidth="1"/>
    <col min="14360" max="14360" width="16.453125" style="2" customWidth="1"/>
    <col min="14361" max="14595" width="8.90625" style="2"/>
    <col min="14596" max="14596" width="9.90625" style="2" customWidth="1"/>
    <col min="14597" max="14598" width="5.08984375" style="2" customWidth="1"/>
    <col min="14599" max="14599" width="9.6328125" style="2" customWidth="1"/>
    <col min="14600" max="14601" width="11.90625" style="2" customWidth="1"/>
    <col min="14602" max="14602" width="15.36328125" style="2" customWidth="1"/>
    <col min="14603" max="14603" width="10.90625" style="2" customWidth="1"/>
    <col min="14604" max="14614" width="13.36328125" style="2" customWidth="1"/>
    <col min="14615" max="14615" width="13.90625" style="2" customWidth="1"/>
    <col min="14616" max="14616" width="16.453125" style="2" customWidth="1"/>
    <col min="14617" max="14851" width="8.90625" style="2"/>
    <col min="14852" max="14852" width="9.90625" style="2" customWidth="1"/>
    <col min="14853" max="14854" width="5.08984375" style="2" customWidth="1"/>
    <col min="14855" max="14855" width="9.6328125" style="2" customWidth="1"/>
    <col min="14856" max="14857" width="11.90625" style="2" customWidth="1"/>
    <col min="14858" max="14858" width="15.36328125" style="2" customWidth="1"/>
    <col min="14859" max="14859" width="10.90625" style="2" customWidth="1"/>
    <col min="14860" max="14870" width="13.36328125" style="2" customWidth="1"/>
    <col min="14871" max="14871" width="13.90625" style="2" customWidth="1"/>
    <col min="14872" max="14872" width="16.453125" style="2" customWidth="1"/>
    <col min="14873" max="15107" width="8.90625" style="2"/>
    <col min="15108" max="15108" width="9.90625" style="2" customWidth="1"/>
    <col min="15109" max="15110" width="5.08984375" style="2" customWidth="1"/>
    <col min="15111" max="15111" width="9.6328125" style="2" customWidth="1"/>
    <col min="15112" max="15113" width="11.90625" style="2" customWidth="1"/>
    <col min="15114" max="15114" width="15.36328125" style="2" customWidth="1"/>
    <col min="15115" max="15115" width="10.90625" style="2" customWidth="1"/>
    <col min="15116" max="15126" width="13.36328125" style="2" customWidth="1"/>
    <col min="15127" max="15127" width="13.90625" style="2" customWidth="1"/>
    <col min="15128" max="15128" width="16.453125" style="2" customWidth="1"/>
    <col min="15129" max="15363" width="8.90625" style="2"/>
    <col min="15364" max="15364" width="9.90625" style="2" customWidth="1"/>
    <col min="15365" max="15366" width="5.08984375" style="2" customWidth="1"/>
    <col min="15367" max="15367" width="9.6328125" style="2" customWidth="1"/>
    <col min="15368" max="15369" width="11.90625" style="2" customWidth="1"/>
    <col min="15370" max="15370" width="15.36328125" style="2" customWidth="1"/>
    <col min="15371" max="15371" width="10.90625" style="2" customWidth="1"/>
    <col min="15372" max="15382" width="13.36328125" style="2" customWidth="1"/>
    <col min="15383" max="15383" width="13.90625" style="2" customWidth="1"/>
    <col min="15384" max="15384" width="16.453125" style="2" customWidth="1"/>
    <col min="15385" max="15619" width="8.90625" style="2"/>
    <col min="15620" max="15620" width="9.90625" style="2" customWidth="1"/>
    <col min="15621" max="15622" width="5.08984375" style="2" customWidth="1"/>
    <col min="15623" max="15623" width="9.6328125" style="2" customWidth="1"/>
    <col min="15624" max="15625" width="11.90625" style="2" customWidth="1"/>
    <col min="15626" max="15626" width="15.36328125" style="2" customWidth="1"/>
    <col min="15627" max="15627" width="10.90625" style="2" customWidth="1"/>
    <col min="15628" max="15638" width="13.36328125" style="2" customWidth="1"/>
    <col min="15639" max="15639" width="13.90625" style="2" customWidth="1"/>
    <col min="15640" max="15640" width="16.453125" style="2" customWidth="1"/>
    <col min="15641" max="15875" width="8.90625" style="2"/>
    <col min="15876" max="15876" width="9.90625" style="2" customWidth="1"/>
    <col min="15877" max="15878" width="5.08984375" style="2" customWidth="1"/>
    <col min="15879" max="15879" width="9.6328125" style="2" customWidth="1"/>
    <col min="15880" max="15881" width="11.90625" style="2" customWidth="1"/>
    <col min="15882" max="15882" width="15.36328125" style="2" customWidth="1"/>
    <col min="15883" max="15883" width="10.90625" style="2" customWidth="1"/>
    <col min="15884" max="15894" width="13.36328125" style="2" customWidth="1"/>
    <col min="15895" max="15895" width="13.90625" style="2" customWidth="1"/>
    <col min="15896" max="15896" width="16.453125" style="2" customWidth="1"/>
    <col min="15897" max="16131" width="8.90625" style="2"/>
    <col min="16132" max="16132" width="9.90625" style="2" customWidth="1"/>
    <col min="16133" max="16134" width="5.08984375" style="2" customWidth="1"/>
    <col min="16135" max="16135" width="9.6328125" style="2" customWidth="1"/>
    <col min="16136" max="16137" width="11.90625" style="2" customWidth="1"/>
    <col min="16138" max="16138" width="15.36328125" style="2" customWidth="1"/>
    <col min="16139" max="16139" width="10.90625" style="2" customWidth="1"/>
    <col min="16140" max="16150" width="13.36328125" style="2" customWidth="1"/>
    <col min="16151" max="16151" width="13.90625" style="2" customWidth="1"/>
    <col min="16152" max="16152" width="16.453125" style="2" customWidth="1"/>
    <col min="16153" max="16384" width="8.90625" style="2"/>
  </cols>
  <sheetData>
    <row r="1" spans="1:26" s="1" customFormat="1" ht="36" x14ac:dyDescent="0.2">
      <c r="A1" s="1" t="s">
        <v>31</v>
      </c>
      <c r="B1" s="1" t="s">
        <v>32</v>
      </c>
      <c r="C1" s="19" t="s">
        <v>0</v>
      </c>
      <c r="D1" s="20" t="s">
        <v>1</v>
      </c>
      <c r="E1" s="20" t="s">
        <v>2</v>
      </c>
      <c r="F1" s="21" t="s">
        <v>3</v>
      </c>
      <c r="G1" s="21" t="s">
        <v>35</v>
      </c>
      <c r="H1" s="21" t="s">
        <v>4</v>
      </c>
      <c r="I1" s="22" t="s">
        <v>5</v>
      </c>
      <c r="J1" s="23" t="s">
        <v>6</v>
      </c>
      <c r="K1" s="197" t="s">
        <v>7</v>
      </c>
      <c r="L1" s="198" t="s">
        <v>8</v>
      </c>
      <c r="M1" s="25" t="s">
        <v>9</v>
      </c>
      <c r="N1" s="25" t="s">
        <v>10</v>
      </c>
      <c r="O1" s="25" t="s">
        <v>11</v>
      </c>
      <c r="P1" s="13" t="s">
        <v>12</v>
      </c>
      <c r="Q1" s="13" t="s">
        <v>13</v>
      </c>
      <c r="R1" s="13" t="s">
        <v>14</v>
      </c>
      <c r="S1" s="13" t="s">
        <v>15</v>
      </c>
      <c r="T1" s="13" t="s">
        <v>16</v>
      </c>
      <c r="U1" s="13" t="s">
        <v>17</v>
      </c>
      <c r="V1" s="13" t="s">
        <v>18</v>
      </c>
      <c r="W1" s="225" t="s">
        <v>19</v>
      </c>
      <c r="X1" s="226" t="s">
        <v>20</v>
      </c>
    </row>
    <row r="2" spans="1:26" s="1" customFormat="1" x14ac:dyDescent="0.2">
      <c r="A2" s="17"/>
      <c r="B2" s="15"/>
      <c r="C2" s="467" t="s">
        <v>42</v>
      </c>
      <c r="D2" s="468"/>
      <c r="E2" s="468"/>
      <c r="F2" s="468"/>
      <c r="G2" s="468"/>
      <c r="H2" s="468"/>
      <c r="I2" s="468"/>
      <c r="J2" s="469"/>
      <c r="K2" s="199" t="s">
        <v>21</v>
      </c>
      <c r="L2" s="227">
        <f>L53</f>
        <v>0</v>
      </c>
      <c r="M2" s="276">
        <f t="shared" ref="M2:W3" si="0">M53</f>
        <v>0</v>
      </c>
      <c r="N2" s="276">
        <f t="shared" si="0"/>
        <v>0</v>
      </c>
      <c r="O2" s="276">
        <f t="shared" si="0"/>
        <v>0</v>
      </c>
      <c r="P2" s="228">
        <f t="shared" si="0"/>
        <v>0</v>
      </c>
      <c r="Q2" s="228">
        <f t="shared" si="0"/>
        <v>0</v>
      </c>
      <c r="R2" s="228">
        <f t="shared" si="0"/>
        <v>0</v>
      </c>
      <c r="S2" s="228">
        <f t="shared" si="0"/>
        <v>0</v>
      </c>
      <c r="T2" s="228">
        <f t="shared" si="0"/>
        <v>0</v>
      </c>
      <c r="U2" s="228">
        <f t="shared" si="0"/>
        <v>0</v>
      </c>
      <c r="V2" s="228">
        <f t="shared" si="0"/>
        <v>0</v>
      </c>
      <c r="W2" s="229">
        <f t="shared" si="0"/>
        <v>0</v>
      </c>
      <c r="X2" s="230">
        <f>SUM(L2:W2)</f>
        <v>0</v>
      </c>
      <c r="Z2" s="9"/>
    </row>
    <row r="3" spans="1:26" s="1" customFormat="1" x14ac:dyDescent="0.2">
      <c r="A3" s="17"/>
      <c r="B3" s="15"/>
      <c r="C3" s="470"/>
      <c r="D3" s="471"/>
      <c r="E3" s="471"/>
      <c r="F3" s="471"/>
      <c r="G3" s="471"/>
      <c r="H3" s="471"/>
      <c r="I3" s="471"/>
      <c r="J3" s="472"/>
      <c r="K3" s="200" t="s">
        <v>22</v>
      </c>
      <c r="L3" s="201">
        <f>L54</f>
        <v>0</v>
      </c>
      <c r="M3" s="277">
        <f t="shared" si="0"/>
        <v>0</v>
      </c>
      <c r="N3" s="277">
        <f t="shared" si="0"/>
        <v>0</v>
      </c>
      <c r="O3" s="277">
        <f t="shared" si="0"/>
        <v>0</v>
      </c>
      <c r="P3" s="202">
        <f t="shared" si="0"/>
        <v>0</v>
      </c>
      <c r="Q3" s="202">
        <f t="shared" si="0"/>
        <v>0</v>
      </c>
      <c r="R3" s="202">
        <f t="shared" si="0"/>
        <v>0</v>
      </c>
      <c r="S3" s="202">
        <f t="shared" si="0"/>
        <v>0</v>
      </c>
      <c r="T3" s="202">
        <f t="shared" si="0"/>
        <v>0</v>
      </c>
      <c r="U3" s="202">
        <f t="shared" si="0"/>
        <v>0</v>
      </c>
      <c r="V3" s="202">
        <f t="shared" si="0"/>
        <v>0</v>
      </c>
      <c r="W3" s="231">
        <f t="shared" si="0"/>
        <v>0</v>
      </c>
      <c r="X3" s="232">
        <f>SUM(L3:W3)</f>
        <v>0</v>
      </c>
      <c r="Z3" s="9"/>
    </row>
    <row r="4" spans="1:26" s="1" customFormat="1" ht="12.5" thickBot="1" x14ac:dyDescent="0.25">
      <c r="A4" s="17"/>
      <c r="B4" s="15"/>
      <c r="C4" s="502"/>
      <c r="D4" s="503"/>
      <c r="E4" s="503"/>
      <c r="F4" s="503"/>
      <c r="G4" s="503"/>
      <c r="H4" s="503"/>
      <c r="I4" s="503"/>
      <c r="J4" s="504"/>
      <c r="K4" s="203" t="s">
        <v>23</v>
      </c>
      <c r="L4" s="204">
        <f t="shared" ref="L4:W4" si="1">L2-L3</f>
        <v>0</v>
      </c>
      <c r="M4" s="278">
        <f t="shared" si="1"/>
        <v>0</v>
      </c>
      <c r="N4" s="278">
        <f t="shared" si="1"/>
        <v>0</v>
      </c>
      <c r="O4" s="278">
        <f t="shared" si="1"/>
        <v>0</v>
      </c>
      <c r="P4" s="205">
        <f t="shared" si="1"/>
        <v>0</v>
      </c>
      <c r="Q4" s="205">
        <f t="shared" si="1"/>
        <v>0</v>
      </c>
      <c r="R4" s="205">
        <f t="shared" si="1"/>
        <v>0</v>
      </c>
      <c r="S4" s="205">
        <f t="shared" si="1"/>
        <v>0</v>
      </c>
      <c r="T4" s="205">
        <f t="shared" si="1"/>
        <v>0</v>
      </c>
      <c r="U4" s="205">
        <f t="shared" si="1"/>
        <v>0</v>
      </c>
      <c r="V4" s="205">
        <f t="shared" si="1"/>
        <v>0</v>
      </c>
      <c r="W4" s="233">
        <f t="shared" si="1"/>
        <v>0</v>
      </c>
      <c r="X4" s="234">
        <f>SUM(L4:W4)</f>
        <v>0</v>
      </c>
      <c r="Z4" s="9"/>
    </row>
    <row r="5" spans="1:26" ht="12.75" customHeight="1" thickTop="1" x14ac:dyDescent="0.2">
      <c r="A5" s="18"/>
      <c r="C5" s="425">
        <v>1</v>
      </c>
      <c r="D5" s="428"/>
      <c r="E5" s="428"/>
      <c r="F5" s="464"/>
      <c r="G5" s="428"/>
      <c r="H5" s="453"/>
      <c r="I5" s="434"/>
      <c r="J5" s="437"/>
      <c r="K5" s="206" t="s">
        <v>37</v>
      </c>
      <c r="L5" s="207">
        <f t="shared" ref="L5:W5" si="2">L6+L7</f>
        <v>0</v>
      </c>
      <c r="M5" s="159">
        <f t="shared" si="2"/>
        <v>0</v>
      </c>
      <c r="N5" s="159">
        <f t="shared" si="2"/>
        <v>0</v>
      </c>
      <c r="O5" s="159">
        <f t="shared" si="2"/>
        <v>0</v>
      </c>
      <c r="P5" s="208">
        <f t="shared" si="2"/>
        <v>0</v>
      </c>
      <c r="Q5" s="208">
        <f t="shared" si="2"/>
        <v>0</v>
      </c>
      <c r="R5" s="208">
        <f t="shared" si="2"/>
        <v>0</v>
      </c>
      <c r="S5" s="208">
        <f t="shared" si="2"/>
        <v>0</v>
      </c>
      <c r="T5" s="208">
        <f t="shared" si="2"/>
        <v>0</v>
      </c>
      <c r="U5" s="208">
        <f t="shared" si="2"/>
        <v>0</v>
      </c>
      <c r="V5" s="208">
        <f t="shared" si="2"/>
        <v>0</v>
      </c>
      <c r="W5" s="235">
        <f t="shared" si="2"/>
        <v>0</v>
      </c>
      <c r="X5" s="236">
        <f>SUM(L5:W5)</f>
        <v>0</v>
      </c>
      <c r="Z5" s="40"/>
    </row>
    <row r="6" spans="1:26" x14ac:dyDescent="0.2">
      <c r="A6" s="41">
        <f t="shared" ref="A6:B16" si="3">+A5</f>
        <v>0</v>
      </c>
      <c r="B6" s="42">
        <f t="shared" si="3"/>
        <v>0</v>
      </c>
      <c r="C6" s="425"/>
      <c r="D6" s="428"/>
      <c r="E6" s="428"/>
      <c r="F6" s="464"/>
      <c r="G6" s="428"/>
      <c r="H6" s="453"/>
      <c r="I6" s="434"/>
      <c r="J6" s="437"/>
      <c r="K6" s="75" t="s">
        <v>38</v>
      </c>
      <c r="L6" s="209"/>
      <c r="M6" s="160"/>
      <c r="N6" s="160"/>
      <c r="O6" s="160"/>
      <c r="P6" s="210"/>
      <c r="Q6" s="210"/>
      <c r="R6" s="210"/>
      <c r="S6" s="210"/>
      <c r="T6" s="210"/>
      <c r="U6" s="210"/>
      <c r="V6" s="210"/>
      <c r="W6" s="237"/>
      <c r="X6" s="238">
        <f>SUM(L6:W6)</f>
        <v>0</v>
      </c>
      <c r="Y6" s="46"/>
      <c r="Z6" s="40"/>
    </row>
    <row r="7" spans="1:26" x14ac:dyDescent="0.2">
      <c r="A7" s="41">
        <f t="shared" si="3"/>
        <v>0</v>
      </c>
      <c r="B7" s="42">
        <f t="shared" si="3"/>
        <v>0</v>
      </c>
      <c r="C7" s="425"/>
      <c r="D7" s="428"/>
      <c r="E7" s="428"/>
      <c r="F7" s="464"/>
      <c r="G7" s="428"/>
      <c r="H7" s="453"/>
      <c r="I7" s="434"/>
      <c r="J7" s="437"/>
      <c r="K7" s="75" t="s">
        <v>34</v>
      </c>
      <c r="L7" s="211"/>
      <c r="M7" s="162"/>
      <c r="N7" s="162"/>
      <c r="O7" s="162"/>
      <c r="P7" s="212"/>
      <c r="Q7" s="212"/>
      <c r="R7" s="212"/>
      <c r="S7" s="212"/>
      <c r="T7" s="212"/>
      <c r="U7" s="212"/>
      <c r="V7" s="212"/>
      <c r="W7" s="239"/>
      <c r="X7" s="238">
        <v>0</v>
      </c>
      <c r="Y7" s="46"/>
      <c r="Z7" s="40"/>
    </row>
    <row r="8" spans="1:26" x14ac:dyDescent="0.2">
      <c r="A8" s="41">
        <f t="shared" si="3"/>
        <v>0</v>
      </c>
      <c r="B8" s="42">
        <f t="shared" si="3"/>
        <v>0</v>
      </c>
      <c r="C8" s="425"/>
      <c r="D8" s="428"/>
      <c r="E8" s="428"/>
      <c r="F8" s="464"/>
      <c r="G8" s="428"/>
      <c r="H8" s="453"/>
      <c r="I8" s="434"/>
      <c r="J8" s="437"/>
      <c r="K8" s="76" t="s">
        <v>24</v>
      </c>
      <c r="L8" s="213">
        <f t="shared" ref="L8:W8" si="4">SUM(L9:L15)</f>
        <v>0</v>
      </c>
      <c r="M8" s="163">
        <f t="shared" si="4"/>
        <v>0</v>
      </c>
      <c r="N8" s="163">
        <f t="shared" si="4"/>
        <v>0</v>
      </c>
      <c r="O8" s="163">
        <f t="shared" si="4"/>
        <v>0</v>
      </c>
      <c r="P8" s="214">
        <f t="shared" si="4"/>
        <v>0</v>
      </c>
      <c r="Q8" s="214">
        <f t="shared" si="4"/>
        <v>0</v>
      </c>
      <c r="R8" s="214">
        <f t="shared" si="4"/>
        <v>0</v>
      </c>
      <c r="S8" s="214">
        <f t="shared" si="4"/>
        <v>0</v>
      </c>
      <c r="T8" s="214">
        <f t="shared" si="4"/>
        <v>0</v>
      </c>
      <c r="U8" s="214">
        <f t="shared" si="4"/>
        <v>0</v>
      </c>
      <c r="V8" s="214">
        <f t="shared" si="4"/>
        <v>0</v>
      </c>
      <c r="W8" s="240">
        <f t="shared" si="4"/>
        <v>0</v>
      </c>
      <c r="X8" s="241">
        <f>SUM(L8:W8)</f>
        <v>0</v>
      </c>
      <c r="Y8" s="46"/>
      <c r="Z8" s="40"/>
    </row>
    <row r="9" spans="1:26" x14ac:dyDescent="0.2">
      <c r="A9" s="41">
        <f t="shared" si="3"/>
        <v>0</v>
      </c>
      <c r="B9" s="42">
        <f t="shared" si="3"/>
        <v>0</v>
      </c>
      <c r="C9" s="425"/>
      <c r="D9" s="428"/>
      <c r="E9" s="428"/>
      <c r="F9" s="464"/>
      <c r="G9" s="428"/>
      <c r="H9" s="453"/>
      <c r="I9" s="434"/>
      <c r="J9" s="437"/>
      <c r="K9" s="71" t="s">
        <v>25</v>
      </c>
      <c r="L9" s="242"/>
      <c r="M9" s="166"/>
      <c r="N9" s="166"/>
      <c r="O9" s="166"/>
      <c r="P9" s="243"/>
      <c r="Q9" s="243"/>
      <c r="R9" s="243"/>
      <c r="S9" s="243"/>
      <c r="T9" s="243"/>
      <c r="U9" s="243"/>
      <c r="V9" s="243"/>
      <c r="W9" s="244"/>
      <c r="X9" s="238">
        <f t="shared" ref="X9:X15" si="5">SUM(L9:W9)</f>
        <v>0</v>
      </c>
      <c r="Y9" s="46"/>
      <c r="Z9" s="40"/>
    </row>
    <row r="10" spans="1:26" x14ac:dyDescent="0.2">
      <c r="A10" s="41">
        <f t="shared" si="3"/>
        <v>0</v>
      </c>
      <c r="B10" s="42">
        <f t="shared" si="3"/>
        <v>0</v>
      </c>
      <c r="C10" s="425"/>
      <c r="D10" s="428"/>
      <c r="E10" s="428"/>
      <c r="F10" s="464"/>
      <c r="G10" s="428"/>
      <c r="H10" s="453"/>
      <c r="I10" s="434"/>
      <c r="J10" s="437"/>
      <c r="K10" s="71" t="s">
        <v>30</v>
      </c>
      <c r="L10" s="245"/>
      <c r="M10" s="167"/>
      <c r="N10" s="167"/>
      <c r="O10" s="167"/>
      <c r="P10" s="246"/>
      <c r="Q10" s="246"/>
      <c r="R10" s="246"/>
      <c r="S10" s="246"/>
      <c r="T10" s="246"/>
      <c r="U10" s="246"/>
      <c r="V10" s="246"/>
      <c r="W10" s="247"/>
      <c r="X10" s="238">
        <f t="shared" si="5"/>
        <v>0</v>
      </c>
      <c r="Y10" s="46"/>
      <c r="Z10" s="40"/>
    </row>
    <row r="11" spans="1:26" x14ac:dyDescent="0.2">
      <c r="A11" s="41">
        <f t="shared" si="3"/>
        <v>0</v>
      </c>
      <c r="B11" s="42">
        <f t="shared" si="3"/>
        <v>0</v>
      </c>
      <c r="C11" s="425"/>
      <c r="D11" s="428"/>
      <c r="E11" s="428"/>
      <c r="F11" s="464"/>
      <c r="G11" s="428"/>
      <c r="H11" s="453"/>
      <c r="I11" s="434"/>
      <c r="J11" s="437"/>
      <c r="K11" s="71" t="s">
        <v>33</v>
      </c>
      <c r="L11" s="242"/>
      <c r="M11" s="166"/>
      <c r="N11" s="166"/>
      <c r="O11" s="166"/>
      <c r="P11" s="243"/>
      <c r="Q11" s="243"/>
      <c r="R11" s="243"/>
      <c r="S11" s="243"/>
      <c r="T11" s="243"/>
      <c r="U11" s="243"/>
      <c r="V11" s="243"/>
      <c r="W11" s="244"/>
      <c r="X11" s="238">
        <f t="shared" si="5"/>
        <v>0</v>
      </c>
      <c r="Y11" s="46"/>
      <c r="Z11" s="40"/>
    </row>
    <row r="12" spans="1:26" x14ac:dyDescent="0.2">
      <c r="A12" s="41">
        <f t="shared" si="3"/>
        <v>0</v>
      </c>
      <c r="B12" s="42">
        <f t="shared" si="3"/>
        <v>0</v>
      </c>
      <c r="C12" s="425"/>
      <c r="D12" s="428"/>
      <c r="E12" s="428"/>
      <c r="F12" s="464"/>
      <c r="G12" s="428"/>
      <c r="H12" s="453"/>
      <c r="I12" s="434"/>
      <c r="J12" s="437"/>
      <c r="K12" s="71" t="s">
        <v>26</v>
      </c>
      <c r="L12" s="242"/>
      <c r="M12" s="166"/>
      <c r="N12" s="166"/>
      <c r="O12" s="166"/>
      <c r="P12" s="243"/>
      <c r="Q12" s="243"/>
      <c r="R12" s="243"/>
      <c r="S12" s="243"/>
      <c r="T12" s="243"/>
      <c r="U12" s="243"/>
      <c r="V12" s="243"/>
      <c r="W12" s="244"/>
      <c r="X12" s="238">
        <f t="shared" si="5"/>
        <v>0</v>
      </c>
      <c r="Y12" s="46"/>
      <c r="Z12" s="40"/>
    </row>
    <row r="13" spans="1:26" x14ac:dyDescent="0.2">
      <c r="A13" s="41">
        <f t="shared" si="3"/>
        <v>0</v>
      </c>
      <c r="B13" s="42">
        <f t="shared" si="3"/>
        <v>0</v>
      </c>
      <c r="C13" s="425"/>
      <c r="D13" s="428"/>
      <c r="E13" s="428"/>
      <c r="F13" s="464"/>
      <c r="G13" s="428"/>
      <c r="H13" s="453"/>
      <c r="I13" s="434"/>
      <c r="J13" s="437"/>
      <c r="K13" s="71" t="s">
        <v>27</v>
      </c>
      <c r="L13" s="242"/>
      <c r="M13" s="166"/>
      <c r="N13" s="166"/>
      <c r="O13" s="166"/>
      <c r="P13" s="243"/>
      <c r="Q13" s="243"/>
      <c r="R13" s="243"/>
      <c r="S13" s="243"/>
      <c r="T13" s="243"/>
      <c r="U13" s="243"/>
      <c r="V13" s="243"/>
      <c r="W13" s="244"/>
      <c r="X13" s="238">
        <f t="shared" si="5"/>
        <v>0</v>
      </c>
      <c r="Y13" s="46"/>
      <c r="Z13" s="40"/>
    </row>
    <row r="14" spans="1:26" x14ac:dyDescent="0.2">
      <c r="A14" s="41">
        <f t="shared" si="3"/>
        <v>0</v>
      </c>
      <c r="B14" s="42">
        <f t="shared" si="3"/>
        <v>0</v>
      </c>
      <c r="C14" s="425"/>
      <c r="D14" s="428"/>
      <c r="E14" s="428"/>
      <c r="F14" s="464"/>
      <c r="G14" s="428"/>
      <c r="H14" s="453"/>
      <c r="I14" s="434"/>
      <c r="J14" s="437"/>
      <c r="K14" s="71" t="s">
        <v>28</v>
      </c>
      <c r="L14" s="242"/>
      <c r="M14" s="166"/>
      <c r="N14" s="166"/>
      <c r="O14" s="166"/>
      <c r="P14" s="243"/>
      <c r="Q14" s="243"/>
      <c r="R14" s="243"/>
      <c r="S14" s="243"/>
      <c r="T14" s="243"/>
      <c r="U14" s="243"/>
      <c r="V14" s="243"/>
      <c r="W14" s="244"/>
      <c r="X14" s="238">
        <f t="shared" si="5"/>
        <v>0</v>
      </c>
      <c r="Y14" s="46"/>
      <c r="Z14" s="40"/>
    </row>
    <row r="15" spans="1:26" x14ac:dyDescent="0.2">
      <c r="A15" s="41">
        <f t="shared" si="3"/>
        <v>0</v>
      </c>
      <c r="B15" s="42">
        <f t="shared" si="3"/>
        <v>0</v>
      </c>
      <c r="C15" s="425"/>
      <c r="D15" s="428"/>
      <c r="E15" s="428"/>
      <c r="F15" s="464"/>
      <c r="G15" s="428"/>
      <c r="H15" s="453"/>
      <c r="I15" s="434"/>
      <c r="J15" s="437"/>
      <c r="K15" s="71" t="s">
        <v>29</v>
      </c>
      <c r="L15" s="215"/>
      <c r="M15" s="164"/>
      <c r="N15" s="164"/>
      <c r="O15" s="164"/>
      <c r="P15" s="216"/>
      <c r="Q15" s="216"/>
      <c r="R15" s="216"/>
      <c r="S15" s="216"/>
      <c r="T15" s="216"/>
      <c r="U15" s="216"/>
      <c r="V15" s="216"/>
      <c r="W15" s="248"/>
      <c r="X15" s="238">
        <f t="shared" si="5"/>
        <v>0</v>
      </c>
      <c r="Y15" s="46"/>
      <c r="Z15" s="40"/>
    </row>
    <row r="16" spans="1:26" x14ac:dyDescent="0.2">
      <c r="A16" s="41">
        <f t="shared" si="3"/>
        <v>0</v>
      </c>
      <c r="B16" s="42">
        <f t="shared" si="3"/>
        <v>0</v>
      </c>
      <c r="C16" s="426"/>
      <c r="D16" s="429"/>
      <c r="E16" s="429"/>
      <c r="F16" s="465"/>
      <c r="G16" s="429"/>
      <c r="H16" s="456"/>
      <c r="I16" s="435"/>
      <c r="J16" s="438"/>
      <c r="K16" s="78" t="s">
        <v>39</v>
      </c>
      <c r="L16" s="249">
        <f t="shared" ref="L16:X16" si="6">L5-L8</f>
        <v>0</v>
      </c>
      <c r="M16" s="168">
        <f t="shared" si="6"/>
        <v>0</v>
      </c>
      <c r="N16" s="168">
        <f t="shared" si="6"/>
        <v>0</v>
      </c>
      <c r="O16" s="168">
        <f t="shared" si="6"/>
        <v>0</v>
      </c>
      <c r="P16" s="250">
        <f t="shared" si="6"/>
        <v>0</v>
      </c>
      <c r="Q16" s="250">
        <f t="shared" si="6"/>
        <v>0</v>
      </c>
      <c r="R16" s="250">
        <f t="shared" si="6"/>
        <v>0</v>
      </c>
      <c r="S16" s="250">
        <f t="shared" si="6"/>
        <v>0</v>
      </c>
      <c r="T16" s="250">
        <f t="shared" si="6"/>
        <v>0</v>
      </c>
      <c r="U16" s="250">
        <f t="shared" si="6"/>
        <v>0</v>
      </c>
      <c r="V16" s="250">
        <f t="shared" si="6"/>
        <v>0</v>
      </c>
      <c r="W16" s="251">
        <f t="shared" si="6"/>
        <v>0</v>
      </c>
      <c r="X16" s="252">
        <f t="shared" si="6"/>
        <v>0</v>
      </c>
      <c r="Y16" s="46"/>
      <c r="Z16" s="40"/>
    </row>
    <row r="17" spans="1:26" ht="12.75" customHeight="1" x14ac:dyDescent="0.2">
      <c r="A17" s="18"/>
      <c r="B17" s="24"/>
      <c r="C17" s="424">
        <f t="shared" ref="C17" si="7">C5+1</f>
        <v>2</v>
      </c>
      <c r="D17" s="428"/>
      <c r="E17" s="428"/>
      <c r="F17" s="431"/>
      <c r="G17" s="428"/>
      <c r="H17" s="453"/>
      <c r="I17" s="434"/>
      <c r="J17" s="436"/>
      <c r="K17" s="74" t="s">
        <v>37</v>
      </c>
      <c r="L17" s="253">
        <f t="shared" ref="L17:W17" si="8">L18+L19</f>
        <v>0</v>
      </c>
      <c r="M17" s="169">
        <f t="shared" si="8"/>
        <v>0</v>
      </c>
      <c r="N17" s="169">
        <f t="shared" si="8"/>
        <v>0</v>
      </c>
      <c r="O17" s="169">
        <f t="shared" si="8"/>
        <v>0</v>
      </c>
      <c r="P17" s="254">
        <f t="shared" si="8"/>
        <v>0</v>
      </c>
      <c r="Q17" s="254">
        <f t="shared" si="8"/>
        <v>0</v>
      </c>
      <c r="R17" s="254">
        <f t="shared" si="8"/>
        <v>0</v>
      </c>
      <c r="S17" s="254">
        <f t="shared" si="8"/>
        <v>0</v>
      </c>
      <c r="T17" s="254">
        <f t="shared" si="8"/>
        <v>0</v>
      </c>
      <c r="U17" s="254">
        <f t="shared" si="8"/>
        <v>0</v>
      </c>
      <c r="V17" s="254">
        <f t="shared" si="8"/>
        <v>0</v>
      </c>
      <c r="W17" s="255">
        <f t="shared" si="8"/>
        <v>0</v>
      </c>
      <c r="X17" s="256">
        <f>SUM(L17:W17)</f>
        <v>0</v>
      </c>
      <c r="Y17" s="46"/>
      <c r="Z17" s="40"/>
    </row>
    <row r="18" spans="1:26" x14ac:dyDescent="0.2">
      <c r="A18" s="41">
        <f t="shared" ref="A18:B28" si="9">+A17</f>
        <v>0</v>
      </c>
      <c r="B18" s="42">
        <f t="shared" si="9"/>
        <v>0</v>
      </c>
      <c r="C18" s="425"/>
      <c r="D18" s="428"/>
      <c r="E18" s="428"/>
      <c r="F18" s="431"/>
      <c r="G18" s="428"/>
      <c r="H18" s="453"/>
      <c r="I18" s="434"/>
      <c r="J18" s="437"/>
      <c r="K18" s="75" t="s">
        <v>38</v>
      </c>
      <c r="L18" s="209"/>
      <c r="M18" s="160"/>
      <c r="N18" s="160"/>
      <c r="O18" s="160"/>
      <c r="P18" s="210"/>
      <c r="Q18" s="210"/>
      <c r="R18" s="210"/>
      <c r="S18" s="210"/>
      <c r="T18" s="210"/>
      <c r="U18" s="210"/>
      <c r="V18" s="210"/>
      <c r="W18" s="237"/>
      <c r="X18" s="238">
        <f>SUM(L18:W18)</f>
        <v>0</v>
      </c>
      <c r="Y18" s="46"/>
      <c r="Z18" s="40"/>
    </row>
    <row r="19" spans="1:26" x14ac:dyDescent="0.2">
      <c r="A19" s="41">
        <f t="shared" si="9"/>
        <v>0</v>
      </c>
      <c r="B19" s="42">
        <f t="shared" si="9"/>
        <v>0</v>
      </c>
      <c r="C19" s="425"/>
      <c r="D19" s="428"/>
      <c r="E19" s="428"/>
      <c r="F19" s="431"/>
      <c r="G19" s="428"/>
      <c r="H19" s="453"/>
      <c r="I19" s="434"/>
      <c r="J19" s="437"/>
      <c r="K19" s="75" t="s">
        <v>34</v>
      </c>
      <c r="L19" s="211"/>
      <c r="M19" s="162"/>
      <c r="N19" s="162"/>
      <c r="O19" s="162"/>
      <c r="P19" s="212"/>
      <c r="Q19" s="212"/>
      <c r="R19" s="212"/>
      <c r="S19" s="212"/>
      <c r="T19" s="212"/>
      <c r="U19" s="212"/>
      <c r="V19" s="212"/>
      <c r="W19" s="239"/>
      <c r="X19" s="238">
        <v>0</v>
      </c>
      <c r="Y19" s="46"/>
      <c r="Z19" s="40"/>
    </row>
    <row r="20" spans="1:26" x14ac:dyDescent="0.2">
      <c r="A20" s="41">
        <f t="shared" si="9"/>
        <v>0</v>
      </c>
      <c r="B20" s="42">
        <f t="shared" si="9"/>
        <v>0</v>
      </c>
      <c r="C20" s="425"/>
      <c r="D20" s="428"/>
      <c r="E20" s="428"/>
      <c r="F20" s="431"/>
      <c r="G20" s="428"/>
      <c r="H20" s="453"/>
      <c r="I20" s="434"/>
      <c r="J20" s="437"/>
      <c r="K20" s="76" t="s">
        <v>24</v>
      </c>
      <c r="L20" s="213">
        <f t="shared" ref="L20:W20" si="10">SUM(L21:L27)</f>
        <v>0</v>
      </c>
      <c r="M20" s="163">
        <f t="shared" si="10"/>
        <v>0</v>
      </c>
      <c r="N20" s="163">
        <f t="shared" si="10"/>
        <v>0</v>
      </c>
      <c r="O20" s="163">
        <f t="shared" si="10"/>
        <v>0</v>
      </c>
      <c r="P20" s="214">
        <f t="shared" si="10"/>
        <v>0</v>
      </c>
      <c r="Q20" s="214">
        <f t="shared" si="10"/>
        <v>0</v>
      </c>
      <c r="R20" s="214">
        <f t="shared" si="10"/>
        <v>0</v>
      </c>
      <c r="S20" s="214">
        <f t="shared" si="10"/>
        <v>0</v>
      </c>
      <c r="T20" s="214">
        <f t="shared" si="10"/>
        <v>0</v>
      </c>
      <c r="U20" s="214">
        <f t="shared" si="10"/>
        <v>0</v>
      </c>
      <c r="V20" s="214">
        <f t="shared" si="10"/>
        <v>0</v>
      </c>
      <c r="W20" s="240">
        <f t="shared" si="10"/>
        <v>0</v>
      </c>
      <c r="X20" s="241">
        <f>SUM(L20:W20)</f>
        <v>0</v>
      </c>
      <c r="Y20" s="46"/>
      <c r="Z20" s="40"/>
    </row>
    <row r="21" spans="1:26" x14ac:dyDescent="0.2">
      <c r="A21" s="41">
        <f t="shared" si="9"/>
        <v>0</v>
      </c>
      <c r="B21" s="42">
        <f t="shared" si="9"/>
        <v>0</v>
      </c>
      <c r="C21" s="425"/>
      <c r="D21" s="428"/>
      <c r="E21" s="428"/>
      <c r="F21" s="431"/>
      <c r="G21" s="428"/>
      <c r="H21" s="453"/>
      <c r="I21" s="434"/>
      <c r="J21" s="437"/>
      <c r="K21" s="71" t="s">
        <v>25</v>
      </c>
      <c r="L21" s="209"/>
      <c r="M21" s="160"/>
      <c r="N21" s="160"/>
      <c r="O21" s="160"/>
      <c r="P21" s="210"/>
      <c r="Q21" s="210"/>
      <c r="R21" s="210"/>
      <c r="S21" s="210"/>
      <c r="T21" s="210"/>
      <c r="U21" s="210"/>
      <c r="V21" s="210"/>
      <c r="W21" s="237"/>
      <c r="X21" s="238">
        <f t="shared" ref="X21:X27" si="11">SUM(L21:W21)</f>
        <v>0</v>
      </c>
      <c r="Y21" s="46"/>
      <c r="Z21" s="40"/>
    </row>
    <row r="22" spans="1:26" x14ac:dyDescent="0.2">
      <c r="A22" s="41">
        <f t="shared" si="9"/>
        <v>0</v>
      </c>
      <c r="B22" s="42">
        <f t="shared" si="9"/>
        <v>0</v>
      </c>
      <c r="C22" s="425"/>
      <c r="D22" s="428"/>
      <c r="E22" s="428"/>
      <c r="F22" s="431"/>
      <c r="G22" s="428"/>
      <c r="H22" s="453"/>
      <c r="I22" s="434"/>
      <c r="J22" s="437"/>
      <c r="K22" s="71" t="s">
        <v>30</v>
      </c>
      <c r="L22" s="209"/>
      <c r="M22" s="160"/>
      <c r="N22" s="160"/>
      <c r="O22" s="160"/>
      <c r="P22" s="210"/>
      <c r="Q22" s="210"/>
      <c r="R22" s="210"/>
      <c r="S22" s="210"/>
      <c r="T22" s="210"/>
      <c r="U22" s="210"/>
      <c r="V22" s="210"/>
      <c r="W22" s="237"/>
      <c r="X22" s="238">
        <f t="shared" si="11"/>
        <v>0</v>
      </c>
      <c r="Y22" s="46"/>
      <c r="Z22" s="40"/>
    </row>
    <row r="23" spans="1:26" x14ac:dyDescent="0.2">
      <c r="A23" s="41">
        <f t="shared" si="9"/>
        <v>0</v>
      </c>
      <c r="B23" s="42">
        <f t="shared" si="9"/>
        <v>0</v>
      </c>
      <c r="C23" s="425"/>
      <c r="D23" s="428"/>
      <c r="E23" s="428"/>
      <c r="F23" s="431"/>
      <c r="G23" s="428"/>
      <c r="H23" s="453"/>
      <c r="I23" s="434"/>
      <c r="J23" s="437"/>
      <c r="K23" s="71" t="s">
        <v>33</v>
      </c>
      <c r="L23" s="209"/>
      <c r="M23" s="160"/>
      <c r="N23" s="160"/>
      <c r="O23" s="160"/>
      <c r="P23" s="210"/>
      <c r="Q23" s="210"/>
      <c r="R23" s="210"/>
      <c r="S23" s="210"/>
      <c r="T23" s="210"/>
      <c r="U23" s="210"/>
      <c r="V23" s="210"/>
      <c r="W23" s="237"/>
      <c r="X23" s="238">
        <f t="shared" si="11"/>
        <v>0</v>
      </c>
      <c r="Y23" s="46"/>
      <c r="Z23" s="40"/>
    </row>
    <row r="24" spans="1:26" x14ac:dyDescent="0.2">
      <c r="A24" s="41">
        <f t="shared" si="9"/>
        <v>0</v>
      </c>
      <c r="B24" s="42">
        <f t="shared" si="9"/>
        <v>0</v>
      </c>
      <c r="C24" s="425"/>
      <c r="D24" s="428"/>
      <c r="E24" s="428"/>
      <c r="F24" s="431"/>
      <c r="G24" s="428"/>
      <c r="H24" s="453"/>
      <c r="I24" s="434"/>
      <c r="J24" s="437"/>
      <c r="K24" s="71" t="s">
        <v>26</v>
      </c>
      <c r="L24" s="209"/>
      <c r="M24" s="160"/>
      <c r="N24" s="160"/>
      <c r="O24" s="160"/>
      <c r="P24" s="210"/>
      <c r="Q24" s="210"/>
      <c r="R24" s="210"/>
      <c r="S24" s="210"/>
      <c r="T24" s="210"/>
      <c r="U24" s="210"/>
      <c r="V24" s="210"/>
      <c r="W24" s="237"/>
      <c r="X24" s="238">
        <f t="shared" si="11"/>
        <v>0</v>
      </c>
      <c r="Y24" s="46"/>
      <c r="Z24" s="40"/>
    </row>
    <row r="25" spans="1:26" x14ac:dyDescent="0.2">
      <c r="A25" s="41">
        <f t="shared" si="9"/>
        <v>0</v>
      </c>
      <c r="B25" s="42">
        <f t="shared" si="9"/>
        <v>0</v>
      </c>
      <c r="C25" s="425"/>
      <c r="D25" s="428"/>
      <c r="E25" s="428"/>
      <c r="F25" s="431"/>
      <c r="G25" s="428"/>
      <c r="H25" s="453"/>
      <c r="I25" s="434"/>
      <c r="J25" s="437"/>
      <c r="K25" s="71" t="s">
        <v>27</v>
      </c>
      <c r="L25" s="209"/>
      <c r="M25" s="160"/>
      <c r="N25" s="160"/>
      <c r="O25" s="160"/>
      <c r="P25" s="210"/>
      <c r="Q25" s="210"/>
      <c r="R25" s="210"/>
      <c r="S25" s="210"/>
      <c r="T25" s="210"/>
      <c r="U25" s="210"/>
      <c r="V25" s="210"/>
      <c r="W25" s="237"/>
      <c r="X25" s="238">
        <f t="shared" si="11"/>
        <v>0</v>
      </c>
      <c r="Y25" s="46"/>
      <c r="Z25" s="40"/>
    </row>
    <row r="26" spans="1:26" x14ac:dyDescent="0.2">
      <c r="A26" s="41">
        <f t="shared" si="9"/>
        <v>0</v>
      </c>
      <c r="B26" s="42">
        <f t="shared" si="9"/>
        <v>0</v>
      </c>
      <c r="C26" s="425"/>
      <c r="D26" s="428"/>
      <c r="E26" s="428"/>
      <c r="F26" s="431"/>
      <c r="G26" s="428"/>
      <c r="H26" s="453"/>
      <c r="I26" s="434"/>
      <c r="J26" s="437"/>
      <c r="K26" s="71" t="s">
        <v>28</v>
      </c>
      <c r="L26" s="209"/>
      <c r="M26" s="160"/>
      <c r="N26" s="160"/>
      <c r="O26" s="160"/>
      <c r="P26" s="210"/>
      <c r="Q26" s="210"/>
      <c r="R26" s="210"/>
      <c r="S26" s="210"/>
      <c r="T26" s="210"/>
      <c r="U26" s="210"/>
      <c r="V26" s="210"/>
      <c r="W26" s="237"/>
      <c r="X26" s="238">
        <f t="shared" si="11"/>
        <v>0</v>
      </c>
      <c r="Y26" s="46"/>
      <c r="Z26" s="40"/>
    </row>
    <row r="27" spans="1:26" x14ac:dyDescent="0.2">
      <c r="A27" s="41">
        <f t="shared" si="9"/>
        <v>0</v>
      </c>
      <c r="B27" s="42">
        <f t="shared" si="9"/>
        <v>0</v>
      </c>
      <c r="C27" s="425"/>
      <c r="D27" s="428"/>
      <c r="E27" s="428"/>
      <c r="F27" s="431"/>
      <c r="G27" s="428"/>
      <c r="H27" s="453"/>
      <c r="I27" s="434"/>
      <c r="J27" s="437"/>
      <c r="K27" s="71" t="s">
        <v>29</v>
      </c>
      <c r="L27" s="209"/>
      <c r="M27" s="160"/>
      <c r="N27" s="160"/>
      <c r="O27" s="160"/>
      <c r="P27" s="210"/>
      <c r="Q27" s="210"/>
      <c r="R27" s="210"/>
      <c r="S27" s="210"/>
      <c r="T27" s="210"/>
      <c r="U27" s="210"/>
      <c r="V27" s="210"/>
      <c r="W27" s="237"/>
      <c r="X27" s="238">
        <f t="shared" si="11"/>
        <v>0</v>
      </c>
      <c r="Y27" s="46"/>
      <c r="Z27" s="40"/>
    </row>
    <row r="28" spans="1:26" x14ac:dyDescent="0.2">
      <c r="A28" s="41">
        <f t="shared" si="9"/>
        <v>0</v>
      </c>
      <c r="B28" s="42">
        <f t="shared" si="9"/>
        <v>0</v>
      </c>
      <c r="C28" s="426"/>
      <c r="D28" s="429"/>
      <c r="E28" s="429"/>
      <c r="F28" s="432"/>
      <c r="G28" s="429"/>
      <c r="H28" s="456"/>
      <c r="I28" s="435"/>
      <c r="J28" s="438"/>
      <c r="K28" s="77" t="s">
        <v>39</v>
      </c>
      <c r="L28" s="257">
        <f t="shared" ref="L28:X28" si="12">L17-L20</f>
        <v>0</v>
      </c>
      <c r="M28" s="170">
        <f t="shared" si="12"/>
        <v>0</v>
      </c>
      <c r="N28" s="170">
        <f t="shared" si="12"/>
        <v>0</v>
      </c>
      <c r="O28" s="170">
        <f t="shared" si="12"/>
        <v>0</v>
      </c>
      <c r="P28" s="258">
        <f t="shared" si="12"/>
        <v>0</v>
      </c>
      <c r="Q28" s="258">
        <f t="shared" si="12"/>
        <v>0</v>
      </c>
      <c r="R28" s="258">
        <f t="shared" si="12"/>
        <v>0</v>
      </c>
      <c r="S28" s="258">
        <f t="shared" si="12"/>
        <v>0</v>
      </c>
      <c r="T28" s="258">
        <f t="shared" si="12"/>
        <v>0</v>
      </c>
      <c r="U28" s="258">
        <f t="shared" si="12"/>
        <v>0</v>
      </c>
      <c r="V28" s="258">
        <f t="shared" si="12"/>
        <v>0</v>
      </c>
      <c r="W28" s="259">
        <f t="shared" si="12"/>
        <v>0</v>
      </c>
      <c r="X28" s="252">
        <f t="shared" si="12"/>
        <v>0</v>
      </c>
      <c r="Y28" s="46"/>
      <c r="Z28" s="40"/>
    </row>
    <row r="29" spans="1:26" ht="12.75" customHeight="1" x14ac:dyDescent="0.2">
      <c r="A29" s="18"/>
      <c r="C29" s="447">
        <f t="shared" ref="C29:C41" si="13">C17+1</f>
        <v>3</v>
      </c>
      <c r="D29" s="431"/>
      <c r="E29" s="431"/>
      <c r="F29" s="431"/>
      <c r="G29" s="431"/>
      <c r="H29" s="453"/>
      <c r="I29" s="453"/>
      <c r="J29" s="450"/>
      <c r="K29" s="74" t="s">
        <v>37</v>
      </c>
      <c r="L29" s="253">
        <f t="shared" ref="L29:V29" si="14">L30+L31</f>
        <v>0</v>
      </c>
      <c r="M29" s="169">
        <f t="shared" si="14"/>
        <v>0</v>
      </c>
      <c r="N29" s="169">
        <f t="shared" si="14"/>
        <v>0</v>
      </c>
      <c r="O29" s="169">
        <f t="shared" si="14"/>
        <v>0</v>
      </c>
      <c r="P29" s="254">
        <f t="shared" si="14"/>
        <v>0</v>
      </c>
      <c r="Q29" s="254">
        <f t="shared" si="14"/>
        <v>0</v>
      </c>
      <c r="R29" s="254">
        <f>R30+R31</f>
        <v>0</v>
      </c>
      <c r="S29" s="254">
        <f t="shared" si="14"/>
        <v>0</v>
      </c>
      <c r="T29" s="254">
        <f t="shared" si="14"/>
        <v>0</v>
      </c>
      <c r="U29" s="254">
        <f t="shared" si="14"/>
        <v>0</v>
      </c>
      <c r="V29" s="254">
        <f t="shared" si="14"/>
        <v>0</v>
      </c>
      <c r="W29" s="255">
        <f>W30+W31</f>
        <v>0</v>
      </c>
      <c r="X29" s="256">
        <f>SUM(L29:W29)</f>
        <v>0</v>
      </c>
      <c r="Y29" s="46"/>
      <c r="Z29" s="40"/>
    </row>
    <row r="30" spans="1:26" x14ac:dyDescent="0.2">
      <c r="A30" s="41">
        <f t="shared" ref="A30:B40" si="15">+A29</f>
        <v>0</v>
      </c>
      <c r="B30" s="42">
        <f t="shared" si="15"/>
        <v>0</v>
      </c>
      <c r="C30" s="447"/>
      <c r="D30" s="431"/>
      <c r="E30" s="431"/>
      <c r="F30" s="431"/>
      <c r="G30" s="431"/>
      <c r="H30" s="453"/>
      <c r="I30" s="453"/>
      <c r="J30" s="450"/>
      <c r="K30" s="75" t="s">
        <v>38</v>
      </c>
      <c r="L30" s="209"/>
      <c r="M30" s="160"/>
      <c r="N30" s="160"/>
      <c r="O30" s="160"/>
      <c r="P30" s="210"/>
      <c r="Q30" s="210"/>
      <c r="R30" s="210"/>
      <c r="S30" s="210"/>
      <c r="T30" s="210"/>
      <c r="U30" s="210"/>
      <c r="V30" s="210"/>
      <c r="W30" s="237"/>
      <c r="X30" s="238">
        <f>SUM(L30:W30)</f>
        <v>0</v>
      </c>
      <c r="Y30" s="46"/>
      <c r="Z30" s="40"/>
    </row>
    <row r="31" spans="1:26" x14ac:dyDescent="0.2">
      <c r="A31" s="41">
        <f t="shared" si="15"/>
        <v>0</v>
      </c>
      <c r="B31" s="42">
        <f t="shared" si="15"/>
        <v>0</v>
      </c>
      <c r="C31" s="447"/>
      <c r="D31" s="431"/>
      <c r="E31" s="431"/>
      <c r="F31" s="431"/>
      <c r="G31" s="431"/>
      <c r="H31" s="453"/>
      <c r="I31" s="453"/>
      <c r="J31" s="450"/>
      <c r="K31" s="75" t="s">
        <v>34</v>
      </c>
      <c r="L31" s="211"/>
      <c r="M31" s="162"/>
      <c r="N31" s="162"/>
      <c r="O31" s="162"/>
      <c r="P31" s="212"/>
      <c r="Q31" s="212"/>
      <c r="R31" s="212"/>
      <c r="S31" s="212"/>
      <c r="T31" s="212"/>
      <c r="U31" s="212"/>
      <c r="V31" s="212"/>
      <c r="W31" s="239"/>
      <c r="X31" s="238">
        <v>0</v>
      </c>
      <c r="Y31" s="46"/>
      <c r="Z31" s="40"/>
    </row>
    <row r="32" spans="1:26" x14ac:dyDescent="0.2">
      <c r="A32" s="41">
        <f t="shared" si="15"/>
        <v>0</v>
      </c>
      <c r="B32" s="42">
        <f t="shared" si="15"/>
        <v>0</v>
      </c>
      <c r="C32" s="447"/>
      <c r="D32" s="431"/>
      <c r="E32" s="431"/>
      <c r="F32" s="431"/>
      <c r="G32" s="431"/>
      <c r="H32" s="453"/>
      <c r="I32" s="453"/>
      <c r="J32" s="450"/>
      <c r="K32" s="76" t="s">
        <v>24</v>
      </c>
      <c r="L32" s="213">
        <f t="shared" ref="L32:V32" si="16">SUM(L33:L39)</f>
        <v>0</v>
      </c>
      <c r="M32" s="163">
        <f t="shared" si="16"/>
        <v>0</v>
      </c>
      <c r="N32" s="163">
        <f t="shared" si="16"/>
        <v>0</v>
      </c>
      <c r="O32" s="163">
        <f t="shared" si="16"/>
        <v>0</v>
      </c>
      <c r="P32" s="214">
        <f t="shared" si="16"/>
        <v>0</v>
      </c>
      <c r="Q32" s="214">
        <f t="shared" si="16"/>
        <v>0</v>
      </c>
      <c r="R32" s="214">
        <f>SUM(R33:R39)</f>
        <v>0</v>
      </c>
      <c r="S32" s="214">
        <f t="shared" si="16"/>
        <v>0</v>
      </c>
      <c r="T32" s="214">
        <f t="shared" si="16"/>
        <v>0</v>
      </c>
      <c r="U32" s="214">
        <f t="shared" si="16"/>
        <v>0</v>
      </c>
      <c r="V32" s="214">
        <f t="shared" si="16"/>
        <v>0</v>
      </c>
      <c r="W32" s="240">
        <f>SUM(W33:W39)</f>
        <v>0</v>
      </c>
      <c r="X32" s="241">
        <f>SUM(L32:W32)</f>
        <v>0</v>
      </c>
      <c r="Y32" s="46"/>
      <c r="Z32" s="40"/>
    </row>
    <row r="33" spans="1:26" x14ac:dyDescent="0.2">
      <c r="A33" s="41">
        <f t="shared" si="15"/>
        <v>0</v>
      </c>
      <c r="B33" s="42">
        <f t="shared" si="15"/>
        <v>0</v>
      </c>
      <c r="C33" s="447"/>
      <c r="D33" s="431"/>
      <c r="E33" s="431"/>
      <c r="F33" s="431"/>
      <c r="G33" s="431"/>
      <c r="H33" s="453"/>
      <c r="I33" s="453"/>
      <c r="J33" s="450"/>
      <c r="K33" s="71" t="s">
        <v>25</v>
      </c>
      <c r="L33" s="209"/>
      <c r="M33" s="160"/>
      <c r="N33" s="160"/>
      <c r="O33" s="160"/>
      <c r="P33" s="210"/>
      <c r="Q33" s="210"/>
      <c r="R33" s="210"/>
      <c r="S33" s="210"/>
      <c r="T33" s="210"/>
      <c r="U33" s="210"/>
      <c r="V33" s="210"/>
      <c r="W33" s="237"/>
      <c r="X33" s="238">
        <f t="shared" ref="X33:X39" si="17">SUM(L33:W33)</f>
        <v>0</v>
      </c>
      <c r="Y33" s="46"/>
      <c r="Z33" s="40"/>
    </row>
    <row r="34" spans="1:26" ht="12" customHeight="1" x14ac:dyDescent="0.2">
      <c r="A34" s="41">
        <f t="shared" si="15"/>
        <v>0</v>
      </c>
      <c r="B34" s="42">
        <f t="shared" si="15"/>
        <v>0</v>
      </c>
      <c r="C34" s="447"/>
      <c r="D34" s="431"/>
      <c r="E34" s="431"/>
      <c r="F34" s="431"/>
      <c r="G34" s="431"/>
      <c r="H34" s="453"/>
      <c r="I34" s="453"/>
      <c r="J34" s="450"/>
      <c r="K34" s="71" t="s">
        <v>30</v>
      </c>
      <c r="L34" s="209"/>
      <c r="M34" s="160"/>
      <c r="N34" s="160"/>
      <c r="O34" s="160"/>
      <c r="P34" s="210"/>
      <c r="Q34" s="210"/>
      <c r="R34" s="210"/>
      <c r="S34" s="210"/>
      <c r="T34" s="210"/>
      <c r="U34" s="210"/>
      <c r="V34" s="210"/>
      <c r="W34" s="237"/>
      <c r="X34" s="238">
        <f t="shared" si="17"/>
        <v>0</v>
      </c>
      <c r="Y34" s="46"/>
      <c r="Z34" s="40"/>
    </row>
    <row r="35" spans="1:26" x14ac:dyDescent="0.2">
      <c r="A35" s="41">
        <f t="shared" si="15"/>
        <v>0</v>
      </c>
      <c r="B35" s="42">
        <f t="shared" si="15"/>
        <v>0</v>
      </c>
      <c r="C35" s="447"/>
      <c r="D35" s="431"/>
      <c r="E35" s="431"/>
      <c r="F35" s="431"/>
      <c r="G35" s="431"/>
      <c r="H35" s="453"/>
      <c r="I35" s="453"/>
      <c r="J35" s="450"/>
      <c r="K35" s="71" t="s">
        <v>33</v>
      </c>
      <c r="L35" s="209"/>
      <c r="M35" s="160"/>
      <c r="N35" s="160"/>
      <c r="O35" s="160"/>
      <c r="P35" s="210"/>
      <c r="Q35" s="210"/>
      <c r="R35" s="210"/>
      <c r="S35" s="210"/>
      <c r="T35" s="210"/>
      <c r="U35" s="210"/>
      <c r="V35" s="210"/>
      <c r="W35" s="237"/>
      <c r="X35" s="238">
        <f t="shared" si="17"/>
        <v>0</v>
      </c>
      <c r="Y35" s="46"/>
      <c r="Z35" s="40"/>
    </row>
    <row r="36" spans="1:26" x14ac:dyDescent="0.2">
      <c r="A36" s="41">
        <f t="shared" si="15"/>
        <v>0</v>
      </c>
      <c r="B36" s="42">
        <f t="shared" si="15"/>
        <v>0</v>
      </c>
      <c r="C36" s="447"/>
      <c r="D36" s="431"/>
      <c r="E36" s="431"/>
      <c r="F36" s="431"/>
      <c r="G36" s="431"/>
      <c r="H36" s="453"/>
      <c r="I36" s="453"/>
      <c r="J36" s="450"/>
      <c r="K36" s="71" t="s">
        <v>26</v>
      </c>
      <c r="L36" s="242"/>
      <c r="M36" s="166"/>
      <c r="N36" s="166"/>
      <c r="O36" s="166"/>
      <c r="P36" s="243"/>
      <c r="Q36" s="243"/>
      <c r="R36" s="243"/>
      <c r="S36" s="243"/>
      <c r="T36" s="243"/>
      <c r="U36" s="243"/>
      <c r="V36" s="243"/>
      <c r="W36" s="244"/>
      <c r="X36" s="238">
        <f t="shared" si="17"/>
        <v>0</v>
      </c>
      <c r="Y36" s="46"/>
      <c r="Z36" s="40"/>
    </row>
    <row r="37" spans="1:26" x14ac:dyDescent="0.2">
      <c r="A37" s="41">
        <f t="shared" si="15"/>
        <v>0</v>
      </c>
      <c r="B37" s="42">
        <f t="shared" si="15"/>
        <v>0</v>
      </c>
      <c r="C37" s="447"/>
      <c r="D37" s="431"/>
      <c r="E37" s="431"/>
      <c r="F37" s="431"/>
      <c r="G37" s="431"/>
      <c r="H37" s="453"/>
      <c r="I37" s="453"/>
      <c r="J37" s="450"/>
      <c r="K37" s="71" t="s">
        <v>27</v>
      </c>
      <c r="L37" s="242"/>
      <c r="M37" s="166"/>
      <c r="N37" s="166"/>
      <c r="O37" s="166"/>
      <c r="P37" s="243"/>
      <c r="Q37" s="243"/>
      <c r="R37" s="243"/>
      <c r="S37" s="243"/>
      <c r="T37" s="243"/>
      <c r="U37" s="243"/>
      <c r="V37" s="243"/>
      <c r="W37" s="244"/>
      <c r="X37" s="238">
        <f t="shared" si="17"/>
        <v>0</v>
      </c>
      <c r="Y37" s="46"/>
      <c r="Z37" s="40"/>
    </row>
    <row r="38" spans="1:26" x14ac:dyDescent="0.2">
      <c r="A38" s="41">
        <f t="shared" si="15"/>
        <v>0</v>
      </c>
      <c r="B38" s="42">
        <f t="shared" si="15"/>
        <v>0</v>
      </c>
      <c r="C38" s="447"/>
      <c r="D38" s="431"/>
      <c r="E38" s="431"/>
      <c r="F38" s="431"/>
      <c r="G38" s="431"/>
      <c r="H38" s="453"/>
      <c r="I38" s="453"/>
      <c r="J38" s="450"/>
      <c r="K38" s="71" t="s">
        <v>28</v>
      </c>
      <c r="L38" s="242"/>
      <c r="M38" s="166"/>
      <c r="N38" s="166"/>
      <c r="O38" s="166"/>
      <c r="P38" s="243"/>
      <c r="Q38" s="243"/>
      <c r="R38" s="243"/>
      <c r="S38" s="243"/>
      <c r="T38" s="243"/>
      <c r="U38" s="243"/>
      <c r="V38" s="243"/>
      <c r="W38" s="244"/>
      <c r="X38" s="238">
        <f t="shared" si="17"/>
        <v>0</v>
      </c>
      <c r="Y38" s="46"/>
      <c r="Z38" s="40"/>
    </row>
    <row r="39" spans="1:26" x14ac:dyDescent="0.2">
      <c r="A39" s="41">
        <f t="shared" si="15"/>
        <v>0</v>
      </c>
      <c r="B39" s="42">
        <f t="shared" si="15"/>
        <v>0</v>
      </c>
      <c r="C39" s="447"/>
      <c r="D39" s="431"/>
      <c r="E39" s="431"/>
      <c r="F39" s="431"/>
      <c r="G39" s="431"/>
      <c r="H39" s="453"/>
      <c r="I39" s="453"/>
      <c r="J39" s="450"/>
      <c r="K39" s="71" t="s">
        <v>29</v>
      </c>
      <c r="L39" s="215"/>
      <c r="M39" s="164"/>
      <c r="N39" s="164"/>
      <c r="O39" s="164"/>
      <c r="P39" s="216"/>
      <c r="Q39" s="216"/>
      <c r="R39" s="216"/>
      <c r="S39" s="216"/>
      <c r="T39" s="216"/>
      <c r="U39" s="216"/>
      <c r="V39" s="216"/>
      <c r="W39" s="248"/>
      <c r="X39" s="238">
        <f t="shared" si="17"/>
        <v>0</v>
      </c>
      <c r="Y39" s="46"/>
      <c r="Z39" s="40"/>
    </row>
    <row r="40" spans="1:26" x14ac:dyDescent="0.2">
      <c r="A40" s="41">
        <f t="shared" si="15"/>
        <v>0</v>
      </c>
      <c r="B40" s="42">
        <f t="shared" si="15"/>
        <v>0</v>
      </c>
      <c r="C40" s="466"/>
      <c r="D40" s="432"/>
      <c r="E40" s="432"/>
      <c r="F40" s="432"/>
      <c r="G40" s="432"/>
      <c r="H40" s="456"/>
      <c r="I40" s="456"/>
      <c r="J40" s="457"/>
      <c r="K40" s="77" t="s">
        <v>39</v>
      </c>
      <c r="L40" s="257">
        <f t="shared" ref="L40:V40" si="18">L29-L32</f>
        <v>0</v>
      </c>
      <c r="M40" s="170">
        <f t="shared" si="18"/>
        <v>0</v>
      </c>
      <c r="N40" s="170">
        <f t="shared" si="18"/>
        <v>0</v>
      </c>
      <c r="O40" s="170">
        <f t="shared" si="18"/>
        <v>0</v>
      </c>
      <c r="P40" s="258">
        <f t="shared" si="18"/>
        <v>0</v>
      </c>
      <c r="Q40" s="258">
        <f t="shared" si="18"/>
        <v>0</v>
      </c>
      <c r="R40" s="258">
        <f>R29-R32</f>
        <v>0</v>
      </c>
      <c r="S40" s="258">
        <f t="shared" si="18"/>
        <v>0</v>
      </c>
      <c r="T40" s="258">
        <f t="shared" si="18"/>
        <v>0</v>
      </c>
      <c r="U40" s="258">
        <f t="shared" si="18"/>
        <v>0</v>
      </c>
      <c r="V40" s="258">
        <f t="shared" si="18"/>
        <v>0</v>
      </c>
      <c r="W40" s="259">
        <f>W29-W32</f>
        <v>0</v>
      </c>
      <c r="X40" s="252">
        <f>X29-X32</f>
        <v>0</v>
      </c>
      <c r="Y40" s="46"/>
      <c r="Z40" s="40"/>
    </row>
    <row r="41" spans="1:26" ht="12.75" customHeight="1" x14ac:dyDescent="0.2">
      <c r="A41" s="18"/>
      <c r="C41" s="446">
        <f t="shared" si="13"/>
        <v>4</v>
      </c>
      <c r="D41" s="431"/>
      <c r="E41" s="431"/>
      <c r="F41" s="431"/>
      <c r="G41" s="431"/>
      <c r="H41" s="453"/>
      <c r="I41" s="453"/>
      <c r="J41" s="449"/>
      <c r="K41" s="74" t="s">
        <v>37</v>
      </c>
      <c r="L41" s="260">
        <f t="shared" ref="L41:Q41" si="19">L42+L43</f>
        <v>0</v>
      </c>
      <c r="M41" s="282">
        <f t="shared" si="19"/>
        <v>0</v>
      </c>
      <c r="N41" s="282">
        <f t="shared" si="19"/>
        <v>0</v>
      </c>
      <c r="O41" s="282">
        <f t="shared" si="19"/>
        <v>0</v>
      </c>
      <c r="P41" s="254">
        <f t="shared" si="19"/>
        <v>0</v>
      </c>
      <c r="Q41" s="254">
        <f t="shared" si="19"/>
        <v>0</v>
      </c>
      <c r="R41" s="254">
        <f>R42+R43</f>
        <v>0</v>
      </c>
      <c r="S41" s="254">
        <f t="shared" ref="S41:V41" si="20">S42+S43</f>
        <v>0</v>
      </c>
      <c r="T41" s="254">
        <f t="shared" si="20"/>
        <v>0</v>
      </c>
      <c r="U41" s="254">
        <f t="shared" si="20"/>
        <v>0</v>
      </c>
      <c r="V41" s="254">
        <f t="shared" si="20"/>
        <v>0</v>
      </c>
      <c r="W41" s="255">
        <f>W42+W43</f>
        <v>0</v>
      </c>
      <c r="X41" s="256">
        <f>SUM(L41:W41)</f>
        <v>0</v>
      </c>
      <c r="Z41" s="40"/>
    </row>
    <row r="42" spans="1:26" x14ac:dyDescent="0.2">
      <c r="A42" s="41">
        <f t="shared" ref="A42:B52" si="21">+A41</f>
        <v>0</v>
      </c>
      <c r="B42" s="42">
        <f t="shared" si="21"/>
        <v>0</v>
      </c>
      <c r="C42" s="447"/>
      <c r="D42" s="431"/>
      <c r="E42" s="431"/>
      <c r="F42" s="431"/>
      <c r="G42" s="431"/>
      <c r="H42" s="453"/>
      <c r="I42" s="453"/>
      <c r="J42" s="450"/>
      <c r="K42" s="75" t="s">
        <v>38</v>
      </c>
      <c r="L42" s="209"/>
      <c r="M42" s="160"/>
      <c r="N42" s="160"/>
      <c r="O42" s="160"/>
      <c r="P42" s="210"/>
      <c r="Q42" s="210"/>
      <c r="R42" s="210"/>
      <c r="S42" s="210"/>
      <c r="T42" s="210"/>
      <c r="U42" s="210"/>
      <c r="V42" s="210"/>
      <c r="W42" s="237"/>
      <c r="X42" s="238">
        <f>SUM(L42:W42)</f>
        <v>0</v>
      </c>
      <c r="Z42" s="40"/>
    </row>
    <row r="43" spans="1:26" x14ac:dyDescent="0.2">
      <c r="A43" s="41">
        <f t="shared" si="21"/>
        <v>0</v>
      </c>
      <c r="B43" s="42">
        <f t="shared" si="21"/>
        <v>0</v>
      </c>
      <c r="C43" s="447"/>
      <c r="D43" s="431"/>
      <c r="E43" s="431"/>
      <c r="F43" s="431"/>
      <c r="G43" s="431"/>
      <c r="H43" s="453"/>
      <c r="I43" s="453"/>
      <c r="J43" s="450"/>
      <c r="K43" s="75" t="s">
        <v>34</v>
      </c>
      <c r="L43" s="209"/>
      <c r="M43" s="160"/>
      <c r="N43" s="160"/>
      <c r="O43" s="162"/>
      <c r="P43" s="212"/>
      <c r="Q43" s="212"/>
      <c r="R43" s="212"/>
      <c r="S43" s="212"/>
      <c r="T43" s="212"/>
      <c r="U43" s="212"/>
      <c r="V43" s="212"/>
      <c r="W43" s="239"/>
      <c r="X43" s="238">
        <v>0</v>
      </c>
      <c r="Z43" s="40"/>
    </row>
    <row r="44" spans="1:26" x14ac:dyDescent="0.2">
      <c r="A44" s="41">
        <f t="shared" si="21"/>
        <v>0</v>
      </c>
      <c r="B44" s="42">
        <f t="shared" si="21"/>
        <v>0</v>
      </c>
      <c r="C44" s="447"/>
      <c r="D44" s="431"/>
      <c r="E44" s="431"/>
      <c r="F44" s="431"/>
      <c r="G44" s="431"/>
      <c r="H44" s="453"/>
      <c r="I44" s="453"/>
      <c r="J44" s="450"/>
      <c r="K44" s="76" t="s">
        <v>24</v>
      </c>
      <c r="L44" s="261">
        <f t="shared" ref="L44:Q44" si="22">SUM(L45:L51)</f>
        <v>0</v>
      </c>
      <c r="M44" s="280">
        <f t="shared" si="22"/>
        <v>0</v>
      </c>
      <c r="N44" s="280">
        <f t="shared" si="22"/>
        <v>0</v>
      </c>
      <c r="O44" s="163">
        <f t="shared" si="22"/>
        <v>0</v>
      </c>
      <c r="P44" s="214">
        <f t="shared" si="22"/>
        <v>0</v>
      </c>
      <c r="Q44" s="214">
        <f t="shared" si="22"/>
        <v>0</v>
      </c>
      <c r="R44" s="214">
        <f>SUM(R45:R51)</f>
        <v>0</v>
      </c>
      <c r="S44" s="214">
        <f t="shared" ref="S44:V44" si="23">SUM(S45:S51)</f>
        <v>0</v>
      </c>
      <c r="T44" s="214">
        <f t="shared" si="23"/>
        <v>0</v>
      </c>
      <c r="U44" s="214">
        <f t="shared" si="23"/>
        <v>0</v>
      </c>
      <c r="V44" s="214">
        <f t="shared" si="23"/>
        <v>0</v>
      </c>
      <c r="W44" s="240">
        <f>SUM(W45:W51)</f>
        <v>0</v>
      </c>
      <c r="X44" s="241">
        <f>SUM(L44:W44)</f>
        <v>0</v>
      </c>
      <c r="Z44" s="40"/>
    </row>
    <row r="45" spans="1:26" x14ac:dyDescent="0.2">
      <c r="A45" s="41">
        <f t="shared" si="21"/>
        <v>0</v>
      </c>
      <c r="B45" s="42">
        <f t="shared" si="21"/>
        <v>0</v>
      </c>
      <c r="C45" s="447"/>
      <c r="D45" s="431"/>
      <c r="E45" s="431"/>
      <c r="F45" s="431"/>
      <c r="G45" s="431"/>
      <c r="H45" s="453"/>
      <c r="I45" s="453"/>
      <c r="J45" s="450"/>
      <c r="K45" s="71" t="s">
        <v>25</v>
      </c>
      <c r="L45" s="209"/>
      <c r="M45" s="160"/>
      <c r="N45" s="160"/>
      <c r="O45" s="160"/>
      <c r="P45" s="210"/>
      <c r="Q45" s="210"/>
      <c r="R45" s="210"/>
      <c r="S45" s="210"/>
      <c r="T45" s="210"/>
      <c r="U45" s="210"/>
      <c r="V45" s="210"/>
      <c r="W45" s="237"/>
      <c r="X45" s="238">
        <f t="shared" ref="X45:X51" si="24">SUM(L45:W45)</f>
        <v>0</v>
      </c>
      <c r="Z45" s="40"/>
    </row>
    <row r="46" spans="1:26" ht="12" customHeight="1" x14ac:dyDescent="0.2">
      <c r="A46" s="41">
        <f t="shared" si="21"/>
        <v>0</v>
      </c>
      <c r="B46" s="42">
        <f t="shared" si="21"/>
        <v>0</v>
      </c>
      <c r="C46" s="447"/>
      <c r="D46" s="431"/>
      <c r="E46" s="431"/>
      <c r="F46" s="431"/>
      <c r="G46" s="431"/>
      <c r="H46" s="453"/>
      <c r="I46" s="453"/>
      <c r="J46" s="450"/>
      <c r="K46" s="71" t="s">
        <v>30</v>
      </c>
      <c r="L46" s="209"/>
      <c r="M46" s="160"/>
      <c r="N46" s="160"/>
      <c r="O46" s="160"/>
      <c r="P46" s="210"/>
      <c r="Q46" s="210"/>
      <c r="R46" s="210"/>
      <c r="S46" s="210"/>
      <c r="T46" s="210"/>
      <c r="U46" s="210"/>
      <c r="V46" s="210"/>
      <c r="W46" s="237"/>
      <c r="X46" s="238">
        <f t="shared" si="24"/>
        <v>0</v>
      </c>
      <c r="Z46" s="40"/>
    </row>
    <row r="47" spans="1:26" x14ac:dyDescent="0.2">
      <c r="A47" s="41">
        <f t="shared" si="21"/>
        <v>0</v>
      </c>
      <c r="B47" s="42">
        <f t="shared" si="21"/>
        <v>0</v>
      </c>
      <c r="C47" s="447"/>
      <c r="D47" s="431"/>
      <c r="E47" s="431"/>
      <c r="F47" s="431"/>
      <c r="G47" s="431"/>
      <c r="H47" s="453"/>
      <c r="I47" s="453"/>
      <c r="J47" s="450"/>
      <c r="K47" s="71" t="s">
        <v>33</v>
      </c>
      <c r="L47" s="209"/>
      <c r="M47" s="160"/>
      <c r="N47" s="160"/>
      <c r="O47" s="160"/>
      <c r="P47" s="210"/>
      <c r="Q47" s="210"/>
      <c r="R47" s="210"/>
      <c r="S47" s="210"/>
      <c r="T47" s="210"/>
      <c r="U47" s="210"/>
      <c r="V47" s="210"/>
      <c r="W47" s="237"/>
      <c r="X47" s="238">
        <f t="shared" si="24"/>
        <v>0</v>
      </c>
      <c r="Z47" s="40"/>
    </row>
    <row r="48" spans="1:26" x14ac:dyDescent="0.2">
      <c r="A48" s="41">
        <f t="shared" si="21"/>
        <v>0</v>
      </c>
      <c r="B48" s="42">
        <f t="shared" si="21"/>
        <v>0</v>
      </c>
      <c r="C48" s="447"/>
      <c r="D48" s="431"/>
      <c r="E48" s="431"/>
      <c r="F48" s="431"/>
      <c r="G48" s="431"/>
      <c r="H48" s="453"/>
      <c r="I48" s="453"/>
      <c r="J48" s="450"/>
      <c r="K48" s="71" t="s">
        <v>26</v>
      </c>
      <c r="L48" s="242"/>
      <c r="M48" s="166"/>
      <c r="N48" s="166"/>
      <c r="O48" s="166"/>
      <c r="P48" s="210"/>
      <c r="Q48" s="210"/>
      <c r="R48" s="210"/>
      <c r="S48" s="210"/>
      <c r="T48" s="210"/>
      <c r="U48" s="210"/>
      <c r="V48" s="210"/>
      <c r="W48" s="237"/>
      <c r="X48" s="238">
        <f t="shared" si="24"/>
        <v>0</v>
      </c>
      <c r="Y48" s="46"/>
      <c r="Z48" s="40"/>
    </row>
    <row r="49" spans="1:26" x14ac:dyDescent="0.2">
      <c r="A49" s="41">
        <f t="shared" si="21"/>
        <v>0</v>
      </c>
      <c r="B49" s="42">
        <f t="shared" si="21"/>
        <v>0</v>
      </c>
      <c r="C49" s="447"/>
      <c r="D49" s="431"/>
      <c r="E49" s="431"/>
      <c r="F49" s="431"/>
      <c r="G49" s="431"/>
      <c r="H49" s="453"/>
      <c r="I49" s="453"/>
      <c r="J49" s="450"/>
      <c r="K49" s="71" t="s">
        <v>27</v>
      </c>
      <c r="L49" s="242"/>
      <c r="M49" s="166"/>
      <c r="N49" s="166"/>
      <c r="O49" s="166"/>
      <c r="P49" s="210"/>
      <c r="Q49" s="210"/>
      <c r="R49" s="210"/>
      <c r="S49" s="210"/>
      <c r="T49" s="210"/>
      <c r="U49" s="210"/>
      <c r="V49" s="210"/>
      <c r="W49" s="237"/>
      <c r="X49" s="238">
        <f t="shared" si="24"/>
        <v>0</v>
      </c>
      <c r="Y49" s="46"/>
      <c r="Z49" s="40"/>
    </row>
    <row r="50" spans="1:26" x14ac:dyDescent="0.2">
      <c r="A50" s="41">
        <f t="shared" si="21"/>
        <v>0</v>
      </c>
      <c r="B50" s="42">
        <f t="shared" si="21"/>
        <v>0</v>
      </c>
      <c r="C50" s="447"/>
      <c r="D50" s="431"/>
      <c r="E50" s="431"/>
      <c r="F50" s="431"/>
      <c r="G50" s="431"/>
      <c r="H50" s="453"/>
      <c r="I50" s="453"/>
      <c r="J50" s="450"/>
      <c r="K50" s="71" t="s">
        <v>28</v>
      </c>
      <c r="L50" s="242"/>
      <c r="M50" s="166"/>
      <c r="N50" s="166"/>
      <c r="O50" s="166"/>
      <c r="P50" s="210"/>
      <c r="Q50" s="210"/>
      <c r="R50" s="210"/>
      <c r="S50" s="210"/>
      <c r="T50" s="210"/>
      <c r="U50" s="210"/>
      <c r="V50" s="210"/>
      <c r="W50" s="237"/>
      <c r="X50" s="238">
        <f t="shared" si="24"/>
        <v>0</v>
      </c>
      <c r="Y50" s="46"/>
      <c r="Z50" s="40"/>
    </row>
    <row r="51" spans="1:26" x14ac:dyDescent="0.2">
      <c r="A51" s="41">
        <f t="shared" si="21"/>
        <v>0</v>
      </c>
      <c r="B51" s="42">
        <f t="shared" si="21"/>
        <v>0</v>
      </c>
      <c r="C51" s="447"/>
      <c r="D51" s="431"/>
      <c r="E51" s="431"/>
      <c r="F51" s="431"/>
      <c r="G51" s="431"/>
      <c r="H51" s="453"/>
      <c r="I51" s="453"/>
      <c r="J51" s="450"/>
      <c r="K51" s="71" t="s">
        <v>29</v>
      </c>
      <c r="L51" s="215"/>
      <c r="M51" s="164"/>
      <c r="N51" s="164"/>
      <c r="O51" s="164"/>
      <c r="P51" s="210"/>
      <c r="Q51" s="210"/>
      <c r="R51" s="210"/>
      <c r="S51" s="210"/>
      <c r="T51" s="210"/>
      <c r="U51" s="210"/>
      <c r="V51" s="210"/>
      <c r="W51" s="237"/>
      <c r="X51" s="238">
        <f t="shared" si="24"/>
        <v>0</v>
      </c>
      <c r="Z51" s="40"/>
    </row>
    <row r="52" spans="1:26" ht="12.5" thickBot="1" x14ac:dyDescent="0.25">
      <c r="A52" s="41">
        <f t="shared" si="21"/>
        <v>0</v>
      </c>
      <c r="B52" s="42">
        <f t="shared" si="21"/>
        <v>0</v>
      </c>
      <c r="C52" s="448"/>
      <c r="D52" s="432"/>
      <c r="E52" s="432"/>
      <c r="F52" s="432"/>
      <c r="G52" s="432"/>
      <c r="H52" s="456"/>
      <c r="I52" s="456"/>
      <c r="J52" s="451"/>
      <c r="K52" s="77" t="s">
        <v>39</v>
      </c>
      <c r="L52" s="262">
        <f t="shared" ref="L52:Q52" si="25">L41-L44</f>
        <v>0</v>
      </c>
      <c r="M52" s="283">
        <f t="shared" si="25"/>
        <v>0</v>
      </c>
      <c r="N52" s="283">
        <f t="shared" si="25"/>
        <v>0</v>
      </c>
      <c r="O52" s="170">
        <f t="shared" si="25"/>
        <v>0</v>
      </c>
      <c r="P52" s="258">
        <f t="shared" si="25"/>
        <v>0</v>
      </c>
      <c r="Q52" s="258">
        <f t="shared" si="25"/>
        <v>0</v>
      </c>
      <c r="R52" s="258">
        <f>R41-R44</f>
        <v>0</v>
      </c>
      <c r="S52" s="258">
        <f t="shared" ref="S52:V52" si="26">S41-S44</f>
        <v>0</v>
      </c>
      <c r="T52" s="258">
        <f t="shared" si="26"/>
        <v>0</v>
      </c>
      <c r="U52" s="258">
        <f t="shared" si="26"/>
        <v>0</v>
      </c>
      <c r="V52" s="258">
        <f t="shared" si="26"/>
        <v>0</v>
      </c>
      <c r="W52" s="259">
        <f>W41-W44</f>
        <v>0</v>
      </c>
      <c r="X52" s="252">
        <f>X41-X44</f>
        <v>0</v>
      </c>
      <c r="Z52" s="40"/>
    </row>
    <row r="53" spans="1:26" s="1" customFormat="1" ht="12.5" thickTop="1" x14ac:dyDescent="0.2">
      <c r="A53" s="17"/>
      <c r="B53" s="15"/>
      <c r="C53" s="496" t="str">
        <f>C2</f>
        <v>その他常駐</v>
      </c>
      <c r="D53" s="505"/>
      <c r="E53" s="505"/>
      <c r="F53" s="505"/>
      <c r="G53" s="505"/>
      <c r="H53" s="505"/>
      <c r="I53" s="505"/>
      <c r="J53" s="498"/>
      <c r="K53" s="263" t="s">
        <v>21</v>
      </c>
      <c r="L53" s="264">
        <f>L5+L17+L29+L41</f>
        <v>0</v>
      </c>
      <c r="M53" s="284">
        <f t="shared" ref="M53:W53" si="27">M5+M17+M29+M41</f>
        <v>0</v>
      </c>
      <c r="N53" s="284">
        <f t="shared" si="27"/>
        <v>0</v>
      </c>
      <c r="O53" s="284">
        <f t="shared" si="27"/>
        <v>0</v>
      </c>
      <c r="P53" s="265">
        <f>P5+P17+P29+P41</f>
        <v>0</v>
      </c>
      <c r="Q53" s="265">
        <f t="shared" si="27"/>
        <v>0</v>
      </c>
      <c r="R53" s="265">
        <f t="shared" si="27"/>
        <v>0</v>
      </c>
      <c r="S53" s="265">
        <f t="shared" si="27"/>
        <v>0</v>
      </c>
      <c r="T53" s="265">
        <f t="shared" si="27"/>
        <v>0</v>
      </c>
      <c r="U53" s="265">
        <f t="shared" si="27"/>
        <v>0</v>
      </c>
      <c r="V53" s="265">
        <f t="shared" si="27"/>
        <v>0</v>
      </c>
      <c r="W53" s="266">
        <f t="shared" si="27"/>
        <v>0</v>
      </c>
      <c r="X53" s="267">
        <f>SUM(L53:W53)</f>
        <v>0</v>
      </c>
      <c r="Z53" s="40"/>
    </row>
    <row r="54" spans="1:26" s="1" customFormat="1" x14ac:dyDescent="0.2">
      <c r="A54" s="17"/>
      <c r="B54" s="15"/>
      <c r="C54" s="496"/>
      <c r="D54" s="497"/>
      <c r="E54" s="497"/>
      <c r="F54" s="497"/>
      <c r="G54" s="497"/>
      <c r="H54" s="497"/>
      <c r="I54" s="497"/>
      <c r="J54" s="498"/>
      <c r="K54" s="200" t="s">
        <v>22</v>
      </c>
      <c r="L54" s="218">
        <f>L8+L20+L32+L44</f>
        <v>0</v>
      </c>
      <c r="M54" s="165">
        <f t="shared" ref="M54:W54" si="28">M8+M20+M32+M44</f>
        <v>0</v>
      </c>
      <c r="N54" s="165">
        <f t="shared" si="28"/>
        <v>0</v>
      </c>
      <c r="O54" s="165">
        <f t="shared" si="28"/>
        <v>0</v>
      </c>
      <c r="P54" s="219">
        <f t="shared" si="28"/>
        <v>0</v>
      </c>
      <c r="Q54" s="219">
        <f t="shared" si="28"/>
        <v>0</v>
      </c>
      <c r="R54" s="219">
        <f t="shared" si="28"/>
        <v>0</v>
      </c>
      <c r="S54" s="219">
        <f t="shared" si="28"/>
        <v>0</v>
      </c>
      <c r="T54" s="219">
        <f t="shared" si="28"/>
        <v>0</v>
      </c>
      <c r="U54" s="219">
        <f t="shared" si="28"/>
        <v>0</v>
      </c>
      <c r="V54" s="219">
        <f t="shared" si="28"/>
        <v>0</v>
      </c>
      <c r="W54" s="268">
        <f t="shared" si="28"/>
        <v>0</v>
      </c>
      <c r="X54" s="269">
        <f>SUM(L54:W54)</f>
        <v>0</v>
      </c>
      <c r="Z54" s="40"/>
    </row>
    <row r="55" spans="1:26" s="1" customFormat="1" x14ac:dyDescent="0.2">
      <c r="A55" s="17"/>
      <c r="B55" s="15"/>
      <c r="C55" s="499"/>
      <c r="D55" s="500"/>
      <c r="E55" s="500"/>
      <c r="F55" s="500"/>
      <c r="G55" s="500"/>
      <c r="H55" s="500"/>
      <c r="I55" s="500"/>
      <c r="J55" s="501"/>
      <c r="K55" s="220" t="s">
        <v>23</v>
      </c>
      <c r="L55" s="221">
        <f>L53-L54</f>
        <v>0</v>
      </c>
      <c r="M55" s="281">
        <f t="shared" ref="M55:W55" si="29">M53-M54</f>
        <v>0</v>
      </c>
      <c r="N55" s="281">
        <f t="shared" si="29"/>
        <v>0</v>
      </c>
      <c r="O55" s="281">
        <f t="shared" si="29"/>
        <v>0</v>
      </c>
      <c r="P55" s="222">
        <f t="shared" si="29"/>
        <v>0</v>
      </c>
      <c r="Q55" s="222">
        <f t="shared" si="29"/>
        <v>0</v>
      </c>
      <c r="R55" s="222">
        <f t="shared" si="29"/>
        <v>0</v>
      </c>
      <c r="S55" s="222">
        <f t="shared" si="29"/>
        <v>0</v>
      </c>
      <c r="T55" s="222">
        <f t="shared" si="29"/>
        <v>0</v>
      </c>
      <c r="U55" s="222">
        <f t="shared" si="29"/>
        <v>0</v>
      </c>
      <c r="V55" s="222">
        <f t="shared" si="29"/>
        <v>0</v>
      </c>
      <c r="W55" s="270">
        <f t="shared" si="29"/>
        <v>0</v>
      </c>
      <c r="X55" s="271">
        <f>SUM(L55:W55)</f>
        <v>0</v>
      </c>
      <c r="Z55" s="40"/>
    </row>
    <row r="56" spans="1:26" s="10" customFormat="1" ht="14.9" customHeight="1" x14ac:dyDescent="0.2">
      <c r="A56" s="17"/>
      <c r="B56" s="15"/>
      <c r="F56" s="1"/>
      <c r="K56" s="223" t="s">
        <v>40</v>
      </c>
      <c r="L56" s="506">
        <f>SUM(L53:N53)</f>
        <v>0</v>
      </c>
      <c r="M56" s="507"/>
      <c r="N56" s="507"/>
      <c r="O56" s="439">
        <f>SUM(O53:Q53)</f>
        <v>0</v>
      </c>
      <c r="P56" s="507"/>
      <c r="Q56" s="507"/>
      <c r="R56" s="440">
        <f>SUM(R53:T53)</f>
        <v>0</v>
      </c>
      <c r="S56" s="495"/>
      <c r="T56" s="495"/>
      <c r="U56" s="440">
        <f>SUM(U53:W53)</f>
        <v>0</v>
      </c>
      <c r="V56" s="495"/>
      <c r="W56" s="508"/>
      <c r="X56" s="272">
        <f>SUM(L56:W56)</f>
        <v>0</v>
      </c>
      <c r="Z56" s="40"/>
    </row>
    <row r="57" spans="1:26" s="10" customFormat="1" ht="14.9" customHeight="1" x14ac:dyDescent="0.2">
      <c r="A57" s="17"/>
      <c r="B57" s="15"/>
      <c r="F57" s="1"/>
      <c r="K57" s="224" t="s">
        <v>41</v>
      </c>
      <c r="L57" s="509">
        <f>SUM(L55:N55)</f>
        <v>0</v>
      </c>
      <c r="M57" s="510"/>
      <c r="N57" s="510"/>
      <c r="O57" s="444">
        <f>SUM(O55:Q55)</f>
        <v>0</v>
      </c>
      <c r="P57" s="510"/>
      <c r="Q57" s="510"/>
      <c r="R57" s="443">
        <f>SUM(R55:T55)</f>
        <v>0</v>
      </c>
      <c r="S57" s="491"/>
      <c r="T57" s="491"/>
      <c r="U57" s="443">
        <f>SUM(U55:W55)</f>
        <v>0</v>
      </c>
      <c r="V57" s="491"/>
      <c r="W57" s="511"/>
      <c r="X57" s="273">
        <f>SUM(L57:W57)</f>
        <v>0</v>
      </c>
    </row>
    <row r="58" spans="1:26" x14ac:dyDescent="0.2">
      <c r="P58" s="5"/>
      <c r="Q58" s="5"/>
      <c r="R58" s="5"/>
      <c r="S58" s="5"/>
      <c r="T58" s="2"/>
      <c r="U58" s="5"/>
      <c r="V58" s="5"/>
      <c r="W58" s="2"/>
      <c r="X58" s="2"/>
    </row>
    <row r="59" spans="1:26" x14ac:dyDescent="0.2">
      <c r="P59" s="5"/>
      <c r="Q59" s="5"/>
      <c r="R59" s="5"/>
      <c r="S59" s="5"/>
      <c r="T59" s="2"/>
      <c r="U59" s="5"/>
      <c r="V59" s="5"/>
      <c r="W59" s="2"/>
      <c r="X59" s="2"/>
    </row>
    <row r="60" spans="1:26" x14ac:dyDescent="0.2">
      <c r="P60" s="5"/>
      <c r="Q60" s="5"/>
      <c r="R60" s="5"/>
      <c r="S60" s="5"/>
      <c r="T60" s="2"/>
      <c r="U60" s="5"/>
      <c r="V60" s="5"/>
      <c r="W60" s="2"/>
      <c r="X60" s="2"/>
    </row>
    <row r="61" spans="1:26" x14ac:dyDescent="0.2">
      <c r="P61" s="5"/>
      <c r="Q61" s="5"/>
      <c r="R61" s="5"/>
      <c r="S61" s="5"/>
      <c r="T61" s="2"/>
      <c r="U61" s="5"/>
      <c r="V61" s="5"/>
      <c r="W61" s="2"/>
      <c r="X61" s="2"/>
    </row>
    <row r="62" spans="1:26" x14ac:dyDescent="0.2">
      <c r="P62" s="5"/>
      <c r="Q62" s="5"/>
      <c r="R62" s="5"/>
      <c r="S62" s="5"/>
      <c r="T62" s="2"/>
      <c r="U62" s="5"/>
      <c r="V62" s="5"/>
      <c r="W62" s="2"/>
      <c r="X62" s="2"/>
    </row>
    <row r="63" spans="1:26" x14ac:dyDescent="0.2">
      <c r="P63" s="5"/>
      <c r="Q63" s="5"/>
      <c r="R63" s="5"/>
      <c r="S63" s="5"/>
      <c r="T63" s="2"/>
      <c r="U63" s="5"/>
      <c r="V63" s="5"/>
      <c r="W63" s="2"/>
      <c r="X63" s="2"/>
    </row>
    <row r="64" spans="1:26" x14ac:dyDescent="0.2">
      <c r="P64" s="5"/>
      <c r="Q64" s="5"/>
      <c r="R64" s="5"/>
      <c r="S64" s="5"/>
      <c r="T64" s="2"/>
      <c r="U64" s="5"/>
      <c r="V64" s="5"/>
      <c r="W64" s="2"/>
      <c r="X64" s="2"/>
    </row>
    <row r="65" spans="16:24" x14ac:dyDescent="0.2">
      <c r="P65" s="5"/>
      <c r="Q65" s="5"/>
      <c r="R65" s="5"/>
      <c r="S65" s="5"/>
      <c r="T65" s="2"/>
      <c r="U65" s="5"/>
      <c r="V65" s="5"/>
      <c r="W65" s="2"/>
      <c r="X65" s="2"/>
    </row>
    <row r="66" spans="16:24" x14ac:dyDescent="0.2">
      <c r="P66" s="5"/>
      <c r="Q66" s="5"/>
      <c r="R66" s="5"/>
      <c r="S66" s="5"/>
      <c r="T66" s="2"/>
      <c r="U66" s="5"/>
      <c r="V66" s="5"/>
      <c r="W66" s="2"/>
      <c r="X66" s="2"/>
    </row>
    <row r="67" spans="16:24" x14ac:dyDescent="0.2">
      <c r="P67" s="5"/>
      <c r="Q67" s="5"/>
      <c r="R67" s="5"/>
      <c r="S67" s="5"/>
      <c r="T67" s="2"/>
      <c r="U67" s="5"/>
      <c r="V67" s="5"/>
      <c r="W67" s="2"/>
      <c r="X67" s="2"/>
    </row>
    <row r="68" spans="16:24" x14ac:dyDescent="0.2">
      <c r="P68" s="5"/>
      <c r="Q68" s="5"/>
      <c r="R68" s="5"/>
      <c r="S68" s="5"/>
      <c r="T68" s="2"/>
      <c r="U68" s="5"/>
      <c r="V68" s="5"/>
      <c r="W68" s="2"/>
      <c r="X68" s="2"/>
    </row>
    <row r="69" spans="16:24" x14ac:dyDescent="0.2">
      <c r="P69" s="5"/>
      <c r="Q69" s="5"/>
      <c r="R69" s="5"/>
      <c r="S69" s="5"/>
      <c r="T69" s="2"/>
      <c r="U69" s="5"/>
      <c r="V69" s="5"/>
      <c r="W69" s="2"/>
      <c r="X69" s="2"/>
    </row>
    <row r="70" spans="16:24" x14ac:dyDescent="0.2">
      <c r="P70" s="5"/>
      <c r="Q70" s="5"/>
      <c r="R70" s="5"/>
      <c r="S70" s="5"/>
      <c r="T70" s="2"/>
      <c r="U70" s="5"/>
      <c r="V70" s="5"/>
      <c r="W70" s="2"/>
      <c r="X70" s="2"/>
    </row>
    <row r="71" spans="16:24" x14ac:dyDescent="0.2">
      <c r="P71" s="5"/>
      <c r="Q71" s="5"/>
      <c r="R71" s="5"/>
      <c r="S71" s="5"/>
      <c r="T71" s="2"/>
      <c r="U71" s="5"/>
      <c r="V71" s="5"/>
      <c r="W71" s="2"/>
      <c r="X71" s="2"/>
    </row>
    <row r="72" spans="16:24" x14ac:dyDescent="0.2">
      <c r="P72" s="5"/>
      <c r="Q72" s="5"/>
      <c r="R72" s="5"/>
      <c r="S72" s="5"/>
      <c r="T72" s="2"/>
      <c r="U72" s="5"/>
      <c r="V72" s="5"/>
      <c r="W72" s="2"/>
      <c r="X72" s="2"/>
    </row>
    <row r="73" spans="16:24" x14ac:dyDescent="0.2">
      <c r="P73" s="5"/>
      <c r="Q73" s="5"/>
      <c r="R73" s="5"/>
      <c r="S73" s="5"/>
      <c r="T73" s="2"/>
      <c r="U73" s="5"/>
      <c r="V73" s="5"/>
      <c r="W73" s="2"/>
      <c r="X73" s="2"/>
    </row>
    <row r="74" spans="16:24" x14ac:dyDescent="0.2">
      <c r="P74" s="5"/>
      <c r="Q74" s="5"/>
      <c r="R74" s="5"/>
      <c r="S74" s="5"/>
      <c r="T74" s="2"/>
      <c r="U74" s="5"/>
      <c r="V74" s="5"/>
      <c r="W74" s="2"/>
      <c r="X74" s="2"/>
    </row>
    <row r="75" spans="16:24" x14ac:dyDescent="0.2">
      <c r="P75" s="5"/>
      <c r="Q75" s="5"/>
      <c r="R75" s="5"/>
      <c r="S75" s="5"/>
      <c r="T75" s="2"/>
      <c r="U75" s="5"/>
      <c r="V75" s="5"/>
      <c r="W75" s="2"/>
      <c r="X75" s="2"/>
    </row>
    <row r="76" spans="16:24" x14ac:dyDescent="0.2">
      <c r="P76" s="5"/>
      <c r="Q76" s="5"/>
      <c r="R76" s="5"/>
      <c r="S76" s="5"/>
      <c r="T76" s="2"/>
      <c r="U76" s="5"/>
      <c r="V76" s="5"/>
      <c r="W76" s="2"/>
      <c r="X76" s="2"/>
    </row>
    <row r="77" spans="16:24" x14ac:dyDescent="0.2">
      <c r="P77" s="5"/>
      <c r="Q77" s="5"/>
      <c r="R77" s="5"/>
      <c r="S77" s="5"/>
      <c r="T77" s="2"/>
      <c r="U77" s="5"/>
      <c r="V77" s="5"/>
      <c r="W77" s="2"/>
      <c r="X77" s="2"/>
    </row>
    <row r="78" spans="16:24" x14ac:dyDescent="0.2">
      <c r="P78" s="5"/>
      <c r="Q78" s="5"/>
      <c r="R78" s="5"/>
      <c r="S78" s="5"/>
      <c r="T78" s="2"/>
      <c r="U78" s="5"/>
      <c r="V78" s="5"/>
      <c r="W78" s="2"/>
      <c r="X78" s="2"/>
    </row>
    <row r="79" spans="16:24" x14ac:dyDescent="0.2">
      <c r="P79" s="5"/>
      <c r="Q79" s="5"/>
      <c r="R79" s="5"/>
      <c r="S79" s="5"/>
      <c r="T79" s="2"/>
      <c r="U79" s="5"/>
      <c r="V79" s="5"/>
      <c r="W79" s="2"/>
      <c r="X79" s="2"/>
    </row>
    <row r="80" spans="16:24" x14ac:dyDescent="0.2">
      <c r="P80" s="5"/>
      <c r="Q80" s="5"/>
      <c r="R80" s="5"/>
      <c r="S80" s="5"/>
      <c r="T80" s="2"/>
      <c r="U80" s="5"/>
      <c r="V80" s="5"/>
      <c r="W80" s="2"/>
      <c r="X80" s="2"/>
    </row>
    <row r="81" spans="16:24" x14ac:dyDescent="0.2">
      <c r="P81" s="5"/>
      <c r="Q81" s="5"/>
      <c r="R81" s="5"/>
      <c r="S81" s="5"/>
      <c r="T81" s="2"/>
      <c r="U81" s="5"/>
      <c r="V81" s="5"/>
      <c r="W81" s="2"/>
      <c r="X81" s="2"/>
    </row>
    <row r="82" spans="16:24" x14ac:dyDescent="0.2">
      <c r="P82" s="5"/>
      <c r="Q82" s="5"/>
      <c r="R82" s="5"/>
      <c r="S82" s="5"/>
      <c r="T82" s="2"/>
      <c r="U82" s="5"/>
      <c r="V82" s="5"/>
      <c r="W82" s="2"/>
      <c r="X82" s="2"/>
    </row>
    <row r="83" spans="16:24" x14ac:dyDescent="0.2">
      <c r="P83" s="5"/>
      <c r="Q83" s="5"/>
      <c r="R83" s="5"/>
      <c r="S83" s="5"/>
      <c r="T83" s="2"/>
      <c r="U83" s="5"/>
      <c r="V83" s="5"/>
      <c r="W83" s="2"/>
      <c r="X83" s="2"/>
    </row>
    <row r="84" spans="16:24" x14ac:dyDescent="0.2">
      <c r="P84" s="5"/>
      <c r="Q84" s="5"/>
      <c r="R84" s="5"/>
      <c r="S84" s="5"/>
      <c r="T84" s="2"/>
      <c r="U84" s="5"/>
      <c r="V84" s="5"/>
      <c r="W84" s="2"/>
      <c r="X84" s="2"/>
    </row>
    <row r="85" spans="16:24" x14ac:dyDescent="0.2">
      <c r="P85" s="5"/>
      <c r="Q85" s="5"/>
      <c r="R85" s="5"/>
      <c r="S85" s="5"/>
      <c r="T85" s="2"/>
      <c r="U85" s="5"/>
      <c r="V85" s="5"/>
      <c r="W85" s="2"/>
      <c r="X85" s="2"/>
    </row>
    <row r="86" spans="16:24" x14ac:dyDescent="0.2">
      <c r="P86" s="5"/>
      <c r="Q86" s="5"/>
      <c r="R86" s="5"/>
      <c r="S86" s="5"/>
      <c r="T86" s="2"/>
      <c r="U86" s="5"/>
      <c r="V86" s="5"/>
      <c r="W86" s="2"/>
      <c r="X86" s="2"/>
    </row>
    <row r="87" spans="16:24" x14ac:dyDescent="0.2">
      <c r="P87" s="5"/>
      <c r="Q87" s="5"/>
      <c r="R87" s="5"/>
      <c r="S87" s="5"/>
      <c r="T87" s="2"/>
      <c r="U87" s="5"/>
      <c r="V87" s="5"/>
      <c r="W87" s="2"/>
      <c r="X87" s="2"/>
    </row>
    <row r="88" spans="16:24" x14ac:dyDescent="0.2">
      <c r="P88" s="5"/>
      <c r="Q88" s="5"/>
      <c r="R88" s="5"/>
      <c r="S88" s="5"/>
      <c r="T88" s="2"/>
      <c r="U88" s="5"/>
      <c r="V88" s="5"/>
      <c r="W88" s="2"/>
      <c r="X88" s="2"/>
    </row>
    <row r="89" spans="16:24" x14ac:dyDescent="0.2">
      <c r="P89" s="5"/>
      <c r="Q89" s="5"/>
      <c r="R89" s="5"/>
      <c r="S89" s="5"/>
      <c r="T89" s="2"/>
      <c r="U89" s="5"/>
      <c r="V89" s="5"/>
      <c r="W89" s="2"/>
      <c r="X89" s="2"/>
    </row>
    <row r="90" spans="16:24" x14ac:dyDescent="0.2">
      <c r="P90" s="5"/>
      <c r="Q90" s="5"/>
      <c r="R90" s="5"/>
      <c r="S90" s="5"/>
      <c r="T90" s="2"/>
      <c r="U90" s="5"/>
      <c r="V90" s="5"/>
      <c r="W90" s="2"/>
      <c r="X90" s="2"/>
    </row>
    <row r="91" spans="16:24" x14ac:dyDescent="0.2">
      <c r="P91" s="5"/>
      <c r="Q91" s="5"/>
      <c r="R91" s="5"/>
      <c r="S91" s="5"/>
      <c r="T91" s="2"/>
      <c r="U91" s="5"/>
      <c r="V91" s="5"/>
      <c r="W91" s="2"/>
      <c r="X91" s="2"/>
    </row>
    <row r="92" spans="16:24" x14ac:dyDescent="0.2">
      <c r="P92" s="5"/>
      <c r="Q92" s="5"/>
      <c r="R92" s="5"/>
      <c r="S92" s="5"/>
      <c r="T92" s="2"/>
      <c r="U92" s="5"/>
      <c r="V92" s="5"/>
      <c r="W92" s="2"/>
      <c r="X92" s="2"/>
    </row>
    <row r="93" spans="16:24" x14ac:dyDescent="0.2">
      <c r="P93" s="5"/>
      <c r="Q93" s="5"/>
      <c r="R93" s="5"/>
      <c r="S93" s="5"/>
      <c r="T93" s="2"/>
      <c r="U93" s="5"/>
      <c r="V93" s="5"/>
      <c r="W93" s="2"/>
      <c r="X93" s="2"/>
    </row>
    <row r="94" spans="16:24" x14ac:dyDescent="0.2">
      <c r="P94" s="5"/>
      <c r="Q94" s="5"/>
      <c r="R94" s="5"/>
      <c r="S94" s="5"/>
      <c r="T94" s="2"/>
      <c r="U94" s="5"/>
      <c r="V94" s="5"/>
      <c r="W94" s="2"/>
      <c r="X94" s="2"/>
    </row>
    <row r="95" spans="16:24" x14ac:dyDescent="0.2">
      <c r="P95" s="5"/>
      <c r="Q95" s="5"/>
      <c r="R95" s="5"/>
      <c r="S95" s="5"/>
      <c r="T95" s="2"/>
      <c r="U95" s="5"/>
      <c r="V95" s="5"/>
      <c r="W95" s="2"/>
      <c r="X95" s="2"/>
    </row>
    <row r="96" spans="16:24" x14ac:dyDescent="0.2">
      <c r="P96" s="5"/>
      <c r="Q96" s="5"/>
      <c r="R96" s="5"/>
      <c r="S96" s="5"/>
      <c r="T96" s="2"/>
      <c r="U96" s="5"/>
      <c r="V96" s="5"/>
      <c r="W96" s="2"/>
      <c r="X96" s="2"/>
    </row>
    <row r="97" spans="16:24" x14ac:dyDescent="0.2">
      <c r="P97" s="5"/>
      <c r="Q97" s="5"/>
      <c r="R97" s="5"/>
      <c r="S97" s="5"/>
      <c r="T97" s="2"/>
      <c r="U97" s="5"/>
      <c r="V97" s="5"/>
      <c r="W97" s="2"/>
      <c r="X97" s="2"/>
    </row>
    <row r="98" spans="16:24" x14ac:dyDescent="0.2">
      <c r="P98" s="5"/>
      <c r="Q98" s="5"/>
      <c r="R98" s="5"/>
      <c r="S98" s="5"/>
      <c r="T98" s="2"/>
      <c r="U98" s="5"/>
      <c r="V98" s="5"/>
      <c r="W98" s="2"/>
      <c r="X98" s="2"/>
    </row>
    <row r="99" spans="16:24" x14ac:dyDescent="0.2">
      <c r="P99" s="5"/>
      <c r="Q99" s="5"/>
      <c r="R99" s="5"/>
      <c r="S99" s="5"/>
      <c r="T99" s="2"/>
      <c r="U99" s="5"/>
      <c r="V99" s="5"/>
      <c r="W99" s="2"/>
      <c r="X99" s="2"/>
    </row>
    <row r="100" spans="16:24" x14ac:dyDescent="0.2">
      <c r="P100" s="5"/>
      <c r="Q100" s="5"/>
      <c r="R100" s="5"/>
      <c r="S100" s="5"/>
      <c r="T100" s="2"/>
      <c r="U100" s="5"/>
      <c r="V100" s="5"/>
      <c r="W100" s="2"/>
      <c r="X100" s="2"/>
    </row>
    <row r="101" spans="16:24" x14ac:dyDescent="0.2">
      <c r="P101" s="5"/>
      <c r="Q101" s="5"/>
      <c r="R101" s="5"/>
      <c r="S101" s="5"/>
      <c r="T101" s="2"/>
      <c r="U101" s="5"/>
      <c r="V101" s="5"/>
      <c r="W101" s="2"/>
      <c r="X101" s="2"/>
    </row>
    <row r="102" spans="16:24" x14ac:dyDescent="0.2">
      <c r="P102" s="5"/>
      <c r="Q102" s="5"/>
      <c r="R102" s="5"/>
      <c r="S102" s="5"/>
      <c r="T102" s="2"/>
      <c r="U102" s="5"/>
      <c r="V102" s="5"/>
      <c r="W102" s="2"/>
      <c r="X102" s="2"/>
    </row>
    <row r="103" spans="16:24" x14ac:dyDescent="0.2">
      <c r="P103" s="5"/>
      <c r="Q103" s="5"/>
      <c r="R103" s="5"/>
      <c r="S103" s="5"/>
      <c r="T103" s="2"/>
      <c r="U103" s="5"/>
      <c r="V103" s="5"/>
      <c r="W103" s="2"/>
      <c r="X103" s="2"/>
    </row>
    <row r="104" spans="16:24" x14ac:dyDescent="0.2">
      <c r="P104" s="5"/>
      <c r="Q104" s="5"/>
      <c r="R104" s="5"/>
      <c r="S104" s="5"/>
      <c r="T104" s="2"/>
      <c r="U104" s="5"/>
      <c r="V104" s="5"/>
      <c r="W104" s="2"/>
      <c r="X104" s="2"/>
    </row>
    <row r="105" spans="16:24" x14ac:dyDescent="0.2">
      <c r="P105" s="5"/>
      <c r="Q105" s="5"/>
      <c r="R105" s="5"/>
      <c r="S105" s="5"/>
      <c r="T105" s="2"/>
      <c r="U105" s="5"/>
      <c r="V105" s="5"/>
      <c r="W105" s="2"/>
      <c r="X105" s="2"/>
    </row>
    <row r="106" spans="16:24" x14ac:dyDescent="0.2">
      <c r="P106" s="5"/>
      <c r="Q106" s="5"/>
      <c r="R106" s="5"/>
      <c r="S106" s="5"/>
      <c r="T106" s="2"/>
      <c r="U106" s="5"/>
      <c r="V106" s="5"/>
      <c r="W106" s="2"/>
      <c r="X106" s="2"/>
    </row>
    <row r="107" spans="16:24" x14ac:dyDescent="0.2">
      <c r="P107" s="5"/>
      <c r="Q107" s="5"/>
      <c r="R107" s="5"/>
      <c r="S107" s="5"/>
      <c r="T107" s="2"/>
      <c r="U107" s="5"/>
      <c r="V107" s="5"/>
      <c r="W107" s="2"/>
      <c r="X107" s="2"/>
    </row>
    <row r="108" spans="16:24" x14ac:dyDescent="0.2">
      <c r="P108" s="5"/>
      <c r="Q108" s="5"/>
      <c r="R108" s="5"/>
      <c r="S108" s="5"/>
      <c r="T108" s="2"/>
      <c r="U108" s="5"/>
      <c r="V108" s="5"/>
      <c r="W108" s="2"/>
      <c r="X108" s="2"/>
    </row>
    <row r="109" spans="16:24" x14ac:dyDescent="0.2">
      <c r="P109" s="5"/>
      <c r="Q109" s="5"/>
      <c r="R109" s="5"/>
      <c r="S109" s="5"/>
      <c r="T109" s="2"/>
      <c r="U109" s="5"/>
      <c r="V109" s="5"/>
      <c r="W109" s="2"/>
      <c r="X109" s="2"/>
    </row>
    <row r="110" spans="16:24" x14ac:dyDescent="0.2">
      <c r="P110" s="5"/>
      <c r="Q110" s="5"/>
      <c r="R110" s="5"/>
      <c r="S110" s="5"/>
      <c r="T110" s="2"/>
      <c r="U110" s="5"/>
      <c r="V110" s="5"/>
      <c r="W110" s="2"/>
      <c r="X110" s="2"/>
    </row>
    <row r="111" spans="16:24" x14ac:dyDescent="0.2">
      <c r="P111" s="5"/>
      <c r="Q111" s="5"/>
      <c r="R111" s="5"/>
      <c r="S111" s="5"/>
      <c r="T111" s="2"/>
      <c r="U111" s="5"/>
      <c r="V111" s="5"/>
      <c r="W111" s="2"/>
      <c r="X111" s="2"/>
    </row>
    <row r="112" spans="16:24" x14ac:dyDescent="0.2">
      <c r="P112" s="5"/>
      <c r="Q112" s="5"/>
      <c r="R112" s="5"/>
      <c r="S112" s="5"/>
      <c r="T112" s="2"/>
      <c r="U112" s="5"/>
      <c r="V112" s="5"/>
      <c r="W112" s="2"/>
      <c r="X112" s="2"/>
    </row>
    <row r="113" spans="16:24" x14ac:dyDescent="0.2">
      <c r="P113" s="5"/>
      <c r="Q113" s="5"/>
      <c r="R113" s="5"/>
      <c r="S113" s="5"/>
      <c r="T113" s="2"/>
      <c r="U113" s="5"/>
      <c r="V113" s="5"/>
      <c r="W113" s="2"/>
      <c r="X113" s="2"/>
    </row>
    <row r="114" spans="16:24" x14ac:dyDescent="0.2">
      <c r="P114" s="5"/>
      <c r="Q114" s="5"/>
      <c r="R114" s="5"/>
      <c r="S114" s="5"/>
      <c r="T114" s="2"/>
      <c r="U114" s="5"/>
      <c r="V114" s="5"/>
      <c r="W114" s="2"/>
      <c r="X114" s="2"/>
    </row>
    <row r="115" spans="16:24" x14ac:dyDescent="0.2">
      <c r="P115" s="5"/>
      <c r="Q115" s="5"/>
      <c r="R115" s="5"/>
      <c r="S115" s="5"/>
      <c r="T115" s="2"/>
      <c r="U115" s="5"/>
      <c r="V115" s="5"/>
      <c r="W115" s="2"/>
      <c r="X115" s="2"/>
    </row>
    <row r="116" spans="16:24" x14ac:dyDescent="0.2">
      <c r="P116" s="5"/>
      <c r="Q116" s="5"/>
      <c r="R116" s="5"/>
      <c r="S116" s="5"/>
      <c r="T116" s="2"/>
      <c r="U116" s="5"/>
      <c r="V116" s="5"/>
      <c r="W116" s="2"/>
      <c r="X116" s="2"/>
    </row>
    <row r="117" spans="16:24" x14ac:dyDescent="0.2">
      <c r="P117" s="5"/>
      <c r="Q117" s="5"/>
      <c r="R117" s="5"/>
      <c r="S117" s="5"/>
      <c r="T117" s="2"/>
      <c r="U117" s="5"/>
      <c r="V117" s="5"/>
      <c r="W117" s="2"/>
      <c r="X117" s="2"/>
    </row>
    <row r="118" spans="16:24" x14ac:dyDescent="0.2">
      <c r="P118" s="5"/>
      <c r="Q118" s="5"/>
      <c r="R118" s="5"/>
      <c r="S118" s="5"/>
      <c r="T118" s="2"/>
      <c r="U118" s="5"/>
      <c r="V118" s="5"/>
      <c r="W118" s="2"/>
      <c r="X118" s="2"/>
    </row>
    <row r="119" spans="16:24" x14ac:dyDescent="0.2">
      <c r="P119" s="5"/>
      <c r="Q119" s="5"/>
      <c r="R119" s="5"/>
      <c r="S119" s="5"/>
      <c r="T119" s="2"/>
      <c r="U119" s="5"/>
      <c r="V119" s="5"/>
      <c r="W119" s="2"/>
      <c r="X119" s="2"/>
    </row>
    <row r="120" spans="16:24" x14ac:dyDescent="0.2">
      <c r="P120" s="5"/>
      <c r="Q120" s="5"/>
      <c r="R120" s="5"/>
      <c r="S120" s="5"/>
      <c r="T120" s="2"/>
      <c r="U120" s="5"/>
      <c r="V120" s="5"/>
      <c r="W120" s="2"/>
      <c r="X120" s="2"/>
    </row>
    <row r="121" spans="16:24" x14ac:dyDescent="0.2">
      <c r="P121" s="5"/>
      <c r="Q121" s="5"/>
      <c r="R121" s="5"/>
      <c r="S121" s="5"/>
      <c r="T121" s="2"/>
      <c r="U121" s="5"/>
      <c r="V121" s="5"/>
      <c r="W121" s="2"/>
      <c r="X121" s="2"/>
    </row>
    <row r="122" spans="16:24" x14ac:dyDescent="0.2">
      <c r="P122" s="5"/>
      <c r="Q122" s="5"/>
      <c r="R122" s="5"/>
      <c r="S122" s="5"/>
      <c r="T122" s="2"/>
      <c r="U122" s="5"/>
      <c r="V122" s="5"/>
      <c r="W122" s="2"/>
      <c r="X122" s="2"/>
    </row>
    <row r="123" spans="16:24" x14ac:dyDescent="0.2">
      <c r="P123" s="5"/>
      <c r="Q123" s="5"/>
      <c r="R123" s="5"/>
      <c r="S123" s="5"/>
      <c r="T123" s="2"/>
      <c r="U123" s="5"/>
      <c r="V123" s="5"/>
      <c r="W123" s="2"/>
      <c r="X123" s="2"/>
    </row>
    <row r="124" spans="16:24" x14ac:dyDescent="0.2">
      <c r="P124" s="5"/>
      <c r="Q124" s="5"/>
      <c r="R124" s="5"/>
      <c r="S124" s="5"/>
      <c r="T124" s="2"/>
      <c r="U124" s="5"/>
      <c r="V124" s="5"/>
      <c r="W124" s="2"/>
      <c r="X124" s="2"/>
    </row>
    <row r="125" spans="16:24" x14ac:dyDescent="0.2">
      <c r="P125" s="5"/>
      <c r="Q125" s="5"/>
      <c r="R125" s="5"/>
      <c r="S125" s="5"/>
      <c r="T125" s="2"/>
      <c r="U125" s="5"/>
      <c r="V125" s="5"/>
      <c r="W125" s="2"/>
      <c r="X125" s="2"/>
    </row>
    <row r="126" spans="16:24" x14ac:dyDescent="0.2">
      <c r="P126" s="5"/>
      <c r="Q126" s="5"/>
      <c r="R126" s="5"/>
      <c r="S126" s="5"/>
      <c r="T126" s="2"/>
      <c r="U126" s="5"/>
      <c r="V126" s="5"/>
      <c r="W126" s="2"/>
      <c r="X126" s="2"/>
    </row>
    <row r="127" spans="16:24" x14ac:dyDescent="0.2">
      <c r="P127" s="5"/>
      <c r="Q127" s="5"/>
      <c r="R127" s="5"/>
      <c r="S127" s="5"/>
      <c r="T127" s="2"/>
      <c r="U127" s="5"/>
      <c r="V127" s="5"/>
      <c r="W127" s="2"/>
      <c r="X127" s="2"/>
    </row>
    <row r="128" spans="16:24" x14ac:dyDescent="0.2">
      <c r="P128" s="5"/>
      <c r="Q128" s="5"/>
      <c r="R128" s="5"/>
      <c r="S128" s="5"/>
      <c r="T128" s="2"/>
      <c r="U128" s="5"/>
      <c r="V128" s="5"/>
      <c r="W128" s="2"/>
      <c r="X128" s="2"/>
    </row>
    <row r="129" spans="16:24" x14ac:dyDescent="0.2">
      <c r="P129" s="5"/>
      <c r="Q129" s="5"/>
      <c r="R129" s="5"/>
      <c r="S129" s="5"/>
      <c r="T129" s="2"/>
      <c r="U129" s="5"/>
      <c r="V129" s="5"/>
      <c r="W129" s="2"/>
      <c r="X129" s="2"/>
    </row>
    <row r="130" spans="16:24" x14ac:dyDescent="0.2">
      <c r="P130" s="5"/>
      <c r="Q130" s="5"/>
      <c r="R130" s="5"/>
      <c r="S130" s="5"/>
      <c r="T130" s="2"/>
      <c r="U130" s="5"/>
      <c r="V130" s="5"/>
      <c r="W130" s="2"/>
      <c r="X130" s="2"/>
    </row>
    <row r="131" spans="16:24" x14ac:dyDescent="0.2">
      <c r="P131" s="5"/>
      <c r="Q131" s="5"/>
      <c r="R131" s="5"/>
      <c r="S131" s="5"/>
      <c r="T131" s="2"/>
      <c r="U131" s="5"/>
      <c r="V131" s="5"/>
      <c r="W131" s="2"/>
      <c r="X131" s="2"/>
    </row>
    <row r="132" spans="16:24" x14ac:dyDescent="0.2">
      <c r="P132" s="5"/>
      <c r="Q132" s="5"/>
      <c r="R132" s="5"/>
      <c r="S132" s="5"/>
      <c r="T132" s="2"/>
      <c r="U132" s="5"/>
      <c r="V132" s="5"/>
      <c r="W132" s="2"/>
      <c r="X132" s="2"/>
    </row>
    <row r="133" spans="16:24" x14ac:dyDescent="0.2">
      <c r="P133" s="5"/>
      <c r="Q133" s="5"/>
      <c r="R133" s="5"/>
      <c r="S133" s="5"/>
      <c r="T133" s="2"/>
      <c r="U133" s="5"/>
      <c r="V133" s="5"/>
      <c r="W133" s="2"/>
      <c r="X133" s="2"/>
    </row>
    <row r="134" spans="16:24" x14ac:dyDescent="0.2">
      <c r="P134" s="5"/>
      <c r="Q134" s="5"/>
      <c r="R134" s="5"/>
      <c r="S134" s="5"/>
      <c r="T134" s="2"/>
      <c r="U134" s="5"/>
      <c r="V134" s="5"/>
      <c r="W134" s="2"/>
      <c r="X134" s="2"/>
    </row>
    <row r="135" spans="16:24" x14ac:dyDescent="0.2">
      <c r="P135" s="5"/>
      <c r="Q135" s="5"/>
      <c r="R135" s="5"/>
      <c r="S135" s="5"/>
      <c r="T135" s="2"/>
      <c r="U135" s="5"/>
      <c r="V135" s="5"/>
      <c r="W135" s="2"/>
      <c r="X135" s="2"/>
    </row>
    <row r="136" spans="16:24" x14ac:dyDescent="0.2">
      <c r="P136" s="5"/>
      <c r="Q136" s="5"/>
      <c r="R136" s="5"/>
      <c r="S136" s="5"/>
      <c r="T136" s="2"/>
      <c r="U136" s="5"/>
      <c r="V136" s="5"/>
      <c r="W136" s="2"/>
      <c r="X136" s="2"/>
    </row>
    <row r="137" spans="16:24" x14ac:dyDescent="0.2">
      <c r="P137" s="5"/>
      <c r="Q137" s="5"/>
      <c r="R137" s="5"/>
      <c r="S137" s="5"/>
      <c r="T137" s="2"/>
      <c r="U137" s="5"/>
      <c r="V137" s="5"/>
      <c r="W137" s="2"/>
      <c r="X137" s="2"/>
    </row>
    <row r="138" spans="16:24" x14ac:dyDescent="0.2">
      <c r="P138" s="5"/>
      <c r="Q138" s="5"/>
      <c r="R138" s="5"/>
      <c r="S138" s="5"/>
      <c r="T138" s="2"/>
      <c r="U138" s="5"/>
      <c r="V138" s="5"/>
      <c r="W138" s="2"/>
      <c r="X138" s="2"/>
    </row>
    <row r="139" spans="16:24" x14ac:dyDescent="0.2">
      <c r="P139" s="5"/>
      <c r="Q139" s="5"/>
      <c r="R139" s="5"/>
      <c r="S139" s="5"/>
      <c r="T139" s="2"/>
      <c r="U139" s="5"/>
      <c r="V139" s="5"/>
      <c r="W139" s="2"/>
      <c r="X139" s="2"/>
    </row>
    <row r="140" spans="16:24" x14ac:dyDescent="0.2">
      <c r="P140" s="5"/>
      <c r="Q140" s="5"/>
      <c r="R140" s="5"/>
      <c r="S140" s="5"/>
      <c r="T140" s="2"/>
      <c r="U140" s="5"/>
      <c r="V140" s="5"/>
      <c r="W140" s="2"/>
      <c r="X140" s="2"/>
    </row>
    <row r="141" spans="16:24" x14ac:dyDescent="0.2">
      <c r="P141" s="5"/>
      <c r="Q141" s="5"/>
      <c r="R141" s="5"/>
      <c r="S141" s="5"/>
      <c r="T141" s="2"/>
      <c r="U141" s="5"/>
      <c r="V141" s="5"/>
      <c r="W141" s="2"/>
      <c r="X141" s="2"/>
    </row>
    <row r="142" spans="16:24" x14ac:dyDescent="0.2">
      <c r="P142" s="5"/>
      <c r="Q142" s="5"/>
      <c r="R142" s="5"/>
      <c r="S142" s="5"/>
      <c r="T142" s="2"/>
      <c r="U142" s="5"/>
      <c r="V142" s="5"/>
      <c r="W142" s="2"/>
      <c r="X142" s="2"/>
    </row>
    <row r="143" spans="16:24" x14ac:dyDescent="0.2">
      <c r="P143" s="5"/>
      <c r="Q143" s="5"/>
      <c r="R143" s="5"/>
      <c r="S143" s="5"/>
      <c r="T143" s="2"/>
      <c r="U143" s="5"/>
      <c r="V143" s="5"/>
      <c r="W143" s="2"/>
      <c r="X143" s="2"/>
    </row>
    <row r="144" spans="16:24" x14ac:dyDescent="0.2">
      <c r="P144" s="5"/>
      <c r="Q144" s="5"/>
      <c r="R144" s="5"/>
      <c r="S144" s="5"/>
      <c r="T144" s="2"/>
      <c r="U144" s="5"/>
      <c r="V144" s="5"/>
      <c r="W144" s="2"/>
      <c r="X144" s="2"/>
    </row>
    <row r="145" spans="16:24" x14ac:dyDescent="0.2">
      <c r="P145" s="5"/>
      <c r="Q145" s="5"/>
      <c r="R145" s="5"/>
      <c r="S145" s="5"/>
      <c r="T145" s="2"/>
      <c r="U145" s="5"/>
      <c r="V145" s="5"/>
      <c r="W145" s="2"/>
      <c r="X145" s="2"/>
    </row>
    <row r="146" spans="16:24" x14ac:dyDescent="0.2">
      <c r="P146" s="5"/>
      <c r="Q146" s="5"/>
      <c r="R146" s="5"/>
      <c r="S146" s="5"/>
      <c r="T146" s="2"/>
      <c r="U146" s="5"/>
      <c r="V146" s="5"/>
      <c r="W146" s="2"/>
      <c r="X146" s="2"/>
    </row>
    <row r="147" spans="16:24" x14ac:dyDescent="0.2">
      <c r="P147" s="5"/>
      <c r="Q147" s="5"/>
      <c r="R147" s="5"/>
      <c r="S147" s="5"/>
      <c r="T147" s="2"/>
      <c r="U147" s="5"/>
      <c r="V147" s="5"/>
      <c r="W147" s="2"/>
      <c r="X147" s="2"/>
    </row>
    <row r="148" spans="16:24" x14ac:dyDescent="0.2">
      <c r="P148" s="5"/>
      <c r="Q148" s="5"/>
      <c r="R148" s="5"/>
      <c r="S148" s="5"/>
      <c r="T148" s="2"/>
      <c r="U148" s="5"/>
      <c r="V148" s="5"/>
      <c r="W148" s="2"/>
      <c r="X148" s="2"/>
    </row>
    <row r="149" spans="16:24" x14ac:dyDescent="0.2">
      <c r="P149" s="5"/>
      <c r="Q149" s="5"/>
      <c r="R149" s="5"/>
      <c r="S149" s="5"/>
      <c r="T149" s="2"/>
      <c r="U149" s="5"/>
      <c r="V149" s="5"/>
      <c r="W149" s="2"/>
      <c r="X149" s="2"/>
    </row>
    <row r="150" spans="16:24" x14ac:dyDescent="0.2">
      <c r="P150" s="5"/>
      <c r="Q150" s="5"/>
      <c r="R150" s="5"/>
      <c r="S150" s="5"/>
      <c r="T150" s="2"/>
      <c r="U150" s="5"/>
      <c r="V150" s="5"/>
      <c r="W150" s="2"/>
      <c r="X150" s="2"/>
    </row>
    <row r="151" spans="16:24" x14ac:dyDescent="0.2">
      <c r="P151" s="5"/>
      <c r="Q151" s="5"/>
      <c r="R151" s="5"/>
      <c r="S151" s="5"/>
      <c r="T151" s="2"/>
      <c r="U151" s="5"/>
      <c r="V151" s="5"/>
      <c r="W151" s="2"/>
      <c r="X151" s="2"/>
    </row>
    <row r="152" spans="16:24" x14ac:dyDescent="0.2">
      <c r="P152" s="5"/>
      <c r="Q152" s="5"/>
      <c r="R152" s="5"/>
      <c r="S152" s="5"/>
      <c r="T152" s="2"/>
      <c r="U152" s="5"/>
      <c r="V152" s="5"/>
      <c r="W152" s="2"/>
      <c r="X152" s="2"/>
    </row>
    <row r="153" spans="16:24" x14ac:dyDescent="0.2">
      <c r="P153" s="5"/>
      <c r="Q153" s="5"/>
      <c r="R153" s="5"/>
      <c r="S153" s="5"/>
      <c r="T153" s="2"/>
      <c r="U153" s="5"/>
      <c r="V153" s="5"/>
      <c r="W153" s="2"/>
      <c r="X153" s="2"/>
    </row>
    <row r="154" spans="16:24" x14ac:dyDescent="0.2">
      <c r="P154" s="5"/>
      <c r="Q154" s="5"/>
      <c r="R154" s="5"/>
      <c r="S154" s="5"/>
      <c r="T154" s="2"/>
      <c r="U154" s="5"/>
      <c r="V154" s="5"/>
      <c r="W154" s="2"/>
      <c r="X154" s="2"/>
    </row>
    <row r="155" spans="16:24" x14ac:dyDescent="0.2">
      <c r="P155" s="5"/>
      <c r="Q155" s="5"/>
      <c r="R155" s="5"/>
      <c r="S155" s="5"/>
      <c r="T155" s="2"/>
      <c r="U155" s="5"/>
      <c r="V155" s="5"/>
      <c r="W155" s="2"/>
      <c r="X155" s="2"/>
    </row>
    <row r="156" spans="16:24" x14ac:dyDescent="0.2">
      <c r="P156" s="5"/>
      <c r="Q156" s="5"/>
      <c r="R156" s="5"/>
      <c r="S156" s="5"/>
      <c r="T156" s="2"/>
      <c r="U156" s="5"/>
      <c r="V156" s="5"/>
      <c r="W156" s="2"/>
      <c r="X156" s="2"/>
    </row>
    <row r="157" spans="16:24" x14ac:dyDescent="0.2">
      <c r="P157" s="5"/>
      <c r="Q157" s="5"/>
      <c r="R157" s="5"/>
      <c r="S157" s="5"/>
      <c r="T157" s="2"/>
      <c r="U157" s="5"/>
      <c r="V157" s="5"/>
      <c r="W157" s="2"/>
      <c r="X157" s="2"/>
    </row>
    <row r="158" spans="16:24" x14ac:dyDescent="0.2">
      <c r="P158" s="5"/>
      <c r="Q158" s="5"/>
      <c r="R158" s="5"/>
      <c r="S158" s="5"/>
      <c r="T158" s="2"/>
      <c r="U158" s="5"/>
      <c r="V158" s="5"/>
      <c r="W158" s="2"/>
      <c r="X158" s="2"/>
    </row>
    <row r="159" spans="16:24" x14ac:dyDescent="0.2">
      <c r="P159" s="5"/>
      <c r="Q159" s="5"/>
      <c r="R159" s="5"/>
      <c r="S159" s="5"/>
      <c r="T159" s="2"/>
      <c r="U159" s="5"/>
      <c r="V159" s="5"/>
      <c r="W159" s="2"/>
      <c r="X159" s="2"/>
    </row>
    <row r="160" spans="16:24" x14ac:dyDescent="0.2">
      <c r="P160" s="5"/>
      <c r="Q160" s="5"/>
      <c r="R160" s="5"/>
      <c r="S160" s="5"/>
      <c r="T160" s="2"/>
      <c r="U160" s="5"/>
      <c r="V160" s="5"/>
      <c r="W160" s="2"/>
      <c r="X160" s="2"/>
    </row>
    <row r="161" spans="16:24" x14ac:dyDescent="0.2">
      <c r="P161" s="5"/>
      <c r="Q161" s="5"/>
      <c r="R161" s="5"/>
      <c r="S161" s="5"/>
      <c r="T161" s="2"/>
      <c r="U161" s="5"/>
      <c r="V161" s="5"/>
      <c r="W161" s="2"/>
      <c r="X161" s="2"/>
    </row>
    <row r="162" spans="16:24" x14ac:dyDescent="0.2">
      <c r="P162" s="5"/>
      <c r="Q162" s="5"/>
      <c r="R162" s="5"/>
      <c r="S162" s="5"/>
      <c r="T162" s="2"/>
      <c r="U162" s="5"/>
      <c r="V162" s="5"/>
      <c r="W162" s="2"/>
      <c r="X162" s="2"/>
    </row>
    <row r="163" spans="16:24" x14ac:dyDescent="0.2">
      <c r="P163" s="5"/>
      <c r="Q163" s="5"/>
      <c r="R163" s="5"/>
      <c r="S163" s="5"/>
      <c r="T163" s="2"/>
      <c r="U163" s="5"/>
      <c r="V163" s="5"/>
      <c r="W163" s="2"/>
      <c r="X163" s="2"/>
    </row>
    <row r="164" spans="16:24" x14ac:dyDescent="0.2">
      <c r="P164" s="5"/>
      <c r="Q164" s="5"/>
      <c r="R164" s="5"/>
      <c r="S164" s="5"/>
      <c r="T164" s="2"/>
      <c r="U164" s="5"/>
      <c r="V164" s="5"/>
      <c r="W164" s="2"/>
      <c r="X164" s="2"/>
    </row>
    <row r="165" spans="16:24" x14ac:dyDescent="0.2">
      <c r="P165" s="5"/>
      <c r="Q165" s="5"/>
      <c r="R165" s="5"/>
      <c r="S165" s="5"/>
      <c r="T165" s="2"/>
      <c r="U165" s="5"/>
      <c r="V165" s="5"/>
      <c r="W165" s="2"/>
      <c r="X165" s="2"/>
    </row>
    <row r="166" spans="16:24" x14ac:dyDescent="0.2">
      <c r="P166" s="5"/>
      <c r="Q166" s="5"/>
      <c r="R166" s="5"/>
      <c r="S166" s="5"/>
      <c r="T166" s="2"/>
      <c r="U166" s="5"/>
      <c r="V166" s="5"/>
      <c r="W166" s="2"/>
      <c r="X166" s="2"/>
    </row>
    <row r="167" spans="16:24" x14ac:dyDescent="0.2">
      <c r="P167" s="5"/>
      <c r="Q167" s="5"/>
      <c r="R167" s="5"/>
      <c r="S167" s="5"/>
      <c r="T167" s="2"/>
      <c r="U167" s="5"/>
      <c r="V167" s="5"/>
      <c r="W167" s="2"/>
      <c r="X167" s="2"/>
    </row>
    <row r="168" spans="16:24" x14ac:dyDescent="0.2">
      <c r="P168" s="5"/>
      <c r="Q168" s="5"/>
      <c r="R168" s="5"/>
      <c r="S168" s="5"/>
      <c r="T168" s="2"/>
      <c r="U168" s="5"/>
      <c r="V168" s="5"/>
      <c r="W168" s="2"/>
      <c r="X168" s="2"/>
    </row>
    <row r="169" spans="16:24" x14ac:dyDescent="0.2">
      <c r="P169" s="5"/>
      <c r="Q169" s="5"/>
      <c r="R169" s="5"/>
      <c r="S169" s="5"/>
      <c r="T169" s="2"/>
      <c r="U169" s="5"/>
      <c r="V169" s="5"/>
      <c r="W169" s="2"/>
      <c r="X169" s="2"/>
    </row>
    <row r="170" spans="16:24" x14ac:dyDescent="0.2">
      <c r="P170" s="5"/>
      <c r="Q170" s="5"/>
      <c r="R170" s="5"/>
      <c r="S170" s="5"/>
      <c r="T170" s="2"/>
      <c r="U170" s="5"/>
      <c r="V170" s="5"/>
      <c r="W170" s="2"/>
      <c r="X170" s="2"/>
    </row>
    <row r="171" spans="16:24" x14ac:dyDescent="0.2">
      <c r="P171" s="5"/>
      <c r="Q171" s="5"/>
      <c r="R171" s="5"/>
      <c r="S171" s="5"/>
      <c r="T171" s="2"/>
      <c r="U171" s="5"/>
      <c r="V171" s="5"/>
      <c r="W171" s="2"/>
      <c r="X171" s="2"/>
    </row>
    <row r="172" spans="16:24" x14ac:dyDescent="0.2">
      <c r="P172" s="5"/>
      <c r="Q172" s="5"/>
      <c r="R172" s="5"/>
      <c r="S172" s="5"/>
      <c r="T172" s="2"/>
      <c r="U172" s="5"/>
      <c r="V172" s="5"/>
      <c r="W172" s="2"/>
      <c r="X172" s="2"/>
    </row>
    <row r="173" spans="16:24" x14ac:dyDescent="0.2">
      <c r="P173" s="5"/>
      <c r="Q173" s="5"/>
      <c r="R173" s="5"/>
      <c r="S173" s="5"/>
      <c r="T173" s="2"/>
      <c r="U173" s="5"/>
      <c r="V173" s="5"/>
      <c r="W173" s="2"/>
      <c r="X173" s="2"/>
    </row>
    <row r="174" spans="16:24" x14ac:dyDescent="0.2">
      <c r="P174" s="5"/>
      <c r="Q174" s="5"/>
      <c r="R174" s="5"/>
      <c r="S174" s="5"/>
      <c r="T174" s="2"/>
      <c r="U174" s="5"/>
      <c r="V174" s="5"/>
      <c r="W174" s="2"/>
      <c r="X174" s="2"/>
    </row>
    <row r="175" spans="16:24" x14ac:dyDescent="0.2">
      <c r="P175" s="5"/>
      <c r="Q175" s="5"/>
      <c r="R175" s="5"/>
      <c r="S175" s="5"/>
      <c r="T175" s="2"/>
      <c r="U175" s="5"/>
      <c r="V175" s="5"/>
      <c r="W175" s="2"/>
      <c r="X175" s="2"/>
    </row>
    <row r="176" spans="16:24" x14ac:dyDescent="0.2">
      <c r="P176" s="5"/>
      <c r="Q176" s="5"/>
      <c r="R176" s="5"/>
      <c r="S176" s="5"/>
      <c r="T176" s="2"/>
      <c r="U176" s="5"/>
      <c r="V176" s="5"/>
      <c r="W176" s="2"/>
      <c r="X176" s="2"/>
    </row>
    <row r="177" spans="16:24" x14ac:dyDescent="0.2">
      <c r="P177" s="5"/>
      <c r="Q177" s="5"/>
      <c r="R177" s="5"/>
      <c r="S177" s="5"/>
      <c r="T177" s="2"/>
      <c r="U177" s="5"/>
      <c r="V177" s="5"/>
      <c r="W177" s="2"/>
      <c r="X177" s="2"/>
    </row>
    <row r="178" spans="16:24" x14ac:dyDescent="0.2">
      <c r="P178" s="5"/>
      <c r="Q178" s="5"/>
      <c r="R178" s="5"/>
      <c r="S178" s="5"/>
      <c r="T178" s="2"/>
      <c r="U178" s="5"/>
      <c r="V178" s="5"/>
      <c r="W178" s="2"/>
      <c r="X178" s="2"/>
    </row>
    <row r="179" spans="16:24" x14ac:dyDescent="0.2">
      <c r="P179" s="5"/>
      <c r="Q179" s="5"/>
      <c r="R179" s="5"/>
      <c r="S179" s="5"/>
      <c r="T179" s="2"/>
      <c r="U179" s="5"/>
      <c r="V179" s="5"/>
      <c r="W179" s="2"/>
      <c r="X179" s="2"/>
    </row>
    <row r="180" spans="16:24" x14ac:dyDescent="0.2">
      <c r="P180" s="5"/>
      <c r="Q180" s="5"/>
      <c r="R180" s="5"/>
      <c r="S180" s="5"/>
      <c r="T180" s="2"/>
      <c r="U180" s="5"/>
      <c r="V180" s="5"/>
      <c r="W180" s="2"/>
      <c r="X180" s="2"/>
    </row>
    <row r="181" spans="16:24" x14ac:dyDescent="0.2">
      <c r="P181" s="5"/>
      <c r="Q181" s="5"/>
      <c r="R181" s="5"/>
      <c r="S181" s="5"/>
      <c r="T181" s="2"/>
      <c r="U181" s="5"/>
      <c r="V181" s="5"/>
      <c r="W181" s="2"/>
      <c r="X181" s="2"/>
    </row>
    <row r="182" spans="16:24" x14ac:dyDescent="0.2">
      <c r="P182" s="5"/>
      <c r="Q182" s="5"/>
      <c r="R182" s="5"/>
      <c r="S182" s="5"/>
      <c r="T182" s="2"/>
      <c r="U182" s="5"/>
      <c r="V182" s="5"/>
      <c r="W182" s="2"/>
      <c r="X182" s="2"/>
    </row>
    <row r="183" spans="16:24" x14ac:dyDescent="0.2">
      <c r="P183" s="5"/>
      <c r="Q183" s="5"/>
      <c r="R183" s="5"/>
      <c r="S183" s="5"/>
      <c r="T183" s="2"/>
      <c r="U183" s="5"/>
      <c r="V183" s="5"/>
      <c r="W183" s="2"/>
      <c r="X183" s="2"/>
    </row>
    <row r="184" spans="16:24" x14ac:dyDescent="0.2">
      <c r="P184" s="5"/>
      <c r="Q184" s="5"/>
      <c r="R184" s="5"/>
      <c r="S184" s="5"/>
      <c r="T184" s="2"/>
      <c r="U184" s="5"/>
      <c r="V184" s="5"/>
      <c r="W184" s="2"/>
      <c r="X184" s="2"/>
    </row>
    <row r="185" spans="16:24" x14ac:dyDescent="0.2">
      <c r="P185" s="5"/>
      <c r="Q185" s="5"/>
      <c r="R185" s="5"/>
      <c r="S185" s="5"/>
      <c r="T185" s="2"/>
      <c r="U185" s="5"/>
      <c r="V185" s="5"/>
      <c r="W185" s="2"/>
      <c r="X185" s="2"/>
    </row>
    <row r="186" spans="16:24" x14ac:dyDescent="0.2">
      <c r="P186" s="5"/>
      <c r="Q186" s="5"/>
      <c r="R186" s="5"/>
      <c r="S186" s="5"/>
      <c r="T186" s="2"/>
      <c r="U186" s="5"/>
      <c r="V186" s="5"/>
      <c r="W186" s="2"/>
      <c r="X186" s="2"/>
    </row>
    <row r="187" spans="16:24" x14ac:dyDescent="0.2">
      <c r="P187" s="5"/>
      <c r="Q187" s="5"/>
      <c r="R187" s="5"/>
      <c r="S187" s="5"/>
      <c r="T187" s="2"/>
      <c r="U187" s="5"/>
      <c r="V187" s="5"/>
      <c r="W187" s="2"/>
      <c r="X187" s="2"/>
    </row>
    <row r="188" spans="16:24" x14ac:dyDescent="0.2">
      <c r="P188" s="5"/>
      <c r="Q188" s="5"/>
      <c r="R188" s="5"/>
      <c r="S188" s="5"/>
      <c r="T188" s="2"/>
      <c r="U188" s="5"/>
      <c r="V188" s="5"/>
      <c r="W188" s="2"/>
      <c r="X188" s="2"/>
    </row>
    <row r="189" spans="16:24" x14ac:dyDescent="0.2">
      <c r="P189" s="5"/>
      <c r="Q189" s="5"/>
      <c r="R189" s="5"/>
      <c r="S189" s="5"/>
      <c r="T189" s="2"/>
      <c r="U189" s="5"/>
      <c r="V189" s="5"/>
      <c r="W189" s="2"/>
      <c r="X189" s="2"/>
    </row>
    <row r="190" spans="16:24" x14ac:dyDescent="0.2">
      <c r="P190" s="5"/>
      <c r="Q190" s="5"/>
      <c r="R190" s="5"/>
      <c r="S190" s="5"/>
      <c r="T190" s="2"/>
      <c r="U190" s="5"/>
      <c r="V190" s="5"/>
      <c r="W190" s="2"/>
      <c r="X190" s="2"/>
    </row>
    <row r="191" spans="16:24" x14ac:dyDescent="0.2">
      <c r="P191" s="5"/>
      <c r="Q191" s="5"/>
      <c r="R191" s="5"/>
      <c r="S191" s="5"/>
      <c r="T191" s="2"/>
      <c r="U191" s="5"/>
      <c r="V191" s="5"/>
      <c r="W191" s="2"/>
      <c r="X191" s="2"/>
    </row>
    <row r="192" spans="16:24" x14ac:dyDescent="0.2">
      <c r="P192" s="5"/>
      <c r="Q192" s="5"/>
      <c r="R192" s="5"/>
      <c r="S192" s="5"/>
      <c r="T192" s="2"/>
      <c r="U192" s="5"/>
      <c r="V192" s="5"/>
      <c r="W192" s="2"/>
      <c r="X192" s="2"/>
    </row>
    <row r="193" spans="16:24" x14ac:dyDescent="0.2">
      <c r="P193" s="5"/>
      <c r="Q193" s="5"/>
      <c r="R193" s="5"/>
      <c r="S193" s="5"/>
      <c r="T193" s="2"/>
      <c r="U193" s="5"/>
      <c r="V193" s="5"/>
      <c r="W193" s="2"/>
      <c r="X193" s="2"/>
    </row>
    <row r="194" spans="16:24" x14ac:dyDescent="0.2">
      <c r="P194" s="5"/>
      <c r="Q194" s="5"/>
      <c r="R194" s="5"/>
      <c r="S194" s="5"/>
      <c r="T194" s="2"/>
      <c r="U194" s="5"/>
      <c r="V194" s="5"/>
      <c r="W194" s="2"/>
      <c r="X194" s="2"/>
    </row>
    <row r="195" spans="16:24" x14ac:dyDescent="0.2">
      <c r="P195" s="5"/>
      <c r="Q195" s="5"/>
      <c r="R195" s="5"/>
      <c r="S195" s="5"/>
      <c r="T195" s="2"/>
      <c r="U195" s="5"/>
      <c r="V195" s="5"/>
      <c r="W195" s="2"/>
      <c r="X195" s="2"/>
    </row>
    <row r="196" spans="16:24" x14ac:dyDescent="0.2">
      <c r="P196" s="5"/>
      <c r="Q196" s="5"/>
      <c r="R196" s="5"/>
      <c r="S196" s="5"/>
      <c r="T196" s="2"/>
      <c r="U196" s="5"/>
      <c r="V196" s="5"/>
      <c r="W196" s="2"/>
      <c r="X196" s="2"/>
    </row>
    <row r="197" spans="16:24" x14ac:dyDescent="0.2">
      <c r="P197" s="5"/>
      <c r="Q197" s="5"/>
      <c r="R197" s="5"/>
      <c r="S197" s="5"/>
      <c r="T197" s="2"/>
      <c r="U197" s="5"/>
      <c r="V197" s="5"/>
      <c r="W197" s="2"/>
      <c r="X197" s="2"/>
    </row>
    <row r="198" spans="16:24" x14ac:dyDescent="0.2">
      <c r="P198" s="5"/>
      <c r="Q198" s="5"/>
      <c r="R198" s="5"/>
      <c r="S198" s="5"/>
      <c r="T198" s="2"/>
      <c r="U198" s="5"/>
      <c r="V198" s="5"/>
      <c r="W198" s="2"/>
      <c r="X198" s="2"/>
    </row>
    <row r="199" spans="16:24" x14ac:dyDescent="0.2">
      <c r="P199" s="5"/>
      <c r="Q199" s="5"/>
      <c r="R199" s="5"/>
      <c r="S199" s="5"/>
      <c r="T199" s="2"/>
      <c r="U199" s="5"/>
      <c r="V199" s="5"/>
      <c r="W199" s="2"/>
      <c r="X199" s="2"/>
    </row>
    <row r="200" spans="16:24" x14ac:dyDescent="0.2">
      <c r="P200" s="5"/>
      <c r="Q200" s="5"/>
      <c r="R200" s="5"/>
      <c r="S200" s="5"/>
      <c r="T200" s="2"/>
      <c r="U200" s="5"/>
      <c r="V200" s="5"/>
      <c r="W200" s="2"/>
      <c r="X200" s="2"/>
    </row>
    <row r="201" spans="16:24" x14ac:dyDescent="0.2">
      <c r="P201" s="5"/>
      <c r="Q201" s="5"/>
      <c r="R201" s="5"/>
      <c r="S201" s="5"/>
      <c r="T201" s="2"/>
      <c r="U201" s="5"/>
      <c r="V201" s="5"/>
      <c r="W201" s="2"/>
      <c r="X201" s="2"/>
    </row>
    <row r="202" spans="16:24" x14ac:dyDescent="0.2">
      <c r="P202" s="5"/>
      <c r="Q202" s="5"/>
      <c r="R202" s="5"/>
      <c r="S202" s="5"/>
      <c r="T202" s="2"/>
      <c r="U202" s="5"/>
      <c r="V202" s="5"/>
      <c r="W202" s="2"/>
      <c r="X202" s="2"/>
    </row>
    <row r="203" spans="16:24" x14ac:dyDescent="0.2">
      <c r="P203" s="5"/>
      <c r="Q203" s="5"/>
      <c r="R203" s="5"/>
      <c r="S203" s="5"/>
      <c r="T203" s="2"/>
      <c r="U203" s="5"/>
      <c r="V203" s="5"/>
      <c r="W203" s="2"/>
      <c r="X203" s="2"/>
    </row>
    <row r="204" spans="16:24" x14ac:dyDescent="0.2">
      <c r="P204" s="5"/>
      <c r="Q204" s="5"/>
      <c r="R204" s="5"/>
      <c r="S204" s="5"/>
      <c r="T204" s="2"/>
      <c r="U204" s="5"/>
      <c r="V204" s="5"/>
      <c r="W204" s="2"/>
      <c r="X204" s="2"/>
    </row>
    <row r="205" spans="16:24" x14ac:dyDescent="0.2">
      <c r="P205" s="5"/>
      <c r="Q205" s="5"/>
      <c r="R205" s="5"/>
      <c r="S205" s="5"/>
      <c r="T205" s="2"/>
      <c r="U205" s="5"/>
      <c r="V205" s="5"/>
      <c r="W205" s="2"/>
      <c r="X205" s="2"/>
    </row>
    <row r="206" spans="16:24" x14ac:dyDescent="0.2">
      <c r="P206" s="5"/>
      <c r="Q206" s="5"/>
      <c r="R206" s="5"/>
      <c r="S206" s="5"/>
      <c r="T206" s="2"/>
      <c r="U206" s="5"/>
      <c r="V206" s="5"/>
      <c r="W206" s="2"/>
      <c r="X206" s="2"/>
    </row>
    <row r="207" spans="16:24" x14ac:dyDescent="0.2">
      <c r="P207" s="5"/>
      <c r="Q207" s="5"/>
      <c r="R207" s="5"/>
      <c r="S207" s="5"/>
      <c r="T207" s="2"/>
      <c r="U207" s="5"/>
      <c r="V207" s="5"/>
      <c r="W207" s="2"/>
      <c r="X207" s="2"/>
    </row>
    <row r="208" spans="16:24" x14ac:dyDescent="0.2">
      <c r="P208" s="5"/>
      <c r="Q208" s="5"/>
      <c r="R208" s="5"/>
      <c r="S208" s="5"/>
      <c r="T208" s="2"/>
      <c r="U208" s="5"/>
      <c r="V208" s="5"/>
      <c r="W208" s="2"/>
      <c r="X208" s="2"/>
    </row>
    <row r="209" spans="16:24" x14ac:dyDescent="0.2">
      <c r="P209" s="5"/>
      <c r="Q209" s="5"/>
      <c r="R209" s="5"/>
      <c r="S209" s="5"/>
      <c r="T209" s="2"/>
      <c r="U209" s="5"/>
      <c r="V209" s="5"/>
      <c r="W209" s="2"/>
      <c r="X209" s="2"/>
    </row>
    <row r="210" spans="16:24" x14ac:dyDescent="0.2">
      <c r="P210" s="5"/>
      <c r="Q210" s="5"/>
      <c r="R210" s="5"/>
      <c r="S210" s="5"/>
      <c r="T210" s="2"/>
      <c r="U210" s="5"/>
      <c r="V210" s="5"/>
      <c r="W210" s="2"/>
      <c r="X210" s="2"/>
    </row>
    <row r="211" spans="16:24" x14ac:dyDescent="0.2">
      <c r="P211" s="5"/>
      <c r="Q211" s="5"/>
      <c r="R211" s="5"/>
      <c r="S211" s="5"/>
      <c r="T211" s="2"/>
      <c r="U211" s="5"/>
      <c r="V211" s="5"/>
      <c r="W211" s="2"/>
      <c r="X211" s="2"/>
    </row>
    <row r="212" spans="16:24" x14ac:dyDescent="0.2">
      <c r="P212" s="5"/>
      <c r="Q212" s="5"/>
      <c r="R212" s="5"/>
      <c r="S212" s="5"/>
      <c r="T212" s="2"/>
      <c r="U212" s="5"/>
      <c r="V212" s="5"/>
      <c r="W212" s="2"/>
      <c r="X212" s="2"/>
    </row>
    <row r="213" spans="16:24" x14ac:dyDescent="0.2">
      <c r="P213" s="5"/>
      <c r="Q213" s="5"/>
      <c r="R213" s="5"/>
      <c r="S213" s="5"/>
      <c r="T213" s="2"/>
      <c r="U213" s="5"/>
      <c r="V213" s="5"/>
      <c r="W213" s="2"/>
      <c r="X213" s="2"/>
    </row>
    <row r="214" spans="16:24" x14ac:dyDescent="0.2">
      <c r="P214" s="5"/>
      <c r="Q214" s="5"/>
      <c r="R214" s="5"/>
      <c r="S214" s="5"/>
      <c r="T214" s="2"/>
      <c r="U214" s="5"/>
      <c r="V214" s="5"/>
      <c r="W214" s="2"/>
      <c r="X214" s="2"/>
    </row>
    <row r="215" spans="16:24" x14ac:dyDescent="0.2">
      <c r="P215" s="5"/>
      <c r="Q215" s="5"/>
      <c r="R215" s="5"/>
      <c r="S215" s="5"/>
      <c r="T215" s="2"/>
      <c r="U215" s="5"/>
      <c r="V215" s="5"/>
      <c r="W215" s="2"/>
      <c r="X215" s="2"/>
    </row>
    <row r="216" spans="16:24" x14ac:dyDescent="0.2">
      <c r="P216" s="5"/>
      <c r="Q216" s="5"/>
      <c r="R216" s="5"/>
      <c r="S216" s="5"/>
      <c r="T216" s="2"/>
      <c r="U216" s="5"/>
      <c r="V216" s="5"/>
      <c r="W216" s="2"/>
      <c r="X216" s="2"/>
    </row>
    <row r="217" spans="16:24" x14ac:dyDescent="0.2">
      <c r="P217" s="5"/>
      <c r="Q217" s="5"/>
      <c r="R217" s="5"/>
      <c r="S217" s="5"/>
      <c r="T217" s="2"/>
      <c r="U217" s="5"/>
      <c r="V217" s="5"/>
      <c r="W217" s="2"/>
      <c r="X217" s="2"/>
    </row>
    <row r="218" spans="16:24" x14ac:dyDescent="0.2">
      <c r="P218" s="5"/>
      <c r="Q218" s="5"/>
      <c r="R218" s="5"/>
      <c r="S218" s="5"/>
      <c r="T218" s="2"/>
      <c r="U218" s="5"/>
      <c r="V218" s="5"/>
      <c r="W218" s="2"/>
      <c r="X218" s="2"/>
    </row>
    <row r="219" spans="16:24" x14ac:dyDescent="0.2">
      <c r="P219" s="5"/>
      <c r="Q219" s="5"/>
      <c r="R219" s="5"/>
      <c r="S219" s="5"/>
      <c r="T219" s="2"/>
      <c r="U219" s="5"/>
      <c r="V219" s="5"/>
      <c r="W219" s="2"/>
      <c r="X219" s="2"/>
    </row>
    <row r="220" spans="16:24" x14ac:dyDescent="0.2">
      <c r="P220" s="5"/>
      <c r="Q220" s="5"/>
      <c r="R220" s="5"/>
      <c r="S220" s="5"/>
      <c r="T220" s="2"/>
      <c r="U220" s="5"/>
      <c r="V220" s="5"/>
      <c r="W220" s="2"/>
      <c r="X220" s="2"/>
    </row>
    <row r="221" spans="16:24" x14ac:dyDescent="0.2">
      <c r="P221" s="5"/>
      <c r="Q221" s="5"/>
      <c r="R221" s="5"/>
      <c r="S221" s="5"/>
      <c r="T221" s="2"/>
      <c r="U221" s="5"/>
      <c r="V221" s="5"/>
      <c r="W221" s="2"/>
      <c r="X221" s="2"/>
    </row>
    <row r="222" spans="16:24" x14ac:dyDescent="0.2">
      <c r="P222" s="5"/>
      <c r="Q222" s="5"/>
      <c r="R222" s="5"/>
      <c r="S222" s="5"/>
      <c r="T222" s="2"/>
      <c r="U222" s="5"/>
      <c r="V222" s="5"/>
      <c r="W222" s="2"/>
      <c r="X222" s="2"/>
    </row>
    <row r="223" spans="16:24" x14ac:dyDescent="0.2">
      <c r="P223" s="5"/>
      <c r="Q223" s="5"/>
      <c r="R223" s="5"/>
      <c r="S223" s="5"/>
      <c r="T223" s="2"/>
      <c r="U223" s="5"/>
      <c r="V223" s="5"/>
      <c r="W223" s="2"/>
      <c r="X223" s="2"/>
    </row>
    <row r="224" spans="16:24" x14ac:dyDescent="0.2">
      <c r="P224" s="5"/>
      <c r="Q224" s="5"/>
      <c r="R224" s="5"/>
      <c r="S224" s="5"/>
      <c r="T224" s="2"/>
      <c r="U224" s="5"/>
      <c r="V224" s="5"/>
      <c r="W224" s="2"/>
      <c r="X224" s="2"/>
    </row>
    <row r="225" spans="16:24" x14ac:dyDescent="0.2">
      <c r="P225" s="5"/>
      <c r="Q225" s="5"/>
      <c r="R225" s="5"/>
      <c r="S225" s="5"/>
      <c r="T225" s="2"/>
      <c r="U225" s="5"/>
      <c r="V225" s="5"/>
      <c r="W225" s="2"/>
      <c r="X225" s="2"/>
    </row>
    <row r="226" spans="16:24" x14ac:dyDescent="0.2">
      <c r="P226" s="5"/>
      <c r="Q226" s="5"/>
      <c r="R226" s="5"/>
      <c r="S226" s="5"/>
      <c r="T226" s="2"/>
      <c r="U226" s="5"/>
      <c r="V226" s="5"/>
      <c r="W226" s="2"/>
      <c r="X226" s="2"/>
    </row>
    <row r="227" spans="16:24" x14ac:dyDescent="0.2">
      <c r="P227" s="5"/>
      <c r="Q227" s="5"/>
      <c r="R227" s="5"/>
      <c r="S227" s="5"/>
      <c r="T227" s="2"/>
      <c r="U227" s="5"/>
      <c r="V227" s="5"/>
      <c r="W227" s="2"/>
      <c r="X227" s="2"/>
    </row>
    <row r="228" spans="16:24" x14ac:dyDescent="0.2">
      <c r="P228" s="5"/>
      <c r="Q228" s="5"/>
      <c r="R228" s="5"/>
      <c r="S228" s="5"/>
      <c r="T228" s="2"/>
      <c r="U228" s="5"/>
      <c r="V228" s="5"/>
      <c r="W228" s="2"/>
      <c r="X228" s="2"/>
    </row>
    <row r="229" spans="16:24" x14ac:dyDescent="0.2">
      <c r="P229" s="5"/>
      <c r="Q229" s="5"/>
      <c r="R229" s="5"/>
      <c r="S229" s="5"/>
      <c r="T229" s="2"/>
      <c r="U229" s="5"/>
      <c r="V229" s="5"/>
      <c r="W229" s="2"/>
      <c r="X229" s="2"/>
    </row>
    <row r="230" spans="16:24" x14ac:dyDescent="0.2">
      <c r="P230" s="5"/>
      <c r="Q230" s="5"/>
      <c r="R230" s="5"/>
      <c r="S230" s="5"/>
      <c r="T230" s="2"/>
      <c r="U230" s="5"/>
      <c r="V230" s="5"/>
      <c r="W230" s="2"/>
      <c r="X230" s="2"/>
    </row>
    <row r="231" spans="16:24" x14ac:dyDescent="0.2">
      <c r="P231" s="5"/>
      <c r="Q231" s="5"/>
      <c r="R231" s="5"/>
      <c r="S231" s="5"/>
      <c r="T231" s="2"/>
      <c r="U231" s="5"/>
      <c r="V231" s="5"/>
      <c r="W231" s="2"/>
      <c r="X231" s="2"/>
    </row>
    <row r="232" spans="16:24" x14ac:dyDescent="0.2">
      <c r="P232" s="5"/>
      <c r="Q232" s="5"/>
      <c r="R232" s="5"/>
      <c r="S232" s="5"/>
      <c r="T232" s="2"/>
      <c r="U232" s="5"/>
      <c r="V232" s="5"/>
      <c r="W232" s="2"/>
      <c r="X232" s="2"/>
    </row>
    <row r="233" spans="16:24" x14ac:dyDescent="0.2">
      <c r="P233" s="5"/>
      <c r="Q233" s="5"/>
      <c r="R233" s="5"/>
      <c r="S233" s="5"/>
      <c r="T233" s="2"/>
      <c r="U233" s="5"/>
      <c r="V233" s="5"/>
      <c r="W233" s="2"/>
      <c r="X233" s="2"/>
    </row>
    <row r="234" spans="16:24" x14ac:dyDescent="0.2">
      <c r="P234" s="5"/>
      <c r="Q234" s="5"/>
      <c r="R234" s="5"/>
      <c r="S234" s="5"/>
      <c r="T234" s="2"/>
      <c r="U234" s="5"/>
      <c r="V234" s="5"/>
      <c r="W234" s="2"/>
      <c r="X234" s="2"/>
    </row>
    <row r="235" spans="16:24" x14ac:dyDescent="0.2">
      <c r="P235" s="5"/>
      <c r="Q235" s="5"/>
      <c r="R235" s="5"/>
      <c r="S235" s="5"/>
      <c r="T235" s="2"/>
      <c r="U235" s="5"/>
      <c r="V235" s="5"/>
      <c r="W235" s="2"/>
      <c r="X235" s="2"/>
    </row>
    <row r="236" spans="16:24" x14ac:dyDescent="0.2">
      <c r="P236" s="5"/>
      <c r="Q236" s="5"/>
      <c r="R236" s="5"/>
      <c r="S236" s="5"/>
      <c r="T236" s="2"/>
      <c r="U236" s="5"/>
      <c r="V236" s="5"/>
      <c r="W236" s="2"/>
      <c r="X236" s="2"/>
    </row>
    <row r="237" spans="16:24" x14ac:dyDescent="0.2">
      <c r="P237" s="5"/>
      <c r="Q237" s="5"/>
      <c r="R237" s="5"/>
      <c r="S237" s="5"/>
      <c r="T237" s="2"/>
      <c r="U237" s="5"/>
      <c r="V237" s="5"/>
      <c r="W237" s="2"/>
      <c r="X237" s="2"/>
    </row>
    <row r="238" spans="16:24" x14ac:dyDescent="0.2">
      <c r="P238" s="5"/>
      <c r="Q238" s="5"/>
      <c r="R238" s="5"/>
      <c r="S238" s="5"/>
      <c r="T238" s="2"/>
      <c r="U238" s="5"/>
      <c r="V238" s="5"/>
      <c r="W238" s="2"/>
      <c r="X238" s="2"/>
    </row>
    <row r="239" spans="16:24" x14ac:dyDescent="0.2">
      <c r="P239" s="5"/>
      <c r="Q239" s="5"/>
      <c r="R239" s="5"/>
      <c r="S239" s="5"/>
      <c r="T239" s="2"/>
      <c r="U239" s="5"/>
      <c r="V239" s="5"/>
      <c r="W239" s="2"/>
      <c r="X239" s="2"/>
    </row>
    <row r="240" spans="16:24" x14ac:dyDescent="0.2">
      <c r="P240" s="5"/>
      <c r="Q240" s="5"/>
      <c r="R240" s="5"/>
      <c r="S240" s="5"/>
      <c r="T240" s="2"/>
      <c r="U240" s="5"/>
      <c r="V240" s="5"/>
      <c r="W240" s="2"/>
      <c r="X240" s="2"/>
    </row>
    <row r="241" spans="16:24" x14ac:dyDescent="0.2">
      <c r="P241" s="5"/>
      <c r="Q241" s="5"/>
      <c r="R241" s="5"/>
      <c r="S241" s="5"/>
      <c r="T241" s="2"/>
      <c r="U241" s="5"/>
      <c r="V241" s="5"/>
      <c r="W241" s="2"/>
      <c r="X241" s="2"/>
    </row>
    <row r="242" spans="16:24" x14ac:dyDescent="0.2">
      <c r="P242" s="5"/>
      <c r="Q242" s="5"/>
      <c r="R242" s="5"/>
      <c r="S242" s="5"/>
      <c r="T242" s="2"/>
      <c r="U242" s="5"/>
      <c r="V242" s="5"/>
      <c r="W242" s="2"/>
      <c r="X242" s="2"/>
    </row>
    <row r="243" spans="16:24" x14ac:dyDescent="0.2">
      <c r="P243" s="5"/>
      <c r="Q243" s="5"/>
      <c r="R243" s="5"/>
      <c r="S243" s="5"/>
      <c r="T243" s="2"/>
      <c r="U243" s="5"/>
      <c r="V243" s="5"/>
      <c r="W243" s="2"/>
      <c r="X243" s="2"/>
    </row>
    <row r="244" spans="16:24" x14ac:dyDescent="0.2">
      <c r="P244" s="5"/>
      <c r="Q244" s="5"/>
      <c r="R244" s="5"/>
      <c r="S244" s="5"/>
      <c r="T244" s="2"/>
      <c r="U244" s="5"/>
      <c r="V244" s="5"/>
      <c r="W244" s="2"/>
      <c r="X244" s="2"/>
    </row>
    <row r="245" spans="16:24" x14ac:dyDescent="0.2">
      <c r="P245" s="5"/>
      <c r="Q245" s="5"/>
      <c r="R245" s="5"/>
      <c r="S245" s="5"/>
      <c r="T245" s="2"/>
      <c r="U245" s="5"/>
      <c r="V245" s="5"/>
      <c r="W245" s="2"/>
      <c r="X245" s="2"/>
    </row>
    <row r="246" spans="16:24" x14ac:dyDescent="0.2">
      <c r="P246" s="5"/>
      <c r="Q246" s="5"/>
      <c r="R246" s="5"/>
      <c r="S246" s="5"/>
      <c r="T246" s="2"/>
      <c r="U246" s="5"/>
      <c r="V246" s="5"/>
      <c r="W246" s="2"/>
      <c r="X246" s="2"/>
    </row>
    <row r="247" spans="16:24" x14ac:dyDescent="0.2">
      <c r="P247" s="5"/>
      <c r="Q247" s="5"/>
      <c r="R247" s="5"/>
      <c r="S247" s="5"/>
      <c r="T247" s="2"/>
      <c r="U247" s="5"/>
      <c r="V247" s="5"/>
      <c r="W247" s="2"/>
      <c r="X247" s="2"/>
    </row>
    <row r="248" spans="16:24" x14ac:dyDescent="0.2">
      <c r="P248" s="5"/>
      <c r="Q248" s="5"/>
      <c r="R248" s="5"/>
      <c r="S248" s="5"/>
      <c r="T248" s="2"/>
      <c r="U248" s="5"/>
      <c r="V248" s="5"/>
      <c r="W248" s="2"/>
      <c r="X248" s="2"/>
    </row>
    <row r="249" spans="16:24" x14ac:dyDescent="0.2">
      <c r="P249" s="5"/>
      <c r="Q249" s="5"/>
      <c r="R249" s="5"/>
      <c r="S249" s="5"/>
      <c r="T249" s="2"/>
      <c r="U249" s="5"/>
      <c r="V249" s="5"/>
      <c r="W249" s="2"/>
      <c r="X249" s="2"/>
    </row>
    <row r="250" spans="16:24" x14ac:dyDescent="0.2">
      <c r="P250" s="5"/>
      <c r="Q250" s="5"/>
      <c r="R250" s="5"/>
      <c r="S250" s="5"/>
      <c r="T250" s="2"/>
      <c r="U250" s="5"/>
      <c r="V250" s="5"/>
      <c r="W250" s="2"/>
      <c r="X250" s="2"/>
    </row>
    <row r="251" spans="16:24" x14ac:dyDescent="0.2">
      <c r="P251" s="5"/>
      <c r="Q251" s="5"/>
      <c r="R251" s="5"/>
      <c r="S251" s="5"/>
      <c r="T251" s="2"/>
      <c r="U251" s="5"/>
      <c r="V251" s="5"/>
      <c r="W251" s="2"/>
      <c r="X251" s="2"/>
    </row>
    <row r="252" spans="16:24" x14ac:dyDescent="0.2">
      <c r="P252" s="5"/>
      <c r="Q252" s="5"/>
      <c r="R252" s="5"/>
      <c r="S252" s="5"/>
      <c r="T252" s="2"/>
      <c r="U252" s="5"/>
      <c r="V252" s="5"/>
      <c r="W252" s="2"/>
      <c r="X252" s="2"/>
    </row>
    <row r="253" spans="16:24" x14ac:dyDescent="0.2">
      <c r="P253" s="5"/>
      <c r="Q253" s="5"/>
      <c r="R253" s="5"/>
      <c r="S253" s="5"/>
      <c r="T253" s="2"/>
      <c r="U253" s="5"/>
      <c r="V253" s="5"/>
      <c r="W253" s="2"/>
      <c r="X253" s="2"/>
    </row>
    <row r="254" spans="16:24" x14ac:dyDescent="0.2">
      <c r="P254" s="5"/>
      <c r="Q254" s="5"/>
      <c r="R254" s="5"/>
      <c r="S254" s="5"/>
      <c r="T254" s="2"/>
      <c r="U254" s="5"/>
      <c r="V254" s="5"/>
      <c r="W254" s="2"/>
      <c r="X254" s="2"/>
    </row>
    <row r="255" spans="16:24" x14ac:dyDescent="0.2">
      <c r="P255" s="5"/>
      <c r="Q255" s="5"/>
      <c r="R255" s="5"/>
      <c r="S255" s="5"/>
      <c r="T255" s="2"/>
      <c r="U255" s="5"/>
      <c r="V255" s="5"/>
      <c r="W255" s="2"/>
      <c r="X255" s="2"/>
    </row>
    <row r="256" spans="16:24" x14ac:dyDescent="0.2">
      <c r="P256" s="5"/>
      <c r="Q256" s="5"/>
      <c r="R256" s="5"/>
      <c r="S256" s="5"/>
      <c r="T256" s="2"/>
      <c r="U256" s="5"/>
      <c r="V256" s="5"/>
      <c r="W256" s="2"/>
      <c r="X256" s="2"/>
    </row>
    <row r="257" spans="16:24" x14ac:dyDescent="0.2">
      <c r="P257" s="5"/>
      <c r="Q257" s="5"/>
      <c r="R257" s="5"/>
      <c r="S257" s="5"/>
      <c r="T257" s="2"/>
      <c r="U257" s="5"/>
      <c r="V257" s="5"/>
      <c r="W257" s="2"/>
      <c r="X257" s="2"/>
    </row>
    <row r="258" spans="16:24" x14ac:dyDescent="0.2">
      <c r="P258" s="5"/>
      <c r="Q258" s="5"/>
      <c r="R258" s="5"/>
      <c r="S258" s="5"/>
      <c r="T258" s="2"/>
      <c r="U258" s="5"/>
      <c r="V258" s="5"/>
      <c r="W258" s="2"/>
      <c r="X258" s="2"/>
    </row>
    <row r="259" spans="16:24" x14ac:dyDescent="0.2">
      <c r="P259" s="5"/>
      <c r="Q259" s="5"/>
      <c r="R259" s="5"/>
      <c r="S259" s="5"/>
      <c r="T259" s="2"/>
      <c r="U259" s="5"/>
      <c r="V259" s="5"/>
      <c r="W259" s="2"/>
      <c r="X259" s="2"/>
    </row>
    <row r="260" spans="16:24" x14ac:dyDescent="0.2">
      <c r="P260" s="5"/>
      <c r="Q260" s="5"/>
      <c r="R260" s="5"/>
      <c r="S260" s="5"/>
      <c r="T260" s="2"/>
      <c r="U260" s="5"/>
      <c r="V260" s="5"/>
      <c r="W260" s="2"/>
      <c r="X260" s="2"/>
    </row>
    <row r="261" spans="16:24" x14ac:dyDescent="0.2">
      <c r="P261" s="5"/>
      <c r="Q261" s="5"/>
      <c r="R261" s="5"/>
      <c r="S261" s="5"/>
      <c r="T261" s="2"/>
      <c r="U261" s="5"/>
      <c r="V261" s="5"/>
      <c r="W261" s="2"/>
      <c r="X261" s="2"/>
    </row>
    <row r="262" spans="16:24" x14ac:dyDescent="0.2">
      <c r="P262" s="5"/>
      <c r="Q262" s="5"/>
      <c r="R262" s="5"/>
      <c r="S262" s="5"/>
      <c r="T262" s="2"/>
      <c r="U262" s="5"/>
      <c r="V262" s="5"/>
      <c r="W262" s="2"/>
      <c r="X262" s="2"/>
    </row>
    <row r="263" spans="16:24" x14ac:dyDescent="0.2">
      <c r="P263" s="5"/>
      <c r="Q263" s="5"/>
      <c r="R263" s="5"/>
      <c r="S263" s="5"/>
      <c r="T263" s="2"/>
      <c r="U263" s="5"/>
      <c r="V263" s="5"/>
      <c r="W263" s="2"/>
      <c r="X263" s="2"/>
    </row>
    <row r="264" spans="16:24" x14ac:dyDescent="0.2">
      <c r="P264" s="5"/>
      <c r="Q264" s="5"/>
      <c r="R264" s="5"/>
      <c r="S264" s="5"/>
      <c r="T264" s="2"/>
      <c r="U264" s="5"/>
      <c r="V264" s="5"/>
      <c r="W264" s="2"/>
      <c r="X264" s="2"/>
    </row>
    <row r="265" spans="16:24" x14ac:dyDescent="0.2">
      <c r="P265" s="5"/>
      <c r="Q265" s="5"/>
      <c r="R265" s="5"/>
      <c r="S265" s="5"/>
      <c r="T265" s="2"/>
      <c r="U265" s="5"/>
      <c r="V265" s="5"/>
      <c r="W265" s="2"/>
      <c r="X265" s="2"/>
    </row>
    <row r="266" spans="16:24" x14ac:dyDescent="0.2">
      <c r="P266" s="5"/>
      <c r="Q266" s="5"/>
      <c r="R266" s="5"/>
      <c r="S266" s="5"/>
      <c r="T266" s="2"/>
      <c r="U266" s="5"/>
      <c r="V266" s="5"/>
      <c r="W266" s="2"/>
      <c r="X266" s="2"/>
    </row>
    <row r="267" spans="16:24" x14ac:dyDescent="0.2">
      <c r="P267" s="5"/>
      <c r="Q267" s="5"/>
      <c r="R267" s="5"/>
      <c r="S267" s="5"/>
      <c r="T267" s="2"/>
      <c r="U267" s="5"/>
      <c r="V267" s="5"/>
      <c r="W267" s="2"/>
      <c r="X267" s="2"/>
    </row>
    <row r="268" spans="16:24" x14ac:dyDescent="0.2">
      <c r="P268" s="5"/>
      <c r="Q268" s="5"/>
      <c r="R268" s="5"/>
      <c r="S268" s="5"/>
      <c r="T268" s="2"/>
      <c r="U268" s="5"/>
      <c r="V268" s="5"/>
      <c r="W268" s="2"/>
      <c r="X268" s="2"/>
    </row>
    <row r="269" spans="16:24" x14ac:dyDescent="0.2">
      <c r="P269" s="5"/>
      <c r="Q269" s="5"/>
      <c r="R269" s="5"/>
      <c r="S269" s="5"/>
      <c r="T269" s="2"/>
      <c r="U269" s="5"/>
      <c r="V269" s="5"/>
      <c r="W269" s="2"/>
      <c r="X269" s="2"/>
    </row>
    <row r="270" spans="16:24" x14ac:dyDescent="0.2">
      <c r="P270" s="5"/>
      <c r="Q270" s="5"/>
      <c r="R270" s="5"/>
      <c r="S270" s="5"/>
      <c r="T270" s="2"/>
      <c r="U270" s="5"/>
      <c r="V270" s="5"/>
      <c r="W270" s="2"/>
      <c r="X270" s="2"/>
    </row>
    <row r="271" spans="16:24" x14ac:dyDescent="0.2">
      <c r="P271" s="5"/>
      <c r="Q271" s="5"/>
      <c r="R271" s="5"/>
      <c r="S271" s="5"/>
      <c r="T271" s="2"/>
      <c r="U271" s="5"/>
      <c r="V271" s="5"/>
      <c r="W271" s="2"/>
      <c r="X271" s="2"/>
    </row>
    <row r="272" spans="16:24" x14ac:dyDescent="0.2">
      <c r="P272" s="5"/>
      <c r="Q272" s="5"/>
      <c r="R272" s="5"/>
      <c r="S272" s="5"/>
      <c r="T272" s="2"/>
      <c r="U272" s="5"/>
      <c r="V272" s="5"/>
      <c r="W272" s="2"/>
      <c r="X272" s="2"/>
    </row>
    <row r="273" spans="16:24" x14ac:dyDescent="0.2">
      <c r="P273" s="5"/>
      <c r="Q273" s="5"/>
      <c r="R273" s="5"/>
      <c r="S273" s="5"/>
      <c r="T273" s="2"/>
      <c r="U273" s="5"/>
      <c r="V273" s="5"/>
      <c r="W273" s="2"/>
      <c r="X273" s="2"/>
    </row>
    <row r="274" spans="16:24" x14ac:dyDescent="0.2">
      <c r="P274" s="5"/>
      <c r="Q274" s="5"/>
      <c r="R274" s="5"/>
      <c r="S274" s="5"/>
      <c r="T274" s="2"/>
      <c r="U274" s="5"/>
      <c r="V274" s="5"/>
      <c r="W274" s="2"/>
      <c r="X274" s="2"/>
    </row>
    <row r="275" spans="16:24" x14ac:dyDescent="0.2">
      <c r="P275" s="5"/>
      <c r="Q275" s="5"/>
      <c r="R275" s="5"/>
      <c r="S275" s="5"/>
      <c r="T275" s="2"/>
      <c r="U275" s="5"/>
      <c r="V275" s="5"/>
      <c r="W275" s="2"/>
      <c r="X275" s="2"/>
    </row>
    <row r="276" spans="16:24" x14ac:dyDescent="0.2">
      <c r="P276" s="5"/>
      <c r="Q276" s="5"/>
      <c r="R276" s="5"/>
      <c r="S276" s="5"/>
      <c r="T276" s="2"/>
      <c r="U276" s="5"/>
      <c r="V276" s="5"/>
      <c r="W276" s="2"/>
      <c r="X276" s="2"/>
    </row>
    <row r="277" spans="16:24" x14ac:dyDescent="0.2">
      <c r="P277" s="5"/>
      <c r="Q277" s="5"/>
      <c r="R277" s="5"/>
      <c r="S277" s="5"/>
      <c r="T277" s="2"/>
      <c r="U277" s="5"/>
      <c r="V277" s="5"/>
      <c r="W277" s="2"/>
      <c r="X277" s="2"/>
    </row>
    <row r="278" spans="16:24" x14ac:dyDescent="0.2">
      <c r="P278" s="5"/>
      <c r="Q278" s="5"/>
      <c r="R278" s="5"/>
      <c r="S278" s="5"/>
      <c r="T278" s="2"/>
      <c r="U278" s="5"/>
      <c r="V278" s="5"/>
      <c r="W278" s="2"/>
      <c r="X278" s="2"/>
    </row>
    <row r="279" spans="16:24" x14ac:dyDescent="0.2">
      <c r="P279" s="5"/>
      <c r="Q279" s="5"/>
      <c r="R279" s="5"/>
      <c r="S279" s="5"/>
      <c r="T279" s="2"/>
      <c r="U279" s="5"/>
      <c r="V279" s="5"/>
      <c r="W279" s="2"/>
      <c r="X279" s="2"/>
    </row>
    <row r="280" spans="16:24" x14ac:dyDescent="0.2">
      <c r="P280" s="5"/>
      <c r="Q280" s="5"/>
      <c r="R280" s="5"/>
      <c r="S280" s="5"/>
      <c r="T280" s="2"/>
      <c r="U280" s="5"/>
      <c r="V280" s="5"/>
      <c r="W280" s="2"/>
      <c r="X280" s="2"/>
    </row>
    <row r="281" spans="16:24" x14ac:dyDescent="0.2">
      <c r="P281" s="5"/>
      <c r="Q281" s="5"/>
      <c r="R281" s="5"/>
      <c r="S281" s="5"/>
      <c r="T281" s="2"/>
      <c r="U281" s="5"/>
      <c r="V281" s="5"/>
      <c r="W281" s="2"/>
      <c r="X281" s="2"/>
    </row>
    <row r="282" spans="16:24" x14ac:dyDescent="0.2">
      <c r="P282" s="5"/>
      <c r="Q282" s="5"/>
      <c r="R282" s="5"/>
      <c r="S282" s="5"/>
      <c r="T282" s="2"/>
      <c r="U282" s="5"/>
      <c r="V282" s="5"/>
      <c r="W282" s="2"/>
      <c r="X282" s="2"/>
    </row>
    <row r="283" spans="16:24" x14ac:dyDescent="0.2">
      <c r="P283" s="5"/>
      <c r="Q283" s="5"/>
      <c r="R283" s="5"/>
      <c r="S283" s="5"/>
      <c r="T283" s="2"/>
      <c r="U283" s="5"/>
      <c r="V283" s="5"/>
      <c r="W283" s="2"/>
      <c r="X283" s="2"/>
    </row>
    <row r="284" spans="16:24" x14ac:dyDescent="0.2">
      <c r="P284" s="5"/>
      <c r="Q284" s="5"/>
      <c r="R284" s="5"/>
      <c r="S284" s="5"/>
      <c r="T284" s="2"/>
      <c r="U284" s="5"/>
      <c r="V284" s="5"/>
      <c r="W284" s="2"/>
      <c r="X284" s="2"/>
    </row>
    <row r="285" spans="16:24" x14ac:dyDescent="0.2">
      <c r="P285" s="5"/>
      <c r="Q285" s="5"/>
      <c r="R285" s="5"/>
      <c r="S285" s="5"/>
      <c r="T285" s="2"/>
      <c r="U285" s="5"/>
      <c r="V285" s="5"/>
      <c r="W285" s="2"/>
      <c r="X285" s="2"/>
    </row>
    <row r="286" spans="16:24" x14ac:dyDescent="0.2">
      <c r="P286" s="5"/>
      <c r="Q286" s="5"/>
      <c r="R286" s="5"/>
      <c r="S286" s="5"/>
      <c r="T286" s="2"/>
      <c r="U286" s="5"/>
      <c r="V286" s="5"/>
      <c r="W286" s="2"/>
      <c r="X286" s="2"/>
    </row>
    <row r="287" spans="16:24" x14ac:dyDescent="0.2">
      <c r="P287" s="5"/>
      <c r="Q287" s="5"/>
      <c r="R287" s="5"/>
      <c r="S287" s="5"/>
      <c r="T287" s="2"/>
      <c r="U287" s="5"/>
      <c r="V287" s="5"/>
      <c r="W287" s="2"/>
      <c r="X287" s="2"/>
    </row>
    <row r="288" spans="16:24" x14ac:dyDescent="0.2">
      <c r="P288" s="5"/>
      <c r="Q288" s="5"/>
      <c r="R288" s="5"/>
      <c r="S288" s="5"/>
      <c r="T288" s="2"/>
      <c r="U288" s="5"/>
      <c r="V288" s="5"/>
      <c r="W288" s="2"/>
      <c r="X288" s="2"/>
    </row>
    <row r="289" spans="16:24" x14ac:dyDescent="0.2">
      <c r="P289" s="5"/>
      <c r="Q289" s="5"/>
      <c r="R289" s="5"/>
      <c r="S289" s="5"/>
      <c r="T289" s="2"/>
      <c r="U289" s="5"/>
      <c r="V289" s="5"/>
      <c r="W289" s="2"/>
      <c r="X289" s="2"/>
    </row>
    <row r="290" spans="16:24" x14ac:dyDescent="0.2">
      <c r="P290" s="5"/>
      <c r="Q290" s="5"/>
      <c r="R290" s="5"/>
      <c r="S290" s="5"/>
      <c r="T290" s="2"/>
      <c r="U290" s="5"/>
      <c r="V290" s="5"/>
      <c r="W290" s="2"/>
      <c r="X290" s="2"/>
    </row>
    <row r="291" spans="16:24" x14ac:dyDescent="0.2">
      <c r="P291" s="5"/>
      <c r="Q291" s="5"/>
      <c r="R291" s="5"/>
      <c r="S291" s="5"/>
      <c r="T291" s="2"/>
      <c r="U291" s="5"/>
      <c r="V291" s="5"/>
      <c r="W291" s="2"/>
      <c r="X291" s="2"/>
    </row>
    <row r="292" spans="16:24" x14ac:dyDescent="0.2">
      <c r="P292" s="5"/>
      <c r="Q292" s="5"/>
      <c r="R292" s="5"/>
      <c r="S292" s="5"/>
      <c r="T292" s="2"/>
      <c r="U292" s="5"/>
      <c r="V292" s="5"/>
      <c r="W292" s="2"/>
      <c r="X292" s="2"/>
    </row>
    <row r="293" spans="16:24" x14ac:dyDescent="0.2">
      <c r="P293" s="5"/>
      <c r="Q293" s="5"/>
      <c r="R293" s="5"/>
      <c r="S293" s="5"/>
      <c r="T293" s="2"/>
      <c r="U293" s="5"/>
      <c r="V293" s="5"/>
      <c r="W293" s="2"/>
      <c r="X293" s="2"/>
    </row>
    <row r="294" spans="16:24" x14ac:dyDescent="0.2">
      <c r="P294" s="5"/>
      <c r="Q294" s="5"/>
      <c r="R294" s="5"/>
      <c r="S294" s="5"/>
      <c r="T294" s="2"/>
      <c r="U294" s="5"/>
      <c r="V294" s="5"/>
      <c r="W294" s="2"/>
      <c r="X294" s="2"/>
    </row>
    <row r="295" spans="16:24" x14ac:dyDescent="0.2">
      <c r="P295" s="5"/>
      <c r="Q295" s="5"/>
      <c r="R295" s="5"/>
      <c r="S295" s="5"/>
      <c r="T295" s="2"/>
      <c r="U295" s="5"/>
      <c r="V295" s="5"/>
      <c r="W295" s="2"/>
      <c r="X295" s="2"/>
    </row>
    <row r="296" spans="16:24" x14ac:dyDescent="0.2">
      <c r="P296" s="5"/>
      <c r="Q296" s="5"/>
      <c r="R296" s="5"/>
      <c r="S296" s="5"/>
      <c r="T296" s="2"/>
      <c r="U296" s="5"/>
      <c r="V296" s="5"/>
      <c r="W296" s="2"/>
      <c r="X296" s="2"/>
    </row>
    <row r="297" spans="16:24" x14ac:dyDescent="0.2">
      <c r="P297" s="5"/>
      <c r="Q297" s="5"/>
      <c r="R297" s="5"/>
      <c r="S297" s="5"/>
      <c r="T297" s="2"/>
      <c r="U297" s="5"/>
      <c r="V297" s="5"/>
      <c r="W297" s="2"/>
      <c r="X297" s="2"/>
    </row>
    <row r="298" spans="16:24" x14ac:dyDescent="0.2">
      <c r="P298" s="5"/>
      <c r="Q298" s="5"/>
      <c r="R298" s="5"/>
      <c r="S298" s="5"/>
      <c r="T298" s="2"/>
      <c r="U298" s="5"/>
      <c r="V298" s="5"/>
      <c r="W298" s="2"/>
      <c r="X298" s="2"/>
    </row>
  </sheetData>
  <mergeCells count="42">
    <mergeCell ref="U56:W56"/>
    <mergeCell ref="L57:N57"/>
    <mergeCell ref="O57:Q57"/>
    <mergeCell ref="R57:T57"/>
    <mergeCell ref="U57:W57"/>
    <mergeCell ref="R56:T56"/>
    <mergeCell ref="I41:I52"/>
    <mergeCell ref="J41:J52"/>
    <mergeCell ref="C53:J55"/>
    <mergeCell ref="L56:N56"/>
    <mergeCell ref="O56:Q56"/>
    <mergeCell ref="C41:C52"/>
    <mergeCell ref="D41:D52"/>
    <mergeCell ref="E41:E52"/>
    <mergeCell ref="F41:F52"/>
    <mergeCell ref="G41:G52"/>
    <mergeCell ref="H41:H52"/>
    <mergeCell ref="I17:I28"/>
    <mergeCell ref="J17:J28"/>
    <mergeCell ref="C29:C40"/>
    <mergeCell ref="D29:D40"/>
    <mergeCell ref="E29:E40"/>
    <mergeCell ref="F29:F40"/>
    <mergeCell ref="G29:G40"/>
    <mergeCell ref="H29:H40"/>
    <mergeCell ref="I29:I40"/>
    <mergeCell ref="J29:J40"/>
    <mergeCell ref="C17:C28"/>
    <mergeCell ref="D17:D28"/>
    <mergeCell ref="E17:E28"/>
    <mergeCell ref="F17:F28"/>
    <mergeCell ref="G17:G28"/>
    <mergeCell ref="H17:H28"/>
    <mergeCell ref="C2:J4"/>
    <mergeCell ref="C5:C16"/>
    <mergeCell ref="D5:D16"/>
    <mergeCell ref="E5:E16"/>
    <mergeCell ref="F5:F16"/>
    <mergeCell ref="G5:G16"/>
    <mergeCell ref="H5:H16"/>
    <mergeCell ref="I5:I16"/>
    <mergeCell ref="J5:J16"/>
  </mergeCells>
  <phoneticPr fontId="4"/>
  <printOptions horizontalCentered="1"/>
  <pageMargins left="0.70866141732283472" right="0.70866141732283472" top="0.74803149606299213" bottom="0.74803149606299213" header="0.31496062992125984" footer="0.31496062992125984"/>
  <pageSetup paperSize="8" scale="7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7</vt:i4>
      </vt:variant>
    </vt:vector>
  </HeadingPairs>
  <TitlesOfParts>
    <vt:vector size="11" baseType="lpstr">
      <vt:lpstr>まとめ</vt:lpstr>
      <vt:lpstr>UAL常駐</vt:lpstr>
      <vt:lpstr>その他受託</vt:lpstr>
      <vt:lpstr>その他常駐</vt:lpstr>
      <vt:lpstr>UAL常駐!Print_Area</vt:lpstr>
      <vt:lpstr>その他受託!Print_Area</vt:lpstr>
      <vt:lpstr>その他常駐!Print_Area</vt:lpstr>
      <vt:lpstr>まとめ!Print_Area</vt:lpstr>
      <vt:lpstr>UAL常駐!Print_Titles</vt:lpstr>
      <vt:lpstr>その他受託!Print_Titles</vt:lpstr>
      <vt:lpstr>その他常駐!Print_Titles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2026-04-16T04:48:47Z</dcterms:modified>
</cp:coreProperties>
</file>