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売上管理\"/>
    </mc:Choice>
  </mc:AlternateContent>
  <xr:revisionPtr revIDLastSave="0" documentId="8_{A162AC83-67C0-45A4-A206-AF1D8E276B50}" xr6:coauthVersionLast="47" xr6:coauthVersionMax="47" xr10:uidLastSave="{00000000-0000-0000-0000-000000000000}"/>
  <bookViews>
    <workbookView xWindow="-110" yWindow="-110" windowWidth="25820" windowHeight="13900" activeTab="2" xr2:uid="{C7D9F99C-F745-43C1-A730-68D8133C1817}"/>
  </bookViews>
  <sheets>
    <sheet name="説明" sheetId="14" r:id="rId1"/>
    <sheet name="名簿" sheetId="3" r:id="rId2"/>
    <sheet name="操作画面" sheetId="2" r:id="rId3"/>
    <sheet name="チェック" sheetId="18" state="hidden" r:id="rId4"/>
    <sheet name="履歴管理" sheetId="1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7" i="2" l="1"/>
  <c r="G1" i="2" s="1"/>
  <c r="F1" i="2" l="1"/>
  <c r="D1" i="2" l="1"/>
  <c r="H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yamakawa</author>
  </authors>
  <commentList>
    <comment ref="D2" authorId="0" shapeId="0" xr:uid="{F213B19F-FFEE-4EDB-A67F-6B591C653051}">
      <text>
        <r>
          <rPr>
            <b/>
            <sz val="9"/>
            <color indexed="81"/>
            <rFont val="MS P ゴシック"/>
            <family val="3"/>
            <charset val="128"/>
          </rPr>
          <t>派遣：１
業務委託：０</t>
        </r>
      </text>
    </comment>
    <comment ref="I22" authorId="0" shapeId="0" xr:uid="{22F5FD16-F911-40E8-8116-010EEBEE6FA9}">
      <text>
        <r>
          <rPr>
            <b/>
            <sz val="9"/>
            <color indexed="81"/>
            <rFont val="MS P ゴシック"/>
            <family val="3"/>
            <charset val="128"/>
          </rPr>
          <t>派遣：１
業務委託：０</t>
        </r>
      </text>
    </comment>
  </commentList>
</comments>
</file>

<file path=xl/sharedStrings.xml><?xml version="1.0" encoding="utf-8"?>
<sst xmlns="http://schemas.openxmlformats.org/spreadsheetml/2006/main" count="524" uniqueCount="363">
  <si>
    <t>部門</t>
    <rPh sb="0" eb="2">
      <t>ブモン</t>
    </rPh>
    <phoneticPr fontId="2"/>
  </si>
  <si>
    <t>WorkSheet</t>
    <phoneticPr fontId="2"/>
  </si>
  <si>
    <t>UAL業務委託</t>
  </si>
  <si>
    <t>列調整</t>
    <rPh sb="0" eb="1">
      <t>レツ</t>
    </rPh>
    <rPh sb="1" eb="3">
      <t>チョウセイ</t>
    </rPh>
    <phoneticPr fontId="2"/>
  </si>
  <si>
    <t>種別</t>
    <rPh sb="0" eb="2">
      <t>シュベツ</t>
    </rPh>
    <phoneticPr fontId="2"/>
  </si>
  <si>
    <t>ワークシートの説明</t>
    <rPh sb="7" eb="9">
      <t>セツメイ</t>
    </rPh>
    <phoneticPr fontId="2"/>
  </si>
  <si>
    <t>名簿</t>
    <rPh sb="0" eb="2">
      <t>メイボ</t>
    </rPh>
    <phoneticPr fontId="2"/>
  </si>
  <si>
    <t>操作画面</t>
    <rPh sb="0" eb="4">
      <t>ソウサガメン</t>
    </rPh>
    <phoneticPr fontId="2"/>
  </si>
  <si>
    <t>ワークシート名</t>
    <rPh sb="6" eb="7">
      <t>メイ</t>
    </rPh>
    <phoneticPr fontId="2"/>
  </si>
  <si>
    <t>説明</t>
    <rPh sb="0" eb="2">
      <t>セツメイ</t>
    </rPh>
    <phoneticPr fontId="2"/>
  </si>
  <si>
    <t>営業が管理するワークブックとワークシートの一覧です。このリストに在る情報を収集します。「集計表作成」ボタンを押すとデータを収集します。</t>
    <rPh sb="0" eb="2">
      <t>エイギョウ</t>
    </rPh>
    <rPh sb="3" eb="5">
      <t>カンリ</t>
    </rPh>
    <rPh sb="21" eb="23">
      <t>イチラン</t>
    </rPh>
    <rPh sb="32" eb="33">
      <t>ア</t>
    </rPh>
    <rPh sb="34" eb="36">
      <t>ジョウホウ</t>
    </rPh>
    <rPh sb="37" eb="39">
      <t>シュウシュウ</t>
    </rPh>
    <rPh sb="44" eb="47">
      <t>シュウケイヒョウ</t>
    </rPh>
    <rPh sb="47" eb="49">
      <t>サクセイ</t>
    </rPh>
    <rPh sb="54" eb="55">
      <t>オ</t>
    </rPh>
    <rPh sb="61" eb="63">
      <t>シュウシュウ</t>
    </rPh>
    <phoneticPr fontId="2"/>
  </si>
  <si>
    <t>ワークシートの色</t>
    <rPh sb="7" eb="8">
      <t>イロ</t>
    </rPh>
    <phoneticPr fontId="2"/>
  </si>
  <si>
    <t>赤</t>
    <rPh sb="0" eb="1">
      <t>アカ</t>
    </rPh>
    <phoneticPr fontId="2"/>
  </si>
  <si>
    <t>アウトプットデータ</t>
    <phoneticPr fontId="2"/>
  </si>
  <si>
    <t>黄色</t>
    <rPh sb="0" eb="2">
      <t>キイロ</t>
    </rPh>
    <phoneticPr fontId="2"/>
  </si>
  <si>
    <t>緑色</t>
    <rPh sb="0" eb="2">
      <t>ミドリイロ</t>
    </rPh>
    <phoneticPr fontId="2"/>
  </si>
  <si>
    <t>定期的に更新するデータ</t>
    <rPh sb="0" eb="3">
      <t>テイキテキ</t>
    </rPh>
    <rPh sb="4" eb="6">
      <t>コウシン</t>
    </rPh>
    <phoneticPr fontId="2"/>
  </si>
  <si>
    <t>必要があれば更新するデータ</t>
    <rPh sb="0" eb="2">
      <t>ヒツヨウ</t>
    </rPh>
    <rPh sb="6" eb="8">
      <t>コウシン</t>
    </rPh>
    <phoneticPr fontId="2"/>
  </si>
  <si>
    <t>灰色</t>
    <rPh sb="0" eb="2">
      <t>ハイイロ</t>
    </rPh>
    <phoneticPr fontId="2"/>
  </si>
  <si>
    <t>中間的にできるデータ</t>
    <rPh sb="0" eb="3">
      <t>チュウカンテキ</t>
    </rPh>
    <phoneticPr fontId="2"/>
  </si>
  <si>
    <t>白色</t>
    <rPh sb="0" eb="2">
      <t>シロイロ</t>
    </rPh>
    <phoneticPr fontId="2"/>
  </si>
  <si>
    <t>説明書</t>
    <rPh sb="0" eb="3">
      <t>セツメイショ</t>
    </rPh>
    <phoneticPr fontId="2"/>
  </si>
  <si>
    <t>データの性格</t>
    <rPh sb="4" eb="6">
      <t>セイカク</t>
    </rPh>
    <phoneticPr fontId="2"/>
  </si>
  <si>
    <t>UAL業務委託</t>
    <phoneticPr fontId="2"/>
  </si>
  <si>
    <t>freee集計</t>
  </si>
  <si>
    <t>データ書き込み先</t>
    <rPh sb="3" eb="4">
      <t>カ</t>
    </rPh>
    <rPh sb="5" eb="6">
      <t>コ</t>
    </rPh>
    <rPh sb="7" eb="8">
      <t>サキ</t>
    </rPh>
    <phoneticPr fontId="2"/>
  </si>
  <si>
    <t>データ書き込み元</t>
    <rPh sb="3" eb="4">
      <t>カ</t>
    </rPh>
    <rPh sb="5" eb="6">
      <t>コ</t>
    </rPh>
    <rPh sb="7" eb="8">
      <t>モト</t>
    </rPh>
    <phoneticPr fontId="2"/>
  </si>
  <si>
    <t>売上</t>
    <rPh sb="0" eb="2">
      <t>ウリアゲ</t>
    </rPh>
    <phoneticPr fontId="2"/>
  </si>
  <si>
    <t>経費</t>
    <rPh sb="0" eb="2">
      <t>ケイヒ</t>
    </rPh>
    <phoneticPr fontId="2"/>
  </si>
  <si>
    <t>R2</t>
    <phoneticPr fontId="2"/>
  </si>
  <si>
    <t>R3</t>
    <phoneticPr fontId="2"/>
  </si>
  <si>
    <t>R4</t>
    <phoneticPr fontId="2"/>
  </si>
  <si>
    <t>締日</t>
    <rPh sb="0" eb="2">
      <t>シメビ</t>
    </rPh>
    <phoneticPr fontId="2"/>
  </si>
  <si>
    <t>Ver3</t>
    <phoneticPr fontId="2"/>
  </si>
  <si>
    <t>Ver2</t>
    <phoneticPr fontId="2"/>
  </si>
  <si>
    <t>rev1</t>
  </si>
  <si>
    <t>本日の日付</t>
    <rPh sb="0" eb="2">
      <t>ホンジツ</t>
    </rPh>
    <rPh sb="3" eb="5">
      <t>ヒヅケ</t>
    </rPh>
    <phoneticPr fontId="2"/>
  </si>
  <si>
    <t>Ver4</t>
  </si>
  <si>
    <t>S&amp;I</t>
  </si>
  <si>
    <t>Ericson</t>
  </si>
  <si>
    <t>ソフトバンク</t>
  </si>
  <si>
    <t>コムチュア</t>
  </si>
  <si>
    <t>NI+C</t>
  </si>
  <si>
    <t>ジャステック</t>
  </si>
  <si>
    <t>EXA</t>
  </si>
  <si>
    <t>フォーカスシステムズ</t>
  </si>
  <si>
    <t>マンパワー</t>
  </si>
  <si>
    <t>ネオアクシス</t>
  </si>
  <si>
    <t>ストラタス</t>
  </si>
  <si>
    <t>SDC</t>
  </si>
  <si>
    <t>BBS</t>
  </si>
  <si>
    <t>Other</t>
  </si>
  <si>
    <t>その他</t>
    <rPh sb="2" eb="3">
      <t>タ</t>
    </rPh>
    <phoneticPr fontId="2"/>
  </si>
  <si>
    <t>Z:\売上管理\2021年\2021年度営業実績（その他)のコピー.xlsx</t>
  </si>
  <si>
    <t>氏 名</t>
  </si>
  <si>
    <t>営業が管理するワークシートのデータ収集に使う社員番号と、freeeの実績収集に使う従業員名の紐付け表です。原簿（H1)のファイルからコピーします。</t>
    <rPh sb="0" eb="2">
      <t>エイギョウ</t>
    </rPh>
    <rPh sb="3" eb="5">
      <t>カンリ</t>
    </rPh>
    <rPh sb="17" eb="19">
      <t>シュウシュウ</t>
    </rPh>
    <rPh sb="20" eb="21">
      <t>ツカ</t>
    </rPh>
    <rPh sb="22" eb="24">
      <t>シャイン</t>
    </rPh>
    <rPh sb="24" eb="26">
      <t>バンゴウ</t>
    </rPh>
    <rPh sb="34" eb="36">
      <t>ジッセキ</t>
    </rPh>
    <rPh sb="36" eb="38">
      <t>シュウシュウ</t>
    </rPh>
    <rPh sb="39" eb="40">
      <t>ツカ</t>
    </rPh>
    <rPh sb="41" eb="44">
      <t>ジュウギョウイン</t>
    </rPh>
    <rPh sb="44" eb="45">
      <t>メイ</t>
    </rPh>
    <rPh sb="46" eb="48">
      <t>ヒモヅ</t>
    </rPh>
    <rPh sb="49" eb="50">
      <t>ヒョウ</t>
    </rPh>
    <rPh sb="53" eb="55">
      <t>ゲンボ</t>
    </rPh>
    <phoneticPr fontId="2"/>
  </si>
  <si>
    <t>履歴管理</t>
    <rPh sb="0" eb="2">
      <t>リレキ</t>
    </rPh>
    <rPh sb="2" eb="4">
      <t>カンリ</t>
    </rPh>
    <phoneticPr fontId="2"/>
  </si>
  <si>
    <t>給与情報管理ファイルのバージョン履歴を管理します。経費の収集に関係します。</t>
    <rPh sb="0" eb="2">
      <t>キュウヨ</t>
    </rPh>
    <rPh sb="2" eb="4">
      <t>ジョウホウ</t>
    </rPh>
    <rPh sb="4" eb="6">
      <t>カンリ</t>
    </rPh>
    <rPh sb="16" eb="18">
      <t>リレキ</t>
    </rPh>
    <rPh sb="19" eb="21">
      <t>カンリ</t>
    </rPh>
    <rPh sb="25" eb="27">
      <t>ケイヒ</t>
    </rPh>
    <rPh sb="28" eb="30">
      <t>シュウシュウ</t>
    </rPh>
    <rPh sb="31" eb="33">
      <t>カンケイ</t>
    </rPh>
    <phoneticPr fontId="2"/>
  </si>
  <si>
    <t>Ver5</t>
    <phoneticPr fontId="2"/>
  </si>
  <si>
    <t>R5</t>
    <phoneticPr fontId="2"/>
  </si>
  <si>
    <t>山川 拓也</t>
  </si>
  <si>
    <t>村山 恵子</t>
  </si>
  <si>
    <t>友納 英彦</t>
  </si>
  <si>
    <t>岡村 大士</t>
  </si>
  <si>
    <t>齋藤 公伸</t>
  </si>
  <si>
    <t>畑中 竜哉</t>
  </si>
  <si>
    <t>林田 昌弘</t>
  </si>
  <si>
    <t>松﨑 朋子</t>
  </si>
  <si>
    <t>宮城 楽</t>
  </si>
  <si>
    <t>池田 祐也</t>
  </si>
  <si>
    <t>市川 正人</t>
  </si>
  <si>
    <t>大貫 崇</t>
  </si>
  <si>
    <t>尾川 大地</t>
  </si>
  <si>
    <t>菊池 大介</t>
  </si>
  <si>
    <t>椎津 拓也</t>
  </si>
  <si>
    <t>柴田 和浩</t>
  </si>
  <si>
    <t>横山 弘樹</t>
  </si>
  <si>
    <t>岩崎 小太郎</t>
  </si>
  <si>
    <t>菱田 舞</t>
  </si>
  <si>
    <t>加納 智子</t>
  </si>
  <si>
    <t>佐藤 有紀</t>
  </si>
  <si>
    <t>寺山 枝美</t>
  </si>
  <si>
    <t>守屋 圭祐</t>
  </si>
  <si>
    <t>渡邊 和紀</t>
  </si>
  <si>
    <t>梅本 剛史</t>
  </si>
  <si>
    <t>大坂 智亮</t>
  </si>
  <si>
    <t>大森 裕介</t>
  </si>
  <si>
    <t>小林 快暢</t>
  </si>
  <si>
    <t>佐藤 泰亮</t>
  </si>
  <si>
    <t>篠崎 透</t>
  </si>
  <si>
    <t>菅原 伸</t>
  </si>
  <si>
    <t>高岩 猛</t>
  </si>
  <si>
    <t>土屋 剛</t>
  </si>
  <si>
    <t>馬場 直人</t>
  </si>
  <si>
    <t>福田 和宏</t>
  </si>
  <si>
    <t>宮嵜 貴弘</t>
  </si>
  <si>
    <t>山越 祥子</t>
  </si>
  <si>
    <t>吉田 英伸</t>
  </si>
  <si>
    <t>渡辺 聖</t>
  </si>
  <si>
    <t>井澤 嘉謙</t>
  </si>
  <si>
    <t>伊藤 淳</t>
  </si>
  <si>
    <t>伊東 弘子</t>
  </si>
  <si>
    <t>及川 伸也</t>
  </si>
  <si>
    <t>大坪 淳一</t>
  </si>
  <si>
    <t>大村 慶</t>
  </si>
  <si>
    <t>小山 和男</t>
  </si>
  <si>
    <t>佐野 貴司</t>
  </si>
  <si>
    <t>蒋 晨</t>
  </si>
  <si>
    <t>竹山 真人</t>
  </si>
  <si>
    <t>高橋 和紀</t>
  </si>
  <si>
    <t>常陸 晋</t>
  </si>
  <si>
    <t>福家 寛昭</t>
  </si>
  <si>
    <t>藤田 秀紀</t>
  </si>
  <si>
    <t>山岡 大祐</t>
  </si>
  <si>
    <t>伊藤 清香</t>
  </si>
  <si>
    <t>加藤 昌</t>
  </si>
  <si>
    <t>中村 淳一</t>
  </si>
  <si>
    <t>石島 久靖</t>
  </si>
  <si>
    <t>出澤 信晃</t>
  </si>
  <si>
    <t>岡崎 修司</t>
  </si>
  <si>
    <t>熊崎 俊輔</t>
  </si>
  <si>
    <t>菅原 孝</t>
  </si>
  <si>
    <t>田村 栄和</t>
  </si>
  <si>
    <t>中野 弘昭</t>
  </si>
  <si>
    <t>奈良 隆宏</t>
  </si>
  <si>
    <t>二宮 正年</t>
  </si>
  <si>
    <t>福永 秀策</t>
  </si>
  <si>
    <t>細川 昌広</t>
  </si>
  <si>
    <t>柳 優也</t>
  </si>
  <si>
    <t>有田 功太郎</t>
  </si>
  <si>
    <t>小田桐 豊</t>
  </si>
  <si>
    <t>矢嶋 哲</t>
  </si>
  <si>
    <t>鈴木 将直</t>
  </si>
  <si>
    <t>松井 浩二</t>
  </si>
  <si>
    <t>中澤 寿代</t>
  </si>
  <si>
    <t>中山 史也</t>
  </si>
  <si>
    <t>谷米 朋子</t>
  </si>
  <si>
    <t>工田 弥也人</t>
  </si>
  <si>
    <t>斉藤 慎吾</t>
  </si>
  <si>
    <t>中野 久仁子</t>
  </si>
  <si>
    <t>横關 優</t>
  </si>
  <si>
    <t>太田 裕一</t>
  </si>
  <si>
    <t>王 智勇</t>
  </si>
  <si>
    <t>大場 洋平</t>
  </si>
  <si>
    <t>飯田 有一</t>
  </si>
  <si>
    <t>小沼 怜花</t>
  </si>
  <si>
    <t>田中 優太郎</t>
  </si>
  <si>
    <t>谷口 貴朗</t>
  </si>
  <si>
    <t>永山 祐介</t>
  </si>
  <si>
    <t>斉藤 ひとみ</t>
  </si>
  <si>
    <t>河城 和光</t>
  </si>
  <si>
    <t>安藤 奈奈</t>
  </si>
  <si>
    <t>二階堂 明</t>
  </si>
  <si>
    <t>鶴見 幸枝</t>
  </si>
  <si>
    <t>宮川 紋</t>
  </si>
  <si>
    <t>築城 捷人</t>
  </si>
  <si>
    <t>田口 邦敏</t>
  </si>
  <si>
    <t>山下 裕太</t>
  </si>
  <si>
    <t>上原 奏吾</t>
  </si>
  <si>
    <t>西郷 育子</t>
  </si>
  <si>
    <t>清水石 美咲</t>
  </si>
  <si>
    <t>山城 祐貴</t>
  </si>
  <si>
    <t>佐藤 兼一</t>
  </si>
  <si>
    <t>林 拓史</t>
  </si>
  <si>
    <t>草間 拓哉</t>
  </si>
  <si>
    <t>川上 智志</t>
  </si>
  <si>
    <t>河下 祐輝</t>
  </si>
  <si>
    <t>佐藤 克洋</t>
  </si>
  <si>
    <t>有本 美雪</t>
  </si>
  <si>
    <t>須山 宏行</t>
  </si>
  <si>
    <t>住吉 健一</t>
  </si>
  <si>
    <t>川崎 誉知</t>
  </si>
  <si>
    <t>塩川 浩生</t>
  </si>
  <si>
    <t>阿部 涼平</t>
  </si>
  <si>
    <t>岩崎 敬司</t>
  </si>
  <si>
    <t>灘部 美希</t>
  </si>
  <si>
    <t>板橋 由明</t>
  </si>
  <si>
    <t>鈴木 雅史</t>
  </si>
  <si>
    <t>遠山 淳一</t>
  </si>
  <si>
    <t>水谷 友紀</t>
  </si>
  <si>
    <t>佐藤 清</t>
  </si>
  <si>
    <t>申 貴樹</t>
  </si>
  <si>
    <t>田村 昂之</t>
  </si>
  <si>
    <t>田部井 文明</t>
  </si>
  <si>
    <t>佐伯 親政</t>
  </si>
  <si>
    <t>村上 佳隆</t>
  </si>
  <si>
    <t>須田 真由美</t>
  </si>
  <si>
    <t>平良 菜津子</t>
  </si>
  <si>
    <t>小林 拓己</t>
  </si>
  <si>
    <t>二神 啓城</t>
  </si>
  <si>
    <t>片岡 康平</t>
  </si>
  <si>
    <t>工藤 大輝</t>
  </si>
  <si>
    <t>潘 雨晴</t>
  </si>
  <si>
    <t>井戸 将太</t>
  </si>
  <si>
    <t>相良 純</t>
  </si>
  <si>
    <t>野田 祐介</t>
  </si>
  <si>
    <t>衣笠 博陽</t>
  </si>
  <si>
    <t>橋本 昌明</t>
  </si>
  <si>
    <t>大石 朝ノ介</t>
  </si>
  <si>
    <t>澤田 耕次</t>
  </si>
  <si>
    <t>川口 祐ノ輔</t>
  </si>
  <si>
    <t>小泉 玲奈</t>
  </si>
  <si>
    <t>松浦 秀俊</t>
  </si>
  <si>
    <t>東 昭夫</t>
  </si>
  <si>
    <t>山本 良博</t>
  </si>
  <si>
    <t>稲場 直哉</t>
  </si>
  <si>
    <t>岩元 博</t>
  </si>
  <si>
    <t>MAHARJAN RAMITA</t>
  </si>
  <si>
    <t>織田 佳穂</t>
  </si>
  <si>
    <t>漆間 悠生</t>
  </si>
  <si>
    <t>政 克二</t>
  </si>
  <si>
    <t>桂川 昌治</t>
  </si>
  <si>
    <t>福田 玲也</t>
  </si>
  <si>
    <t>NAKARMI SUDARSHAN</t>
  </si>
  <si>
    <t>梅川 敦</t>
  </si>
  <si>
    <t>小嶋 桃子</t>
  </si>
  <si>
    <t>新井 結貴</t>
  </si>
  <si>
    <t>中馬 康敬</t>
  </si>
  <si>
    <t>清水 かのん</t>
  </si>
  <si>
    <t>佐藤 大樹</t>
  </si>
  <si>
    <t>小林 稔</t>
  </si>
  <si>
    <t>奥田 理一</t>
  </si>
  <si>
    <t>福島 生夢</t>
  </si>
  <si>
    <t>江成 隆二</t>
  </si>
  <si>
    <t>井料 香凜</t>
  </si>
  <si>
    <t>諫山 幸枝</t>
  </si>
  <si>
    <t>前川 大輔</t>
  </si>
  <si>
    <t>大塚 徹</t>
  </si>
  <si>
    <t>祝 洋佑</t>
  </si>
  <si>
    <t>張 栄昶</t>
  </si>
  <si>
    <t>小林 友明</t>
  </si>
  <si>
    <t>三谷 一志</t>
  </si>
  <si>
    <t>吉田 尚也</t>
  </si>
  <si>
    <t>古川 真由美</t>
  </si>
  <si>
    <t>川北 修</t>
  </si>
  <si>
    <t>YAN CHUN</t>
  </si>
  <si>
    <t>R6</t>
  </si>
  <si>
    <t>佐藤 英二</t>
  </si>
  <si>
    <t>村岡 響輝</t>
  </si>
  <si>
    <t>小池 裕也</t>
  </si>
  <si>
    <t>朴 ハヌル</t>
  </si>
  <si>
    <t>jinjer_給与支給控除項目一覧表</t>
    <phoneticPr fontId="2"/>
  </si>
  <si>
    <t>R7</t>
    <phoneticPr fontId="2"/>
  </si>
  <si>
    <t>R8</t>
    <phoneticPr fontId="2"/>
  </si>
  <si>
    <t>佐藤 賢吾</t>
  </si>
  <si>
    <t>牧野 大貴</t>
  </si>
  <si>
    <t>冨安 昭彦</t>
  </si>
  <si>
    <t>社員番号</t>
  </si>
  <si>
    <t>Ver Martin</t>
  </si>
  <si>
    <t>内山 晴美</t>
  </si>
  <si>
    <t>森本 尚美</t>
  </si>
  <si>
    <t>鄭 又瑋</t>
  </si>
  <si>
    <t>草野 翔多</t>
  </si>
  <si>
    <t>和田 康平</t>
  </si>
  <si>
    <t>菅野 弘治</t>
  </si>
  <si>
    <t>砂子 領吾</t>
  </si>
  <si>
    <t>林 香織</t>
  </si>
  <si>
    <t>及川 孝明</t>
  </si>
  <si>
    <t>張 瀛</t>
  </si>
  <si>
    <t>矢野 瑞穂</t>
  </si>
  <si>
    <t>石下 智也</t>
  </si>
  <si>
    <t>小林 伸枝</t>
  </si>
  <si>
    <t>亘 瑛斗</t>
  </si>
  <si>
    <t>日馬 健太</t>
  </si>
  <si>
    <t>高田 理沙</t>
  </si>
  <si>
    <t>山田 楓</t>
  </si>
  <si>
    <t>瀬川 真宙</t>
  </si>
  <si>
    <t>光井 信三</t>
  </si>
  <si>
    <t>澁谷 勝徳</t>
  </si>
  <si>
    <t>西村 稔</t>
  </si>
  <si>
    <t>藤本 明奈</t>
  </si>
  <si>
    <t>木村 浩一郎</t>
  </si>
  <si>
    <t>大北 将司</t>
  </si>
  <si>
    <t>山口 太雅</t>
  </si>
  <si>
    <t>林 玲穏</t>
  </si>
  <si>
    <t>岡野 航</t>
  </si>
  <si>
    <t>国見マテウス ツヨシ</t>
  </si>
  <si>
    <t>千代田 昭広</t>
  </si>
  <si>
    <t>藤本 まさし</t>
  </si>
  <si>
    <t>鈴木 夢吏</t>
  </si>
  <si>
    <t>平澤 愛永</t>
  </si>
  <si>
    <t>長尾 藍</t>
  </si>
  <si>
    <t>湯川 泰成</t>
  </si>
  <si>
    <t>山長 仁</t>
  </si>
  <si>
    <t>片山 知世</t>
  </si>
  <si>
    <t>吉原 大将</t>
  </si>
  <si>
    <t>藤原 優太</t>
  </si>
  <si>
    <t>遠田 恭実</t>
  </si>
  <si>
    <t>山本 千加</t>
  </si>
  <si>
    <t>坂本 周斗</t>
  </si>
  <si>
    <t>塚本 靖</t>
  </si>
  <si>
    <t>柿副 善夫</t>
  </si>
  <si>
    <t>清水 甚一郎</t>
  </si>
  <si>
    <t>木下 裕一</t>
  </si>
  <si>
    <t>佐野 祥之</t>
  </si>
  <si>
    <t>西川 真理</t>
  </si>
  <si>
    <t>千葉 祐介</t>
  </si>
  <si>
    <t>大堀 広智</t>
  </si>
  <si>
    <t>八木 聖響</t>
  </si>
  <si>
    <t>小島 光晶</t>
  </si>
  <si>
    <t>河端 桂大</t>
    <phoneticPr fontId="2"/>
  </si>
  <si>
    <t>代田 拓也</t>
    <phoneticPr fontId="2"/>
  </si>
  <si>
    <t>能美 龍郎</t>
    <phoneticPr fontId="2"/>
  </si>
  <si>
    <t>森嶋 春香</t>
    <phoneticPr fontId="2"/>
  </si>
  <si>
    <t>石川 樹</t>
    <phoneticPr fontId="2"/>
  </si>
  <si>
    <t>加藤 英人</t>
  </si>
  <si>
    <t>瀧澤 智也</t>
  </si>
  <si>
    <t>森田 恭介</t>
  </si>
  <si>
    <t>後藤 広樹</t>
  </si>
  <si>
    <t>大藪 叡</t>
  </si>
  <si>
    <t>Z:\NetMarks\FY2025\新総合計請求書.xlsm</t>
    <phoneticPr fontId="2"/>
  </si>
  <si>
    <t>藤川 颯人</t>
    <phoneticPr fontId="2"/>
  </si>
  <si>
    <t>吉田 大輝</t>
    <phoneticPr fontId="2"/>
  </si>
  <si>
    <t>長井 佑樹</t>
    <phoneticPr fontId="2"/>
  </si>
  <si>
    <t>吉田 拓矢</t>
    <phoneticPr fontId="2"/>
  </si>
  <si>
    <t>井上 佐加江</t>
  </si>
  <si>
    <t>茂木 和香奈</t>
    <phoneticPr fontId="2"/>
  </si>
  <si>
    <t>及川 航平</t>
    <phoneticPr fontId="2"/>
  </si>
  <si>
    <t>西亀 和弘</t>
    <phoneticPr fontId="2"/>
  </si>
  <si>
    <t>西園寺 ヤマト</t>
    <phoneticPr fontId="2"/>
  </si>
  <si>
    <t>村山 真紀</t>
    <phoneticPr fontId="2"/>
  </si>
  <si>
    <t>谷口 莉央</t>
    <phoneticPr fontId="2"/>
  </si>
  <si>
    <t>西村 勇佑</t>
    <phoneticPr fontId="2"/>
  </si>
  <si>
    <t>平野 梨奈</t>
    <phoneticPr fontId="2"/>
  </si>
  <si>
    <t>杉原 司</t>
    <phoneticPr fontId="2"/>
  </si>
  <si>
    <t>中村 元</t>
    <phoneticPr fontId="2"/>
  </si>
  <si>
    <t>松岡 竜也</t>
    <phoneticPr fontId="2"/>
  </si>
  <si>
    <t>内田 嘉敬</t>
  </si>
  <si>
    <t>奥山 昌苗</t>
  </si>
  <si>
    <t>戸松 乃天</t>
  </si>
  <si>
    <t>山田 友輔</t>
  </si>
  <si>
    <t>池村 重里</t>
  </si>
  <si>
    <t>岡崎 信雄</t>
  </si>
  <si>
    <t>小原 正大</t>
  </si>
  <si>
    <t>渡会 一利</t>
  </si>
  <si>
    <t>岡田 翔太</t>
  </si>
  <si>
    <t>太田 琢也</t>
  </si>
  <si>
    <t>林 広美</t>
  </si>
  <si>
    <t>大坪 潤之輔</t>
  </si>
  <si>
    <t>山田 大海</t>
  </si>
  <si>
    <t>佐久間 歩</t>
  </si>
  <si>
    <t>小助川 通</t>
  </si>
  <si>
    <t>山下 和哉</t>
  </si>
  <si>
    <t>玉置 倭都</t>
  </si>
  <si>
    <t>稲田 真勢</t>
  </si>
  <si>
    <t>柳場 涼馬</t>
  </si>
  <si>
    <t>（新谷亮平）</t>
  </si>
  <si>
    <t>（木下征史）</t>
  </si>
  <si>
    <t>（岩崎拓海）</t>
  </si>
  <si>
    <t>基本給取得シート</t>
    <rPh sb="0" eb="3">
      <t>キホンキュウ</t>
    </rPh>
    <rPh sb="3" eb="5">
      <t>シュトク</t>
    </rPh>
    <phoneticPr fontId="2"/>
  </si>
  <si>
    <t>Y:\給与明細\R8年\3月\jinjer_給与計算⇒freee登録データ作成新Vertaira.xlsm</t>
    <phoneticPr fontId="2"/>
  </si>
  <si>
    <t>jinjer給与修正用</t>
    <phoneticPr fontId="2"/>
  </si>
  <si>
    <t>UAL</t>
  </si>
  <si>
    <t>2026/04/21 13:14:13完了</t>
    <phoneticPr fontId="2"/>
  </si>
  <si>
    <t>FS</t>
    <phoneticPr fontId="2"/>
  </si>
  <si>
    <t>SI</t>
    <phoneticPr fontId="2"/>
  </si>
  <si>
    <t>ホンダ</t>
    <phoneticPr fontId="2"/>
  </si>
  <si>
    <t>その他</t>
    <phoneticPr fontId="2"/>
  </si>
  <si>
    <t>Z:\売上管理\2026年\2026年度営業実績（UAL).xlsx</t>
  </si>
  <si>
    <t>Z:\売上管理\2026年\2026年営業実績（FS業務).xlsx</t>
  </si>
  <si>
    <t>Z:\売上管理\2026年\2026年営業実績（SI業務).xlsx</t>
  </si>
  <si>
    <t>Z:\売上管理\2026年\2026年営業実績（ホンダ業務).xlsx</t>
  </si>
  <si>
    <t>Z:\売上管理\2026年\2026年度営業実績（その他).xlsx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</si>
</sst>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0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20"/>
      <color theme="1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0"/>
      <color theme="1"/>
      <name val="ＭＳ Ｐ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indexed="8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0.5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5" fillId="0" borderId="0"/>
    <xf numFmtId="0" fontId="11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8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0" borderId="8" xfId="0" applyBorder="1">
      <alignment vertical="center"/>
    </xf>
    <xf numFmtId="0" fontId="0" fillId="4" borderId="7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10" xfId="0" applyBorder="1">
      <alignment vertical="center"/>
    </xf>
    <xf numFmtId="0" fontId="6" fillId="3" borderId="11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9" xfId="0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distributed" vertical="center" indent="10"/>
    </xf>
    <xf numFmtId="0" fontId="0" fillId="7" borderId="4" xfId="0" applyFill="1" applyBorder="1" applyAlignment="1">
      <alignment vertical="center" wrapText="1"/>
    </xf>
    <xf numFmtId="0" fontId="0" fillId="7" borderId="5" xfId="0" applyFill="1" applyBorder="1" applyAlignment="1">
      <alignment vertical="center" wrapText="1"/>
    </xf>
    <xf numFmtId="0" fontId="0" fillId="7" borderId="6" xfId="0" applyFill="1" applyBorder="1" applyAlignment="1">
      <alignment vertical="center" wrapText="1"/>
    </xf>
    <xf numFmtId="0" fontId="7" fillId="5" borderId="7" xfId="0" applyFont="1" applyFill="1" applyBorder="1" applyAlignment="1">
      <alignment horizontal="distributed" vertical="center" indent="1"/>
    </xf>
    <xf numFmtId="0" fontId="7" fillId="5" borderId="11" xfId="0" applyFont="1" applyFill="1" applyBorder="1" applyAlignment="1">
      <alignment horizontal="distributed" vertical="center" indent="1"/>
    </xf>
    <xf numFmtId="14" fontId="0" fillId="0" borderId="0" xfId="0" applyNumberFormat="1">
      <alignment vertical="center"/>
    </xf>
    <xf numFmtId="0" fontId="10" fillId="0" borderId="0" xfId="0" applyFont="1" applyAlignment="1"/>
    <xf numFmtId="38" fontId="11" fillId="0" borderId="0" xfId="3" applyNumberFormat="1">
      <alignment vertical="center"/>
    </xf>
    <xf numFmtId="0" fontId="0" fillId="0" borderId="1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38" fontId="0" fillId="0" borderId="3" xfId="1" applyFont="1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0" fontId="12" fillId="0" borderId="0" xfId="0" applyFont="1">
      <alignment vertical="center"/>
    </xf>
    <xf numFmtId="38" fontId="0" fillId="0" borderId="0" xfId="1" applyFont="1" applyFill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7" fillId="8" borderId="7" xfId="0" applyFont="1" applyFill="1" applyBorder="1" applyAlignment="1">
      <alignment horizontal="distributed" vertical="center" indent="1"/>
    </xf>
    <xf numFmtId="0" fontId="13" fillId="0" borderId="0" xfId="0" applyFont="1">
      <alignment vertical="center"/>
    </xf>
    <xf numFmtId="0" fontId="0" fillId="0" borderId="0" xfId="0" applyAlignment="1">
      <alignment vertical="center" shrinkToFit="1"/>
    </xf>
    <xf numFmtId="38" fontId="14" fillId="0" borderId="0" xfId="1" applyFont="1" applyAlignment="1">
      <alignment horizontal="center" vertical="center"/>
    </xf>
    <xf numFmtId="38" fontId="14" fillId="0" borderId="0" xfId="1" applyFont="1">
      <alignment vertical="center"/>
    </xf>
    <xf numFmtId="0" fontId="15" fillId="0" borderId="0" xfId="2" applyFont="1" applyAlignment="1">
      <alignment vertical="center"/>
    </xf>
    <xf numFmtId="0" fontId="15" fillId="0" borderId="0" xfId="2" applyFont="1" applyAlignment="1">
      <alignment horizontal="left" vertical="center"/>
    </xf>
    <xf numFmtId="0" fontId="13" fillId="0" borderId="0" xfId="0" applyFont="1" applyAlignment="1"/>
    <xf numFmtId="0" fontId="13" fillId="0" borderId="0" xfId="0" applyFont="1" applyAlignment="1">
      <alignment horizontal="left" vertical="center"/>
    </xf>
    <xf numFmtId="0" fontId="16" fillId="0" borderId="0" xfId="0" applyFont="1" applyAlignment="1"/>
  </cellXfs>
  <cellStyles count="4">
    <cellStyle name="ハイパーリンク" xfId="3" builtinId="8"/>
    <cellStyle name="桁区切り" xfId="1" builtinId="6"/>
    <cellStyle name="標準" xfId="0" builtinId="0"/>
    <cellStyle name="標準 2 2" xfId="2" xr:uid="{36379D97-4967-4368-A930-699931E92D0F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488950</xdr:colOff>
          <xdr:row>0</xdr:row>
          <xdr:rowOff>76200</xdr:rowOff>
        </xdr:from>
        <xdr:to>
          <xdr:col>0</xdr:col>
          <xdr:colOff>1263650</xdr:colOff>
          <xdr:row>0</xdr:row>
          <xdr:rowOff>558800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書込開始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240030</xdr:colOff>
      <xdr:row>7</xdr:row>
      <xdr:rowOff>125730</xdr:rowOff>
    </xdr:from>
    <xdr:ext cx="184731" cy="264560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755505" y="210693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406400</xdr:colOff>
          <xdr:row>0</xdr:row>
          <xdr:rowOff>69850</xdr:rowOff>
        </xdr:from>
        <xdr:to>
          <xdr:col>1</xdr:col>
          <xdr:colOff>2578100</xdr:colOff>
          <xdr:row>0</xdr:row>
          <xdr:rowOff>565150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社員番号記載漏れチェック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590550</xdr:colOff>
      <xdr:row>1</xdr:row>
      <xdr:rowOff>220980</xdr:rowOff>
    </xdr:from>
    <xdr:ext cx="1031051" cy="914400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147810" y="830580"/>
          <a:ext cx="1031051" cy="9144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kumimoji="1" lang="ja-JP" altLang="en-US" sz="1100" b="1">
              <a:solidFill>
                <a:srgbClr val="FF0000"/>
              </a:solidFill>
            </a:rPr>
            <a:t>　　</a:t>
          </a:r>
          <a:r>
            <a:rPr kumimoji="1" lang="ja-JP" altLang="en-US" sz="1100" b="1" baseline="0">
              <a:solidFill>
                <a:srgbClr val="FF0000"/>
              </a:solidFill>
            </a:rPr>
            <a:t>  </a:t>
          </a:r>
          <a:r>
            <a:rPr kumimoji="1" lang="ja-JP" altLang="en-US" sz="1100" b="1">
              <a:solidFill>
                <a:srgbClr val="FF0000"/>
              </a:solidFill>
            </a:rPr>
            <a:t>↑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読み込む月を</a:t>
          </a:r>
          <a:endParaRPr kumimoji="1" lang="en-US" altLang="ja-JP" sz="1100" b="1">
            <a:solidFill>
              <a:srgbClr val="FF0000"/>
            </a:solidFill>
          </a:endParaRPr>
        </a:p>
        <a:p>
          <a:r>
            <a:rPr kumimoji="1" lang="ja-JP" altLang="en-US" sz="1100" b="1">
              <a:solidFill>
                <a:srgbClr val="FF0000"/>
              </a:solidFill>
            </a:rPr>
            <a:t>調整する</a:t>
          </a:r>
        </a:p>
      </xdr:txBody>
    </xdr:sp>
    <xdr:clientData/>
  </xdr:oneCellAnchor>
  <xdr:oneCellAnchor>
    <xdr:from>
      <xdr:col>5</xdr:col>
      <xdr:colOff>313269</xdr:colOff>
      <xdr:row>0</xdr:row>
      <xdr:rowOff>320040</xdr:rowOff>
    </xdr:from>
    <xdr:ext cx="5665894" cy="328360"/>
    <xdr:sp macro="" textlink="">
      <xdr:nvSpPr>
        <xdr:cNvPr id="7" name="テキスト ボックス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0414002" y="320040"/>
          <a:ext cx="5665894" cy="3283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←ー</a:t>
          </a:r>
          <a:r>
            <a:rPr kumimoji="1" lang="ja-JP" altLang="ja-JP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ーーーーーーーーーーーーーーー</a:t>
          </a:r>
          <a:r>
            <a:rPr kumimoji="1" lang="ja-JP" altLang="en-US" sz="1100" b="1">
              <a:solidFill>
                <a:srgbClr val="FF0000"/>
              </a:solidFill>
            </a:rPr>
            <a:t>触らない</a:t>
          </a:r>
          <a:r>
            <a:rPr kumimoji="1" lang="ja-JP" altLang="ja-JP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ーーーーーーーーーーーーーーーー</a:t>
          </a:r>
          <a:r>
            <a:rPr kumimoji="1" lang="ja-JP" altLang="en-US" sz="1100" b="1">
              <a:solidFill>
                <a:srgbClr val="FF0000"/>
              </a:solidFill>
            </a:rPr>
            <a:t>→</a:t>
          </a:r>
        </a:p>
      </xdr:txBody>
    </xdr:sp>
    <xdr:clientData/>
  </xdr:oneCellAnchor>
  <xdr:oneCellAnchor>
    <xdr:from>
      <xdr:col>6</xdr:col>
      <xdr:colOff>240030</xdr:colOff>
      <xdr:row>8</xdr:row>
      <xdr:rowOff>125730</xdr:rowOff>
    </xdr:from>
    <xdr:ext cx="184731" cy="264560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1022330" y="212979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DCBF9-4F8A-4DAC-89F8-22EAD36079E8}">
  <sheetPr codeName="Sheet9"/>
  <dimension ref="A1:C15"/>
  <sheetViews>
    <sheetView workbookViewId="0"/>
  </sheetViews>
  <sheetFormatPr defaultRowHeight="18"/>
  <cols>
    <col min="1" max="1" width="2.4140625" customWidth="1"/>
    <col min="2" max="2" width="19.9140625" bestFit="1" customWidth="1"/>
    <col min="3" max="3" width="62.58203125" customWidth="1"/>
  </cols>
  <sheetData>
    <row r="1" spans="1:3" ht="33" thickBot="1">
      <c r="A1" s="4" t="s">
        <v>5</v>
      </c>
    </row>
    <row r="2" spans="1:3" ht="18.5" thickBot="1">
      <c r="B2" s="14" t="s">
        <v>8</v>
      </c>
      <c r="C2" s="15" t="s">
        <v>9</v>
      </c>
    </row>
    <row r="3" spans="1:3" ht="54">
      <c r="B3" s="20" t="s">
        <v>6</v>
      </c>
      <c r="C3" s="16" t="s">
        <v>55</v>
      </c>
    </row>
    <row r="4" spans="1:3" ht="54">
      <c r="B4" s="19" t="s">
        <v>7</v>
      </c>
      <c r="C4" s="17" t="s">
        <v>10</v>
      </c>
    </row>
    <row r="5" spans="1:3" ht="36.5" thickBot="1">
      <c r="B5" s="32" t="s">
        <v>56</v>
      </c>
      <c r="C5" s="18" t="s">
        <v>57</v>
      </c>
    </row>
    <row r="6" spans="1:3">
      <c r="C6" s="5"/>
    </row>
    <row r="7" spans="1:3">
      <c r="C7" s="5"/>
    </row>
    <row r="9" spans="1:3" ht="18.5" thickBot="1"/>
    <row r="10" spans="1:3" ht="18.5" thickBot="1">
      <c r="B10" s="14" t="s">
        <v>11</v>
      </c>
      <c r="C10" s="15" t="s">
        <v>22</v>
      </c>
    </row>
    <row r="11" spans="1:3">
      <c r="B11" s="11" t="s">
        <v>12</v>
      </c>
      <c r="C11" s="12" t="s">
        <v>13</v>
      </c>
    </row>
    <row r="12" spans="1:3">
      <c r="B12" s="7" t="s">
        <v>14</v>
      </c>
      <c r="C12" s="6" t="s">
        <v>16</v>
      </c>
    </row>
    <row r="13" spans="1:3">
      <c r="B13" s="8" t="s">
        <v>15</v>
      </c>
      <c r="C13" s="6" t="s">
        <v>17</v>
      </c>
    </row>
    <row r="14" spans="1:3">
      <c r="B14" s="9" t="s">
        <v>18</v>
      </c>
      <c r="C14" s="6" t="s">
        <v>19</v>
      </c>
    </row>
    <row r="15" spans="1:3" ht="18.5" thickBot="1">
      <c r="B15" s="13" t="s">
        <v>20</v>
      </c>
      <c r="C15" s="10" t="s">
        <v>21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F4275-229A-48A4-91CF-01C87CC379BB}">
  <sheetPr codeName="Sheet3">
    <tabColor rgb="FF00B050"/>
  </sheetPr>
  <dimension ref="A1:E367"/>
  <sheetViews>
    <sheetView workbookViewId="0">
      <pane ySplit="1" topLeftCell="A262" activePane="bottomLeft" state="frozen"/>
      <selection pane="bottomLeft" activeCell="B264" sqref="B264"/>
    </sheetView>
  </sheetViews>
  <sheetFormatPr defaultRowHeight="18"/>
  <cols>
    <col min="1" max="1" width="12.4140625" bestFit="1" customWidth="1"/>
    <col min="2" max="2" width="22.1640625" bestFit="1" customWidth="1"/>
  </cols>
  <sheetData>
    <row r="1" spans="1:5">
      <c r="A1" s="34" t="s">
        <v>247</v>
      </c>
      <c r="B1" s="34" t="s">
        <v>54</v>
      </c>
      <c r="E1" s="31"/>
    </row>
    <row r="2" spans="1:5">
      <c r="A2" s="33">
        <v>2007001</v>
      </c>
      <c r="B2" s="33" t="s">
        <v>90</v>
      </c>
    </row>
    <row r="3" spans="1:5">
      <c r="A3" s="33">
        <v>2007002</v>
      </c>
      <c r="B3" s="33" t="s">
        <v>76</v>
      </c>
    </row>
    <row r="4" spans="1:5">
      <c r="A4" s="33">
        <v>2008002</v>
      </c>
      <c r="B4" s="33" t="s">
        <v>100</v>
      </c>
    </row>
    <row r="5" spans="1:5">
      <c r="A5" s="33">
        <v>2008003</v>
      </c>
      <c r="B5" s="33" t="s">
        <v>62</v>
      </c>
    </row>
    <row r="6" spans="1:5">
      <c r="A6" s="33">
        <v>2009001</v>
      </c>
      <c r="B6" s="33" t="s">
        <v>91</v>
      </c>
    </row>
    <row r="7" spans="1:5">
      <c r="A7" s="33">
        <v>2009005</v>
      </c>
      <c r="B7" s="33" t="s">
        <v>109</v>
      </c>
    </row>
    <row r="8" spans="1:5">
      <c r="A8" s="33">
        <v>2009006</v>
      </c>
      <c r="B8" s="33" t="s">
        <v>72</v>
      </c>
    </row>
    <row r="9" spans="1:5">
      <c r="A9" s="33">
        <v>2009007</v>
      </c>
      <c r="B9" s="33" t="s">
        <v>74</v>
      </c>
    </row>
    <row r="10" spans="1:5">
      <c r="A10" s="33">
        <v>2009008</v>
      </c>
      <c r="B10" s="33" t="s">
        <v>134</v>
      </c>
    </row>
    <row r="11" spans="1:5">
      <c r="A11" s="33">
        <v>2009009</v>
      </c>
      <c r="B11" s="33" t="s">
        <v>125</v>
      </c>
    </row>
    <row r="12" spans="1:5">
      <c r="A12" s="33">
        <v>2010001</v>
      </c>
      <c r="B12" s="33" t="s">
        <v>69</v>
      </c>
    </row>
    <row r="13" spans="1:5">
      <c r="A13" s="33">
        <v>2010005</v>
      </c>
      <c r="B13" s="33" t="s">
        <v>70</v>
      </c>
    </row>
    <row r="14" spans="1:5">
      <c r="A14" s="33">
        <v>2010006</v>
      </c>
      <c r="B14" s="33" t="s">
        <v>102</v>
      </c>
    </row>
    <row r="15" spans="1:5">
      <c r="A15" s="33">
        <v>2011001</v>
      </c>
      <c r="B15" s="33" t="s">
        <v>64</v>
      </c>
    </row>
    <row r="16" spans="1:5">
      <c r="A16" s="33">
        <v>2011004</v>
      </c>
      <c r="B16" s="33" t="s">
        <v>65</v>
      </c>
    </row>
    <row r="17" spans="1:2">
      <c r="A17" s="33">
        <v>2011005</v>
      </c>
      <c r="B17" s="33" t="s">
        <v>68</v>
      </c>
    </row>
    <row r="18" spans="1:2">
      <c r="A18" s="33">
        <v>2011007</v>
      </c>
      <c r="B18" s="33" t="s">
        <v>126</v>
      </c>
    </row>
    <row r="19" spans="1:2">
      <c r="A19" s="33">
        <v>2011008</v>
      </c>
      <c r="B19" s="33" t="s">
        <v>103</v>
      </c>
    </row>
    <row r="20" spans="1:2">
      <c r="A20" s="33">
        <v>2011012</v>
      </c>
      <c r="B20" s="33" t="s">
        <v>105</v>
      </c>
    </row>
    <row r="21" spans="1:2">
      <c r="A21" s="33">
        <v>2011013</v>
      </c>
      <c r="B21" s="33" t="s">
        <v>71</v>
      </c>
    </row>
    <row r="22" spans="1:2">
      <c r="A22" s="33">
        <v>2012002</v>
      </c>
      <c r="B22" s="33" t="s">
        <v>104</v>
      </c>
    </row>
    <row r="23" spans="1:2">
      <c r="A23" s="33">
        <v>2012006</v>
      </c>
      <c r="B23" s="33" t="s">
        <v>99</v>
      </c>
    </row>
    <row r="24" spans="1:2">
      <c r="A24" s="33">
        <v>2012007</v>
      </c>
      <c r="B24" s="33" t="s">
        <v>122</v>
      </c>
    </row>
    <row r="25" spans="1:2">
      <c r="A25" s="33">
        <v>2012008</v>
      </c>
      <c r="B25" s="33" t="s">
        <v>107</v>
      </c>
    </row>
    <row r="26" spans="1:2">
      <c r="A26" s="33">
        <v>2013002</v>
      </c>
      <c r="B26" s="33" t="s">
        <v>144</v>
      </c>
    </row>
    <row r="27" spans="1:2">
      <c r="A27" s="33">
        <v>2013008</v>
      </c>
      <c r="B27" s="33" t="s">
        <v>120</v>
      </c>
    </row>
    <row r="28" spans="1:2">
      <c r="A28" s="33">
        <v>2013010</v>
      </c>
      <c r="B28" s="33" t="s">
        <v>94</v>
      </c>
    </row>
    <row r="29" spans="1:2">
      <c r="A29" s="33">
        <v>2013017</v>
      </c>
      <c r="B29" s="33" t="s">
        <v>101</v>
      </c>
    </row>
    <row r="30" spans="1:2">
      <c r="A30" s="33">
        <v>2013020</v>
      </c>
      <c r="B30" s="33" t="s">
        <v>61</v>
      </c>
    </row>
    <row r="31" spans="1:2">
      <c r="A31" s="33">
        <v>2013024</v>
      </c>
      <c r="B31" s="33" t="s">
        <v>66</v>
      </c>
    </row>
    <row r="32" spans="1:2">
      <c r="A32" s="33">
        <v>2013026</v>
      </c>
      <c r="B32" s="33" t="s">
        <v>73</v>
      </c>
    </row>
    <row r="33" spans="1:2">
      <c r="A33" s="33">
        <v>2013029</v>
      </c>
      <c r="B33" s="33" t="s">
        <v>93</v>
      </c>
    </row>
    <row r="34" spans="1:2">
      <c r="A34" s="33">
        <v>2014005</v>
      </c>
      <c r="B34" s="33" t="s">
        <v>113</v>
      </c>
    </row>
    <row r="35" spans="1:2">
      <c r="A35" s="33">
        <v>2014006</v>
      </c>
      <c r="B35" s="33" t="s">
        <v>89</v>
      </c>
    </row>
    <row r="36" spans="1:2">
      <c r="A36" s="33">
        <v>2014009</v>
      </c>
      <c r="B36" s="33" t="s">
        <v>248</v>
      </c>
    </row>
    <row r="37" spans="1:2">
      <c r="A37" s="33">
        <v>2014012</v>
      </c>
      <c r="B37" s="33" t="s">
        <v>63</v>
      </c>
    </row>
    <row r="38" spans="1:2">
      <c r="A38" s="33">
        <v>2014013</v>
      </c>
      <c r="B38" s="33" t="s">
        <v>75</v>
      </c>
    </row>
    <row r="39" spans="1:2">
      <c r="A39" s="33">
        <v>2015005</v>
      </c>
      <c r="B39" s="33" t="s">
        <v>128</v>
      </c>
    </row>
    <row r="40" spans="1:2">
      <c r="A40" s="33">
        <v>2015009</v>
      </c>
      <c r="B40" s="33" t="s">
        <v>87</v>
      </c>
    </row>
    <row r="41" spans="1:2">
      <c r="A41" s="33">
        <v>2015013</v>
      </c>
      <c r="B41" s="33" t="s">
        <v>127</v>
      </c>
    </row>
    <row r="42" spans="1:2">
      <c r="A42" s="33">
        <v>2015019</v>
      </c>
      <c r="B42" s="33" t="s">
        <v>92</v>
      </c>
    </row>
    <row r="43" spans="1:2">
      <c r="A43" s="33">
        <v>2015020</v>
      </c>
      <c r="B43" s="33" t="s">
        <v>86</v>
      </c>
    </row>
    <row r="44" spans="1:2">
      <c r="A44" s="33">
        <v>2015021</v>
      </c>
      <c r="B44" s="33" t="s">
        <v>117</v>
      </c>
    </row>
    <row r="45" spans="1:2">
      <c r="A45" s="33">
        <v>2015022</v>
      </c>
      <c r="B45" s="33" t="s">
        <v>85</v>
      </c>
    </row>
    <row r="46" spans="1:2">
      <c r="A46" s="33">
        <v>2016002</v>
      </c>
      <c r="B46" s="33" t="s">
        <v>111</v>
      </c>
    </row>
    <row r="47" spans="1:2">
      <c r="A47" s="33">
        <v>2016005</v>
      </c>
      <c r="B47" s="33" t="s">
        <v>81</v>
      </c>
    </row>
    <row r="48" spans="1:2">
      <c r="A48" s="33">
        <v>2016008</v>
      </c>
      <c r="B48" s="33" t="s">
        <v>95</v>
      </c>
    </row>
    <row r="49" spans="1:2">
      <c r="A49" s="33">
        <v>2016009</v>
      </c>
      <c r="B49" s="33" t="s">
        <v>106</v>
      </c>
    </row>
    <row r="50" spans="1:2">
      <c r="A50" s="33">
        <v>2016012</v>
      </c>
      <c r="B50" s="33" t="s">
        <v>82</v>
      </c>
    </row>
    <row r="51" spans="1:2">
      <c r="A51" s="33">
        <v>2016014</v>
      </c>
      <c r="B51" s="33" t="s">
        <v>143</v>
      </c>
    </row>
    <row r="52" spans="1:2">
      <c r="A52" s="33">
        <v>2016017</v>
      </c>
      <c r="B52" s="33" t="s">
        <v>96</v>
      </c>
    </row>
    <row r="53" spans="1:2">
      <c r="A53" s="33">
        <v>2016021</v>
      </c>
      <c r="B53" s="33" t="s">
        <v>108</v>
      </c>
    </row>
    <row r="54" spans="1:2">
      <c r="A54" s="33">
        <v>2016023</v>
      </c>
      <c r="B54" s="33" t="s">
        <v>249</v>
      </c>
    </row>
    <row r="55" spans="1:2">
      <c r="A55" s="33">
        <v>2016024</v>
      </c>
      <c r="B55" s="33" t="s">
        <v>119</v>
      </c>
    </row>
    <row r="56" spans="1:2">
      <c r="A56" s="33">
        <v>2017002</v>
      </c>
      <c r="B56" s="33" t="s">
        <v>77</v>
      </c>
    </row>
    <row r="57" spans="1:2">
      <c r="A57" s="33">
        <v>2017006</v>
      </c>
      <c r="B57" s="33" t="s">
        <v>80</v>
      </c>
    </row>
    <row r="58" spans="1:2">
      <c r="A58" s="33">
        <v>2017007</v>
      </c>
      <c r="B58" s="33" t="s">
        <v>110</v>
      </c>
    </row>
    <row r="59" spans="1:2">
      <c r="A59" s="33">
        <v>2017012</v>
      </c>
      <c r="B59" s="33" t="s">
        <v>118</v>
      </c>
    </row>
    <row r="60" spans="1:2">
      <c r="A60" s="33">
        <v>2017014</v>
      </c>
      <c r="B60" s="33" t="s">
        <v>112</v>
      </c>
    </row>
    <row r="61" spans="1:2">
      <c r="A61" s="33">
        <v>2017016</v>
      </c>
      <c r="B61" s="33" t="s">
        <v>97</v>
      </c>
    </row>
    <row r="62" spans="1:2">
      <c r="A62" s="33">
        <v>2017022</v>
      </c>
      <c r="B62" s="33" t="s">
        <v>98</v>
      </c>
    </row>
    <row r="63" spans="1:2">
      <c r="A63" s="33">
        <v>2017023</v>
      </c>
      <c r="B63" s="33" t="s">
        <v>121</v>
      </c>
    </row>
    <row r="64" spans="1:2">
      <c r="A64" s="33">
        <v>2017025</v>
      </c>
      <c r="B64" s="33" t="s">
        <v>78</v>
      </c>
    </row>
    <row r="65" spans="1:2">
      <c r="A65" s="33">
        <v>2017026</v>
      </c>
      <c r="B65" s="33" t="s">
        <v>88</v>
      </c>
    </row>
    <row r="66" spans="1:2">
      <c r="A66" s="33">
        <v>2017030</v>
      </c>
      <c r="B66" s="33" t="s">
        <v>132</v>
      </c>
    </row>
    <row r="67" spans="1:2">
      <c r="A67" s="33">
        <v>2017031</v>
      </c>
      <c r="B67" s="33" t="s">
        <v>67</v>
      </c>
    </row>
    <row r="68" spans="1:2">
      <c r="A68" s="33">
        <v>2017032</v>
      </c>
      <c r="B68" s="33" t="s">
        <v>123</v>
      </c>
    </row>
    <row r="69" spans="1:2">
      <c r="A69" s="33">
        <v>2017034</v>
      </c>
      <c r="B69" s="33" t="s">
        <v>79</v>
      </c>
    </row>
    <row r="70" spans="1:2">
      <c r="A70" s="33">
        <v>2017037</v>
      </c>
      <c r="B70" s="33" t="s">
        <v>224</v>
      </c>
    </row>
    <row r="71" spans="1:2">
      <c r="A71" s="33">
        <v>2017038</v>
      </c>
      <c r="B71" s="33" t="s">
        <v>83</v>
      </c>
    </row>
    <row r="72" spans="1:2">
      <c r="A72" s="33">
        <v>2018001</v>
      </c>
      <c r="B72" s="33" t="s">
        <v>129</v>
      </c>
    </row>
    <row r="73" spans="1:2">
      <c r="A73" s="33">
        <v>2018002</v>
      </c>
      <c r="B73" s="33" t="s">
        <v>114</v>
      </c>
    </row>
    <row r="74" spans="1:2">
      <c r="A74" s="33">
        <v>2018003</v>
      </c>
      <c r="B74" s="33" t="s">
        <v>84</v>
      </c>
    </row>
    <row r="75" spans="1:2">
      <c r="A75" s="33">
        <v>2018012</v>
      </c>
      <c r="B75" s="33" t="s">
        <v>115</v>
      </c>
    </row>
    <row r="76" spans="1:2">
      <c r="A76" s="33">
        <v>2018013</v>
      </c>
      <c r="B76" s="33" t="s">
        <v>60</v>
      </c>
    </row>
    <row r="77" spans="1:2">
      <c r="A77" s="33">
        <v>2018015</v>
      </c>
      <c r="B77" s="33" t="s">
        <v>130</v>
      </c>
    </row>
    <row r="78" spans="1:2">
      <c r="A78" s="33">
        <v>2018016</v>
      </c>
      <c r="B78" s="33" t="s">
        <v>131</v>
      </c>
    </row>
    <row r="79" spans="1:2">
      <c r="A79" s="33">
        <v>2018017</v>
      </c>
      <c r="B79" s="33" t="s">
        <v>116</v>
      </c>
    </row>
    <row r="80" spans="1:2">
      <c r="A80" s="33">
        <v>2018022</v>
      </c>
      <c r="B80" s="33" t="s">
        <v>133</v>
      </c>
    </row>
    <row r="81" spans="1:2">
      <c r="A81" s="33">
        <v>2018024</v>
      </c>
      <c r="B81" s="33" t="s">
        <v>135</v>
      </c>
    </row>
    <row r="82" spans="1:2">
      <c r="A82" s="33">
        <v>2018025</v>
      </c>
      <c r="B82" s="33" t="s">
        <v>136</v>
      </c>
    </row>
    <row r="83" spans="1:2">
      <c r="A83" s="33">
        <v>2018026</v>
      </c>
      <c r="B83" s="33" t="s">
        <v>137</v>
      </c>
    </row>
    <row r="84" spans="1:2">
      <c r="A84" s="33">
        <v>2018027</v>
      </c>
      <c r="B84" s="33" t="s">
        <v>138</v>
      </c>
    </row>
    <row r="85" spans="1:2">
      <c r="A85" s="33">
        <v>2018028</v>
      </c>
      <c r="B85" s="33" t="s">
        <v>139</v>
      </c>
    </row>
    <row r="86" spans="1:2">
      <c r="A86" s="33">
        <v>2018030</v>
      </c>
      <c r="B86" s="33" t="s">
        <v>140</v>
      </c>
    </row>
    <row r="87" spans="1:2">
      <c r="A87" s="33">
        <v>2018031</v>
      </c>
      <c r="B87" s="33" t="s">
        <v>141</v>
      </c>
    </row>
    <row r="88" spans="1:2">
      <c r="A88" s="33">
        <v>2018032</v>
      </c>
      <c r="B88" s="33" t="s">
        <v>142</v>
      </c>
    </row>
    <row r="89" spans="1:2">
      <c r="A89" s="33">
        <v>2018034</v>
      </c>
      <c r="B89" s="33" t="s">
        <v>145</v>
      </c>
    </row>
    <row r="90" spans="1:2">
      <c r="A90" s="33">
        <v>2018037</v>
      </c>
      <c r="B90" s="33" t="s">
        <v>146</v>
      </c>
    </row>
    <row r="91" spans="1:2">
      <c r="A91" s="33">
        <v>2018038</v>
      </c>
      <c r="B91" s="38" t="s">
        <v>147</v>
      </c>
    </row>
    <row r="92" spans="1:2">
      <c r="A92" s="33">
        <v>2018040</v>
      </c>
      <c r="B92" s="33" t="s">
        <v>148</v>
      </c>
    </row>
    <row r="93" spans="1:2">
      <c r="A93" s="33">
        <v>2018041</v>
      </c>
      <c r="B93" s="33" t="s">
        <v>149</v>
      </c>
    </row>
    <row r="94" spans="1:2">
      <c r="A94" s="33">
        <v>2018043</v>
      </c>
      <c r="B94" s="33" t="s">
        <v>150</v>
      </c>
    </row>
    <row r="95" spans="1:2">
      <c r="A95" s="33">
        <v>2018044</v>
      </c>
      <c r="B95" s="33" t="s">
        <v>151</v>
      </c>
    </row>
    <row r="96" spans="1:2">
      <c r="A96" s="33">
        <v>2018045</v>
      </c>
      <c r="B96" s="33" t="s">
        <v>152</v>
      </c>
    </row>
    <row r="97" spans="1:2">
      <c r="A97" s="33">
        <v>2018046</v>
      </c>
      <c r="B97" s="33" t="s">
        <v>153</v>
      </c>
    </row>
    <row r="98" spans="1:2">
      <c r="A98" s="33">
        <v>2018047</v>
      </c>
      <c r="B98" s="33" t="s">
        <v>155</v>
      </c>
    </row>
    <row r="99" spans="1:2">
      <c r="A99" s="33">
        <v>2018048</v>
      </c>
      <c r="B99" s="33" t="s">
        <v>154</v>
      </c>
    </row>
    <row r="100" spans="1:2">
      <c r="A100" s="33">
        <v>2018052</v>
      </c>
      <c r="B100" s="33" t="s">
        <v>156</v>
      </c>
    </row>
    <row r="101" spans="1:2">
      <c r="A101" s="33">
        <v>2018054</v>
      </c>
      <c r="B101" s="33" t="s">
        <v>157</v>
      </c>
    </row>
    <row r="102" spans="1:2">
      <c r="A102" s="33">
        <v>2018057</v>
      </c>
      <c r="B102" s="33" t="s">
        <v>158</v>
      </c>
    </row>
    <row r="103" spans="1:2">
      <c r="A103" s="33">
        <v>2019002</v>
      </c>
      <c r="B103" s="33" t="s">
        <v>161</v>
      </c>
    </row>
    <row r="104" spans="1:2">
      <c r="A104" s="33">
        <v>2019006</v>
      </c>
      <c r="B104" s="33" t="s">
        <v>159</v>
      </c>
    </row>
    <row r="105" spans="1:2">
      <c r="A105" s="33">
        <v>2019007</v>
      </c>
      <c r="B105" s="33" t="s">
        <v>160</v>
      </c>
    </row>
    <row r="106" spans="1:2">
      <c r="A106" s="33">
        <v>2019014</v>
      </c>
      <c r="B106" s="33" t="s">
        <v>162</v>
      </c>
    </row>
    <row r="107" spans="1:2">
      <c r="A107" s="33">
        <v>2019019</v>
      </c>
      <c r="B107" s="33" t="s">
        <v>163</v>
      </c>
    </row>
    <row r="108" spans="1:2">
      <c r="A108" s="33">
        <v>2019020</v>
      </c>
      <c r="B108" s="33" t="s">
        <v>166</v>
      </c>
    </row>
    <row r="109" spans="1:2">
      <c r="A109" s="33">
        <v>2019023</v>
      </c>
      <c r="B109" s="33" t="s">
        <v>164</v>
      </c>
    </row>
    <row r="110" spans="1:2">
      <c r="A110" s="33">
        <v>2019024</v>
      </c>
      <c r="B110" s="33" t="s">
        <v>165</v>
      </c>
    </row>
    <row r="111" spans="1:2">
      <c r="A111" s="33">
        <v>2019027</v>
      </c>
      <c r="B111" s="38" t="s">
        <v>167</v>
      </c>
    </row>
    <row r="112" spans="1:2">
      <c r="A112" s="33">
        <v>2019029</v>
      </c>
      <c r="B112" s="38" t="s">
        <v>168</v>
      </c>
    </row>
    <row r="113" spans="1:2">
      <c r="A113" s="33">
        <v>2019034</v>
      </c>
      <c r="B113" s="33" t="s">
        <v>169</v>
      </c>
    </row>
    <row r="114" spans="1:2">
      <c r="A114" s="33">
        <v>2019035</v>
      </c>
      <c r="B114" s="33" t="s">
        <v>170</v>
      </c>
    </row>
    <row r="115" spans="1:2">
      <c r="A115" s="33">
        <v>2019037</v>
      </c>
      <c r="B115" s="33" t="s">
        <v>171</v>
      </c>
    </row>
    <row r="116" spans="1:2">
      <c r="A116" s="33">
        <v>2019047</v>
      </c>
      <c r="B116" s="33" t="s">
        <v>172</v>
      </c>
    </row>
    <row r="117" spans="1:2">
      <c r="A117" s="33">
        <v>2019048</v>
      </c>
      <c r="B117" s="33" t="s">
        <v>173</v>
      </c>
    </row>
    <row r="118" spans="1:2">
      <c r="A118" s="33">
        <v>2019050</v>
      </c>
      <c r="B118" s="33" t="s">
        <v>174</v>
      </c>
    </row>
    <row r="119" spans="1:2">
      <c r="A119" s="33">
        <v>2019052</v>
      </c>
      <c r="B119" s="33" t="s">
        <v>176</v>
      </c>
    </row>
    <row r="120" spans="1:2">
      <c r="A120" s="33">
        <v>2019053</v>
      </c>
      <c r="B120" s="33" t="s">
        <v>175</v>
      </c>
    </row>
    <row r="121" spans="1:2">
      <c r="A121" s="33">
        <v>2020001</v>
      </c>
      <c r="B121" s="33" t="s">
        <v>179</v>
      </c>
    </row>
    <row r="122" spans="1:2">
      <c r="A122" s="33">
        <v>2020002</v>
      </c>
      <c r="B122" s="39" t="s">
        <v>177</v>
      </c>
    </row>
    <row r="123" spans="1:2">
      <c r="A123" s="33">
        <v>2020003</v>
      </c>
      <c r="B123" s="39" t="s">
        <v>181</v>
      </c>
    </row>
    <row r="124" spans="1:2">
      <c r="A124" s="33">
        <v>2020004</v>
      </c>
      <c r="B124" s="33" t="s">
        <v>178</v>
      </c>
    </row>
    <row r="125" spans="1:2">
      <c r="A125" s="33">
        <v>2020005</v>
      </c>
      <c r="B125" s="33" t="s">
        <v>244</v>
      </c>
    </row>
    <row r="126" spans="1:2">
      <c r="A126" s="33">
        <v>2020006</v>
      </c>
      <c r="B126" s="33" t="s">
        <v>185</v>
      </c>
    </row>
    <row r="127" spans="1:2">
      <c r="A127" s="33">
        <v>2020007</v>
      </c>
      <c r="B127" s="33" t="s">
        <v>250</v>
      </c>
    </row>
    <row r="128" spans="1:2">
      <c r="A128" s="33">
        <v>2020008</v>
      </c>
      <c r="B128" s="33" t="s">
        <v>180</v>
      </c>
    </row>
    <row r="129" spans="1:2">
      <c r="A129" s="33">
        <v>2020010</v>
      </c>
      <c r="B129" s="33" t="s">
        <v>182</v>
      </c>
    </row>
    <row r="130" spans="1:2">
      <c r="A130" s="33">
        <v>2020011</v>
      </c>
      <c r="B130" s="33" t="s">
        <v>183</v>
      </c>
    </row>
    <row r="131" spans="1:2">
      <c r="A131" s="33">
        <v>2020014</v>
      </c>
      <c r="B131" s="33" t="s">
        <v>184</v>
      </c>
    </row>
    <row r="132" spans="1:2">
      <c r="A132" s="33">
        <v>2020015</v>
      </c>
      <c r="B132" s="39" t="s">
        <v>186</v>
      </c>
    </row>
    <row r="133" spans="1:2">
      <c r="A133" s="33">
        <v>2020017</v>
      </c>
      <c r="B133" s="39" t="s">
        <v>187</v>
      </c>
    </row>
    <row r="134" spans="1:2">
      <c r="A134" s="33">
        <v>2020018</v>
      </c>
      <c r="B134" s="39" t="s">
        <v>188</v>
      </c>
    </row>
    <row r="135" spans="1:2">
      <c r="A135" s="37">
        <v>2020021</v>
      </c>
      <c r="B135" s="37" t="s">
        <v>189</v>
      </c>
    </row>
    <row r="136" spans="1:2">
      <c r="A136" s="37">
        <v>2020024</v>
      </c>
      <c r="B136" s="37" t="s">
        <v>190</v>
      </c>
    </row>
    <row r="137" spans="1:2">
      <c r="A137" s="33">
        <v>2020025</v>
      </c>
      <c r="B137" s="33" t="s">
        <v>191</v>
      </c>
    </row>
    <row r="138" spans="1:2">
      <c r="A138" s="33">
        <v>2020027</v>
      </c>
      <c r="B138" s="33" t="s">
        <v>192</v>
      </c>
    </row>
    <row r="139" spans="1:2">
      <c r="A139" s="33">
        <v>2020028</v>
      </c>
      <c r="B139" s="33" t="s">
        <v>193</v>
      </c>
    </row>
    <row r="140" spans="1:2">
      <c r="A140" s="33">
        <v>2020031</v>
      </c>
      <c r="B140" s="33" t="s">
        <v>194</v>
      </c>
    </row>
    <row r="141" spans="1:2">
      <c r="A141" s="33">
        <v>2021001</v>
      </c>
      <c r="B141" s="33" t="s">
        <v>196</v>
      </c>
    </row>
    <row r="142" spans="1:2">
      <c r="A142" s="33">
        <v>2021002</v>
      </c>
      <c r="B142" s="33" t="s">
        <v>197</v>
      </c>
    </row>
    <row r="143" spans="1:2">
      <c r="A143" s="33">
        <v>2021003</v>
      </c>
      <c r="B143" s="40" t="s">
        <v>198</v>
      </c>
    </row>
    <row r="144" spans="1:2">
      <c r="A144" s="33">
        <v>2021004</v>
      </c>
      <c r="B144" s="40" t="s">
        <v>199</v>
      </c>
    </row>
    <row r="145" spans="1:2">
      <c r="A145" s="33">
        <v>2021008</v>
      </c>
      <c r="B145" s="40" t="s">
        <v>195</v>
      </c>
    </row>
    <row r="146" spans="1:2">
      <c r="A146" s="33">
        <v>2021011</v>
      </c>
      <c r="B146" s="40" t="s">
        <v>200</v>
      </c>
    </row>
    <row r="147" spans="1:2">
      <c r="A147" s="33">
        <v>2021012</v>
      </c>
      <c r="B147" s="40" t="s">
        <v>201</v>
      </c>
    </row>
    <row r="148" spans="1:2">
      <c r="A148" s="33">
        <v>2021015</v>
      </c>
      <c r="B148" s="40" t="s">
        <v>202</v>
      </c>
    </row>
    <row r="149" spans="1:2">
      <c r="A149" s="33">
        <v>2021016</v>
      </c>
      <c r="B149" s="40" t="s">
        <v>203</v>
      </c>
    </row>
    <row r="150" spans="1:2">
      <c r="A150" s="33">
        <v>2021018</v>
      </c>
      <c r="B150" s="40" t="s">
        <v>204</v>
      </c>
    </row>
    <row r="151" spans="1:2">
      <c r="A151" s="33">
        <v>2021020</v>
      </c>
      <c r="B151" s="40" t="s">
        <v>205</v>
      </c>
    </row>
    <row r="152" spans="1:2">
      <c r="A152" s="33">
        <v>2021022</v>
      </c>
      <c r="B152" s="33" t="s">
        <v>206</v>
      </c>
    </row>
    <row r="153" spans="1:2">
      <c r="A153" s="33">
        <v>2022002</v>
      </c>
      <c r="B153" s="33" t="s">
        <v>207</v>
      </c>
    </row>
    <row r="154" spans="1:2">
      <c r="A154" s="33">
        <v>2022003</v>
      </c>
      <c r="B154" s="33" t="s">
        <v>208</v>
      </c>
    </row>
    <row r="155" spans="1:2">
      <c r="A155" s="33">
        <v>2022005</v>
      </c>
      <c r="B155" s="33" t="s">
        <v>209</v>
      </c>
    </row>
    <row r="156" spans="1:2">
      <c r="A156" s="33">
        <v>2022007</v>
      </c>
      <c r="B156" s="33" t="s">
        <v>210</v>
      </c>
    </row>
    <row r="157" spans="1:2">
      <c r="A157" s="33">
        <v>2022008</v>
      </c>
      <c r="B157" s="33" t="s">
        <v>211</v>
      </c>
    </row>
    <row r="158" spans="1:2">
      <c r="A158" s="33">
        <v>2022010</v>
      </c>
      <c r="B158" s="33" t="s">
        <v>212</v>
      </c>
    </row>
    <row r="159" spans="1:2">
      <c r="A159" s="33">
        <v>2022011</v>
      </c>
      <c r="B159" s="33" t="s">
        <v>213</v>
      </c>
    </row>
    <row r="160" spans="1:2">
      <c r="A160" s="33">
        <v>2022012</v>
      </c>
      <c r="B160" s="33" t="s">
        <v>214</v>
      </c>
    </row>
    <row r="161" spans="1:2">
      <c r="A161" s="33">
        <v>2022013</v>
      </c>
      <c r="B161" s="33" t="s">
        <v>124</v>
      </c>
    </row>
    <row r="162" spans="1:2">
      <c r="A162" s="33">
        <v>2022014</v>
      </c>
      <c r="B162" s="33" t="s">
        <v>215</v>
      </c>
    </row>
    <row r="163" spans="1:2">
      <c r="A163" s="33">
        <v>2022016</v>
      </c>
      <c r="B163" s="33" t="s">
        <v>216</v>
      </c>
    </row>
    <row r="164" spans="1:2">
      <c r="A164" s="33">
        <v>2022018</v>
      </c>
      <c r="B164" s="33" t="s">
        <v>217</v>
      </c>
    </row>
    <row r="165" spans="1:2">
      <c r="A165" s="33">
        <v>2022019</v>
      </c>
      <c r="B165" s="33" t="s">
        <v>218</v>
      </c>
    </row>
    <row r="166" spans="1:2">
      <c r="A166" s="33">
        <v>2022020</v>
      </c>
      <c r="B166" s="33" t="s">
        <v>219</v>
      </c>
    </row>
    <row r="167" spans="1:2">
      <c r="A167" s="33">
        <v>2022021</v>
      </c>
      <c r="B167" s="33" t="s">
        <v>220</v>
      </c>
    </row>
    <row r="168" spans="1:2">
      <c r="A168" s="33">
        <v>2022023</v>
      </c>
      <c r="B168" s="33" t="s">
        <v>221</v>
      </c>
    </row>
    <row r="169" spans="1:2">
      <c r="A169" s="33">
        <v>2022025</v>
      </c>
      <c r="B169" s="33" t="s">
        <v>222</v>
      </c>
    </row>
    <row r="170" spans="1:2">
      <c r="A170" s="33">
        <v>2022027</v>
      </c>
      <c r="B170" s="33" t="s">
        <v>225</v>
      </c>
    </row>
    <row r="171" spans="1:2">
      <c r="A171" s="33">
        <v>2022029</v>
      </c>
      <c r="B171" s="33" t="s">
        <v>223</v>
      </c>
    </row>
    <row r="172" spans="1:2">
      <c r="A172" s="33">
        <v>2022034</v>
      </c>
      <c r="B172" s="33" t="s">
        <v>226</v>
      </c>
    </row>
    <row r="173" spans="1:2">
      <c r="A173" s="33">
        <v>2022035</v>
      </c>
      <c r="B173" s="33" t="s">
        <v>227</v>
      </c>
    </row>
    <row r="174" spans="1:2">
      <c r="A174" s="33">
        <v>2022036</v>
      </c>
      <c r="B174" s="33" t="s">
        <v>228</v>
      </c>
    </row>
    <row r="175" spans="1:2">
      <c r="A175" s="33">
        <v>2023001</v>
      </c>
      <c r="B175" s="33" t="s">
        <v>229</v>
      </c>
    </row>
    <row r="176" spans="1:2">
      <c r="A176" s="33">
        <v>2023003</v>
      </c>
      <c r="B176" s="33" t="s">
        <v>230</v>
      </c>
    </row>
    <row r="177" spans="1:2">
      <c r="A177" s="33">
        <v>2023004</v>
      </c>
      <c r="B177" s="33" t="s">
        <v>231</v>
      </c>
    </row>
    <row r="178" spans="1:2">
      <c r="A178" s="33">
        <v>2023005</v>
      </c>
      <c r="B178" s="33" t="s">
        <v>232</v>
      </c>
    </row>
    <row r="179" spans="1:2">
      <c r="A179" s="33">
        <v>2023006</v>
      </c>
      <c r="B179" t="s">
        <v>233</v>
      </c>
    </row>
    <row r="180" spans="1:2">
      <c r="A180" s="33">
        <v>2023007</v>
      </c>
      <c r="B180" s="33" t="s">
        <v>234</v>
      </c>
    </row>
    <row r="181" spans="1:2">
      <c r="A181" s="33">
        <v>2023008</v>
      </c>
      <c r="B181" s="33" t="s">
        <v>235</v>
      </c>
    </row>
    <row r="182" spans="1:2">
      <c r="A182" s="33">
        <v>2023010</v>
      </c>
      <c r="B182" s="33" t="s">
        <v>251</v>
      </c>
    </row>
    <row r="183" spans="1:2">
      <c r="A183" s="33">
        <v>2023012</v>
      </c>
      <c r="B183" s="33" t="s">
        <v>252</v>
      </c>
    </row>
    <row r="184" spans="1:2">
      <c r="A184" s="33">
        <v>2023013</v>
      </c>
      <c r="B184" s="33" t="s">
        <v>253</v>
      </c>
    </row>
    <row r="185" spans="1:2">
      <c r="A185" s="33">
        <v>2023014</v>
      </c>
      <c r="B185" s="33" t="s">
        <v>254</v>
      </c>
    </row>
    <row r="186" spans="1:2">
      <c r="A186" s="33">
        <v>2023016</v>
      </c>
      <c r="B186" s="33" t="s">
        <v>237</v>
      </c>
    </row>
    <row r="187" spans="1:2">
      <c r="A187" s="33">
        <v>2023017</v>
      </c>
      <c r="B187" s="33" t="s">
        <v>238</v>
      </c>
    </row>
    <row r="188" spans="1:2">
      <c r="A188" s="33">
        <v>2023018</v>
      </c>
      <c r="B188" s="33" t="s">
        <v>245</v>
      </c>
    </row>
    <row r="189" spans="1:2">
      <c r="A189" s="33">
        <v>2023019</v>
      </c>
      <c r="B189" s="33" t="s">
        <v>239</v>
      </c>
    </row>
    <row r="190" spans="1:2">
      <c r="A190" s="33">
        <v>2023020</v>
      </c>
      <c r="B190" s="33" t="s">
        <v>240</v>
      </c>
    </row>
    <row r="191" spans="1:2">
      <c r="A191" s="33">
        <v>2023021</v>
      </c>
      <c r="B191" s="33" t="s">
        <v>255</v>
      </c>
    </row>
    <row r="192" spans="1:2">
      <c r="A192" s="33">
        <v>2023022</v>
      </c>
      <c r="B192" s="33" t="s">
        <v>256</v>
      </c>
    </row>
    <row r="193" spans="1:2">
      <c r="A193" s="33">
        <v>2023023</v>
      </c>
      <c r="B193" s="33" t="s">
        <v>257</v>
      </c>
    </row>
    <row r="194" spans="1:2">
      <c r="A194" s="33">
        <v>2023024</v>
      </c>
      <c r="B194" s="33" t="s">
        <v>258</v>
      </c>
    </row>
    <row r="195" spans="1:2">
      <c r="A195" s="33">
        <v>2023026</v>
      </c>
      <c r="B195" s="33" t="s">
        <v>259</v>
      </c>
    </row>
    <row r="196" spans="1:2">
      <c r="A196" s="33">
        <v>2023027</v>
      </c>
      <c r="B196" s="33" t="s">
        <v>260</v>
      </c>
    </row>
    <row r="197" spans="1:2">
      <c r="A197" s="33">
        <v>2023028</v>
      </c>
      <c r="B197" s="33" t="s">
        <v>261</v>
      </c>
    </row>
    <row r="198" spans="1:2">
      <c r="A198" s="33">
        <v>2023030</v>
      </c>
      <c r="B198" s="33" t="s">
        <v>262</v>
      </c>
    </row>
    <row r="199" spans="1:2">
      <c r="A199" s="33">
        <v>2023032</v>
      </c>
      <c r="B199" s="33" t="s">
        <v>263</v>
      </c>
    </row>
    <row r="200" spans="1:2">
      <c r="A200" s="33">
        <v>2023033</v>
      </c>
      <c r="B200" s="33" t="s">
        <v>264</v>
      </c>
    </row>
    <row r="201" spans="1:2">
      <c r="A201" s="33">
        <v>2023034</v>
      </c>
      <c r="B201" s="33" t="s">
        <v>265</v>
      </c>
    </row>
    <row r="202" spans="1:2">
      <c r="A202" s="33">
        <v>2024001</v>
      </c>
      <c r="B202" s="33" t="s">
        <v>266</v>
      </c>
    </row>
    <row r="203" spans="1:2">
      <c r="A203" s="33">
        <v>2024002</v>
      </c>
      <c r="B203" s="33" t="s">
        <v>246</v>
      </c>
    </row>
    <row r="204" spans="1:2">
      <c r="A204" s="33">
        <v>2024003</v>
      </c>
      <c r="B204" s="33" t="s">
        <v>267</v>
      </c>
    </row>
    <row r="205" spans="1:2">
      <c r="A205" s="33">
        <v>2024004</v>
      </c>
      <c r="B205" s="33" t="s">
        <v>268</v>
      </c>
    </row>
    <row r="206" spans="1:2">
      <c r="A206" s="33">
        <v>2024005</v>
      </c>
      <c r="B206" s="33" t="s">
        <v>269</v>
      </c>
    </row>
    <row r="207" spans="1:2">
      <c r="A207" s="33">
        <v>2024006</v>
      </c>
      <c r="B207" s="33" t="s">
        <v>270</v>
      </c>
    </row>
    <row r="208" spans="1:2">
      <c r="A208" s="33">
        <v>2024007</v>
      </c>
      <c r="B208" s="33" t="s">
        <v>271</v>
      </c>
    </row>
    <row r="209" spans="1:2">
      <c r="A209" s="33">
        <v>2024008</v>
      </c>
      <c r="B209" s="33" t="s">
        <v>272</v>
      </c>
    </row>
    <row r="210" spans="1:2">
      <c r="A210" s="33">
        <v>2024009</v>
      </c>
      <c r="B210" t="s">
        <v>273</v>
      </c>
    </row>
    <row r="211" spans="1:2">
      <c r="A211" s="33">
        <v>2024010</v>
      </c>
      <c r="B211" t="s">
        <v>274</v>
      </c>
    </row>
    <row r="212" spans="1:2">
      <c r="A212" s="33">
        <v>2024011</v>
      </c>
      <c r="B212" s="33" t="s">
        <v>275</v>
      </c>
    </row>
    <row r="213" spans="1:2">
      <c r="A213" s="33">
        <v>2024012</v>
      </c>
      <c r="B213" s="33" t="s">
        <v>276</v>
      </c>
    </row>
    <row r="214" spans="1:2">
      <c r="A214" s="33">
        <v>2024014</v>
      </c>
      <c r="B214" s="33" t="s">
        <v>277</v>
      </c>
    </row>
    <row r="215" spans="1:2">
      <c r="A215" s="33">
        <v>2024015</v>
      </c>
      <c r="B215" s="33" t="s">
        <v>278</v>
      </c>
    </row>
    <row r="216" spans="1:2">
      <c r="A216" s="33">
        <v>2024017</v>
      </c>
      <c r="B216" s="33" t="s">
        <v>279</v>
      </c>
    </row>
    <row r="217" spans="1:2">
      <c r="A217" s="33">
        <v>2024018</v>
      </c>
      <c r="B217" s="33" t="s">
        <v>280</v>
      </c>
    </row>
    <row r="218" spans="1:2">
      <c r="A218" s="33">
        <v>2024019</v>
      </c>
      <c r="B218" s="33" t="s">
        <v>281</v>
      </c>
    </row>
    <row r="219" spans="1:2">
      <c r="A219" s="33">
        <v>2024020</v>
      </c>
      <c r="B219" s="33" t="s">
        <v>282</v>
      </c>
    </row>
    <row r="220" spans="1:2">
      <c r="A220" s="33">
        <v>2024021</v>
      </c>
      <c r="B220" s="33" t="s">
        <v>283</v>
      </c>
    </row>
    <row r="221" spans="1:2">
      <c r="A221" s="33">
        <v>2024024</v>
      </c>
      <c r="B221" s="33" t="s">
        <v>284</v>
      </c>
    </row>
    <row r="222" spans="1:2">
      <c r="A222" s="33">
        <v>2024025</v>
      </c>
      <c r="B222" s="33" t="s">
        <v>285</v>
      </c>
    </row>
    <row r="223" spans="1:2">
      <c r="A223" s="33">
        <v>2024026</v>
      </c>
      <c r="B223" s="33" t="s">
        <v>286</v>
      </c>
    </row>
    <row r="224" spans="1:2">
      <c r="A224" s="33">
        <v>2024027</v>
      </c>
      <c r="B224" s="33" t="s">
        <v>287</v>
      </c>
    </row>
    <row r="225" spans="1:2">
      <c r="A225" s="33">
        <v>2024028</v>
      </c>
      <c r="B225" s="33" t="s">
        <v>288</v>
      </c>
    </row>
    <row r="226" spans="1:2">
      <c r="A226" s="33">
        <v>2024031</v>
      </c>
      <c r="B226" s="33" t="s">
        <v>289</v>
      </c>
    </row>
    <row r="227" spans="1:2">
      <c r="A227" s="33">
        <v>2024032</v>
      </c>
      <c r="B227" s="33" t="s">
        <v>290</v>
      </c>
    </row>
    <row r="228" spans="1:2">
      <c r="A228" s="33">
        <v>2024035</v>
      </c>
      <c r="B228" s="33" t="s">
        <v>291</v>
      </c>
    </row>
    <row r="229" spans="1:2">
      <c r="A229" s="33">
        <v>2024036</v>
      </c>
      <c r="B229" s="33" t="s">
        <v>292</v>
      </c>
    </row>
    <row r="230" spans="1:2">
      <c r="A230" s="33">
        <v>2024037</v>
      </c>
      <c r="B230" s="33" t="s">
        <v>293</v>
      </c>
    </row>
    <row r="231" spans="1:2">
      <c r="A231" s="33">
        <v>2024038</v>
      </c>
      <c r="B231" s="33" t="s">
        <v>294</v>
      </c>
    </row>
    <row r="232" spans="1:2">
      <c r="A232" s="33">
        <v>2024039</v>
      </c>
      <c r="B232" s="33" t="s">
        <v>295</v>
      </c>
    </row>
    <row r="233" spans="1:2">
      <c r="A233" s="33">
        <v>2024041</v>
      </c>
      <c r="B233" s="33" t="s">
        <v>296</v>
      </c>
    </row>
    <row r="234" spans="1:2">
      <c r="A234" s="33">
        <v>2024042</v>
      </c>
      <c r="B234" s="33" t="s">
        <v>297</v>
      </c>
    </row>
    <row r="235" spans="1:2">
      <c r="A235" s="33">
        <v>2024043</v>
      </c>
      <c r="B235" s="33" t="s">
        <v>298</v>
      </c>
    </row>
    <row r="236" spans="1:2">
      <c r="A236" s="33">
        <v>2024044</v>
      </c>
      <c r="B236" s="41" t="s">
        <v>299</v>
      </c>
    </row>
    <row r="237" spans="1:2">
      <c r="A237" s="33">
        <v>2024045</v>
      </c>
      <c r="B237" s="33" t="s">
        <v>300</v>
      </c>
    </row>
    <row r="238" spans="1:2">
      <c r="A238" s="33">
        <v>2024046</v>
      </c>
      <c r="B238" s="33" t="s">
        <v>301</v>
      </c>
    </row>
    <row r="239" spans="1:2">
      <c r="A239" s="33">
        <v>2024047</v>
      </c>
      <c r="B239" s="33" t="s">
        <v>302</v>
      </c>
    </row>
    <row r="240" spans="1:2">
      <c r="A240" s="33">
        <v>2024048</v>
      </c>
      <c r="B240" s="33" t="s">
        <v>303</v>
      </c>
    </row>
    <row r="241" spans="1:2">
      <c r="A241" s="33">
        <v>2024049</v>
      </c>
      <c r="B241" s="33" t="s">
        <v>304</v>
      </c>
    </row>
    <row r="242" spans="1:2">
      <c r="A242" s="33">
        <v>2024050</v>
      </c>
      <c r="B242" t="s">
        <v>305</v>
      </c>
    </row>
    <row r="243" spans="1:2">
      <c r="A243">
        <v>2024051</v>
      </c>
      <c r="B243" t="s">
        <v>306</v>
      </c>
    </row>
    <row r="244" spans="1:2">
      <c r="A244">
        <v>2025001</v>
      </c>
      <c r="B244" t="s">
        <v>307</v>
      </c>
    </row>
    <row r="245" spans="1:2">
      <c r="A245">
        <v>2025002</v>
      </c>
      <c r="B245" t="s">
        <v>308</v>
      </c>
    </row>
    <row r="246" spans="1:2">
      <c r="A246">
        <v>2025003</v>
      </c>
      <c r="B246" s="33" t="s">
        <v>309</v>
      </c>
    </row>
    <row r="247" spans="1:2">
      <c r="A247">
        <v>2025004</v>
      </c>
      <c r="B247" s="33" t="s">
        <v>311</v>
      </c>
    </row>
    <row r="248" spans="1:2">
      <c r="A248">
        <v>2025005</v>
      </c>
      <c r="B248" s="33" t="s">
        <v>312</v>
      </c>
    </row>
    <row r="249" spans="1:2">
      <c r="A249">
        <v>2025006</v>
      </c>
      <c r="B249" s="33" t="s">
        <v>313</v>
      </c>
    </row>
    <row r="250" spans="1:2">
      <c r="A250">
        <v>2025007</v>
      </c>
      <c r="B250" s="33" t="s">
        <v>314</v>
      </c>
    </row>
    <row r="251" spans="1:2">
      <c r="A251">
        <v>2025008</v>
      </c>
      <c r="B251" t="s">
        <v>315</v>
      </c>
    </row>
    <row r="252" spans="1:2">
      <c r="A252">
        <v>2025009</v>
      </c>
      <c r="B252" s="33" t="s">
        <v>316</v>
      </c>
    </row>
    <row r="253" spans="1:2">
      <c r="A253">
        <v>2025010</v>
      </c>
      <c r="B253" s="33" t="s">
        <v>317</v>
      </c>
    </row>
    <row r="254" spans="1:2">
      <c r="A254">
        <v>2025011</v>
      </c>
      <c r="B254" s="33" t="s">
        <v>318</v>
      </c>
    </row>
    <row r="255" spans="1:2">
      <c r="A255">
        <v>2025012</v>
      </c>
      <c r="B255" s="33" t="s">
        <v>319</v>
      </c>
    </row>
    <row r="256" spans="1:2">
      <c r="A256">
        <v>2025013</v>
      </c>
      <c r="B256" s="33" t="s">
        <v>320</v>
      </c>
    </row>
    <row r="257" spans="1:2">
      <c r="A257">
        <v>2025014</v>
      </c>
      <c r="B257" s="33" t="s">
        <v>321</v>
      </c>
    </row>
    <row r="258" spans="1:2">
      <c r="A258">
        <v>2025015</v>
      </c>
      <c r="B258" s="33" t="s">
        <v>322</v>
      </c>
    </row>
    <row r="259" spans="1:2">
      <c r="A259">
        <v>2025016</v>
      </c>
      <c r="B259" s="33" t="s">
        <v>323</v>
      </c>
    </row>
    <row r="260" spans="1:2">
      <c r="A260">
        <v>2025017</v>
      </c>
      <c r="B260" s="33" t="s">
        <v>324</v>
      </c>
    </row>
    <row r="261" spans="1:2">
      <c r="A261">
        <v>2025018</v>
      </c>
      <c r="B261" s="33" t="s">
        <v>325</v>
      </c>
    </row>
    <row r="262" spans="1:2">
      <c r="A262">
        <v>2025019</v>
      </c>
      <c r="B262" s="33" t="s">
        <v>326</v>
      </c>
    </row>
    <row r="263" spans="1:2">
      <c r="A263">
        <v>2025020</v>
      </c>
      <c r="B263" s="33" t="s">
        <v>329</v>
      </c>
    </row>
    <row r="264" spans="1:2">
      <c r="A264">
        <v>2025021</v>
      </c>
      <c r="B264" s="33" t="s">
        <v>330</v>
      </c>
    </row>
    <row r="265" spans="1:2">
      <c r="A265">
        <v>2025022</v>
      </c>
      <c r="B265" s="33" t="s">
        <v>331</v>
      </c>
    </row>
    <row r="266" spans="1:2">
      <c r="A266">
        <v>2025023</v>
      </c>
      <c r="B266" s="33" t="s">
        <v>332</v>
      </c>
    </row>
    <row r="267" spans="1:2">
      <c r="A267">
        <v>2025024</v>
      </c>
      <c r="B267" s="33" t="s">
        <v>333</v>
      </c>
    </row>
    <row r="268" spans="1:2">
      <c r="A268">
        <v>2025025</v>
      </c>
      <c r="B268" s="33" t="s">
        <v>334</v>
      </c>
    </row>
    <row r="269" spans="1:2">
      <c r="A269">
        <v>2025026</v>
      </c>
      <c r="B269" t="s">
        <v>335</v>
      </c>
    </row>
    <row r="270" spans="1:2">
      <c r="A270">
        <v>2025028</v>
      </c>
      <c r="B270" t="s">
        <v>327</v>
      </c>
    </row>
    <row r="271" spans="1:2">
      <c r="A271">
        <v>2025029</v>
      </c>
      <c r="B271" t="s">
        <v>328</v>
      </c>
    </row>
    <row r="272" spans="1:2">
      <c r="A272">
        <v>2025030</v>
      </c>
      <c r="B272" t="s">
        <v>336</v>
      </c>
    </row>
    <row r="273" spans="1:2">
      <c r="A273">
        <v>2025031</v>
      </c>
      <c r="B273" t="s">
        <v>337</v>
      </c>
    </row>
    <row r="274" spans="1:2">
      <c r="A274">
        <v>2025032</v>
      </c>
      <c r="B274" t="s">
        <v>338</v>
      </c>
    </row>
    <row r="275" spans="1:2">
      <c r="A275">
        <v>2025033</v>
      </c>
      <c r="B275" t="s">
        <v>339</v>
      </c>
    </row>
    <row r="276" spans="1:2">
      <c r="A276">
        <v>2026001</v>
      </c>
      <c r="B276" t="s">
        <v>340</v>
      </c>
    </row>
    <row r="277" spans="1:2">
      <c r="A277">
        <v>2026002</v>
      </c>
      <c r="B277" t="s">
        <v>341</v>
      </c>
    </row>
    <row r="278" spans="1:2">
      <c r="A278">
        <v>2026003</v>
      </c>
      <c r="B278" t="s">
        <v>342</v>
      </c>
    </row>
    <row r="279" spans="1:2">
      <c r="A279">
        <v>2026005</v>
      </c>
      <c r="B279" t="s">
        <v>343</v>
      </c>
    </row>
    <row r="280" spans="1:2">
      <c r="A280">
        <v>2026009</v>
      </c>
      <c r="B280" t="s">
        <v>344</v>
      </c>
    </row>
    <row r="281" spans="1:2">
      <c r="A281">
        <v>2026010</v>
      </c>
      <c r="B281" t="s">
        <v>345</v>
      </c>
    </row>
    <row r="284" spans="1:2">
      <c r="A284" s="33"/>
      <c r="B284" s="33"/>
    </row>
    <row r="285" spans="1:2">
      <c r="A285" s="33">
        <v>5000012</v>
      </c>
      <c r="B285" s="33" t="s">
        <v>346</v>
      </c>
    </row>
    <row r="286" spans="1:2">
      <c r="A286" s="33">
        <v>5000013</v>
      </c>
      <c r="B286" s="33" t="s">
        <v>347</v>
      </c>
    </row>
    <row r="287" spans="1:2">
      <c r="A287" s="33">
        <v>5000014</v>
      </c>
      <c r="B287" s="33" t="s">
        <v>348</v>
      </c>
    </row>
    <row r="336" spans="1:1">
      <c r="A336" s="33"/>
    </row>
    <row r="337" spans="1:1">
      <c r="A337" s="33"/>
    </row>
    <row r="338" spans="1:1">
      <c r="A338" s="33"/>
    </row>
    <row r="339" spans="1:1">
      <c r="A339" s="33"/>
    </row>
    <row r="340" spans="1:1">
      <c r="A340" s="33"/>
    </row>
    <row r="341" spans="1:1">
      <c r="A341" s="33"/>
    </row>
    <row r="342" spans="1:1">
      <c r="A342" s="33"/>
    </row>
    <row r="343" spans="1:1">
      <c r="A343" s="33"/>
    </row>
    <row r="344" spans="1:1">
      <c r="A344" s="33"/>
    </row>
    <row r="345" spans="1:1">
      <c r="A345" s="33"/>
    </row>
    <row r="346" spans="1:1">
      <c r="A346" s="33"/>
    </row>
    <row r="347" spans="1:1">
      <c r="A347" s="33"/>
    </row>
    <row r="348" spans="1:1">
      <c r="A348" s="33"/>
    </row>
    <row r="349" spans="1:1">
      <c r="A349" s="33"/>
    </row>
    <row r="350" spans="1:1">
      <c r="A350" s="33"/>
    </row>
    <row r="351" spans="1:1">
      <c r="A351" s="33"/>
    </row>
    <row r="352" spans="1:1">
      <c r="A352" s="33"/>
    </row>
    <row r="353" spans="1:1">
      <c r="A353" s="33"/>
    </row>
    <row r="354" spans="1:1">
      <c r="A354" s="33"/>
    </row>
    <row r="355" spans="1:1">
      <c r="A355" s="33"/>
    </row>
    <row r="356" spans="1:1">
      <c r="A356" s="33"/>
    </row>
    <row r="357" spans="1:1">
      <c r="A357" s="33"/>
    </row>
    <row r="358" spans="1:1">
      <c r="A358" s="33"/>
    </row>
    <row r="359" spans="1:1">
      <c r="A359" s="33"/>
    </row>
    <row r="360" spans="1:1">
      <c r="A360" s="33"/>
    </row>
    <row r="361" spans="1:1">
      <c r="A361" s="33"/>
    </row>
    <row r="362" spans="1:1">
      <c r="A362" s="33"/>
    </row>
    <row r="363" spans="1:1">
      <c r="A363" s="33"/>
    </row>
    <row r="364" spans="1:1">
      <c r="A364" s="33"/>
    </row>
    <row r="365" spans="1:1">
      <c r="A365" s="33"/>
    </row>
    <row r="366" spans="1:1">
      <c r="A366" s="33"/>
    </row>
    <row r="367" spans="1:1">
      <c r="A367" s="33"/>
    </row>
  </sheetData>
  <sortState xmlns:xlrd2="http://schemas.microsoft.com/office/spreadsheetml/2017/richdata2" ref="A2:B1048575">
    <sortCondition ref="A2:A1048575"/>
  </sortState>
  <phoneticPr fontId="2"/>
  <conditionalFormatting sqref="A319:A335">
    <cfRule type="expression" dxfId="3" priority="4">
      <formula>A319="NG"</formula>
    </cfRule>
  </conditionalFormatting>
  <conditionalFormatting sqref="A137:A142">
    <cfRule type="duplicateValues" dxfId="2" priority="1"/>
  </conditionalFormatting>
  <conditionalFormatting sqref="A135:A136">
    <cfRule type="duplicateValues" dxfId="1" priority="2"/>
  </conditionalFormatting>
  <conditionalFormatting sqref="A129:A134">
    <cfRule type="duplicateValues" dxfId="0" priority="3"/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872A5-F584-46A7-AC83-4E96BEB691C5}">
  <sheetPr codeName="Sheet1">
    <tabColor rgb="FF00B050"/>
  </sheetPr>
  <dimension ref="A1:U29"/>
  <sheetViews>
    <sheetView tabSelected="1" zoomScale="90" zoomScaleNormal="90" workbookViewId="0">
      <selection activeCell="B7" sqref="B7"/>
    </sheetView>
  </sheetViews>
  <sheetFormatPr defaultRowHeight="18"/>
  <cols>
    <col min="1" max="1" width="21.4140625" bestFit="1" customWidth="1"/>
    <col min="2" max="2" width="49" bestFit="1" customWidth="1"/>
    <col min="3" max="3" width="27.6640625" bestFit="1" customWidth="1"/>
    <col min="5" max="5" width="11.4140625" bestFit="1" customWidth="1"/>
    <col min="6" max="6" width="9" style="1"/>
    <col min="7" max="7" width="64.9140625" style="1" bestFit="1" customWidth="1"/>
    <col min="8" max="8" width="29.1640625" style="1" bestFit="1" customWidth="1"/>
    <col min="9" max="9" width="16.58203125" style="1" bestFit="1" customWidth="1"/>
    <col min="10" max="17" width="9" style="1"/>
    <col min="21" max="21" width="8.6640625" style="28"/>
  </cols>
  <sheetData>
    <row r="1" spans="1:9" ht="48" customHeight="1">
      <c r="C1" t="s">
        <v>353</v>
      </c>
      <c r="D1">
        <f>+COUNTIF(名簿!C:C,"&gt;0")</f>
        <v>0</v>
      </c>
      <c r="E1" s="27" t="s">
        <v>32</v>
      </c>
      <c r="F1" s="35" t="str">
        <f ca="1">+VLOOKUP(+TODAY()-E2,履歴管理!A:B,2,1)</f>
        <v>R8</v>
      </c>
      <c r="G1" s="35">
        <f ca="1">+MONTH(E7-E2)</f>
        <v>4</v>
      </c>
      <c r="H1" s="36" t="str">
        <f ca="1">+VLOOKUP(E7-E2,履歴管理!A:C,3)</f>
        <v>Ver5</v>
      </c>
    </row>
    <row r="2" spans="1:9" ht="18.5" thickBot="1">
      <c r="A2" s="3" t="s">
        <v>0</v>
      </c>
      <c r="B2" s="3" t="s">
        <v>25</v>
      </c>
      <c r="C2" s="3" t="s">
        <v>1</v>
      </c>
      <c r="D2" s="3" t="s">
        <v>3</v>
      </c>
      <c r="E2" s="26">
        <v>4</v>
      </c>
      <c r="F2" s="3" t="s">
        <v>4</v>
      </c>
      <c r="G2" s="3" t="s">
        <v>26</v>
      </c>
      <c r="H2" s="3" t="s">
        <v>1</v>
      </c>
      <c r="I2" s="3" t="s">
        <v>349</v>
      </c>
    </row>
    <row r="3" spans="1:9">
      <c r="A3" t="s">
        <v>352</v>
      </c>
      <c r="B3" t="s">
        <v>358</v>
      </c>
      <c r="D3">
        <v>1</v>
      </c>
      <c r="F3" s="2" t="s">
        <v>27</v>
      </c>
      <c r="G3" t="s">
        <v>310</v>
      </c>
      <c r="H3" t="s">
        <v>24</v>
      </c>
    </row>
    <row r="4" spans="1:9">
      <c r="A4" t="s">
        <v>354</v>
      </c>
      <c r="B4" t="s">
        <v>359</v>
      </c>
      <c r="D4">
        <v>1</v>
      </c>
      <c r="F4" s="2" t="s">
        <v>28</v>
      </c>
      <c r="G4" t="s">
        <v>350</v>
      </c>
      <c r="H4" s="1" t="s">
        <v>241</v>
      </c>
      <c r="I4" s="1" t="s">
        <v>351</v>
      </c>
    </row>
    <row r="5" spans="1:9" ht="18.5" thickBot="1">
      <c r="A5" t="s">
        <v>355</v>
      </c>
      <c r="B5" t="s">
        <v>360</v>
      </c>
      <c r="D5">
        <v>1</v>
      </c>
      <c r="G5"/>
    </row>
    <row r="6" spans="1:9">
      <c r="A6" t="s">
        <v>356</v>
      </c>
      <c r="B6" t="s">
        <v>361</v>
      </c>
      <c r="E6" s="24" t="s">
        <v>36</v>
      </c>
    </row>
    <row r="7" spans="1:9" ht="18.5" thickBot="1">
      <c r="A7" t="s">
        <v>357</v>
      </c>
      <c r="B7" t="s">
        <v>362</v>
      </c>
      <c r="E7" s="25">
        <f ca="1">TODAY()</f>
        <v>46133</v>
      </c>
      <c r="G7" s="23"/>
    </row>
    <row r="8" spans="1:9">
      <c r="G8" s="23"/>
    </row>
    <row r="9" spans="1:9">
      <c r="G9" s="23"/>
    </row>
    <row r="10" spans="1:9">
      <c r="G10" s="23"/>
    </row>
    <row r="20" spans="5:9">
      <c r="F20" s="29"/>
      <c r="G20" s="29"/>
    </row>
    <row r="21" spans="5:9">
      <c r="F21" s="29"/>
      <c r="G21" s="29"/>
    </row>
    <row r="22" spans="5:9">
      <c r="F22" s="30"/>
      <c r="G22" s="30"/>
      <c r="H22" s="3" t="s">
        <v>1</v>
      </c>
      <c r="I22" s="3" t="s">
        <v>3</v>
      </c>
    </row>
    <row r="23" spans="5:9">
      <c r="F23"/>
      <c r="G23"/>
      <c r="H23" t="s">
        <v>23</v>
      </c>
      <c r="I23">
        <v>0</v>
      </c>
    </row>
    <row r="24" spans="5:9">
      <c r="F24"/>
      <c r="G24"/>
      <c r="H24" t="s">
        <v>2</v>
      </c>
      <c r="I24">
        <v>0</v>
      </c>
    </row>
    <row r="25" spans="5:9">
      <c r="F25" s="29"/>
      <c r="G25" s="29"/>
    </row>
    <row r="26" spans="5:9">
      <c r="F26" s="29"/>
      <c r="G26" s="29"/>
    </row>
    <row r="27" spans="5:9">
      <c r="F27" s="29"/>
      <c r="G27" s="29"/>
    </row>
    <row r="28" spans="5:9">
      <c r="E28" s="22"/>
      <c r="F28" s="29"/>
      <c r="G28" s="29"/>
    </row>
    <row r="29" spans="5:9">
      <c r="F29" s="29"/>
      <c r="G29" s="29"/>
    </row>
  </sheetData>
  <phoneticPr fontId="2"/>
  <dataValidations count="1">
    <dataValidation type="list" allowBlank="1" showInputMessage="1" showErrorMessage="1" sqref="E2" xr:uid="{74AE456D-7E5B-4BC2-B624-AD483D4E524A}">
      <formula1>"1,2,3,4,5,6,7,8,9,10,11,12,13,14,15,16,17,18,19,20,21,22,24,25,26,27,28,29,30,31"</formula1>
    </dataValidation>
  </dataValidations>
  <pageMargins left="0.7" right="0.7" top="0.75" bottom="0.75" header="0.3" footer="0.3"/>
  <pageSetup paperSize="9"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一括転記_全部">
                <anchor moveWithCells="1" sizeWithCells="1">
                  <from>
                    <xdr:col>0</xdr:col>
                    <xdr:colOff>488950</xdr:colOff>
                    <xdr:row>0</xdr:row>
                    <xdr:rowOff>76200</xdr:rowOff>
                  </from>
                  <to>
                    <xdr:col>0</xdr:col>
                    <xdr:colOff>1263650</xdr:colOff>
                    <xdr:row>0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FS.社員番号のチェック">
                <anchor moveWithCells="1" sizeWithCells="1">
                  <from>
                    <xdr:col>1</xdr:col>
                    <xdr:colOff>406400</xdr:colOff>
                    <xdr:row>0</xdr:row>
                    <xdr:rowOff>69850</xdr:rowOff>
                  </from>
                  <to>
                    <xdr:col>1</xdr:col>
                    <xdr:colOff>2578100</xdr:colOff>
                    <xdr:row>0</xdr:row>
                    <xdr:rowOff>565150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C9295-60EE-4008-AFBC-9FB044224241}">
  <sheetPr codeName="Sheet2"/>
  <dimension ref="A1:C14"/>
  <sheetViews>
    <sheetView workbookViewId="0">
      <selection activeCell="D20" sqref="D20"/>
    </sheetView>
  </sheetViews>
  <sheetFormatPr defaultRowHeight="18"/>
  <sheetData>
    <row r="1" spans="1:3">
      <c r="A1" t="s">
        <v>52</v>
      </c>
      <c r="B1" t="s">
        <v>53</v>
      </c>
      <c r="C1" t="s">
        <v>38</v>
      </c>
    </row>
    <row r="2" spans="1:3">
      <c r="A2" t="s">
        <v>52</v>
      </c>
      <c r="B2" t="s">
        <v>53</v>
      </c>
      <c r="C2" t="s">
        <v>39</v>
      </c>
    </row>
    <row r="3" spans="1:3">
      <c r="A3" t="s">
        <v>52</v>
      </c>
      <c r="B3" t="s">
        <v>53</v>
      </c>
      <c r="C3" t="s">
        <v>40</v>
      </c>
    </row>
    <row r="4" spans="1:3">
      <c r="A4" t="s">
        <v>52</v>
      </c>
      <c r="B4" t="s">
        <v>53</v>
      </c>
      <c r="C4" t="s">
        <v>41</v>
      </c>
    </row>
    <row r="5" spans="1:3">
      <c r="A5" t="s">
        <v>52</v>
      </c>
      <c r="B5" t="s">
        <v>53</v>
      </c>
      <c r="C5" t="s">
        <v>42</v>
      </c>
    </row>
    <row r="6" spans="1:3">
      <c r="A6" t="s">
        <v>52</v>
      </c>
      <c r="B6" t="s">
        <v>53</v>
      </c>
      <c r="C6" t="s">
        <v>43</v>
      </c>
    </row>
    <row r="7" spans="1:3">
      <c r="A7" t="s">
        <v>52</v>
      </c>
      <c r="B7" t="s">
        <v>53</v>
      </c>
      <c r="C7" t="s">
        <v>44</v>
      </c>
    </row>
    <row r="8" spans="1:3">
      <c r="A8" t="s">
        <v>52</v>
      </c>
      <c r="B8" t="s">
        <v>53</v>
      </c>
      <c r="C8" t="s">
        <v>45</v>
      </c>
    </row>
    <row r="9" spans="1:3">
      <c r="A9" t="s">
        <v>52</v>
      </c>
      <c r="B9" t="s">
        <v>53</v>
      </c>
      <c r="C9" t="s">
        <v>46</v>
      </c>
    </row>
    <row r="10" spans="1:3">
      <c r="A10" t="s">
        <v>52</v>
      </c>
      <c r="B10" t="s">
        <v>53</v>
      </c>
      <c r="C10" t="s">
        <v>47</v>
      </c>
    </row>
    <row r="11" spans="1:3">
      <c r="A11" t="s">
        <v>52</v>
      </c>
      <c r="B11" t="s">
        <v>53</v>
      </c>
      <c r="C11" t="s">
        <v>48</v>
      </c>
    </row>
    <row r="12" spans="1:3">
      <c r="A12" t="s">
        <v>52</v>
      </c>
      <c r="B12" t="s">
        <v>53</v>
      </c>
      <c r="C12" t="s">
        <v>49</v>
      </c>
    </row>
    <row r="13" spans="1:3">
      <c r="A13" t="s">
        <v>52</v>
      </c>
      <c r="B13" t="s">
        <v>53</v>
      </c>
      <c r="C13" t="s">
        <v>50</v>
      </c>
    </row>
    <row r="14" spans="1:3">
      <c r="A14" t="s">
        <v>52</v>
      </c>
      <c r="B14" t="s">
        <v>53</v>
      </c>
      <c r="C14" t="s">
        <v>51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7B103-7BC9-43E5-972D-3359A901DC19}">
  <sheetPr codeName="Sheet11"/>
  <dimension ref="A1:C72"/>
  <sheetViews>
    <sheetView workbookViewId="0"/>
  </sheetViews>
  <sheetFormatPr defaultRowHeight="18"/>
  <cols>
    <col min="1" max="1" width="10.1640625" bestFit="1" customWidth="1"/>
  </cols>
  <sheetData>
    <row r="1" spans="1:3">
      <c r="A1" s="21">
        <v>43922</v>
      </c>
      <c r="B1" t="s">
        <v>29</v>
      </c>
      <c r="C1" t="s">
        <v>35</v>
      </c>
    </row>
    <row r="2" spans="1:3">
      <c r="A2" s="21">
        <v>43952</v>
      </c>
      <c r="B2" t="s">
        <v>29</v>
      </c>
      <c r="C2" t="s">
        <v>34</v>
      </c>
    </row>
    <row r="3" spans="1:3">
      <c r="A3" s="21">
        <v>43983</v>
      </c>
      <c r="B3" t="s">
        <v>29</v>
      </c>
      <c r="C3" t="s">
        <v>34</v>
      </c>
    </row>
    <row r="4" spans="1:3">
      <c r="A4" s="21">
        <v>44013</v>
      </c>
      <c r="B4" t="s">
        <v>29</v>
      </c>
      <c r="C4" t="s">
        <v>34</v>
      </c>
    </row>
    <row r="5" spans="1:3">
      <c r="A5" s="21">
        <v>44044</v>
      </c>
      <c r="B5" t="s">
        <v>29</v>
      </c>
      <c r="C5" t="s">
        <v>34</v>
      </c>
    </row>
    <row r="6" spans="1:3">
      <c r="A6" s="21">
        <v>44075</v>
      </c>
      <c r="B6" t="s">
        <v>29</v>
      </c>
      <c r="C6" t="s">
        <v>34</v>
      </c>
    </row>
    <row r="7" spans="1:3">
      <c r="A7" s="21">
        <v>44105</v>
      </c>
      <c r="B7" t="s">
        <v>29</v>
      </c>
      <c r="C7" t="s">
        <v>34</v>
      </c>
    </row>
    <row r="8" spans="1:3">
      <c r="A8" s="21">
        <v>44136</v>
      </c>
      <c r="B8" t="s">
        <v>29</v>
      </c>
      <c r="C8" t="s">
        <v>34</v>
      </c>
    </row>
    <row r="9" spans="1:3">
      <c r="A9" s="21">
        <v>44166</v>
      </c>
      <c r="B9" t="s">
        <v>29</v>
      </c>
      <c r="C9" t="s">
        <v>33</v>
      </c>
    </row>
    <row r="10" spans="1:3">
      <c r="A10" s="21">
        <v>44197</v>
      </c>
      <c r="B10" t="s">
        <v>30</v>
      </c>
      <c r="C10" t="s">
        <v>33</v>
      </c>
    </row>
    <row r="11" spans="1:3">
      <c r="A11" s="21">
        <v>44228</v>
      </c>
      <c r="B11" t="s">
        <v>30</v>
      </c>
      <c r="C11" t="s">
        <v>33</v>
      </c>
    </row>
    <row r="12" spans="1:3">
      <c r="A12" s="21">
        <v>44256</v>
      </c>
      <c r="B12" t="s">
        <v>30</v>
      </c>
      <c r="C12" t="s">
        <v>33</v>
      </c>
    </row>
    <row r="13" spans="1:3">
      <c r="A13" s="21">
        <v>44287</v>
      </c>
      <c r="B13" t="s">
        <v>30</v>
      </c>
      <c r="C13" t="s">
        <v>37</v>
      </c>
    </row>
    <row r="14" spans="1:3">
      <c r="A14" s="21">
        <v>44317</v>
      </c>
      <c r="B14" t="s">
        <v>30</v>
      </c>
      <c r="C14" t="s">
        <v>37</v>
      </c>
    </row>
    <row r="15" spans="1:3">
      <c r="A15" s="21">
        <v>44348</v>
      </c>
      <c r="B15" t="s">
        <v>30</v>
      </c>
      <c r="C15" t="s">
        <v>37</v>
      </c>
    </row>
    <row r="16" spans="1:3">
      <c r="A16" s="21">
        <v>44378</v>
      </c>
      <c r="B16" t="s">
        <v>30</v>
      </c>
      <c r="C16" t="s">
        <v>37</v>
      </c>
    </row>
    <row r="17" spans="1:3">
      <c r="A17" s="21">
        <v>44409</v>
      </c>
      <c r="B17" t="s">
        <v>30</v>
      </c>
      <c r="C17" t="s">
        <v>37</v>
      </c>
    </row>
    <row r="18" spans="1:3">
      <c r="A18" s="21">
        <v>44440</v>
      </c>
      <c r="B18" t="s">
        <v>30</v>
      </c>
      <c r="C18" t="s">
        <v>37</v>
      </c>
    </row>
    <row r="19" spans="1:3">
      <c r="A19" s="21">
        <v>44470</v>
      </c>
      <c r="B19" t="s">
        <v>30</v>
      </c>
      <c r="C19" t="s">
        <v>37</v>
      </c>
    </row>
    <row r="20" spans="1:3">
      <c r="A20" s="21">
        <v>44501</v>
      </c>
      <c r="B20" t="s">
        <v>30</v>
      </c>
      <c r="C20" t="s">
        <v>37</v>
      </c>
    </row>
    <row r="21" spans="1:3">
      <c r="A21" s="21">
        <v>44531</v>
      </c>
      <c r="B21" t="s">
        <v>30</v>
      </c>
      <c r="C21" t="s">
        <v>37</v>
      </c>
    </row>
    <row r="22" spans="1:3">
      <c r="A22" s="21">
        <v>44562</v>
      </c>
      <c r="B22" t="s">
        <v>31</v>
      </c>
      <c r="C22" t="s">
        <v>58</v>
      </c>
    </row>
    <row r="23" spans="1:3">
      <c r="A23" s="21">
        <v>44593</v>
      </c>
      <c r="B23" t="s">
        <v>31</v>
      </c>
      <c r="C23" t="s">
        <v>58</v>
      </c>
    </row>
    <row r="24" spans="1:3">
      <c r="A24" s="21">
        <v>44621</v>
      </c>
      <c r="B24" t="s">
        <v>31</v>
      </c>
      <c r="C24" t="s">
        <v>58</v>
      </c>
    </row>
    <row r="25" spans="1:3">
      <c r="A25" s="21">
        <v>44652</v>
      </c>
      <c r="B25" t="s">
        <v>31</v>
      </c>
      <c r="C25" t="s">
        <v>58</v>
      </c>
    </row>
    <row r="26" spans="1:3">
      <c r="A26" s="21">
        <v>44682</v>
      </c>
      <c r="B26" t="s">
        <v>31</v>
      </c>
      <c r="C26" t="s">
        <v>58</v>
      </c>
    </row>
    <row r="27" spans="1:3">
      <c r="A27" s="21">
        <v>44713</v>
      </c>
      <c r="B27" t="s">
        <v>31</v>
      </c>
      <c r="C27" t="s">
        <v>58</v>
      </c>
    </row>
    <row r="28" spans="1:3">
      <c r="A28" s="21">
        <v>44743</v>
      </c>
      <c r="B28" t="s">
        <v>31</v>
      </c>
      <c r="C28" t="s">
        <v>58</v>
      </c>
    </row>
    <row r="29" spans="1:3">
      <c r="A29" s="21">
        <v>44774</v>
      </c>
      <c r="B29" t="s">
        <v>31</v>
      </c>
      <c r="C29" t="s">
        <v>58</v>
      </c>
    </row>
    <row r="30" spans="1:3">
      <c r="A30" s="21">
        <v>44805</v>
      </c>
      <c r="B30" t="s">
        <v>31</v>
      </c>
      <c r="C30" t="s">
        <v>58</v>
      </c>
    </row>
    <row r="31" spans="1:3">
      <c r="A31" s="21">
        <v>44835</v>
      </c>
      <c r="B31" t="s">
        <v>31</v>
      </c>
      <c r="C31" t="s">
        <v>58</v>
      </c>
    </row>
    <row r="32" spans="1:3">
      <c r="A32" s="21">
        <v>44866</v>
      </c>
      <c r="B32" t="s">
        <v>31</v>
      </c>
      <c r="C32" t="s">
        <v>58</v>
      </c>
    </row>
    <row r="33" spans="1:3">
      <c r="A33" s="21">
        <v>44896</v>
      </c>
      <c r="B33" t="s">
        <v>31</v>
      </c>
      <c r="C33" t="s">
        <v>58</v>
      </c>
    </row>
    <row r="34" spans="1:3">
      <c r="A34" s="21">
        <v>44927</v>
      </c>
      <c r="B34" t="s">
        <v>59</v>
      </c>
      <c r="C34" t="s">
        <v>58</v>
      </c>
    </row>
    <row r="35" spans="1:3">
      <c r="A35" s="21">
        <v>44958</v>
      </c>
      <c r="B35" t="s">
        <v>59</v>
      </c>
      <c r="C35" t="s">
        <v>58</v>
      </c>
    </row>
    <row r="36" spans="1:3">
      <c r="A36" s="21">
        <v>44986</v>
      </c>
      <c r="B36" t="s">
        <v>59</v>
      </c>
      <c r="C36" t="s">
        <v>58</v>
      </c>
    </row>
    <row r="37" spans="1:3">
      <c r="A37" s="21">
        <v>45017</v>
      </c>
      <c r="B37" t="s">
        <v>59</v>
      </c>
      <c r="C37" t="s">
        <v>58</v>
      </c>
    </row>
    <row r="38" spans="1:3">
      <c r="A38" s="21">
        <v>45047</v>
      </c>
      <c r="B38" t="s">
        <v>59</v>
      </c>
      <c r="C38" t="s">
        <v>58</v>
      </c>
    </row>
    <row r="39" spans="1:3">
      <c r="A39" s="21">
        <v>45078</v>
      </c>
      <c r="B39" t="s">
        <v>59</v>
      </c>
      <c r="C39" t="s">
        <v>58</v>
      </c>
    </row>
    <row r="40" spans="1:3">
      <c r="A40" s="21">
        <v>45108</v>
      </c>
      <c r="B40" t="s">
        <v>59</v>
      </c>
      <c r="C40" t="s">
        <v>58</v>
      </c>
    </row>
    <row r="41" spans="1:3">
      <c r="A41" s="21">
        <v>45139</v>
      </c>
      <c r="B41" t="s">
        <v>59</v>
      </c>
      <c r="C41" t="s">
        <v>58</v>
      </c>
    </row>
    <row r="42" spans="1:3">
      <c r="A42" s="21">
        <v>45170</v>
      </c>
      <c r="B42" t="s">
        <v>59</v>
      </c>
      <c r="C42" t="s">
        <v>58</v>
      </c>
    </row>
    <row r="43" spans="1:3">
      <c r="A43" s="21">
        <v>45200</v>
      </c>
      <c r="B43" t="s">
        <v>59</v>
      </c>
      <c r="C43" t="s">
        <v>58</v>
      </c>
    </row>
    <row r="44" spans="1:3">
      <c r="A44" s="21">
        <v>45231</v>
      </c>
      <c r="B44" t="s">
        <v>59</v>
      </c>
      <c r="C44" t="s">
        <v>58</v>
      </c>
    </row>
    <row r="45" spans="1:3">
      <c r="A45" s="21">
        <v>45261</v>
      </c>
      <c r="B45" t="s">
        <v>59</v>
      </c>
      <c r="C45" t="s">
        <v>58</v>
      </c>
    </row>
    <row r="46" spans="1:3">
      <c r="A46" s="21">
        <v>45292</v>
      </c>
      <c r="B46" t="s">
        <v>236</v>
      </c>
      <c r="C46" t="s">
        <v>58</v>
      </c>
    </row>
    <row r="47" spans="1:3">
      <c r="A47" s="21">
        <v>45323</v>
      </c>
      <c r="B47" t="s">
        <v>236</v>
      </c>
      <c r="C47" t="s">
        <v>58</v>
      </c>
    </row>
    <row r="48" spans="1:3">
      <c r="A48" s="21">
        <v>45352</v>
      </c>
      <c r="B48" t="s">
        <v>236</v>
      </c>
      <c r="C48" t="s">
        <v>58</v>
      </c>
    </row>
    <row r="49" spans="1:3">
      <c r="A49" s="21">
        <v>45383</v>
      </c>
      <c r="B49" t="s">
        <v>236</v>
      </c>
      <c r="C49" t="s">
        <v>58</v>
      </c>
    </row>
    <row r="50" spans="1:3">
      <c r="A50" s="21">
        <v>45413</v>
      </c>
      <c r="B50" t="s">
        <v>236</v>
      </c>
      <c r="C50" t="s">
        <v>58</v>
      </c>
    </row>
    <row r="51" spans="1:3">
      <c r="A51" s="21">
        <v>45444</v>
      </c>
      <c r="B51" t="s">
        <v>236</v>
      </c>
      <c r="C51" t="s">
        <v>58</v>
      </c>
    </row>
    <row r="52" spans="1:3">
      <c r="A52" s="21">
        <v>45474</v>
      </c>
      <c r="B52" t="s">
        <v>236</v>
      </c>
      <c r="C52" t="s">
        <v>58</v>
      </c>
    </row>
    <row r="53" spans="1:3">
      <c r="A53" s="21">
        <v>45505</v>
      </c>
      <c r="B53" t="s">
        <v>236</v>
      </c>
      <c r="C53" t="s">
        <v>58</v>
      </c>
    </row>
    <row r="54" spans="1:3">
      <c r="A54" s="21">
        <v>45536</v>
      </c>
      <c r="B54" t="s">
        <v>236</v>
      </c>
      <c r="C54" t="s">
        <v>58</v>
      </c>
    </row>
    <row r="55" spans="1:3">
      <c r="A55" s="21">
        <v>45566</v>
      </c>
      <c r="B55" t="s">
        <v>236</v>
      </c>
      <c r="C55" t="s">
        <v>58</v>
      </c>
    </row>
    <row r="56" spans="1:3">
      <c r="A56" s="21">
        <v>45597</v>
      </c>
      <c r="B56" t="s">
        <v>236</v>
      </c>
      <c r="C56" t="s">
        <v>58</v>
      </c>
    </row>
    <row r="57" spans="1:3">
      <c r="A57" s="21">
        <v>45627</v>
      </c>
      <c r="B57" t="s">
        <v>236</v>
      </c>
      <c r="C57" t="s">
        <v>58</v>
      </c>
    </row>
    <row r="58" spans="1:3">
      <c r="A58" s="21">
        <v>45658</v>
      </c>
      <c r="B58" t="s">
        <v>242</v>
      </c>
      <c r="C58" t="s">
        <v>58</v>
      </c>
    </row>
    <row r="59" spans="1:3">
      <c r="A59" s="21">
        <v>45689</v>
      </c>
      <c r="B59" t="s">
        <v>242</v>
      </c>
      <c r="C59" t="s">
        <v>58</v>
      </c>
    </row>
    <row r="60" spans="1:3">
      <c r="A60" s="21">
        <v>45717</v>
      </c>
      <c r="B60" t="s">
        <v>242</v>
      </c>
      <c r="C60" t="s">
        <v>58</v>
      </c>
    </row>
    <row r="61" spans="1:3">
      <c r="A61" s="21">
        <v>45748</v>
      </c>
      <c r="B61" t="s">
        <v>242</v>
      </c>
      <c r="C61" t="s">
        <v>58</v>
      </c>
    </row>
    <row r="62" spans="1:3">
      <c r="A62" s="21">
        <v>45778</v>
      </c>
      <c r="B62" t="s">
        <v>242</v>
      </c>
      <c r="C62" t="s">
        <v>58</v>
      </c>
    </row>
    <row r="63" spans="1:3">
      <c r="A63" s="21">
        <v>45809</v>
      </c>
      <c r="B63" t="s">
        <v>242</v>
      </c>
      <c r="C63" t="s">
        <v>58</v>
      </c>
    </row>
    <row r="64" spans="1:3">
      <c r="A64" s="21">
        <v>45839</v>
      </c>
      <c r="B64" t="s">
        <v>242</v>
      </c>
      <c r="C64" t="s">
        <v>58</v>
      </c>
    </row>
    <row r="65" spans="1:3">
      <c r="A65" s="21">
        <v>45870</v>
      </c>
      <c r="B65" t="s">
        <v>242</v>
      </c>
      <c r="C65" t="s">
        <v>58</v>
      </c>
    </row>
    <row r="66" spans="1:3">
      <c r="A66" s="21">
        <v>45901</v>
      </c>
      <c r="B66" t="s">
        <v>242</v>
      </c>
      <c r="C66" t="s">
        <v>58</v>
      </c>
    </row>
    <row r="67" spans="1:3">
      <c r="A67" s="21">
        <v>45931</v>
      </c>
      <c r="B67" t="s">
        <v>242</v>
      </c>
      <c r="C67" t="s">
        <v>58</v>
      </c>
    </row>
    <row r="68" spans="1:3">
      <c r="A68" s="21">
        <v>45962</v>
      </c>
      <c r="B68" t="s">
        <v>242</v>
      </c>
      <c r="C68" t="s">
        <v>58</v>
      </c>
    </row>
    <row r="69" spans="1:3">
      <c r="A69" s="21">
        <v>45992</v>
      </c>
      <c r="B69" t="s">
        <v>242</v>
      </c>
      <c r="C69" t="s">
        <v>58</v>
      </c>
    </row>
    <row r="70" spans="1:3">
      <c r="A70" s="21">
        <v>46023</v>
      </c>
      <c r="B70" t="s">
        <v>243</v>
      </c>
      <c r="C70" t="s">
        <v>58</v>
      </c>
    </row>
    <row r="71" spans="1:3">
      <c r="A71" s="21">
        <v>46054</v>
      </c>
      <c r="B71" t="s">
        <v>243</v>
      </c>
      <c r="C71" t="s">
        <v>58</v>
      </c>
    </row>
    <row r="72" spans="1:3">
      <c r="A72" s="21">
        <v>46082</v>
      </c>
      <c r="B72" t="s">
        <v>243</v>
      </c>
      <c r="C72" t="s">
        <v>58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説明</vt:lpstr>
      <vt:lpstr>名簿</vt:lpstr>
      <vt:lpstr>操作画面</vt:lpstr>
      <vt:lpstr>チェック</vt:lpstr>
      <vt:lpstr>履歴管理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山川拓也</dc:creator>
  <cp:lastModifiedBy>谷津 晴香</cp:lastModifiedBy>
  <dcterms:created xsi:type="dcterms:W3CDTF">2020-09-10T07:58:30Z</dcterms:created>
  <dcterms:modified xsi:type="dcterms:W3CDTF">2026-04-21T04:19:14Z</dcterms:modified>
</cp:coreProperties>
</file>